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8.xml" ContentType="application/vnd.openxmlformats-officedocument.spreadsheetml.queryTable+xml"/>
  <Override PartName="/xl/tables/table19.xml" ContentType="application/vnd.openxmlformats-officedocument.spreadsheetml.table+xml"/>
  <Override PartName="/xl/queryTables/queryTable9.xml" ContentType="application/vnd.openxmlformats-officedocument.spreadsheetml.queryTable+xml"/>
  <Override PartName="/xl/tables/table20.xml" ContentType="application/vnd.openxmlformats-officedocument.spreadsheetml.table+xml"/>
  <Override PartName="/xl/queryTables/queryTable10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queryTables/queryTable11.xml" ContentType="application/vnd.openxmlformats-officedocument.spreadsheetml.queryTable+xml"/>
  <Override PartName="/xl/tables/table22.xml" ContentType="application/vnd.openxmlformats-officedocument.spreadsheetml.table+xml"/>
  <Override PartName="/xl/queryTables/queryTable12.xml" ContentType="application/vnd.openxmlformats-officedocument.spreadsheetml.queryTable+xml"/>
  <Override PartName="/xl/tables/table23.xml" ContentType="application/vnd.openxmlformats-officedocument.spreadsheetml.table+xml"/>
  <Override PartName="/xl/queryTables/queryTable13.xml" ContentType="application/vnd.openxmlformats-officedocument.spreadsheetml.queryTable+xml"/>
  <Override PartName="/xl/tables/table24.xml" ContentType="application/vnd.openxmlformats-officedocument.spreadsheetml.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15.xml" ContentType="application/vnd.openxmlformats-officedocument.spreadsheetml.queryTable+xml"/>
  <Override PartName="/xl/tables/table29.xml" ContentType="application/vnd.openxmlformats-officedocument.spreadsheetml.table+xml"/>
  <Override PartName="/xl/queryTables/queryTable16.xml" ContentType="application/vnd.openxmlformats-officedocument.spreadsheetml.queryTable+xml"/>
  <Override PartName="/xl/tables/table30.xml" ContentType="application/vnd.openxmlformats-officedocument.spreadsheetml.table+xml"/>
  <Override PartName="/xl/queryTables/queryTable17.xml" ContentType="application/vnd.openxmlformats-officedocument.spreadsheetml.queryTable+xml"/>
  <Override PartName="/xl/tables/table31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5.xml" ContentType="application/vnd.openxmlformats-officedocument.drawing+xml"/>
  <Override PartName="/xl/tables/table32.xml" ContentType="application/vnd.openxmlformats-officedocument.spreadsheetml.table+xml"/>
  <Override PartName="/xl/queryTables/queryTable19.xml" ContentType="application/vnd.openxmlformats-officedocument.spreadsheetml.queryTable+xml"/>
  <Override PartName="/xl/tables/table33.xml" ContentType="application/vnd.openxmlformats-officedocument.spreadsheetml.table+xml"/>
  <Override PartName="/xl/queryTables/queryTable20.xml" ContentType="application/vnd.openxmlformats-officedocument.spreadsheetml.queryTable+xml"/>
  <Override PartName="/xl/tables/table34.xml" ContentType="application/vnd.openxmlformats-officedocument.spreadsheetml.table+xml"/>
  <Override PartName="/xl/queryTables/queryTable21.xml" ContentType="application/vnd.openxmlformats-officedocument.spreadsheetml.queryTable+xml"/>
  <Override PartName="/xl/comments3.xml" ContentType="application/vnd.openxmlformats-officedocument.spreadsheetml.comments+xml"/>
  <Override PartName="/xl/tables/table35.xml" ContentType="application/vnd.openxmlformats-officedocument.spreadsheetml.table+xml"/>
  <Override PartName="/xl/queryTables/queryTable22.xml" ContentType="application/vnd.openxmlformats-officedocument.spreadsheetml.query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23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queryTables/queryTable24.xml" ContentType="application/vnd.openxmlformats-officedocument.spreadsheetml.queryTable+xml"/>
  <Override PartName="/xl/tables/table40.xml" ContentType="application/vnd.openxmlformats-officedocument.spreadsheetml.table+xml"/>
  <Override PartName="/xl/queryTables/queryTable25.xml" ContentType="application/vnd.openxmlformats-officedocument.spreadsheetml.queryTable+xml"/>
  <Override PartName="/xl/tables/table41.xml" ContentType="application/vnd.openxmlformats-officedocument.spreadsheetml.table+xml"/>
  <Override PartName="/xl/queryTables/queryTable26.xml" ContentType="application/vnd.openxmlformats-officedocument.spreadsheetml.queryTable+xml"/>
  <Override PartName="/xl/tables/table42.xml" ContentType="application/vnd.openxmlformats-officedocument.spreadsheetml.table+xml"/>
  <Override PartName="/xl/queryTables/queryTable27.xml" ContentType="application/vnd.openxmlformats-officedocument.spreadsheetml.queryTable+xml"/>
  <Override PartName="/xl/tables/table43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6.xml" ContentType="application/vnd.openxmlformats-officedocument.drawing+xml"/>
  <Override PartName="/xl/tables/table44.xml" ContentType="application/vnd.openxmlformats-officedocument.spreadsheetml.table+xml"/>
  <Override PartName="/xl/queryTables/queryTable29.xml" ContentType="application/vnd.openxmlformats-officedocument.spreadsheetml.queryTable+xml"/>
  <Override PartName="/xl/drawings/drawing7.xml" ContentType="application/vnd.openxmlformats-officedocument.drawing+xml"/>
  <Override PartName="/xl/tables/table45.xml" ContentType="application/vnd.openxmlformats-officedocument.spreadsheetml.table+xml"/>
  <Override PartName="/xl/queryTables/queryTable30.xml" ContentType="application/vnd.openxmlformats-officedocument.spreadsheetml.queryTable+xml"/>
  <Override PartName="/xl/tables/table46.xml" ContentType="application/vnd.openxmlformats-officedocument.spreadsheetml.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10.1.215\dcm$\Team Folder\Execution Team\Weekly AM\20230828\Data\"/>
    </mc:Choice>
  </mc:AlternateContent>
  <xr:revisionPtr revIDLastSave="0" documentId="13_ncr:1_{DBCA5733-E860-400E-A2EA-50681E086E1D}" xr6:coauthVersionLast="36" xr6:coauthVersionMax="36" xr10:uidLastSave="{00000000-0000-0000-0000-000000000000}"/>
  <bookViews>
    <workbookView xWindow="0" yWindow="0" windowWidth="28800" windowHeight="11625" tabRatio="594" firstSheet="1" activeTab="1" xr2:uid="{00000000-000D-0000-FFFF-FFFF00000000}"/>
  </bookViews>
  <sheets>
    <sheet name="EXE" sheetId="27" state="hidden" r:id="rId1"/>
    <sheet name="DOWNLOAD" sheetId="1" r:id="rId2"/>
    <sheet name="load" sheetId="23" r:id="rId3"/>
    <sheet name="REVIEW_LIST" sheetId="33" r:id="rId4"/>
    <sheet name="Charts" sheetId="40" r:id="rId5"/>
    <sheet name="WRITER" sheetId="39" r:id="rId6"/>
    <sheet name="ECON" sheetId="30" r:id="rId7"/>
    <sheet name="FUTURE" sheetId="41" r:id="rId8"/>
    <sheet name="FIMTN" sheetId="43" state="hidden" r:id="rId9"/>
    <sheet name="dmi" sheetId="42" state="hidden" r:id="rId10"/>
    <sheet name="bbgcorp" sheetId="49" state="hidden" r:id="rId11"/>
    <sheet name="台账" sheetId="51" state="hidden" r:id="rId12"/>
    <sheet name="WST" sheetId="50" state="hidden" r:id="rId13"/>
    <sheet name="AddtoCurated" sheetId="48" state="hidden" r:id="rId14"/>
    <sheet name="AddtoCredit" sheetId="46" state="hidden" r:id="rId15"/>
    <sheet name="AddtoBISL" sheetId="47" state="hidden" r:id="rId16"/>
  </sheets>
  <definedNames>
    <definedName name="_xlnm._FilterDatabase" localSheetId="8" hidden="1">FIMTN!#REF!</definedName>
    <definedName name="dd_BISL_role">BISL_ROLE[BISL_ROLE]</definedName>
    <definedName name="dd_bocomdeal">BOCOM_DEAL[BOCOM_DEAL?]</definedName>
    <definedName name="dd_bocomrole">tbl_dd_role[其他交银_ROLE]</definedName>
    <definedName name="dd_by_rtg">tbl_dd_by_rtg[评级分类]</definedName>
    <definedName name="dd_byrtg">tbl_dd_by_rtg[评级分类]</definedName>
    <definedName name="dd_coverage">tbl_dd_coverage[COVERAGE]</definedName>
    <definedName name="dd_crcy">tbl_dd_crcy[货币]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i_shortlisted">#REF!</definedName>
    <definedName name="dd_FutureEvent">FUTURE[未来一周主要经济数据]</definedName>
    <definedName name="dd_listing">tbl_dd_listing[上市]</definedName>
    <definedName name="dd_region">tbl_dd_region[地区]</definedName>
    <definedName name="dd_sector">tbl_ddsector[行业]</definedName>
    <definedName name="dd_sfcrole">新规角色[新规角色]</definedName>
    <definedName name="dd_strct">结构[结构]</definedName>
    <definedName name="dd_structure">tbl_dd_structure[结构]</definedName>
    <definedName name="dd_theme">tbl_dd_theme[主题]</definedName>
    <definedName name="dd_updator">tbl_updator[Updator]</definedName>
    <definedName name="dd_weeklylist">#REF!</definedName>
    <definedName name="dd_中资属性">中资属性[中资属性]</definedName>
    <definedName name="dd_板块">板块[板块]</definedName>
    <definedName name="ExternalData_1" localSheetId="13" hidden="1">AddtoCurated!$A$4:$AT$17</definedName>
    <definedName name="ExternalData_1" localSheetId="10" hidden="1">bbgcorp!$A$5:$M$27</definedName>
    <definedName name="ExternalData_1" localSheetId="6" hidden="1">ECON!$A$12:$O$23</definedName>
    <definedName name="ExternalData_1" localSheetId="0" hidden="1">EXE!$I$6:$I$11</definedName>
    <definedName name="ExternalData_1" localSheetId="8" hidden="1">FIMTN!$A$5:$J$8</definedName>
    <definedName name="ExternalData_1" localSheetId="12" hidden="1">WST!$A$5:$M$7</definedName>
    <definedName name="ExternalData_10" localSheetId="4" hidden="1">'Charts'!$S$4:$U$5</definedName>
    <definedName name="ExternalData_10" localSheetId="0" hidden="1">EXE!$E$18:$E$25</definedName>
    <definedName name="ExternalData_11" localSheetId="1" hidden="1">DOWNLOAD!#REF!</definedName>
    <definedName name="ExternalData_11" localSheetId="5" hidden="1">WRITER!$A$9:$F$13</definedName>
    <definedName name="ExternalData_12" localSheetId="5" hidden="1">WRITER!$A$18:$F$26</definedName>
    <definedName name="ExternalData_15" localSheetId="1" hidden="1">DOWNLOAD!$D$10:$CE$23</definedName>
    <definedName name="ExternalData_16" localSheetId="9" hidden="1">dmi!$A$5:$BQ$21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load!$C$5:$AD$18</definedName>
    <definedName name="ExternalData_2" localSheetId="0" hidden="1">EXE!$J$6:$J$12</definedName>
    <definedName name="ExternalData_2" localSheetId="7" hidden="1">FUTURE!$A$10:$O$32</definedName>
    <definedName name="ExternalData_2" localSheetId="2" hidden="1">load!$AH$5:$AW$8</definedName>
    <definedName name="ExternalData_2" localSheetId="11" hidden="1">台账!$A$5:$H$8</definedName>
    <definedName name="ExternalData_20" localSheetId="1" hidden="1">DOWNLOAD!$B$13:$B$14</definedName>
    <definedName name="ExternalData_21" localSheetId="1" hidden="1">DOWNLOAD!$B$10:$B$11</definedName>
    <definedName name="ExternalData_21" localSheetId="2" hidden="1">load!$AH$13:$AK$16</definedName>
    <definedName name="ExternalData_3" localSheetId="0" hidden="1">EXE!$K$6:$K$12</definedName>
    <definedName name="ExternalData_3" localSheetId="2" hidden="1">load!$A$5:$A$33</definedName>
    <definedName name="ExternalData_4" localSheetId="4" hidden="1">'Charts'!$P$8:$AF$21</definedName>
    <definedName name="ExternalData_4" localSheetId="0" hidden="1">EXE!$N$6:$N$15</definedName>
    <definedName name="ExternalData_5" localSheetId="13" hidden="1">AddtoCurated!$A$4:$BM$14</definedName>
    <definedName name="ExternalData_5" localSheetId="0" hidden="1">EXE!$L$6:$M$11</definedName>
    <definedName name="ExternalData_6" localSheetId="15" hidden="1">AddtoBISL!$A$5:$R$8</definedName>
    <definedName name="ExternalData_6" localSheetId="0" hidden="1">EXE!$O$6:$O$12</definedName>
    <definedName name="ExternalData_7" localSheetId="0" hidden="1">EXE!$P$6:$P$14</definedName>
    <definedName name="ExternalData_8" localSheetId="4" hidden="1">'Charts'!$A$8:$J$21</definedName>
    <definedName name="ExternalData_8" localSheetId="5" hidden="1">WRITER!$A$4:$F$5</definedName>
    <definedName name="ExternalData_9" localSheetId="14" hidden="1">AddtoCredit!$A$4:$T$7</definedName>
    <definedName name="ExternalData_9" localSheetId="4" hidden="1">'Charts'!$C$4:$E$5</definedName>
    <definedName name="ExternalData_9" localSheetId="0" hidden="1">EXE!#REF!</definedName>
    <definedName name="GPS">EXE!$A$1</definedName>
    <definedName name="hard_coded_1">#REF!</definedName>
    <definedName name="hard_coded_2">REVIEW_LIST!$A$4:$AB$41</definedName>
    <definedName name="hard_coded_3">REVIEW_LIST!$AE$4:$AT$40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load!$S$4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7" i="1"/>
  <c r="C6" i="1"/>
  <c r="D6" i="1" s="1"/>
  <c r="C5" i="1"/>
  <c r="D5" i="1" l="1"/>
  <c r="D1" i="23"/>
  <c r="S4" i="23" l="1"/>
  <c r="A1" i="27"/>
  <c r="A1" i="40" l="1"/>
  <c r="R1" i="40" l="1"/>
  <c r="Q1" i="40" l="1"/>
  <c r="F3" i="41" l="1"/>
  <c r="E3" i="41"/>
  <c r="D3" i="41"/>
  <c r="F8" i="41"/>
  <c r="E8" i="41"/>
  <c r="D8" i="41"/>
  <c r="F5" i="41"/>
  <c r="E5" i="41"/>
  <c r="D5" i="41"/>
  <c r="F7" i="41"/>
  <c r="E7" i="41"/>
  <c r="D7" i="41"/>
  <c r="F4" i="41"/>
  <c r="E4" i="41"/>
  <c r="D4" i="41"/>
  <c r="F6" i="41"/>
  <c r="E6" i="41"/>
  <c r="D6" i="41"/>
  <c r="D8" i="30" l="1"/>
  <c r="E8" i="30"/>
  <c r="E5" i="30"/>
  <c r="E4" i="30"/>
  <c r="E3" i="30"/>
  <c r="E6" i="30"/>
  <c r="E7" i="30"/>
  <c r="F8" i="30"/>
  <c r="F5" i="30"/>
  <c r="F4" i="30"/>
  <c r="F3" i="30"/>
  <c r="F6" i="30"/>
  <c r="F7" i="30"/>
  <c r="G8" i="30"/>
  <c r="G5" i="30"/>
  <c r="G4" i="30"/>
  <c r="G3" i="30"/>
  <c r="G6" i="30"/>
  <c r="G7" i="30"/>
  <c r="D5" i="30"/>
  <c r="D4" i="30"/>
  <c r="D3" i="30"/>
  <c r="D6" i="30"/>
  <c r="D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M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3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4" xr16:uid="{80FE2552-31D9-4ED7-AA13-128037E31F67}" keepAlive="1" name="Query - BOCOM_DEAL" description="Connection to the 'BOCOM_DEAL' query in the workbook." type="5" refreshedVersion="6" background="1" saveData="1">
    <dbPr connection="Provider=Microsoft.Mashup.OleDb.1;Data Source=$Workbook$;Location=BOCOM_DEAL;Extended Properties=&quot;&quot;" command="SELECT * FROM [BOCOM_DEAL]"/>
  </connection>
  <connection id="5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6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7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8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9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0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1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2" xr16:uid="{0AF1C12F-6409-4D40-8000-EA1EAF0A94F1}" keepAlive="1" name="Query - ColNow_mDMI" description="Connection to the 'ColNow_mDMI' query in the workbook." type="5" refreshedVersion="0" background="1">
    <dbPr connection="Provider=Microsoft.Mashup.OleDb.1;Data Source=$Workbook$;Location=ColNow_mDMI;Extended Properties=&quot;&quot;" command="SELECT * FROM [ColNow_mDMI]"/>
  </connection>
  <connection id="13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4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5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6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17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18" xr16:uid="{00000000-0015-0000-FFFF-FFFF2B000000}" keepAlive="1" name="Query - DiscoverPrice" description="Connection to the 'DiscoverPrice' query in the workbook." type="5" refreshedVersion="6" background="1" saveData="1">
    <dbPr connection="Provider=Microsoft.Mashup.OleDb.1;Data Source=$Workbook$;Location=DiscoverPrice;Extended Properties=&quot;&quot;" command="SELECT * FROM [DiscoverPrice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2" xr16:uid="{00000000-0015-0000-FFFF-FFFF0C000000}" keepAlive="1" name="Query - DMIFilters" description="Connection to the 'DMIFilters' query in the workbook." type="5" refreshedVersion="0" background="1">
    <dbPr connection="Provider=Microsoft.Mashup.OleDb.1;Data Source=$Workbook$;Location=DMIFilters;Extended Properties=&quot;&quot;" command="SELECT * FROM [DMIFilters]"/>
  </connection>
  <connection id="23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24" xr16:uid="{C3C1AEC2-FEE9-4A89-928B-FEC21EF44F9F}" keepAlive="1" name="Query - dmistats" description="Connection to the 'dmistats' query in the workbook." type="5" refreshedVersion="0" background="1" saveData="1">
    <dbPr connection="Provider=Microsoft.Mashup.OleDb.1;Data Source=$Workbook$;Location=dmistats;Extended Properties=&quot;&quot;" command="SELECT * FROM [dmistats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28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29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3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36" xr16:uid="{00000000-0015-0000-FFFF-FFFF14000000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3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3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1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2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43" xr16:uid="{00000000-0015-0000-FFFF-FFFF1A000000}" keepAlive="1" name="Query - fxCNSecName" description="Connection to the 'fxCNSecName' query in the workbook." type="5" refreshedVersion="0" background="1">
    <dbPr connection="Provider=Microsoft.Mashup.OleDb.1;Data Source=$Workbook$;Location=fxCNSecName;Extended Properties=&quot;&quot;" command="SELECT * FROM [fxCNSecName]"/>
  </connection>
  <connection id="44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45" xr16:uid="{D3527853-721E-4A51-B3A7-14652259259C}" keepAlive="1" name="Query - fxCountDelimeter" description="Connection to the 'fxCountDelimeter' query in the workbook." type="5" refreshedVersion="0" background="1">
    <dbPr connection="Provider=Microsoft.Mashup.OleDb.1;Data Source=$Workbook$;Location=fxCountDelimeter;Extended Properties=&quot;&quot;" command="SELECT * FROM [fxCountDelimeter]"/>
  </connection>
  <connection id="4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4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48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49" xr16:uid="{37291519-D44D-4941-B5BA-94033263FC34}" keepAlive="1" name="Query - fxDiscoverPrice" description="Connection to the 'fxDiscoverPrice' query in the workbook." type="5" refreshedVersion="0" background="1">
    <dbPr connection="Provider=Microsoft.Mashup.OleDb.1;Data Source=$Workbook$;Location=fxDiscoverPrice;Extended Properties=&quot;&quot;" command="SELECT * FROM [fxDiscoverPrice]"/>
  </connection>
  <connection id="50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1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2" xr16:uid="{B489F661-F60D-4F25-A3B3-43B02FA79E73}" keepAlive="1" name="Query - fxExchFilter" description="Connection to the 'fxExchFilter' query in the workbook." type="5" refreshedVersion="0" background="1">
    <dbPr connection="Provider=Microsoft.Mashup.OleDb.1;Data Source=$Workbook$;Location=fxExchFilter;Extended Properties=&quot;&quot;" command="SELECT * FROM [fxExchFilter]"/>
  </connection>
  <connection id="53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54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55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56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57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58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59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0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1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2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3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64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65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66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67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68" xr16:uid="{00000000-0015-0000-FFFF-FFFF1F000000}" keepAlive="1" name="Query - fxProjectNamer" description="Connection to the 'fxProjectNamer' query in the workbook." type="5" refreshedVersion="0" background="1">
    <dbPr connection="Provider=Microsoft.Mashup.OleDb.1;Data Source=$Workbook$;Location=fxProjectNamer;Extended Properties=&quot;&quot;" command="SELECT * FROM [fxProjectNamer]"/>
  </connection>
  <connection id="69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0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1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2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3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4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75" xr16:uid="{23C855AD-E4B0-4C68-B306-AE6BED1B3368}" keepAlive="1" name="Query - fxSNCredit" description="Connection to the 'fxSNCredit' query in the workbook." type="5" refreshedVersion="0" background="1">
    <dbPr connection="Provider=Microsoft.Mashup.OleDb.1;Data Source=$Workbook$;Location=fxSNCredit;Extended Properties=&quot;&quot;" command="SELECT * FROM [fxSNCredit]"/>
  </connection>
  <connection id="76" xr16:uid="{2E795B6C-9702-49CA-B1CD-DD39A0CF0CE4}" keepAlive="1" name="Query - fxSNSBLC" description="Connection to the 'fxSNSBLC' query in the workbook." type="5" refreshedVersion="0" background="1">
    <dbPr connection="Provider=Microsoft.Mashup.OleDb.1;Data Source=$Workbook$;Location=fxSNSBLC;Extended Properties=&quot;&quot;" command="SELECT * FROM [fxSNSBLC]"/>
  </connection>
  <connection id="77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8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79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0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1" xr16:uid="{00000000-0015-0000-FFFF-FFFF23000000}" keepAlive="1" name="Query - fxTrancher" description="Connection to the 'fxTrancher' query in the workbook." type="5" refreshedVersion="0" background="1">
    <dbPr connection="Provider=Microsoft.Mashup.OleDb.1;Data Source=$Workbook$;Location=fxTrancher;Extended Properties=&quot;&quot;" command="SELECT * FROM [fxTrancher]"/>
  </connection>
  <connection id="82" xr16:uid="{00000000-0015-0000-FFFF-FFFF24000000}" keepAlive="1" name="Query - fxValidator" description="Connection to the 'fxValidator' query in the workbook." type="5" refreshedVersion="0" background="1">
    <dbPr connection="Provider=Microsoft.Mashup.OleDb.1;Data Source=$Workbook$;Location=fxValidator;Extended Properties=&quot;&quot;" command="SELECT * FROM [fxValidator]"/>
  </connection>
  <connection id="83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84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5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86" xr16:uid="{00000000-0015-0000-FFFF-FFFF28000000}" keepAlive="1" name="Query - headers_review" description="Connection to the 'headers_review' query in the workbook." type="5" refreshedVersion="6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87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88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89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0" xr16:uid="{CCF5AEA9-4876-4713-9EE0-D7F0D0E127ED}" keepAlive="1" name="Query - LaunchDownload" description="Connection to the 'LaunchDownload' query in the workbook." type="5" refreshedVersion="0" background="1" saveData="1">
    <dbPr connection="Provider=Microsoft.Mashup.OleDb.1;Data Source=$Workbook$;Location=LaunchDownload;Extended Properties=&quot;&quot;" command="SELECT * FROM [LaunchDownload]"/>
    <extLst>
      <ext xmlns:x15="http://schemas.microsoft.com/office/spreadsheetml/2010/11/main" uri="{DE250136-89BD-433C-8126-D09CA5730AF9}">
        <x15:connection id="" excludeFromRefreshAll="1"/>
      </ext>
    </extLst>
  </connection>
  <connection id="91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2" xr16:uid="{00000000-0015-0000-FFFF-FFFF30000000}" keepAlive="1" name="Query - mCreditNames" description="Connection to the 'mCreditNames' query in the workbook." type="5" refreshedVersion="0" background="1">
    <dbPr connection="Provider=Microsoft.Mashup.OleDb.1;Data Source=$Workbook$;Location=mCreditNames;Extended Properties=&quot;&quot;" command="SELECT * FROM [mCreditNames]"/>
  </connection>
  <connection id="93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4" xr16:uid="{DE6CD2C6-01DD-4C16-ACE4-D69FFA2ADFAE}" keepAlive="1" name="Query - NameCo" description="Connection to the 'NameCo' query in the workbook." type="5" refreshedVersion="6" background="1" saveData="1">
    <dbPr connection="Provider=Microsoft.Mashup.OleDb.1;Data Source=$Workbook$;Location=NameCo;Extended Properties=&quot;&quot;" command="SELECT * FROM [NameCo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72EC8C20-40C7-466B-8F20-7CAEAE24D846}" keepAlive="1" name="Query - P_DefaultedEntity" description="Connection to the 'P_DefaultedEntity' query in the workbook." type="5" refreshedVersion="0" background="1" saveData="1">
    <dbPr connection="Provider=Microsoft.Mashup.OleDb.1;Data Source=$Workbook$;Location=P_DefaultedEntity;Extended Properties=&quot;&quot;" command="SELECT * FROM [P_DefaultedEntity]"/>
    <extLst>
      <ext xmlns:x15="http://schemas.microsoft.com/office/spreadsheetml/2010/11/main" uri="{DE250136-89BD-433C-8126-D09CA5730AF9}">
        <x15:connection id="" excludeFromRefreshAll="1"/>
      </ext>
    </extLst>
  </connection>
  <connection id="96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97" xr16:uid="{1BDF5794-999D-4820-9D8F-42590D7C7106}" keepAlive="1" name="Query - postreview(1)" description="Connection to the 'postreview' query in the workbook." type="5" refreshedVersion="6" background="1" saveData="1">
    <dbPr connection="Provider=Microsoft.Mashup.OleDb.1;Data Source=$Workbook$;Location=postreview;Extended Properties=&quot;&quot;" command="SELECT * FROM [postreview]"/>
  </connection>
  <connection id="98" xr16:uid="{D36D6443-03D4-4272-B842-9D0BD4D781FA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99" xr16:uid="{2CEDF875-0920-42D5-ACCC-A3888D29C72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100" xr16:uid="{24FB9EA4-7F06-4E6C-B36B-3725CA5C4173}" keepAlive="1" name="Query - Query3" description="Connection to the 'Query3' query in the workbook." type="5" refreshedVersion="0" background="1" saveData="1">
    <dbPr connection="Provider=Microsoft.Mashup.OleDb.1;Data Source=$Workbook$;Location=Query3;Extended Properties=&quot;&quot;" command="SELECT * FROM [Query3]"/>
  </connection>
  <connection id="101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2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3" xr16:uid="{00000000-0015-0000-FFFF-FFFF35000000}" keepAlive="1" name="Query - review_BISL" description="Connection to the 'review_BISL' query in the workbook." type="5" refreshedVersion="6" background="1" saveData="1">
    <dbPr connection="Provider=Microsoft.Mashup.OleDb.1;Data Source=$Workbook$;Location=review_BISL;Extended Properties=&quot;&quot;" command="SELECT * FROM [review_BISL]"/>
  </connection>
  <connection id="104" xr16:uid="{00000000-0015-0000-FFFF-FFFF36000000}" keepAlive="1" name="Query - review_shortname" description="Connection to the 'review_shortname' query in the workbook." type="5" refreshedVersion="6" background="1" saveData="1">
    <dbPr connection="Provider=Microsoft.Mashup.OleDb.1;Data Source=$Workbook$;Location=review_shortname;Extended Properties=&quot;&quot;" command="SELECT * FROM [review_shortname]"/>
  </connection>
  <connection id="105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6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7" xr16:uid="{75C72594-EF79-4C48-B338-2776CCBA5C6D}" keepAlive="1" name="Query - SmartWriter" description="Connection to the 'SmartWriter' query in the workbook." type="5" refreshedVersion="0" background="1">
    <dbPr connection="Provider=Microsoft.Mashup.OleDb.1;Data Source=$Workbook$;Location=SmartWriter;Extended Properties=&quot;&quot;" command="SELECT * FROM [SmartWriter]"/>
  </connection>
  <connection id="108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09" xr16:uid="{64BB5515-6BB1-4128-B7AD-00724FC14FFD}" keepAlive="1" name="Query - tbl_updator" description="Connection to the 'tbl_updator' query in the workbook." type="5" refreshedVersion="6" background="1" saveData="1">
    <dbPr connection="Provider=Microsoft.Mashup.OleDb.1;Data Source=$Workbook$;Location=tbl_updator;Extended Properties=&quot;&quot;" command="SELECT * FROM [tbl_updator]"/>
  </connection>
  <connection id="110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1" xr16:uid="{00000000-0015-0000-FFFF-FFFF2E000000}" keepAlive="1" name="Query - Validate" description="Connection to the 'Validate' query in the workbook." type="5" refreshedVersion="6" background="1" saveData="1">
    <dbPr connection="Provider=Microsoft.Mashup.OleDb.1;Data Source=$Workbook$;Location=Validate;Extended Properties=&quot;&quot;" command="SELECT * FROM [Validate]"/>
    <extLst>
      <ext xmlns:x15="http://schemas.microsoft.com/office/spreadsheetml/2010/11/main" uri="{DE250136-89BD-433C-8126-D09CA5730AF9}">
        <x15:connection id="" excludeFromRefreshAll="1"/>
      </ext>
    </extLst>
  </connection>
  <connection id="112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3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4" xr16:uid="{87E2E6BF-1E97-4F0D-8D48-5C22F420A132}" keepAlive="1" name="Query - WeeklyFIMTN" description="Connection to the 'WeeklyFIMTN' query in the workbook." type="5" refreshedVersion="6" background="1" saveData="1">
    <dbPr connection="Provider=Microsoft.Mashup.OleDb.1;Data Source=$Workbook$;Location=WeeklyFIMTN;Extended Properties=&quot;&quot;" command="SELECT * FROM [WeeklyFIMTN]"/>
    <extLst>
      <ext xmlns:x15="http://schemas.microsoft.com/office/spreadsheetml/2010/11/main" uri="{DE250136-89BD-433C-8126-D09CA5730AF9}">
        <x15:connection id="" excludeFromRefreshAll="1"/>
      </ext>
    </extLst>
  </connection>
  <connection id="115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</connection>
  <connection id="116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</connection>
  <connection id="117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</connection>
  <connection id="118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</connection>
  <connection id="119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</connection>
  <connection id="120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2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3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4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25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26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27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28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<sst xmlns="http://schemas.openxmlformats.org/spreadsheetml/2006/main" count="4071" uniqueCount="794">
  <si>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</si>
  <si>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</si>
  <si>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</si>
  <si>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</si>
  <si>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</si>
  <si>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</si>
  <si>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</si>
  <si>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</si>
  <si>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</si>
  <si>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</si>
  <si>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</si>
  <si>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</si>
  <si>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</si>
  <si>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</si>
  <si>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</si>
  <si>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</si>
  <si>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</si>
  <si>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</si>
  <si>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</si>
  <si>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</si>
  <si>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</si>
  <si>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</si>
  <si>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</si>
  <si>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</si>
  <si>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</si>
  <si>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</si>
  <si>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</si>
  <si>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</si>
  <si>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</si>
  <si>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</si>
  <si>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</si>
  <si>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</si>
  <si>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</si>
  <si>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</si>
  <si>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</si>
  <si>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</si>
  <si>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</si>
  <si>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明珠债</t>
  </si>
  <si>
    <t>绿债</t>
  </si>
  <si>
    <t>可持续债</t>
  </si>
  <si>
    <t>绿色明珠债</t>
  </si>
  <si>
    <t>资本工具</t>
  </si>
  <si>
    <t>可持续挂钩债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</si>
  <si>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</si>
  <si>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</si>
  <si>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</si>
  <si>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</si>
  <si>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</si>
  <si>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</si>
  <si>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</si>
  <si>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</si>
  <si>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</si>
  <si>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</si>
  <si>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</si>
  <si>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</si>
  <si>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</si>
  <si>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</si>
  <si>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</si>
  <si>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</si>
  <si>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发行票面利率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</si>
  <si>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</si>
  <si>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</si>
  <si>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</si>
  <si>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</si>
  <si>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</si>
  <si>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</si>
  <si>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</si>
  <si>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</si>
  <si>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</si>
  <si>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</si>
  <si>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</si>
  <si>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</si>
  <si>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</si>
  <si>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</si>
  <si>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</si>
  <si>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</si>
  <si>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</si>
  <si>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</si>
  <si>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</si>
  <si>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</si>
  <si>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</si>
  <si>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</si>
  <si>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</si>
  <si>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</si>
  <si>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</si>
  <si>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</si>
  <si>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</si>
  <si>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</si>
  <si>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</si>
  <si>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</si>
  <si>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</si>
  <si>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</si>
  <si>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</si>
  <si>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</si>
  <si>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</si>
  <si>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</si>
  <si>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</si>
  <si>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</si>
  <si>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</si>
  <si>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</si>
  <si>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SGX</t>
  </si>
  <si>
    <t>MOX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</si>
  <si>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</si>
  <si>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</si>
  <si>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</si>
  <si>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</si>
  <si>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</si>
  <si>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</si>
  <si>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</si>
  <si>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</si>
  <si>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</si>
  <si>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</si>
  <si>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</si>
  <si>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</si>
  <si>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</si>
  <si>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</si>
  <si>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</si>
  <si>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</si>
  <si>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</si>
  <si>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</si>
  <si>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</si>
  <si>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</si>
  <si>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可持续明珠债</t>
  </si>
  <si>
    <t>HKEX</t>
  </si>
  <si>
    <t>EUR</t>
  </si>
  <si>
    <t>HKEX;MOX</t>
  </si>
  <si>
    <t>SGX;MOX</t>
  </si>
  <si>
    <t>红筹架构</t>
  </si>
  <si>
    <t>备证</t>
  </si>
  <si>
    <t>备证+担保</t>
  </si>
  <si>
    <t>备证+维好</t>
  </si>
  <si>
    <t>备证+担保+维好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</si>
  <si>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</si>
  <si>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</si>
  <si>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</si>
  <si>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</si>
  <si>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</si>
  <si>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</si>
  <si>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</si>
  <si>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</si>
  <si>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</si>
  <si>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</si>
  <si>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</si>
  <si>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</si>
  <si>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</si>
  <si>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</si>
  <si>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</si>
  <si>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</si>
  <si>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</si>
  <si>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</si>
  <si>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</si>
  <si>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</si>
  <si>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</si>
  <si>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</si>
  <si>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</si>
  <si>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</si>
  <si>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</si>
  <si>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</si>
  <si>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</si>
  <si>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</si>
  <si>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</si>
  <si>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</si>
  <si>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</si>
  <si>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</si>
  <si>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</si>
  <si>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</si>
  <si>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</si>
  <si>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</si>
  <si>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</si>
  <si>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青海</t>
  </si>
  <si>
    <t>香港</t>
  </si>
  <si>
    <t>补充OMAS updates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</si>
  <si>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</si>
  <si>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</si>
  <si>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</si>
  <si>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</si>
  <si>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</si>
  <si>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</si>
  <si>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</si>
  <si>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</si>
  <si>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</si>
  <si>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其他交银_ROLE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</si>
  <si>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</si>
  <si>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</si>
  <si>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</si>
  <si>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</si>
  <si>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</si>
  <si>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</si>
  <si>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</si>
  <si>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</si>
  <si>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</si>
  <si>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</si>
  <si>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</si>
  <si>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</si>
  <si>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</si>
  <si>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</si>
  <si>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</si>
  <si>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</si>
  <si>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</si>
  <si>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</si>
  <si>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</si>
  <si>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</si>
  <si>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</si>
  <si>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</si>
  <si>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</si>
  <si>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</si>
  <si>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</si>
  <si>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</si>
  <si>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</si>
  <si>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</si>
  <si>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</si>
  <si>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</si>
  <si>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</si>
  <si>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</si>
  <si>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</si>
  <si>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</si>
  <si>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</si>
  <si>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</si>
  <si>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</si>
  <si>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Global Advisor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</si>
  <si>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</si>
  <si>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</si>
  <si>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</si>
  <si>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</si>
  <si>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</si>
  <si>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</si>
  <si>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</si>
  <si>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</si>
  <si>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</si>
  <si>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</si>
  <si>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</si>
  <si>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</si>
  <si>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</si>
  <si>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</si>
  <si>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</si>
  <si>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</si>
  <si>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</si>
  <si>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</si>
  <si>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</si>
  <si>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</si>
  <si>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</si>
  <si>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</si>
  <si>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</si>
  <si>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</si>
  <si>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</si>
  <si>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</si>
  <si>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</si>
  <si>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</si>
  <si>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</si>
  <si>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</si>
  <si>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美元债</t>
  </si>
  <si>
    <t>1-3年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</si>
  <si>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</si>
  <si>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</si>
  <si>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</si>
  <si>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</si>
  <si>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</si>
  <si>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</si>
  <si>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</si>
  <si>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</si>
  <si>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</si>
  <si>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</si>
  <si>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</si>
  <si>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</si>
  <si>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</si>
  <si>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</si>
  <si>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七月</t>
  </si>
  <si>
    <t>BISL,港分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</si>
  <si>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</si>
  <si>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</si>
  <si>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</si>
  <si>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</si>
  <si>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</si>
  <si>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</si>
  <si>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</si>
  <si>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</si>
  <si>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</si>
  <si>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</si>
  <si>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BISL,港分Global Advisor*</t>
  </si>
  <si>
    <t>港分,澳分</t>
  </si>
  <si>
    <t>港分</t>
  </si>
  <si>
    <t>澳分</t>
  </si>
  <si>
    <t>交行参与投资未承销*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</si>
  <si>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</si>
  <si>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</si>
  <si>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</si>
  <si>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</si>
  <si>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</si>
  <si>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</si>
  <si>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</si>
  <si>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基础建设</t>
  </si>
  <si>
    <t>广东省</t>
  </si>
  <si>
    <t>AA</t>
  </si>
  <si>
    <t>八月</t>
  </si>
  <si>
    <t>点心债</t>
  </si>
  <si>
    <t>英文简称</t>
  </si>
  <si>
    <t>发行架构</t>
  </si>
  <si>
    <t>3.01Y</t>
  </si>
  <si>
    <t>A1/A</t>
  </si>
  <si>
    <t>AA+</t>
  </si>
  <si>
    <t>EC</t>
  </si>
  <si>
    <t>欧元区七月</t>
  </si>
  <si>
    <t>二季度</t>
  </si>
  <si>
    <t>ECCPEMUM Index</t>
  </si>
  <si>
    <t>核心CPI同比</t>
  </si>
  <si>
    <t>CPEXEMUY Index</t>
  </si>
  <si>
    <t>AUG</t>
  </si>
  <si>
    <t>欧元区八月</t>
  </si>
  <si>
    <t>Green</t>
  </si>
  <si>
    <t>发行及交存代理*</t>
  </si>
  <si>
    <t>发行人注册地</t>
  </si>
  <si>
    <t>浮息息差</t>
  </si>
  <si>
    <t>债项BBG</t>
  </si>
  <si>
    <t>主体BBG</t>
  </si>
  <si>
    <t>DMI</t>
  </si>
  <si>
    <t>BBGCorp</t>
  </si>
  <si>
    <t>债券名称</t>
  </si>
  <si>
    <t>初始发行价</t>
  </si>
  <si>
    <t>首日表现</t>
  </si>
  <si>
    <t>最终订单量/峰值订单（亿美元）</t>
  </si>
  <si>
    <t>WSTIPT</t>
  </si>
  <si>
    <t>WSTFPT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</si>
  <si>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</si>
  <si>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</si>
  <si>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</si>
  <si>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</si>
  <si>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</si>
  <si>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</si>
  <si>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</si>
  <si>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</si>
  <si>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</si>
  <si>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HK</t>
  </si>
  <si>
    <t>CN</t>
  </si>
  <si>
    <t>中信建投(国际)金融控股有限公司</t>
  </si>
  <si>
    <t>0.9945</t>
  </si>
  <si>
    <t>Unsecured</t>
  </si>
  <si>
    <t>北京市</t>
  </si>
  <si>
    <t>China Securities (International) Brokerage Company Limited</t>
  </si>
  <si>
    <t>多元金融</t>
  </si>
  <si>
    <t>CSCIF</t>
  </si>
  <si>
    <t>CHINA SECURITIES INTERNATIONAL INVESTMENT CO LTD</t>
  </si>
  <si>
    <t>中华（澳门）金融资产交易股份有限公司</t>
  </si>
  <si>
    <t>江苏省</t>
  </si>
  <si>
    <t>上海市</t>
  </si>
  <si>
    <t>浦东新区</t>
  </si>
  <si>
    <t>M3</t>
  </si>
  <si>
    <t>浮动利率</t>
  </si>
  <si>
    <t>西城区</t>
  </si>
  <si>
    <t>银行</t>
  </si>
  <si>
    <t>中央国有企业</t>
  </si>
  <si>
    <t>中国银行股份有限公司</t>
  </si>
  <si>
    <t>稳定/稳定</t>
  </si>
  <si>
    <t>BCHINA</t>
  </si>
  <si>
    <t>≤1年</t>
  </si>
  <si>
    <t>FRN</t>
  </si>
  <si>
    <t>澳交所</t>
  </si>
  <si>
    <t>VG</t>
  </si>
  <si>
    <t>8%</t>
  </si>
  <si>
    <t>山东省</t>
  </si>
  <si>
    <t>控制权变更回售@101%</t>
  </si>
  <si>
    <t>CH</t>
  </si>
  <si>
    <t>JUL</t>
  </si>
  <si>
    <t>US</t>
  </si>
  <si>
    <t>周度首次申领失业救济人数</t>
  </si>
  <si>
    <t>240k</t>
  </si>
  <si>
    <t>239k</t>
  </si>
  <si>
    <t>INJCJC Index</t>
  </si>
  <si>
    <t>美国</t>
  </si>
  <si>
    <t>美国周度首次申领失业救济人数</t>
  </si>
  <si>
    <t>美国七月</t>
  </si>
  <si>
    <t>周度MBA抵押贷款申请指数环比</t>
  </si>
  <si>
    <t>MBAVCHNG Index</t>
  </si>
  <si>
    <t>美国周度MBA抵押贷款申请指数环比</t>
  </si>
  <si>
    <t>美国八月</t>
  </si>
  <si>
    <t>HCOB欧元区制造业PMI</t>
  </si>
  <si>
    <t>AUG P</t>
  </si>
  <si>
    <t>MPMIEZMA Index</t>
  </si>
  <si>
    <t>八月HCOB欧元区制造业PMI</t>
  </si>
  <si>
    <t>HCOB欧元区综合PMI</t>
  </si>
  <si>
    <t>MPMIEZCA Index</t>
  </si>
  <si>
    <t>八月HCOB欧元区综合PMI</t>
  </si>
  <si>
    <t>HCOB欧元区服务业PMI</t>
  </si>
  <si>
    <t>MPMIEZSA Index</t>
  </si>
  <si>
    <t>八月HCOB欧元区服务业PMI</t>
  </si>
  <si>
    <t>消费者信心指数</t>
  </si>
  <si>
    <t>EUCCEMU Index</t>
  </si>
  <si>
    <t>欧元区八月消费者信心指数</t>
  </si>
  <si>
    <t>8/1/2019</t>
  </si>
  <si>
    <t>密歇根大学消费者信心指数</t>
  </si>
  <si>
    <t>AUG F</t>
  </si>
  <si>
    <t>CONSSENT Index</t>
  </si>
  <si>
    <t>美国八月密歇根大学消费者信心指数</t>
  </si>
  <si>
    <t>耐用品订单环比</t>
  </si>
  <si>
    <t>JUL P</t>
  </si>
  <si>
    <t>DGNOCHNG Index</t>
  </si>
  <si>
    <t>美国七月耐用品订单环比</t>
  </si>
  <si>
    <t>8/1/2018</t>
  </si>
  <si>
    <t>标普全球-美国制造业PMI</t>
  </si>
  <si>
    <t>MPMIUSMA Index</t>
  </si>
  <si>
    <t>八月标普全球-美国制造业PMI</t>
  </si>
  <si>
    <t>新建住宅销量年率</t>
  </si>
  <si>
    <t>697k</t>
  </si>
  <si>
    <t>NHSLTOT Index</t>
  </si>
  <si>
    <t>美国七月新建住宅销量年率</t>
  </si>
  <si>
    <t>二手房销量年率</t>
  </si>
  <si>
    <t>4.15m</t>
  </si>
  <si>
    <t>4.16m</t>
  </si>
  <si>
    <t>ETSLTOTL Index</t>
  </si>
  <si>
    <t>美国七月二手房销量年率</t>
  </si>
  <si>
    <t>增发</t>
  </si>
  <si>
    <t xml:space="preserve"> 未检测到DMI列名有更改</t>
  </si>
  <si>
    <t>未检测到DMI有新增列</t>
  </si>
  <si>
    <t>Health Checker</t>
  </si>
  <si>
    <t>DMI列名更改</t>
  </si>
  <si>
    <t>DMI新增列</t>
  </si>
  <si>
    <t>hardcode3 AE4:AT40
Autocopy: AE4</t>
  </si>
  <si>
    <t>hardcode4 AW4:AZ40
Autocopy: AW4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</si>
  <si>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</si>
  <si>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</si>
  <si>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</si>
  <si>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</si>
  <si>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</si>
  <si>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</si>
  <si>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</si>
  <si>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</si>
  <si>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Qianjiang IV</t>
  </si>
  <si>
    <t>XS2661086483</t>
  </si>
  <si>
    <t>杭州上城区城市建设综合开发有限公司</t>
  </si>
  <si>
    <t>Nengda II</t>
  </si>
  <si>
    <t>XS2668376747</t>
  </si>
  <si>
    <t>无锡能达热电有限公司</t>
  </si>
  <si>
    <t>Beryl</t>
  </si>
  <si>
    <t>XS2673392796</t>
  </si>
  <si>
    <t xml:space="preserve">交通银行股份有限公司香港分行 </t>
  </si>
  <si>
    <t>孝感市高创投资有限公司</t>
  </si>
  <si>
    <t>XGANGA 4.8 08/30/26</t>
  </si>
  <si>
    <t>HK0000946498</t>
  </si>
  <si>
    <t>孝感市高创投资 4.8 2026-08-30</t>
  </si>
  <si>
    <t>4.80%</t>
  </si>
  <si>
    <t>恒丰银行股份有限公司武汉分行</t>
  </si>
  <si>
    <t>湖北省</t>
  </si>
  <si>
    <t>孝感市</t>
  </si>
  <si>
    <t>孝感高新技术产业开发区</t>
  </si>
  <si>
    <t>TFI Securities and Futures Limited;CNCB (Hong Kong) Capital Limited;Huatai Financial Holdings (Hong Kong) Limited;CEB International Capital Corporation Limited;China CITIC Bank International Limited</t>
  </si>
  <si>
    <t>用于项目建设</t>
  </si>
  <si>
    <t>XGANGA</t>
  </si>
  <si>
    <t>Shanghai Pudong Development Bank Hong Kong Branch;CLSA Securities Limited;CMBC Securities Company Limited;Haitong International Securities Company Limited;China Industrial Securities International Brokerage Limited</t>
  </si>
  <si>
    <t>TFI Securities and Futures Limited;CNCB (Hong Kong) Capital Limited;Huatai Financial Holdings (Hong Kong) Limited;CEB International Capital Corporation Limited;China CITIC Bank International Limited;Shanghai Pudong Development Bank Hong Kong Branch;CLSA Securities Limited;CMBC Securities Company Limited;Haitong International Securities Company Limited;China Industrial Securities International Brokerage Limited</t>
  </si>
  <si>
    <t>230824HK0000946498</t>
  </si>
  <si>
    <t>武汉葛化集团有限公司</t>
  </si>
  <si>
    <t>WHGHJT 5 08/31/26</t>
  </si>
  <si>
    <t>HK0000946589</t>
  </si>
  <si>
    <t>武汉葛化集团有限公司 5 2026-08-31</t>
  </si>
  <si>
    <t>5.0%</t>
  </si>
  <si>
    <t>湖北银行股份有限公司</t>
  </si>
  <si>
    <t>武汉市</t>
  </si>
  <si>
    <t>China International Capital Corporation Hong Kong Securities Limited;Guolian Securities International Capital Co., Limited</t>
  </si>
  <si>
    <t>贸易</t>
  </si>
  <si>
    <t>为发行人的项目提供资金，并补充发行人的营运资金</t>
  </si>
  <si>
    <t>WHGHJT</t>
  </si>
  <si>
    <t>Shenwan Hongyuan Securities (H.K.) Limited;TFI Securities and Futures Limited;China Industrial Securities International Brokerage Limited;Hua Xia Bank Co., Limited Hong Kong Branch;Industrial Bank Co., Ltd. Hong Kong Branch;Luso International Banking Ltd;China CITIC Bank International Limited;SunRiver International Securities Group Limited;Dingxin (Securities) Limited;China Securities (International) Corporate Finance Company Limited</t>
  </si>
  <si>
    <t>Shenwan Hongyuan Securities (H.K.) Limited;Guolian Securities International Capital Co., Limited;TFI Securities and Futures Limited;Hua Xia Bank Co., Limited Hong Kong Branch;Industrial Bank Co., Ltd. Hong Kong Branch;Luso International Banking Ltd;China International Capital Corporation Hong Kong Securities Limited;China CITIC Bank International Limited;SunRiver International Securities Group Limited;Dingxin (Securities) Limited;China Industrial Securities International Brokerage Limited;China Securities (International) Corporate Finance Company Limited</t>
  </si>
  <si>
    <t>230824HK0000946589</t>
  </si>
  <si>
    <t>濮阳投资集团有限公司</t>
  </si>
  <si>
    <t>PYCICO 7.2 08/28/26</t>
  </si>
  <si>
    <t>XS2666816587</t>
  </si>
  <si>
    <t>濮阳投资集团 7.2 2026-08-28</t>
  </si>
  <si>
    <t>香港交易所</t>
  </si>
  <si>
    <t>河南省</t>
  </si>
  <si>
    <t>濮阳市</t>
  </si>
  <si>
    <t>China Zheshang Bank Co Ltd/Hong Kong;Haitong International Securities Company Limited;Haitong Bank, Macau Branch;Huatai International Finance Ltd</t>
  </si>
  <si>
    <t>房屋建设</t>
  </si>
  <si>
    <t>PYCICO</t>
  </si>
  <si>
    <t>Huatai International Finance Ltd;China Zheshang Bank Co Ltd/Hong Kong;Haitong International Securities Company Limited;Haitong Bank, Macau Branch</t>
  </si>
  <si>
    <t>230824XS2666816587</t>
  </si>
  <si>
    <t>交通银行股份有限公司</t>
  </si>
  <si>
    <t>BOCOM FLOAT 08/30/26</t>
  </si>
  <si>
    <t>交通银行 FLOAT 2026-08-30</t>
  </si>
  <si>
    <t>A2/A-</t>
  </si>
  <si>
    <t>SOFRCOMPOUNDEDINDEX+105BPAREA</t>
  </si>
  <si>
    <t>SOFRCOMPOUNDEDINDEX+60BP</t>
  </si>
  <si>
    <t>Bank of Communications Co., Ltd. Hong Kong Branch;Crédit Agricole Corporate and Investment Bank;The Hongkong and Shanghai Banking Corporation Limited</t>
  </si>
  <si>
    <t>为框架中定义的合格绿色资产/项目提供融资和/或再融资</t>
  </si>
  <si>
    <t>BOCOM</t>
  </si>
  <si>
    <t>SOFR COMPOUNDED INDEX + 60BP</t>
  </si>
  <si>
    <t>BANK OF COMMUNICATIONS CO., LTD. HONG KONG BRANCH</t>
  </si>
  <si>
    <t>SOFR Compounded Index + 60bp</t>
  </si>
  <si>
    <t>China Construction Bank Corporation, Singapore Branch;Bank of China Limited;China Everbright Bank Co., Ltd Hong Kong Branch;China Galaxy International Securities (Hong Kong) Company Limited;CLSA Securities Limited;CMB International Capital Limited;Agricultural Bank of China Limited Macau Branch;Industrial and Commercial Bank of China Limited, Dubai (DIFC) Branch;Industrial Bank Co., Ltd. Hong Kong Branch;BOCOM International Securities Limited;China Construction Bank (Asia) Corporation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Limited;China International Capital Corporation Hong Kong Securities Limited;Huaxia Bank Co Ltd/Hong Kong</t>
  </si>
  <si>
    <t>China Construction Bank Corporation, Singapore Branch;Bank of China Limited;China Everbright Bank Co., Ltd Hong Kong Branch;China Galaxy International Securities (Hong Kong) Company Limited;Huaxia Bank Co Ltd/Hong Kong;Crédit Agricole Corporate and Investment Bank;CLSA Securities Limited;CMB International Capital Limited;Agricultural Bank of China Limited Macau Branch;Industrial and Commercial Bank of China Limited, Dubai (DIFC) Branch;Industrial Bank Co., Ltd. Hong Kong Branch;Bank of Communications Co., Ltd. Hong Kong Branch;The Hongkong and Shanghai Banking Corporation Limited;BOCOM International Securities Limited;China Construction Bank (Asia) Corporation Limited;China International Capital Corporation Hong Kong Securities Limited;China CITIC Bank International Limited;Huatai Financial Holdings (Hong Kong) Limited;Industrial and Commercial Bank of China (Asia) Limited;Guotai Junan Securities (Hong Kong) Limited;Agricultural Bank of China Limited Hong Kong Branch;CMB Wing Lung Bank Limited;Bank of China (Hong Kong) Limited</t>
  </si>
  <si>
    <t>230823XS2673392796</t>
  </si>
  <si>
    <t>CSCIF 2.4 10/31/23</t>
  </si>
  <si>
    <t>XS2673837741</t>
  </si>
  <si>
    <t>中信建投国际 2.4 2023-10-31</t>
  </si>
  <si>
    <t>0.1699</t>
  </si>
  <si>
    <t>230822XS2673837741</t>
  </si>
  <si>
    <t>YUNLIN 1.6 08/25/26</t>
  </si>
  <si>
    <t>无锡能达热电 1.6 2026-08-25</t>
  </si>
  <si>
    <t>JPY</t>
  </si>
  <si>
    <t>1.8%区域</t>
  </si>
  <si>
    <t>SBLC+担保</t>
  </si>
  <si>
    <t>上海银行股份有限公司南京分行</t>
  </si>
  <si>
    <t>无锡市</t>
  </si>
  <si>
    <t>AMC Wanhai Securities Limited;China Galaxy International Securities (Hong Kong) Company Limited;BOCOM International Securities Limited;ICBC International Securities Limited;BOSC International Company Limited</t>
  </si>
  <si>
    <t>电力</t>
  </si>
  <si>
    <t>3.0Y</t>
  </si>
  <si>
    <t>用于发展业务</t>
  </si>
  <si>
    <t>YUNLIN</t>
  </si>
  <si>
    <t>香港云林国际有限公司</t>
  </si>
  <si>
    <t>1.6%</t>
  </si>
  <si>
    <t>Shenwan Hongyuan Securities (H.K.) Limited;Industrial Bank Co., Ltd. Hong Kong Branch;Hua Xia Bank Co., Limited Hong Kong Branch;CCB International Capital Limited;China Zheshang Bank Co., Ltd. Hong Kong Branch;CLSA Securities Limited;Hongkong Huisun Securities International Limited</t>
  </si>
  <si>
    <t>Shenwan Hongyuan Securities (H.K.) Limited;Industrial Bank Co., Ltd. Hong Kong Branch;Hua Xia Bank Co., Limited Hong Kong Branch;Hongkong Huisun Securities International Limited;BOCOM International Securities Limited;AMC Wanhai Securities Limited;CCB International Capital Limited;China Zheshang Bank Co., Ltd. Hong Kong Branch;ICBC International Securities Limited;China Galaxy International Securities (Hong Kong) Company Limited;CLSA Securities Limited;BOSC International Company Limited</t>
  </si>
  <si>
    <t>230822XS2668376747</t>
  </si>
  <si>
    <t>ZHEBAR 5.85 08/25/26</t>
  </si>
  <si>
    <t>杭州上城区城市建设综合开发有限公司 5.85 2026-08-25</t>
  </si>
  <si>
    <t>6.25%区域</t>
  </si>
  <si>
    <t>5.85%</t>
  </si>
  <si>
    <t>浙江省</t>
  </si>
  <si>
    <t>杭州市</t>
  </si>
  <si>
    <t>上城区</t>
  </si>
  <si>
    <t>China International Capital Corporation Hong Kong Securities Limited;China Securities (International) Corporate Finance Company Limited;Luso International Banking Ltd</t>
  </si>
  <si>
    <t>按照绿色金融框架重新融资现有负债</t>
  </si>
  <si>
    <t>ZHEBAR</t>
  </si>
  <si>
    <t>ZHEJIANG BARON (BVI) COMPANY LIMITED</t>
  </si>
  <si>
    <t>Hua Xia Bank Co., Limited Hong Kong Branch;BOCOM International Securities Limited;CNCB (Hong Kong) Capital Limited;Huatai Financial Holdings (Hong Kong) Limited;Shanghai Pudong Development Bank Hong Kong Branch;Bank of China Limited, Singapore Branch;SPDB International Capital Limited;CMBC Securities Company Limited;China Industrial Securities International Brokerage Limited</t>
  </si>
  <si>
    <t>Hua Xia Bank Co., Limited Hong Kong Branch;Luso International Banking Ltd;BOCOM International Securities Limited;CNCB (Hong Kong) Capital Limited;China International Capital Corporation Hong Kong Securities Limited;Huatai Financial Holdings (Hong Kong) Limited;Shanghai Pudong Development Bank Hong Kong Branch;Bank of China Limited, Singapore Branch;SPDB International Capital Limited;CMBC Securities Company Limited;China Industrial Securities International Brokerage Limited;China Securities (International) Corporate Finance Company Limited</t>
  </si>
  <si>
    <t>230822XS2661086483</t>
  </si>
  <si>
    <t>BCHINA 3.2 08/24/26</t>
  </si>
  <si>
    <t>XS2672638686</t>
  </si>
  <si>
    <t>中国银行 3.2 2026-08-24</t>
  </si>
  <si>
    <t>Bank of China Limited</t>
  </si>
  <si>
    <t>BANK OF CHINA LTD/MACAU</t>
  </si>
  <si>
    <t>可赎回债</t>
  </si>
  <si>
    <t>230821XS2672638686</t>
  </si>
  <si>
    <t>山东省商业集团有限公司</t>
  </si>
  <si>
    <t>SHDCOM 8 08/24/26</t>
  </si>
  <si>
    <t>XS2648984396</t>
  </si>
  <si>
    <t>鲁商集团 8 2026-08-24</t>
  </si>
  <si>
    <t>8.2%区域</t>
  </si>
  <si>
    <t>8.0%</t>
  </si>
  <si>
    <t>济南市</t>
  </si>
  <si>
    <t>China Galaxy International Securities (Hong Kong) Company Limited;Shenwan Hongyuan Securities (H.K.) Limited;Zhongtai International Securities Limited</t>
  </si>
  <si>
    <t>一般零售</t>
  </si>
  <si>
    <t>为离岸债务再融资</t>
  </si>
  <si>
    <t>SHDCOM</t>
  </si>
  <si>
    <t>富源国际有限公司</t>
  </si>
  <si>
    <t>CMB International Capital Limited;CNCB (Hong Kong) Capital Limited;Guoyuan Securities Brokerage (Hong Kong) Limited;Huatai Financial Holdings (Hong Kong) Limited;China Shandong International Asset Management Limited;SunRiver International Securities Group Limited;SDG Securities (HK) Limited;Shanghai Pudong Development Bank Hong Kong Branch</t>
  </si>
  <si>
    <t>CMB International Capital Limited;Shenwan Hongyuan Securities (H.K.) Limited;CNCB (Hong Kong) Capital Limited;Guoyuan Securities Brokerage (Hong Kong) Limited;Huatai Financial Holdings (Hong Kong) Limited;China Galaxy International Securities (Hong Kong) Company Limited;Shanghai Pudong Development Bank Hong Kong Branch;China Shandong International Asset Management Limited;SunRiver International Securities Group Limited;Zhongtai International Securities Limited;SDG Securities (HK) Limited</t>
  </si>
  <si>
    <t>230821XS2648984396</t>
  </si>
  <si>
    <t>江苏瀚瑞投资控股有限公司</t>
  </si>
  <si>
    <t>HRINT 1.7 08/24/26</t>
  </si>
  <si>
    <t>XS2640872367</t>
  </si>
  <si>
    <t>江苏瀚瑞投资控股 1.7 2026-08-24</t>
  </si>
  <si>
    <t>1.7%</t>
  </si>
  <si>
    <t>江苏银行股份有限公司镇江分行</t>
  </si>
  <si>
    <t>镇江市</t>
  </si>
  <si>
    <t>镇江经济技术开发区</t>
  </si>
  <si>
    <t>Fosun Hani Securities</t>
  </si>
  <si>
    <t>用于现有境外债务的再融资</t>
  </si>
  <si>
    <t>HRINT</t>
  </si>
  <si>
    <t>HANRUI OVERSEAS INVESTMENT CO., LTD.</t>
  </si>
  <si>
    <t>China Zheshang Bank Co., Ltd. Hong Kong Branch;Huatai Financial Holdings (Hong Kong) Limited;CEB International Capital Corporation Limited;Global Prosperity Financial Company Limited;JQ Securities (Hong Kong) Limited;Haitong Bank, Macau Branch;Haitong International Securities Company Limited</t>
  </si>
  <si>
    <t>China Zheshang Bank Co., Ltd. Hong Kong Branch;Huatai Financial Holdings (Hong Kong) Limited;CEB International Capital Corporation Limited;Global Prosperity Financial Company Limited;JQ Securities (Hong Kong) Limited;Fosun Hani Securities;Haitong Bank, Macau Branch;Haitong International Securities Company Limited</t>
  </si>
  <si>
    <t>230821XS2640872367</t>
  </si>
  <si>
    <t>绿景(中国)地产投资有限公司</t>
  </si>
  <si>
    <t>LVGEM 7 08/22/24</t>
  </si>
  <si>
    <t>XS2667305861</t>
  </si>
  <si>
    <t>绿景中国地产 7 2024-08-22</t>
  </si>
  <si>
    <t>WR/--</t>
  </si>
  <si>
    <t>无/--</t>
  </si>
  <si>
    <t>深圳市</t>
  </si>
  <si>
    <t>DBS Bank Ltd;Haitong International Securities Singapore P;Keystone Capital Inc</t>
  </si>
  <si>
    <t>房地产开发</t>
  </si>
  <si>
    <t>外商独资企业</t>
  </si>
  <si>
    <t>LVGEM</t>
  </si>
  <si>
    <t>GEMSTONES INTERNATIONAL LTD</t>
  </si>
  <si>
    <t>Keystone Capital Inc;DBS Bank Ltd;Haitong International Securities Singapore P</t>
  </si>
  <si>
    <t>230821XS2667305861</t>
  </si>
  <si>
    <t>XS2667302413</t>
  </si>
  <si>
    <t>230821XS2667302413</t>
  </si>
  <si>
    <t>XS2667297233</t>
  </si>
  <si>
    <t>230821XS2667297233</t>
  </si>
  <si>
    <t>XS2674634337</t>
  </si>
  <si>
    <t>Aa3/AA+/--</t>
  </si>
  <si>
    <t>230823XS2674634337</t>
  </si>
  <si>
    <t>--/--/A</t>
  </si>
  <si>
    <t>HK0000950680</t>
  </si>
  <si>
    <t>--/A-1+/--</t>
  </si>
  <si>
    <t>230822HK0000950680</t>
  </si>
  <si>
    <t>HK0000947116</t>
  </si>
  <si>
    <t>230822HK0000947116</t>
  </si>
  <si>
    <t>HK0000947108</t>
  </si>
  <si>
    <t>230822HK0000947108</t>
  </si>
  <si>
    <t>--/--/BBB-</t>
  </si>
  <si>
    <t>HK0000950524</t>
  </si>
  <si>
    <t>--/AA+/--</t>
  </si>
  <si>
    <t>230821HK0000950524</t>
  </si>
  <si>
    <t>WR/--/WD</t>
  </si>
  <si>
    <t>--/--/WD</t>
  </si>
  <si>
    <t>230k</t>
  </si>
  <si>
    <t>703k</t>
  </si>
  <si>
    <t>714k</t>
  </si>
  <si>
    <t>684k</t>
  </si>
  <si>
    <t>4.07m</t>
  </si>
  <si>
    <t>制造业采购经理指数</t>
  </si>
  <si>
    <t>CPMINDX Index</t>
  </si>
  <si>
    <t>中国八月</t>
  </si>
  <si>
    <t>中国八月制造业采购经理指数</t>
  </si>
  <si>
    <t>财新中国PMI制造业</t>
  </si>
  <si>
    <t>MPMICNMA Index</t>
  </si>
  <si>
    <t>八月财新中国PMI制造业</t>
  </si>
  <si>
    <t>非制造业采购经理指数</t>
  </si>
  <si>
    <t>CPMINMAN Index</t>
  </si>
  <si>
    <t>中国八月非制造业采购经理指数</t>
  </si>
  <si>
    <t>欧元区八月CPI 月环比</t>
  </si>
  <si>
    <t>M3货币供应同比</t>
  </si>
  <si>
    <t>ECMAM3YY Index</t>
  </si>
  <si>
    <t>欧元区七月M3货币供应同比</t>
  </si>
  <si>
    <t>CPI预计同比</t>
  </si>
  <si>
    <t>ECCPEST Index</t>
  </si>
  <si>
    <t>欧元区八月CPI预计同比</t>
  </si>
  <si>
    <t>欧元区八月核心CPI同比</t>
  </si>
  <si>
    <t>失业率</t>
  </si>
  <si>
    <t>UMRTEMU Index</t>
  </si>
  <si>
    <t>欧元区七月失业率</t>
  </si>
  <si>
    <t>非农就业人数增减</t>
  </si>
  <si>
    <t>168k</t>
  </si>
  <si>
    <t>187k</t>
  </si>
  <si>
    <t>NFP TCH Index</t>
  </si>
  <si>
    <t>美国八月非农就业人数增减</t>
  </si>
  <si>
    <t>8/1/2026</t>
  </si>
  <si>
    <t>GDP环比折合年率</t>
  </si>
  <si>
    <t>2Q S</t>
  </si>
  <si>
    <t>GDP CQOQ Index</t>
  </si>
  <si>
    <t>美国二季度</t>
  </si>
  <si>
    <t>美国二季度GDP环比折合年率</t>
  </si>
  <si>
    <t>ISM制造业指数</t>
  </si>
  <si>
    <t>NAPMPMI Index</t>
  </si>
  <si>
    <t>美国八月ISM制造业指数</t>
  </si>
  <si>
    <t>世界大型企业研究会消费者信心指数</t>
  </si>
  <si>
    <t>CONCCONF Index</t>
  </si>
  <si>
    <t>美国八月世界大型企业研究会消费者信心指数</t>
  </si>
  <si>
    <t>8/1/2025</t>
  </si>
  <si>
    <t>USURTOT Index</t>
  </si>
  <si>
    <t>美国八月失业率</t>
  </si>
  <si>
    <t>ADP就业变动指数</t>
  </si>
  <si>
    <t>324k</t>
  </si>
  <si>
    <t>ADP CHNG Index</t>
  </si>
  <si>
    <t>美国八月ADP就业变动指数</t>
  </si>
  <si>
    <t>个人支出环比</t>
  </si>
  <si>
    <t>PCE CRCH Index</t>
  </si>
  <si>
    <t>美国七月个人支出环比</t>
  </si>
  <si>
    <t>个人收入环比</t>
  </si>
  <si>
    <t>PITLCHNG Index</t>
  </si>
  <si>
    <t>美国七月个人收入环比</t>
  </si>
  <si>
    <t>MNI芝加哥PMI</t>
  </si>
  <si>
    <t>CHPMINDX Index</t>
  </si>
  <si>
    <t>美国八月MNI芝加哥PMI</t>
  </si>
  <si>
    <t>孝感高创</t>
  </si>
  <si>
    <t>武汉葛化</t>
  </si>
  <si>
    <t>濮阳投资</t>
  </si>
  <si>
    <t>7.2%</t>
  </si>
  <si>
    <t>港交所</t>
  </si>
  <si>
    <t>湖北银行</t>
  </si>
  <si>
    <t>5%</t>
  </si>
  <si>
    <t>恒丰银行</t>
  </si>
  <si>
    <t>4.8%</t>
  </si>
  <si>
    <t>SOFR+105a</t>
  </si>
  <si>
    <t>SOFR+60</t>
  </si>
  <si>
    <t>SOFRCOMPOUNDEDINDEX</t>
  </si>
  <si>
    <t>6.25%a</t>
  </si>
  <si>
    <t>上海银行</t>
  </si>
  <si>
    <t>1.8%a</t>
  </si>
  <si>
    <t>1</t>
  </si>
  <si>
    <t>7%</t>
  </si>
  <si>
    <t>364天</t>
  </si>
  <si>
    <t>8.2%a</t>
  </si>
  <si>
    <t>江苏银行</t>
  </si>
  <si>
    <t>鲁商集团</t>
  </si>
  <si>
    <t>周一，鲁商集团定价1.3亿美元3年期高级债，价格8%，较IPG收窄20个基点</t>
  </si>
  <si>
    <t>江苏瀚瑞(江苏银行)</t>
  </si>
  <si>
    <t>周一，江苏瀚瑞定价167.2亿日元3年期信用增强债券（江苏银行提供备证），价格1.7%，较IPG收窄10个基点</t>
  </si>
  <si>
    <t>绿景中国地产</t>
  </si>
  <si>
    <t>周一，绿景中国地产定价1.915亿港币364天高级债，价格7%</t>
  </si>
  <si>
    <t>周一，绿景中国地产定价500万美元364天高级债，价格7%</t>
  </si>
  <si>
    <t>无锡能达热电(上海银行)</t>
  </si>
  <si>
    <t>杭州上城城建</t>
  </si>
  <si>
    <t>周二，杭州上城城建（--/--/BBB-）定价2亿美元3年期绿色债券（--/--/BBB-），价格5.85%，较IPG收窄40个基点，交银国际担任账簿管理人</t>
  </si>
  <si>
    <t>交通银行</t>
  </si>
  <si>
    <t>57</t>
  </si>
  <si>
    <t>55</t>
  </si>
  <si>
    <t>56</t>
  </si>
  <si>
    <t>45</t>
  </si>
  <si>
    <t>40</t>
  </si>
  <si>
    <t>20</t>
  </si>
  <si>
    <t>10</t>
  </si>
  <si>
    <t>周一，绿景中国地产定价人民币4100万元364天点心债，价格7%</t>
  </si>
  <si>
    <t>HK0000950433</t>
  </si>
  <si>
    <t>230825HK0000950433</t>
  </si>
  <si>
    <t>临沂市兰山区财金投资集团有限公司</t>
  </si>
  <si>
    <t>LYLSFI 4.7 09/01/26</t>
  </si>
  <si>
    <t>兰山区财金投资集团 4.7 2026-09-01</t>
  </si>
  <si>
    <t>4.7%</t>
  </si>
  <si>
    <t>恒丰银行股份有限公司临沂分行</t>
  </si>
  <si>
    <t>临沂市</t>
  </si>
  <si>
    <t>China International Capital Corporation Hong Kong Securities Limited;Guotai Junan Securities (Hong Kong) Limited;Zhongtai International Securities Limited;Sigma Capital Management Limited</t>
  </si>
  <si>
    <t>物流</t>
  </si>
  <si>
    <t>补充营运资金</t>
  </si>
  <si>
    <t>LYLSFI</t>
  </si>
  <si>
    <t>琅琊海外有限公司</t>
  </si>
  <si>
    <t>Industrial Bank Co., Ltd. Hong Kong Branch;Head &amp; Shoulders Securities Limited;Zhonghui International Securities Limited;China Zheshang Bank Co., Ltd. Hong Kong Branch;CEB International Capital Corporation Limited;China CITIC Bank International Limited;SunRiver International Securities Group Limited;Eddid Securities and Futures Limited</t>
  </si>
  <si>
    <t>Industrial Bank Co., Ltd. Hong Kong Branch;Head &amp; Shoulders Securities Limited;China International Capital Corporation Hong Kong Securities Limited;Zhonghui International Securities Limited;China Zheshang Bank Co., Ltd. Hong Kong Branch;CEB International Capital Corporation Limited;China CITIC Bank International Limited;Guotai Junan Securities (Hong Kong) Limited;SunRiver International Securities Group Limited;Eddid Securities and Futures Limited;Zhongtai International Securities Limited;Sigma Capital Management Limited</t>
  </si>
  <si>
    <t>武汉东湖新技术开发区</t>
  </si>
  <si>
    <t>64D</t>
  </si>
  <si>
    <t>2.99Y</t>
  </si>
  <si>
    <t>360D</t>
  </si>
  <si>
    <t>235k</t>
  </si>
  <si>
    <t>198k</t>
  </si>
  <si>
    <t>临沂兰山财金(恒丰银行)</t>
  </si>
  <si>
    <t>武汉葛化(湖北银行)</t>
  </si>
  <si>
    <t>孝感高创(恒丰银行)</t>
  </si>
  <si>
    <t>周五，临沂兰山财金定价人民币2.18亿元3年期点心债（恒丰银行提供备证），价格4.7%</t>
  </si>
  <si>
    <t>珠海农村商业银行股份有限公司</t>
  </si>
  <si>
    <t>ZRCB 3.5 08/22/2026</t>
  </si>
  <si>
    <t>MO0000000238</t>
  </si>
  <si>
    <t>100/-</t>
  </si>
  <si>
    <t>-/-</t>
  </si>
  <si>
    <t>银行保险</t>
  </si>
  <si>
    <t>230815MO0000000238</t>
  </si>
  <si>
    <t>宿迁裕丰产业投资发展管理集团有限公司</t>
  </si>
  <si>
    <t>SQyufeng 3.98 08/23/2026</t>
  </si>
  <si>
    <t>HK0000942877</t>
  </si>
  <si>
    <t>230816HK0000942877</t>
  </si>
  <si>
    <t>苏州城投资本控股有限责任公司</t>
  </si>
  <si>
    <t>SZICAP 5.7 08/30/26</t>
  </si>
  <si>
    <t>XS2668486173</t>
  </si>
  <si>
    <t>苏州城投 5.7 2026-08-30</t>
  </si>
  <si>
    <t>5.7%区域</t>
  </si>
  <si>
    <t>5.7%</t>
  </si>
  <si>
    <t>苏州市</t>
  </si>
  <si>
    <t>用于项目运营和补充流动资金</t>
  </si>
  <si>
    <t>SZICAP</t>
  </si>
  <si>
    <t>230825XS2668486173</t>
  </si>
  <si>
    <t>CSCIF 5.3 11/29/23</t>
  </si>
  <si>
    <t>XS2675207711</t>
  </si>
  <si>
    <t>中信建投国际 5.3 2023-11-29</t>
  </si>
  <si>
    <t>0.2521</t>
  </si>
  <si>
    <t>93D</t>
  </si>
  <si>
    <t>金融债</t>
  </si>
  <si>
    <t>230824XS2675207711</t>
  </si>
  <si>
    <t>HK0000950839</t>
  </si>
  <si>
    <t>230823HK0000950839</t>
  </si>
  <si>
    <t>5.7%a</t>
  </si>
  <si>
    <t>Nengda</t>
  </si>
  <si>
    <t>Nengda</t>
    <phoneticPr fontId="14" type="noConversion"/>
  </si>
  <si>
    <t>II</t>
  </si>
  <si>
    <t>II</t>
    <phoneticPr fontId="14" type="noConversion"/>
  </si>
  <si>
    <t>B&amp;D FOP</t>
  </si>
  <si>
    <t>Quanjiang</t>
  </si>
  <si>
    <t>Quanjiang</t>
    <phoneticPr fontId="14" type="noConversion"/>
  </si>
  <si>
    <t>IV</t>
  </si>
  <si>
    <t>IV</t>
    <phoneticPr fontId="14" type="noConversion"/>
  </si>
  <si>
    <t>Beryl</t>
    <phoneticPr fontId="14" type="noConversion"/>
  </si>
  <si>
    <t>苏州城投</t>
  </si>
  <si>
    <t>0</t>
  </si>
  <si>
    <t>周四，武汉葛化定价人民币7.18亿元3年期点心债（湖北银行提供备证），价格5%</t>
  </si>
  <si>
    <t>周四，孝感高创定价人民币1.7亿元3年期点心债（恒丰银行提供备证），价格4.8%</t>
  </si>
  <si>
    <t>周二，无锡能达热电定价130亿日元3年期信用增强债券（上海银行提供备证），价格1.6%，较IPG收窄20个基点，交银国际担任全球协调人及交割行</t>
  </si>
  <si>
    <t>周四，濮阳投资定价2580万美元3年期高级债，价格7.2%</t>
  </si>
  <si>
    <t>周五，苏州城投定价4500万美元3年期高级债，价格5.7%，较IPG未有收窄</t>
  </si>
  <si>
    <r>
      <rPr>
        <sz val="11"/>
        <color theme="1"/>
        <rFont val="Microsoft YaHei"/>
        <family val="2"/>
        <charset val="134"/>
      </rPr>
      <t>A2</t>
    </r>
    <r>
      <rPr>
        <sz val="11"/>
        <color theme="1"/>
        <rFont val="Microsoft JhengHei UI"/>
        <family val="2"/>
        <scheme val="minor"/>
      </rPr>
      <t>/--/A</t>
    </r>
    <phoneticPr fontId="14" type="noConversion"/>
  </si>
  <si>
    <r>
      <rPr>
        <sz val="11"/>
        <color theme="1"/>
        <rFont val="Microsoft YaHei"/>
        <family val="2"/>
        <charset val="134"/>
      </rPr>
      <t>A2</t>
    </r>
    <r>
      <rPr>
        <sz val="11"/>
        <color theme="1"/>
        <rFont val="Microsoft JhengHei UI"/>
        <family val="2"/>
        <scheme val="minor"/>
      </rPr>
      <t>/--/--</t>
    </r>
    <phoneticPr fontId="14" type="noConversion"/>
  </si>
  <si>
    <t>A2/--/--</t>
  </si>
  <si>
    <t>A2/--/A</t>
  </si>
  <si>
    <t>绿色浮息债</t>
  </si>
  <si>
    <t>绿色债券</t>
  </si>
  <si>
    <t>SOFR</t>
  </si>
  <si>
    <t>周三，交通银行（A2/--/A）定价5亿美元3年期绿色浮息债（A2/--/--），价格SOFR+60，较IPG收窄45个基点，交通银行担任全球协调人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</si>
  <si>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</si>
  <si>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</si>
  <si>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</si>
  <si>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</si>
  <si>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【】</t>
  </si>
  <si>
    <t>8月21日一周Charts</t>
  </si>
  <si>
    <t>周</t>
  </si>
  <si>
    <t>8月21日一周一级市场总结</t>
  </si>
  <si>
    <t>Name</t>
  </si>
  <si>
    <t>黄荣左</t>
  </si>
  <si>
    <t>刘嘉西</t>
  </si>
  <si>
    <t>孙颖芝</t>
  </si>
  <si>
    <t>余烨洁</t>
  </si>
  <si>
    <t>PRJ对账号</t>
  </si>
  <si>
    <t>孝感高新区</t>
  </si>
  <si>
    <t>东湖高新区</t>
  </si>
  <si>
    <t>镇江经开区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</si>
</sst>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d/m/yyyy"/>
  </numFmts>
  <fonts count="48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b/>
      <sz val="11"/>
      <color theme="0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8"/>
      <color rgb="FF404040"/>
      <name val="Microsoft JhengHei UI"/>
      <family val="2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1"/>
      <color rgb="FF404040"/>
      <name val="Microsoft JhengHei UI"/>
      <family val="2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9" fillId="10" borderId="0">
      <alignment horizontal="center" vertical="center" wrapText="1"/>
    </xf>
    <xf numFmtId="164" fontId="9" fillId="10" borderId="0">
      <alignment horizontal="center" vertical="center"/>
    </xf>
    <xf numFmtId="165" fontId="9" fillId="10" borderId="0">
      <alignment horizontal="center" vertical="center"/>
    </xf>
    <xf numFmtId="0" fontId="8" fillId="11" borderId="0">
      <alignment horizontal="center" vertical="center" wrapText="1"/>
    </xf>
    <xf numFmtId="0" fontId="22" fillId="0" borderId="0"/>
    <xf numFmtId="0" fontId="28" fillId="15" borderId="6" applyNumberFormat="0" applyAlignment="0" applyProtection="0"/>
    <xf numFmtId="0" fontId="31" fillId="15" borderId="7" applyNumberFormat="0" applyAlignment="0" applyProtection="0"/>
  </cellStyleXfs>
  <cellXfs count="135">
    <xf numFmtId="0" fontId="0" fillId="0" borderId="0" xfId="0"/>
    <xf numFmtId="0" fontId="0" fillId="3" borderId="0" xfId="0" applyFill="1"/>
    <xf numFmtId="0" fontId="6" fillId="3" borderId="0" xfId="0" applyFont="1" applyFill="1" applyAlignment="1">
      <alignment vertical="center"/>
    </xf>
    <xf numFmtId="0" fontId="7" fillId="3" borderId="0" xfId="0" applyFont="1" applyFill="1"/>
    <xf numFmtId="0" fontId="10" fillId="3" borderId="0" xfId="0" applyFont="1" applyFill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/>
    <xf numFmtId="0" fontId="13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0" xfId="0" applyFont="1"/>
    <xf numFmtId="0" fontId="16" fillId="3" borderId="0" xfId="0" applyFont="1" applyFill="1" applyAlignment="1">
      <alignment vertical="center"/>
    </xf>
    <xf numFmtId="14" fontId="0" fillId="3" borderId="0" xfId="0" applyNumberFormat="1" applyFill="1"/>
    <xf numFmtId="0" fontId="11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67" fontId="21" fillId="6" borderId="3" xfId="0" applyNumberFormat="1" applyFont="1" applyFill="1" applyBorder="1" applyAlignment="1" applyProtection="1">
      <alignment horizontal="center" vertical="center"/>
      <protection locked="0"/>
    </xf>
    <xf numFmtId="0" fontId="19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/>
    <xf numFmtId="0" fontId="13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20" fillId="3" borderId="0" xfId="0" applyFont="1" applyFill="1" applyAlignment="1" applyProtection="1">
      <alignment vertical="center"/>
      <protection locked="0"/>
    </xf>
    <xf numFmtId="0" fontId="10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 vertical="center"/>
    </xf>
    <xf numFmtId="0" fontId="24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0" fontId="1" fillId="0" borderId="0" xfId="0" applyFont="1"/>
    <xf numFmtId="0" fontId="0" fillId="3" borderId="5" xfId="0" applyFill="1" applyBorder="1"/>
    <xf numFmtId="0" fontId="1" fillId="3" borderId="0" xfId="0" applyFont="1" applyFill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14" borderId="0" xfId="0" applyFont="1" applyFill="1"/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8" fillId="15" borderId="6" xfId="7" applyAlignment="1">
      <alignment horizontal="center" vertical="center"/>
    </xf>
    <xf numFmtId="164" fontId="0" fillId="3" borderId="5" xfId="0" applyNumberFormat="1" applyFill="1" applyBorder="1" applyAlignment="1">
      <alignment vertical="center"/>
    </xf>
    <xf numFmtId="0" fontId="29" fillId="3" borderId="0" xfId="0" applyFont="1" applyFill="1" applyAlignment="1">
      <alignment vertical="center"/>
    </xf>
    <xf numFmtId="0" fontId="30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/>
    <xf numFmtId="0" fontId="33" fillId="3" borderId="0" xfId="0" applyFont="1" applyFill="1" applyAlignment="1">
      <alignment vertical="center"/>
    </xf>
    <xf numFmtId="0" fontId="24" fillId="3" borderId="0" xfId="0" applyFont="1" applyFill="1" applyAlignment="1">
      <alignment vertical="center"/>
    </xf>
    <xf numFmtId="0" fontId="34" fillId="3" borderId="0" xfId="0" applyFont="1" applyFill="1" applyAlignment="1">
      <alignment vertical="center"/>
    </xf>
    <xf numFmtId="0" fontId="37" fillId="4" borderId="2" xfId="0" applyFont="1" applyFill="1" applyBorder="1" applyAlignment="1">
      <alignment horizontal="center" vertical="center" wrapText="1"/>
    </xf>
    <xf numFmtId="0" fontId="35" fillId="3" borderId="8" xfId="0" applyFont="1" applyFill="1" applyBorder="1" applyAlignment="1">
      <alignment vertical="center"/>
    </xf>
    <xf numFmtId="0" fontId="38" fillId="3" borderId="0" xfId="0" applyFont="1" applyFill="1" applyAlignment="1">
      <alignment horizontal="center" vertical="center"/>
    </xf>
    <xf numFmtId="167" fontId="38" fillId="3" borderId="0" xfId="0" applyNumberFormat="1" applyFont="1" applyFill="1" applyAlignment="1">
      <alignment horizontal="center" vertical="center"/>
    </xf>
    <xf numFmtId="0" fontId="38" fillId="3" borderId="8" xfId="0" applyFont="1" applyFill="1" applyBorder="1" applyAlignment="1">
      <alignment horizontal="center" vertical="center"/>
    </xf>
    <xf numFmtId="0" fontId="25" fillId="3" borderId="0" xfId="0" applyFont="1" applyFill="1" applyProtection="1">
      <protection locked="0"/>
    </xf>
    <xf numFmtId="0" fontId="23" fillId="3" borderId="0" xfId="0" applyFont="1" applyFill="1" applyAlignment="1" applyProtection="1">
      <alignment vertical="center"/>
      <protection locked="0"/>
    </xf>
    <xf numFmtId="0" fontId="12" fillId="3" borderId="0" xfId="0" applyFont="1" applyFill="1" applyProtection="1"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/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39" fillId="3" borderId="0" xfId="0" applyFont="1" applyFill="1"/>
    <xf numFmtId="0" fontId="0" fillId="0" borderId="0" xfId="0" applyNumberFormat="1"/>
    <xf numFmtId="0" fontId="40" fillId="15" borderId="9" xfId="8" applyFont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wrapText="1"/>
      <protection locked="0"/>
    </xf>
    <xf numFmtId="0" fontId="27" fillId="3" borderId="0" xfId="0" applyFont="1" applyFill="1" applyAlignment="1" applyProtection="1">
      <alignment vertical="center" wrapText="1"/>
      <protection locked="0"/>
    </xf>
    <xf numFmtId="0" fontId="40" fillId="15" borderId="9" xfId="8" applyFont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/>
    <xf numFmtId="0" fontId="0" fillId="0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35" fillId="3" borderId="0" xfId="0" applyFont="1" applyFill="1" applyBorder="1" applyAlignment="1">
      <alignment vertical="center"/>
    </xf>
    <xf numFmtId="0" fontId="35" fillId="3" borderId="0" xfId="0" applyFont="1" applyFill="1" applyBorder="1" applyAlignment="1">
      <alignment horizontal="left" vertical="center"/>
    </xf>
    <xf numFmtId="0" fontId="36" fillId="3" borderId="8" xfId="0" applyFont="1" applyFill="1" applyBorder="1" applyAlignment="1">
      <alignment horizontal="right"/>
    </xf>
    <xf numFmtId="0" fontId="36" fillId="3" borderId="0" xfId="0" applyFont="1" applyFill="1" applyAlignment="1">
      <alignment horizontal="right" vertical="center" wrapText="1"/>
    </xf>
    <xf numFmtId="0" fontId="36" fillId="3" borderId="8" xfId="0" applyFont="1" applyFill="1" applyBorder="1" applyAlignment="1">
      <alignment horizontal="right" vertical="center" wrapText="1"/>
    </xf>
    <xf numFmtId="0" fontId="0" fillId="0" borderId="0" xfId="0" applyNumberFormat="1" applyFont="1" applyFill="1" applyBorder="1" applyAlignment="1">
      <alignment vertical="center"/>
    </xf>
    <xf numFmtId="14" fontId="0" fillId="0" borderId="0" xfId="0" applyNumberFormat="1" applyFont="1" applyFill="1" applyBorder="1"/>
    <xf numFmtId="14" fontId="0" fillId="0" borderId="0" xfId="0" applyNumberFormat="1"/>
    <xf numFmtId="14" fontId="0" fillId="3" borderId="0" xfId="0" applyNumberFormat="1" applyFill="1" applyProtection="1">
      <protection locked="0"/>
    </xf>
    <xf numFmtId="0" fontId="0" fillId="0" borderId="0" xfId="0" applyFont="1" applyFill="1" applyAlignment="1">
      <alignment horizontal="left" vertical="center"/>
    </xf>
    <xf numFmtId="0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0" fillId="0" borderId="0" xfId="0" applyNumberFormat="1" applyFont="1" applyFill="1" applyBorder="1"/>
    <xf numFmtId="0" fontId="0" fillId="0" borderId="0" xfId="0" applyAlignment="1"/>
    <xf numFmtId="0" fontId="0" fillId="0" borderId="0" xfId="0" applyNumberFormat="1" applyAlignment="1">
      <alignment wrapText="1"/>
    </xf>
    <xf numFmtId="0" fontId="0" fillId="0" borderId="0" xfId="0" applyFont="1" applyFill="1"/>
    <xf numFmtId="0" fontId="0" fillId="0" borderId="0" xfId="0" applyNumberFormat="1" applyFont="1" applyFill="1"/>
    <xf numFmtId="14" fontId="0" fillId="0" borderId="0" xfId="0" applyNumberFormat="1" applyFont="1" applyFill="1"/>
    <xf numFmtId="169" fontId="0" fillId="0" borderId="0" xfId="0" applyNumberFormat="1" applyFont="1" applyFill="1"/>
    <xf numFmtId="169" fontId="0" fillId="0" borderId="0" xfId="0" applyNumberFormat="1" applyFont="1" applyFill="1" applyBorder="1"/>
    <xf numFmtId="164" fontId="0" fillId="0" borderId="0" xfId="0" applyNumberFormat="1" applyFont="1" applyFill="1" applyAlignment="1">
      <alignment vertical="center"/>
    </xf>
    <xf numFmtId="0" fontId="46" fillId="3" borderId="0" xfId="0" applyFont="1" applyFill="1" applyAlignment="1" applyProtection="1">
      <alignment horizontal="center" wrapText="1"/>
      <protection locked="0"/>
    </xf>
    <xf numFmtId="0" fontId="46" fillId="3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44" fillId="12" borderId="0" xfId="0" quotePrefix="1" applyFont="1" applyFill="1" applyAlignment="1" applyProtection="1">
      <alignment horizontal="center"/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293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9" formatCode="d/m/yyyy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/>
      </font>
    </dxf>
    <dxf>
      <font>
        <b val="0"/>
        <i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292"/>
    </tableStyle>
    <tableStyle name="ECON" pivot="0" count="2" xr9:uid="{00000000-0011-0000-FFFF-FFFF01000000}">
      <tableStyleElement type="wholeTable" dxfId="291"/>
      <tableStyleElement type="headerRow" dxfId="290"/>
    </tableStyle>
    <tableStyle name="Named_dd" pivot="0" count="2" xr9:uid="{00000000-0011-0000-FFFF-FFFF02000000}">
      <tableStyleElement type="wholeTable" dxfId="289"/>
      <tableStyleElement type="headerRow" dxfId="288"/>
    </tableStyle>
    <tableStyle name="Named_dd 2" pivot="0" count="2" xr9:uid="{00000000-0011-0000-FFFF-FFFF03000000}">
      <tableStyleElement type="wholeTable" dxfId="287"/>
      <tableStyleElement type="headerRow" dxfId="286"/>
    </tableStyle>
    <tableStyle name="Named_dd 3" pivot="0" count="2" xr9:uid="{00000000-0011-0000-FFFF-FFFF04000000}">
      <tableStyleElement type="wholeTable" dxfId="285"/>
      <tableStyleElement type="headerRow" dxfId="284"/>
    </tableStyle>
    <tableStyle name="Qry Load" pivot="0" count="3" xr9:uid="{00000000-0011-0000-FFFF-FFFF05000000}">
      <tableStyleElement type="wholeTable" dxfId="283"/>
      <tableStyleElement type="headerRow" dxfId="282"/>
      <tableStyleElement type="totalRow" dxfId="281"/>
    </tableStyle>
    <tableStyle name="Qry Load 2" pivot="0" count="3" xr9:uid="{00000000-0011-0000-FFFF-FFFF06000000}">
      <tableStyleElement type="wholeTable" dxfId="280"/>
      <tableStyleElement type="headerRow" dxfId="279"/>
      <tableStyleElement type="totalRow" dxfId="278"/>
    </tableStyle>
    <tableStyle name="Qry Load 3" pivot="0" count="3" xr9:uid="{00000000-0011-0000-FFFF-FFFF07000000}">
      <tableStyleElement type="wholeTable" dxfId="277"/>
      <tableStyleElement type="headerRow" dxfId="276"/>
      <tableStyleElement type="totalRow" dxfId="275"/>
    </tableStyle>
    <tableStyle name="Qry Load 4" pivot="0" count="3" xr9:uid="{00000000-0011-0000-FFFF-FFFF08000000}">
      <tableStyleElement type="wholeTable" dxfId="274"/>
      <tableStyleElement type="headerRow" dxfId="273"/>
      <tableStyleElement type="totalRow" dxfId="272"/>
    </tableStyle>
    <tableStyle name="Qry Load 5" pivot="0" count="3" xr9:uid="{00000000-0011-0000-FFFF-FFFF09000000}">
      <tableStyleElement type="wholeTable" dxfId="271"/>
      <tableStyleElement type="headerRow" dxfId="270"/>
      <tableStyleElement type="totalRow" dxfId="269"/>
    </tableStyle>
    <tableStyle name="Qry Source" pivot="0" count="2" xr9:uid="{00000000-0011-0000-FFFF-FFFF0A000000}">
      <tableStyleElement type="wholeTable" dxfId="268"/>
      <tableStyleElement type="headerRow" dxfId="267"/>
    </tableStyle>
    <tableStyle name="Qry Source 2" pivot="0" count="2" xr9:uid="{00000000-0011-0000-FFFF-FFFF0B000000}">
      <tableStyleElement type="wholeTable" dxfId="266"/>
      <tableStyleElement type="headerRow" dxfId="265"/>
    </tableStyle>
    <tableStyle name="review" pivot="0" count="3" xr9:uid="{00000000-0011-0000-FFFF-FFFF0C000000}">
      <tableStyleElement type="wholeTable" dxfId="264"/>
      <tableStyleElement type="headerRow" dxfId="263"/>
      <tableStyleElement type="totalRow" dxfId="262"/>
    </tableStyle>
    <tableStyle name="review 2" pivot="0" count="3" xr9:uid="{7E48D373-8BD3-405C-AC0B-582D578C48DF}">
      <tableStyleElement type="wholeTable" dxfId="261"/>
      <tableStyleElement type="headerRow" dxfId="260"/>
      <tableStyleElement type="totalRow" dxfId="259"/>
    </tableStyle>
  </tableStyles>
  <colors>
    <mruColors>
      <color rgb="FFC2B59B"/>
      <color rgb="FF888AA6"/>
      <color rgb="FFC69E62"/>
      <color rgb="FF2A7968"/>
      <color rgb="FFE1E1E9"/>
      <color rgb="FFF4EBE0"/>
      <color rgb="FFF4EBDF"/>
      <color rgb="FF234473"/>
      <color rgb="FF0000FF"/>
      <color rgb="FF0071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112058</xdr:colOff>
      <xdr:row>0</xdr:row>
      <xdr:rowOff>44823</xdr:rowOff>
    </xdr:from>
    <xdr:to>
      <xdr:col>5</xdr:col>
      <xdr:colOff>605117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63470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4</xdr:col>
      <xdr:colOff>123825</xdr:colOff>
      <xdr:row>2</xdr:row>
      <xdr:rowOff>280146</xdr:rowOff>
    </xdr:from>
    <xdr:to>
      <xdr:col>5</xdr:col>
      <xdr:colOff>593911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75237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405365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2</xdr:row>
          <xdr:rowOff>266700</xdr:rowOff>
        </xdr:from>
        <xdr:to>
          <xdr:col>3</xdr:col>
          <xdr:colOff>1857375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0404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5032972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9525</xdr:colOff>
      <xdr:row>1</xdr:row>
      <xdr:rowOff>39460</xdr:rowOff>
    </xdr:from>
    <xdr:to>
      <xdr:col>12</xdr:col>
      <xdr:colOff>514350</xdr:colOff>
      <xdr:row>1</xdr:row>
      <xdr:rowOff>906235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30010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176893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1504950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011261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30</xdr:col>
      <xdr:colOff>40821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1199928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37</xdr:col>
      <xdr:colOff>19050</xdr:colOff>
      <xdr:row>1</xdr:row>
      <xdr:rowOff>400049</xdr:rowOff>
    </xdr:from>
    <xdr:ext cx="7388038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129256" y="993961"/>
          <a:ext cx="7388038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16</xdr:col>
      <xdr:colOff>123263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926234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absolute">
    <xdr:from>
      <xdr:col>10</xdr:col>
      <xdr:colOff>112059</xdr:colOff>
      <xdr:row>0</xdr:row>
      <xdr:rowOff>33619</xdr:rowOff>
    </xdr:from>
    <xdr:to>
      <xdr:col>13</xdr:col>
      <xdr:colOff>593912</xdr:colOff>
      <xdr:row>5</xdr:row>
      <xdr:rowOff>100853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9648265" y="33619"/>
          <a:ext cx="3709147" cy="23420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zh-CN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trl +Alt + F5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 All</a:t>
          </a:r>
          <a:endParaRPr lang="en-US" sz="3600">
            <a:solidFill>
              <a:schemeClr val="accent6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5" xr16:uid="{A6361912-58D1-4981-A964-B119518F56C6}" autoFormatId="16" applyNumberFormats="0" applyBorderFormats="0" applyFontFormats="0" applyPatternFormats="0" applyAlignmentFormats="0" applyWidthHeightFormats="0">
  <queryTableRefresh nextId="2">
    <queryTableFields count="1">
      <queryTableField id="1" name="板块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1" xr16:uid="{F6F408C1-5F5C-4646-8990-EA8FE33BBFF2}" autoFormatId="16" applyNumberFormats="0" applyBorderFormats="0" applyFontFormats="0" applyPatternFormats="0" applyAlignmentFormats="0" applyWidthHeightFormats="0">
  <queryTableRefresh nextId="2">
    <queryTableFields count="1">
      <queryTableField id="1" name="中资属性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4096DD0-AB84-4A53-B115-89BF556605B4}" autoFormatId="16" applyNumberFormats="0" applyBorderFormats="0" applyFontFormats="0" applyPatternFormats="0" applyAlignmentFormats="0" applyWidthHeightFormats="0">
  <queryTableRefresh nextId="2">
    <queryTableFields count="1">
      <queryTableField id="1" name="BISL_ROL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E4DA41F8-D207-4CA8-8A33-AF4705C2A064}" autoFormatId="16" applyNumberFormats="0" applyBorderFormats="0" applyFontFormats="0" applyPatternFormats="0" applyAlignmentFormats="0" applyWidthHeightFormats="0">
  <queryTableRefresh nextId="2">
    <queryTableFields count="1">
      <queryTableField id="1" name="BOCOM_DEAL?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9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24" xr16:uid="{02401511-D249-4D8A-ADA9-4B5B67AFD70C}" autoFormatId="16" applyNumberFormats="0" applyBorderFormats="0" applyFontFormats="0" applyPatternFormats="0" applyAlignmentFormats="0" applyWidthHeightFormats="0">
  <queryTableRefresh nextId="2">
    <queryTableFields count="1">
      <queryTableField id="1" name="新规角色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27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9" xr16:uid="{00000000-0016-0000-0100-000000000000}" autoFormatId="16" applyNumberFormats="0" applyBorderFormats="0" applyFontFormats="0" applyPatternFormats="0" applyAlignmentFormats="0" applyWidthHeightFormats="0">
  <queryTableRefresh nextId="530">
    <queryTableFields count="80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402" name="发行票面利率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93" name="发行方式" tableColumnId="7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1" name="评级类型" tableColumnId="11"/>
      <queryTableField id="122" name="剩余期限" tableColumnId="70"/>
      <queryTableField id="2" name="公司类型" tableColumnId="2"/>
      <queryTableField id="123" name="投资者账户数" tableColumnId="73"/>
      <queryTableField id="126" name="筹款用途" tableColumnId="76"/>
      <queryTableField id="124" name="投资者类型" tableColumnId="74"/>
      <queryTableField id="125" name="投资者分布" tableColumnId="75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4" name="首次付息日" tableColumnId="44"/>
      <queryTableField id="42" name="最新票面利率" tableColumnId="42"/>
      <queryTableField id="43" name="计息基准" tableColumnId="43"/>
      <queryTableField id="45" name="发行人" tableColumnId="45"/>
      <queryTableField id="58" name="维好协议提供者" tableColumnId="58"/>
      <queryTableField id="46" name="担保人" tableColumnId="46"/>
      <queryTableField id="47" name="发行起始日" tableColumnId="47"/>
      <queryTableField id="136" name="定价_DMI" tableColumnId="77"/>
      <queryTableField id="49" name="特殊条款说明" tableColumnId="49"/>
      <queryTableField id="48" name="上市日期" tableColumnId="48"/>
      <queryTableField id="52" name="是否存单" tableColumnId="52"/>
      <queryTableField id="50" name="牵头经办人" tableColumnId="50"/>
      <queryTableField id="128" name="联席账簿管理人" tableColumnId="78"/>
      <queryTableField id="51" name="是否永续债" tableColumnId="51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91" name="地区" tableColumnId="71"/>
      <queryTableField id="100" name="亿美元" tableColumnId="60"/>
      <queryTableField id="105" name="亿元" tableColumnId="64"/>
      <queryTableField id="120" name="亿港币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9" name="Check" tableColumnId="59"/>
      <queryTableField id="109" name="IS_FIMTN" tableColumnId="6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25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26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86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2" xr16:uid="{00000000-0016-0000-0200-000003000000}" autoFormatId="16" applyNumberFormats="0" applyBorderFormats="0" applyFontFormats="0" applyPatternFormats="0" applyAlignmentFormats="0" applyWidthHeightFormats="0">
  <queryTableRefresh nextId="124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27" name="发行票面利率" tableColumnId="27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3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4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88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9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7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6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18" xr16:uid="{00000000-0016-0000-0500-00000D000000}" autoFormatId="16" applyNumberFormats="0" applyBorderFormats="0" applyFontFormats="0" applyPatternFormats="0" applyAlignmentFormats="0" applyWidthHeightFormats="0">
  <queryTableRefresh nextId="33">
    <queryTableFields count="6">
      <queryTableField id="22" name="Index" tableColumnId="11"/>
      <queryTableField id="31" name="板块" tableColumnId="2"/>
      <queryTableField id="3" name="货币" tableColumnId="3"/>
      <queryTableField id="27" name="信用主体(备证行)" tableColumnId="1"/>
      <queryTableField id="5" name="描述" tableColumnId="5"/>
      <queryTableField id="30" name="Stats描述" tableColumnId="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4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0" xr16:uid="{B8FD89C8-856C-4BC4-965B-5913312DB0D0}" autoFormatId="16" applyNumberFormats="0" applyBorderFormats="0" applyFontFormats="0" applyPatternFormats="0" applyAlignmentFormats="0" applyWidthHeightFormats="0">
  <queryTableRefresh nextId="462">
    <queryTableFields count="69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336" name="发行票面利率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23" name="发行方式" tableColumnId="23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1" name="评级类型" tableColumnId="11"/>
      <queryTableField id="62" name="剩余期限" tableColumnId="62"/>
      <queryTableField id="2" name="公司类型" tableColumnId="2"/>
      <queryTableField id="63" name="投资者账户数" tableColumnId="63"/>
      <queryTableField id="66" name="筹款用途" tableColumnId="66"/>
      <queryTableField id="64" name="投资者类型" tableColumnId="64"/>
      <queryTableField id="65" name="投资者分布" tableColumnId="65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5" name="首次付息日" tableColumnId="45"/>
      <queryTableField id="43" name="最新票面利率" tableColumnId="43"/>
      <queryTableField id="44" name="计息基准" tableColumnId="44"/>
      <queryTableField id="46" name="发行人" tableColumnId="46"/>
      <queryTableField id="59" name="维好协议提供者" tableColumnId="59"/>
      <queryTableField id="47" name="担保人" tableColumnId="47"/>
      <queryTableField id="48" name="发行起始日" tableColumnId="48"/>
      <queryTableField id="67" name="定价_DMI" tableColumnId="67"/>
      <queryTableField id="50" name="特殊条款说明" tableColumnId="50"/>
      <queryTableField id="49" name="上市日期" tableColumnId="49"/>
      <queryTableField id="53" name="是否存单" tableColumnId="53"/>
      <queryTableField id="51" name="牵头经办人" tableColumnId="51"/>
      <queryTableField id="68" name="联席账簿管理人" tableColumnId="68"/>
      <queryTableField id="52" name="是否永续债" tableColumnId="52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60" name="地区" tableColumnId="60"/>
      <queryTableField id="61" name="Check" tableColumnId="6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B373777-6D0E-4373-8161-40D12EDDEF4D}" autoFormatId="16" applyNumberFormats="0" applyBorderFormats="0" applyFontFormats="0" applyPatternFormats="0" applyAlignmentFormats="0" applyWidthHeightFormats="0">
  <queryTableRefresh nextId="17">
    <queryTableFields count="13">
      <queryTableField id="1" name="Index" tableColumnId="1"/>
      <queryTableField id="2" name="定价日" tableColumnId="2"/>
      <queryTableField id="3" name="ISIN" tableColumnId="3"/>
      <queryTableField id="4" name="补充OMAS updates" tableColumnId="4"/>
      <queryTableField id="5" name="发行评级" tableColumnId="5"/>
      <queryTableField id="6" name="发行人注册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10" name="Check" tableColumnId="10"/>
      <queryTableField id="11" name="债项BBG" tableColumnId="11"/>
      <queryTableField id="12" name="主体BBG" tableColumnId="1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3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0" xr16:uid="{77DE529F-18C5-4C93-9015-01A7C00BE612}" autoFormatId="16" applyNumberFormats="0" applyBorderFormats="0" applyFontFormats="0" applyPatternFormats="0" applyAlignmentFormats="0" applyWidthHeightFormats="0">
  <queryTableRefresh nextId="14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1" name="WSTIPT" tableColumnId="11"/>
      <queryTableField id="12" name="WSTFPT" tableColumnId="12"/>
      <queryTableField id="13" name="Check" tableColumnId="1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7" xr16:uid="{9A83D6E5-8028-451F-81EB-6106800FC1B7}" autoFormatId="16" applyNumberFormats="0" applyBorderFormats="0" applyFontFormats="0" applyPatternFormats="0" applyAlignmentFormats="0" applyWidthHeightFormats="0">
  <queryTableRefresh nextId="61">
    <queryTableFields count="46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4" xr16:uid="{00000000-0016-0000-0400-00000A000000}" autoFormatId="16" applyNumberFormats="0" applyBorderFormats="0" applyFontFormats="0" applyPatternFormats="0" applyAlignmentFormats="0" applyWidthHeightFormats="0">
  <queryTableRefresh nextId="58">
    <queryTableFields count="20">
      <queryTableField id="24" name="Index" tableColumnId="1"/>
      <queryTableField id="7" name="信用主体" tableColumnId="7"/>
      <queryTableField id="25" name="信用主体简称" tableColumnId="12"/>
      <queryTableField id="22" name="板块" tableColumnId="3"/>
      <queryTableField id="45" name="行业二级" tableColumnId="13"/>
      <queryTableField id="4" name="地区" tableColumnId="4"/>
      <queryTableField id="5" name="城市" tableColumnId="5"/>
      <queryTableField id="6" name="区县" tableColumnId="6"/>
      <queryTableField id="27" name="平台级别" tableColumnId="14"/>
      <queryTableField id="12" name="中资属性" tableColumnId="2"/>
      <queryTableField id="56" name="系" tableColumnId="20"/>
      <queryTableField id="28" name="首次违约日" tableColumnId="15"/>
      <queryTableField id="11" name="DEBUT_DATE" tableColumnId="11"/>
      <queryTableField id="29" name="曾用名" tableColumnId="16"/>
      <queryTableField id="30" name="主体备注" tableColumnId="17"/>
      <queryTableField id="8" name="行业" tableColumnId="8"/>
      <queryTableField id="9" name="细分行业" tableColumnId="9"/>
      <queryTableField id="10" name="公司类型" tableColumnId="10"/>
      <queryTableField id="31" name="Updator" tableColumnId="18"/>
      <queryTableField id="32" name="Timestamp" tableColumnId="19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3" xr16:uid="{00000000-0016-0000-0400-000008000000}" autoFormatId="16" applyNumberFormats="0" applyBorderFormats="0" applyFontFormats="0" applyPatternFormats="0" applyAlignmentFormats="0" applyWidthHeightFormats="0">
  <queryTableRefresh nextId="57">
    <queryTableFields count="18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_ddsector" displayName="tbl_ddsector" ref="A6:A10" totalsRowShown="0">
  <autoFilter ref="A6:A10" xr:uid="{00000000-0009-0000-0100-000006000000}">
    <filterColumn colId="0" hiddenButton="1"/>
  </autoFilter>
  <tableColumns count="1">
    <tableColumn id="1" xr3:uid="{00000000-0010-0000-0000-000001000000}" name="行业"/>
  </tableColumns>
  <tableStyleInfo name="Named_d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B6:B9" totalsRowShown="0">
  <autoFilter ref="B6:B9" xr:uid="{00000000-0009-0000-0100-000005000000}">
    <filterColumn colId="0" hiddenButton="1"/>
  </autoFilter>
  <tableColumns count="1">
    <tableColumn id="1" xr3:uid="{00000000-0010-0000-0200-000001000000}" name="评级分类"/>
  </tableColumns>
  <tableStyleInfo name="Named_d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dd_crcy" displayName="tbl_dd_crcy" ref="C6:C10" totalsRowShown="0">
  <autoFilter ref="C6:C10" xr:uid="{00000000-0009-0000-0100-000003000000}">
    <filterColumn colId="0" hiddenButton="1"/>
  </autoFilter>
  <tableColumns count="1">
    <tableColumn id="1" xr3:uid="{00000000-0010-0000-0500-000001000000}" name="货币"/>
  </tableColumns>
  <tableStyleInfo name="Named_d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bl_dd_listing" displayName="tbl_dd_listing" ref="D6:D14" totalsRowShown="0">
  <autoFilter ref="D6:D14" xr:uid="{00000000-0009-0000-0100-00000C000000}">
    <filterColumn colId="0" hiddenButton="1"/>
  </autoFilter>
  <tableColumns count="1">
    <tableColumn id="1" xr3:uid="{00000000-0010-0000-0600-000001000000}" name="上市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_dd_structure" displayName="tbl_dd_structure" ref="E6:E15" totalsRowShown="0">
  <autoFilter ref="E6:E15" xr:uid="{00000000-0009-0000-0100-00000D000000}">
    <filterColumn colId="0" hiddenButton="1"/>
  </autoFilter>
  <tableColumns count="1">
    <tableColumn id="1" xr3:uid="{00000000-0010-0000-0700-000001000000}" name="结构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9000000}" name="tbl_dd_region" displayName="tbl_dd_region" ref="A12:A44" totalsRowShown="0" headerRowDxfId="258" dataDxfId="257">
  <autoFilter ref="A12:A44" xr:uid="{00000000-0009-0000-0100-000019000000}">
    <filterColumn colId="0" hiddenButton="1"/>
  </autoFilter>
  <tableColumns count="1">
    <tableColumn id="1" xr3:uid="{00000000-0010-0000-0900-000001000000}" name="地区" dataDxfId="256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A000000}" name="tbl_dd_theme" displayName="tbl_dd_theme" ref="B12:B20" totalsRowShown="0" headerRowDxfId="255" dataDxfId="254">
  <autoFilter ref="B12:B20" xr:uid="{00000000-0009-0000-0100-00001A000000}">
    <filterColumn colId="0" hiddenButton="1"/>
  </autoFilter>
  <tableColumns count="1">
    <tableColumn id="1" xr3:uid="{00000000-0010-0000-0A00-000001000000}" name="主题" dataDxfId="253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D000000}" name="tbl_dd_role" displayName="tbl_dd_role" ref="F6:F10" totalsRowShown="0">
  <autoFilter ref="F6:F10" xr:uid="{00000000-0009-0000-0100-000018000000}">
    <filterColumn colId="0" hiddenButton="1"/>
  </autoFilter>
  <tableColumns count="1">
    <tableColumn id="1" xr3:uid="{00000000-0010-0000-0D00-000001000000}" name="其他交银_ROLE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G6:G10" totalsRowShown="0">
  <autoFilter ref="G6:G10" xr:uid="{00000000-0009-0000-0100-00001D000000}">
    <filterColumn colId="0" hiddenButton="1"/>
  </autoFilter>
  <tableColumns count="1">
    <tableColumn id="1" xr3:uid="{00000000-0010-0000-0F00-000001000000}" name="COVERAGE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I6:I11" tableType="queryTable" totalsRowShown="0">
  <autoFilter ref="I6:I11" xr:uid="{26FE236B-2A97-45BE-82BB-C1AD85E2DB46}">
    <filterColumn colId="0" hiddenButton="1"/>
  </autoFilter>
  <tableColumns count="1">
    <tableColumn id="1" xr3:uid="{DE820937-D9CF-434A-8A46-AEA8816786C6}" uniqueName="1" name="板块" queryTableFieldId="1" dataDxfId="252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J6:J12" tableType="queryTable" totalsRowShown="0">
  <autoFilter ref="J6:J12" xr:uid="{468C1FBA-82A3-4DD0-AF71-D0CA0ACFFFD2}">
    <filterColumn colId="0" hiddenButton="1"/>
  </autoFilter>
  <tableColumns count="1">
    <tableColumn id="1" xr3:uid="{E46ED5D9-5689-449D-A1E6-5A3A303F856D}" uniqueName="1" name="中资属性" queryTableFieldId="1" dataDxfId="251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K6:K12" tableType="queryTable" totalsRowShown="0">
  <autoFilter ref="K6:K12" xr:uid="{FF208760-EA58-4FEC-8BFC-A2D10CC56FD3}">
    <filterColumn colId="0" hiddenButton="1"/>
  </autoFilter>
  <tableColumns count="1">
    <tableColumn id="1" xr3:uid="{E8A08C19-4FDD-411B-A6E1-3AEE07FBDDD9}" uniqueName="1" name="BISL_ROLE" queryTableFieldId="1" dataDxfId="250"/>
  </tableColumns>
  <tableStyleInfo name="Named_d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C9D44-CD1D-472C-AE88-CA3B607FE7CC}" name="BOCOM_DEAL" displayName="BOCOM_DEAL" ref="N6:N15" tableType="queryTable" totalsRowShown="0">
  <autoFilter ref="N6:N15" xr:uid="{BBFF4DEA-A6A6-4E4A-BBFF-5F70C9A4075B}">
    <filterColumn colId="0" hiddenButton="1"/>
  </autoFilter>
  <tableColumns count="1">
    <tableColumn id="1" xr3:uid="{16D02616-7CFF-4860-A675-A380E36236C5}" uniqueName="1" name="BOCOM_DEAL?" queryTableFieldId="1" dataDxfId="249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tbl_updator" displayName="tbl_updator" ref="L6:M11" tableType="queryTable" totalsRowShown="0">
  <autoFilter ref="L6:M11" xr:uid="{999A9F35-E4E0-4D85-AD86-43F048CB5B5A}">
    <filterColumn colId="0" hiddenButton="1"/>
  </autoFilter>
  <tableColumns count="2">
    <tableColumn id="1" xr3:uid="{2AA3E575-2017-4E83-9753-495BF623DBCA}" uniqueName="1" name="Updator" queryTableFieldId="1" dataDxfId="248"/>
    <tableColumn id="2" xr3:uid="{0219E8DB-E4B8-4848-A5DB-8CDC9DBDA325}" uniqueName="2" name="Name" queryTableFieldId="2" dataDxfId="24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O6:O12" tableType="queryTable" totalsRowShown="0">
  <autoFilter ref="O6:O12" xr:uid="{E5A823B0-99ED-4119-B539-A98E411D1243}">
    <filterColumn colId="0" hiddenButton="1"/>
  </autoFilter>
  <tableColumns count="1">
    <tableColumn id="1" xr3:uid="{13497FA3-5E2B-4299-AA74-AB8C753D2866}" uniqueName="1" name="新规角色" queryTableFieldId="1" dataDxfId="246"/>
  </tableColumns>
  <tableStyleInfo name="Named_dd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P6:P14" tableType="queryTable" totalsRowShown="0">
  <autoFilter ref="P6:P14" xr:uid="{C59B98D9-DE6D-4FBE-945C-51BABF760B41}">
    <filterColumn colId="0" hiddenButton="1"/>
  </autoFilter>
  <tableColumns count="1">
    <tableColumn id="1" xr3:uid="{0B5F8960-333E-4BB5-B169-91B90A7CD709}" uniqueName="1" name="结构" queryTableFieldId="1" dataDxfId="245"/>
  </tableColumns>
  <tableStyleInfo name="Named_dd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I1:I2" totalsRowShown="0" headerRowDxfId="244" dataDxfId="243">
  <autoFilter ref="I1:I2" xr:uid="{00000000-0009-0000-0100-00001C000000}">
    <filterColumn colId="0" hiddenButton="1"/>
  </autoFilter>
  <tableColumns count="1">
    <tableColumn id="1" xr3:uid="{00000000-0010-0000-1200-000001000000}" name="Updator" dataDxfId="24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Table_DLDconso" displayName="Table_DLDconso" ref="D10:CE23" tableType="queryTable" totalsRowShown="0">
  <autoFilter ref="D10:CE2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</autoFilter>
  <tableColumns count="80">
    <tableColumn id="67" xr3:uid="{89571AE0-3879-457F-B318-34D498859252}" uniqueName="67" name="Index" queryTableFieldId="107"/>
    <tableColumn id="1" xr3:uid="{00000000-0010-0000-1400-000001000000}" uniqueName="1" name="信用主体" queryTableFieldId="1"/>
    <tableColumn id="23" xr3:uid="{B5A6303E-E7C0-43D0-A6BB-6FDABEE4ABD9}" uniqueName="23" name="英文简称" queryTableFieldId="450"/>
    <tableColumn id="9" xr3:uid="{00000000-0010-0000-1400-000009000000}" uniqueName="9" name="ISIN" queryTableFieldId="9"/>
    <tableColumn id="12" xr3:uid="{00000000-0010-0000-1400-00000C000000}" uniqueName="12" name="定价日" queryTableFieldId="12" dataDxfId="2"/>
    <tableColumn id="8" xr3:uid="{00000000-0010-0000-1400-000008000000}" uniqueName="8" name="债券简称" queryTableFieldId="8"/>
    <tableColumn id="13" xr3:uid="{00000000-0010-0000-1400-00000D000000}" uniqueName="13" name="穆迪/标普" queryTableFieldId="13"/>
    <tableColumn id="14" xr3:uid="{00000000-0010-0000-1400-00000E000000}" uniqueName="14" name="主体评级展望" queryTableFieldId="14"/>
    <tableColumn id="15" xr3:uid="{00000000-0010-0000-1400-00000F000000}" uniqueName="15" name="债项评级" queryTableFieldId="15"/>
    <tableColumn id="26" xr3:uid="{00000000-0010-0000-1400-00001A000000}" uniqueName="26" name="发行规模(亿)" queryTableFieldId="26"/>
    <tableColumn id="27" xr3:uid="{00000000-0010-0000-1400-00001B000000}" uniqueName="27" name="货币" queryTableFieldId="27"/>
    <tableColumn id="28" xr3:uid="{00000000-0010-0000-1400-00001C000000}" uniqueName="28" name="发行期限(年)" queryTableFieldId="28"/>
    <tableColumn id="18" xr3:uid="{976CC2A1-CB1D-46FB-BCEF-7DD409F4944D}" uniqueName="18" name="发行票面利率" queryTableFieldId="402"/>
    <tableColumn id="19" xr3:uid="{00000000-0010-0000-1400-000013000000}" uniqueName="19" name="兑付日" queryTableFieldId="19"/>
    <tableColumn id="30" xr3:uid="{00000000-0010-0000-1400-00001E000000}" uniqueName="30" name="发行场所" queryTableFieldId="30"/>
    <tableColumn id="20" xr3:uid="{2E21E1F0-B3C8-4D63-81C1-4DEA5849D935}" uniqueName="20" name="IPT_DMI" queryTableFieldId="98"/>
    <tableColumn id="21" xr3:uid="{721CAAAA-9532-4A2C-AF68-00307121AC06}" uniqueName="21" name="FPG_DMI" queryTableFieldId="99"/>
    <tableColumn id="22" xr3:uid="{00000000-0010-0000-1400-000016000000}" uniqueName="22" name="收窄幅度(bp)" queryTableFieldId="22" dataDxfId="1"/>
    <tableColumn id="72" xr3:uid="{00000000-0010-0000-1400-000048000000}" uniqueName="72" name="发行方式" queryTableFieldId="93"/>
    <tableColumn id="62" xr3:uid="{9E4808FC-4C9C-428D-82BA-2929B856B8D6}" uniqueName="62" name="发行架构" queryTableFieldId="144"/>
    <tableColumn id="24" xr3:uid="{00000000-0010-0000-1400-000018000000}" uniqueName="24" name="SBLC提供者" queryTableFieldId="24"/>
    <tableColumn id="25" xr3:uid="{00000000-0010-0000-1400-000019000000}" uniqueName="25" name="偿还顺位" queryTableFieldId="25"/>
    <tableColumn id="29" xr3:uid="{00000000-0010-0000-1400-00001D000000}" uniqueName="29" name="发行价" queryTableFieldId="29"/>
    <tableColumn id="31" xr3:uid="{00000000-0010-0000-1400-00001F000000}" uniqueName="31" name="首日涨跌" queryTableFieldId="31"/>
    <tableColumn id="5" xr3:uid="{00000000-0010-0000-1400-000005000000}" uniqueName="5" name="省份" queryTableFieldId="5"/>
    <tableColumn id="6" xr3:uid="{00000000-0010-0000-1400-000006000000}" uniqueName="6" name="城市" queryTableFieldId="6"/>
    <tableColumn id="7" xr3:uid="{00000000-0010-0000-1400-000007000000}" uniqueName="7" name="区县" queryTableFieldId="7" dataDxfId="0"/>
    <tableColumn id="32" xr3:uid="{00000000-0010-0000-1400-000020000000}" uniqueName="32" name="认购额(亿)" queryTableFieldId="32"/>
    <tableColumn id="33" xr3:uid="{00000000-0010-0000-1400-000021000000}" uniqueName="33" name="认购倍数" queryTableFieldId="33"/>
    <tableColumn id="34" xr3:uid="{00000000-0010-0000-1400-000022000000}" uniqueName="34" name="亚洲占比" queryTableFieldId="34"/>
    <tableColumn id="35" xr3:uid="{00000000-0010-0000-1400-000023000000}" uniqueName="35" name="基金占比" queryTableFieldId="35"/>
    <tableColumn id="36" xr3:uid="{00000000-0010-0000-1400-000024000000}" uniqueName="36" name="联席全球协调人" queryTableFieldId="36"/>
    <tableColumn id="4" xr3:uid="{00000000-0010-0000-1400-000004000000}" uniqueName="4" name="细分行业" queryTableFieldId="4"/>
    <tableColumn id="10" xr3:uid="{00000000-0010-0000-1400-00000A000000}" uniqueName="10" name="主题债券" queryTableFieldId="10"/>
    <tableColumn id="16" xr3:uid="{00000000-0010-0000-1400-000010000000}" uniqueName="16" name="债项初始评级" queryTableFieldId="16"/>
    <tableColumn id="17" xr3:uid="{00000000-0010-0000-1400-000011000000}" uniqueName="17" name="境内主体评级" queryTableFieldId="17"/>
    <tableColumn id="3" xr3:uid="{00000000-0010-0000-1400-000003000000}" uniqueName="3" name="行业" queryTableFieldId="3"/>
    <tableColumn id="11" xr3:uid="{00000000-0010-0000-1400-00000B000000}" uniqueName="11" name="评级类型" queryTableFieldId="11"/>
    <tableColumn id="70" xr3:uid="{D4D745FA-E2EC-49A7-8DD6-A7E0C561075E}" uniqueName="70" name="剩余期限" queryTableFieldId="122"/>
    <tableColumn id="2" xr3:uid="{00000000-0010-0000-1400-000002000000}" uniqueName="2" name="公司类型" queryTableFieldId="2"/>
    <tableColumn id="73" xr3:uid="{EC155D5D-7034-4D98-AE8E-9FD72DE0014F}" uniqueName="73" name="投资者账户数" queryTableFieldId="123"/>
    <tableColumn id="76" xr3:uid="{99F5C9BF-819A-4B74-90A6-3D912D600F26}" uniqueName="76" name="筹款用途" queryTableFieldId="126"/>
    <tableColumn id="74" xr3:uid="{F3AEB759-21B8-4CF1-A6A6-D6587E7B0569}" uniqueName="74" name="投资者类型" queryTableFieldId="124"/>
    <tableColumn id="75" xr3:uid="{8379EAC2-F6FB-4868-9327-F4926D5314B2}" uniqueName="75" name="投资者分布" queryTableFieldId="125"/>
    <tableColumn id="37" xr3:uid="{00000000-0010-0000-1400-000025000000}" uniqueName="37" name="ticker" queryTableFieldId="37"/>
    <tableColumn id="38" xr3:uid="{00000000-0010-0000-1400-000026000000}" uniqueName="38" name="债券最新面值" queryTableFieldId="38"/>
    <tableColumn id="39" xr3:uid="{00000000-0010-0000-1400-000027000000}" uniqueName="39" name="债券余额" queryTableFieldId="39"/>
    <tableColumn id="40" xr3:uid="{00000000-0010-0000-1400-000028000000}" uniqueName="40" name="起息日期" queryTableFieldId="40"/>
    <tableColumn id="41" xr3:uid="{00000000-0010-0000-1400-000029000000}" uniqueName="41" name="行权兑付日" queryTableFieldId="41"/>
    <tableColumn id="44" xr3:uid="{00000000-0010-0000-1400-00002C000000}" uniqueName="44" name="首次付息日" queryTableFieldId="44"/>
    <tableColumn id="42" xr3:uid="{00000000-0010-0000-1400-00002A000000}" uniqueName="42" name="最新票面利率" queryTableFieldId="42"/>
    <tableColumn id="43" xr3:uid="{00000000-0010-0000-1400-00002B000000}" uniqueName="43" name="计息基准" queryTableFieldId="43"/>
    <tableColumn id="45" xr3:uid="{00000000-0010-0000-1400-00002D000000}" uniqueName="45" name="发行人" queryTableFieldId="45"/>
    <tableColumn id="58" xr3:uid="{00000000-0010-0000-1400-00003A000000}" uniqueName="58" name="维好协议提供者" queryTableFieldId="58"/>
    <tableColumn id="46" xr3:uid="{00000000-0010-0000-1400-00002E000000}" uniqueName="46" name="担保人" queryTableFieldId="46"/>
    <tableColumn id="47" xr3:uid="{00000000-0010-0000-1400-00002F000000}" uniqueName="47" name="发行起始日" queryTableFieldId="47"/>
    <tableColumn id="77" xr3:uid="{96AB1C8E-595F-43D9-A802-E2A6579CD92F}" uniqueName="77" name="定价_DMI" queryTableFieldId="136"/>
    <tableColumn id="49" xr3:uid="{00000000-0010-0000-1400-000031000000}" uniqueName="49" name="特殊条款说明" queryTableFieldId="49"/>
    <tableColumn id="48" xr3:uid="{00000000-0010-0000-1400-000030000000}" uniqueName="48" name="上市日期" queryTableFieldId="48"/>
    <tableColumn id="52" xr3:uid="{00000000-0010-0000-1400-000034000000}" uniqueName="52" name="是否存单" queryTableFieldId="52"/>
    <tableColumn id="50" xr3:uid="{00000000-0010-0000-1400-000032000000}" uniqueName="50" name="牵头经办人" queryTableFieldId="50"/>
    <tableColumn id="78" xr3:uid="{A0CF3BD1-5FCF-4795-AF10-20DDD23A6110}" uniqueName="78" name="联席账簿管理人" queryTableFieldId="128"/>
    <tableColumn id="51" xr3:uid="{00000000-0010-0000-1400-000033000000}" uniqueName="51" name="是否永续债" queryTableFieldId="51"/>
    <tableColumn id="53" xr3:uid="{00000000-0010-0000-1400-000035000000}" uniqueName="53" name="利率类型" queryTableFieldId="53"/>
    <tableColumn id="54" xr3:uid="{00000000-0010-0000-1400-000036000000}" uniqueName="54" name="交易状态" queryTableFieldId="54"/>
    <tableColumn id="55" xr3:uid="{00000000-0010-0000-1400-000037000000}" uniqueName="55" name="债券类型" queryTableFieldId="55"/>
    <tableColumn id="56" xr3:uid="{00000000-0010-0000-1400-000038000000}" uniqueName="56" name="特殊条款" queryTableFieldId="56"/>
    <tableColumn id="57" xr3:uid="{00000000-0010-0000-1400-000039000000}" uniqueName="57" name="付息频率" queryTableFieldId="57"/>
    <tableColumn id="71" xr3:uid="{00000000-0010-0000-1400-000047000000}" uniqueName="71" name="地区" queryTableFieldId="91"/>
    <tableColumn id="60" xr3:uid="{FFDB6495-96BB-4A1F-8A95-F7E651B4C829}" uniqueName="60" name="亿美元" queryTableFieldId="100"/>
    <tableColumn id="64" xr3:uid="{8A4D7B30-87EA-4608-AF0A-57BD31C54E25}" uniqueName="64" name="亿元" queryTableFieldId="105"/>
    <tableColumn id="69" xr3:uid="{CF2B540E-0281-473E-8195-E64D9272102B}" uniqueName="69" name="亿港币" queryTableFieldId="120"/>
    <tableColumn id="79" xr3:uid="{4D5A05D7-BD47-4CF2-BA37-25E4CD582264}" uniqueName="79" name="注册成立地" queryTableFieldId="140"/>
    <tableColumn id="80" xr3:uid="{7D0B3F21-10BB-4E32-89D1-69E4FA31A948}" uniqueName="80" name="发行人主上市地" queryTableFieldId="507"/>
    <tableColumn id="63" xr3:uid="{222E9603-970D-4782-9F61-BA306470C980}" uniqueName="63" name="补充OMAS updates" queryTableFieldId="111"/>
    <tableColumn id="65" xr3:uid="{80765AA5-3F0E-470B-9194-548C15E96FE2}" uniqueName="65" name="定价息差" queryTableFieldId="112"/>
    <tableColumn id="66" xr3:uid="{835384CB-5EA1-4AA5-80C7-6E7A7E31992D}" uniqueName="66" name="发行评级" queryTableFieldId="113"/>
    <tableColumn id="68" xr3:uid="{3FAE810C-DBB1-4EA1-887E-C959C6AEE507}" uniqueName="68" name="主体评级" queryTableFieldId="114"/>
    <tableColumn id="59" xr3:uid="{00000000-0010-0000-1400-00003B000000}" uniqueName="59" name="Check" queryTableFieldId="59"/>
    <tableColumn id="61" xr3:uid="{C8615552-A40D-44A0-968D-B22B635B4874}" uniqueName="61" name="IS_FIMTN" queryTableFieldId="109"/>
  </tableColumns>
  <tableStyleInfo name="Qry Load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B10:B11" tableType="queryTable" totalsRowShown="0">
  <autoFilter ref="B10:B11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B13:B14" tableType="queryTable" totalsRowShown="0">
  <autoFilter ref="B13:B14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240"/>
  </tableColumns>
  <tableStyleInfo name="Qry Load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18" tableType="queryTable" totalsRowShown="0">
  <autoFilter ref="C5:AD18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239"/>
    <tableColumn id="2" xr3:uid="{00000000-0010-0000-1700-000002000000}" uniqueName="2" name="信用主体" queryTableFieldId="2"/>
    <tableColumn id="4" xr3:uid="{00000000-0010-0000-1700-000004000000}" uniqueName="4" name="主体评级" queryTableFieldId="36"/>
    <tableColumn id="6" xr3:uid="{00000000-0010-0000-1700-000006000000}" uniqueName="6" name="发行评级" queryTableFieldId="6"/>
    <tableColumn id="30" xr3:uid="{510F9677-E5E7-4EF2-B231-02CFB970A361}" uniqueName="30" name="备证行" queryTableFieldId="71"/>
    <tableColumn id="15" xr3:uid="{E24E777A-D49C-4B3E-93AA-DFAEBA57F42B}" uniqueName="15" name="ESG" queryTableFieldId="55"/>
    <tableColumn id="12" xr3:uid="{00000000-0010-0000-1700-00000C000000}" uniqueName="12" name="IPG" queryTableFieldId="12"/>
    <tableColumn id="13" xr3:uid="{00000000-0010-0000-1700-00000D000000}" uniqueName="13" name="FPG" queryTableFieldId="13"/>
    <tableColumn id="14" xr3:uid="{00000000-0010-0000-1700-00000E000000}" uniqueName="14" name="收窄基点" queryTableFieldId="14"/>
    <tableColumn id="25" xr3:uid="{00000000-0010-0000-1700-000019000000}" uniqueName="25" name="定价" queryTableFieldId="25"/>
    <tableColumn id="31" xr3:uid="{FFCE47EB-D5CF-4D34-81FA-065EDA65F5D5}" uniqueName="31" name="增发判定" queryTableFieldId="72"/>
    <tableColumn id="7" xr3:uid="{CF54548E-CA29-447B-8DEF-9AFB019B9DDA}" uniqueName="7" name="结构" queryTableFieldId="110"/>
    <tableColumn id="8" xr3:uid="{00000000-0010-0000-1700-000008000000}" uniqueName="8" name="货币" queryTableFieldId="8"/>
    <tableColumn id="9" xr3:uid="{00000000-0010-0000-1700-000009000000}" uniqueName="9" name="发行规模(亿)" queryTableFieldId="9"/>
    <tableColumn id="5" xr3:uid="{A465A109-439B-46CC-B8D9-8536815366D7}" uniqueName="5" name="年期" queryTableFieldId="52"/>
    <tableColumn id="11" xr3:uid="{00000000-0010-0000-1700-00000B000000}" uniqueName="11" name="票息" queryTableFieldId="11"/>
    <tableColumn id="20" xr3:uid="{7E19D719-1D4A-42E1-9F7A-3CD7D5DA6A44}" uniqueName="20" name="FEATURED" queryTableFieldId="57"/>
    <tableColumn id="33" xr3:uid="{F7F8C15B-103F-4121-B909-0AA998B5A268}" uniqueName="33" name="上市" queryTableFieldId="73"/>
    <tableColumn id="26" xr3:uid="{00000000-0010-0000-1700-00001A000000}" uniqueName="26" name="定价基准" queryTableFieldId="26"/>
    <tableColumn id="27" xr3:uid="{00000000-0010-0000-1700-00001B000000}" uniqueName="27" name="发行票面利率" queryTableFieldId="27"/>
    <tableColumn id="32" xr3:uid="{00000000-0010-0000-1700-000020000000}" uniqueName="32" name="境内主体评级" queryTableFieldId="32"/>
    <tableColumn id="3" xr3:uid="{0D8767D9-8A3E-4DE0-A81A-BA74924ABBE9}" uniqueName="3" name="通过分行" queryTableFieldId="80"/>
    <tableColumn id="34" xr3:uid="{54CE4E1B-194A-4B7A-8136-018BFA61D12B}" uniqueName="34" name="期限备注" queryTableFieldId="82"/>
    <tableColumn id="35" xr3:uid="{00000000-0010-0000-1700-000023000000}" uniqueName="35" name="ISIN" queryTableFieldId="35"/>
    <tableColumn id="23" xr3:uid="{00000000-0010-0000-1700-000017000000}" uniqueName="23" name="亿美元" queryTableFieldId="23"/>
    <tableColumn id="24" xr3:uid="{00000000-0010-0000-1700-000018000000}" uniqueName="24" name="亿元" queryTableFieldId="24"/>
    <tableColumn id="21" xr3:uid="{02205151-A1BC-4641-96CA-0A9C736A8B39}" uniqueName="21" name="亿港币" queryTableFieldId="84"/>
    <tableColumn id="19" xr3:uid="{00000000-0010-0000-1700-000013000000}" uniqueName="19" name="Check" queryTableFieldId="49"/>
  </tableColumns>
  <tableStyleInfo name="Qry Load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8" tableType="queryTable" totalsRowShown="0" headerRowDxfId="238" dataDxfId="237">
  <autoFilter ref="AH5:AW8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236"/>
    <tableColumn id="1" xr3:uid="{00000000-0010-0000-1800-000001000000}" uniqueName="1" name="Check" queryTableFieldId="1" dataDxfId="235"/>
    <tableColumn id="2" xr3:uid="{00000000-0010-0000-1800-000002000000}" uniqueName="2" name="ISIN" queryTableFieldId="2" dataDxfId="234"/>
    <tableColumn id="3" xr3:uid="{00000000-0010-0000-1800-000003000000}" uniqueName="3" name="定价日" queryTableFieldId="3" dataDxfId="233"/>
    <tableColumn id="18" xr3:uid="{CE8319FC-590C-4EDF-A68D-FBC91063B4F2}" uniqueName="18" name="台账序号" queryTableFieldId="38" dataDxfId="232"/>
    <tableColumn id="8" xr3:uid="{00000000-0010-0000-1800-000008000000}" uniqueName="8" name="COVERAGE" queryTableFieldId="16" dataDxfId="231"/>
    <tableColumn id="10" xr3:uid="{00000000-0010-0000-1800-00000A000000}" uniqueName="10" name="Project Name" queryTableFieldId="22" dataDxfId="230"/>
    <tableColumn id="12" xr3:uid="{00000000-0010-0000-1800-00000C000000}" uniqueName="12" name="新规角色" queryTableFieldId="12" dataDxfId="229"/>
    <tableColumn id="9" xr3:uid="{00000000-0010-0000-1800-000009000000}" uniqueName="9" name="PROJECT_CODE" queryTableFieldId="17" dataDxfId="228"/>
    <tableColumn id="15" xr3:uid="{00000000-0010-0000-1800-00000F000000}" uniqueName="15" name="期数" queryTableFieldId="15" dataDxfId="227"/>
    <tableColumn id="5" xr3:uid="{00000000-0010-0000-1800-000005000000}" uniqueName="5" name="BISL_ROLE" queryTableFieldId="5" dataDxfId="226"/>
    <tableColumn id="6" xr3:uid="{00000000-0010-0000-1800-000006000000}" uniqueName="6" name="港分_ROLE" queryTableFieldId="20" dataDxfId="225"/>
    <tableColumn id="7" xr3:uid="{00000000-0010-0000-1800-000007000000}" uniqueName="7" name="澳分_ROLE" queryTableFieldId="21" dataDxfId="224"/>
    <tableColumn id="11" xr3:uid="{00000000-0010-0000-1800-00000B000000}" uniqueName="11" name="IS_LEAD" queryTableFieldId="30" dataDxfId="223"/>
    <tableColumn id="13" xr3:uid="{00000000-0010-0000-1800-00000D000000}" uniqueName="13" name="IS_B&amp;D" queryTableFieldId="31" dataDxfId="222"/>
    <tableColumn id="14" xr3:uid="{00000000-0010-0000-1800-00000E000000}" uniqueName="14" name="是否合名" queryTableFieldId="32" dataDxfId="221"/>
  </tableColumns>
  <tableStyleInfo name="Qry Load 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13:AK16" tableType="queryTable" totalsRowShown="0">
  <autoFilter ref="AH13:AK16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220" dataDxfId="219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218"/>
    <tableColumn id="2" xr3:uid="{00000000-0010-0000-1A00-000002000000}" name="信用主体" dataDxfId="217"/>
    <tableColumn id="3" xr3:uid="{00000000-0010-0000-1A00-000003000000}" name="主体评级" dataDxfId="216"/>
    <tableColumn id="4" xr3:uid="{00000000-0010-0000-1A00-000004000000}" name="发行评级" dataDxfId="215"/>
    <tableColumn id="6" xr3:uid="{00000000-0010-0000-1A00-000006000000}" name="备证行" dataDxfId="214"/>
    <tableColumn id="16" xr3:uid="{00000000-0010-0000-1A00-000010000000}" name="ESG" dataDxfId="213"/>
    <tableColumn id="11" xr3:uid="{00000000-0010-0000-1A00-00000B000000}" name="IPG" dataDxfId="212"/>
    <tableColumn id="12" xr3:uid="{00000000-0010-0000-1A00-00000C000000}" name="FPG" dataDxfId="211"/>
    <tableColumn id="13" xr3:uid="{00000000-0010-0000-1A00-00000D000000}" name="收窄基点" dataDxfId="210"/>
    <tableColumn id="14" xr3:uid="{00000000-0010-0000-1A00-00000E000000}" name="定价" dataDxfId="209"/>
    <tableColumn id="19" xr3:uid="{00000000-0010-0000-1A00-000013000000}" name="增发判定" dataDxfId="208"/>
    <tableColumn id="5" xr3:uid="{00000000-0010-0000-1A00-000005000000}" name="结构" dataDxfId="207"/>
    <tableColumn id="7" xr3:uid="{00000000-0010-0000-1A00-000007000000}" name="货币" dataDxfId="206"/>
    <tableColumn id="8" xr3:uid="{00000000-0010-0000-1A00-000008000000}" name="发行规模(亿)" dataDxfId="205"/>
    <tableColumn id="9" xr3:uid="{00000000-0010-0000-1A00-000009000000}" name="年期" dataDxfId="204"/>
    <tableColumn id="10" xr3:uid="{00000000-0010-0000-1A00-00000A000000}" name="票息" dataDxfId="203"/>
    <tableColumn id="17" xr3:uid="{00000000-0010-0000-1A00-000011000000}" name="FEATURED" dataDxfId="202"/>
    <tableColumn id="18" xr3:uid="{00000000-0010-0000-1A00-000012000000}" name="上市" dataDxfId="201"/>
    <tableColumn id="15" xr3:uid="{00000000-0010-0000-1A00-00000F000000}" name="定价基准" dataDxfId="200"/>
    <tableColumn id="20" xr3:uid="{00000000-0010-0000-1A00-000014000000}" name="发行票面利率" dataDxfId="199"/>
    <tableColumn id="21" xr3:uid="{00000000-0010-0000-1A00-000015000000}" name="境内主体评级" dataDxfId="198"/>
    <tableColumn id="22" xr3:uid="{00000000-0010-0000-1A00-000016000000}" name="通过分行" dataDxfId="197"/>
    <tableColumn id="23" xr3:uid="{00000000-0010-0000-1A00-000017000000}" name="期限备注" dataDxfId="196"/>
    <tableColumn id="24" xr3:uid="{00000000-0010-0000-1A00-000018000000}" name="ISIN" dataDxfId="195"/>
    <tableColumn id="25" xr3:uid="{00000000-0010-0000-1A00-000019000000}" name="亿美元" dataDxfId="194"/>
    <tableColumn id="26" xr3:uid="{00000000-0010-0000-1A00-00001A000000}" name="亿元" dataDxfId="193"/>
    <tableColumn id="27" xr3:uid="{00000000-0010-0000-1A00-00001B000000}" name="亿港币" dataDxfId="192"/>
    <tableColumn id="28" xr3:uid="{00000000-0010-0000-1A00-00001C000000}" name="Check" dataDxfId="191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1" totalsRowShown="0" headerRowDxfId="190" dataDxfId="189">
  <tableColumns count="16">
    <tableColumn id="1" xr3:uid="{00000000-0010-0000-1B00-000001000000}" name="信用主体" dataDxfId="188"/>
    <tableColumn id="2" xr3:uid="{00000000-0010-0000-1B00-000002000000}" name="Check" dataDxfId="187"/>
    <tableColumn id="3" xr3:uid="{00000000-0010-0000-1B00-000003000000}" name="ISIN" dataDxfId="186"/>
    <tableColumn id="4" xr3:uid="{00000000-0010-0000-1B00-000004000000}" name="定价日" dataDxfId="185"/>
    <tableColumn id="5" xr3:uid="{00000000-0010-0000-1B00-000005000000}" name="台账序号" dataDxfId="184"/>
    <tableColumn id="6" xr3:uid="{00000000-0010-0000-1B00-000006000000}" name="COVERAGE" dataDxfId="183"/>
    <tableColumn id="7" xr3:uid="{00000000-0010-0000-1B00-000007000000}" name="Project Name" dataDxfId="182"/>
    <tableColumn id="8" xr3:uid="{00000000-0010-0000-1B00-000008000000}" name="新规角色" dataDxfId="181"/>
    <tableColumn id="9" xr3:uid="{00000000-0010-0000-1B00-000009000000}" name="PROJECT_CODE" dataDxfId="180"/>
    <tableColumn id="10" xr3:uid="{00000000-0010-0000-1B00-00000A000000}" name="期数" dataDxfId="179"/>
    <tableColumn id="11" xr3:uid="{00000000-0010-0000-1B00-00000B000000}" name="BISL_ROLE" dataDxfId="178"/>
    <tableColumn id="12" xr3:uid="{00000000-0010-0000-1B00-00000C000000}" name="港分_ROLE" dataDxfId="177"/>
    <tableColumn id="13" xr3:uid="{00000000-0010-0000-1B00-00000D000000}" name="澳分_ROLE" dataDxfId="176"/>
    <tableColumn id="14" xr3:uid="{00000000-0010-0000-1B00-00000E000000}" name="IS_LEAD" dataDxfId="175"/>
    <tableColumn id="15" xr3:uid="{00000000-0010-0000-1B00-00000F000000}" name="IS_B&amp;D" dataDxfId="174"/>
    <tableColumn id="16" xr3:uid="{4944CEE3-9CA6-4C3E-8070-375A0A0EC795}" name="是否合名" dataDxfId="173"/>
  </tableColumns>
  <tableStyleInfo name="review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172" dataDxfId="171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170"/>
    <tableColumn id="2" xr3:uid="{00000000-0010-0000-1C00-000002000000}" name="SHORTNAMER" dataDxfId="169"/>
    <tableColumn id="3" xr3:uid="{00000000-0010-0000-1C00-000003000000}" name="中资属性" dataDxfId="168"/>
    <tableColumn id="4" xr3:uid="{00000000-0010-0000-1C00-000004000000}" name="板块" dataDxfId="167"/>
  </tableColumns>
  <tableStyleInfo name="review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21" tableType="queryTable" totalsRowShown="0">
  <autoFilter ref="A8:J2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166"/>
    <tableColumn id="2" xr3:uid="{00000000-0010-0000-2000-000002000000}" uniqueName="2" name="ISIN" queryTableFieldId="2" dataDxfId="165"/>
    <tableColumn id="3" xr3:uid="{00000000-0010-0000-2000-000003000000}" uniqueName="3" name="债券简称" queryTableFieldId="3" dataDxfId="164"/>
    <tableColumn id="4" xr3:uid="{00000000-0010-0000-2000-000004000000}" uniqueName="4" name="年期" queryTableFieldId="4" dataDxfId="163"/>
    <tableColumn id="5" xr3:uid="{00000000-0010-0000-2000-000005000000}" uniqueName="5" name="亿美元" queryTableFieldId="5" dataDxfId="162"/>
    <tableColumn id="10" xr3:uid="{4DD127ED-3CFA-482D-824F-8996B3B2FF61}" uniqueName="10" name="货币" queryTableFieldId="10" dataDxfId="161"/>
    <tableColumn id="11" xr3:uid="{736609AE-728A-49BC-8EC6-3BE5EAB61E97}" uniqueName="11" name="板块" queryTableFieldId="12" dataDxfId="160"/>
    <tableColumn id="7" xr3:uid="{00000000-0010-0000-2000-000007000000}" uniqueName="7" name="评级分类" queryTableFieldId="7" dataDxfId="159"/>
    <tableColumn id="8" xr3:uid="{00000000-0010-0000-2000-000008000000}" uniqueName="8" name="品种" queryTableFieldId="8" dataDxfId="158"/>
    <tableColumn id="9" xr3:uid="{00000000-0010-0000-2000-000009000000}" uniqueName="9" name="按年" queryTableFieldId="9" dataDxfId="157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21" tableType="queryTable" totalsRowShown="0">
  <autoFilter ref="P8:AF21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156"/>
    <tableColumn id="33" xr3:uid="{00000000-0010-0000-1D00-000021000000}" uniqueName="33" name="ISIN" queryTableFieldId="33" dataDxfId="155"/>
    <tableColumn id="1" xr3:uid="{00000000-0010-0000-1D00-000001000000}" uniqueName="1" name="定价日" queryTableFieldId="1" dataDxfId="154"/>
    <tableColumn id="3" xr3:uid="{00000000-0010-0000-1D00-000003000000}" uniqueName="3" name="信用主体(备证行)" queryTableFieldId="40" dataDxfId="153"/>
    <tableColumn id="7" xr3:uid="{00000000-0010-0000-1D00-000007000000}" uniqueName="7" name="发行评级" queryTableFieldId="7" dataDxfId="152"/>
    <tableColumn id="9" xr3:uid="{00000000-0010-0000-1D00-000009000000}" uniqueName="9" name="货币" queryTableFieldId="9" dataDxfId="151"/>
    <tableColumn id="10" xr3:uid="{00000000-0010-0000-1D00-00000A000000}" uniqueName="10" name="发行规模(亿)" queryTableFieldId="10" dataDxfId="150"/>
    <tableColumn id="11" xr3:uid="{00000000-0010-0000-1D00-00000B000000}" uniqueName="11" name="年期" queryTableFieldId="11" dataDxfId="149"/>
    <tableColumn id="12" xr3:uid="{00000000-0010-0000-1D00-00000C000000}" uniqueName="12" name="票息" queryTableFieldId="12" dataDxfId="148"/>
    <tableColumn id="13" xr3:uid="{00000000-0010-0000-1D00-00000D000000}" uniqueName="13" name="IPG" queryTableFieldId="13" dataDxfId="147"/>
    <tableColumn id="15" xr3:uid="{00000000-0010-0000-1D00-00000F000000}" uniqueName="15" name="收窄基点" queryTableFieldId="15" dataDxfId="146"/>
    <tableColumn id="16" xr3:uid="{00000000-0010-0000-1D00-000010000000}" uniqueName="16" name="结构" queryTableFieldId="16" dataDxfId="145"/>
    <tableColumn id="17" xr3:uid="{00000000-0010-0000-1D00-000011000000}" uniqueName="17" name="主题" queryTableFieldId="17" dataDxfId="144"/>
    <tableColumn id="4" xr3:uid="{FA4F2C95-A39F-499C-B714-9F3BFC490D1F}" uniqueName="4" name="板块" queryTableFieldId="113"/>
    <tableColumn id="19" xr3:uid="{00000000-0010-0000-1D00-000013000000}" uniqueName="19" name="地区" queryTableFieldId="19" dataDxfId="143"/>
    <tableColumn id="38" xr3:uid="{00000000-0010-0000-1D00-000026000000}" uniqueName="38" name="BOCOM_DEAL?" queryTableFieldId="38" dataDxfId="142"/>
    <tableColumn id="23" xr3:uid="{00000000-0010-0000-1D00-000017000000}" uniqueName="23" name="亿美元" queryTableFieldId="52" dataDxfId="141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C4:E5" tableType="queryTable" totalsRowShown="0">
  <autoFilter ref="C4:E5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 dataDxfId="140"/>
    <tableColumn id="2" xr3:uid="{857E8300-5E00-451D-A87A-FEB801CB337D}" uniqueName="2" name="上周亿美元" queryTableFieldId="2" dataDxfId="139"/>
    <tableColumn id="3" xr3:uid="{53E88003-C23C-428B-99EE-7DB1B6538F3A}" uniqueName="3" name="上周笔数" queryTableFieldId="3" dataDxfId="138"/>
  </tableColumns>
  <tableStyleInfo name="Qry Load 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S4:U5" tableType="queryTable" totalsRowShown="0">
  <autoFilter ref="S4:U5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137"/>
    <tableColumn id="2" xr3:uid="{47FE5343-0DFD-4CFF-B705-96BEB1393CEC}" uniqueName="2" name="上周亿美元" queryTableFieldId="2" dataDxfId="136"/>
    <tableColumn id="3" xr3:uid="{53E645CE-2F6A-4C47-9C37-6B361745E8FA}" uniqueName="3" name="上周笔数" queryTableFieldId="3" dataDxfId="135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totalsRowShown="0" headerRowDxfId="133" dataDxfId="132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131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3" tableType="queryTable" totalsRowShown="0" headerRowDxfId="130" dataDxfId="129">
  <autoFilter ref="A9:F13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128"/>
    <tableColumn id="2" xr3:uid="{6DD35146-7DF1-4CCE-9356-C22B108F4F39}" uniqueName="2" name="板块" queryTableFieldId="214"/>
    <tableColumn id="3" xr3:uid="{00000000-0010-0000-2300-000003000000}" uniqueName="3" name="货币" queryTableFieldId="3" dataDxfId="127"/>
    <tableColumn id="52" xr3:uid="{747DCABA-F2CB-44A1-BB61-12F09EA77A65}" uniqueName="52" name="信用主体(备证行)" queryTableFieldId="74" dataDxfId="126"/>
    <tableColumn id="5" xr3:uid="{00000000-0010-0000-2300-000005000000}" uniqueName="5" name="描述" queryTableFieldId="5" dataDxfId="125"/>
    <tableColumn id="1" xr3:uid="{DCE0C678-7429-4B20-B919-874EAF955EBE}" uniqueName="1" name="Stats描述" queryTableFieldId="213" dataDxfId="124"/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18:F26" tableType="queryTable" totalsRowShown="0" headerRowDxfId="123" dataDxfId="122">
  <autoFilter ref="A18:F26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1" xr3:uid="{00000000-0010-0000-2400-00000B000000}" uniqueName="11" name="Index" queryTableFieldId="22" dataDxfId="121"/>
    <tableColumn id="2" xr3:uid="{2E4D374C-6CDD-42F1-B20B-3BBE7554D480}" uniqueName="2" name="板块" queryTableFieldId="31"/>
    <tableColumn id="3" xr3:uid="{00000000-0010-0000-2400-000003000000}" uniqueName="3" name="货币" queryTableFieldId="3" dataDxfId="120"/>
    <tableColumn id="1" xr3:uid="{2E389034-2B87-4958-B802-5B79867D001B}" uniqueName="1" name="信用主体(备证行)" queryTableFieldId="27" dataDxfId="119"/>
    <tableColumn id="5" xr3:uid="{00000000-0010-0000-2400-000005000000}" uniqueName="5" name="描述" queryTableFieldId="5" dataDxfId="118"/>
    <tableColumn id="4" xr3:uid="{16F5A068-483F-4DF8-A04E-F4CBC2061169}" uniqueName="4" name="Stats描述" queryTableFieldId="30" dataDxfId="117"/>
  </tableColumns>
  <tableStyleInfo name="Qry Load 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23" tableType="queryTable" totalsRowShown="0">
  <autoFilter ref="A12:O23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23">
    <sortCondition descending="1" ref="I12:I23"/>
  </sortState>
  <tableColumns count="15">
    <tableColumn id="1" xr3:uid="{00000000-0010-0000-2600-000001000000}" uniqueName="1" name="Date" queryTableFieldId="1" dataDxfId="116"/>
    <tableColumn id="13" xr3:uid="{00000000-0010-0000-2600-00000D000000}" uniqueName="13" name="Region" queryTableFieldId="13" dataDxfId="115"/>
    <tableColumn id="3" xr3:uid="{00000000-0010-0000-2600-000003000000}" uniqueName="3" name="Event" queryTableFieldId="3" dataDxfId="114"/>
    <tableColumn id="14" xr3:uid="{00000000-0010-0000-2600-00000E000000}" uniqueName="14" name="Period" queryTableFieldId="14" dataDxfId="113"/>
    <tableColumn id="5" xr3:uid="{00000000-0010-0000-2600-000005000000}" uniqueName="5" name="Survey" queryTableFieldId="5" dataDxfId="112"/>
    <tableColumn id="6" xr3:uid="{00000000-0010-0000-2600-000006000000}" uniqueName="6" name="Actual" queryTableFieldId="6" dataDxfId="111"/>
    <tableColumn id="7" xr3:uid="{00000000-0010-0000-2600-000007000000}" uniqueName="7" name="Prior" queryTableFieldId="7" dataDxfId="110"/>
    <tableColumn id="8" xr3:uid="{00000000-0010-0000-2600-000008000000}" uniqueName="8" name="Revised" queryTableFieldId="8" dataDxfId="109"/>
    <tableColumn id="9" xr3:uid="{00000000-0010-0000-2600-000009000000}" uniqueName="9" name="Relevance" queryTableFieldId="9" dataDxfId="108"/>
    <tableColumn id="10" xr3:uid="{00000000-0010-0000-2600-00000A000000}" uniqueName="10" name="Ticker" queryTableFieldId="10" dataDxfId="107"/>
    <tableColumn id="11" xr3:uid="{00000000-0010-0000-2600-00000B000000}" uniqueName="11" name="Time" queryTableFieldId="11" dataDxfId="106"/>
    <tableColumn id="15" xr3:uid="{00000000-0010-0000-2600-00000F000000}" uniqueName="15" name="Table" queryTableFieldId="15" dataDxfId="105"/>
    <tableColumn id="17" xr3:uid="{00000000-0010-0000-2600-000011000000}" uniqueName="17" name="区间" queryTableFieldId="22" dataDxfId="104"/>
    <tableColumn id="18" xr3:uid="{00000000-0010-0000-2600-000012000000}" uniqueName="18" name="范围" queryTableFieldId="23" dataDxfId="103"/>
    <tableColumn id="16" xr3:uid="{00000000-0010-0000-2600-000010000000}" uniqueName="16" name="上周主要经济数据" queryTableFieldId="16" dataDxfId="102"/>
  </tableColumns>
  <tableStyleInfo name="Qry Load 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101" dataDxfId="100">
  <autoFilter ref="B2:G8" xr:uid="{644E2A09-C7EB-4F82-B548-1142239A8942}"/>
  <sortState ref="B3:G8">
    <sortCondition ref="D2:D8"/>
  </sortState>
  <tableColumns count="6">
    <tableColumn id="6" xr3:uid="{00000000-0010-0000-2700-000006000000}" name="Index" dataDxfId="99"/>
    <tableColumn id="1" xr3:uid="{00000000-0010-0000-2700-000001000000}" name="上周主要经济数据" dataDxfId="98"/>
    <tableColumn id="2" xr3:uid="{00000000-0010-0000-2700-000002000000}" name="发布(HKT) " dataDxfId="97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96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95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94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32" tableType="queryTable" totalsRowShown="0" dataDxfId="93">
  <autoFilter ref="A10:O32" xr:uid="{EC380FD7-61D3-49F7-9E43-37885EA54264}"/>
  <sortState ref="A11:O32">
    <sortCondition descending="1" ref="I10:I32"/>
  </sortState>
  <tableColumns count="15">
    <tableColumn id="1" xr3:uid="{00000000-0010-0000-2800-000001000000}" uniqueName="1" name="Date" queryTableFieldId="1" dataDxfId="92"/>
    <tableColumn id="2" xr3:uid="{00000000-0010-0000-2800-000002000000}" uniqueName="2" name="Region" queryTableFieldId="2" dataDxfId="91"/>
    <tableColumn id="3" xr3:uid="{00000000-0010-0000-2800-000003000000}" uniqueName="3" name="Event" queryTableFieldId="3" dataDxfId="90"/>
    <tableColumn id="4" xr3:uid="{00000000-0010-0000-2800-000004000000}" uniqueName="4" name="Period" queryTableFieldId="4" dataDxfId="89"/>
    <tableColumn id="5" xr3:uid="{00000000-0010-0000-2800-000005000000}" uniqueName="5" name="Survey" queryTableFieldId="5" dataDxfId="88"/>
    <tableColumn id="6" xr3:uid="{00000000-0010-0000-2800-000006000000}" uniqueName="6" name="Actual" queryTableFieldId="6" dataDxfId="87"/>
    <tableColumn id="7" xr3:uid="{00000000-0010-0000-2800-000007000000}" uniqueName="7" name="Prior" queryTableFieldId="7" dataDxfId="86"/>
    <tableColumn id="8" xr3:uid="{00000000-0010-0000-2800-000008000000}" uniqueName="8" name="Revised" queryTableFieldId="8" dataDxfId="85"/>
    <tableColumn id="9" xr3:uid="{00000000-0010-0000-2800-000009000000}" uniqueName="9" name="Relevance" queryTableFieldId="9" dataDxfId="84"/>
    <tableColumn id="10" xr3:uid="{00000000-0010-0000-2800-00000A000000}" uniqueName="10" name="Ticker" queryTableFieldId="10" dataDxfId="83"/>
    <tableColumn id="11" xr3:uid="{00000000-0010-0000-2800-00000B000000}" uniqueName="11" name="Time" queryTableFieldId="11" dataDxfId="82"/>
    <tableColumn id="12" xr3:uid="{00000000-0010-0000-2800-00000C000000}" uniqueName="12" name="Table" queryTableFieldId="12" dataDxfId="81"/>
    <tableColumn id="14" xr3:uid="{00000000-0010-0000-2800-00000E000000}" uniqueName="14" name="区间" queryTableFieldId="14" dataDxfId="80"/>
    <tableColumn id="15" xr3:uid="{00000000-0010-0000-2800-00000F000000}" uniqueName="15" name="范围" queryTableFieldId="15" dataDxfId="79"/>
    <tableColumn id="16" xr3:uid="{00000000-0010-0000-2800-000010000000}" uniqueName="16" name="未来一周主要经济数据" queryTableFieldId="16" dataDxfId="78"/>
  </tableColumns>
  <tableStyleInfo name="Qry Load 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77" dataDxfId="76">
  <autoFilter ref="B2:F8" xr:uid="{39A1B0C9-8B1C-4C7A-AB01-A5DC6D5CE22B}"/>
  <sortState ref="B3:F8">
    <sortCondition ref="D2:D8"/>
  </sortState>
  <tableColumns count="5">
    <tableColumn id="6" xr3:uid="{00000000-0010-0000-2900-000006000000}" name="Index" dataDxfId="75"/>
    <tableColumn id="1" xr3:uid="{00000000-0010-0000-2900-000001000000}" name="未来一周主要经济数据" dataDxfId="74"/>
    <tableColumn id="2" xr3:uid="{00000000-0010-0000-2900-000002000000}" name="预计发布(HKT) " dataDxfId="73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72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71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Table_WeeklyFIMTN" displayName="Table_WeeklyFIMTN" ref="A5:J8" tableType="queryTable" totalsRowShown="0">
  <autoFilter ref="A5:J8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70"/>
    <tableColumn id="3" xr3:uid="{A4050823-CF41-4CB7-9327-CCA27CCCD0E4}" uniqueName="3" name="ISIN" queryTableFieldId="3" dataDxfId="69"/>
    <tableColumn id="4" xr3:uid="{9D24D768-6BC8-4791-8E2E-C86E5BF82512}" uniqueName="4" name="债券简称" queryTableFieldId="4" dataDxfId="68"/>
    <tableColumn id="5" xr3:uid="{B89E485D-90FD-42CA-8E06-07E227BFAC56}" uniqueName="5" name="年期" queryTableFieldId="5" dataDxfId="67"/>
    <tableColumn id="6" xr3:uid="{48E5A60E-B3FA-4455-ABB7-055B82F3F12D}" uniqueName="6" name="亿美元" queryTableFieldId="6" dataDxfId="66"/>
    <tableColumn id="7" xr3:uid="{E1A849A5-2B7E-46F5-AA30-62AB73378003}" uniqueName="7" name="货币" queryTableFieldId="7" dataDxfId="65"/>
    <tableColumn id="1" xr3:uid="{21EC3522-50EE-494B-B37E-A2DBB3CAFDF6}" uniqueName="1" name="板块" queryTableFieldId="12" dataDxfId="64"/>
    <tableColumn id="9" xr3:uid="{8518B990-BE3D-498F-99C1-D5BB48BDB6F4}" uniqueName="9" name="评级分类" queryTableFieldId="9" dataDxfId="63"/>
    <tableColumn id="10" xr3:uid="{B1604B6E-D553-4497-BF5C-15D6A76CC790}" uniqueName="10" name="品种" queryTableFieldId="10" dataDxfId="62"/>
    <tableColumn id="11" xr3:uid="{CE10F02A-05E7-45BB-9E38-F4B08F95D57D}" uniqueName="11" name="按年" queryTableFieldId="11" dataDxfId="61"/>
  </tableColumns>
  <tableStyleInfo name="Qry Load 4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Q21" tableType="queryTable" totalsRowShown="0">
  <autoFilter ref="A5:BQ21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</autoFilter>
  <tableColumns count="69">
    <tableColumn id="1" xr3:uid="{65CE1E33-8359-4C0B-9221-1E30F7E1CEF4}" uniqueName="1" name="信用主体" queryTableFieldId="1"/>
    <tableColumn id="24" xr3:uid="{A81CDE9A-F459-467A-95A6-76B9882E80D7}" uniqueName="24" name="英文简称" queryTableFieldId="384"/>
    <tableColumn id="9" xr3:uid="{6CF5A73E-65DE-485F-A790-2A65D986DCCA}" uniqueName="9" name="ISIN" queryTableFieldId="9"/>
    <tableColumn id="12" xr3:uid="{2FAEB098-B99A-49BC-8F9E-60BB22B8B1A8}" uniqueName="12" name="定价日" queryTableFieldId="12" dataDxfId="60"/>
    <tableColumn id="8" xr3:uid="{5ABB02D5-4AA9-47AD-B0BA-BE18B2B3C4DE}" uniqueName="8" name="债券简称" queryTableFieldId="8"/>
    <tableColumn id="13" xr3:uid="{5E4165C1-E3B4-48D3-8D3A-10EB35D470E0}" uniqueName="13" name="穆迪/标普" queryTableFieldId="13"/>
    <tableColumn id="14" xr3:uid="{D0CD7E0A-5738-4057-9BC0-77E832B4C25E}" uniqueName="14" name="主体评级展望" queryTableFieldId="14"/>
    <tableColumn id="15" xr3:uid="{32ECF4B7-EF13-4935-98C6-7E853C1916B9}" uniqueName="15" name="债项评级" queryTableFieldId="15"/>
    <tableColumn id="27" xr3:uid="{00C79F5A-7701-4B0D-8C7E-8C5F683178C5}" uniqueName="27" name="发行规模(亿)" queryTableFieldId="27"/>
    <tableColumn id="28" xr3:uid="{E7406E52-8977-4808-A788-298B36157479}" uniqueName="28" name="货币" queryTableFieldId="28"/>
    <tableColumn id="29" xr3:uid="{697EF4DB-C377-4637-A8D4-B512822D8F0E}" uniqueName="29" name="发行期限(年)" queryTableFieldId="29"/>
    <tableColumn id="18" xr3:uid="{50B52BF9-BA98-4CD8-B6A2-4F8187974C4E}" uniqueName="18" name="发行票面利率" queryTableFieldId="336"/>
    <tableColumn id="19" xr3:uid="{4C2677D7-B95D-4CBD-97D0-A324C689DECD}" uniqueName="19" name="兑付日" queryTableFieldId="19" dataDxfId="59"/>
    <tableColumn id="31" xr3:uid="{9394B226-D977-440D-BBB4-696AAAD92014}" uniqueName="31" name="发行场所" queryTableFieldId="31"/>
    <tableColumn id="20" xr3:uid="{140F0A6F-50E8-4D1A-8A9F-8D00CEE04850}" uniqueName="20" name="IPT_DMI" queryTableFieldId="20"/>
    <tableColumn id="21" xr3:uid="{536CD873-CE57-4DE2-A54F-18E33D004325}" uniqueName="21" name="FPG_DMI" queryTableFieldId="21"/>
    <tableColumn id="22" xr3:uid="{82FAF641-AB3E-4935-B71A-3C539F35361C}" uniqueName="22" name="收窄幅度(bp)" queryTableFieldId="22" dataDxfId="58"/>
    <tableColumn id="23" xr3:uid="{50116619-6391-40C5-AAE1-F0D778876139}" uniqueName="23" name="发行方式" queryTableFieldId="23"/>
    <tableColumn id="69" xr3:uid="{66B79F56-B661-4ED8-8D3C-3F444AAC1C7D}" uniqueName="69" name="发行架构" queryTableFieldId="78"/>
    <tableColumn id="25" xr3:uid="{89B2DB1E-4CFE-4140-9A07-0F1E43F6C9AC}" uniqueName="25" name="SBLC提供者" queryTableFieldId="25"/>
    <tableColumn id="26" xr3:uid="{C94A4441-8480-4C30-99DA-F2FF91A5E801}" uniqueName="26" name="偿还顺位" queryTableFieldId="26"/>
    <tableColumn id="30" xr3:uid="{6BA1C82B-55CF-4344-AFEE-FD6746AB9A6C}" uniqueName="30" name="发行价" queryTableFieldId="30"/>
    <tableColumn id="32" xr3:uid="{A6056AD5-48AD-4001-A74C-ECA77FC26CB2}" uniqueName="32" name="首日涨跌" queryTableFieldId="32"/>
    <tableColumn id="5" xr3:uid="{FFD49085-9527-4367-B0C2-2E8443581C7C}" uniqueName="5" name="省份" queryTableFieldId="5"/>
    <tableColumn id="6" xr3:uid="{851B0F66-A6A0-4EE3-AEC3-02593C4D8B13}" uniqueName="6" name="城市" queryTableFieldId="6"/>
    <tableColumn id="7" xr3:uid="{015C4268-F544-4F8B-A375-27371977DA3A}" uniqueName="7" name="区县" queryTableFieldId="7"/>
    <tableColumn id="33" xr3:uid="{072BF78A-2040-4CCF-95BA-462ACF02A26B}" uniqueName="33" name="认购额(亿)" queryTableFieldId="33" dataDxfId="57"/>
    <tableColumn id="34" xr3:uid="{79315342-FB4B-48FA-9D0E-BB5182F1342A}" uniqueName="34" name="认购倍数" queryTableFieldId="34" dataDxfId="56"/>
    <tableColumn id="35" xr3:uid="{3B7B9C0D-05D5-4554-9DD5-4648FC9FD35A}" uniqueName="35" name="亚洲占比" queryTableFieldId="35"/>
    <tableColumn id="36" xr3:uid="{7E161805-3582-4E8B-AD1E-8D44C6578511}" uniqueName="36" name="基金占比" queryTableFieldId="36"/>
    <tableColumn id="37" xr3:uid="{678B1454-0186-4392-9084-8A4631663D07}" uniqueName="37" name="联席全球协调人" queryTableFieldId="37"/>
    <tableColumn id="4" xr3:uid="{F2F32A9C-87BC-497A-A806-ABCC694FD9DD}" uniqueName="4" name="细分行业" queryTableFieldId="4"/>
    <tableColumn id="10" xr3:uid="{43CE6995-65BA-4391-BADA-3C1BCBA73A55}" uniqueName="10" name="主题债券" queryTableFieldId="10"/>
    <tableColumn id="16" xr3:uid="{31CB77BA-C75C-4904-BE05-EA3D31CB0E8E}" uniqueName="16" name="债项初始评级" queryTableFieldId="16"/>
    <tableColumn id="17" xr3:uid="{EAB58105-9561-4364-BE64-FA9715A8F45D}" uniqueName="17" name="境内主体评级" queryTableFieldId="17"/>
    <tableColumn id="3" xr3:uid="{0D6292F2-14C6-4D00-9C2B-D4771C6FCBEB}" uniqueName="3" name="行业" queryTableFieldId="3"/>
    <tableColumn id="11" xr3:uid="{A0E133D3-082C-430A-8830-87B8C99C392A}" uniqueName="11" name="评级类型" queryTableFieldId="11"/>
    <tableColumn id="62" xr3:uid="{788704BA-E54A-4436-9FC7-E5EEF473C596}" uniqueName="62" name="剩余期限" queryTableFieldId="62"/>
    <tableColumn id="2" xr3:uid="{D2679A15-B28C-4B9B-90D8-85DA1F060224}" uniqueName="2" name="公司类型" queryTableFieldId="2"/>
    <tableColumn id="63" xr3:uid="{EE264CCC-DCFC-4688-9A0B-4A404F87045B}" uniqueName="63" name="投资者账户数" queryTableFieldId="63"/>
    <tableColumn id="66" xr3:uid="{CC4128EA-9B08-4BCD-B35C-71CF4AAFA24C}" uniqueName="66" name="筹款用途" queryTableFieldId="66"/>
    <tableColumn id="64" xr3:uid="{EAE71064-4CB1-4B07-944E-84D6F3C49081}" uniqueName="64" name="投资者类型" queryTableFieldId="64"/>
    <tableColumn id="65" xr3:uid="{E7174B24-DE40-43F6-8633-438CBA936C58}" uniqueName="65" name="投资者分布" queryTableFieldId="65"/>
    <tableColumn id="38" xr3:uid="{975ADB86-B00A-4806-9500-96E93B0E8E67}" uniqueName="38" name="ticker" queryTableFieldId="38"/>
    <tableColumn id="39" xr3:uid="{72AA5BB3-7E54-4DE0-9CE8-13DDE5A6A94C}" uniqueName="39" name="债券最新面值" queryTableFieldId="39"/>
    <tableColumn id="40" xr3:uid="{4EE46BC2-E1CF-462A-A03E-DF0563BE31D9}" uniqueName="40" name="债券余额" queryTableFieldId="40"/>
    <tableColumn id="41" xr3:uid="{4BFB0F89-8CA1-4D0F-9EB3-325F7C449AB2}" uniqueName="41" name="起息日期" queryTableFieldId="41" dataDxfId="55"/>
    <tableColumn id="42" xr3:uid="{2E685F7F-FFBA-484A-A377-6390F6A585BE}" uniqueName="42" name="行权兑付日" queryTableFieldId="42" dataDxfId="54"/>
    <tableColumn id="45" xr3:uid="{1C61FECB-9E8B-4B0A-A577-E0EADEE6ACB0}" uniqueName="45" name="首次付息日" queryTableFieldId="45" dataDxfId="53"/>
    <tableColumn id="43" xr3:uid="{7A00E475-6904-4819-BC88-02B7AD3D67B7}" uniqueName="43" name="最新票面利率" queryTableFieldId="43"/>
    <tableColumn id="44" xr3:uid="{0E120977-4EC2-4818-BC4D-6CCE5264355E}" uniqueName="44" name="计息基准" queryTableFieldId="44"/>
    <tableColumn id="46" xr3:uid="{20F5098B-FF11-4DA0-A626-7DF045DB0FB3}" uniqueName="46" name="发行人" queryTableFieldId="46"/>
    <tableColumn id="59" xr3:uid="{C8D1AF04-7E6F-4D88-B06F-C8310837A162}" uniqueName="59" name="维好协议提供者" queryTableFieldId="59"/>
    <tableColumn id="47" xr3:uid="{17C9AFD4-5642-48EA-8D06-494AAC11A915}" uniqueName="47" name="担保人" queryTableFieldId="47"/>
    <tableColumn id="48" xr3:uid="{E3D34E72-CB63-4E18-AED9-A3EC74CFDD3C}" uniqueName="48" name="发行起始日" queryTableFieldId="48" dataDxfId="52"/>
    <tableColumn id="67" xr3:uid="{AD599695-8522-46E7-B118-DE2179D8EA71}" uniqueName="67" name="定价_DMI" queryTableFieldId="67"/>
    <tableColumn id="50" xr3:uid="{2215B6A7-05C9-4C6B-8AE1-E60AE330BE07}" uniqueName="50" name="特殊条款说明" queryTableFieldId="50"/>
    <tableColumn id="49" xr3:uid="{1682CF98-DB54-47C3-8A44-144BB70D0821}" uniqueName="49" name="上市日期" queryTableFieldId="49" dataDxfId="51"/>
    <tableColumn id="53" xr3:uid="{74446647-F415-46DC-A41C-CE06D819E843}" uniqueName="53" name="是否存单" queryTableFieldId="53"/>
    <tableColumn id="51" xr3:uid="{E59ECFC4-F0C9-41B1-9733-1AEB70C7437B}" uniqueName="51" name="牵头经办人" queryTableFieldId="51"/>
    <tableColumn id="68" xr3:uid="{DDA77D44-FA04-425D-9DA1-4DAB31A61BB6}" uniqueName="68" name="联席账簿管理人" queryTableFieldId="68"/>
    <tableColumn id="52" xr3:uid="{A98F2AA1-AD8E-4BE7-8B74-C3458DC2EC64}" uniqueName="52" name="是否永续债" queryTableFieldId="52"/>
    <tableColumn id="54" xr3:uid="{D1474CED-58C4-4A46-81D9-D99210D02234}" uniqueName="54" name="利率类型" queryTableFieldId="54"/>
    <tableColumn id="55" xr3:uid="{40CC185A-EE88-4DE1-8A90-03B8F737740F}" uniqueName="55" name="交易状态" queryTableFieldId="55"/>
    <tableColumn id="56" xr3:uid="{6CE7EEB7-7E14-4960-892D-D2B4A752EA7F}" uniqueName="56" name="债券类型" queryTableFieldId="56"/>
    <tableColumn id="57" xr3:uid="{145EA911-7D60-43D2-854F-080D2E91B1E5}" uniqueName="57" name="特殊条款" queryTableFieldId="57"/>
    <tableColumn id="58" xr3:uid="{019381F3-72FB-4C5F-9AB8-FA53CD073BE5}" uniqueName="58" name="付息频率" queryTableFieldId="58"/>
    <tableColumn id="60" xr3:uid="{92CFA544-119D-46AF-AD53-05E6F7709CB5}" uniqueName="60" name="地区" queryTableFieldId="60"/>
    <tableColumn id="61" xr3:uid="{EFAB649D-F0FE-4812-A2D5-2D3BCB496CCA}" uniqueName="61" name="Check" queryTableFieldId="61"/>
  </tableColumns>
  <tableStyleInfo name="review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M27" tableType="queryTable" totalsRowShown="0">
  <autoFilter ref="A5:M27" xr:uid="{FD7ECA0B-0FF6-411A-8C06-812B258A1B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08FCF03-69E0-45CA-8914-D229D5C86DFC}" uniqueName="1" name="Index" queryTableFieldId="1"/>
    <tableColumn id="2" xr3:uid="{C3F732B3-45FA-4844-A166-E4D90A2FF4A7}" uniqueName="2" name="定价日" queryTableFieldId="2"/>
    <tableColumn id="3" xr3:uid="{693984F3-D10B-45D9-B70A-607684C923C4}" uniqueName="3" name="ISIN" queryTableFieldId="3"/>
    <tableColumn id="4" xr3:uid="{B82F24B2-2DE7-431E-BEF8-F7696535CFF8}" uniqueName="4" name="补充OMAS updates" queryTableFieldId="4"/>
    <tableColumn id="5" xr3:uid="{51954C56-B4CD-447B-A9B9-324865237CD6}" uniqueName="5" name="发行评级" queryTableFieldId="5"/>
    <tableColumn id="6" xr3:uid="{AED08928-756A-48CC-A444-204CF6809787}" uniqueName="6" name="发行人注册地" queryTableFieldId="6"/>
    <tableColumn id="13" xr3:uid="{369EC4CC-5DB7-4BCD-99FE-A3F32004470B}" uniqueName="13" name="发行人主上市地" queryTableFieldId="15"/>
    <tableColumn id="7" xr3:uid="{A5B0308D-B1F8-4208-A561-DF94E20F0BAA}" uniqueName="7" name="主体评级" queryTableFieldId="7"/>
    <tableColumn id="8" xr3:uid="{8DD9D5B0-06FC-4925-B90A-757DFCE21989}" uniqueName="8" name="定价息差" queryTableFieldId="8"/>
    <tableColumn id="9" xr3:uid="{6E3DDE2C-C376-4E7A-80DB-DA717BE2BC0D}" uniqueName="9" name="浮息息差" queryTableFieldId="9"/>
    <tableColumn id="10" xr3:uid="{FB6745CE-81E9-4406-ACE4-86067C25D3F3}" uniqueName="10" name="Check" queryTableFieldId="10"/>
    <tableColumn id="11" xr3:uid="{5DB9999E-F7D2-433B-8890-B1C56C19BF69}" uniqueName="11" name="债项BBG" queryTableFieldId="11"/>
    <tableColumn id="12" xr3:uid="{A644B0B6-8830-44E1-848F-4DD23B0FA826}" uniqueName="12" name="主体BBG" queryTableFieldId="12"/>
  </tableColumns>
  <tableStyleInfo name="Qry Load 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8" tableType="queryTable" totalsRowShown="0">
  <autoFilter ref="A5:H8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/>
    <tableColumn id="2" xr3:uid="{315FC98E-B8F8-486A-B226-FDF59406D65F}" uniqueName="2" name="定价日" queryTableFieldId="2" dataDxfId="50"/>
    <tableColumn id="3" xr3:uid="{B54A3A77-1989-4DFF-8375-331766138419}" uniqueName="3" name="债券名称" queryTableFieldId="3"/>
    <tableColumn id="4" xr3:uid="{0D6706BF-6495-4C1A-A63C-43284EE2FE35}" uniqueName="4" name="ISIN" queryTableFieldId="4"/>
    <tableColumn id="5" xr3:uid="{EB58C7EE-E358-43AD-9703-17A9EDF69E5D}" uniqueName="5" name="发行价" queryTableFieldId="5"/>
    <tableColumn id="6" xr3:uid="{3F74B019-98B1-4372-AF0A-53DC78AB3064}" uniqueName="6" name="初始发行价" queryTableFieldId="6"/>
    <tableColumn id="7" xr3:uid="{0F80C7C4-A7BE-4F40-822B-B7C5F8247FF7}" uniqueName="7" name="认购倍数" queryTableFieldId="7"/>
    <tableColumn id="8" xr3:uid="{28C62948-F18B-4A4D-88AD-A4FC4E6A0737}" uniqueName="8" name="首日表现" queryTableFieldId="8"/>
    <tableColumn id="9" xr3:uid="{C69C4FB6-08B5-45AF-9AF7-4C1F46AAE1AB}" uniqueName="9" name="行业" queryTableFieldId="9"/>
    <tableColumn id="10" xr3:uid="{DC0041C0-4531-4065-B9BF-CD8778A86D35}" uniqueName="10" name="最终订单量/峰值订单（亿美元）" queryTableFieldId="10"/>
    <tableColumn id="11" xr3:uid="{28B7D2D8-085E-4201-8DA8-9CB4698F6516}" uniqueName="11" name="WSTIPT" queryTableFieldId="11"/>
    <tableColumn id="12" xr3:uid="{CF71063B-0A8C-44D6-B40D-94C01A017AA1}" uniqueName="12" name="WSTFPT" queryTableFieldId="12"/>
    <tableColumn id="13" xr3:uid="{FC486DC8-207A-41B0-97F5-FD11AD7CAD15}" uniqueName="13" name="Check" queryTableFieldId="13"/>
  </tableColumns>
  <tableStyleInfo name="Qry Source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T17" tableType="queryTable" totalsRowShown="0">
  <autoFilter ref="A4:AT17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</autoFilter>
  <tableColumns count="46">
    <tableColumn id="1" xr3:uid="{791E5B07-BD81-4C7D-914D-F61E0BD81704}" uniqueName="1" name="Index" queryTableFieldId="1" dataDxfId="49"/>
    <tableColumn id="2" xr3:uid="{E4F1AA1A-4561-4DCC-BD36-6E0C0BF9681D}" uniqueName="2" name="信用主体" queryTableFieldId="2" dataDxfId="48"/>
    <tableColumn id="3" xr3:uid="{BCA724F0-8962-4CF8-9F27-DFAB5A7EE57F}" uniqueName="3" name="ISIN" queryTableFieldId="3" dataDxfId="47"/>
    <tableColumn id="4" xr3:uid="{7B86C8AE-E7F7-4B8E-A455-4336C7F9D6D4}" uniqueName="4" name="定价日" queryTableFieldId="4" dataDxfId="46"/>
    <tableColumn id="5" xr3:uid="{8479A384-B664-40C5-817C-35D95E248CA9}" uniqueName="5" name="发行评级" queryTableFieldId="5" dataDxfId="45"/>
    <tableColumn id="6" xr3:uid="{560F1DF2-A9DC-4732-81D4-617CC1DDABEC}" uniqueName="6" name="主体评级" queryTableFieldId="6" dataDxfId="44"/>
    <tableColumn id="7" xr3:uid="{78286578-0202-44D4-898F-7BC8053C30D1}" uniqueName="7" name="境内主体评级" queryTableFieldId="7" dataDxfId="43"/>
    <tableColumn id="8" xr3:uid="{11202A1D-7F53-4AFC-889F-FD580FC6F359}" uniqueName="8" name="货币" queryTableFieldId="8" dataDxfId="42"/>
    <tableColumn id="9" xr3:uid="{00F822E0-673A-426E-97E0-C7C03264A9B7}" uniqueName="9" name="发行规模(亿)" queryTableFieldId="9" dataDxfId="41"/>
    <tableColumn id="10" xr3:uid="{A4600EBC-E807-4C67-B01C-5CD1E3909F2C}" uniqueName="10" name="年期" queryTableFieldId="10" dataDxfId="40"/>
    <tableColumn id="11" xr3:uid="{3882855A-6F78-4733-843C-A5CCC8C71BBE}" uniqueName="11" name="票息" queryTableFieldId="11" dataDxfId="39"/>
    <tableColumn id="12" xr3:uid="{AA7813E9-B7C0-4485-97E4-3E4D3C485DA4}" uniqueName="12" name="IPG" queryTableFieldId="12" dataDxfId="38"/>
    <tableColumn id="13" xr3:uid="{6BC3F1E2-AC4E-42E4-8B1C-4FFDBF40A64D}" uniqueName="13" name="FPG" queryTableFieldId="13" dataDxfId="37"/>
    <tableColumn id="14" xr3:uid="{A56676CE-514E-4236-AF6A-12F9A2068657}" uniqueName="14" name="定价" queryTableFieldId="14" dataDxfId="36"/>
    <tableColumn id="15" xr3:uid="{8DC4F8E2-94E1-4CA7-8249-B35B934BB7A7}" uniqueName="15" name="收窄基点" queryTableFieldId="15" dataDxfId="35"/>
    <tableColumn id="16" xr3:uid="{2A30FA30-EA68-445A-B3B2-07A216AE817C}" uniqueName="16" name="定价基准" queryTableFieldId="16" dataDxfId="34"/>
    <tableColumn id="18" xr3:uid="{68B928C8-F110-4275-943D-B563184CF448}" uniqueName="18" name="发行价" queryTableFieldId="39" dataDxfId="33"/>
    <tableColumn id="17" xr3:uid="{0ACF0E03-B0D4-4057-BF46-E322F4936C17}" uniqueName="17" name="结构" queryTableFieldId="17" dataDxfId="32"/>
    <tableColumn id="19" xr3:uid="{979EE12C-AD42-4833-8A99-EC817C6F2D45}" uniqueName="19" name="上市" queryTableFieldId="19" dataDxfId="31"/>
    <tableColumn id="20" xr3:uid="{E6204F0C-29FB-48D4-9E0E-4731335D7A28}" uniqueName="20" name="港分_ROLE" queryTableFieldId="20" dataDxfId="30"/>
    <tableColumn id="21" xr3:uid="{DBF246C1-9F14-46AE-BBC3-92DB6B28A9F5}" uniqueName="21" name="澳分_ROLE" queryTableFieldId="21" dataDxfId="29"/>
    <tableColumn id="22" xr3:uid="{A427B15A-1E3B-4176-8AAF-3C66C694FA16}" uniqueName="22" name="增发判定" queryTableFieldId="22" dataDxfId="28"/>
    <tableColumn id="26" xr3:uid="{D81B8EC4-1E43-4536-91C9-D9443CB5B5E6}" uniqueName="26" name="付息频率" queryTableFieldId="40" dataDxfId="27"/>
    <tableColumn id="27" xr3:uid="{1B4F1862-A915-4343-BD42-60FE8D9C5914}" uniqueName="27" name="起息日期" queryTableFieldId="41" dataDxfId="26"/>
    <tableColumn id="39" xr3:uid="{63B90420-8840-4507-9FE7-AEEA98D3C1EA}" uniqueName="39" name="首次付息日" queryTableFieldId="42" dataDxfId="25"/>
    <tableColumn id="40" xr3:uid="{BD1F8AC9-D7AC-4D02-8E73-E640E429EA37}" uniqueName="40" name="兑付日" queryTableFieldId="43" dataDxfId="24"/>
    <tableColumn id="23" xr3:uid="{32278D46-AAFB-46AC-B876-F0B2F5B3D38C}" uniqueName="23" name="亿美元" queryTableFieldId="23" dataDxfId="23"/>
    <tableColumn id="24" xr3:uid="{1F885E33-0B82-4272-882B-8A2CC2097721}" uniqueName="24" name="亿元" queryTableFieldId="24" dataDxfId="22"/>
    <tableColumn id="25" xr3:uid="{636B29DB-50B6-49B5-9EE5-519500C5F4C5}" uniqueName="25" name="亿港币" queryTableFieldId="25" dataDxfId="21"/>
    <tableColumn id="41" xr3:uid="{88894D22-D148-449D-8AFE-C1E41A6237D0}" uniqueName="41" name="ticker" queryTableFieldId="44" dataDxfId="20"/>
    <tableColumn id="45" xr3:uid="{D35F78CD-33DF-4BE5-B09E-5792350E6F5E}" uniqueName="45" name="注册成立地" queryTableFieldId="57" dataDxfId="19"/>
    <tableColumn id="46" xr3:uid="{8292EA6A-E652-4AD6-980B-A367229A037B}" uniqueName="46" name="发行人主上市地" queryTableFieldId="59" dataDxfId="18"/>
    <tableColumn id="42" xr3:uid="{A2CC7DB9-0BC7-4182-BD08-B5982994B9A6}" uniqueName="42" name="发行人" queryTableFieldId="45" dataDxfId="17"/>
    <tableColumn id="43" xr3:uid="{D8401749-5222-4202-B6A6-652D8A1D8E68}" uniqueName="43" name="担保人" queryTableFieldId="46" dataDxfId="16"/>
    <tableColumn id="44" xr3:uid="{38FFC5B5-8532-438A-9D5B-F9205283973B}" uniqueName="44" name="维好协议提供者" queryTableFieldId="47" dataDxfId="15"/>
    <tableColumn id="28" xr3:uid="{636A1BFB-2DD2-4E7A-8C04-E4AD77737D6B}" uniqueName="28" name="备证行" queryTableFieldId="28" dataDxfId="14"/>
    <tableColumn id="29" xr3:uid="{22C55275-6BA9-4912-9032-F35F16DFEF5E}" uniqueName="29" name="ESG" queryTableFieldId="29" dataDxfId="13"/>
    <tableColumn id="30" xr3:uid="{E89FFB45-1C1B-48CF-9DCC-B98D4629418D}" uniqueName="30" name="FEATURED" queryTableFieldId="30" dataDxfId="12"/>
    <tableColumn id="31" xr3:uid="{C11B3DB5-9721-4EF1-B0A1-D0EB6C66C057}" uniqueName="31" name="亮点" queryTableFieldId="31" dataDxfId="11"/>
    <tableColumn id="32" xr3:uid="{DF9610CA-17E8-4B49-910E-BA6EB58E92E6}" uniqueName="32" name="通过分行" queryTableFieldId="32" dataDxfId="10"/>
    <tableColumn id="33" xr3:uid="{F3F9AA75-29DA-43EE-BB6E-5BA6DF5BB1E3}" uniqueName="33" name="期限备注" queryTableFieldId="33" dataDxfId="9"/>
    <tableColumn id="34" xr3:uid="{4A3208F5-5206-4EA3-95FD-A6BD27F0D520}" uniqueName="34" name="SPECIALs" queryTableFieldId="34" dataDxfId="8"/>
    <tableColumn id="35" xr3:uid="{73AAEBCD-2442-42BC-AB08-3A3863CB5C99}" uniqueName="35" name="OTHER_ISIN" queryTableFieldId="35" dataDxfId="7"/>
    <tableColumn id="36" xr3:uid="{61919150-9D6F-4CBE-8719-CA359C7CA25C}" uniqueName="36" name="Updator" queryTableFieldId="36" dataDxfId="6"/>
    <tableColumn id="37" xr3:uid="{CB28926C-FFC9-47EB-9DA3-BF96F8567F5C}" uniqueName="37" name="Timestamp" queryTableFieldId="37" dataDxfId="5"/>
    <tableColumn id="38" xr3:uid="{3EA076FB-AA17-4F08-9B14-AE62CEE4EA94}" uniqueName="38" name="Check" queryTableFieldId="38" dataDxfId="4"/>
  </tableColumns>
  <tableStyleInfo name="Qry Load 3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T7" tableType="queryTable" totalsRowShown="0">
  <autoFilter ref="A4:T7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839D15CD-929C-426E-BE35-D71776CF4847}" uniqueName="1" name="Index" queryTableFieldId="24"/>
    <tableColumn id="7" xr3:uid="{00000000-0010-0000-2100-000007000000}" uniqueName="7" name="信用主体" queryTableFieldId="7"/>
    <tableColumn id="12" xr3:uid="{D8848C67-C257-40AA-BA2E-11E9707D0C96}" uniqueName="12" name="信用主体简称" queryTableFieldId="25"/>
    <tableColumn id="3" xr3:uid="{B0A40063-19C6-436A-B9D7-8F869CBB7078}" uniqueName="3" name="板块" queryTableFieldId="22"/>
    <tableColumn id="13" xr3:uid="{EF898015-116B-4F44-8180-3FBDA10D157E}" uniqueName="13" name="行业二级" queryTableFieldId="45"/>
    <tableColumn id="4" xr3:uid="{00000000-0010-0000-2100-000004000000}" uniqueName="4" name="地区" queryTableFieldId="4"/>
    <tableColumn id="5" xr3:uid="{00000000-0010-0000-2100-000005000000}" uniqueName="5" name="城市" queryTableFieldId="5"/>
    <tableColumn id="6" xr3:uid="{00000000-0010-0000-2100-000006000000}" uniqueName="6" name="区县" queryTableFieldId="6"/>
    <tableColumn id="14" xr3:uid="{FA0B5668-222B-4765-812C-C03B5B97EC30}" uniqueName="14" name="平台级别" queryTableFieldId="27"/>
    <tableColumn id="2" xr3:uid="{2E2AEFE9-AB5E-4BE5-BAE0-A95DCF912FA9}" uniqueName="2" name="中资属性" queryTableFieldId="12"/>
    <tableColumn id="20" xr3:uid="{0AE5210F-C482-43A4-AC19-BA6841B87837}" uniqueName="20" name="系" queryTableFieldId="56"/>
    <tableColumn id="15" xr3:uid="{9EB1F89B-CC53-4B89-9385-E7B40FF125C7}" uniqueName="15" name="首次违约日" queryTableFieldId="28"/>
    <tableColumn id="11" xr3:uid="{00000000-0010-0000-2100-00000B000000}" uniqueName="11" name="DEBUT_DATE" queryTableFieldId="11" dataDxfId="3"/>
    <tableColumn id="16" xr3:uid="{0B2ECDC0-ECBB-49D2-AE22-30BDCBF42B44}" uniqueName="16" name="曾用名" queryTableFieldId="29"/>
    <tableColumn id="17" xr3:uid="{1E2A9035-C305-4E84-8A00-32F6B16469B0}" uniqueName="17" name="主体备注" queryTableFieldId="30"/>
    <tableColumn id="8" xr3:uid="{00000000-0010-0000-2100-000008000000}" uniqueName="8" name="行业" queryTableFieldId="8"/>
    <tableColumn id="9" xr3:uid="{00000000-0010-0000-2100-000009000000}" uniqueName="9" name="细分行业" queryTableFieldId="9"/>
    <tableColumn id="10" xr3:uid="{00000000-0010-0000-2100-00000A000000}" uniqueName="10" name="公司类型" queryTableFieldId="10"/>
    <tableColumn id="18" xr3:uid="{8745C1D2-A151-43DA-9DB4-BE5C10F1E3EA}" uniqueName="18" name="Updator" queryTableFieldId="31"/>
    <tableColumn id="19" xr3:uid="{DE99903B-F628-4B59-9730-5822264C6BC0}" uniqueName="19" name="Timestamp" queryTableFieldId="32"/>
  </tableColumns>
  <tableStyleInfo name="review 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R8" tableType="queryTable" totalsRowShown="0">
  <autoFilter ref="A5:R8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8">
    <tableColumn id="6" xr3:uid="{3411C0CF-976A-4264-975A-7FF83ECA3A4F}" uniqueName="6" name="Index" queryTableFieldId="33"/>
    <tableColumn id="2" xr3:uid="{00000000-0010-0000-1F00-000002000000}" uniqueName="2" name="ISIN" queryTableFieldId="2"/>
    <tableColumn id="3" xr3:uid="{00000000-0010-0000-1F00-000003000000}" uniqueName="3" name="定价日" queryTableField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" xr3:uid="{00000000-0010-0000-1F00-000001000000}" uniqueName="1" name="Check" queryTableFieldId="1"/>
    <tableColumn id="17" xr3:uid="{9E2825BA-C5C6-41D3-8AB9-1E787BE55C19}" uniqueName="17" name="PRJ对账号" queryTableFieldId="56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4"/>
  <sheetViews>
    <sheetView zoomScale="115" zoomScaleNormal="115" workbookViewId="0">
      <selection activeCell="K10" sqref="K10"/>
    </sheetView>
  </sheetViews>
  <sheetFormatPr defaultColWidth="8.21875" defaultRowHeight="18.75" customHeight="1" outlineLevelRow="1" x14ac:dyDescent="0.25"/>
  <cols>
    <col min="1" max="1" width="8.109375" style="18" bestFit="1" customWidth="1"/>
    <col min="2" max="2" width="8.109375" style="17" bestFit="1" customWidth="1"/>
    <col min="3" max="3" width="11.44140625" style="18" bestFit="1" customWidth="1"/>
    <col min="4" max="4" width="9.33203125" style="10" bestFit="1" customWidth="1"/>
    <col min="5" max="6" width="13.5546875" style="10" bestFit="1" customWidth="1"/>
    <col min="7" max="7" width="11.77734375" style="10" bestFit="1" customWidth="1"/>
    <col min="8" max="8" width="15" style="10" bestFit="1" customWidth="1"/>
    <col min="9" max="9" width="8.33203125" style="10" bestFit="1" customWidth="1"/>
    <col min="10" max="10" width="7.6640625" style="10" bestFit="1" customWidth="1"/>
    <col min="11" max="11" width="10.77734375" style="10" bestFit="1" customWidth="1"/>
    <col min="12" max="12" width="7.88671875" style="10" bestFit="1" customWidth="1"/>
    <col min="13" max="13" width="7.33203125" style="10" bestFit="1" customWidth="1"/>
    <col min="14" max="14" width="20.44140625" style="10" bestFit="1" customWidth="1"/>
    <col min="15" max="15" width="11.77734375" style="10" bestFit="1" customWidth="1"/>
    <col min="16" max="16" width="8.88671875" style="10" bestFit="1" customWidth="1"/>
    <col min="17" max="17" width="7.109375" style="10" bestFit="1" customWidth="1"/>
    <col min="18" max="18" width="7.88671875" style="10" bestFit="1" customWidth="1"/>
    <col min="19" max="19" width="23.109375" style="10" bestFit="1" customWidth="1"/>
    <col min="20" max="20" width="7.21875" style="10" bestFit="1" customWidth="1"/>
    <col min="21" max="21" width="15.5546875" style="10" bestFit="1" customWidth="1"/>
    <col min="22" max="22" width="15.5546875" style="10" customWidth="1"/>
    <col min="23" max="23" width="8.109375" style="10" bestFit="1" customWidth="1"/>
    <col min="24" max="24" width="9" style="10" bestFit="1" customWidth="1"/>
    <col min="25" max="25" width="7.109375" style="10" bestFit="1" customWidth="1"/>
    <col min="26" max="26" width="10.6640625" style="10" bestFit="1" customWidth="1"/>
    <col min="27" max="27" width="7.109375" style="10" bestFit="1" customWidth="1"/>
    <col min="28" max="28" width="15.21875" style="10" bestFit="1" customWidth="1"/>
    <col min="29" max="29" width="7.109375" style="10" bestFit="1" customWidth="1"/>
    <col min="30" max="30" width="5.77734375" style="10" bestFit="1" customWidth="1"/>
    <col min="31" max="31" width="7.109375" style="10" bestFit="1" customWidth="1"/>
    <col min="32" max="16384" width="8.21875" style="10"/>
  </cols>
  <sheetData>
    <row r="1" spans="1:16" ht="18.75" customHeight="1" x14ac:dyDescent="0.25">
      <c r="A1" s="54" t="str">
        <f ca="1" xml:space="preserve"> IF(ISNUMBER(FIND("ktkt2",CELL("filename"))),"Remote",IF(ISNUMBER(FIND("docs.live",CELL("filename"))),"Remote","Global"))</f>
        <v>Global</v>
      </c>
      <c r="B1" s="8"/>
      <c r="C1" s="9"/>
      <c r="D1" s="14"/>
      <c r="E1" s="11"/>
      <c r="F1" s="12"/>
      <c r="G1" s="15"/>
      <c r="H1" s="13"/>
      <c r="I1" s="14"/>
    </row>
    <row r="2" spans="1:16" ht="18.75" customHeight="1" outlineLevel="1" x14ac:dyDescent="0.25">
      <c r="A2" s="10"/>
      <c r="B2" s="10"/>
      <c r="C2" s="10"/>
    </row>
    <row r="3" spans="1:16" ht="18.75" customHeight="1" outlineLevel="1" x14ac:dyDescent="0.25">
      <c r="A3" s="10"/>
      <c r="B3" s="10"/>
      <c r="C3" s="10"/>
    </row>
    <row r="4" spans="1:16" ht="18.75" customHeight="1" outlineLevel="1" x14ac:dyDescent="0.25">
      <c r="A4" s="10"/>
      <c r="B4" s="10"/>
      <c r="C4" s="10"/>
    </row>
    <row r="5" spans="1:16" ht="18.75" customHeight="1" outlineLevel="1" x14ac:dyDescent="0.25">
      <c r="A5" s="17"/>
      <c r="B5" s="18"/>
      <c r="C5" s="10"/>
    </row>
    <row r="6" spans="1:16" ht="15" x14ac:dyDescent="0.25">
      <c r="A6" s="60" t="s">
        <v>50</v>
      </c>
      <c r="B6" s="59" t="s">
        <v>104</v>
      </c>
      <c r="C6" s="59" t="s">
        <v>72</v>
      </c>
      <c r="D6" s="42" t="s">
        <v>102</v>
      </c>
      <c r="E6" s="42" t="s">
        <v>99</v>
      </c>
      <c r="F6" s="40" t="s">
        <v>181</v>
      </c>
      <c r="G6" s="40" t="s">
        <v>202</v>
      </c>
      <c r="I6" s="40" t="s">
        <v>268</v>
      </c>
      <c r="J6" s="40" t="s">
        <v>241</v>
      </c>
      <c r="K6" s="40" t="s">
        <v>174</v>
      </c>
      <c r="L6" s="40" t="s">
        <v>199</v>
      </c>
      <c r="M6" t="s">
        <v>785</v>
      </c>
      <c r="N6" s="40" t="s">
        <v>175</v>
      </c>
      <c r="O6" s="106" t="s">
        <v>201</v>
      </c>
      <c r="P6" s="106" t="s">
        <v>99</v>
      </c>
    </row>
    <row r="7" spans="1:16" ht="15" x14ac:dyDescent="0.25">
      <c r="A7" s="60" t="s">
        <v>1</v>
      </c>
      <c r="B7" s="59" t="s">
        <v>158</v>
      </c>
      <c r="C7" s="60" t="s">
        <v>94</v>
      </c>
      <c r="D7" s="42" t="s">
        <v>123</v>
      </c>
      <c r="E7" s="42" t="s">
        <v>128</v>
      </c>
      <c r="F7" s="40" t="s">
        <v>177</v>
      </c>
      <c r="G7" s="40" t="s">
        <v>211</v>
      </c>
      <c r="I7" s="40" t="s">
        <v>269</v>
      </c>
      <c r="J7" s="40" t="s">
        <v>228</v>
      </c>
      <c r="K7" s="40" t="s">
        <v>248</v>
      </c>
      <c r="L7" s="40" t="s">
        <v>0</v>
      </c>
      <c r="M7" s="100"/>
      <c r="N7" s="40" t="s">
        <v>277</v>
      </c>
      <c r="O7" s="114" t="s">
        <v>213</v>
      </c>
      <c r="P7" s="114" t="s">
        <v>128</v>
      </c>
    </row>
    <row r="8" spans="1:16" ht="15" x14ac:dyDescent="0.25">
      <c r="A8" s="60" t="s">
        <v>93</v>
      </c>
      <c r="B8" s="59" t="s">
        <v>159</v>
      </c>
      <c r="C8" s="60" t="s">
        <v>117</v>
      </c>
      <c r="D8" s="42" t="s">
        <v>101</v>
      </c>
      <c r="E8" s="42" t="s">
        <v>129</v>
      </c>
      <c r="F8" s="40" t="s">
        <v>176</v>
      </c>
      <c r="G8" s="40" t="s">
        <v>214</v>
      </c>
      <c r="I8" s="40" t="s">
        <v>420</v>
      </c>
      <c r="J8" s="40" t="s">
        <v>229</v>
      </c>
      <c r="K8" s="40" t="s">
        <v>176</v>
      </c>
      <c r="L8" s="40" t="s">
        <v>4</v>
      </c>
      <c r="M8" s="100" t="s">
        <v>786</v>
      </c>
      <c r="N8" s="40" t="s">
        <v>278</v>
      </c>
      <c r="O8" s="114" t="s">
        <v>417</v>
      </c>
      <c r="P8" s="114" t="s">
        <v>129</v>
      </c>
    </row>
    <row r="9" spans="1:16" ht="15" x14ac:dyDescent="0.25">
      <c r="A9" s="60" t="s">
        <v>2</v>
      </c>
      <c r="B9" s="59" t="s">
        <v>133</v>
      </c>
      <c r="C9" s="60" t="s">
        <v>124</v>
      </c>
      <c r="D9" s="42" t="s">
        <v>100</v>
      </c>
      <c r="E9" s="42" t="s">
        <v>131</v>
      </c>
      <c r="F9" s="40" t="s">
        <v>219</v>
      </c>
      <c r="G9" s="40" t="s">
        <v>223</v>
      </c>
      <c r="I9" s="40" t="s">
        <v>421</v>
      </c>
      <c r="J9" s="40" t="s">
        <v>230</v>
      </c>
      <c r="K9" s="40" t="s">
        <v>249</v>
      </c>
      <c r="L9" s="40" t="s">
        <v>5</v>
      </c>
      <c r="M9" s="100" t="s">
        <v>787</v>
      </c>
      <c r="N9" s="40" t="s">
        <v>267</v>
      </c>
      <c r="O9" s="114" t="s">
        <v>210</v>
      </c>
      <c r="P9" s="114" t="s">
        <v>130</v>
      </c>
    </row>
    <row r="10" spans="1:16" ht="15" x14ac:dyDescent="0.25">
      <c r="A10" s="60" t="s">
        <v>3</v>
      </c>
      <c r="C10" s="60" t="s">
        <v>120</v>
      </c>
      <c r="D10" s="42" t="s">
        <v>125</v>
      </c>
      <c r="E10" s="42" t="s">
        <v>130</v>
      </c>
      <c r="F10" s="58" t="s">
        <v>7</v>
      </c>
      <c r="G10" s="58" t="s">
        <v>7</v>
      </c>
      <c r="I10" s="40" t="s">
        <v>422</v>
      </c>
      <c r="J10" s="40" t="s">
        <v>231</v>
      </c>
      <c r="K10" s="40" t="s">
        <v>221</v>
      </c>
      <c r="L10" s="40" t="s">
        <v>6</v>
      </c>
      <c r="M10" s="100" t="s">
        <v>788</v>
      </c>
      <c r="N10" s="40" t="s">
        <v>279</v>
      </c>
      <c r="O10" s="114" t="s">
        <v>418</v>
      </c>
      <c r="P10" s="114" t="s">
        <v>46</v>
      </c>
    </row>
    <row r="11" spans="1:16" ht="15" x14ac:dyDescent="0.25">
      <c r="D11" s="42" t="s">
        <v>126</v>
      </c>
      <c r="E11" s="42" t="s">
        <v>46</v>
      </c>
      <c r="F11" s="49"/>
      <c r="I11" s="40" t="s">
        <v>423</v>
      </c>
      <c r="J11" s="40" t="s">
        <v>2</v>
      </c>
      <c r="K11" s="40" t="s">
        <v>177</v>
      </c>
      <c r="L11" s="40" t="s">
        <v>275</v>
      </c>
      <c r="M11" s="100" t="s">
        <v>789</v>
      </c>
      <c r="N11" s="40" t="s">
        <v>280</v>
      </c>
      <c r="O11" s="114" t="s">
        <v>222</v>
      </c>
      <c r="P11" s="114" t="s">
        <v>43</v>
      </c>
    </row>
    <row r="12" spans="1:16" ht="15" x14ac:dyDescent="0.25">
      <c r="A12" s="19" t="s">
        <v>98</v>
      </c>
      <c r="B12" s="16" t="s">
        <v>36</v>
      </c>
      <c r="C12" s="10"/>
      <c r="D12" s="42" t="s">
        <v>125</v>
      </c>
      <c r="E12" s="42" t="s">
        <v>43</v>
      </c>
      <c r="F12" s="49"/>
      <c r="J12" s="40" t="s">
        <v>232</v>
      </c>
      <c r="K12" s="40" t="s">
        <v>220</v>
      </c>
      <c r="N12" s="40" t="s">
        <v>281</v>
      </c>
      <c r="O12" s="114" t="s">
        <v>232</v>
      </c>
      <c r="P12" s="114" t="s">
        <v>419</v>
      </c>
    </row>
    <row r="13" spans="1:16" ht="15" x14ac:dyDescent="0.25">
      <c r="A13" s="19" t="s">
        <v>13</v>
      </c>
      <c r="B13" s="16" t="s">
        <v>37</v>
      </c>
      <c r="C13" s="10"/>
      <c r="D13" s="42" t="s">
        <v>121</v>
      </c>
      <c r="E13" s="42" t="s">
        <v>127</v>
      </c>
      <c r="F13" s="58"/>
      <c r="G13" s="49"/>
      <c r="N13" s="40" t="s">
        <v>309</v>
      </c>
      <c r="P13" s="114" t="s">
        <v>47</v>
      </c>
    </row>
    <row r="14" spans="1:16" ht="15" x14ac:dyDescent="0.25">
      <c r="A14" s="19" t="s">
        <v>10</v>
      </c>
      <c r="B14" s="16" t="s">
        <v>40</v>
      </c>
      <c r="C14" s="10"/>
      <c r="D14" s="42" t="s">
        <v>2</v>
      </c>
      <c r="E14" s="42" t="s">
        <v>47</v>
      </c>
      <c r="F14" s="49"/>
      <c r="G14" s="49"/>
      <c r="N14" s="40" t="s">
        <v>282</v>
      </c>
      <c r="P14" s="114" t="s">
        <v>44</v>
      </c>
    </row>
    <row r="15" spans="1:16" ht="15" x14ac:dyDescent="0.25">
      <c r="A15" s="19" t="s">
        <v>29</v>
      </c>
      <c r="B15" s="16" t="s">
        <v>38</v>
      </c>
      <c r="D15" s="18"/>
      <c r="E15" s="42" t="s">
        <v>44</v>
      </c>
      <c r="F15" s="49"/>
      <c r="N15" s="40" t="s">
        <v>7</v>
      </c>
    </row>
    <row r="16" spans="1:16" ht="18.75" customHeight="1" x14ac:dyDescent="0.25">
      <c r="A16" s="19" t="s">
        <v>18</v>
      </c>
      <c r="B16" s="16" t="s">
        <v>39</v>
      </c>
    </row>
    <row r="17" spans="1:11" ht="18.75" customHeight="1" x14ac:dyDescent="0.25">
      <c r="A17" s="19" t="s">
        <v>24</v>
      </c>
      <c r="B17" s="16" t="s">
        <v>42</v>
      </c>
    </row>
    <row r="18" spans="1:11" ht="18.75" customHeight="1" x14ac:dyDescent="0.25">
      <c r="A18" s="19" t="s">
        <v>23</v>
      </c>
      <c r="B18" s="16" t="s">
        <v>41</v>
      </c>
      <c r="D18" s="50" t="s">
        <v>174</v>
      </c>
      <c r="E18" s="50" t="s">
        <v>216</v>
      </c>
      <c r="F18" s="50" t="s">
        <v>217</v>
      </c>
      <c r="G18" s="50" t="s">
        <v>201</v>
      </c>
      <c r="H18" s="50" t="s">
        <v>202</v>
      </c>
      <c r="I18" s="50" t="s">
        <v>236</v>
      </c>
      <c r="J18" s="50" t="s">
        <v>237</v>
      </c>
      <c r="K18" s="50" t="s">
        <v>238</v>
      </c>
    </row>
    <row r="19" spans="1:11" ht="18.75" customHeight="1" x14ac:dyDescent="0.25">
      <c r="A19" s="19" t="s">
        <v>34</v>
      </c>
      <c r="B19" s="16" t="s">
        <v>122</v>
      </c>
      <c r="D19" s="48" t="s">
        <v>176</v>
      </c>
      <c r="E19" s="48" t="s">
        <v>177</v>
      </c>
      <c r="F19" s="48" t="s">
        <v>7</v>
      </c>
      <c r="G19" s="48" t="s">
        <v>210</v>
      </c>
      <c r="H19" s="48" t="s">
        <v>211</v>
      </c>
      <c r="I19" s="48"/>
      <c r="J19" s="48"/>
      <c r="K19" s="48"/>
    </row>
    <row r="20" spans="1:11" ht="18.75" customHeight="1" x14ac:dyDescent="0.25">
      <c r="A20" s="19" t="s">
        <v>28</v>
      </c>
      <c r="B20" s="16" t="s">
        <v>7</v>
      </c>
      <c r="C20" s="29"/>
      <c r="D20" s="28"/>
      <c r="H20" s="28"/>
      <c r="J20" s="28"/>
    </row>
    <row r="21" spans="1:11" ht="18.75" customHeight="1" x14ac:dyDescent="0.25">
      <c r="A21" s="19" t="s">
        <v>12</v>
      </c>
      <c r="H21" s="28"/>
    </row>
    <row r="22" spans="1:11" ht="18.75" customHeight="1" x14ac:dyDescent="0.25">
      <c r="A22" s="19" t="s">
        <v>19</v>
      </c>
      <c r="C22" s="10"/>
      <c r="F22" s="28"/>
      <c r="G22" s="28"/>
    </row>
    <row r="23" spans="1:11" ht="18.75" customHeight="1" x14ac:dyDescent="0.25">
      <c r="A23" s="19" t="s">
        <v>167</v>
      </c>
      <c r="C23" s="10"/>
      <c r="F23" s="28"/>
      <c r="G23" s="28"/>
    </row>
    <row r="24" spans="1:11" ht="18.75" customHeight="1" x14ac:dyDescent="0.25">
      <c r="A24" s="19" t="s">
        <v>35</v>
      </c>
      <c r="C24" s="10"/>
      <c r="F24" s="28"/>
      <c r="G24" s="28"/>
    </row>
    <row r="25" spans="1:11" ht="18.75" customHeight="1" x14ac:dyDescent="0.25">
      <c r="A25" s="19" t="s">
        <v>30</v>
      </c>
      <c r="C25" s="10"/>
      <c r="F25" s="28"/>
      <c r="G25" s="28"/>
    </row>
    <row r="26" spans="1:11" ht="18.75" customHeight="1" x14ac:dyDescent="0.25">
      <c r="A26" s="19" t="s">
        <v>22</v>
      </c>
      <c r="C26" s="10"/>
      <c r="F26" s="28"/>
      <c r="G26" s="28"/>
    </row>
    <row r="27" spans="1:11" ht="18.75" customHeight="1" x14ac:dyDescent="0.25">
      <c r="A27" s="19" t="s">
        <v>20</v>
      </c>
      <c r="C27" s="10"/>
      <c r="F27" s="28"/>
      <c r="G27" s="28"/>
    </row>
    <row r="28" spans="1:11" ht="18.75" customHeight="1" x14ac:dyDescent="0.2">
      <c r="A28" s="19" t="s">
        <v>17</v>
      </c>
      <c r="C28" s="10"/>
      <c r="F28" s="51"/>
      <c r="G28" s="47"/>
    </row>
    <row r="29" spans="1:11" ht="18.75" customHeight="1" x14ac:dyDescent="0.25">
      <c r="A29" s="19" t="s">
        <v>168</v>
      </c>
      <c r="C29" s="10"/>
    </row>
    <row r="30" spans="1:11" ht="18.75" customHeight="1" x14ac:dyDescent="0.25">
      <c r="A30" s="19" t="s">
        <v>9</v>
      </c>
      <c r="C30" s="10"/>
    </row>
    <row r="31" spans="1:11" ht="18.75" customHeight="1" x14ac:dyDescent="0.25">
      <c r="A31" s="19" t="s">
        <v>33</v>
      </c>
      <c r="C31" s="10"/>
    </row>
    <row r="32" spans="1:11" ht="18.75" customHeight="1" x14ac:dyDescent="0.25">
      <c r="A32" s="19" t="s">
        <v>26</v>
      </c>
      <c r="C32" s="10"/>
    </row>
    <row r="33" spans="1:3" ht="18.75" customHeight="1" x14ac:dyDescent="0.25">
      <c r="A33" s="19" t="s">
        <v>169</v>
      </c>
      <c r="C33" s="10"/>
    </row>
    <row r="34" spans="1:3" ht="18.75" customHeight="1" x14ac:dyDescent="0.25">
      <c r="A34" s="19" t="s">
        <v>25</v>
      </c>
      <c r="C34" s="10"/>
    </row>
    <row r="35" spans="1:3" ht="18.75" customHeight="1" x14ac:dyDescent="0.25">
      <c r="A35" s="19" t="s">
        <v>11</v>
      </c>
      <c r="C35" s="10"/>
    </row>
    <row r="36" spans="1:3" ht="18.75" customHeight="1" x14ac:dyDescent="0.25">
      <c r="A36" s="19" t="s">
        <v>15</v>
      </c>
      <c r="C36" s="10"/>
    </row>
    <row r="37" spans="1:3" ht="18.75" customHeight="1" x14ac:dyDescent="0.25">
      <c r="A37" s="19" t="s">
        <v>8</v>
      </c>
      <c r="C37" s="10"/>
    </row>
    <row r="38" spans="1:3" ht="18.75" customHeight="1" x14ac:dyDescent="0.25">
      <c r="A38" s="19" t="s">
        <v>27</v>
      </c>
    </row>
    <row r="39" spans="1:3" ht="18.75" customHeight="1" x14ac:dyDescent="0.25">
      <c r="A39" s="19" t="s">
        <v>21</v>
      </c>
    </row>
    <row r="40" spans="1:3" ht="18.75" customHeight="1" x14ac:dyDescent="0.25">
      <c r="A40" s="19" t="s">
        <v>14</v>
      </c>
    </row>
    <row r="41" spans="1:3" ht="18.75" customHeight="1" x14ac:dyDescent="0.25">
      <c r="A41" s="19" t="s">
        <v>32</v>
      </c>
    </row>
    <row r="42" spans="1:3" ht="18.75" customHeight="1" x14ac:dyDescent="0.25">
      <c r="A42" s="19" t="s">
        <v>31</v>
      </c>
    </row>
    <row r="43" spans="1:3" ht="18.75" customHeight="1" x14ac:dyDescent="0.25">
      <c r="A43" s="19" t="s">
        <v>16</v>
      </c>
    </row>
    <row r="44" spans="1:3" ht="18.75" customHeight="1" x14ac:dyDescent="0.25">
      <c r="A44" s="19" t="s">
        <v>170</v>
      </c>
    </row>
  </sheetData>
  <sortState ref="E7:E16">
    <sortCondition ref="E7"/>
  </sortState>
  <phoneticPr fontId="14" type="noConversion"/>
  <dataValidations count="7">
    <dataValidation type="list" allowBlank="1" showInputMessage="1" showErrorMessage="1" sqref="H19" xr:uid="{00000000-0002-0000-0000-000001000000}">
      <formula1>dd_coverage</formula1>
    </dataValidation>
    <dataValidation type="list" allowBlank="1" showInputMessage="1" showErrorMessage="1" sqref="G19" xr:uid="{00000000-0002-0000-0000-000002000000}">
      <formula1>dd_sfcrole</formula1>
    </dataValidation>
    <dataValidation type="list" allowBlank="1" showInputMessage="1" showErrorMessage="1" sqref="E19:F19" xr:uid="{00000000-0002-0000-0000-000003000000}">
      <formula1>dd_bocomrole</formula1>
    </dataValidation>
    <dataValidation type="list" allowBlank="1" showInputMessage="1" showErrorMessage="1" sqref="D19" xr:uid="{00000000-0002-0000-0000-000004000000}">
      <formula1>dd_BISL_role</formula1>
    </dataValidation>
    <dataValidation type="list" allowBlank="1" showInputMessage="1" showErrorMessage="1" sqref="I19" xr:uid="{00000000-0002-0000-0000-000005000000}">
      <formula1>"--,Left-lead,Lead"</formula1>
    </dataValidation>
    <dataValidation type="list" allowBlank="1" showInputMessage="1" showErrorMessage="1" sqref="J19" xr:uid="{00000000-0002-0000-0000-000006000000}">
      <formula1>"--,B&amp;D FOP,B&amp;D DvP,CCDC"</formula1>
    </dataValidation>
    <dataValidation type="list" allowBlank="1" showInputMessage="1" showErrorMessage="1" sqref="K19" xr:uid="{00000000-0002-0000-0000-000007000000}">
      <formula1>"--,合名"</formula1>
    </dataValidation>
  </dataValidations>
  <pageMargins left="0.7" right="0.7" top="0.75" bottom="0.75" header="0.3" footer="0.3"/>
  <pageSetup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E28"/>
  <sheetViews>
    <sheetView tabSelected="1" topLeftCell="Q1" zoomScale="85" zoomScaleNormal="85" workbookViewId="0">
      <selection activeCell="I20" sqref="I20"/>
    </sheetView>
  </sheetViews>
  <sheetFormatPr defaultColWidth="8.88671875" defaultRowHeight="18" customHeight="1" outlineLevelCol="1" x14ac:dyDescent="0.25"/>
  <cols>
    <col min="1" max="1" width="5.6640625" style="2" bestFit="1" customWidth="1"/>
    <col min="2" max="2" width="19.88671875" style="2" bestFit="1" customWidth="1"/>
    <col min="3" max="3" width="9.109375" style="2" customWidth="1"/>
    <col min="4" max="4" width="5.6640625" style="2" bestFit="1" customWidth="1"/>
    <col min="5" max="5" width="30" style="2" bestFit="1" customWidth="1"/>
    <col min="6" max="6" width="21" style="2" bestFit="1" customWidth="1"/>
    <col min="7" max="7" width="13.44140625" style="2" bestFit="1" customWidth="1"/>
    <col min="8" max="8" width="9.44140625" style="2" bestFit="1" customWidth="1"/>
    <col min="9" max="9" width="43.88671875" style="2" bestFit="1" customWidth="1"/>
    <col min="10" max="10" width="8.5546875" style="2" bestFit="1" customWidth="1"/>
    <col min="11" max="11" width="11.109375" style="2" bestFit="1" customWidth="1"/>
    <col min="12" max="12" width="7.77734375" style="2" bestFit="1" customWidth="1"/>
    <col min="13" max="13" width="10.5546875" style="2" bestFit="1" customWidth="1" outlineLevel="1"/>
    <col min="14" max="14" width="4.77734375" style="2" bestFit="1" customWidth="1" outlineLevel="1"/>
    <col min="15" max="15" width="10.5546875" style="2" bestFit="1" customWidth="1" outlineLevel="1"/>
    <col min="16" max="16" width="11.109375" style="2" bestFit="1" customWidth="1" outlineLevel="1"/>
    <col min="17" max="17" width="9.44140625" style="2" bestFit="1" customWidth="1" outlineLevel="1"/>
    <col min="18" max="18" width="31.6640625" style="2" bestFit="1" customWidth="1" outlineLevel="1"/>
    <col min="19" max="19" width="33.77734375" style="2" bestFit="1" customWidth="1" outlineLevel="1"/>
    <col min="20" max="20" width="28.33203125" style="2" bestFit="1" customWidth="1" outlineLevel="1"/>
    <col min="21" max="21" width="11.109375" style="2" bestFit="1" customWidth="1" outlineLevel="1"/>
    <col min="22" max="22" width="7.77734375" style="2" bestFit="1" customWidth="1" outlineLevel="1"/>
    <col min="23" max="23" width="9.6640625" style="2" bestFit="1" customWidth="1" outlineLevel="1"/>
    <col min="24" max="24" width="24.77734375" style="2" bestFit="1" customWidth="1" outlineLevel="1"/>
    <col min="25" max="25" width="15" style="2" bestFit="1" customWidth="1" outlineLevel="1"/>
    <col min="26" max="26" width="6.109375" style="2" bestFit="1" customWidth="1" outlineLevel="1"/>
    <col min="27" max="27" width="7.77734375" style="2" bestFit="1" customWidth="1" outlineLevel="1"/>
    <col min="28" max="28" width="6.109375" style="2" bestFit="1" customWidth="1" outlineLevel="1"/>
    <col min="29" max="29" width="7.77734375" style="2" bestFit="1" customWidth="1" outlineLevel="1"/>
    <col min="30" max="30" width="9.44140625" style="2" bestFit="1" customWidth="1" outlineLevel="1"/>
    <col min="31" max="31" width="8.88671875" style="2" bestFit="1" customWidth="1" outlineLevel="1"/>
    <col min="32" max="34" width="7.77734375" style="2" bestFit="1" customWidth="1" outlineLevel="1"/>
    <col min="35" max="35" width="80.88671875" style="2" customWidth="1" outlineLevel="1"/>
    <col min="36" max="36" width="9.44140625" style="2" bestFit="1" customWidth="1" outlineLevel="1"/>
    <col min="37" max="37" width="7.77734375" style="2" bestFit="1" customWidth="1" outlineLevel="1"/>
    <col min="38" max="39" width="11.109375" style="2" bestFit="1" customWidth="1" outlineLevel="1"/>
    <col min="40" max="40" width="4.44140625" style="2" bestFit="1" customWidth="1" outlineLevel="1"/>
    <col min="41" max="42" width="7.77734375" style="2" bestFit="1" customWidth="1" outlineLevel="1"/>
    <col min="43" max="44" width="11.109375" style="2" bestFit="1" customWidth="1" outlineLevel="1"/>
    <col min="45" max="45" width="43.33203125" style="2" bestFit="1" customWidth="1" outlineLevel="1"/>
    <col min="46" max="47" width="9.44140625" style="2" bestFit="1" customWidth="1" outlineLevel="1"/>
    <col min="48" max="48" width="8.5546875" style="2" bestFit="1" customWidth="1" outlineLevel="1"/>
    <col min="49" max="49" width="11.109375" style="2" bestFit="1" customWidth="1" outlineLevel="1"/>
    <col min="50" max="50" width="7.77734375" style="2" bestFit="1" customWidth="1" outlineLevel="1"/>
    <col min="51" max="53" width="9.44140625" style="2" bestFit="1" customWidth="1" outlineLevel="1"/>
    <col min="54" max="54" width="11.109375" style="2" bestFit="1" customWidth="1" outlineLevel="1"/>
    <col min="55" max="55" width="30.21875" style="2" bestFit="1" customWidth="1" outlineLevel="1"/>
    <col min="56" max="56" width="51.109375" style="2" bestFit="1" customWidth="1" outlineLevel="1"/>
    <col min="57" max="57" width="12.77734375" style="2" bestFit="1" customWidth="1" outlineLevel="1"/>
    <col min="58" max="58" width="30" style="2" bestFit="1" customWidth="1" outlineLevel="1"/>
    <col min="59" max="59" width="9.44140625" style="2" bestFit="1" customWidth="1" outlineLevel="1"/>
    <col min="60" max="60" width="27.88671875" style="2" bestFit="1" customWidth="1" outlineLevel="1"/>
    <col min="61" max="61" width="19.109375" style="2" bestFit="1" customWidth="1" outlineLevel="1"/>
    <col min="62" max="62" width="9.44140625" style="2" bestFit="1" customWidth="1" outlineLevel="1"/>
    <col min="63" max="63" width="7.77734375" style="2" bestFit="1" customWidth="1" outlineLevel="1"/>
    <col min="64" max="65" width="80.88671875" style="2" bestFit="1" customWidth="1" outlineLevel="1"/>
    <col min="66" max="66" width="9.44140625" style="2" bestFit="1" customWidth="1" outlineLevel="1"/>
    <col min="67" max="71" width="7.77734375" style="2" bestFit="1" customWidth="1" outlineLevel="1"/>
    <col min="72" max="72" width="4.44140625" style="2" bestFit="1" customWidth="1" outlineLevel="1"/>
    <col min="73" max="73" width="6.109375" style="2" bestFit="1" customWidth="1" outlineLevel="1"/>
    <col min="74" max="75" width="7.109375" style="2" bestFit="1" customWidth="1" outlineLevel="1"/>
    <col min="76" max="76" width="9.44140625" style="2" bestFit="1" customWidth="1" outlineLevel="1"/>
    <col min="77" max="77" width="14.21875" style="2" bestFit="1" customWidth="1"/>
    <col min="78" max="78" width="16.77734375" style="2" bestFit="1" customWidth="1"/>
    <col min="79" max="79" width="7.77734375" style="2" bestFit="1" customWidth="1"/>
    <col min="80" max="81" width="8.77734375" style="2" bestFit="1" customWidth="1"/>
    <col min="82" max="82" width="19.5546875" style="2" bestFit="1" customWidth="1"/>
    <col min="83" max="83" width="8.88671875" style="2" bestFit="1" customWidth="1"/>
    <col min="84" max="84" width="10.5546875" style="2" bestFit="1" customWidth="1"/>
    <col min="85" max="86" width="10.33203125" style="2" bestFit="1" customWidth="1"/>
    <col min="87" max="87" width="10.5546875" style="2" bestFit="1" customWidth="1"/>
    <col min="88" max="88" width="19.5546875" style="2" bestFit="1" customWidth="1"/>
    <col min="89" max="89" width="10.5546875" style="2" bestFit="1" customWidth="1"/>
    <col min="90" max="90" width="10.33203125" style="2" bestFit="1" customWidth="1"/>
    <col min="91" max="92" width="10.5546875" style="2" bestFit="1" customWidth="1"/>
    <col min="93" max="93" width="16.6640625" style="2" bestFit="1" customWidth="1"/>
    <col min="94" max="94" width="7.6640625" style="2" bestFit="1" customWidth="1"/>
    <col min="95" max="96" width="10.44140625" style="2" bestFit="1" customWidth="1"/>
    <col min="97" max="97" width="17.33203125" style="2" bestFit="1" customWidth="1"/>
    <col min="98" max="99" width="10.109375" style="2" bestFit="1" customWidth="1"/>
    <col min="100" max="101" width="12.44140625" style="2" bestFit="1" customWidth="1"/>
    <col min="102" max="102" width="8.6640625" style="2" bestFit="1" customWidth="1"/>
    <col min="103" max="105" width="8.6640625" style="2" customWidth="1"/>
    <col min="106" max="106" width="9.21875" style="2" customWidth="1"/>
    <col min="107" max="107" width="28.6640625" style="2" customWidth="1"/>
    <col min="108" max="108" width="9" style="2" customWidth="1"/>
    <col min="109" max="109" width="11.6640625" style="2" customWidth="1"/>
    <col min="110" max="111" width="9.21875" style="2" customWidth="1"/>
    <col min="112" max="112" width="10.44140625" style="2" customWidth="1"/>
    <col min="113" max="113" width="11.6640625" style="2" customWidth="1"/>
    <col min="114" max="114" width="9.21875" style="2" customWidth="1"/>
    <col min="115" max="115" width="10.44140625" style="2" customWidth="1"/>
    <col min="116" max="116" width="20.109375" style="2" customWidth="1"/>
    <col min="117" max="117" width="37.77734375" style="2" customWidth="1"/>
    <col min="118" max="118" width="43.21875" style="2" customWidth="1"/>
    <col min="119" max="119" width="9.21875" style="2" customWidth="1"/>
    <col min="120" max="120" width="13.77734375" style="2" customWidth="1"/>
    <col min="121" max="121" width="37.109375" style="2" customWidth="1"/>
    <col min="122" max="122" width="10.44140625" style="2" customWidth="1"/>
    <col min="123" max="128" width="9.21875" style="2" customWidth="1"/>
    <col min="129" max="129" width="12.33203125" style="2" bestFit="1" customWidth="1"/>
    <col min="130" max="130" width="11.109375" style="2" customWidth="1"/>
    <col min="131" max="131" width="11.6640625" style="2" bestFit="1" customWidth="1"/>
    <col min="132" max="132" width="11.6640625" style="2" customWidth="1"/>
    <col min="133" max="133" width="4.77734375" style="2" bestFit="1" customWidth="1"/>
    <col min="134" max="134" width="7.44140625" style="2" bestFit="1" customWidth="1"/>
    <col min="135" max="16384" width="8.88671875" style="2"/>
  </cols>
  <sheetData>
    <row r="1" spans="1:83" ht="66" customHeight="1" x14ac:dyDescent="0.25">
      <c r="A1" s="56" t="s">
        <v>239</v>
      </c>
      <c r="B1" s="7"/>
      <c r="I1" s="68" t="s">
        <v>199</v>
      </c>
      <c r="M1" s="55">
        <v>44951</v>
      </c>
    </row>
    <row r="2" spans="1:83" ht="66" customHeight="1" x14ac:dyDescent="0.25">
      <c r="A2" s="57" t="s">
        <v>119</v>
      </c>
      <c r="I2" s="26" t="s">
        <v>275</v>
      </c>
    </row>
    <row r="3" spans="1:83" ht="23.25" customHeight="1" x14ac:dyDescent="0.3">
      <c r="B3" s="111" t="s">
        <v>412</v>
      </c>
      <c r="C3" s="69"/>
      <c r="D3" s="109"/>
      <c r="G3" s="27"/>
    </row>
    <row r="4" spans="1:83" ht="23.25" customHeight="1" x14ac:dyDescent="0.25">
      <c r="B4" s="112" t="s">
        <v>327</v>
      </c>
      <c r="C4" s="70">
        <f>MAX(Table_DLDconso[Index])</f>
        <v>13</v>
      </c>
      <c r="D4" s="109"/>
    </row>
    <row r="5" spans="1:83" ht="23.25" customHeight="1" x14ac:dyDescent="0.25">
      <c r="B5" s="112" t="s">
        <v>328</v>
      </c>
      <c r="C5" s="70">
        <f>MAX(BBGcorp[Index])</f>
        <v>22</v>
      </c>
      <c r="D5" s="110">
        <f>$C$5-C$4</f>
        <v>9</v>
      </c>
    </row>
    <row r="6" spans="1:83" ht="23.25" customHeight="1" x14ac:dyDescent="0.25">
      <c r="B6" s="112" t="s">
        <v>329</v>
      </c>
      <c r="C6" s="71">
        <f>MAX(WST[定价日])</f>
        <v>45154</v>
      </c>
      <c r="D6" s="110">
        <f>WEEKNUM(C$6)-WEEKNUM(MAX(Table_DLDconso[定价日]))</f>
        <v>-1</v>
      </c>
    </row>
    <row r="7" spans="1:83" ht="23.25" customHeight="1" x14ac:dyDescent="0.25">
      <c r="B7" s="113" t="s">
        <v>330</v>
      </c>
      <c r="C7" s="72">
        <f>MAX(台账23[台账序号])</f>
        <v>57</v>
      </c>
      <c r="D7" s="109"/>
    </row>
    <row r="8" spans="1:83" ht="14.25" customHeight="1" x14ac:dyDescent="0.25"/>
    <row r="9" spans="1:83" ht="11.25" x14ac:dyDescent="0.25"/>
    <row r="10" spans="1:83" ht="15" x14ac:dyDescent="0.25">
      <c r="B10" t="s">
        <v>413</v>
      </c>
      <c r="D10" s="105" t="s">
        <v>95</v>
      </c>
      <c r="E10" s="106" t="s">
        <v>105</v>
      </c>
      <c r="F10" s="105" t="s">
        <v>295</v>
      </c>
      <c r="G10" s="106" t="s">
        <v>55</v>
      </c>
      <c r="H10" s="106" t="s">
        <v>56</v>
      </c>
      <c r="I10" s="106" t="s">
        <v>54</v>
      </c>
      <c r="J10" s="106" t="s">
        <v>109</v>
      </c>
      <c r="K10" s="106" t="s">
        <v>110</v>
      </c>
      <c r="L10" s="106" t="s">
        <v>57</v>
      </c>
      <c r="M10" s="106" t="s">
        <v>65</v>
      </c>
      <c r="N10" s="106" t="s">
        <v>72</v>
      </c>
      <c r="O10" s="106" t="s">
        <v>66</v>
      </c>
      <c r="P10" s="105" t="s">
        <v>59</v>
      </c>
      <c r="Q10" s="106" t="s">
        <v>60</v>
      </c>
      <c r="R10" s="106" t="s">
        <v>111</v>
      </c>
      <c r="S10" s="105" t="s">
        <v>242</v>
      </c>
      <c r="T10" s="105" t="s">
        <v>243</v>
      </c>
      <c r="U10" s="106" t="s">
        <v>62</v>
      </c>
      <c r="V10" s="105" t="s">
        <v>234</v>
      </c>
      <c r="W10" s="105" t="s">
        <v>296</v>
      </c>
      <c r="X10" s="106" t="s">
        <v>63</v>
      </c>
      <c r="Y10" s="106" t="s">
        <v>64</v>
      </c>
      <c r="Z10" s="106" t="s">
        <v>67</v>
      </c>
      <c r="AA10" s="106" t="s">
        <v>68</v>
      </c>
      <c r="AB10" s="106" t="s">
        <v>106</v>
      </c>
      <c r="AC10" s="106" t="s">
        <v>52</v>
      </c>
      <c r="AD10" s="106" t="s">
        <v>53</v>
      </c>
      <c r="AE10" s="106" t="s">
        <v>157</v>
      </c>
      <c r="AF10" s="106" t="s">
        <v>69</v>
      </c>
      <c r="AG10" s="106" t="s">
        <v>70</v>
      </c>
      <c r="AH10" s="106" t="s">
        <v>71</v>
      </c>
      <c r="AI10" s="106" t="s">
        <v>73</v>
      </c>
      <c r="AJ10" s="106" t="s">
        <v>51</v>
      </c>
      <c r="AK10" s="106" t="s">
        <v>107</v>
      </c>
      <c r="AL10" s="106" t="s">
        <v>206</v>
      </c>
      <c r="AM10" s="106" t="s">
        <v>58</v>
      </c>
      <c r="AN10" s="106" t="s">
        <v>50</v>
      </c>
      <c r="AO10" s="106" t="s">
        <v>108</v>
      </c>
      <c r="AP10" s="105" t="s">
        <v>259</v>
      </c>
      <c r="AQ10" s="106" t="s">
        <v>49</v>
      </c>
      <c r="AR10" s="105" t="s">
        <v>260</v>
      </c>
      <c r="AS10" s="105" t="s">
        <v>263</v>
      </c>
      <c r="AT10" s="105" t="s">
        <v>261</v>
      </c>
      <c r="AU10" s="105" t="s">
        <v>262</v>
      </c>
      <c r="AV10" s="106" t="s">
        <v>74</v>
      </c>
      <c r="AW10" s="106" t="s">
        <v>112</v>
      </c>
      <c r="AX10" s="106" t="s">
        <v>113</v>
      </c>
      <c r="AY10" s="106" t="s">
        <v>75</v>
      </c>
      <c r="AZ10" s="106" t="s">
        <v>76</v>
      </c>
      <c r="BA10" s="106" t="s">
        <v>78</v>
      </c>
      <c r="BB10" s="106" t="s">
        <v>114</v>
      </c>
      <c r="BC10" s="106" t="s">
        <v>77</v>
      </c>
      <c r="BD10" s="106" t="s">
        <v>79</v>
      </c>
      <c r="BE10" s="106" t="s">
        <v>90</v>
      </c>
      <c r="BF10" s="106" t="s">
        <v>80</v>
      </c>
      <c r="BG10" s="106" t="s">
        <v>81</v>
      </c>
      <c r="BH10" s="105" t="s">
        <v>265</v>
      </c>
      <c r="BI10" s="106" t="s">
        <v>115</v>
      </c>
      <c r="BJ10" s="106" t="s">
        <v>82</v>
      </c>
      <c r="BK10" s="106" t="s">
        <v>85</v>
      </c>
      <c r="BL10" s="106" t="s">
        <v>83</v>
      </c>
      <c r="BM10" s="105" t="s">
        <v>264</v>
      </c>
      <c r="BN10" s="106" t="s">
        <v>84</v>
      </c>
      <c r="BO10" s="106" t="s">
        <v>86</v>
      </c>
      <c r="BP10" s="106" t="s">
        <v>87</v>
      </c>
      <c r="BQ10" s="106" t="s">
        <v>88</v>
      </c>
      <c r="BR10" s="106" t="s">
        <v>116</v>
      </c>
      <c r="BS10" s="106" t="s">
        <v>89</v>
      </c>
      <c r="BT10" s="105" t="s">
        <v>98</v>
      </c>
      <c r="BU10" s="105" t="s">
        <v>203</v>
      </c>
      <c r="BV10" s="105" t="s">
        <v>204</v>
      </c>
      <c r="BW10" s="105" t="s">
        <v>247</v>
      </c>
      <c r="BX10" s="105" t="s">
        <v>276</v>
      </c>
      <c r="BY10" s="105" t="s">
        <v>424</v>
      </c>
      <c r="BZ10" s="105" t="s">
        <v>171</v>
      </c>
      <c r="CA10" s="105" t="s">
        <v>136</v>
      </c>
      <c r="CB10" s="105" t="s">
        <v>160</v>
      </c>
      <c r="CC10" s="105" t="s">
        <v>207</v>
      </c>
      <c r="CD10" s="106" t="s">
        <v>165</v>
      </c>
      <c r="CE10" s="105" t="s">
        <v>205</v>
      </c>
    </row>
    <row r="11" spans="1:83" ht="15" x14ac:dyDescent="0.25">
      <c r="B11" t="s">
        <v>410</v>
      </c>
      <c r="D11" s="105">
        <v>1</v>
      </c>
      <c r="E11" s="106" t="s">
        <v>698</v>
      </c>
      <c r="F11" s="105" t="s">
        <v>699</v>
      </c>
      <c r="G11" s="106" t="s">
        <v>696</v>
      </c>
      <c r="H11" s="107">
        <v>45163</v>
      </c>
      <c r="I11" s="106" t="s">
        <v>700</v>
      </c>
      <c r="J11" s="106" t="s">
        <v>150</v>
      </c>
      <c r="K11" s="106" t="s">
        <v>150</v>
      </c>
      <c r="L11" s="106" t="s">
        <v>150</v>
      </c>
      <c r="M11" s="105">
        <v>2.1800000000000002</v>
      </c>
      <c r="N11" s="106" t="s">
        <v>117</v>
      </c>
      <c r="O11" s="106" t="s">
        <v>233</v>
      </c>
      <c r="P11" s="105">
        <v>4.7</v>
      </c>
      <c r="Q11" s="108">
        <v>46266</v>
      </c>
      <c r="R11" s="106" t="s">
        <v>341</v>
      </c>
      <c r="S11" s="105" t="s">
        <v>103</v>
      </c>
      <c r="T11" s="105" t="s">
        <v>701</v>
      </c>
      <c r="U11" s="122"/>
      <c r="V11" s="105" t="s">
        <v>235</v>
      </c>
      <c r="W11" s="105" t="s">
        <v>499</v>
      </c>
      <c r="X11" s="106" t="s">
        <v>702</v>
      </c>
      <c r="Y11" s="106" t="s">
        <v>151</v>
      </c>
      <c r="Z11" s="105">
        <v>100</v>
      </c>
      <c r="AA11" s="106"/>
      <c r="AB11" s="106" t="s">
        <v>358</v>
      </c>
      <c r="AC11" s="106" t="s">
        <v>703</v>
      </c>
      <c r="AD11" s="114"/>
      <c r="AE11" s="106"/>
      <c r="AF11" s="106"/>
      <c r="AG11" s="106"/>
      <c r="AH11" s="106"/>
      <c r="AI11" s="106" t="s">
        <v>704</v>
      </c>
      <c r="AJ11" s="106" t="s">
        <v>705</v>
      </c>
      <c r="AK11" s="106" t="s">
        <v>103</v>
      </c>
      <c r="AL11" s="106" t="s">
        <v>150</v>
      </c>
      <c r="AM11" s="106" t="s">
        <v>292</v>
      </c>
      <c r="AN11" s="106" t="s">
        <v>2</v>
      </c>
      <c r="AO11" s="106" t="s">
        <v>91</v>
      </c>
      <c r="AP11" s="105" t="s">
        <v>297</v>
      </c>
      <c r="AQ11" s="106" t="s">
        <v>149</v>
      </c>
      <c r="AR11" s="105"/>
      <c r="AS11" s="105" t="s">
        <v>706</v>
      </c>
      <c r="AT11" s="105"/>
      <c r="AU11" s="105"/>
      <c r="AV11" s="106" t="s">
        <v>707</v>
      </c>
      <c r="AW11" s="105">
        <v>10000</v>
      </c>
      <c r="AX11" s="105">
        <v>2.1800000000000002</v>
      </c>
      <c r="AY11" s="108">
        <v>45170</v>
      </c>
      <c r="AZ11" s="108"/>
      <c r="BA11" s="108">
        <v>45352</v>
      </c>
      <c r="BB11" s="105">
        <v>4.7</v>
      </c>
      <c r="BC11" s="106" t="s">
        <v>103</v>
      </c>
      <c r="BD11" s="106" t="s">
        <v>708</v>
      </c>
      <c r="BE11" s="106" t="s">
        <v>103</v>
      </c>
      <c r="BF11" s="106" t="s">
        <v>698</v>
      </c>
      <c r="BG11" s="108">
        <v>45170</v>
      </c>
      <c r="BH11" s="105" t="s">
        <v>701</v>
      </c>
      <c r="BI11" s="106" t="s">
        <v>289</v>
      </c>
      <c r="BJ11" s="108">
        <v>45170</v>
      </c>
      <c r="BK11" s="106" t="s">
        <v>152</v>
      </c>
      <c r="BL11" s="106" t="s">
        <v>709</v>
      </c>
      <c r="BM11" s="105" t="s">
        <v>710</v>
      </c>
      <c r="BN11" s="106" t="s">
        <v>152</v>
      </c>
      <c r="BO11" s="106" t="s">
        <v>153</v>
      </c>
      <c r="BP11" s="106" t="s">
        <v>154</v>
      </c>
      <c r="BQ11" s="106" t="s">
        <v>155</v>
      </c>
      <c r="BR11" s="106" t="s">
        <v>103</v>
      </c>
      <c r="BS11" s="106" t="s">
        <v>156</v>
      </c>
      <c r="BT11" s="105" t="s">
        <v>10</v>
      </c>
      <c r="BU11" s="105">
        <v>0.29899999999999999</v>
      </c>
      <c r="BV11" s="105">
        <v>2.1800000000000002</v>
      </c>
      <c r="BW11" s="105">
        <v>2.3439999999999999</v>
      </c>
      <c r="BX11" s="105" t="s">
        <v>356</v>
      </c>
      <c r="BY11" s="105" t="s">
        <v>7</v>
      </c>
      <c r="BZ11" s="105"/>
      <c r="CA11" s="105"/>
      <c r="CB11" s="105" t="s">
        <v>92</v>
      </c>
      <c r="CC11" s="105" t="s">
        <v>92</v>
      </c>
      <c r="CD11" s="105" t="s">
        <v>697</v>
      </c>
      <c r="CE11" s="105" t="s">
        <v>7</v>
      </c>
    </row>
    <row r="12" spans="1:83" ht="15" x14ac:dyDescent="0.25">
      <c r="B12"/>
      <c r="D12" s="105">
        <v>2</v>
      </c>
      <c r="E12" s="106" t="s">
        <v>732</v>
      </c>
      <c r="F12" s="105" t="s">
        <v>733</v>
      </c>
      <c r="G12" s="106" t="s">
        <v>734</v>
      </c>
      <c r="H12" s="107">
        <v>45163</v>
      </c>
      <c r="I12" s="106" t="s">
        <v>735</v>
      </c>
      <c r="J12" s="106" t="s">
        <v>150</v>
      </c>
      <c r="K12" s="106" t="s">
        <v>150</v>
      </c>
      <c r="L12" s="106" t="s">
        <v>150</v>
      </c>
      <c r="M12" s="105">
        <v>0.45</v>
      </c>
      <c r="N12" s="106" t="s">
        <v>94</v>
      </c>
      <c r="O12" s="106" t="s">
        <v>233</v>
      </c>
      <c r="P12" s="105">
        <v>5.7</v>
      </c>
      <c r="Q12" s="108">
        <v>46264</v>
      </c>
      <c r="R12" s="106" t="s">
        <v>341</v>
      </c>
      <c r="S12" s="105" t="s">
        <v>736</v>
      </c>
      <c r="T12" s="105" t="s">
        <v>737</v>
      </c>
      <c r="U12" s="122">
        <v>0</v>
      </c>
      <c r="V12" s="105" t="s">
        <v>235</v>
      </c>
      <c r="W12" s="105" t="s">
        <v>283</v>
      </c>
      <c r="X12" s="106" t="s">
        <v>103</v>
      </c>
      <c r="Y12" s="106" t="s">
        <v>151</v>
      </c>
      <c r="Z12" s="105">
        <v>100</v>
      </c>
      <c r="AA12" s="106"/>
      <c r="AB12" s="106" t="s">
        <v>342</v>
      </c>
      <c r="AC12" s="106" t="s">
        <v>738</v>
      </c>
      <c r="AD12" s="114"/>
      <c r="AE12" s="106"/>
      <c r="AF12" s="106"/>
      <c r="AG12" s="106"/>
      <c r="AH12" s="106"/>
      <c r="AI12" s="106" t="s">
        <v>103</v>
      </c>
      <c r="AJ12" s="106" t="s">
        <v>290</v>
      </c>
      <c r="AK12" s="106" t="s">
        <v>103</v>
      </c>
      <c r="AL12" s="106" t="s">
        <v>150</v>
      </c>
      <c r="AM12" s="106" t="s">
        <v>103</v>
      </c>
      <c r="AN12" s="106" t="s">
        <v>2</v>
      </c>
      <c r="AO12" s="106" t="s">
        <v>91</v>
      </c>
      <c r="AP12" s="105" t="s">
        <v>504</v>
      </c>
      <c r="AQ12" s="106" t="s">
        <v>149</v>
      </c>
      <c r="AR12" s="105"/>
      <c r="AS12" s="105" t="s">
        <v>739</v>
      </c>
      <c r="AT12" s="105"/>
      <c r="AU12" s="105"/>
      <c r="AV12" s="106" t="s">
        <v>740</v>
      </c>
      <c r="AW12" s="105">
        <v>1000</v>
      </c>
      <c r="AX12" s="105">
        <v>0.45</v>
      </c>
      <c r="AY12" s="108">
        <v>45168</v>
      </c>
      <c r="AZ12" s="108"/>
      <c r="BA12" s="108">
        <v>45351</v>
      </c>
      <c r="BB12" s="105">
        <v>5.7</v>
      </c>
      <c r="BC12" s="106" t="s">
        <v>103</v>
      </c>
      <c r="BD12" s="106" t="s">
        <v>732</v>
      </c>
      <c r="BE12" s="106" t="s">
        <v>103</v>
      </c>
      <c r="BF12" s="106" t="s">
        <v>103</v>
      </c>
      <c r="BG12" s="108">
        <v>45168</v>
      </c>
      <c r="BH12" s="105"/>
      <c r="BI12" s="106" t="s">
        <v>359</v>
      </c>
      <c r="BJ12" s="108">
        <v>45168</v>
      </c>
      <c r="BK12" s="106" t="s">
        <v>152</v>
      </c>
      <c r="BL12" s="106" t="s">
        <v>103</v>
      </c>
      <c r="BM12" s="105" t="s">
        <v>103</v>
      </c>
      <c r="BN12" s="106" t="s">
        <v>152</v>
      </c>
      <c r="BO12" s="106" t="s">
        <v>153</v>
      </c>
      <c r="BP12" s="106" t="s">
        <v>154</v>
      </c>
      <c r="BQ12" s="106" t="s">
        <v>155</v>
      </c>
      <c r="BR12" s="106" t="s">
        <v>103</v>
      </c>
      <c r="BS12" s="106" t="s">
        <v>156</v>
      </c>
      <c r="BT12" s="105" t="s">
        <v>17</v>
      </c>
      <c r="BU12" s="105">
        <v>0.45</v>
      </c>
      <c r="BV12" s="105">
        <v>3.2839999999999998</v>
      </c>
      <c r="BW12" s="105">
        <v>3.53</v>
      </c>
      <c r="BX12" s="105" t="s">
        <v>332</v>
      </c>
      <c r="BY12" s="105" t="s">
        <v>7</v>
      </c>
      <c r="BZ12" s="105"/>
      <c r="CA12" s="105"/>
      <c r="CB12" s="105" t="s">
        <v>92</v>
      </c>
      <c r="CC12" s="105" t="s">
        <v>92</v>
      </c>
      <c r="CD12" s="105" t="s">
        <v>741</v>
      </c>
      <c r="CE12" s="105" t="s">
        <v>7</v>
      </c>
    </row>
    <row r="13" spans="1:83" ht="15" x14ac:dyDescent="0.25">
      <c r="B13" t="s">
        <v>414</v>
      </c>
      <c r="D13" s="105">
        <v>3</v>
      </c>
      <c r="E13" s="106" t="s">
        <v>434</v>
      </c>
      <c r="F13" s="105" t="s">
        <v>435</v>
      </c>
      <c r="G13" s="106" t="s">
        <v>436</v>
      </c>
      <c r="H13" s="107">
        <v>45162</v>
      </c>
      <c r="I13" s="106" t="s">
        <v>437</v>
      </c>
      <c r="J13" s="106" t="s">
        <v>150</v>
      </c>
      <c r="K13" s="106" t="s">
        <v>150</v>
      </c>
      <c r="L13" s="106" t="s">
        <v>150</v>
      </c>
      <c r="M13" s="105">
        <v>1.7</v>
      </c>
      <c r="N13" s="106" t="s">
        <v>117</v>
      </c>
      <c r="O13" s="106" t="s">
        <v>233</v>
      </c>
      <c r="P13" s="105">
        <v>4.8</v>
      </c>
      <c r="Q13" s="108">
        <v>46264</v>
      </c>
      <c r="R13" s="106" t="s">
        <v>341</v>
      </c>
      <c r="S13" s="105" t="s">
        <v>103</v>
      </c>
      <c r="T13" s="105" t="s">
        <v>438</v>
      </c>
      <c r="U13" s="122"/>
      <c r="V13" s="105" t="s">
        <v>235</v>
      </c>
      <c r="W13" s="105" t="s">
        <v>284</v>
      </c>
      <c r="X13" s="106" t="s">
        <v>439</v>
      </c>
      <c r="Y13" s="106" t="s">
        <v>151</v>
      </c>
      <c r="Z13" s="105">
        <v>100</v>
      </c>
      <c r="AA13" s="106"/>
      <c r="AB13" s="106" t="s">
        <v>440</v>
      </c>
      <c r="AC13" s="106" t="s">
        <v>441</v>
      </c>
      <c r="AD13" s="114" t="s">
        <v>791</v>
      </c>
      <c r="AE13" s="106"/>
      <c r="AF13" s="106"/>
      <c r="AG13" s="106"/>
      <c r="AH13" s="106"/>
      <c r="AI13" s="106" t="s">
        <v>443</v>
      </c>
      <c r="AJ13" s="106" t="s">
        <v>290</v>
      </c>
      <c r="AK13" s="106" t="s">
        <v>103</v>
      </c>
      <c r="AL13" s="106" t="s">
        <v>150</v>
      </c>
      <c r="AM13" s="106" t="s">
        <v>292</v>
      </c>
      <c r="AN13" s="106" t="s">
        <v>1</v>
      </c>
      <c r="AO13" s="106" t="s">
        <v>91</v>
      </c>
      <c r="AP13" s="105" t="s">
        <v>504</v>
      </c>
      <c r="AQ13" s="106" t="s">
        <v>149</v>
      </c>
      <c r="AR13" s="105"/>
      <c r="AS13" s="105" t="s">
        <v>444</v>
      </c>
      <c r="AT13" s="105"/>
      <c r="AU13" s="105"/>
      <c r="AV13" s="106" t="s">
        <v>445</v>
      </c>
      <c r="AW13" s="105">
        <v>10000</v>
      </c>
      <c r="AX13" s="105">
        <v>1.7</v>
      </c>
      <c r="AY13" s="108">
        <v>45168</v>
      </c>
      <c r="AZ13" s="108"/>
      <c r="BA13" s="108"/>
      <c r="BB13" s="105">
        <v>4.8</v>
      </c>
      <c r="BC13" s="106" t="s">
        <v>103</v>
      </c>
      <c r="BD13" s="106" t="s">
        <v>434</v>
      </c>
      <c r="BE13" s="106" t="s">
        <v>103</v>
      </c>
      <c r="BF13" s="106" t="s">
        <v>103</v>
      </c>
      <c r="BG13" s="108">
        <v>45168</v>
      </c>
      <c r="BH13" s="105" t="s">
        <v>438</v>
      </c>
      <c r="BI13" s="106" t="s">
        <v>289</v>
      </c>
      <c r="BJ13" s="108">
        <v>45168</v>
      </c>
      <c r="BK13" s="106" t="s">
        <v>152</v>
      </c>
      <c r="BL13" s="106" t="s">
        <v>446</v>
      </c>
      <c r="BM13" s="105" t="s">
        <v>447</v>
      </c>
      <c r="BN13" s="106" t="s">
        <v>152</v>
      </c>
      <c r="BO13" s="106" t="s">
        <v>153</v>
      </c>
      <c r="BP13" s="106" t="s">
        <v>154</v>
      </c>
      <c r="BQ13" s="106" t="s">
        <v>155</v>
      </c>
      <c r="BR13" s="106" t="s">
        <v>103</v>
      </c>
      <c r="BS13" s="106" t="s">
        <v>103</v>
      </c>
      <c r="BT13" s="105" t="s">
        <v>21</v>
      </c>
      <c r="BU13" s="105">
        <v>0.23300000000000001</v>
      </c>
      <c r="BV13" s="105">
        <v>1.7</v>
      </c>
      <c r="BW13" s="105">
        <v>1.829</v>
      </c>
      <c r="BX13" s="105" t="s">
        <v>332</v>
      </c>
      <c r="BY13" s="105" t="s">
        <v>7</v>
      </c>
      <c r="BZ13" s="105"/>
      <c r="CA13" s="105"/>
      <c r="CB13" s="105" t="s">
        <v>92</v>
      </c>
      <c r="CC13" s="105" t="s">
        <v>92</v>
      </c>
      <c r="CD13" s="105" t="s">
        <v>448</v>
      </c>
      <c r="CE13" s="105" t="s">
        <v>7</v>
      </c>
    </row>
    <row r="14" spans="1:83" ht="15" x14ac:dyDescent="0.25">
      <c r="B14" t="s">
        <v>411</v>
      </c>
      <c r="D14" s="105">
        <v>4</v>
      </c>
      <c r="E14" s="106" t="s">
        <v>449</v>
      </c>
      <c r="F14" s="105" t="s">
        <v>450</v>
      </c>
      <c r="G14" s="106" t="s">
        <v>451</v>
      </c>
      <c r="H14" s="107">
        <v>45162</v>
      </c>
      <c r="I14" s="106" t="s">
        <v>452</v>
      </c>
      <c r="J14" s="106" t="s">
        <v>150</v>
      </c>
      <c r="K14" s="106" t="s">
        <v>150</v>
      </c>
      <c r="L14" s="106" t="s">
        <v>150</v>
      </c>
      <c r="M14" s="105">
        <v>7.18</v>
      </c>
      <c r="N14" s="106" t="s">
        <v>117</v>
      </c>
      <c r="O14" s="106" t="s">
        <v>233</v>
      </c>
      <c r="P14" s="105">
        <v>5</v>
      </c>
      <c r="Q14" s="108">
        <v>46265</v>
      </c>
      <c r="R14" s="106" t="s">
        <v>341</v>
      </c>
      <c r="S14" s="105" t="s">
        <v>103</v>
      </c>
      <c r="T14" s="105" t="s">
        <v>453</v>
      </c>
      <c r="U14" s="122"/>
      <c r="V14" s="105" t="s">
        <v>235</v>
      </c>
      <c r="W14" s="105" t="s">
        <v>284</v>
      </c>
      <c r="X14" s="106" t="s">
        <v>454</v>
      </c>
      <c r="Y14" s="106" t="s">
        <v>151</v>
      </c>
      <c r="Z14" s="105">
        <v>100</v>
      </c>
      <c r="AA14" s="106"/>
      <c r="AB14" s="106" t="s">
        <v>440</v>
      </c>
      <c r="AC14" s="106" t="s">
        <v>455</v>
      </c>
      <c r="AD14" s="114" t="s">
        <v>792</v>
      </c>
      <c r="AE14" s="106"/>
      <c r="AF14" s="106"/>
      <c r="AG14" s="106"/>
      <c r="AH14" s="106"/>
      <c r="AI14" s="106" t="s">
        <v>456</v>
      </c>
      <c r="AJ14" s="106" t="s">
        <v>457</v>
      </c>
      <c r="AK14" s="106" t="s">
        <v>103</v>
      </c>
      <c r="AL14" s="106" t="s">
        <v>150</v>
      </c>
      <c r="AM14" s="106" t="s">
        <v>292</v>
      </c>
      <c r="AN14" s="106" t="s">
        <v>1</v>
      </c>
      <c r="AO14" s="106" t="s">
        <v>91</v>
      </c>
      <c r="AP14" s="105" t="s">
        <v>297</v>
      </c>
      <c r="AQ14" s="106" t="s">
        <v>149</v>
      </c>
      <c r="AR14" s="105"/>
      <c r="AS14" s="105" t="s">
        <v>458</v>
      </c>
      <c r="AT14" s="105"/>
      <c r="AU14" s="105"/>
      <c r="AV14" s="106" t="s">
        <v>459</v>
      </c>
      <c r="AW14" s="105">
        <v>10000</v>
      </c>
      <c r="AX14" s="105">
        <v>7.18</v>
      </c>
      <c r="AY14" s="108">
        <v>45169</v>
      </c>
      <c r="AZ14" s="108"/>
      <c r="BA14" s="108">
        <v>45351</v>
      </c>
      <c r="BB14" s="105">
        <v>5</v>
      </c>
      <c r="BC14" s="106" t="s">
        <v>103</v>
      </c>
      <c r="BD14" s="106" t="s">
        <v>449</v>
      </c>
      <c r="BE14" s="106" t="s">
        <v>103</v>
      </c>
      <c r="BF14" s="106" t="s">
        <v>103</v>
      </c>
      <c r="BG14" s="108">
        <v>45169</v>
      </c>
      <c r="BH14" s="105" t="s">
        <v>453</v>
      </c>
      <c r="BI14" s="106" t="s">
        <v>289</v>
      </c>
      <c r="BJ14" s="108">
        <v>45169</v>
      </c>
      <c r="BK14" s="106" t="s">
        <v>152</v>
      </c>
      <c r="BL14" s="106" t="s">
        <v>460</v>
      </c>
      <c r="BM14" s="105" t="s">
        <v>461</v>
      </c>
      <c r="BN14" s="106" t="s">
        <v>152</v>
      </c>
      <c r="BO14" s="106" t="s">
        <v>153</v>
      </c>
      <c r="BP14" s="106" t="s">
        <v>154</v>
      </c>
      <c r="BQ14" s="106" t="s">
        <v>155</v>
      </c>
      <c r="BR14" s="106" t="s">
        <v>103</v>
      </c>
      <c r="BS14" s="106" t="s">
        <v>156</v>
      </c>
      <c r="BT14" s="105" t="s">
        <v>21</v>
      </c>
      <c r="BU14" s="105">
        <v>0.98399999999999999</v>
      </c>
      <c r="BV14" s="105">
        <v>7.18</v>
      </c>
      <c r="BW14" s="105">
        <v>7.726</v>
      </c>
      <c r="BX14" s="105" t="s">
        <v>332</v>
      </c>
      <c r="BY14" s="105" t="s">
        <v>7</v>
      </c>
      <c r="BZ14" s="105"/>
      <c r="CA14" s="105"/>
      <c r="CB14" s="105" t="s">
        <v>92</v>
      </c>
      <c r="CC14" s="105" t="s">
        <v>92</v>
      </c>
      <c r="CD14" s="105" t="s">
        <v>462</v>
      </c>
      <c r="CE14" s="105" t="s">
        <v>7</v>
      </c>
    </row>
    <row r="15" spans="1:83" ht="15" x14ac:dyDescent="0.25">
      <c r="D15">
        <v>5</v>
      </c>
      <c r="E15" t="s">
        <v>463</v>
      </c>
      <c r="F15" t="s">
        <v>464</v>
      </c>
      <c r="G15" t="s">
        <v>465</v>
      </c>
      <c r="H15" s="107">
        <v>45162</v>
      </c>
      <c r="I15" t="s">
        <v>466</v>
      </c>
      <c r="J15" t="s">
        <v>150</v>
      </c>
      <c r="K15" t="s">
        <v>150</v>
      </c>
      <c r="L15" t="s">
        <v>150</v>
      </c>
      <c r="M15">
        <v>0.25800000000000001</v>
      </c>
      <c r="N15" t="s">
        <v>94</v>
      </c>
      <c r="O15" t="s">
        <v>233</v>
      </c>
      <c r="P15">
        <v>7.2</v>
      </c>
      <c r="Q15">
        <v>46262</v>
      </c>
      <c r="R15" t="s">
        <v>467</v>
      </c>
      <c r="S15" t="s">
        <v>103</v>
      </c>
      <c r="T15" t="s">
        <v>103</v>
      </c>
      <c r="U15" s="122"/>
      <c r="V15" t="s">
        <v>235</v>
      </c>
      <c r="W15" t="s">
        <v>283</v>
      </c>
      <c r="X15" t="s">
        <v>103</v>
      </c>
      <c r="Y15" t="s">
        <v>151</v>
      </c>
      <c r="Z15">
        <v>100</v>
      </c>
      <c r="AA15"/>
      <c r="AB15" t="s">
        <v>468</v>
      </c>
      <c r="AC15" t="s">
        <v>469</v>
      </c>
      <c r="AD15" s="100"/>
      <c r="AE15"/>
      <c r="AF15"/>
      <c r="AG15"/>
      <c r="AH15"/>
      <c r="AI15" t="s">
        <v>470</v>
      </c>
      <c r="AJ15" t="s">
        <v>471</v>
      </c>
      <c r="AK15" t="s">
        <v>103</v>
      </c>
      <c r="AL15" t="s">
        <v>150</v>
      </c>
      <c r="AM15" t="s">
        <v>292</v>
      </c>
      <c r="AN15" t="s">
        <v>1</v>
      </c>
      <c r="AO15" t="s">
        <v>91</v>
      </c>
      <c r="AP15" t="s">
        <v>504</v>
      </c>
      <c r="AQ15" t="s">
        <v>149</v>
      </c>
      <c r="AR15"/>
      <c r="AS15"/>
      <c r="AT15"/>
      <c r="AU15"/>
      <c r="AV15" t="s">
        <v>472</v>
      </c>
      <c r="AW15">
        <v>1000</v>
      </c>
      <c r="AX15">
        <v>0.25800000000000001</v>
      </c>
      <c r="AY15">
        <v>45166</v>
      </c>
      <c r="AZ15"/>
      <c r="BA15">
        <v>45350</v>
      </c>
      <c r="BB15">
        <v>7.2</v>
      </c>
      <c r="BC15" t="s">
        <v>103</v>
      </c>
      <c r="BD15" t="s">
        <v>463</v>
      </c>
      <c r="BE15" t="s">
        <v>103</v>
      </c>
      <c r="BF15" t="s">
        <v>103</v>
      </c>
      <c r="BG15">
        <v>45166</v>
      </c>
      <c r="BH15"/>
      <c r="BI15" t="s">
        <v>289</v>
      </c>
      <c r="BJ15">
        <v>45166</v>
      </c>
      <c r="BK15" t="s">
        <v>152</v>
      </c>
      <c r="BL15" t="s">
        <v>103</v>
      </c>
      <c r="BM15" t="s">
        <v>473</v>
      </c>
      <c r="BN15" t="s">
        <v>152</v>
      </c>
      <c r="BO15" t="s">
        <v>153</v>
      </c>
      <c r="BP15" t="s">
        <v>154</v>
      </c>
      <c r="BQ15" t="s">
        <v>155</v>
      </c>
      <c r="BR15" t="s">
        <v>103</v>
      </c>
      <c r="BS15" t="s">
        <v>156</v>
      </c>
      <c r="BT15" t="s">
        <v>26</v>
      </c>
      <c r="BU15">
        <v>0.25800000000000001</v>
      </c>
      <c r="BV15">
        <v>1.88</v>
      </c>
      <c r="BW15">
        <v>2.0230000000000001</v>
      </c>
      <c r="BX15" t="s">
        <v>332</v>
      </c>
      <c r="BY15" t="s">
        <v>7</v>
      </c>
      <c r="BZ15"/>
      <c r="CA15"/>
      <c r="CB15" t="s">
        <v>92</v>
      </c>
      <c r="CC15" t="s">
        <v>92</v>
      </c>
      <c r="CD15" t="s">
        <v>474</v>
      </c>
      <c r="CE15" t="s">
        <v>7</v>
      </c>
    </row>
    <row r="16" spans="1:83" ht="15" x14ac:dyDescent="0.25">
      <c r="D16">
        <v>6</v>
      </c>
      <c r="E16" t="s">
        <v>475</v>
      </c>
      <c r="F16" t="s">
        <v>476</v>
      </c>
      <c r="G16" t="s">
        <v>432</v>
      </c>
      <c r="H16" s="107">
        <v>45161</v>
      </c>
      <c r="I16" t="s">
        <v>477</v>
      </c>
      <c r="J16" t="s">
        <v>478</v>
      </c>
      <c r="K16" t="s">
        <v>351</v>
      </c>
      <c r="L16" t="s">
        <v>150</v>
      </c>
      <c r="M16">
        <v>5</v>
      </c>
      <c r="N16" t="s">
        <v>94</v>
      </c>
      <c r="O16" t="s">
        <v>233</v>
      </c>
      <c r="P16">
        <v>5.9348999999999998</v>
      </c>
      <c r="Q16">
        <v>46264</v>
      </c>
      <c r="R16" t="s">
        <v>467</v>
      </c>
      <c r="S16" t="s">
        <v>479</v>
      </c>
      <c r="T16" t="s">
        <v>480</v>
      </c>
      <c r="U16" s="122">
        <v>45</v>
      </c>
      <c r="V16" t="s">
        <v>235</v>
      </c>
      <c r="W16" t="s">
        <v>283</v>
      </c>
      <c r="X16" t="s">
        <v>103</v>
      </c>
      <c r="Y16" t="s">
        <v>151</v>
      </c>
      <c r="Z16">
        <v>100</v>
      </c>
      <c r="AA16"/>
      <c r="AB16" t="s">
        <v>343</v>
      </c>
      <c r="AC16" t="s">
        <v>344</v>
      </c>
      <c r="AD16" s="100"/>
      <c r="AE16"/>
      <c r="AF16"/>
      <c r="AG16"/>
      <c r="AH16"/>
      <c r="AI16" t="s">
        <v>481</v>
      </c>
      <c r="AJ16" t="s">
        <v>348</v>
      </c>
      <c r="AK16" t="s">
        <v>38</v>
      </c>
      <c r="AL16" t="s">
        <v>150</v>
      </c>
      <c r="AM16" t="s">
        <v>288</v>
      </c>
      <c r="AN16" t="s">
        <v>93</v>
      </c>
      <c r="AO16" t="s">
        <v>178</v>
      </c>
      <c r="AP16" t="s">
        <v>504</v>
      </c>
      <c r="AQ16" t="s">
        <v>349</v>
      </c>
      <c r="AR16"/>
      <c r="AS16" t="s">
        <v>482</v>
      </c>
      <c r="AT16"/>
      <c r="AU16"/>
      <c r="AV16" t="s">
        <v>483</v>
      </c>
      <c r="AW16">
        <v>1000</v>
      </c>
      <c r="AX16">
        <v>5</v>
      </c>
      <c r="AY16">
        <v>45168</v>
      </c>
      <c r="AZ16"/>
      <c r="BA16">
        <v>45260</v>
      </c>
      <c r="BB16">
        <v>5.9348999999999998</v>
      </c>
      <c r="BC16" t="s">
        <v>484</v>
      </c>
      <c r="BD16" t="s">
        <v>485</v>
      </c>
      <c r="BE16" t="s">
        <v>103</v>
      </c>
      <c r="BF16" t="s">
        <v>103</v>
      </c>
      <c r="BG16">
        <v>45168</v>
      </c>
      <c r="BH16" t="s">
        <v>486</v>
      </c>
      <c r="BI16" t="s">
        <v>103</v>
      </c>
      <c r="BJ16">
        <v>45168</v>
      </c>
      <c r="BK16" t="s">
        <v>152</v>
      </c>
      <c r="BL16" t="s">
        <v>487</v>
      </c>
      <c r="BM16" t="s">
        <v>488</v>
      </c>
      <c r="BN16" t="s">
        <v>152</v>
      </c>
      <c r="BO16" t="s">
        <v>346</v>
      </c>
      <c r="BP16" t="s">
        <v>154</v>
      </c>
      <c r="BQ16" t="s">
        <v>155</v>
      </c>
      <c r="BR16" t="s">
        <v>103</v>
      </c>
      <c r="BS16" t="s">
        <v>345</v>
      </c>
      <c r="BT16" t="s">
        <v>13</v>
      </c>
      <c r="BU16">
        <v>5</v>
      </c>
      <c r="BV16">
        <v>36.435000000000002</v>
      </c>
      <c r="BW16">
        <v>39.204999999999998</v>
      </c>
      <c r="BX16" t="s">
        <v>332</v>
      </c>
      <c r="BY16" t="s">
        <v>7</v>
      </c>
      <c r="BZ16"/>
      <c r="CA16"/>
      <c r="CB16" t="s">
        <v>92</v>
      </c>
      <c r="CC16" t="s">
        <v>584</v>
      </c>
      <c r="CD16" t="s">
        <v>489</v>
      </c>
      <c r="CE16" t="s">
        <v>7</v>
      </c>
    </row>
    <row r="17" spans="4:83" ht="15" x14ac:dyDescent="0.25">
      <c r="D17">
        <v>7</v>
      </c>
      <c r="E17" t="s">
        <v>430</v>
      </c>
      <c r="F17" t="s">
        <v>495</v>
      </c>
      <c r="G17" t="s">
        <v>429</v>
      </c>
      <c r="H17" s="107">
        <v>45160</v>
      </c>
      <c r="I17" t="s">
        <v>496</v>
      </c>
      <c r="J17" t="s">
        <v>150</v>
      </c>
      <c r="K17" t="s">
        <v>150</v>
      </c>
      <c r="L17" t="s">
        <v>150</v>
      </c>
      <c r="M17">
        <v>130</v>
      </c>
      <c r="N17" t="s">
        <v>497</v>
      </c>
      <c r="O17" t="s">
        <v>233</v>
      </c>
      <c r="P17">
        <v>1.6</v>
      </c>
      <c r="Q17">
        <v>46259</v>
      </c>
      <c r="R17" t="s">
        <v>341</v>
      </c>
      <c r="S17" t="s">
        <v>498</v>
      </c>
      <c r="T17" t="s">
        <v>103</v>
      </c>
      <c r="U17" s="122"/>
      <c r="V17" t="s">
        <v>235</v>
      </c>
      <c r="W17" t="s">
        <v>499</v>
      </c>
      <c r="X17" t="s">
        <v>500</v>
      </c>
      <c r="Y17" t="s">
        <v>151</v>
      </c>
      <c r="Z17">
        <v>100</v>
      </c>
      <c r="AA17"/>
      <c r="AB17" t="s">
        <v>342</v>
      </c>
      <c r="AC17" t="s">
        <v>501</v>
      </c>
      <c r="AD17" s="100"/>
      <c r="AE17"/>
      <c r="AF17"/>
      <c r="AG17"/>
      <c r="AH17"/>
      <c r="AI17" t="s">
        <v>502</v>
      </c>
      <c r="AJ17" t="s">
        <v>503</v>
      </c>
      <c r="AK17" t="s">
        <v>103</v>
      </c>
      <c r="AL17" t="s">
        <v>150</v>
      </c>
      <c r="AM17" t="s">
        <v>103</v>
      </c>
      <c r="AN17" t="s">
        <v>2</v>
      </c>
      <c r="AO17" t="s">
        <v>91</v>
      </c>
      <c r="AP17" t="s">
        <v>713</v>
      </c>
      <c r="AQ17" t="s">
        <v>149</v>
      </c>
      <c r="AR17"/>
      <c r="AS17" t="s">
        <v>505</v>
      </c>
      <c r="AT17"/>
      <c r="AU17"/>
      <c r="AV17" t="s">
        <v>506</v>
      </c>
      <c r="AW17">
        <v>1000</v>
      </c>
      <c r="AX17">
        <v>130</v>
      </c>
      <c r="AY17">
        <v>45163</v>
      </c>
      <c r="AZ17"/>
      <c r="BA17">
        <v>45347</v>
      </c>
      <c r="BB17">
        <v>1.6</v>
      </c>
      <c r="BC17" t="s">
        <v>103</v>
      </c>
      <c r="BD17" t="s">
        <v>507</v>
      </c>
      <c r="BE17" t="s">
        <v>103</v>
      </c>
      <c r="BF17" t="s">
        <v>430</v>
      </c>
      <c r="BG17">
        <v>45163</v>
      </c>
      <c r="BH17" t="s">
        <v>508</v>
      </c>
      <c r="BI17" t="s">
        <v>289</v>
      </c>
      <c r="BJ17">
        <v>45163</v>
      </c>
      <c r="BK17" t="s">
        <v>152</v>
      </c>
      <c r="BL17" t="s">
        <v>509</v>
      </c>
      <c r="BM17" t="s">
        <v>510</v>
      </c>
      <c r="BN17" t="s">
        <v>152</v>
      </c>
      <c r="BO17" t="s">
        <v>153</v>
      </c>
      <c r="BP17" t="s">
        <v>154</v>
      </c>
      <c r="BQ17" t="s">
        <v>155</v>
      </c>
      <c r="BR17" t="s">
        <v>103</v>
      </c>
      <c r="BS17" t="s">
        <v>156</v>
      </c>
      <c r="BT17" t="s">
        <v>17</v>
      </c>
      <c r="BU17">
        <v>0.91</v>
      </c>
      <c r="BV17">
        <v>6.5</v>
      </c>
      <c r="BW17">
        <v>7.02</v>
      </c>
      <c r="BX17" t="s">
        <v>331</v>
      </c>
      <c r="BY17" t="s">
        <v>7</v>
      </c>
      <c r="BZ17"/>
      <c r="CA17"/>
      <c r="CB17" t="s">
        <v>92</v>
      </c>
      <c r="CC17" t="s">
        <v>92</v>
      </c>
      <c r="CD17" t="s">
        <v>511</v>
      </c>
      <c r="CE17" t="s">
        <v>7</v>
      </c>
    </row>
    <row r="18" spans="4:83" ht="15" x14ac:dyDescent="0.25">
      <c r="D18">
        <v>8</v>
      </c>
      <c r="E18" t="s">
        <v>427</v>
      </c>
      <c r="F18" t="s">
        <v>512</v>
      </c>
      <c r="G18" t="s">
        <v>426</v>
      </c>
      <c r="H18" s="107">
        <v>45160</v>
      </c>
      <c r="I18" t="s">
        <v>513</v>
      </c>
      <c r="J18" t="s">
        <v>150</v>
      </c>
      <c r="K18" t="s">
        <v>150</v>
      </c>
      <c r="L18" t="s">
        <v>150</v>
      </c>
      <c r="M18">
        <v>2</v>
      </c>
      <c r="N18" t="s">
        <v>94</v>
      </c>
      <c r="O18" t="s">
        <v>233</v>
      </c>
      <c r="P18">
        <v>5.85</v>
      </c>
      <c r="Q18">
        <v>46259</v>
      </c>
      <c r="R18" t="s">
        <v>467</v>
      </c>
      <c r="S18" t="s">
        <v>514</v>
      </c>
      <c r="T18" t="s">
        <v>515</v>
      </c>
      <c r="U18" s="122">
        <v>40</v>
      </c>
      <c r="V18" t="s">
        <v>235</v>
      </c>
      <c r="W18" t="s">
        <v>45</v>
      </c>
      <c r="X18" t="s">
        <v>103</v>
      </c>
      <c r="Y18" t="s">
        <v>151</v>
      </c>
      <c r="Z18">
        <v>100</v>
      </c>
      <c r="AA18"/>
      <c r="AB18" t="s">
        <v>516</v>
      </c>
      <c r="AC18" t="s">
        <v>517</v>
      </c>
      <c r="AD18" s="100" t="s">
        <v>518</v>
      </c>
      <c r="AE18"/>
      <c r="AF18"/>
      <c r="AG18"/>
      <c r="AH18"/>
      <c r="AI18" t="s">
        <v>519</v>
      </c>
      <c r="AJ18" t="s">
        <v>290</v>
      </c>
      <c r="AK18" t="s">
        <v>38</v>
      </c>
      <c r="AL18" t="s">
        <v>150</v>
      </c>
      <c r="AM18" t="s">
        <v>299</v>
      </c>
      <c r="AN18" t="s">
        <v>1</v>
      </c>
      <c r="AO18" t="s">
        <v>178</v>
      </c>
      <c r="AP18" t="s">
        <v>713</v>
      </c>
      <c r="AQ18" t="s">
        <v>149</v>
      </c>
      <c r="AR18"/>
      <c r="AS18" t="s">
        <v>520</v>
      </c>
      <c r="AT18"/>
      <c r="AU18"/>
      <c r="AV18" t="s">
        <v>521</v>
      </c>
      <c r="AW18">
        <v>1000</v>
      </c>
      <c r="AX18">
        <v>2</v>
      </c>
      <c r="AY18">
        <v>45163</v>
      </c>
      <c r="AZ18"/>
      <c r="BA18">
        <v>45347</v>
      </c>
      <c r="BB18">
        <v>5.85</v>
      </c>
      <c r="BC18" t="s">
        <v>103</v>
      </c>
      <c r="BD18" t="s">
        <v>522</v>
      </c>
      <c r="BE18" t="s">
        <v>103</v>
      </c>
      <c r="BF18" t="s">
        <v>427</v>
      </c>
      <c r="BG18">
        <v>45163</v>
      </c>
      <c r="BH18" t="s">
        <v>515</v>
      </c>
      <c r="BI18" t="s">
        <v>103</v>
      </c>
      <c r="BJ18">
        <v>45163</v>
      </c>
      <c r="BK18" t="s">
        <v>152</v>
      </c>
      <c r="BL18" t="s">
        <v>523</v>
      </c>
      <c r="BM18" t="s">
        <v>524</v>
      </c>
      <c r="BN18" t="s">
        <v>152</v>
      </c>
      <c r="BO18" t="s">
        <v>153</v>
      </c>
      <c r="BP18" t="s">
        <v>154</v>
      </c>
      <c r="BQ18" t="s">
        <v>155</v>
      </c>
      <c r="BR18" t="s">
        <v>103</v>
      </c>
      <c r="BS18" t="s">
        <v>156</v>
      </c>
      <c r="BT18" t="s">
        <v>8</v>
      </c>
      <c r="BU18">
        <v>2</v>
      </c>
      <c r="BV18">
        <v>14.612</v>
      </c>
      <c r="BW18">
        <v>15.676</v>
      </c>
      <c r="BX18" t="s">
        <v>356</v>
      </c>
      <c r="BY18" t="s">
        <v>7</v>
      </c>
      <c r="BZ18"/>
      <c r="CA18"/>
      <c r="CB18" t="s">
        <v>592</v>
      </c>
      <c r="CC18" t="s">
        <v>592</v>
      </c>
      <c r="CD18" t="s">
        <v>525</v>
      </c>
      <c r="CE18" t="s">
        <v>7</v>
      </c>
    </row>
    <row r="19" spans="4:83" ht="15" x14ac:dyDescent="0.25">
      <c r="D19">
        <v>9</v>
      </c>
      <c r="E19" t="s">
        <v>533</v>
      </c>
      <c r="F19" t="s">
        <v>534</v>
      </c>
      <c r="G19" t="s">
        <v>535</v>
      </c>
      <c r="H19" s="107">
        <v>45159</v>
      </c>
      <c r="I19" t="s">
        <v>536</v>
      </c>
      <c r="J19" t="s">
        <v>150</v>
      </c>
      <c r="K19" t="s">
        <v>150</v>
      </c>
      <c r="L19" t="s">
        <v>150</v>
      </c>
      <c r="M19">
        <v>1.3</v>
      </c>
      <c r="N19" t="s">
        <v>94</v>
      </c>
      <c r="O19" t="s">
        <v>233</v>
      </c>
      <c r="P19">
        <v>8</v>
      </c>
      <c r="Q19">
        <v>46258</v>
      </c>
      <c r="R19" t="s">
        <v>467</v>
      </c>
      <c r="S19" t="s">
        <v>537</v>
      </c>
      <c r="T19" t="s">
        <v>538</v>
      </c>
      <c r="U19" s="122">
        <v>20</v>
      </c>
      <c r="V19" t="s">
        <v>235</v>
      </c>
      <c r="W19" t="s">
        <v>45</v>
      </c>
      <c r="X19" t="s">
        <v>103</v>
      </c>
      <c r="Y19" t="s">
        <v>151</v>
      </c>
      <c r="Z19">
        <v>100</v>
      </c>
      <c r="AA19"/>
      <c r="AB19" t="s">
        <v>358</v>
      </c>
      <c r="AC19" t="s">
        <v>539</v>
      </c>
      <c r="AD19" s="100"/>
      <c r="AE19"/>
      <c r="AF19"/>
      <c r="AG19"/>
      <c r="AH19"/>
      <c r="AI19" t="s">
        <v>540</v>
      </c>
      <c r="AJ19" t="s">
        <v>541</v>
      </c>
      <c r="AK19" t="s">
        <v>103</v>
      </c>
      <c r="AL19" t="s">
        <v>150</v>
      </c>
      <c r="AM19" t="s">
        <v>299</v>
      </c>
      <c r="AN19" t="s">
        <v>2</v>
      </c>
      <c r="AO19" t="s">
        <v>91</v>
      </c>
      <c r="AP19" t="s">
        <v>713</v>
      </c>
      <c r="AQ19" t="s">
        <v>149</v>
      </c>
      <c r="AR19"/>
      <c r="AS19" t="s">
        <v>542</v>
      </c>
      <c r="AT19"/>
      <c r="AU19"/>
      <c r="AV19" t="s">
        <v>543</v>
      </c>
      <c r="AW19">
        <v>1000</v>
      </c>
      <c r="AX19">
        <v>1.3</v>
      </c>
      <c r="AY19">
        <v>45162</v>
      </c>
      <c r="AZ19"/>
      <c r="BA19">
        <v>45346</v>
      </c>
      <c r="BB19">
        <v>8</v>
      </c>
      <c r="BC19" t="s">
        <v>103</v>
      </c>
      <c r="BD19" t="s">
        <v>544</v>
      </c>
      <c r="BE19" t="s">
        <v>103</v>
      </c>
      <c r="BF19" t="s">
        <v>533</v>
      </c>
      <c r="BG19">
        <v>45162</v>
      </c>
      <c r="BH19" t="s">
        <v>538</v>
      </c>
      <c r="BI19" t="s">
        <v>359</v>
      </c>
      <c r="BJ19">
        <v>45162</v>
      </c>
      <c r="BK19" t="s">
        <v>152</v>
      </c>
      <c r="BL19" t="s">
        <v>545</v>
      </c>
      <c r="BM19" t="s">
        <v>546</v>
      </c>
      <c r="BN19" t="s">
        <v>152</v>
      </c>
      <c r="BO19" t="s">
        <v>153</v>
      </c>
      <c r="BP19" t="s">
        <v>154</v>
      </c>
      <c r="BQ19" t="s">
        <v>155</v>
      </c>
      <c r="BR19" t="s">
        <v>103</v>
      </c>
      <c r="BS19" t="s">
        <v>156</v>
      </c>
      <c r="BT19" t="s">
        <v>10</v>
      </c>
      <c r="BU19">
        <v>1.3</v>
      </c>
      <c r="BV19">
        <v>9.4819999999999993</v>
      </c>
      <c r="BW19">
        <v>10.191000000000001</v>
      </c>
      <c r="BX19" t="s">
        <v>356</v>
      </c>
      <c r="BY19" t="s">
        <v>7</v>
      </c>
      <c r="BZ19"/>
      <c r="CA19"/>
      <c r="CB19" t="s">
        <v>92</v>
      </c>
      <c r="CC19" t="s">
        <v>92</v>
      </c>
      <c r="CD19" t="s">
        <v>547</v>
      </c>
      <c r="CE19" t="s">
        <v>7</v>
      </c>
    </row>
    <row r="20" spans="4:83" ht="15" x14ac:dyDescent="0.25">
      <c r="D20">
        <v>10</v>
      </c>
      <c r="E20" t="s">
        <v>548</v>
      </c>
      <c r="F20" t="s">
        <v>549</v>
      </c>
      <c r="G20" t="s">
        <v>550</v>
      </c>
      <c r="H20" s="107">
        <v>45159</v>
      </c>
      <c r="I20" t="s">
        <v>551</v>
      </c>
      <c r="J20" t="s">
        <v>150</v>
      </c>
      <c r="K20" t="s">
        <v>150</v>
      </c>
      <c r="L20" t="s">
        <v>150</v>
      </c>
      <c r="M20">
        <v>167.2</v>
      </c>
      <c r="N20" t="s">
        <v>497</v>
      </c>
      <c r="O20" t="s">
        <v>233</v>
      </c>
      <c r="P20">
        <v>1.7</v>
      </c>
      <c r="Q20">
        <v>46258</v>
      </c>
      <c r="R20" t="s">
        <v>341</v>
      </c>
      <c r="S20" t="s">
        <v>498</v>
      </c>
      <c r="T20" t="s">
        <v>552</v>
      </c>
      <c r="U20" s="122">
        <v>10</v>
      </c>
      <c r="V20" t="s">
        <v>235</v>
      </c>
      <c r="W20" t="s">
        <v>499</v>
      </c>
      <c r="X20" t="s">
        <v>553</v>
      </c>
      <c r="Y20" t="s">
        <v>151</v>
      </c>
      <c r="Z20">
        <v>100</v>
      </c>
      <c r="AA20"/>
      <c r="AB20" t="s">
        <v>342</v>
      </c>
      <c r="AC20" t="s">
        <v>554</v>
      </c>
      <c r="AD20" s="100" t="s">
        <v>793</v>
      </c>
      <c r="AE20"/>
      <c r="AF20"/>
      <c r="AG20"/>
      <c r="AH20"/>
      <c r="AI20" t="s">
        <v>556</v>
      </c>
      <c r="AJ20" t="s">
        <v>290</v>
      </c>
      <c r="AK20" t="s">
        <v>103</v>
      </c>
      <c r="AL20" t="s">
        <v>150</v>
      </c>
      <c r="AM20" t="s">
        <v>299</v>
      </c>
      <c r="AN20" t="s">
        <v>1</v>
      </c>
      <c r="AO20" t="s">
        <v>91</v>
      </c>
      <c r="AP20" t="s">
        <v>713</v>
      </c>
      <c r="AQ20" t="s">
        <v>149</v>
      </c>
      <c r="AR20"/>
      <c r="AS20" t="s">
        <v>557</v>
      </c>
      <c r="AT20"/>
      <c r="AU20"/>
      <c r="AV20" t="s">
        <v>558</v>
      </c>
      <c r="AW20">
        <v>10000000</v>
      </c>
      <c r="AX20">
        <v>167.2</v>
      </c>
      <c r="AY20">
        <v>45162</v>
      </c>
      <c r="AZ20"/>
      <c r="BA20">
        <v>45346</v>
      </c>
      <c r="BB20">
        <v>1.7</v>
      </c>
      <c r="BC20" t="s">
        <v>103</v>
      </c>
      <c r="BD20" t="s">
        <v>559</v>
      </c>
      <c r="BE20" t="s">
        <v>103</v>
      </c>
      <c r="BF20" t="s">
        <v>548</v>
      </c>
      <c r="BG20">
        <v>45162</v>
      </c>
      <c r="BH20" t="s">
        <v>552</v>
      </c>
      <c r="BI20" t="s">
        <v>289</v>
      </c>
      <c r="BJ20">
        <v>45162</v>
      </c>
      <c r="BK20" t="s">
        <v>152</v>
      </c>
      <c r="BL20" t="s">
        <v>560</v>
      </c>
      <c r="BM20" t="s">
        <v>561</v>
      </c>
      <c r="BN20" t="s">
        <v>152</v>
      </c>
      <c r="BO20" t="s">
        <v>153</v>
      </c>
      <c r="BP20" t="s">
        <v>154</v>
      </c>
      <c r="BQ20" t="s">
        <v>155</v>
      </c>
      <c r="BR20" t="s">
        <v>103</v>
      </c>
      <c r="BS20" t="s">
        <v>156</v>
      </c>
      <c r="BT20" t="s">
        <v>17</v>
      </c>
      <c r="BU20">
        <v>1.17</v>
      </c>
      <c r="BV20">
        <v>8.36</v>
      </c>
      <c r="BW20">
        <v>9.0289999999999999</v>
      </c>
      <c r="BX20" t="s">
        <v>356</v>
      </c>
      <c r="BY20" t="s">
        <v>7</v>
      </c>
      <c r="BZ20"/>
      <c r="CA20"/>
      <c r="CB20" t="s">
        <v>92</v>
      </c>
      <c r="CC20" t="s">
        <v>92</v>
      </c>
      <c r="CD20" t="s">
        <v>562</v>
      </c>
      <c r="CE20" t="s">
        <v>7</v>
      </c>
    </row>
    <row r="21" spans="4:83" ht="15" x14ac:dyDescent="0.25">
      <c r="D21">
        <v>11</v>
      </c>
      <c r="E21" t="s">
        <v>563</v>
      </c>
      <c r="F21" t="s">
        <v>564</v>
      </c>
      <c r="G21" t="s">
        <v>565</v>
      </c>
      <c r="H21" s="107">
        <v>45159</v>
      </c>
      <c r="I21" t="s">
        <v>566</v>
      </c>
      <c r="J21" t="s">
        <v>567</v>
      </c>
      <c r="K21" t="s">
        <v>568</v>
      </c>
      <c r="L21" t="s">
        <v>150</v>
      </c>
      <c r="M21">
        <v>0.41</v>
      </c>
      <c r="N21" t="s">
        <v>117</v>
      </c>
      <c r="O21" t="s">
        <v>334</v>
      </c>
      <c r="P21">
        <v>7</v>
      </c>
      <c r="Q21">
        <v>45526</v>
      </c>
      <c r="R21" t="s">
        <v>121</v>
      </c>
      <c r="S21" t="s">
        <v>103</v>
      </c>
      <c r="T21" t="s">
        <v>103</v>
      </c>
      <c r="U21" s="122"/>
      <c r="V21" t="s">
        <v>235</v>
      </c>
      <c r="W21" t="s">
        <v>45</v>
      </c>
      <c r="X21" t="s">
        <v>103</v>
      </c>
      <c r="Y21" t="s">
        <v>151</v>
      </c>
      <c r="Z21">
        <v>100</v>
      </c>
      <c r="AA21"/>
      <c r="AB21" t="s">
        <v>291</v>
      </c>
      <c r="AC21" t="s">
        <v>569</v>
      </c>
      <c r="AD21" s="100"/>
      <c r="AE21"/>
      <c r="AF21"/>
      <c r="AG21"/>
      <c r="AH21"/>
      <c r="AI21" t="s">
        <v>570</v>
      </c>
      <c r="AJ21" t="s">
        <v>571</v>
      </c>
      <c r="AK21" t="s">
        <v>103</v>
      </c>
      <c r="AL21" t="s">
        <v>150</v>
      </c>
      <c r="AM21" t="s">
        <v>299</v>
      </c>
      <c r="AN21" t="s">
        <v>3</v>
      </c>
      <c r="AO21" t="s">
        <v>91</v>
      </c>
      <c r="AP21" t="s">
        <v>714</v>
      </c>
      <c r="AQ21" t="s">
        <v>572</v>
      </c>
      <c r="AR21"/>
      <c r="AS21"/>
      <c r="AT21"/>
      <c r="AU21"/>
      <c r="AV21" t="s">
        <v>573</v>
      </c>
      <c r="AW21">
        <v>10000</v>
      </c>
      <c r="AX21">
        <v>0.41</v>
      </c>
      <c r="AY21">
        <v>45162</v>
      </c>
      <c r="AZ21"/>
      <c r="BA21">
        <v>45346</v>
      </c>
      <c r="BB21">
        <v>7</v>
      </c>
      <c r="BC21" t="s">
        <v>103</v>
      </c>
      <c r="BD21" t="s">
        <v>574</v>
      </c>
      <c r="BE21" t="s">
        <v>103</v>
      </c>
      <c r="BF21" t="s">
        <v>563</v>
      </c>
      <c r="BG21">
        <v>45162</v>
      </c>
      <c r="BH21"/>
      <c r="BI21" t="s">
        <v>103</v>
      </c>
      <c r="BJ21">
        <v>45162</v>
      </c>
      <c r="BK21" t="s">
        <v>152</v>
      </c>
      <c r="BL21" t="s">
        <v>103</v>
      </c>
      <c r="BM21" t="s">
        <v>575</v>
      </c>
      <c r="BN21" t="s">
        <v>152</v>
      </c>
      <c r="BO21" t="s">
        <v>153</v>
      </c>
      <c r="BP21" t="s">
        <v>154</v>
      </c>
      <c r="BQ21" t="s">
        <v>155</v>
      </c>
      <c r="BR21" t="s">
        <v>103</v>
      </c>
      <c r="BS21" t="s">
        <v>156</v>
      </c>
      <c r="BT21" t="s">
        <v>18</v>
      </c>
      <c r="BU21">
        <v>5.6000000000000001E-2</v>
      </c>
      <c r="BV21">
        <v>0.41</v>
      </c>
      <c r="BW21">
        <v>0.441</v>
      </c>
      <c r="BX21" t="s">
        <v>356</v>
      </c>
      <c r="BY21" t="s">
        <v>7</v>
      </c>
      <c r="BZ21"/>
      <c r="CA21"/>
      <c r="CB21" t="s">
        <v>92</v>
      </c>
      <c r="CC21" t="s">
        <v>92</v>
      </c>
      <c r="CD21" t="s">
        <v>576</v>
      </c>
      <c r="CE21" t="s">
        <v>7</v>
      </c>
    </row>
    <row r="22" spans="4:83" ht="15" x14ac:dyDescent="0.25">
      <c r="D22">
        <v>12</v>
      </c>
      <c r="E22" t="s">
        <v>563</v>
      </c>
      <c r="F22" t="s">
        <v>564</v>
      </c>
      <c r="G22" t="s">
        <v>577</v>
      </c>
      <c r="H22" s="130">
        <v>45159</v>
      </c>
      <c r="I22" t="s">
        <v>566</v>
      </c>
      <c r="J22" t="s">
        <v>567</v>
      </c>
      <c r="K22" t="s">
        <v>568</v>
      </c>
      <c r="L22" t="s">
        <v>150</v>
      </c>
      <c r="M22">
        <v>1.915</v>
      </c>
      <c r="N22" t="s">
        <v>120</v>
      </c>
      <c r="O22" t="s">
        <v>334</v>
      </c>
      <c r="P22">
        <v>7</v>
      </c>
      <c r="Q22">
        <v>45526</v>
      </c>
      <c r="R22" t="s">
        <v>121</v>
      </c>
      <c r="S22" t="s">
        <v>103</v>
      </c>
      <c r="T22" t="s">
        <v>103</v>
      </c>
      <c r="U22" s="126"/>
      <c r="V22" t="s">
        <v>235</v>
      </c>
      <c r="W22" t="s">
        <v>45</v>
      </c>
      <c r="X22" t="s">
        <v>103</v>
      </c>
      <c r="Y22" t="s">
        <v>151</v>
      </c>
      <c r="Z22">
        <v>100</v>
      </c>
      <c r="AA22"/>
      <c r="AB22" t="s">
        <v>291</v>
      </c>
      <c r="AC22" t="s">
        <v>569</v>
      </c>
      <c r="AD22" s="100"/>
      <c r="AE22"/>
      <c r="AF22"/>
      <c r="AG22"/>
      <c r="AH22"/>
      <c r="AI22" t="s">
        <v>570</v>
      </c>
      <c r="AJ22" t="s">
        <v>571</v>
      </c>
      <c r="AK22" t="s">
        <v>103</v>
      </c>
      <c r="AL22" t="s">
        <v>150</v>
      </c>
      <c r="AM22" t="s">
        <v>299</v>
      </c>
      <c r="AN22" t="s">
        <v>3</v>
      </c>
      <c r="AO22" t="s">
        <v>91</v>
      </c>
      <c r="AP22" t="s">
        <v>714</v>
      </c>
      <c r="AQ22" t="s">
        <v>572</v>
      </c>
      <c r="AR22"/>
      <c r="AS22"/>
      <c r="AT22"/>
      <c r="AU22"/>
      <c r="AV22" t="s">
        <v>573</v>
      </c>
      <c r="AW22">
        <v>1000</v>
      </c>
      <c r="AX22">
        <v>1.9145000000000001</v>
      </c>
      <c r="AY22">
        <v>45162</v>
      </c>
      <c r="AZ22"/>
      <c r="BA22">
        <v>45346</v>
      </c>
      <c r="BB22">
        <v>7</v>
      </c>
      <c r="BC22" t="s">
        <v>103</v>
      </c>
      <c r="BD22" t="s">
        <v>574</v>
      </c>
      <c r="BE22" t="s">
        <v>103</v>
      </c>
      <c r="BF22" t="s">
        <v>563</v>
      </c>
      <c r="BG22">
        <v>45162</v>
      </c>
      <c r="BH22"/>
      <c r="BI22" t="s">
        <v>103</v>
      </c>
      <c r="BJ22">
        <v>45162</v>
      </c>
      <c r="BK22" t="s">
        <v>152</v>
      </c>
      <c r="BL22" t="s">
        <v>103</v>
      </c>
      <c r="BM22" t="s">
        <v>575</v>
      </c>
      <c r="BN22" t="s">
        <v>152</v>
      </c>
      <c r="BO22" t="s">
        <v>153</v>
      </c>
      <c r="BP22" t="s">
        <v>154</v>
      </c>
      <c r="BQ22" t="s">
        <v>155</v>
      </c>
      <c r="BR22" t="s">
        <v>103</v>
      </c>
      <c r="BS22" t="s">
        <v>156</v>
      </c>
      <c r="BT22" t="s">
        <v>18</v>
      </c>
      <c r="BU22">
        <v>0.245</v>
      </c>
      <c r="BV22">
        <v>1.7809999999999999</v>
      </c>
      <c r="BW22">
        <v>1.915</v>
      </c>
      <c r="BX22" t="s">
        <v>356</v>
      </c>
      <c r="BY22" t="s">
        <v>7</v>
      </c>
      <c r="BZ22"/>
      <c r="CA22"/>
      <c r="CB22" t="s">
        <v>92</v>
      </c>
      <c r="CC22" t="s">
        <v>92</v>
      </c>
      <c r="CD22" t="s">
        <v>578</v>
      </c>
      <c r="CE22" t="s">
        <v>7</v>
      </c>
    </row>
    <row r="23" spans="4:83" ht="15" x14ac:dyDescent="0.25">
      <c r="D23">
        <v>13</v>
      </c>
      <c r="E23" t="s">
        <v>563</v>
      </c>
      <c r="F23" t="s">
        <v>564</v>
      </c>
      <c r="G23" t="s">
        <v>579</v>
      </c>
      <c r="H23" s="130">
        <v>45159</v>
      </c>
      <c r="I23" t="s">
        <v>566</v>
      </c>
      <c r="J23" t="s">
        <v>567</v>
      </c>
      <c r="K23" t="s">
        <v>568</v>
      </c>
      <c r="L23" t="s">
        <v>150</v>
      </c>
      <c r="M23">
        <v>0.05</v>
      </c>
      <c r="N23" t="s">
        <v>94</v>
      </c>
      <c r="O23" t="s">
        <v>334</v>
      </c>
      <c r="P23">
        <v>7</v>
      </c>
      <c r="Q23">
        <v>45526</v>
      </c>
      <c r="R23" t="s">
        <v>121</v>
      </c>
      <c r="S23" t="s">
        <v>103</v>
      </c>
      <c r="T23" t="s">
        <v>103</v>
      </c>
      <c r="U23" s="126"/>
      <c r="V23" t="s">
        <v>235</v>
      </c>
      <c r="W23" t="s">
        <v>45</v>
      </c>
      <c r="X23" t="s">
        <v>103</v>
      </c>
      <c r="Y23" t="s">
        <v>151</v>
      </c>
      <c r="Z23">
        <v>100</v>
      </c>
      <c r="AA23"/>
      <c r="AB23" t="s">
        <v>291</v>
      </c>
      <c r="AC23" t="s">
        <v>569</v>
      </c>
      <c r="AD23" s="100"/>
      <c r="AE23"/>
      <c r="AF23"/>
      <c r="AG23"/>
      <c r="AH23"/>
      <c r="AI23" t="s">
        <v>570</v>
      </c>
      <c r="AJ23" t="s">
        <v>571</v>
      </c>
      <c r="AK23" t="s">
        <v>103</v>
      </c>
      <c r="AL23" t="s">
        <v>150</v>
      </c>
      <c r="AM23" t="s">
        <v>299</v>
      </c>
      <c r="AN23" t="s">
        <v>3</v>
      </c>
      <c r="AO23" t="s">
        <v>91</v>
      </c>
      <c r="AP23" t="s">
        <v>714</v>
      </c>
      <c r="AQ23" t="s">
        <v>572</v>
      </c>
      <c r="AR23"/>
      <c r="AS23"/>
      <c r="AT23"/>
      <c r="AU23"/>
      <c r="AV23" t="s">
        <v>573</v>
      </c>
      <c r="AW23">
        <v>1000</v>
      </c>
      <c r="AX23">
        <v>4.99E-2</v>
      </c>
      <c r="AY23">
        <v>45162</v>
      </c>
      <c r="AZ23"/>
      <c r="BA23">
        <v>45346</v>
      </c>
      <c r="BB23">
        <v>7</v>
      </c>
      <c r="BC23" t="s">
        <v>103</v>
      </c>
      <c r="BD23" t="s">
        <v>574</v>
      </c>
      <c r="BE23" t="s">
        <v>103</v>
      </c>
      <c r="BF23" t="s">
        <v>563</v>
      </c>
      <c r="BG23">
        <v>45162</v>
      </c>
      <c r="BH23"/>
      <c r="BI23" t="s">
        <v>103</v>
      </c>
      <c r="BJ23">
        <v>45162</v>
      </c>
      <c r="BK23" t="s">
        <v>152</v>
      </c>
      <c r="BL23" t="s">
        <v>103</v>
      </c>
      <c r="BM23" t="s">
        <v>575</v>
      </c>
      <c r="BN23" t="s">
        <v>152</v>
      </c>
      <c r="BO23" t="s">
        <v>153</v>
      </c>
      <c r="BP23" t="s">
        <v>154</v>
      </c>
      <c r="BQ23" t="s">
        <v>155</v>
      </c>
      <c r="BR23" t="s">
        <v>103</v>
      </c>
      <c r="BS23" t="s">
        <v>156</v>
      </c>
      <c r="BT23" t="s">
        <v>18</v>
      </c>
      <c r="BU23">
        <v>0.05</v>
      </c>
      <c r="BV23">
        <v>0.36499999999999999</v>
      </c>
      <c r="BW23">
        <v>0.39200000000000002</v>
      </c>
      <c r="BX23" t="s">
        <v>356</v>
      </c>
      <c r="BY23" t="s">
        <v>7</v>
      </c>
      <c r="BZ23"/>
      <c r="CA23"/>
      <c r="CB23" t="s">
        <v>92</v>
      </c>
      <c r="CC23" t="s">
        <v>92</v>
      </c>
      <c r="CD23" t="s">
        <v>580</v>
      </c>
      <c r="CE23" t="s">
        <v>7</v>
      </c>
    </row>
    <row r="24" spans="4:83" ht="11.25" x14ac:dyDescent="0.25"/>
    <row r="25" spans="4:83" ht="11.25" x14ac:dyDescent="0.25"/>
    <row r="26" spans="4:83" ht="11.25" x14ac:dyDescent="0.25"/>
    <row r="27" spans="4:83" ht="11.25" x14ac:dyDescent="0.25"/>
    <row r="28" spans="4:83" ht="11.25" x14ac:dyDescent="0.25"/>
  </sheetData>
  <phoneticPr fontId="14" type="noConversion"/>
  <conditionalFormatting sqref="D6">
    <cfRule type="iconSet" priority="2">
      <iconSet showValue="0">
        <cfvo type="percent" val="0"/>
        <cfvo type="num" val="-1"/>
        <cfvo type="num" val="0"/>
      </iconSet>
    </cfRule>
  </conditionalFormatting>
  <conditionalFormatting sqref="D5">
    <cfRule type="iconSet" priority="1">
      <iconSet showValue="0">
        <cfvo type="percent" val="0"/>
        <cfvo type="num" val="-1"/>
        <cfvo type="num" val="0"/>
      </iconSet>
    </cfRule>
  </conditionalFormatting>
  <dataValidations count="1">
    <dataValidation type="list" allowBlank="1" showInputMessage="1" showErrorMessage="1" sqref="I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V73"/>
  <sheetViews>
    <sheetView topLeftCell="AG1" zoomScale="85" zoomScaleNormal="100" workbookViewId="0">
      <selection activeCell="AU16" sqref="AU16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33203125" style="3" bestFit="1" customWidth="1"/>
    <col min="4" max="4" width="29.88671875" style="3" bestFit="1" customWidth="1"/>
    <col min="5" max="6" width="8.6640625" style="3" bestFit="1" customWidth="1"/>
    <col min="7" max="7" width="7.6640625" style="3" bestFit="1" customWidth="1" outlineLevel="1"/>
    <col min="8" max="8" width="5.6640625" style="3" bestFit="1" customWidth="1" outlineLevel="1"/>
    <col min="9" max="9" width="10.44140625" style="3" bestFit="1" customWidth="1" outlineLevel="1"/>
    <col min="10" max="10" width="8.5546875" style="3" bestFit="1" customWidth="1" outlineLevel="1"/>
    <col min="11" max="11" width="7.6640625" style="3" bestFit="1" customWidth="1" outlineLevel="1"/>
    <col min="12" max="12" width="8.5546875" style="3" bestFit="1" customWidth="1" outlineLevel="1"/>
    <col min="13" max="13" width="7.6640625" style="3" bestFit="1" customWidth="1" outlineLevel="1"/>
    <col min="14" max="14" width="8.88671875" style="3" bestFit="1" customWidth="1" outlineLevel="1"/>
    <col min="15" max="15" width="4.6640625" style="3" bestFit="1" customWidth="1" outlineLevel="1"/>
    <col min="16" max="16" width="10.44140625" style="3" bestFit="1" customWidth="1" outlineLevel="1"/>
    <col min="17" max="17" width="4.33203125" style="3" bestFit="1" customWidth="1" outlineLevel="1"/>
    <col min="18" max="18" width="8.5546875" style="3" bestFit="1" customWidth="1" outlineLevel="1"/>
    <col min="19" max="19" width="9.5546875" style="3" bestFit="1" customWidth="1" outlineLevel="1"/>
    <col min="20" max="20" width="6" style="3" bestFit="1" customWidth="1" outlineLevel="1"/>
    <col min="21" max="21" width="7.6640625" style="3" bestFit="1" customWidth="1" outlineLevel="1"/>
    <col min="22" max="23" width="11" style="3" bestFit="1" customWidth="1" outlineLevel="1"/>
    <col min="24" max="25" width="7.6640625" style="3" bestFit="1" customWidth="1" outlineLevel="1"/>
    <col min="26" max="26" width="13.33203125" style="3" bestFit="1" customWidth="1" outlineLevel="1"/>
    <col min="27" max="27" width="6" style="3" bestFit="1" customWidth="1" outlineLevel="1"/>
    <col min="28" max="28" width="7" style="3" bestFit="1" customWidth="1" outlineLevel="1"/>
    <col min="29" max="29" width="7" style="3" bestFit="1" customWidth="1"/>
    <col min="30" max="30" width="19.44140625" style="3" bestFit="1" customWidth="1"/>
    <col min="31" max="33" width="2.5546875" style="3" customWidth="1"/>
    <col min="34" max="34" width="29.88671875" style="3" bestFit="1" customWidth="1"/>
    <col min="35" max="35" width="19.33203125" style="3" bestFit="1" customWidth="1"/>
    <col min="36" max="36" width="13.21875" style="3" bestFit="1" customWidth="1"/>
    <col min="37" max="37" width="9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5" width="9.33203125" style="3" bestFit="1" customWidth="1"/>
    <col min="46" max="46" width="9.33203125" style="30" bestFit="1" customWidth="1"/>
    <col min="47" max="47" width="7.6640625" style="30" bestFit="1" customWidth="1"/>
    <col min="48" max="48" width="7.21875" style="30" bestFit="1" customWidth="1"/>
    <col min="49" max="49" width="7.6640625" style="30" bestFit="1" customWidth="1"/>
    <col min="50" max="50" width="9.21875" style="30" bestFit="1" customWidth="1"/>
    <col min="51" max="52" width="9.44140625" style="30" bestFit="1" customWidth="1"/>
    <col min="53" max="54" width="11.109375" style="30" bestFit="1" customWidth="1"/>
    <col min="55" max="55" width="9.44140625" style="30" bestFit="1" customWidth="1"/>
    <col min="56" max="56" width="9" style="30" bestFit="1" customWidth="1"/>
    <col min="57" max="58" width="9.44140625" style="30" bestFit="1" customWidth="1"/>
    <col min="59" max="59" width="9.21875" style="30" bestFit="1" customWidth="1"/>
    <col min="60" max="60" width="8.77734375" style="30" bestFit="1" customWidth="1"/>
    <col min="61" max="61" width="9.21875" style="30" bestFit="1" customWidth="1"/>
    <col min="62" max="62" width="42.77734375" style="30" bestFit="1" customWidth="1"/>
    <col min="63" max="63" width="9.21875" style="30" bestFit="1" customWidth="1"/>
    <col min="64" max="64" width="9.44140625" style="30" bestFit="1" customWidth="1"/>
    <col min="65" max="65" width="8.77734375" style="30" bestFit="1" customWidth="1"/>
    <col min="66" max="66" width="9.21875" style="30" bestFit="1" customWidth="1"/>
    <col min="67" max="67" width="15.21875" style="30" bestFit="1" customWidth="1"/>
    <col min="68" max="68" width="5.88671875" style="30" bestFit="1" customWidth="1"/>
    <col min="69" max="69" width="10.77734375" style="30" bestFit="1" customWidth="1"/>
    <col min="70" max="70" width="10.88671875" style="30" bestFit="1" customWidth="1"/>
    <col min="71" max="71" width="11.44140625" style="30" bestFit="1" customWidth="1"/>
    <col min="72" max="72" width="13.5546875" style="30" bestFit="1" customWidth="1"/>
    <col min="73" max="73" width="42.77734375" style="30" bestFit="1" customWidth="1"/>
    <col min="74" max="74" width="9.21875" style="30" bestFit="1" customWidth="1"/>
    <col min="75" max="75" width="10.88671875" style="30" bestFit="1" customWidth="1"/>
    <col min="76" max="76" width="11.44140625" style="30" bestFit="1" customWidth="1"/>
    <col min="77" max="77" width="13.5546875" style="30" bestFit="1" customWidth="1"/>
    <col min="78" max="78" width="51.44140625" style="30" bestFit="1" customWidth="1"/>
    <col min="79" max="79" width="9.21875" style="30" bestFit="1" customWidth="1"/>
    <col min="80" max="80" width="51.44140625" style="30" bestFit="1" customWidth="1"/>
    <col min="81" max="81" width="9.21875" style="30" bestFit="1" customWidth="1"/>
    <col min="82" max="82" width="11.6640625" style="30" bestFit="1" customWidth="1"/>
    <col min="83" max="83" width="15.5546875" style="30" bestFit="1" customWidth="1"/>
    <col min="84" max="84" width="9.44140625" style="30" bestFit="1" customWidth="1"/>
    <col min="85" max="85" width="11.6640625" style="30" bestFit="1" customWidth="1"/>
    <col min="86" max="86" width="15.5546875" style="30" bestFit="1" customWidth="1"/>
    <col min="87" max="87" width="9.44140625" style="30" bestFit="1" customWidth="1"/>
    <col min="88" max="88" width="15.44140625" style="30" bestFit="1" customWidth="1"/>
    <col min="89" max="89" width="6.109375" style="30" bestFit="1" customWidth="1"/>
    <col min="90" max="90" width="15.21875" style="30" bestFit="1" customWidth="1"/>
    <col min="91" max="91" width="5.88671875" style="30" bestFit="1" customWidth="1"/>
    <col min="92" max="92" width="13.109375" style="30" bestFit="1" customWidth="1"/>
    <col min="93" max="93" width="5.88671875" style="30" bestFit="1" customWidth="1"/>
    <col min="94" max="94" width="9.6640625" style="30" bestFit="1" customWidth="1"/>
    <col min="95" max="95" width="14" style="30" bestFit="1" customWidth="1"/>
    <col min="96" max="96" width="14.109375" style="30" bestFit="1" customWidth="1"/>
    <col min="97" max="97" width="13.33203125" style="30" bestFit="1" customWidth="1"/>
    <col min="98" max="99" width="8.109375" style="30" customWidth="1"/>
    <col min="100" max="100" width="8.88671875" style="30" bestFit="1" customWidth="1"/>
    <col min="101" max="121" width="8.109375" style="3" customWidth="1"/>
    <col min="122" max="125" width="9" style="3" customWidth="1"/>
    <col min="126" max="126" width="2.88671875" style="3" customWidth="1"/>
    <col min="127" max="127" width="8.109375" style="3" customWidth="1"/>
    <col min="128" max="128" width="9" style="3" customWidth="1"/>
    <col min="129" max="129" width="6.109375" style="3" bestFit="1" customWidth="1"/>
    <col min="130" max="130" width="7.77734375" style="3" bestFit="1" customWidth="1"/>
    <col min="131" max="16384" width="8.88671875" style="3"/>
  </cols>
  <sheetData>
    <row r="1" spans="1:100" s="1" customFormat="1" ht="48.75" customHeight="1" x14ac:dyDescent="0.25">
      <c r="A1" s="43" t="s">
        <v>173</v>
      </c>
      <c r="B1" s="5"/>
      <c r="D1" s="65">
        <f>IF(LEN($E$6)-LEN(SUBSTITUTE($E$6,"/",""))=1,"请检查1.Download是否已Paste Value",0)</f>
        <v>0</v>
      </c>
      <c r="P1" s="7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</row>
    <row r="2" spans="1:100" s="1" customFormat="1" ht="25.5" customHeight="1" x14ac:dyDescent="0.25"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</row>
    <row r="3" spans="1:100" s="1" customFormat="1" ht="25.5" customHeight="1" x14ac:dyDescent="0.25"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</row>
    <row r="4" spans="1:100" ht="61.5" customHeight="1" x14ac:dyDescent="0.25">
      <c r="O4" s="4"/>
      <c r="P4" s="7"/>
      <c r="Q4" s="7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0" ht="15" x14ac:dyDescent="0.25">
      <c r="A5" t="s">
        <v>172</v>
      </c>
      <c r="C5" t="s">
        <v>56</v>
      </c>
      <c r="D5" t="s">
        <v>105</v>
      </c>
      <c r="E5" t="s">
        <v>207</v>
      </c>
      <c r="F5" t="s">
        <v>160</v>
      </c>
      <c r="G5" t="s">
        <v>48</v>
      </c>
      <c r="H5" t="s">
        <v>164</v>
      </c>
      <c r="I5" t="s">
        <v>97</v>
      </c>
      <c r="J5" t="s">
        <v>61</v>
      </c>
      <c r="K5" t="s">
        <v>196</v>
      </c>
      <c r="L5" t="s">
        <v>180</v>
      </c>
      <c r="M5" t="s">
        <v>166</v>
      </c>
      <c r="N5" t="s">
        <v>99</v>
      </c>
      <c r="O5" t="s">
        <v>72</v>
      </c>
      <c r="P5" t="s">
        <v>65</v>
      </c>
      <c r="Q5" t="s">
        <v>96</v>
      </c>
      <c r="R5" t="s">
        <v>137</v>
      </c>
      <c r="S5" t="s">
        <v>182</v>
      </c>
      <c r="T5" t="s">
        <v>102</v>
      </c>
      <c r="U5" t="s">
        <v>198</v>
      </c>
      <c r="V5" t="s">
        <v>59</v>
      </c>
      <c r="W5" t="s">
        <v>58</v>
      </c>
      <c r="X5" t="s">
        <v>244</v>
      </c>
      <c r="Y5" t="s">
        <v>246</v>
      </c>
      <c r="Z5" t="s">
        <v>55</v>
      </c>
      <c r="AA5" t="s">
        <v>203</v>
      </c>
      <c r="AB5" t="s">
        <v>204</v>
      </c>
      <c r="AC5" t="s">
        <v>247</v>
      </c>
      <c r="AD5" t="s">
        <v>165</v>
      </c>
      <c r="AE5" s="41"/>
      <c r="AH5" s="61" t="s">
        <v>105</v>
      </c>
      <c r="AI5" s="61" t="s">
        <v>165</v>
      </c>
      <c r="AJ5" s="61" t="s">
        <v>55</v>
      </c>
      <c r="AK5" s="61" t="s">
        <v>56</v>
      </c>
      <c r="AL5" s="62" t="s">
        <v>240</v>
      </c>
      <c r="AM5" s="62" t="s">
        <v>202</v>
      </c>
      <c r="AN5" s="62" t="s">
        <v>218</v>
      </c>
      <c r="AO5" s="61" t="s">
        <v>201</v>
      </c>
      <c r="AP5" s="62" t="s">
        <v>212</v>
      </c>
      <c r="AQ5" s="62" t="s">
        <v>200</v>
      </c>
      <c r="AR5" s="61" t="s">
        <v>174</v>
      </c>
      <c r="AS5" s="62" t="s">
        <v>216</v>
      </c>
      <c r="AT5" s="62" t="s">
        <v>217</v>
      </c>
      <c r="AU5" s="62" t="s">
        <v>236</v>
      </c>
      <c r="AV5" s="62" t="s">
        <v>237</v>
      </c>
      <c r="AW5" s="62" t="s">
        <v>238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15" x14ac:dyDescent="0.25">
      <c r="A6" t="s">
        <v>56</v>
      </c>
      <c r="C6" s="116">
        <v>45163</v>
      </c>
      <c r="D6" t="s">
        <v>732</v>
      </c>
      <c r="E6" t="s">
        <v>92</v>
      </c>
      <c r="F6" t="s">
        <v>92</v>
      </c>
      <c r="G6" t="s">
        <v>7</v>
      </c>
      <c r="H6" t="s">
        <v>7</v>
      </c>
      <c r="I6" t="s">
        <v>751</v>
      </c>
      <c r="J6" t="s">
        <v>737</v>
      </c>
      <c r="K6">
        <v>0</v>
      </c>
      <c r="L6"/>
      <c r="M6"/>
      <c r="N6" t="s">
        <v>43</v>
      </c>
      <c r="O6" t="s">
        <v>94</v>
      </c>
      <c r="P6">
        <v>0.45</v>
      </c>
      <c r="Q6" t="s">
        <v>179</v>
      </c>
      <c r="R6" t="s">
        <v>737</v>
      </c>
      <c r="S6" t="s">
        <v>7</v>
      </c>
      <c r="T6" t="s">
        <v>355</v>
      </c>
      <c r="U6" t="s">
        <v>132</v>
      </c>
      <c r="V6">
        <v>5.7</v>
      </c>
      <c r="W6" t="s">
        <v>103</v>
      </c>
      <c r="X6" t="s">
        <v>103</v>
      </c>
      <c r="Y6" t="s">
        <v>103</v>
      </c>
      <c r="Z6" t="s">
        <v>734</v>
      </c>
      <c r="AA6">
        <v>0.45</v>
      </c>
      <c r="AB6">
        <v>3.2839999999999998</v>
      </c>
      <c r="AC6">
        <v>3.53</v>
      </c>
      <c r="AD6" t="s">
        <v>741</v>
      </c>
      <c r="AE6" s="41"/>
      <c r="AH6" s="118" t="s">
        <v>430</v>
      </c>
      <c r="AI6" s="119" t="s">
        <v>511</v>
      </c>
      <c r="AJ6" s="118" t="s">
        <v>429</v>
      </c>
      <c r="AK6" s="120">
        <v>45160</v>
      </c>
      <c r="AL6" s="121">
        <v>56</v>
      </c>
      <c r="AM6" s="121" t="s">
        <v>214</v>
      </c>
      <c r="AN6" s="121" t="s">
        <v>428</v>
      </c>
      <c r="AO6" s="121" t="s">
        <v>210</v>
      </c>
      <c r="AP6" s="121" t="s">
        <v>781</v>
      </c>
      <c r="AQ6" s="121" t="s">
        <v>781</v>
      </c>
      <c r="AR6" s="121" t="s">
        <v>177</v>
      </c>
      <c r="AS6" s="121" t="s">
        <v>7</v>
      </c>
      <c r="AT6" s="121" t="s">
        <v>7</v>
      </c>
      <c r="AU6" s="121"/>
      <c r="AV6" s="121"/>
      <c r="AW6" s="121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15" x14ac:dyDescent="0.25">
      <c r="A7" t="s">
        <v>105</v>
      </c>
      <c r="C7" s="116">
        <v>45163</v>
      </c>
      <c r="D7" t="s">
        <v>698</v>
      </c>
      <c r="E7" t="s">
        <v>92</v>
      </c>
      <c r="F7" t="s">
        <v>92</v>
      </c>
      <c r="G7" t="s">
        <v>664</v>
      </c>
      <c r="H7" t="s">
        <v>7</v>
      </c>
      <c r="I7"/>
      <c r="J7" t="s">
        <v>701</v>
      </c>
      <c r="K7"/>
      <c r="L7"/>
      <c r="M7"/>
      <c r="N7" t="s">
        <v>129</v>
      </c>
      <c r="O7" t="s">
        <v>117</v>
      </c>
      <c r="P7">
        <v>2.1800000000000002</v>
      </c>
      <c r="Q7" t="s">
        <v>179</v>
      </c>
      <c r="R7" t="s">
        <v>701</v>
      </c>
      <c r="S7" t="s">
        <v>7</v>
      </c>
      <c r="T7" t="s">
        <v>355</v>
      </c>
      <c r="U7" t="s">
        <v>132</v>
      </c>
      <c r="V7">
        <v>4.7</v>
      </c>
      <c r="W7" t="s">
        <v>292</v>
      </c>
      <c r="X7" t="s">
        <v>103</v>
      </c>
      <c r="Y7" t="s">
        <v>103</v>
      </c>
      <c r="Z7" t="s">
        <v>696</v>
      </c>
      <c r="AA7">
        <v>0.29899999999999999</v>
      </c>
      <c r="AB7">
        <v>2.1800000000000002</v>
      </c>
      <c r="AC7">
        <v>2.3439999999999999</v>
      </c>
      <c r="AD7" t="s">
        <v>697</v>
      </c>
      <c r="AE7" s="41"/>
      <c r="AH7" s="118" t="s">
        <v>427</v>
      </c>
      <c r="AI7" s="119" t="s">
        <v>525</v>
      </c>
      <c r="AJ7" s="118" t="s">
        <v>426</v>
      </c>
      <c r="AK7" s="120">
        <v>45160</v>
      </c>
      <c r="AL7" s="121">
        <v>55</v>
      </c>
      <c r="AM7" s="121" t="s">
        <v>214</v>
      </c>
      <c r="AN7" s="121" t="s">
        <v>425</v>
      </c>
      <c r="AO7" s="121" t="s">
        <v>210</v>
      </c>
      <c r="AP7" s="121" t="s">
        <v>781</v>
      </c>
      <c r="AQ7" s="121" t="s">
        <v>781</v>
      </c>
      <c r="AR7" s="121" t="s">
        <v>176</v>
      </c>
      <c r="AS7" s="121" t="s">
        <v>7</v>
      </c>
      <c r="AT7" s="121" t="s">
        <v>7</v>
      </c>
      <c r="AU7" s="121"/>
      <c r="AV7" s="121"/>
      <c r="AW7" s="121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15" x14ac:dyDescent="0.25">
      <c r="A8" t="s">
        <v>207</v>
      </c>
      <c r="C8" s="116">
        <v>45162</v>
      </c>
      <c r="D8" t="s">
        <v>463</v>
      </c>
      <c r="E8" t="s">
        <v>92</v>
      </c>
      <c r="F8" t="s">
        <v>92</v>
      </c>
      <c r="G8" t="s">
        <v>7</v>
      </c>
      <c r="H8" t="s">
        <v>7</v>
      </c>
      <c r="I8"/>
      <c r="J8"/>
      <c r="K8"/>
      <c r="L8"/>
      <c r="M8"/>
      <c r="N8" t="s">
        <v>43</v>
      </c>
      <c r="O8" t="s">
        <v>94</v>
      </c>
      <c r="P8">
        <v>0.25800000000000001</v>
      </c>
      <c r="Q8" t="s">
        <v>179</v>
      </c>
      <c r="R8" t="s">
        <v>660</v>
      </c>
      <c r="S8" t="s">
        <v>7</v>
      </c>
      <c r="T8" t="s">
        <v>661</v>
      </c>
      <c r="U8" t="s">
        <v>132</v>
      </c>
      <c r="V8">
        <v>7.2</v>
      </c>
      <c r="W8" t="s">
        <v>292</v>
      </c>
      <c r="X8" t="s">
        <v>103</v>
      </c>
      <c r="Y8" t="s">
        <v>103</v>
      </c>
      <c r="Z8" t="s">
        <v>465</v>
      </c>
      <c r="AA8">
        <v>0.25800000000000001</v>
      </c>
      <c r="AB8">
        <v>1.88</v>
      </c>
      <c r="AC8">
        <v>2.0230000000000001</v>
      </c>
      <c r="AD8" t="s">
        <v>474</v>
      </c>
      <c r="AE8" s="41"/>
      <c r="AH8" s="118" t="s">
        <v>475</v>
      </c>
      <c r="AI8" s="119" t="s">
        <v>489</v>
      </c>
      <c r="AJ8" s="118" t="s">
        <v>432</v>
      </c>
      <c r="AK8" s="120">
        <v>45161</v>
      </c>
      <c r="AL8" s="121">
        <v>57</v>
      </c>
      <c r="AM8" s="121" t="s">
        <v>211</v>
      </c>
      <c r="AN8" s="121" t="s">
        <v>431</v>
      </c>
      <c r="AO8" s="121" t="s">
        <v>210</v>
      </c>
      <c r="AP8" s="121" t="s">
        <v>781</v>
      </c>
      <c r="AQ8" s="121" t="s">
        <v>781</v>
      </c>
      <c r="AR8" s="121" t="s">
        <v>176</v>
      </c>
      <c r="AS8" s="121" t="s">
        <v>177</v>
      </c>
      <c r="AT8" s="121" t="s">
        <v>7</v>
      </c>
      <c r="AU8" s="121"/>
      <c r="AV8" s="121"/>
      <c r="AW8" s="121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ht="15" x14ac:dyDescent="0.25">
      <c r="A9" t="s">
        <v>160</v>
      </c>
      <c r="C9" s="116">
        <v>45162</v>
      </c>
      <c r="D9" t="s">
        <v>449</v>
      </c>
      <c r="E9" t="s">
        <v>92</v>
      </c>
      <c r="F9" t="s">
        <v>92</v>
      </c>
      <c r="G9" t="s">
        <v>662</v>
      </c>
      <c r="H9" t="s">
        <v>7</v>
      </c>
      <c r="I9"/>
      <c r="J9" t="s">
        <v>663</v>
      </c>
      <c r="K9"/>
      <c r="L9"/>
      <c r="M9"/>
      <c r="N9" t="s">
        <v>128</v>
      </c>
      <c r="O9" t="s">
        <v>117</v>
      </c>
      <c r="P9">
        <v>7.18</v>
      </c>
      <c r="Q9" t="s">
        <v>179</v>
      </c>
      <c r="R9" t="s">
        <v>663</v>
      </c>
      <c r="S9" t="s">
        <v>7</v>
      </c>
      <c r="T9" t="s">
        <v>355</v>
      </c>
      <c r="U9" t="s">
        <v>132</v>
      </c>
      <c r="V9">
        <v>5</v>
      </c>
      <c r="W9" t="s">
        <v>292</v>
      </c>
      <c r="X9" t="s">
        <v>103</v>
      </c>
      <c r="Y9" t="s">
        <v>103</v>
      </c>
      <c r="Z9" t="s">
        <v>451</v>
      </c>
      <c r="AA9">
        <v>0.98399999999999999</v>
      </c>
      <c r="AB9">
        <v>7.18</v>
      </c>
      <c r="AC9">
        <v>7.726</v>
      </c>
      <c r="AD9" t="s">
        <v>462</v>
      </c>
      <c r="AE9" s="41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ht="15" x14ac:dyDescent="0.25">
      <c r="A10" t="s">
        <v>48</v>
      </c>
      <c r="C10" s="116">
        <v>45162</v>
      </c>
      <c r="D10" t="s">
        <v>434</v>
      </c>
      <c r="E10" t="s">
        <v>92</v>
      </c>
      <c r="F10" t="s">
        <v>92</v>
      </c>
      <c r="G10" t="s">
        <v>664</v>
      </c>
      <c r="H10" t="s">
        <v>7</v>
      </c>
      <c r="I10"/>
      <c r="J10" t="s">
        <v>665</v>
      </c>
      <c r="K10"/>
      <c r="L10"/>
      <c r="M10"/>
      <c r="N10" t="s">
        <v>128</v>
      </c>
      <c r="O10" t="s">
        <v>117</v>
      </c>
      <c r="P10">
        <v>1.7</v>
      </c>
      <c r="Q10" t="s">
        <v>179</v>
      </c>
      <c r="R10" t="s">
        <v>665</v>
      </c>
      <c r="S10" t="s">
        <v>7</v>
      </c>
      <c r="T10" t="s">
        <v>355</v>
      </c>
      <c r="U10" t="s">
        <v>132</v>
      </c>
      <c r="V10">
        <v>4.8</v>
      </c>
      <c r="W10" t="s">
        <v>292</v>
      </c>
      <c r="X10" t="s">
        <v>103</v>
      </c>
      <c r="Y10" t="s">
        <v>103</v>
      </c>
      <c r="Z10" t="s">
        <v>436</v>
      </c>
      <c r="AA10">
        <v>0.23300000000000001</v>
      </c>
      <c r="AB10">
        <v>1.7</v>
      </c>
      <c r="AC10">
        <v>1.829</v>
      </c>
      <c r="AD10" t="s">
        <v>448</v>
      </c>
      <c r="AE10" s="30"/>
      <c r="AF10" s="30"/>
      <c r="AG10" s="30"/>
      <c r="AH10" s="30"/>
      <c r="AI10" s="30"/>
      <c r="AJ10" s="30"/>
      <c r="AK10" s="41"/>
      <c r="AT10" s="3"/>
      <c r="AU10" s="3"/>
      <c r="AV10" s="3"/>
      <c r="AW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ht="15" x14ac:dyDescent="0.25">
      <c r="A11" t="s">
        <v>164</v>
      </c>
      <c r="C11" s="116">
        <v>45161</v>
      </c>
      <c r="D11" t="s">
        <v>475</v>
      </c>
      <c r="E11" t="s">
        <v>584</v>
      </c>
      <c r="F11" t="s">
        <v>92</v>
      </c>
      <c r="G11" t="s">
        <v>7</v>
      </c>
      <c r="H11" t="s">
        <v>308</v>
      </c>
      <c r="I11" t="s">
        <v>666</v>
      </c>
      <c r="J11" t="s">
        <v>667</v>
      </c>
      <c r="K11">
        <v>45</v>
      </c>
      <c r="L11" t="s">
        <v>667</v>
      </c>
      <c r="M11"/>
      <c r="N11" t="s">
        <v>43</v>
      </c>
      <c r="O11" t="s">
        <v>94</v>
      </c>
      <c r="P11">
        <v>5</v>
      </c>
      <c r="Q11" t="s">
        <v>179</v>
      </c>
      <c r="R11" t="s">
        <v>667</v>
      </c>
      <c r="S11" t="s">
        <v>354</v>
      </c>
      <c r="T11" t="s">
        <v>661</v>
      </c>
      <c r="U11" t="s">
        <v>775</v>
      </c>
      <c r="V11">
        <v>5.9348999999999998</v>
      </c>
      <c r="W11" t="s">
        <v>288</v>
      </c>
      <c r="X11" t="s">
        <v>103</v>
      </c>
      <c r="Y11" t="s">
        <v>103</v>
      </c>
      <c r="Z11" t="s">
        <v>432</v>
      </c>
      <c r="AA11">
        <v>5</v>
      </c>
      <c r="AB11">
        <v>36.435000000000002</v>
      </c>
      <c r="AC11">
        <v>39.204999999999998</v>
      </c>
      <c r="AD11" t="s">
        <v>489</v>
      </c>
      <c r="AE11" s="30"/>
      <c r="AF11" s="30"/>
      <c r="AG11" s="30"/>
      <c r="AH11" s="30"/>
      <c r="AN11" s="30"/>
      <c r="AS11" s="30"/>
      <c r="AZ11" s="41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ht="15" x14ac:dyDescent="0.25">
      <c r="A12" t="s">
        <v>97</v>
      </c>
      <c r="C12" s="116">
        <v>45160</v>
      </c>
      <c r="D12" t="s">
        <v>427</v>
      </c>
      <c r="E12" t="s">
        <v>592</v>
      </c>
      <c r="F12" t="s">
        <v>592</v>
      </c>
      <c r="G12" t="s">
        <v>7</v>
      </c>
      <c r="H12" t="s">
        <v>308</v>
      </c>
      <c r="I12" t="s">
        <v>669</v>
      </c>
      <c r="J12" t="s">
        <v>515</v>
      </c>
      <c r="K12">
        <v>40</v>
      </c>
      <c r="L12"/>
      <c r="M12"/>
      <c r="N12" t="s">
        <v>46</v>
      </c>
      <c r="O12" t="s">
        <v>94</v>
      </c>
      <c r="P12">
        <v>2</v>
      </c>
      <c r="Q12" t="s">
        <v>179</v>
      </c>
      <c r="R12" t="s">
        <v>515</v>
      </c>
      <c r="S12" t="s">
        <v>7</v>
      </c>
      <c r="T12" t="s">
        <v>661</v>
      </c>
      <c r="U12" t="s">
        <v>132</v>
      </c>
      <c r="V12">
        <v>5.85</v>
      </c>
      <c r="W12" t="s">
        <v>299</v>
      </c>
      <c r="X12" t="s">
        <v>103</v>
      </c>
      <c r="Y12" t="s">
        <v>103</v>
      </c>
      <c r="Z12" t="s">
        <v>426</v>
      </c>
      <c r="AA12">
        <v>2</v>
      </c>
      <c r="AB12">
        <v>14.612</v>
      </c>
      <c r="AC12">
        <v>15.676</v>
      </c>
      <c r="AD12" t="s">
        <v>525</v>
      </c>
      <c r="AE12" s="30"/>
      <c r="AF12" s="30"/>
      <c r="AG12" s="30"/>
      <c r="AH12" s="30"/>
      <c r="AO12" s="30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ht="15" x14ac:dyDescent="0.25">
      <c r="A13" t="s">
        <v>61</v>
      </c>
      <c r="C13" s="116">
        <v>45160</v>
      </c>
      <c r="D13" t="s">
        <v>430</v>
      </c>
      <c r="E13" t="s">
        <v>92</v>
      </c>
      <c r="F13" t="s">
        <v>92</v>
      </c>
      <c r="G13" t="s">
        <v>670</v>
      </c>
      <c r="H13" t="s">
        <v>7</v>
      </c>
      <c r="I13" t="s">
        <v>671</v>
      </c>
      <c r="J13"/>
      <c r="K13">
        <v>20</v>
      </c>
      <c r="L13"/>
      <c r="M13"/>
      <c r="N13" t="s">
        <v>129</v>
      </c>
      <c r="O13" t="s">
        <v>497</v>
      </c>
      <c r="P13">
        <v>130</v>
      </c>
      <c r="Q13" t="s">
        <v>179</v>
      </c>
      <c r="R13" t="s">
        <v>508</v>
      </c>
      <c r="S13" t="s">
        <v>7</v>
      </c>
      <c r="T13" t="s">
        <v>355</v>
      </c>
      <c r="U13" t="s">
        <v>132</v>
      </c>
      <c r="V13">
        <v>1.6</v>
      </c>
      <c r="W13" t="s">
        <v>103</v>
      </c>
      <c r="X13" t="s">
        <v>103</v>
      </c>
      <c r="Y13" t="s">
        <v>103</v>
      </c>
      <c r="Z13" t="s">
        <v>429</v>
      </c>
      <c r="AA13">
        <v>0.91</v>
      </c>
      <c r="AB13">
        <v>6.5</v>
      </c>
      <c r="AC13">
        <v>7.02</v>
      </c>
      <c r="AD13" t="s">
        <v>511</v>
      </c>
      <c r="AE13" s="30"/>
      <c r="AF13" s="30"/>
      <c r="AG13" s="30"/>
      <c r="AH13" t="s">
        <v>105</v>
      </c>
      <c r="AI13" t="s">
        <v>208</v>
      </c>
      <c r="AJ13" t="s">
        <v>241</v>
      </c>
      <c r="AK13" t="s">
        <v>268</v>
      </c>
      <c r="AO13" s="30"/>
      <c r="BC13" s="3"/>
      <c r="BE13" s="3"/>
      <c r="BF13" s="3"/>
      <c r="BG13" s="3"/>
      <c r="BH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ht="15" x14ac:dyDescent="0.25">
      <c r="A14" t="s">
        <v>196</v>
      </c>
      <c r="C14" s="116">
        <v>45159</v>
      </c>
      <c r="D14" t="s">
        <v>563</v>
      </c>
      <c r="E14" t="s">
        <v>92</v>
      </c>
      <c r="F14" t="s">
        <v>92</v>
      </c>
      <c r="G14" t="s">
        <v>7</v>
      </c>
      <c r="H14" t="s">
        <v>7</v>
      </c>
      <c r="I14"/>
      <c r="J14"/>
      <c r="K14"/>
      <c r="L14"/>
      <c r="M14"/>
      <c r="N14" t="s">
        <v>46</v>
      </c>
      <c r="O14" t="s">
        <v>120</v>
      </c>
      <c r="P14">
        <v>1.915</v>
      </c>
      <c r="Q14" t="s">
        <v>672</v>
      </c>
      <c r="R14" t="s">
        <v>673</v>
      </c>
      <c r="S14" t="s">
        <v>7</v>
      </c>
      <c r="T14" t="s">
        <v>121</v>
      </c>
      <c r="U14" t="s">
        <v>132</v>
      </c>
      <c r="V14">
        <v>7</v>
      </c>
      <c r="W14" t="s">
        <v>299</v>
      </c>
      <c r="X14" t="s">
        <v>103</v>
      </c>
      <c r="Y14" t="s">
        <v>674</v>
      </c>
      <c r="Z14" t="s">
        <v>577</v>
      </c>
      <c r="AA14">
        <v>0.245</v>
      </c>
      <c r="AB14">
        <v>1.7809999999999999</v>
      </c>
      <c r="AC14">
        <v>1.915</v>
      </c>
      <c r="AD14" t="s">
        <v>578</v>
      </c>
      <c r="AE14" s="30"/>
      <c r="AF14" s="30"/>
      <c r="AG14" s="30"/>
      <c r="AH14" t="s">
        <v>434</v>
      </c>
      <c r="AI14" t="s">
        <v>657</v>
      </c>
      <c r="AJ14"/>
      <c r="AK14"/>
      <c r="AM14" s="30"/>
      <c r="AO14" s="30"/>
      <c r="BC14" s="3"/>
      <c r="BE14" s="3"/>
      <c r="BF14" s="3"/>
      <c r="BG14" s="3"/>
      <c r="BH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ht="15" x14ac:dyDescent="0.25">
      <c r="A15" t="s">
        <v>180</v>
      </c>
      <c r="C15" s="116">
        <v>45159</v>
      </c>
      <c r="D15" t="s">
        <v>563</v>
      </c>
      <c r="E15" t="s">
        <v>92</v>
      </c>
      <c r="F15" t="s">
        <v>92</v>
      </c>
      <c r="G15" t="s">
        <v>7</v>
      </c>
      <c r="H15" t="s">
        <v>7</v>
      </c>
      <c r="I15"/>
      <c r="J15"/>
      <c r="K15"/>
      <c r="L15"/>
      <c r="M15"/>
      <c r="N15" t="s">
        <v>46</v>
      </c>
      <c r="O15" t="s">
        <v>94</v>
      </c>
      <c r="P15">
        <v>0.05</v>
      </c>
      <c r="Q15" t="s">
        <v>672</v>
      </c>
      <c r="R15" t="s">
        <v>673</v>
      </c>
      <c r="S15" t="s">
        <v>7</v>
      </c>
      <c r="T15" t="s">
        <v>121</v>
      </c>
      <c r="U15" t="s">
        <v>132</v>
      </c>
      <c r="V15">
        <v>7</v>
      </c>
      <c r="W15" t="s">
        <v>299</v>
      </c>
      <c r="X15" t="s">
        <v>103</v>
      </c>
      <c r="Y15" t="s">
        <v>674</v>
      </c>
      <c r="Z15" t="s">
        <v>579</v>
      </c>
      <c r="AA15">
        <v>0.05</v>
      </c>
      <c r="AB15">
        <v>0.36499999999999999</v>
      </c>
      <c r="AC15">
        <v>0.39200000000000002</v>
      </c>
      <c r="AD15" t="s">
        <v>580</v>
      </c>
      <c r="AE15" s="30"/>
      <c r="AF15" s="30"/>
      <c r="AG15" s="30"/>
      <c r="AH15" t="s">
        <v>449</v>
      </c>
      <c r="AI15" t="s">
        <v>658</v>
      </c>
      <c r="AJ15"/>
      <c r="AK15"/>
      <c r="AO15" s="30"/>
      <c r="BC15" s="3"/>
      <c r="BE15" s="3"/>
      <c r="BF15" s="3"/>
      <c r="BG15" s="3"/>
      <c r="BH15" s="3"/>
      <c r="BI15" s="3"/>
      <c r="BJ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ht="15" x14ac:dyDescent="0.25">
      <c r="A16" t="s">
        <v>166</v>
      </c>
      <c r="C16" s="116">
        <v>45159</v>
      </c>
      <c r="D16" t="s">
        <v>563</v>
      </c>
      <c r="E16" t="s">
        <v>92</v>
      </c>
      <c r="F16" t="s">
        <v>92</v>
      </c>
      <c r="G16" t="s">
        <v>7</v>
      </c>
      <c r="H16" t="s">
        <v>7</v>
      </c>
      <c r="I16"/>
      <c r="J16"/>
      <c r="K16"/>
      <c r="L16"/>
      <c r="M16"/>
      <c r="N16" t="s">
        <v>46</v>
      </c>
      <c r="O16" t="s">
        <v>117</v>
      </c>
      <c r="P16">
        <v>0.41</v>
      </c>
      <c r="Q16" t="s">
        <v>672</v>
      </c>
      <c r="R16" t="s">
        <v>673</v>
      </c>
      <c r="S16" t="s">
        <v>7</v>
      </c>
      <c r="T16" t="s">
        <v>121</v>
      </c>
      <c r="U16" t="s">
        <v>132</v>
      </c>
      <c r="V16">
        <v>7</v>
      </c>
      <c r="W16" t="s">
        <v>299</v>
      </c>
      <c r="X16" t="s">
        <v>103</v>
      </c>
      <c r="Y16" t="s">
        <v>674</v>
      </c>
      <c r="Z16" t="s">
        <v>565</v>
      </c>
      <c r="AA16">
        <v>5.6000000000000001E-2</v>
      </c>
      <c r="AB16">
        <v>0.41</v>
      </c>
      <c r="AC16">
        <v>0.441</v>
      </c>
      <c r="AD16" t="s">
        <v>576</v>
      </c>
      <c r="AE16" s="30"/>
      <c r="AF16" s="30"/>
      <c r="AG16" s="30"/>
      <c r="AH16" t="s">
        <v>463</v>
      </c>
      <c r="AI16" t="s">
        <v>659</v>
      </c>
      <c r="AJ16"/>
      <c r="AK16"/>
      <c r="AN16" s="30"/>
      <c r="AO16" s="30"/>
      <c r="AP16" s="30"/>
      <c r="AQ16" s="30"/>
      <c r="AR16" s="30"/>
      <c r="AS16" s="30"/>
      <c r="BC16" s="3"/>
      <c r="BE16" s="3"/>
      <c r="BF16" s="3"/>
      <c r="BG16" s="3"/>
      <c r="BH16" s="3"/>
      <c r="BI16" s="3"/>
      <c r="BJ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ht="15" x14ac:dyDescent="0.25">
      <c r="A17" t="s">
        <v>99</v>
      </c>
      <c r="C17" s="116">
        <v>45159</v>
      </c>
      <c r="D17" t="s">
        <v>533</v>
      </c>
      <c r="E17" t="s">
        <v>92</v>
      </c>
      <c r="F17" t="s">
        <v>92</v>
      </c>
      <c r="G17" t="s">
        <v>7</v>
      </c>
      <c r="H17" t="s">
        <v>7</v>
      </c>
      <c r="I17" t="s">
        <v>675</v>
      </c>
      <c r="J17" t="s">
        <v>357</v>
      </c>
      <c r="K17">
        <v>20</v>
      </c>
      <c r="L17"/>
      <c r="M17"/>
      <c r="N17" t="s">
        <v>46</v>
      </c>
      <c r="O17" t="s">
        <v>94</v>
      </c>
      <c r="P17">
        <v>1.3</v>
      </c>
      <c r="Q17" t="s">
        <v>179</v>
      </c>
      <c r="R17" t="s">
        <v>357</v>
      </c>
      <c r="S17" t="s">
        <v>7</v>
      </c>
      <c r="T17" t="s">
        <v>661</v>
      </c>
      <c r="U17" t="s">
        <v>132</v>
      </c>
      <c r="V17">
        <v>8</v>
      </c>
      <c r="W17" t="s">
        <v>299</v>
      </c>
      <c r="X17" t="s">
        <v>103</v>
      </c>
      <c r="Y17" t="s">
        <v>103</v>
      </c>
      <c r="Z17" t="s">
        <v>535</v>
      </c>
      <c r="AA17">
        <v>1.3</v>
      </c>
      <c r="AB17">
        <v>9.4819999999999993</v>
      </c>
      <c r="AC17">
        <v>10.191000000000001</v>
      </c>
      <c r="AD17" t="s">
        <v>547</v>
      </c>
      <c r="AE17" s="30"/>
      <c r="AF17" s="30"/>
      <c r="AG17" s="30"/>
      <c r="AH17" s="30"/>
      <c r="AI17" s="30"/>
      <c r="AN17" s="30"/>
      <c r="AO17" s="30"/>
      <c r="AP17" s="30"/>
      <c r="AQ17" s="30"/>
      <c r="AR17" s="30"/>
      <c r="AS17" s="30"/>
      <c r="BC17" s="3"/>
      <c r="BE17" s="3"/>
      <c r="BF17" s="3"/>
      <c r="BG17" s="3"/>
      <c r="BH17" s="3"/>
      <c r="BI17" s="3"/>
      <c r="BJ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ht="15" x14ac:dyDescent="0.25">
      <c r="A18" t="s">
        <v>72</v>
      </c>
      <c r="C18" s="116">
        <v>45159</v>
      </c>
      <c r="D18" t="s">
        <v>548</v>
      </c>
      <c r="E18" t="s">
        <v>92</v>
      </c>
      <c r="F18" t="s">
        <v>92</v>
      </c>
      <c r="G18" t="s">
        <v>676</v>
      </c>
      <c r="H18" t="s">
        <v>7</v>
      </c>
      <c r="I18" t="s">
        <v>671</v>
      </c>
      <c r="J18" t="s">
        <v>552</v>
      </c>
      <c r="K18">
        <v>10</v>
      </c>
      <c r="L18"/>
      <c r="M18"/>
      <c r="N18" t="s">
        <v>129</v>
      </c>
      <c r="O18" t="s">
        <v>497</v>
      </c>
      <c r="P18">
        <v>167.2</v>
      </c>
      <c r="Q18" t="s">
        <v>179</v>
      </c>
      <c r="R18" t="s">
        <v>552</v>
      </c>
      <c r="S18" t="s">
        <v>7</v>
      </c>
      <c r="T18" t="s">
        <v>355</v>
      </c>
      <c r="U18" t="s">
        <v>132</v>
      </c>
      <c r="V18">
        <v>1.7</v>
      </c>
      <c r="W18" t="s">
        <v>299</v>
      </c>
      <c r="X18" t="s">
        <v>103</v>
      </c>
      <c r="Y18" t="s">
        <v>103</v>
      </c>
      <c r="Z18" t="s">
        <v>550</v>
      </c>
      <c r="AA18">
        <v>1.17</v>
      </c>
      <c r="AB18">
        <v>8.36</v>
      </c>
      <c r="AC18">
        <v>9.0289999999999999</v>
      </c>
      <c r="AD18" t="s">
        <v>562</v>
      </c>
      <c r="AE18" s="30"/>
      <c r="AF18" s="30"/>
      <c r="AG18" s="30"/>
      <c r="AH18" s="30"/>
      <c r="AI18" s="30"/>
      <c r="AL18" s="30"/>
      <c r="AM18" s="30"/>
      <c r="AN18" s="30"/>
      <c r="AO18" s="30"/>
      <c r="AP18" s="30"/>
      <c r="AQ18" s="30"/>
      <c r="AR18" s="30"/>
      <c r="AS18" s="30"/>
      <c r="BC18" s="3"/>
      <c r="BE18" s="3"/>
      <c r="BF18" s="3"/>
      <c r="BG18" s="3"/>
      <c r="BH18" s="3"/>
      <c r="BI18" s="3"/>
      <c r="BJ18" s="3"/>
      <c r="BK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ht="15" x14ac:dyDescent="0.25">
      <c r="A19" t="s">
        <v>65</v>
      </c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BF19" s="3"/>
      <c r="BH19" s="3"/>
      <c r="BI19" s="3"/>
      <c r="BJ19" s="3"/>
      <c r="BK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ht="15" x14ac:dyDescent="0.25">
      <c r="A20" t="s">
        <v>96</v>
      </c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BN20" s="3"/>
      <c r="BO20" s="3"/>
      <c r="BR20" s="3"/>
      <c r="BS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</row>
    <row r="21" spans="1:100" ht="15" x14ac:dyDescent="0.25">
      <c r="A21" t="s">
        <v>137</v>
      </c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BN21" s="3"/>
      <c r="BO21" s="3"/>
      <c r="BR21" s="3"/>
      <c r="BS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</row>
    <row r="22" spans="1:100" ht="15" x14ac:dyDescent="0.25">
      <c r="A22" t="s">
        <v>182</v>
      </c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BS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</row>
    <row r="23" spans="1:100" ht="15" x14ac:dyDescent="0.25">
      <c r="A23" t="s">
        <v>102</v>
      </c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BS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</row>
    <row r="24" spans="1:100" ht="15" x14ac:dyDescent="0.25">
      <c r="A24" t="s">
        <v>198</v>
      </c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BS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</row>
    <row r="25" spans="1:100" ht="15" x14ac:dyDescent="0.25">
      <c r="A25" t="s">
        <v>59</v>
      </c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BS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</row>
    <row r="26" spans="1:100" ht="15" x14ac:dyDescent="0.25">
      <c r="A26" t="s">
        <v>58</v>
      </c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BS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</row>
    <row r="27" spans="1:100" ht="15" x14ac:dyDescent="0.25">
      <c r="A27" t="s">
        <v>244</v>
      </c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BT27" s="3"/>
      <c r="BU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</row>
    <row r="28" spans="1:100" ht="15" x14ac:dyDescent="0.25">
      <c r="A28" t="s">
        <v>246</v>
      </c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BT28" s="3"/>
      <c r="BU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</row>
    <row r="29" spans="1:100" ht="15" x14ac:dyDescent="0.25">
      <c r="A29" t="s">
        <v>55</v>
      </c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BT29" s="3"/>
      <c r="BU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</row>
    <row r="30" spans="1:100" ht="15" x14ac:dyDescent="0.25">
      <c r="A30" t="s">
        <v>203</v>
      </c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BT30" s="3"/>
      <c r="BU30" s="3"/>
      <c r="BW30" s="3"/>
      <c r="BX30" s="3"/>
      <c r="BY30" s="3"/>
      <c r="BZ30" s="3"/>
      <c r="CA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</row>
    <row r="31" spans="1:100" ht="15" x14ac:dyDescent="0.25">
      <c r="A31" t="s">
        <v>204</v>
      </c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BT31" s="3"/>
      <c r="BU31" s="3"/>
      <c r="BW31" s="3"/>
      <c r="BX31" s="3"/>
      <c r="BY31" s="3"/>
      <c r="BZ31" s="3"/>
      <c r="CA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</row>
    <row r="32" spans="1:100" ht="15" x14ac:dyDescent="0.25">
      <c r="A32" t="s">
        <v>247</v>
      </c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BT32" s="3"/>
      <c r="BU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</row>
    <row r="33" spans="1:100" ht="15" x14ac:dyDescent="0.25">
      <c r="A33" t="s">
        <v>165</v>
      </c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BT33" s="3"/>
      <c r="BU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</row>
    <row r="34" spans="1:100" ht="13.5" x14ac:dyDescent="0.25"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BT34" s="3"/>
      <c r="BU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</row>
    <row r="35" spans="1:100" ht="13.5" x14ac:dyDescent="0.25"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BT35" s="3"/>
      <c r="BU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</row>
    <row r="36" spans="1:100" ht="13.5" x14ac:dyDescent="0.25"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BT36" s="3"/>
      <c r="BU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</row>
    <row r="37" spans="1:100" ht="15.75" customHeight="1" x14ac:dyDescent="0.25"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BT37" s="3"/>
      <c r="BU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</row>
    <row r="38" spans="1:100" ht="15.75" customHeight="1" x14ac:dyDescent="0.25"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BT38" s="3"/>
      <c r="BU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</row>
    <row r="39" spans="1:100" ht="15.75" customHeight="1" x14ac:dyDescent="0.25"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BT39" s="3"/>
      <c r="BU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ht="15.75" customHeight="1" x14ac:dyDescent="0.25"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BT40" s="3"/>
      <c r="BU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ht="15.75" customHeight="1" x14ac:dyDescent="0.25"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BT41" s="3"/>
      <c r="BU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ht="15.75" customHeight="1" x14ac:dyDescent="0.25"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BT42" s="3"/>
      <c r="BU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ht="15.75" customHeight="1" x14ac:dyDescent="0.25"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BT43" s="3"/>
      <c r="BU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ht="15.75" customHeight="1" x14ac:dyDescent="0.25"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BT44" s="3"/>
      <c r="BU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ht="15.75" customHeight="1" x14ac:dyDescent="0.25"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BT45" s="3"/>
      <c r="BU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ht="15.75" customHeight="1" x14ac:dyDescent="0.25"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BT46" s="3"/>
      <c r="BU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ht="15.75" customHeight="1" x14ac:dyDescent="0.25"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BT47" s="3"/>
      <c r="BU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ht="15.75" customHeight="1" x14ac:dyDescent="0.25"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BT48" s="3"/>
      <c r="BU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2:100" ht="15.75" customHeight="1" x14ac:dyDescent="0.25"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BT49" s="3"/>
      <c r="BU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2:100" ht="15.75" customHeight="1" x14ac:dyDescent="0.25"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BT50" s="3"/>
      <c r="BU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2:100" ht="15.75" customHeight="1" x14ac:dyDescent="0.25"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BT51" s="3"/>
      <c r="BU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2:100" ht="15.75" customHeight="1" x14ac:dyDescent="0.25"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BT52" s="3"/>
      <c r="BU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2:100" ht="15.75" customHeight="1" x14ac:dyDescent="0.25"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BT53" s="3"/>
      <c r="BU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2:100" ht="15.75" customHeight="1" x14ac:dyDescent="0.25"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BT54" s="3"/>
      <c r="BU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2:100" ht="15.75" customHeight="1" x14ac:dyDescent="0.25"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BT55" s="3"/>
      <c r="BU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2:100" ht="15.75" customHeight="1" x14ac:dyDescent="0.25"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M56" s="30"/>
      <c r="AN56" s="30"/>
      <c r="AO56" s="30"/>
      <c r="AP56" s="30"/>
      <c r="AQ56" s="30"/>
      <c r="AR56" s="30"/>
      <c r="AS56" s="30"/>
      <c r="BT56" s="3"/>
      <c r="BU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2:100" ht="15.75" customHeight="1" x14ac:dyDescent="0.25"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M57" s="30"/>
      <c r="AN57" s="30"/>
      <c r="AO57" s="30"/>
      <c r="AP57" s="30"/>
      <c r="AQ57" s="30"/>
      <c r="AR57" s="30"/>
      <c r="AS57" s="30"/>
      <c r="BT57" s="3"/>
      <c r="BU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2:100" ht="15.75" customHeight="1" x14ac:dyDescent="0.25"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F58" s="30"/>
      <c r="AH58" s="30"/>
      <c r="AI58" s="30"/>
      <c r="AM58" s="30"/>
      <c r="AN58" s="30"/>
      <c r="AO58" s="30"/>
      <c r="AP58" s="30"/>
      <c r="AQ58" s="30"/>
      <c r="AR58" s="30"/>
      <c r="AS58" s="30"/>
      <c r="BT58" s="3"/>
      <c r="BU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2:100" ht="13.5" x14ac:dyDescent="0.25"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H59" s="30"/>
      <c r="AM59" s="30"/>
      <c r="AP59" s="30"/>
      <c r="AQ59" s="30"/>
      <c r="AR59" s="30"/>
      <c r="AS59" s="30"/>
      <c r="BT59" s="3"/>
      <c r="BU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2:100" ht="13.5" x14ac:dyDescent="0.25"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H60" s="30"/>
      <c r="AM60" s="30"/>
      <c r="AP60" s="30"/>
      <c r="AQ60" s="30"/>
      <c r="AR60" s="30"/>
      <c r="AS60" s="30"/>
      <c r="BT60" s="3"/>
      <c r="BU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2:100" ht="13.5" x14ac:dyDescent="0.25"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M61" s="30"/>
      <c r="AP61" s="30"/>
      <c r="AQ61" s="30"/>
      <c r="AR61" s="30"/>
      <c r="AS61" s="30"/>
      <c r="BT61" s="3"/>
      <c r="BU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2:100" ht="13.5" x14ac:dyDescent="0.25"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M62" s="30"/>
      <c r="AP62" s="30"/>
      <c r="BT62" s="3"/>
      <c r="BU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2:100" ht="13.5" x14ac:dyDescent="0.25"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M63" s="30"/>
      <c r="BT63" s="3"/>
      <c r="BU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2:100" ht="13.5" x14ac:dyDescent="0.25"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BT64" s="3"/>
      <c r="BU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12:100" ht="13.5" x14ac:dyDescent="0.25"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BT65" s="3"/>
      <c r="BU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12:100" ht="13.5" x14ac:dyDescent="0.25"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BT66" s="3"/>
      <c r="BU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12:100" ht="13.5" x14ac:dyDescent="0.25"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12:100" ht="13.5" x14ac:dyDescent="0.25"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12:100" ht="13.5" x14ac:dyDescent="0.25"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12:100" ht="13.5" x14ac:dyDescent="0.25"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12:100" ht="13.5" x14ac:dyDescent="0.25"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12:100" ht="13.5" x14ac:dyDescent="0.25"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12:100" ht="13.5" x14ac:dyDescent="0.25"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</sheetData>
  <phoneticPr fontId="14" type="noConversion"/>
  <conditionalFormatting sqref="D1:I1">
    <cfRule type="expression" dxfId="241" priority="1">
      <formula>$D$1&lt;&gt;0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2</xdr:row>
                    <xdr:rowOff>266700</xdr:rowOff>
                  </from>
                  <to>
                    <xdr:col>3</xdr:col>
                    <xdr:colOff>1857375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zoomScale="85" zoomScaleNormal="85" workbookViewId="0">
      <selection activeCell="C2" sqref="C2"/>
    </sheetView>
  </sheetViews>
  <sheetFormatPr defaultColWidth="8.88671875" defaultRowHeight="20.100000000000001" customHeight="1" outlineLevelCol="1" x14ac:dyDescent="0.25"/>
  <cols>
    <col min="1" max="1" width="17.88671875" style="32" customWidth="1"/>
    <col min="2" max="2" width="31.5546875" style="32" bestFit="1" customWidth="1"/>
    <col min="3" max="5" width="11" style="32" bestFit="1" customWidth="1"/>
    <col min="6" max="6" width="12" style="1" customWidth="1"/>
    <col min="7" max="7" width="11" style="32" bestFit="1" customWidth="1"/>
    <col min="8" max="8" width="11" style="1" bestFit="1" customWidth="1"/>
    <col min="9" max="10" width="13" style="1" customWidth="1"/>
    <col min="11" max="11" width="11.77734375" style="32" customWidth="1"/>
    <col min="12" max="12" width="11" style="32" bestFit="1" customWidth="1"/>
    <col min="13" max="13" width="6.109375" style="1" customWidth="1"/>
    <col min="14" max="14" width="10.44140625" style="1" bestFit="1" customWidth="1"/>
    <col min="15" max="15" width="4.33203125" style="32" bestFit="1" customWidth="1"/>
    <col min="16" max="16" width="9.5546875" style="32" bestFit="1" customWidth="1"/>
    <col min="17" max="17" width="9.5546875" style="32" hidden="1" customWidth="1" outlineLevel="1"/>
    <col min="18" max="18" width="6" style="32" hidden="1" customWidth="1" outlineLevel="1"/>
    <col min="19" max="19" width="7.6640625" style="1" hidden="1" customWidth="1" outlineLevel="1"/>
    <col min="20" max="20" width="11" style="1" hidden="1" customWidth="1" outlineLevel="1"/>
    <col min="21" max="21" width="11" style="32" hidden="1" customWidth="1" outlineLevel="1"/>
    <col min="22" max="22" width="7.6640625" style="32" hidden="1" customWidth="1" outlineLevel="1"/>
    <col min="23" max="23" width="7.6640625" style="1" hidden="1" customWidth="1" outlineLevel="1"/>
    <col min="24" max="24" width="14" style="32" hidden="1" customWidth="1" outlineLevel="1"/>
    <col min="25" max="25" width="6" style="32" hidden="1" customWidth="1" outlineLevel="1"/>
    <col min="26" max="26" width="7" style="1" hidden="1" customWidth="1" outlineLevel="1"/>
    <col min="27" max="27" width="6" style="32" hidden="1" customWidth="1" outlineLevel="1"/>
    <col min="28" max="28" width="20.109375" style="32" customWidth="1" collapsed="1"/>
    <col min="29" max="29" width="20.109375" style="32" customWidth="1"/>
    <col min="30" max="30" width="11" style="32" customWidth="1"/>
    <col min="31" max="31" width="33.109375" style="32" customWidth="1"/>
    <col min="32" max="32" width="19.33203125" style="32" bestFit="1" customWidth="1"/>
    <col min="33" max="33" width="13.21875" style="32" bestFit="1" customWidth="1"/>
    <col min="34" max="34" width="9.33203125" style="32" bestFit="1" customWidth="1"/>
    <col min="35" max="35" width="7.6640625" style="32" bestFit="1" customWidth="1"/>
    <col min="36" max="36" width="9.88671875" style="32" bestFit="1" customWidth="1"/>
    <col min="37" max="37" width="12" style="32" bestFit="1" customWidth="1"/>
    <col min="38" max="38" width="9.109375" style="32" customWidth="1"/>
    <col min="39" max="39" width="14.44140625" style="32" customWidth="1"/>
    <col min="40" max="40" width="8.109375" style="32" customWidth="1"/>
    <col min="41" max="41" width="9.5546875" style="32" bestFit="1" customWidth="1"/>
    <col min="42" max="43" width="9.33203125" style="32" bestFit="1" customWidth="1"/>
    <col min="44" max="44" width="9.88671875" style="32" customWidth="1"/>
    <col min="45" max="45" width="8.77734375" style="32" bestFit="1" customWidth="1"/>
    <col min="46" max="46" width="7.6640625" style="32" bestFit="1" customWidth="1"/>
    <col min="47" max="47" width="12" style="32" bestFit="1" customWidth="1"/>
    <col min="48" max="48" width="7.6640625" style="32" bestFit="1" customWidth="1"/>
    <col min="49" max="49" width="31.5546875" style="32" bestFit="1" customWidth="1"/>
    <col min="50" max="50" width="15.6640625" style="32" bestFit="1" customWidth="1"/>
    <col min="51" max="51" width="10.44140625" style="32" customWidth="1"/>
    <col min="52" max="52" width="11.5546875" style="32" customWidth="1"/>
    <col min="53" max="53" width="12.44140625" style="32" bestFit="1" customWidth="1"/>
    <col min="54" max="54" width="10.77734375" style="32" bestFit="1" customWidth="1"/>
    <col min="55" max="55" width="10.33203125" style="32" bestFit="1" customWidth="1"/>
    <col min="56" max="56" width="10.77734375" style="32" bestFit="1" customWidth="1"/>
    <col min="57" max="57" width="13.109375" style="32" bestFit="1" customWidth="1"/>
    <col min="58" max="58" width="12.6640625" style="32" bestFit="1" customWidth="1"/>
    <col min="59" max="59" width="35.77734375" style="32" customWidth="1"/>
    <col min="60" max="60" width="15.6640625" style="32" customWidth="1"/>
    <col min="61" max="61" width="15.21875" style="32" customWidth="1"/>
    <col min="62" max="62" width="15.6640625" style="32" customWidth="1"/>
    <col min="63" max="64" width="15.5546875" style="32" customWidth="1"/>
    <col min="65" max="16384" width="8.88671875" style="32"/>
  </cols>
  <sheetData>
    <row r="1" spans="1:52" s="75" customFormat="1" ht="46.5" x14ac:dyDescent="0.55000000000000004">
      <c r="A1" s="73" t="s">
        <v>226</v>
      </c>
      <c r="B1" s="74"/>
      <c r="C1" s="102"/>
      <c r="F1" s="101" t="s">
        <v>308</v>
      </c>
      <c r="G1" s="101" t="s">
        <v>97</v>
      </c>
      <c r="H1" s="101" t="s">
        <v>61</v>
      </c>
      <c r="K1" s="101" t="s">
        <v>409</v>
      </c>
      <c r="L1" s="101" t="s">
        <v>99</v>
      </c>
      <c r="AE1" s="73" t="s">
        <v>225</v>
      </c>
      <c r="AF1" s="102" t="s">
        <v>415</v>
      </c>
      <c r="AJ1" s="101" t="s">
        <v>202</v>
      </c>
      <c r="AL1" s="101" t="s">
        <v>201</v>
      </c>
      <c r="AO1" s="101" t="s">
        <v>174</v>
      </c>
      <c r="AR1" s="101" t="s">
        <v>236</v>
      </c>
      <c r="AS1" s="101" t="s">
        <v>237</v>
      </c>
      <c r="AT1" s="101" t="s">
        <v>238</v>
      </c>
      <c r="AW1" s="73" t="s">
        <v>224</v>
      </c>
      <c r="AX1" s="103" t="s">
        <v>416</v>
      </c>
      <c r="AY1" s="101" t="s">
        <v>241</v>
      </c>
      <c r="AZ1" s="101" t="s">
        <v>268</v>
      </c>
    </row>
    <row r="2" spans="1:52" s="76" customFormat="1" ht="75" customHeight="1" x14ac:dyDescent="0.35">
      <c r="B2" s="77"/>
      <c r="C2" s="131" t="s">
        <v>780</v>
      </c>
      <c r="D2" s="131" t="s">
        <v>780</v>
      </c>
      <c r="E2" s="131" t="s">
        <v>780</v>
      </c>
      <c r="F2" s="131" t="s">
        <v>780</v>
      </c>
      <c r="G2" s="131" t="s">
        <v>780</v>
      </c>
      <c r="H2" s="131" t="s">
        <v>780</v>
      </c>
      <c r="I2" s="131" t="s">
        <v>780</v>
      </c>
      <c r="J2" s="132"/>
      <c r="K2" s="131" t="s">
        <v>780</v>
      </c>
      <c r="AL2" s="131"/>
      <c r="AM2" s="131"/>
      <c r="AN2" s="131"/>
      <c r="AO2" s="131"/>
      <c r="AP2" s="131"/>
      <c r="AQ2" s="131"/>
      <c r="AR2" s="131"/>
      <c r="AS2" s="131"/>
      <c r="AT2" s="131"/>
      <c r="AX2" s="131" t="s">
        <v>780</v>
      </c>
      <c r="AY2" s="131" t="s">
        <v>780</v>
      </c>
      <c r="AZ2" s="131" t="s">
        <v>780</v>
      </c>
    </row>
    <row r="3" spans="1:52" s="79" customFormat="1" ht="33" customHeight="1" x14ac:dyDescent="0.25">
      <c r="A3" s="78" t="s">
        <v>56</v>
      </c>
      <c r="B3" s="78" t="s">
        <v>105</v>
      </c>
      <c r="C3" s="78" t="s">
        <v>207</v>
      </c>
      <c r="D3" s="78" t="s">
        <v>160</v>
      </c>
      <c r="E3" s="78" t="s">
        <v>48</v>
      </c>
      <c r="F3" s="78" t="s">
        <v>164</v>
      </c>
      <c r="G3" s="78" t="s">
        <v>97</v>
      </c>
      <c r="H3" s="78" t="s">
        <v>61</v>
      </c>
      <c r="I3" s="78" t="s">
        <v>196</v>
      </c>
      <c r="J3" s="78" t="s">
        <v>180</v>
      </c>
      <c r="K3" s="78" t="s">
        <v>166</v>
      </c>
      <c r="L3" s="78" t="s">
        <v>99</v>
      </c>
      <c r="M3" s="78" t="s">
        <v>72</v>
      </c>
      <c r="N3" s="78" t="s">
        <v>65</v>
      </c>
      <c r="O3" s="78" t="s">
        <v>96</v>
      </c>
      <c r="P3" s="78" t="s">
        <v>137</v>
      </c>
      <c r="Q3" s="78" t="s">
        <v>182</v>
      </c>
      <c r="R3" s="78" t="s">
        <v>102</v>
      </c>
      <c r="S3" s="78" t="s">
        <v>198</v>
      </c>
      <c r="T3" s="78" t="s">
        <v>59</v>
      </c>
      <c r="U3" s="78" t="s">
        <v>58</v>
      </c>
      <c r="V3" s="78" t="s">
        <v>244</v>
      </c>
      <c r="W3" s="78" t="s">
        <v>246</v>
      </c>
      <c r="X3" s="78" t="s">
        <v>55</v>
      </c>
      <c r="Y3" s="78" t="s">
        <v>203</v>
      </c>
      <c r="Z3" s="78" t="s">
        <v>204</v>
      </c>
      <c r="AA3" s="78" t="s">
        <v>247</v>
      </c>
      <c r="AB3" s="78" t="s">
        <v>165</v>
      </c>
      <c r="AE3" s="78" t="s">
        <v>105</v>
      </c>
      <c r="AF3" s="78" t="s">
        <v>165</v>
      </c>
      <c r="AG3" s="78" t="s">
        <v>55</v>
      </c>
      <c r="AH3" s="78" t="s">
        <v>56</v>
      </c>
      <c r="AI3" s="78" t="s">
        <v>240</v>
      </c>
      <c r="AJ3" s="78" t="s">
        <v>202</v>
      </c>
      <c r="AK3" s="78" t="s">
        <v>218</v>
      </c>
      <c r="AL3" s="78" t="s">
        <v>201</v>
      </c>
      <c r="AM3" s="78" t="s">
        <v>212</v>
      </c>
      <c r="AN3" s="78" t="s">
        <v>200</v>
      </c>
      <c r="AO3" s="78" t="s">
        <v>174</v>
      </c>
      <c r="AP3" s="78" t="s">
        <v>216</v>
      </c>
      <c r="AQ3" s="78" t="s">
        <v>217</v>
      </c>
      <c r="AR3" s="78" t="s">
        <v>236</v>
      </c>
      <c r="AS3" s="78" t="s">
        <v>237</v>
      </c>
      <c r="AT3" s="78" t="s">
        <v>238</v>
      </c>
      <c r="AU3" s="76"/>
      <c r="AW3" s="78" t="s">
        <v>105</v>
      </c>
      <c r="AX3" s="78" t="s">
        <v>208</v>
      </c>
      <c r="AY3" s="78" t="s">
        <v>241</v>
      </c>
      <c r="AZ3" s="78" t="s">
        <v>268</v>
      </c>
    </row>
    <row r="4" spans="1:52" ht="20.100000000000001" customHeight="1" x14ac:dyDescent="0.25">
      <c r="A4" s="80" t="s">
        <v>56</v>
      </c>
      <c r="B4" s="80" t="s">
        <v>105</v>
      </c>
      <c r="C4" s="80" t="s">
        <v>207</v>
      </c>
      <c r="D4" s="80" t="s">
        <v>160</v>
      </c>
      <c r="E4" s="80" t="s">
        <v>48</v>
      </c>
      <c r="F4" s="80" t="s">
        <v>164</v>
      </c>
      <c r="G4" s="80" t="s">
        <v>97</v>
      </c>
      <c r="H4" s="80" t="s">
        <v>61</v>
      </c>
      <c r="I4" s="80" t="s">
        <v>196</v>
      </c>
      <c r="J4" s="80" t="s">
        <v>180</v>
      </c>
      <c r="K4" s="80" t="s">
        <v>166</v>
      </c>
      <c r="L4" s="80" t="s">
        <v>99</v>
      </c>
      <c r="M4" s="80" t="s">
        <v>72</v>
      </c>
      <c r="N4" s="80" t="s">
        <v>65</v>
      </c>
      <c r="O4" s="80" t="s">
        <v>96</v>
      </c>
      <c r="P4" s="80" t="s">
        <v>137</v>
      </c>
      <c r="Q4" s="80" t="s">
        <v>182</v>
      </c>
      <c r="R4" s="80" t="s">
        <v>102</v>
      </c>
      <c r="S4" s="80" t="s">
        <v>198</v>
      </c>
      <c r="T4" s="80" t="s">
        <v>59</v>
      </c>
      <c r="U4" s="80" t="s">
        <v>58</v>
      </c>
      <c r="V4" s="80" t="s">
        <v>244</v>
      </c>
      <c r="W4" s="80" t="s">
        <v>246</v>
      </c>
      <c r="X4" s="80" t="s">
        <v>55</v>
      </c>
      <c r="Y4" s="80" t="s">
        <v>203</v>
      </c>
      <c r="Z4" s="80" t="s">
        <v>204</v>
      </c>
      <c r="AA4" s="80" t="s">
        <v>247</v>
      </c>
      <c r="AB4" s="80" t="s">
        <v>165</v>
      </c>
      <c r="AC4" s="79"/>
      <c r="AD4" s="79"/>
      <c r="AE4" s="81" t="s">
        <v>105</v>
      </c>
      <c r="AF4" s="81" t="s">
        <v>165</v>
      </c>
      <c r="AG4" s="81" t="s">
        <v>55</v>
      </c>
      <c r="AH4" s="81" t="s">
        <v>56</v>
      </c>
      <c r="AI4" s="81" t="s">
        <v>240</v>
      </c>
      <c r="AJ4" s="81" t="s">
        <v>202</v>
      </c>
      <c r="AK4" s="81" t="s">
        <v>218</v>
      </c>
      <c r="AL4" s="81" t="s">
        <v>201</v>
      </c>
      <c r="AM4" s="81" t="s">
        <v>212</v>
      </c>
      <c r="AN4" s="81" t="s">
        <v>200</v>
      </c>
      <c r="AO4" s="81" t="s">
        <v>174</v>
      </c>
      <c r="AP4" s="81" t="s">
        <v>216</v>
      </c>
      <c r="AQ4" s="81" t="s">
        <v>217</v>
      </c>
      <c r="AR4" s="81" t="s">
        <v>236</v>
      </c>
      <c r="AS4" s="81" t="s">
        <v>237</v>
      </c>
      <c r="AT4" s="81" t="s">
        <v>238</v>
      </c>
      <c r="AU4" s="76"/>
      <c r="AW4" s="81" t="s">
        <v>105</v>
      </c>
      <c r="AX4" s="81" t="s">
        <v>208</v>
      </c>
      <c r="AY4" s="81" t="s">
        <v>241</v>
      </c>
      <c r="AZ4" s="81" t="s">
        <v>268</v>
      </c>
    </row>
    <row r="5" spans="1:52" ht="20.100000000000001" customHeight="1" x14ac:dyDescent="0.3">
      <c r="A5" s="82">
        <v>45163</v>
      </c>
      <c r="B5" s="82" t="s">
        <v>732</v>
      </c>
      <c r="C5" s="83" t="s">
        <v>92</v>
      </c>
      <c r="D5" s="83" t="s">
        <v>92</v>
      </c>
      <c r="E5" s="83" t="s">
        <v>7</v>
      </c>
      <c r="F5" s="83" t="s">
        <v>7</v>
      </c>
      <c r="G5" s="83" t="s">
        <v>751</v>
      </c>
      <c r="H5" s="87" t="s">
        <v>737</v>
      </c>
      <c r="I5" s="83">
        <v>0</v>
      </c>
      <c r="J5" s="88"/>
      <c r="K5" s="85"/>
      <c r="L5" s="84" t="s">
        <v>43</v>
      </c>
      <c r="M5" s="85" t="s">
        <v>94</v>
      </c>
      <c r="N5" s="85">
        <v>0.45</v>
      </c>
      <c r="O5" s="85" t="s">
        <v>179</v>
      </c>
      <c r="P5" s="86" t="s">
        <v>737</v>
      </c>
      <c r="Q5" s="84" t="s">
        <v>7</v>
      </c>
      <c r="R5" s="85" t="s">
        <v>355</v>
      </c>
      <c r="S5" s="84" t="s">
        <v>132</v>
      </c>
      <c r="T5" s="85">
        <v>5.7</v>
      </c>
      <c r="U5" s="85" t="s">
        <v>103</v>
      </c>
      <c r="V5" s="85" t="s">
        <v>103</v>
      </c>
      <c r="W5" s="85" t="s">
        <v>103</v>
      </c>
      <c r="X5" s="85" t="s">
        <v>734</v>
      </c>
      <c r="Y5" s="85">
        <v>0.45</v>
      </c>
      <c r="Z5" s="85">
        <v>3.2839999999999998</v>
      </c>
      <c r="AA5" s="85">
        <v>3.53</v>
      </c>
      <c r="AB5" s="85" t="s">
        <v>741</v>
      </c>
      <c r="AC5" s="79"/>
      <c r="AD5" s="79"/>
      <c r="AE5" s="78" t="s">
        <v>430</v>
      </c>
      <c r="AF5" s="78" t="s">
        <v>511</v>
      </c>
      <c r="AG5" s="133" t="s">
        <v>429</v>
      </c>
      <c r="AH5" s="133">
        <v>45160</v>
      </c>
      <c r="AI5" s="79">
        <v>56</v>
      </c>
      <c r="AJ5" s="79" t="s">
        <v>214</v>
      </c>
      <c r="AK5" s="79" t="s">
        <v>428</v>
      </c>
      <c r="AL5" s="91" t="s">
        <v>210</v>
      </c>
      <c r="AM5" s="134" t="s">
        <v>753</v>
      </c>
      <c r="AN5" s="134" t="s">
        <v>755</v>
      </c>
      <c r="AO5" s="89" t="s">
        <v>177</v>
      </c>
      <c r="AP5" s="89" t="s">
        <v>7</v>
      </c>
      <c r="AQ5" s="89" t="s">
        <v>7</v>
      </c>
      <c r="AR5" s="90"/>
      <c r="AS5" s="91" t="s">
        <v>756</v>
      </c>
      <c r="AT5" s="91"/>
      <c r="AU5" s="76"/>
      <c r="AW5" s="78" t="s">
        <v>434</v>
      </c>
      <c r="AX5" s="89" t="s">
        <v>657</v>
      </c>
      <c r="AY5" s="89" t="s">
        <v>230</v>
      </c>
      <c r="AZ5" s="89" t="s">
        <v>421</v>
      </c>
    </row>
    <row r="6" spans="1:52" ht="20.100000000000001" customHeight="1" x14ac:dyDescent="0.3">
      <c r="A6" s="82">
        <v>45163</v>
      </c>
      <c r="B6" s="82" t="s">
        <v>698</v>
      </c>
      <c r="C6" s="87" t="s">
        <v>92</v>
      </c>
      <c r="D6" s="87" t="s">
        <v>92</v>
      </c>
      <c r="E6" s="83" t="s">
        <v>664</v>
      </c>
      <c r="F6" s="83" t="s">
        <v>7</v>
      </c>
      <c r="G6" s="83"/>
      <c r="H6" s="92" t="s">
        <v>701</v>
      </c>
      <c r="I6" s="83"/>
      <c r="J6" s="93"/>
      <c r="K6" s="85"/>
      <c r="L6" s="84" t="s">
        <v>129</v>
      </c>
      <c r="M6" s="85" t="s">
        <v>117</v>
      </c>
      <c r="N6" s="85">
        <v>2.1800000000000002</v>
      </c>
      <c r="O6" s="85" t="s">
        <v>179</v>
      </c>
      <c r="P6" s="85" t="s">
        <v>701</v>
      </c>
      <c r="Q6" s="84" t="s">
        <v>7</v>
      </c>
      <c r="R6" s="85" t="s">
        <v>355</v>
      </c>
      <c r="S6" s="84" t="s">
        <v>132</v>
      </c>
      <c r="T6" s="85">
        <v>4.7</v>
      </c>
      <c r="U6" s="85" t="s">
        <v>292</v>
      </c>
      <c r="V6" s="85" t="s">
        <v>103</v>
      </c>
      <c r="W6" s="85" t="s">
        <v>103</v>
      </c>
      <c r="X6" s="85" t="s">
        <v>696</v>
      </c>
      <c r="Y6" s="85">
        <v>0.29899999999999999</v>
      </c>
      <c r="Z6" s="85">
        <v>2.1800000000000002</v>
      </c>
      <c r="AA6" s="85">
        <v>2.3439999999999999</v>
      </c>
      <c r="AB6" s="85" t="s">
        <v>697</v>
      </c>
      <c r="AC6" s="79"/>
      <c r="AD6" s="79"/>
      <c r="AE6" s="78" t="s">
        <v>427</v>
      </c>
      <c r="AF6" s="78" t="s">
        <v>525</v>
      </c>
      <c r="AG6" s="133" t="s">
        <v>426</v>
      </c>
      <c r="AH6" s="133">
        <v>45160</v>
      </c>
      <c r="AI6" s="79">
        <v>55</v>
      </c>
      <c r="AJ6" s="79" t="s">
        <v>214</v>
      </c>
      <c r="AK6" s="79" t="s">
        <v>425</v>
      </c>
      <c r="AL6" s="91" t="s">
        <v>210</v>
      </c>
      <c r="AM6" s="134" t="s">
        <v>758</v>
      </c>
      <c r="AN6" s="134" t="s">
        <v>760</v>
      </c>
      <c r="AO6" s="89" t="s">
        <v>176</v>
      </c>
      <c r="AP6" s="89" t="s">
        <v>7</v>
      </c>
      <c r="AQ6" s="89" t="s">
        <v>7</v>
      </c>
      <c r="AR6" s="94"/>
      <c r="AS6" s="91"/>
      <c r="AT6" s="89"/>
      <c r="AU6" s="76"/>
      <c r="AW6" s="78" t="s">
        <v>449</v>
      </c>
      <c r="AX6" s="89" t="s">
        <v>658</v>
      </c>
      <c r="AY6" s="89" t="s">
        <v>230</v>
      </c>
      <c r="AZ6" s="89" t="s">
        <v>421</v>
      </c>
    </row>
    <row r="7" spans="1:52" ht="20.100000000000001" customHeight="1" x14ac:dyDescent="0.3">
      <c r="A7" s="82">
        <v>45162</v>
      </c>
      <c r="B7" s="82" t="s">
        <v>463</v>
      </c>
      <c r="C7" s="83" t="s">
        <v>92</v>
      </c>
      <c r="D7" s="87" t="s">
        <v>92</v>
      </c>
      <c r="E7" s="83" t="s">
        <v>7</v>
      </c>
      <c r="F7" s="83" t="s">
        <v>7</v>
      </c>
      <c r="G7" s="83"/>
      <c r="H7" s="92"/>
      <c r="I7" s="83"/>
      <c r="J7" s="84"/>
      <c r="K7" s="85"/>
      <c r="L7" s="84" t="s">
        <v>43</v>
      </c>
      <c r="M7" s="85" t="s">
        <v>94</v>
      </c>
      <c r="N7" s="85">
        <v>0.25800000000000001</v>
      </c>
      <c r="O7" s="85" t="s">
        <v>179</v>
      </c>
      <c r="P7" s="85" t="s">
        <v>660</v>
      </c>
      <c r="Q7" s="84" t="s">
        <v>7</v>
      </c>
      <c r="R7" s="85" t="s">
        <v>661</v>
      </c>
      <c r="S7" s="84" t="s">
        <v>132</v>
      </c>
      <c r="T7" s="85">
        <v>7.2</v>
      </c>
      <c r="U7" s="85" t="s">
        <v>292</v>
      </c>
      <c r="V7" s="85" t="s">
        <v>103</v>
      </c>
      <c r="W7" s="85" t="s">
        <v>103</v>
      </c>
      <c r="X7" s="85" t="s">
        <v>465</v>
      </c>
      <c r="Y7" s="85">
        <v>0.25800000000000001</v>
      </c>
      <c r="Z7" s="85">
        <v>1.88</v>
      </c>
      <c r="AA7" s="85">
        <v>2.0230000000000001</v>
      </c>
      <c r="AB7" s="85" t="s">
        <v>474</v>
      </c>
      <c r="AC7" s="79"/>
      <c r="AD7" s="79"/>
      <c r="AE7" s="78" t="s">
        <v>475</v>
      </c>
      <c r="AF7" s="78" t="s">
        <v>489</v>
      </c>
      <c r="AG7" s="133" t="s">
        <v>432</v>
      </c>
      <c r="AH7" s="133">
        <v>45161</v>
      </c>
      <c r="AI7" s="79">
        <v>57</v>
      </c>
      <c r="AJ7" s="79" t="s">
        <v>211</v>
      </c>
      <c r="AK7" s="79" t="s">
        <v>431</v>
      </c>
      <c r="AL7" s="91" t="s">
        <v>210</v>
      </c>
      <c r="AM7" s="134" t="s">
        <v>761</v>
      </c>
      <c r="AN7" s="91"/>
      <c r="AO7" s="89" t="s">
        <v>176</v>
      </c>
      <c r="AP7" s="89" t="s">
        <v>177</v>
      </c>
      <c r="AQ7" s="89" t="s">
        <v>7</v>
      </c>
      <c r="AR7" s="94"/>
      <c r="AS7" s="91"/>
      <c r="AT7" s="91"/>
      <c r="AU7" s="76"/>
      <c r="AW7" s="78" t="s">
        <v>463</v>
      </c>
      <c r="AX7" s="89" t="s">
        <v>659</v>
      </c>
      <c r="AY7" s="89" t="s">
        <v>230</v>
      </c>
      <c r="AZ7" s="89" t="s">
        <v>421</v>
      </c>
    </row>
    <row r="8" spans="1:52" ht="20.100000000000001" customHeight="1" x14ac:dyDescent="0.25">
      <c r="A8" s="82">
        <v>45162</v>
      </c>
      <c r="B8" s="82" t="s">
        <v>449</v>
      </c>
      <c r="C8" s="87" t="s">
        <v>92</v>
      </c>
      <c r="D8" s="87" t="s">
        <v>92</v>
      </c>
      <c r="E8" s="83" t="s">
        <v>662</v>
      </c>
      <c r="F8" s="83" t="s">
        <v>7</v>
      </c>
      <c r="G8" s="83"/>
      <c r="H8" s="83" t="s">
        <v>663</v>
      </c>
      <c r="I8" s="83"/>
      <c r="J8" s="84"/>
      <c r="K8" s="85"/>
      <c r="L8" s="84" t="s">
        <v>128</v>
      </c>
      <c r="M8" s="85" t="s">
        <v>117</v>
      </c>
      <c r="N8" s="85">
        <v>7.18</v>
      </c>
      <c r="O8" s="85" t="s">
        <v>179</v>
      </c>
      <c r="P8" s="85" t="s">
        <v>663</v>
      </c>
      <c r="Q8" s="84" t="s">
        <v>7</v>
      </c>
      <c r="R8" s="85" t="s">
        <v>355</v>
      </c>
      <c r="S8" s="84" t="s">
        <v>132</v>
      </c>
      <c r="T8" s="85">
        <v>5</v>
      </c>
      <c r="U8" s="85" t="s">
        <v>292</v>
      </c>
      <c r="V8" s="85" t="s">
        <v>103</v>
      </c>
      <c r="W8" s="85" t="s">
        <v>103</v>
      </c>
      <c r="X8" s="85" t="s">
        <v>451</v>
      </c>
      <c r="Y8" s="85">
        <v>0.98399999999999999</v>
      </c>
      <c r="Z8" s="85">
        <v>7.18</v>
      </c>
      <c r="AA8" s="85">
        <v>7.726</v>
      </c>
      <c r="AB8" s="85" t="s">
        <v>462</v>
      </c>
      <c r="AC8" s="79"/>
      <c r="AD8" s="79"/>
      <c r="AE8" s="78"/>
      <c r="AF8" s="78"/>
      <c r="AG8" s="133"/>
      <c r="AH8" s="133"/>
      <c r="AI8" s="79"/>
      <c r="AJ8" s="79"/>
      <c r="AK8" s="79"/>
      <c r="AL8" s="91"/>
      <c r="AM8" s="91"/>
      <c r="AN8" s="91"/>
      <c r="AO8" s="89"/>
      <c r="AP8" s="89"/>
      <c r="AQ8" s="89"/>
      <c r="AR8" s="90"/>
      <c r="AS8" s="91"/>
      <c r="AT8" s="89"/>
      <c r="AU8" s="76"/>
      <c r="AW8" s="78"/>
      <c r="AX8" s="89"/>
      <c r="AY8" s="89"/>
      <c r="AZ8" s="89"/>
    </row>
    <row r="9" spans="1:52" ht="20.100000000000001" customHeight="1" x14ac:dyDescent="0.25">
      <c r="A9" s="82">
        <v>45162</v>
      </c>
      <c r="B9" s="82" t="s">
        <v>434</v>
      </c>
      <c r="C9" s="87" t="s">
        <v>92</v>
      </c>
      <c r="D9" s="87" t="s">
        <v>92</v>
      </c>
      <c r="E9" s="83" t="s">
        <v>664</v>
      </c>
      <c r="F9" s="83" t="s">
        <v>7</v>
      </c>
      <c r="G9" s="83"/>
      <c r="H9" s="83" t="s">
        <v>665</v>
      </c>
      <c r="I9" s="87"/>
      <c r="J9" s="84"/>
      <c r="K9" s="85"/>
      <c r="L9" s="84" t="s">
        <v>128</v>
      </c>
      <c r="M9" s="85" t="s">
        <v>117</v>
      </c>
      <c r="N9" s="85">
        <v>1.7</v>
      </c>
      <c r="O9" s="85" t="s">
        <v>179</v>
      </c>
      <c r="P9" s="95" t="s">
        <v>665</v>
      </c>
      <c r="Q9" s="84" t="s">
        <v>7</v>
      </c>
      <c r="R9" s="85" t="s">
        <v>355</v>
      </c>
      <c r="S9" s="84" t="s">
        <v>132</v>
      </c>
      <c r="T9" s="85">
        <v>4.8</v>
      </c>
      <c r="U9" s="85" t="s">
        <v>292</v>
      </c>
      <c r="V9" s="85" t="s">
        <v>103</v>
      </c>
      <c r="W9" s="85" t="s">
        <v>103</v>
      </c>
      <c r="X9" s="85" t="s">
        <v>436</v>
      </c>
      <c r="Y9" s="85">
        <v>0.23300000000000001</v>
      </c>
      <c r="Z9" s="85">
        <v>1.7</v>
      </c>
      <c r="AA9" s="85">
        <v>1.829</v>
      </c>
      <c r="AB9" s="85" t="s">
        <v>448</v>
      </c>
      <c r="AC9" s="79"/>
      <c r="AD9" s="79"/>
      <c r="AE9" s="78"/>
      <c r="AF9" s="78"/>
      <c r="AG9" s="133"/>
      <c r="AH9" s="133"/>
      <c r="AI9" s="79"/>
      <c r="AJ9" s="79"/>
      <c r="AK9" s="79"/>
      <c r="AL9" s="91"/>
      <c r="AM9" s="91"/>
      <c r="AN9" s="91"/>
      <c r="AO9" s="89"/>
      <c r="AP9" s="89"/>
      <c r="AQ9" s="89"/>
      <c r="AR9" s="90"/>
      <c r="AS9" s="91"/>
      <c r="AT9" s="89"/>
      <c r="AU9" s="76"/>
      <c r="AW9" s="78"/>
      <c r="AX9" s="89"/>
      <c r="AY9" s="89"/>
      <c r="AZ9" s="89"/>
    </row>
    <row r="10" spans="1:52" ht="20.100000000000001" customHeight="1" x14ac:dyDescent="0.25">
      <c r="A10" s="82">
        <v>45161</v>
      </c>
      <c r="B10" s="82" t="s">
        <v>475</v>
      </c>
      <c r="C10" s="87" t="s">
        <v>769</v>
      </c>
      <c r="D10" s="87" t="s">
        <v>770</v>
      </c>
      <c r="E10" s="83" t="s">
        <v>7</v>
      </c>
      <c r="F10" s="83" t="s">
        <v>308</v>
      </c>
      <c r="G10" s="83" t="s">
        <v>666</v>
      </c>
      <c r="H10" s="96" t="s">
        <v>667</v>
      </c>
      <c r="I10" s="83">
        <v>45</v>
      </c>
      <c r="J10" s="93" t="s">
        <v>667</v>
      </c>
      <c r="K10" s="85"/>
      <c r="L10" s="84" t="s">
        <v>43</v>
      </c>
      <c r="M10" s="85" t="s">
        <v>94</v>
      </c>
      <c r="N10" s="85">
        <v>5</v>
      </c>
      <c r="O10" s="85" t="s">
        <v>179</v>
      </c>
      <c r="P10" s="85" t="s">
        <v>667</v>
      </c>
      <c r="Q10" s="84" t="s">
        <v>354</v>
      </c>
      <c r="R10" s="85" t="s">
        <v>661</v>
      </c>
      <c r="S10" s="84" t="s">
        <v>668</v>
      </c>
      <c r="T10" s="85">
        <v>5.9348999999999998</v>
      </c>
      <c r="U10" s="85" t="s">
        <v>288</v>
      </c>
      <c r="V10" s="85" t="s">
        <v>103</v>
      </c>
      <c r="W10" s="85" t="s">
        <v>103</v>
      </c>
      <c r="X10" s="85" t="s">
        <v>432</v>
      </c>
      <c r="Y10" s="85">
        <v>5</v>
      </c>
      <c r="Z10" s="85">
        <v>36.435000000000002</v>
      </c>
      <c r="AA10" s="85">
        <v>39.204999999999998</v>
      </c>
      <c r="AB10" s="85" t="s">
        <v>489</v>
      </c>
      <c r="AC10" s="79"/>
      <c r="AD10" s="79"/>
      <c r="AE10" s="78"/>
      <c r="AF10" s="78"/>
      <c r="AG10" s="133"/>
      <c r="AH10" s="133"/>
      <c r="AI10" s="79"/>
      <c r="AJ10" s="79"/>
      <c r="AK10" s="79"/>
      <c r="AL10" s="91"/>
      <c r="AM10" s="89"/>
      <c r="AN10" s="89"/>
      <c r="AO10" s="89"/>
      <c r="AP10" s="89"/>
      <c r="AQ10" s="89"/>
      <c r="AR10" s="90"/>
      <c r="AS10" s="89"/>
      <c r="AT10" s="89"/>
      <c r="AU10" s="76"/>
      <c r="AW10" s="78"/>
      <c r="AX10" s="89"/>
      <c r="AY10" s="89"/>
      <c r="AZ10" s="89"/>
    </row>
    <row r="11" spans="1:52" ht="20.100000000000001" customHeight="1" x14ac:dyDescent="0.25">
      <c r="A11" s="82">
        <v>45160</v>
      </c>
      <c r="B11" s="82" t="s">
        <v>427</v>
      </c>
      <c r="C11" s="83" t="s">
        <v>592</v>
      </c>
      <c r="D11" s="83" t="s">
        <v>592</v>
      </c>
      <c r="E11" s="83" t="s">
        <v>7</v>
      </c>
      <c r="F11" s="83" t="s">
        <v>308</v>
      </c>
      <c r="G11" s="83" t="s">
        <v>669</v>
      </c>
      <c r="H11" s="83" t="s">
        <v>515</v>
      </c>
      <c r="I11" s="83">
        <v>40</v>
      </c>
      <c r="J11" s="84"/>
      <c r="K11" s="85"/>
      <c r="L11" s="84" t="s">
        <v>46</v>
      </c>
      <c r="M11" s="85" t="s">
        <v>94</v>
      </c>
      <c r="N11" s="85">
        <v>2</v>
      </c>
      <c r="O11" s="85" t="s">
        <v>179</v>
      </c>
      <c r="P11" s="85" t="s">
        <v>515</v>
      </c>
      <c r="Q11" s="84" t="s">
        <v>7</v>
      </c>
      <c r="R11" s="85" t="s">
        <v>661</v>
      </c>
      <c r="S11" s="84" t="s">
        <v>132</v>
      </c>
      <c r="T11" s="85">
        <v>5.85</v>
      </c>
      <c r="U11" s="85" t="s">
        <v>299</v>
      </c>
      <c r="V11" s="85" t="s">
        <v>103</v>
      </c>
      <c r="W11" s="85" t="s">
        <v>103</v>
      </c>
      <c r="X11" s="85" t="s">
        <v>426</v>
      </c>
      <c r="Y11" s="85">
        <v>2</v>
      </c>
      <c r="Z11" s="85">
        <v>14.612</v>
      </c>
      <c r="AA11" s="85">
        <v>15.676</v>
      </c>
      <c r="AB11" s="85" t="s">
        <v>525</v>
      </c>
      <c r="AC11" s="79"/>
      <c r="AD11" s="79"/>
      <c r="AE11" s="78"/>
      <c r="AF11" s="78"/>
      <c r="AG11" s="133"/>
      <c r="AH11" s="78"/>
      <c r="AI11" s="79"/>
      <c r="AJ11" s="79"/>
      <c r="AK11" s="79"/>
      <c r="AL11" s="91"/>
      <c r="AM11" s="89"/>
      <c r="AN11" s="89"/>
      <c r="AO11" s="89"/>
      <c r="AP11" s="89"/>
      <c r="AQ11" s="89"/>
      <c r="AR11" s="94"/>
      <c r="AS11" s="89"/>
      <c r="AT11" s="89"/>
      <c r="AU11" s="76"/>
    </row>
    <row r="12" spans="1:52" ht="20.100000000000001" customHeight="1" x14ac:dyDescent="0.25">
      <c r="A12" s="82">
        <v>45160</v>
      </c>
      <c r="B12" s="82" t="s">
        <v>430</v>
      </c>
      <c r="C12" s="83" t="s">
        <v>92</v>
      </c>
      <c r="D12" s="87" t="s">
        <v>92</v>
      </c>
      <c r="E12" s="83" t="s">
        <v>670</v>
      </c>
      <c r="F12" s="83" t="s">
        <v>7</v>
      </c>
      <c r="G12" s="83" t="s">
        <v>671</v>
      </c>
      <c r="H12" s="83"/>
      <c r="I12" s="83">
        <v>20</v>
      </c>
      <c r="J12" s="84"/>
      <c r="K12" s="85"/>
      <c r="L12" s="84" t="s">
        <v>129</v>
      </c>
      <c r="M12" s="85" t="s">
        <v>497</v>
      </c>
      <c r="N12" s="85">
        <v>130</v>
      </c>
      <c r="O12" s="85" t="s">
        <v>179</v>
      </c>
      <c r="P12" s="85" t="s">
        <v>508</v>
      </c>
      <c r="Q12" s="84" t="s">
        <v>7</v>
      </c>
      <c r="R12" s="85" t="s">
        <v>355</v>
      </c>
      <c r="S12" s="84" t="s">
        <v>132</v>
      </c>
      <c r="T12" s="85">
        <v>1.6</v>
      </c>
      <c r="U12" s="85" t="s">
        <v>103</v>
      </c>
      <c r="V12" s="85" t="s">
        <v>103</v>
      </c>
      <c r="W12" s="85" t="s">
        <v>103</v>
      </c>
      <c r="X12" s="85" t="s">
        <v>429</v>
      </c>
      <c r="Y12" s="85">
        <v>0.91</v>
      </c>
      <c r="Z12" s="85">
        <v>6.5</v>
      </c>
      <c r="AA12" s="85">
        <v>7.02</v>
      </c>
      <c r="AB12" s="85" t="s">
        <v>511</v>
      </c>
      <c r="AC12" s="79"/>
      <c r="AD12" s="79"/>
      <c r="AQ12" s="79"/>
      <c r="AR12" s="79"/>
      <c r="AT12" s="79"/>
      <c r="AU12" s="76"/>
    </row>
    <row r="13" spans="1:52" ht="20.100000000000001" customHeight="1" x14ac:dyDescent="0.25">
      <c r="A13" s="82">
        <v>45159</v>
      </c>
      <c r="B13" s="82" t="s">
        <v>563</v>
      </c>
      <c r="C13" s="83" t="s">
        <v>92</v>
      </c>
      <c r="D13" s="83" t="s">
        <v>92</v>
      </c>
      <c r="E13" s="83" t="s">
        <v>7</v>
      </c>
      <c r="F13" s="83" t="s">
        <v>7</v>
      </c>
      <c r="G13" s="83"/>
      <c r="H13" s="87"/>
      <c r="I13" s="83"/>
      <c r="J13" s="84"/>
      <c r="K13" s="85"/>
      <c r="L13" s="84" t="s">
        <v>46</v>
      </c>
      <c r="M13" s="85" t="s">
        <v>120</v>
      </c>
      <c r="N13" s="85">
        <v>1.915</v>
      </c>
      <c r="O13" s="85" t="s">
        <v>672</v>
      </c>
      <c r="P13" s="85" t="s">
        <v>673</v>
      </c>
      <c r="Q13" s="84" t="s">
        <v>7</v>
      </c>
      <c r="R13" s="85" t="s">
        <v>121</v>
      </c>
      <c r="S13" s="84" t="s">
        <v>132</v>
      </c>
      <c r="T13" s="85">
        <v>7</v>
      </c>
      <c r="U13" s="85" t="s">
        <v>299</v>
      </c>
      <c r="V13" s="85" t="s">
        <v>103</v>
      </c>
      <c r="W13" s="85" t="s">
        <v>674</v>
      </c>
      <c r="X13" s="85" t="s">
        <v>577</v>
      </c>
      <c r="Y13" s="85">
        <v>0.245</v>
      </c>
      <c r="Z13" s="85">
        <v>1.7809999999999999</v>
      </c>
      <c r="AA13" s="85">
        <v>1.915</v>
      </c>
      <c r="AB13" s="85" t="s">
        <v>578</v>
      </c>
      <c r="AC13" s="79"/>
      <c r="AD13" s="79"/>
      <c r="AR13" s="79"/>
      <c r="AT13" s="79"/>
      <c r="AU13" s="76"/>
    </row>
    <row r="14" spans="1:52" ht="20.100000000000001" customHeight="1" x14ac:dyDescent="0.25">
      <c r="A14" s="82">
        <v>45159</v>
      </c>
      <c r="B14" s="82" t="s">
        <v>563</v>
      </c>
      <c r="C14" s="83" t="s">
        <v>92</v>
      </c>
      <c r="D14" s="83" t="s">
        <v>92</v>
      </c>
      <c r="E14" s="83" t="s">
        <v>7</v>
      </c>
      <c r="F14" s="83" t="s">
        <v>7</v>
      </c>
      <c r="G14" s="83"/>
      <c r="H14" s="83"/>
      <c r="I14" s="83"/>
      <c r="J14" s="84"/>
      <c r="K14" s="85"/>
      <c r="L14" s="84" t="s">
        <v>46</v>
      </c>
      <c r="M14" s="85" t="s">
        <v>94</v>
      </c>
      <c r="N14" s="85">
        <v>0.05</v>
      </c>
      <c r="O14" s="85" t="s">
        <v>672</v>
      </c>
      <c r="P14" s="85" t="s">
        <v>673</v>
      </c>
      <c r="Q14" s="84" t="s">
        <v>7</v>
      </c>
      <c r="R14" s="85" t="s">
        <v>121</v>
      </c>
      <c r="S14" s="84" t="s">
        <v>132</v>
      </c>
      <c r="T14" s="85">
        <v>7</v>
      </c>
      <c r="U14" s="85" t="s">
        <v>299</v>
      </c>
      <c r="V14" s="85" t="s">
        <v>103</v>
      </c>
      <c r="W14" s="85" t="s">
        <v>674</v>
      </c>
      <c r="X14" s="85" t="s">
        <v>579</v>
      </c>
      <c r="Y14" s="85">
        <v>0.05</v>
      </c>
      <c r="Z14" s="85">
        <v>0.36499999999999999</v>
      </c>
      <c r="AA14" s="85">
        <v>0.39200000000000002</v>
      </c>
      <c r="AB14" s="85" t="s">
        <v>580</v>
      </c>
      <c r="AC14" s="79"/>
      <c r="AD14" s="79"/>
      <c r="AR14" s="79"/>
      <c r="AT14" s="79"/>
    </row>
    <row r="15" spans="1:52" ht="20.100000000000001" customHeight="1" x14ac:dyDescent="0.25">
      <c r="A15" s="82">
        <v>45159</v>
      </c>
      <c r="B15" s="82" t="s">
        <v>563</v>
      </c>
      <c r="C15" s="83" t="s">
        <v>92</v>
      </c>
      <c r="D15" s="83" t="s">
        <v>92</v>
      </c>
      <c r="E15" s="83" t="s">
        <v>7</v>
      </c>
      <c r="F15" s="83" t="s">
        <v>7</v>
      </c>
      <c r="G15" s="83"/>
      <c r="H15" s="92"/>
      <c r="I15" s="83"/>
      <c r="J15" s="84"/>
      <c r="K15" s="85"/>
      <c r="L15" s="84" t="s">
        <v>46</v>
      </c>
      <c r="M15" s="85" t="s">
        <v>117</v>
      </c>
      <c r="N15" s="85">
        <v>0.41</v>
      </c>
      <c r="O15" s="85" t="s">
        <v>672</v>
      </c>
      <c r="P15" s="85" t="s">
        <v>673</v>
      </c>
      <c r="Q15" s="84" t="s">
        <v>7</v>
      </c>
      <c r="R15" s="85" t="s">
        <v>121</v>
      </c>
      <c r="S15" s="84" t="s">
        <v>132</v>
      </c>
      <c r="T15" s="85">
        <v>7</v>
      </c>
      <c r="U15" s="85" t="s">
        <v>299</v>
      </c>
      <c r="V15" s="85" t="s">
        <v>103</v>
      </c>
      <c r="W15" s="85" t="s">
        <v>674</v>
      </c>
      <c r="X15" s="85" t="s">
        <v>565</v>
      </c>
      <c r="Y15" s="85">
        <v>5.6000000000000001E-2</v>
      </c>
      <c r="Z15" s="85">
        <v>0.41</v>
      </c>
      <c r="AA15" s="85">
        <v>0.441</v>
      </c>
      <c r="AB15" s="85" t="s">
        <v>576</v>
      </c>
      <c r="AC15" s="79"/>
      <c r="AD15" s="79"/>
    </row>
    <row r="16" spans="1:52" ht="20.100000000000001" customHeight="1" x14ac:dyDescent="0.25">
      <c r="A16" s="82">
        <v>45159</v>
      </c>
      <c r="B16" s="82" t="s">
        <v>533</v>
      </c>
      <c r="C16" s="83" t="s">
        <v>92</v>
      </c>
      <c r="D16" s="83" t="s">
        <v>92</v>
      </c>
      <c r="E16" s="83" t="s">
        <v>7</v>
      </c>
      <c r="F16" s="83" t="s">
        <v>7</v>
      </c>
      <c r="G16" s="83" t="s">
        <v>675</v>
      </c>
      <c r="H16" s="83" t="s">
        <v>357</v>
      </c>
      <c r="I16" s="83">
        <v>20</v>
      </c>
      <c r="J16" s="84"/>
      <c r="K16" s="85"/>
      <c r="L16" s="84" t="s">
        <v>46</v>
      </c>
      <c r="M16" s="85" t="s">
        <v>94</v>
      </c>
      <c r="N16" s="85">
        <v>1.3</v>
      </c>
      <c r="O16" s="85" t="s">
        <v>179</v>
      </c>
      <c r="P16" s="85" t="s">
        <v>357</v>
      </c>
      <c r="Q16" s="84" t="s">
        <v>7</v>
      </c>
      <c r="R16" s="85" t="s">
        <v>661</v>
      </c>
      <c r="S16" s="84" t="s">
        <v>132</v>
      </c>
      <c r="T16" s="85">
        <v>8</v>
      </c>
      <c r="U16" s="85" t="s">
        <v>299</v>
      </c>
      <c r="V16" s="85" t="s">
        <v>103</v>
      </c>
      <c r="W16" s="85" t="s">
        <v>103</v>
      </c>
      <c r="X16" s="85" t="s">
        <v>535</v>
      </c>
      <c r="Y16" s="85">
        <v>1.3</v>
      </c>
      <c r="Z16" s="85">
        <v>9.4819999999999993</v>
      </c>
      <c r="AA16" s="85">
        <v>10.191000000000001</v>
      </c>
      <c r="AB16" s="85" t="s">
        <v>547</v>
      </c>
      <c r="AC16" s="79"/>
      <c r="AD16" s="79"/>
    </row>
    <row r="17" spans="1:42" ht="20.100000000000001" customHeight="1" x14ac:dyDescent="0.25">
      <c r="A17" s="82">
        <v>45159</v>
      </c>
      <c r="B17" s="82" t="s">
        <v>548</v>
      </c>
      <c r="C17" s="83" t="s">
        <v>92</v>
      </c>
      <c r="D17" s="83" t="s">
        <v>92</v>
      </c>
      <c r="E17" s="83" t="s">
        <v>676</v>
      </c>
      <c r="F17" s="83" t="s">
        <v>7</v>
      </c>
      <c r="G17" s="83" t="s">
        <v>671</v>
      </c>
      <c r="H17" s="83" t="s">
        <v>552</v>
      </c>
      <c r="I17" s="83">
        <v>10</v>
      </c>
      <c r="J17" s="84"/>
      <c r="K17" s="85"/>
      <c r="L17" s="84" t="s">
        <v>129</v>
      </c>
      <c r="M17" s="85" t="s">
        <v>497</v>
      </c>
      <c r="N17" s="85">
        <v>167.2</v>
      </c>
      <c r="O17" s="85" t="s">
        <v>179</v>
      </c>
      <c r="P17" s="85" t="s">
        <v>552</v>
      </c>
      <c r="Q17" s="84" t="s">
        <v>7</v>
      </c>
      <c r="R17" s="85" t="s">
        <v>355</v>
      </c>
      <c r="S17" s="84" t="s">
        <v>132</v>
      </c>
      <c r="T17" s="85">
        <v>1.7</v>
      </c>
      <c r="U17" s="85" t="s">
        <v>299</v>
      </c>
      <c r="V17" s="85" t="s">
        <v>103</v>
      </c>
      <c r="W17" s="85" t="s">
        <v>103</v>
      </c>
      <c r="X17" s="85" t="s">
        <v>550</v>
      </c>
      <c r="Y17" s="85">
        <v>1.17</v>
      </c>
      <c r="Z17" s="85">
        <v>8.36</v>
      </c>
      <c r="AA17" s="85">
        <v>9.0289999999999999</v>
      </c>
      <c r="AB17" s="85" t="s">
        <v>562</v>
      </c>
      <c r="AC17" s="79"/>
      <c r="AD17" s="79"/>
    </row>
    <row r="18" spans="1:42" ht="20.100000000000001" customHeight="1" x14ac:dyDescent="0.25">
      <c r="A18" s="82"/>
      <c r="B18" s="82"/>
      <c r="C18" s="83"/>
      <c r="D18" s="83"/>
      <c r="E18" s="83"/>
      <c r="F18" s="83"/>
      <c r="G18" s="83"/>
      <c r="H18" s="83"/>
      <c r="I18" s="83"/>
      <c r="J18" s="84"/>
      <c r="K18" s="85"/>
      <c r="L18" s="84"/>
      <c r="M18" s="85"/>
      <c r="N18" s="85"/>
      <c r="O18" s="85"/>
      <c r="P18" s="85"/>
      <c r="Q18" s="84"/>
      <c r="R18" s="85"/>
      <c r="S18" s="84"/>
      <c r="T18" s="85"/>
      <c r="U18" s="85"/>
      <c r="V18" s="85"/>
      <c r="W18" s="85"/>
      <c r="X18" s="85"/>
      <c r="Y18" s="85"/>
      <c r="Z18" s="85"/>
      <c r="AA18" s="85"/>
      <c r="AB18" s="85"/>
      <c r="AC18" s="79"/>
      <c r="AD18" s="79"/>
    </row>
    <row r="19" spans="1:42" ht="20.100000000000001" customHeight="1" x14ac:dyDescent="0.25">
      <c r="A19" s="82"/>
      <c r="B19" s="82"/>
      <c r="C19" s="83"/>
      <c r="D19" s="83"/>
      <c r="E19" s="83"/>
      <c r="F19" s="83"/>
      <c r="G19" s="83"/>
      <c r="H19" s="83"/>
      <c r="I19" s="83"/>
      <c r="J19" s="84"/>
      <c r="K19" s="85"/>
      <c r="L19" s="84"/>
      <c r="M19" s="85"/>
      <c r="N19" s="85"/>
      <c r="O19" s="85"/>
      <c r="P19" s="85"/>
      <c r="Q19" s="84"/>
      <c r="R19" s="85"/>
      <c r="S19" s="84"/>
      <c r="T19" s="85"/>
      <c r="U19" s="85"/>
      <c r="V19" s="85"/>
      <c r="W19" s="85"/>
      <c r="X19" s="85"/>
      <c r="Y19" s="85"/>
      <c r="Z19" s="85"/>
      <c r="AA19" s="85"/>
      <c r="AB19" s="85"/>
      <c r="AC19" s="79"/>
      <c r="AD19" s="79"/>
    </row>
    <row r="20" spans="1:42" ht="20.100000000000001" customHeight="1" x14ac:dyDescent="0.25">
      <c r="A20" s="82"/>
      <c r="B20" s="82"/>
      <c r="C20" s="83"/>
      <c r="D20" s="83"/>
      <c r="E20" s="83"/>
      <c r="F20" s="83"/>
      <c r="G20" s="83"/>
      <c r="H20" s="83"/>
      <c r="I20" s="83"/>
      <c r="J20" s="84"/>
      <c r="K20" s="85"/>
      <c r="L20" s="84"/>
      <c r="M20" s="85"/>
      <c r="N20" s="85"/>
      <c r="O20" s="85"/>
      <c r="P20" s="85"/>
      <c r="Q20" s="84"/>
      <c r="R20" s="85"/>
      <c r="S20" s="84"/>
      <c r="T20" s="85"/>
      <c r="U20" s="85"/>
      <c r="V20" s="85"/>
      <c r="W20" s="85"/>
      <c r="X20" s="85"/>
      <c r="Y20" s="85"/>
      <c r="Z20" s="85"/>
      <c r="AA20" s="85"/>
      <c r="AB20" s="85"/>
      <c r="AC20" s="79"/>
      <c r="AD20" s="79"/>
    </row>
    <row r="21" spans="1:42" ht="20.100000000000001" customHeight="1" x14ac:dyDescent="0.25">
      <c r="A21" s="82"/>
      <c r="B21" s="82"/>
      <c r="C21" s="83"/>
      <c r="D21" s="83"/>
      <c r="E21" s="83"/>
      <c r="F21" s="83"/>
      <c r="G21" s="83"/>
      <c r="H21" s="83"/>
      <c r="I21" s="83"/>
      <c r="J21" s="84"/>
      <c r="K21" s="85"/>
      <c r="L21" s="84"/>
      <c r="M21" s="85"/>
      <c r="N21" s="85"/>
      <c r="O21" s="85"/>
      <c r="P21" s="85"/>
      <c r="Q21" s="84"/>
      <c r="R21" s="85"/>
      <c r="S21" s="84"/>
      <c r="T21" s="85"/>
      <c r="U21" s="85"/>
      <c r="V21" s="85"/>
      <c r="W21" s="85"/>
      <c r="X21" s="85"/>
      <c r="Y21" s="85"/>
      <c r="Z21" s="85"/>
      <c r="AA21" s="85"/>
      <c r="AB21" s="85"/>
      <c r="AC21" s="79"/>
      <c r="AD21" s="79"/>
    </row>
    <row r="22" spans="1:42" ht="20.100000000000001" customHeight="1" x14ac:dyDescent="0.25">
      <c r="A22" s="82"/>
      <c r="B22" s="82"/>
      <c r="C22" s="83"/>
      <c r="D22" s="83"/>
      <c r="E22" s="83"/>
      <c r="F22" s="83"/>
      <c r="G22" s="83"/>
      <c r="H22" s="83"/>
      <c r="I22" s="83"/>
      <c r="J22" s="84"/>
      <c r="K22" s="85"/>
      <c r="L22" s="84"/>
      <c r="M22" s="85"/>
      <c r="N22" s="85"/>
      <c r="O22" s="85"/>
      <c r="P22" s="85"/>
      <c r="Q22" s="84"/>
      <c r="R22" s="85"/>
      <c r="S22" s="84"/>
      <c r="T22" s="85"/>
      <c r="U22" s="85"/>
      <c r="V22" s="85"/>
      <c r="W22" s="85"/>
      <c r="X22" s="85"/>
      <c r="Y22" s="85"/>
      <c r="Z22" s="85"/>
      <c r="AA22" s="85"/>
      <c r="AB22" s="85"/>
      <c r="AC22" s="79"/>
      <c r="AD22" s="79"/>
    </row>
    <row r="23" spans="1:42" ht="20.100000000000001" customHeight="1" x14ac:dyDescent="0.25">
      <c r="A23" s="82"/>
      <c r="B23" s="82"/>
      <c r="C23" s="83"/>
      <c r="D23" s="83"/>
      <c r="E23" s="83"/>
      <c r="F23" s="83"/>
      <c r="G23" s="83"/>
      <c r="H23" s="83"/>
      <c r="I23" s="83"/>
      <c r="J23" s="84"/>
      <c r="K23" s="85"/>
      <c r="L23" s="84"/>
      <c r="M23" s="85"/>
      <c r="N23" s="85"/>
      <c r="O23" s="85"/>
      <c r="P23" s="85"/>
      <c r="Q23" s="84"/>
      <c r="R23" s="85"/>
      <c r="S23" s="84"/>
      <c r="T23" s="85"/>
      <c r="U23" s="85"/>
      <c r="V23" s="85"/>
      <c r="W23" s="85"/>
      <c r="X23" s="85"/>
      <c r="Y23" s="85"/>
      <c r="Z23" s="85"/>
      <c r="AA23" s="85"/>
      <c r="AB23" s="85"/>
      <c r="AC23" s="79"/>
      <c r="AD23" s="79"/>
    </row>
    <row r="24" spans="1:42" ht="20.100000000000001" customHeight="1" x14ac:dyDescent="0.25">
      <c r="A24" s="82"/>
      <c r="B24" s="82"/>
      <c r="C24" s="83"/>
      <c r="D24" s="83"/>
      <c r="E24" s="83"/>
      <c r="F24" s="83"/>
      <c r="G24" s="83"/>
      <c r="H24" s="83"/>
      <c r="I24" s="83"/>
      <c r="J24" s="84"/>
      <c r="K24" s="85"/>
      <c r="L24" s="84"/>
      <c r="M24" s="85"/>
      <c r="N24" s="85"/>
      <c r="O24" s="85"/>
      <c r="P24" s="85"/>
      <c r="Q24" s="84"/>
      <c r="R24" s="85"/>
      <c r="S24" s="84"/>
      <c r="T24" s="85"/>
      <c r="U24" s="85"/>
      <c r="V24" s="85"/>
      <c r="W24" s="85"/>
      <c r="X24" s="85"/>
      <c r="Y24" s="85"/>
      <c r="Z24" s="85"/>
      <c r="AA24" s="85"/>
      <c r="AB24" s="85"/>
      <c r="AC24" s="79"/>
      <c r="AD24" s="79"/>
    </row>
    <row r="25" spans="1:42" ht="20.100000000000001" customHeight="1" x14ac:dyDescent="0.25">
      <c r="A25" s="82"/>
      <c r="B25" s="82"/>
      <c r="C25" s="83"/>
      <c r="D25" s="83"/>
      <c r="E25" s="83"/>
      <c r="F25" s="83"/>
      <c r="G25" s="83"/>
      <c r="H25" s="83"/>
      <c r="I25" s="83"/>
      <c r="J25" s="84"/>
      <c r="K25" s="85"/>
      <c r="L25" s="84"/>
      <c r="M25" s="85"/>
      <c r="N25" s="85"/>
      <c r="O25" s="85"/>
      <c r="P25" s="85"/>
      <c r="Q25" s="84"/>
      <c r="R25" s="85"/>
      <c r="S25" s="84"/>
      <c r="T25" s="85"/>
      <c r="U25" s="85"/>
      <c r="V25" s="85"/>
      <c r="W25" s="85"/>
      <c r="X25" s="85"/>
      <c r="Y25" s="85"/>
      <c r="Z25" s="85"/>
      <c r="AA25" s="85"/>
      <c r="AB25" s="85"/>
      <c r="AC25" s="79"/>
      <c r="AD25" s="79"/>
    </row>
    <row r="26" spans="1:42" ht="20.100000000000001" customHeight="1" x14ac:dyDescent="0.25">
      <c r="A26" s="82"/>
      <c r="B26" s="82"/>
      <c r="C26" s="83"/>
      <c r="D26" s="83"/>
      <c r="E26" s="83"/>
      <c r="F26" s="83"/>
      <c r="G26" s="83"/>
      <c r="H26" s="83"/>
      <c r="I26" s="83"/>
      <c r="J26" s="84"/>
      <c r="K26" s="85"/>
      <c r="L26" s="84"/>
      <c r="M26" s="85"/>
      <c r="N26" s="85"/>
      <c r="O26" s="85"/>
      <c r="P26" s="85"/>
      <c r="Q26" s="84"/>
      <c r="R26" s="85"/>
      <c r="S26" s="84"/>
      <c r="T26" s="85"/>
      <c r="U26" s="85"/>
      <c r="V26" s="85"/>
      <c r="W26" s="85"/>
      <c r="X26" s="85"/>
      <c r="Y26" s="85"/>
      <c r="Z26" s="85"/>
      <c r="AA26" s="85"/>
      <c r="AB26" s="85"/>
      <c r="AC26" s="79"/>
      <c r="AD26" s="79"/>
    </row>
    <row r="27" spans="1:42" ht="20.100000000000001" customHeight="1" x14ac:dyDescent="0.25">
      <c r="A27" s="79"/>
      <c r="B27" s="79"/>
      <c r="C27" s="79"/>
      <c r="D27" s="79"/>
      <c r="E27" s="79"/>
      <c r="G27" s="79"/>
      <c r="K27" s="79"/>
      <c r="L27" s="79"/>
      <c r="O27" s="79"/>
      <c r="P27" s="79"/>
      <c r="Q27" s="79"/>
      <c r="R27" s="79"/>
      <c r="U27" s="79"/>
      <c r="V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</row>
    <row r="28" spans="1:42" ht="20.100000000000001" customHeight="1" x14ac:dyDescent="0.25">
      <c r="A28" s="79"/>
      <c r="B28" s="79"/>
      <c r="C28" s="79"/>
      <c r="D28" s="79"/>
      <c r="E28" s="79"/>
      <c r="G28" s="79"/>
      <c r="K28" s="79"/>
      <c r="L28" s="79"/>
      <c r="O28" s="79"/>
      <c r="P28" s="79"/>
      <c r="Q28" s="79"/>
      <c r="R28" s="79"/>
      <c r="U28" s="79"/>
      <c r="V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</row>
    <row r="29" spans="1:42" ht="20.100000000000001" customHeight="1" x14ac:dyDescent="0.25">
      <c r="A29" s="79"/>
      <c r="B29" s="79"/>
      <c r="C29" s="79"/>
      <c r="D29" s="79"/>
      <c r="E29" s="79"/>
      <c r="G29" s="79"/>
      <c r="K29" s="79"/>
      <c r="L29" s="79"/>
      <c r="O29" s="79"/>
      <c r="P29" s="79"/>
      <c r="Q29" s="79"/>
      <c r="R29" s="79"/>
      <c r="U29" s="79"/>
      <c r="V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</row>
    <row r="30" spans="1:42" ht="20.100000000000001" customHeight="1" x14ac:dyDescent="0.25">
      <c r="A30" s="79"/>
      <c r="B30" s="79"/>
      <c r="C30" s="79"/>
      <c r="D30" s="79"/>
      <c r="E30" s="79"/>
      <c r="G30" s="79"/>
      <c r="K30" s="79"/>
      <c r="L30" s="79"/>
      <c r="O30" s="79"/>
      <c r="P30" s="79"/>
      <c r="Q30" s="79"/>
      <c r="R30" s="79"/>
      <c r="U30" s="79"/>
      <c r="V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</row>
    <row r="31" spans="1:42" ht="20.100000000000001" customHeight="1" x14ac:dyDescent="0.25">
      <c r="A31" s="79"/>
      <c r="B31" s="79"/>
      <c r="C31" s="79"/>
      <c r="D31" s="79"/>
      <c r="E31" s="79"/>
      <c r="G31" s="79"/>
      <c r="K31" s="79"/>
      <c r="L31" s="79"/>
      <c r="O31" s="79"/>
      <c r="P31" s="79"/>
      <c r="Q31" s="79"/>
      <c r="R31" s="79"/>
      <c r="U31" s="79"/>
      <c r="V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</row>
    <row r="32" spans="1:42" ht="20.100000000000001" customHeight="1" x14ac:dyDescent="0.25">
      <c r="A32" s="79"/>
      <c r="B32" s="79"/>
      <c r="C32" s="79"/>
      <c r="D32" s="79"/>
      <c r="E32" s="79"/>
      <c r="G32" s="79"/>
      <c r="K32" s="79"/>
      <c r="L32" s="79"/>
      <c r="O32" s="79"/>
      <c r="P32" s="79"/>
      <c r="Q32" s="79"/>
      <c r="R32" s="79"/>
      <c r="U32" s="79"/>
      <c r="V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</row>
    <row r="33" spans="1:42" ht="20.100000000000001" customHeight="1" x14ac:dyDescent="0.25">
      <c r="A33" s="79"/>
      <c r="B33" s="79"/>
      <c r="C33" s="79"/>
      <c r="D33" s="79"/>
      <c r="E33" s="79"/>
      <c r="G33" s="79"/>
      <c r="K33" s="79"/>
      <c r="L33" s="79"/>
      <c r="O33" s="79"/>
      <c r="P33" s="79"/>
      <c r="Q33" s="79"/>
      <c r="R33" s="79"/>
      <c r="U33" s="79"/>
      <c r="V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</row>
    <row r="34" spans="1:42" ht="20.100000000000001" customHeight="1" x14ac:dyDescent="0.25">
      <c r="A34" s="79"/>
      <c r="B34" s="79"/>
      <c r="C34" s="79"/>
      <c r="D34" s="79"/>
      <c r="E34" s="79"/>
      <c r="G34" s="79"/>
      <c r="K34" s="79"/>
      <c r="L34" s="79"/>
      <c r="O34" s="79"/>
      <c r="P34" s="79"/>
      <c r="Q34" s="79"/>
      <c r="R34" s="79"/>
      <c r="U34" s="79"/>
      <c r="V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</row>
    <row r="35" spans="1:42" ht="20.100000000000001" customHeight="1" x14ac:dyDescent="0.25">
      <c r="A35" s="84"/>
      <c r="C35" s="46"/>
    </row>
    <row r="36" spans="1:42" ht="20.100000000000001" customHeight="1" x14ac:dyDescent="0.25">
      <c r="A36" s="84"/>
      <c r="C36" s="46"/>
    </row>
    <row r="37" spans="1:42" ht="20.100000000000001" customHeight="1" x14ac:dyDescent="0.25">
      <c r="C37" s="46"/>
    </row>
    <row r="38" spans="1:42" ht="20.100000000000001" customHeight="1" x14ac:dyDescent="0.25">
      <c r="C38" s="46"/>
    </row>
    <row r="39" spans="1:42" ht="20.100000000000001" customHeight="1" x14ac:dyDescent="0.25">
      <c r="C39" s="46"/>
    </row>
    <row r="40" spans="1:42" ht="20.100000000000001" customHeight="1" x14ac:dyDescent="0.25">
      <c r="C40" s="46"/>
    </row>
    <row r="41" spans="1:42" ht="20.100000000000001" customHeight="1" x14ac:dyDescent="0.25">
      <c r="C41" s="46"/>
    </row>
    <row r="42" spans="1:42" ht="20.100000000000001" customHeight="1" x14ac:dyDescent="0.25">
      <c r="C42" s="46"/>
    </row>
    <row r="43" spans="1:42" ht="20.100000000000001" customHeight="1" x14ac:dyDescent="0.25">
      <c r="C43" s="46"/>
    </row>
    <row r="44" spans="1:42" ht="20.100000000000001" customHeight="1" x14ac:dyDescent="0.25">
      <c r="C44" s="46"/>
    </row>
    <row r="45" spans="1:42" ht="20.100000000000001" customHeight="1" x14ac:dyDescent="0.25">
      <c r="C45" s="46"/>
    </row>
    <row r="46" spans="1:42" ht="20.100000000000001" customHeight="1" x14ac:dyDescent="0.25">
      <c r="C46" s="46"/>
    </row>
    <row r="47" spans="1:42" ht="20.100000000000001" customHeight="1" x14ac:dyDescent="0.25">
      <c r="C47" s="46"/>
    </row>
    <row r="48" spans="1:42" ht="20.100000000000001" customHeight="1" x14ac:dyDescent="0.25">
      <c r="C48" s="46"/>
    </row>
    <row r="49" spans="3:3" ht="20.100000000000001" customHeight="1" x14ac:dyDescent="0.25">
      <c r="C49" s="46"/>
    </row>
    <row r="50" spans="3:3" ht="20.100000000000001" customHeight="1" x14ac:dyDescent="0.25">
      <c r="C50" s="46"/>
    </row>
    <row r="51" spans="3:3" ht="20.100000000000001" customHeight="1" x14ac:dyDescent="0.25">
      <c r="C51" s="46"/>
    </row>
    <row r="52" spans="3:3" ht="20.100000000000001" customHeight="1" x14ac:dyDescent="0.25">
      <c r="C52" s="46"/>
    </row>
  </sheetData>
  <sheetProtection sheet="1" objects="1" scenarios="1"/>
  <phoneticPr fontId="14" type="noConversion"/>
  <dataValidations count="17">
    <dataValidation type="list" allowBlank="1" showInputMessage="1" showErrorMessage="1" sqref="AK11" xr:uid="{00000000-0002-0000-0300-000001000000}">
      <formula1>dd_bocomrole</formula1>
    </dataValidation>
    <dataValidation type="list" allowBlank="1" showInputMessage="1" showErrorMessage="1" sqref="AY4:AY10 AY1" xr:uid="{00000000-0002-0000-0300-000002000000}">
      <formula1>dd_中资属性</formula1>
    </dataValidation>
    <dataValidation type="list" allowBlank="1" showInputMessage="1" showErrorMessage="1" sqref="AZ5:AZ10 AZ1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1" xr:uid="{00000000-0002-0000-0300-00000A000000}">
      <formula1>"'--,合名"</formula1>
    </dataValidation>
    <dataValidation type="list" allowBlank="1" showInputMessage="1" showErrorMessage="1" sqref="AR1 AR4:AR11" xr:uid="{99BFFB53-B38D-40D3-8663-38F15ACF9F54}">
      <formula1>"--,Sole,Left-lead,Lead"</formula1>
    </dataValidation>
    <dataValidation type="list" allowBlank="1" showInputMessage="1" sqref="AS1 AS5:AS11" xr:uid="{CB096AB9-FDB8-4552-9C42-68264AF37713}">
      <formula1>"--,B&amp;D FOP,B&amp;D DvP,Arranger,DM,CCDC"</formula1>
    </dataValidation>
    <dataValidation type="list" allowBlank="1" showInputMessage="1" sqref="AT1 AT5:AT11" xr:uid="{6411A959-20E5-4337-AA9F-75101C5E704D}">
      <formula1>"--,合名"</formula1>
    </dataValidation>
    <dataValidation type="list" allowBlank="1" showInputMessage="1" sqref="AO1 AO5:AO11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 K1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1" xr:uid="{9AD15052-9D16-43CA-833E-3464C184A18B}">
      <formula1>dd_coverage</formula1>
    </dataValidation>
    <dataValidation type="list" allowBlank="1" showInputMessage="1" showErrorMessage="1" sqref="AL1 AL5:AL11" xr:uid="{4C13DF36-2ABE-480F-A19C-E364241326EC}">
      <formula1>dd_sfcrole</formula1>
    </dataValidation>
    <dataValidation type="list" allowBlank="1" showInputMessage="1" showErrorMessage="1" sqref="L1 L5:L26" xr:uid="{6B80D583-6EDF-4A0F-85B2-79E34879C29E}">
      <formula1>dd_strct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G1" zoomScale="85" zoomScaleNormal="85" workbookViewId="0">
      <selection activeCell="Z28" sqref="Z28"/>
    </sheetView>
  </sheetViews>
  <sheetFormatPr defaultColWidth="8.88671875" defaultRowHeight="15" x14ac:dyDescent="0.25"/>
  <cols>
    <col min="1" max="1" width="9.33203125" style="1" bestFit="1" customWidth="1"/>
    <col min="2" max="2" width="13.33203125" style="1" bestFit="1" customWidth="1"/>
    <col min="3" max="3" width="43.77734375" style="1" bestFit="1" customWidth="1"/>
    <col min="4" max="4" width="4.33203125" style="1" bestFit="1" customWidth="1"/>
    <col min="5" max="5" width="9" style="1" bestFit="1" customWidth="1"/>
    <col min="6" max="6" width="4.6640625" style="1" bestFit="1" customWidth="1"/>
    <col min="7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10.88671875" style="1" bestFit="1" customWidth="1"/>
    <col min="14" max="14" width="9.2187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19" style="1" bestFit="1" customWidth="1"/>
    <col min="20" max="20" width="8.664062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8.5546875" style="1" bestFit="1" customWidth="1"/>
    <col min="25" max="25" width="10.44140625" style="1" bestFit="1" customWidth="1"/>
    <col min="26" max="26" width="7.6640625" style="1" bestFit="1" customWidth="1"/>
    <col min="27" max="27" width="8.88671875" style="1" bestFit="1" customWidth="1"/>
    <col min="28" max="28" width="9.33203125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39">
        <f>COUNTA(charts[ISIN])</f>
        <v>13</v>
      </c>
      <c r="B1" s="7" t="s">
        <v>161</v>
      </c>
      <c r="Q1" s="23" t="str">
        <f>COUNTA(Table_graph_weeklydeal[Index])&amp;"笔"</f>
        <v>13笔</v>
      </c>
      <c r="R1" s="24">
        <f>ROUND(SUM(Table_graph_weeklydeal[亿美元]),1)</f>
        <v>13</v>
      </c>
      <c r="S1" s="23" t="s">
        <v>203</v>
      </c>
      <c r="AV1" s="4"/>
    </row>
    <row r="2" spans="1:48" ht="42" customHeight="1" x14ac:dyDescent="0.25">
      <c r="A2" s="4" t="s">
        <v>209</v>
      </c>
      <c r="Q2" s="4" t="s">
        <v>215</v>
      </c>
    </row>
    <row r="4" spans="1:48" x14ac:dyDescent="0.25">
      <c r="C4" s="105" t="s">
        <v>777</v>
      </c>
      <c r="D4" s="105" t="s">
        <v>778</v>
      </c>
      <c r="E4" s="105" t="s">
        <v>779</v>
      </c>
      <c r="S4" s="105" t="s">
        <v>783</v>
      </c>
      <c r="T4" s="105" t="s">
        <v>778</v>
      </c>
      <c r="U4" s="105" t="s">
        <v>779</v>
      </c>
    </row>
    <row r="5" spans="1:48" x14ac:dyDescent="0.25">
      <c r="C5" s="122" t="s">
        <v>782</v>
      </c>
      <c r="D5" s="105">
        <v>9.1489999999999991</v>
      </c>
      <c r="E5" s="105">
        <v>9</v>
      </c>
      <c r="S5" s="122" t="s">
        <v>784</v>
      </c>
      <c r="T5" s="105">
        <v>4.5790000000000006</v>
      </c>
      <c r="U5" s="105">
        <v>4</v>
      </c>
    </row>
    <row r="8" spans="1:48" x14ac:dyDescent="0.25">
      <c r="A8" t="s">
        <v>56</v>
      </c>
      <c r="B8" t="s">
        <v>55</v>
      </c>
      <c r="C8" t="s">
        <v>54</v>
      </c>
      <c r="D8" t="s">
        <v>96</v>
      </c>
      <c r="E8" t="s">
        <v>203</v>
      </c>
      <c r="F8" t="s">
        <v>72</v>
      </c>
      <c r="G8" t="s">
        <v>268</v>
      </c>
      <c r="H8" t="s">
        <v>104</v>
      </c>
      <c r="I8" t="s">
        <v>118</v>
      </c>
      <c r="J8" t="s">
        <v>135</v>
      </c>
      <c r="P8" t="s">
        <v>95</v>
      </c>
      <c r="Q8" t="s">
        <v>55</v>
      </c>
      <c r="R8" t="s">
        <v>56</v>
      </c>
      <c r="S8" t="s">
        <v>195</v>
      </c>
      <c r="T8" t="s">
        <v>160</v>
      </c>
      <c r="U8" t="s">
        <v>72</v>
      </c>
      <c r="V8" t="s">
        <v>65</v>
      </c>
      <c r="W8" t="s">
        <v>96</v>
      </c>
      <c r="X8" t="s">
        <v>137</v>
      </c>
      <c r="Y8" t="s">
        <v>97</v>
      </c>
      <c r="Z8" t="s">
        <v>196</v>
      </c>
      <c r="AA8" t="s">
        <v>99</v>
      </c>
      <c r="AB8" t="s">
        <v>36</v>
      </c>
      <c r="AC8" t="s">
        <v>268</v>
      </c>
      <c r="AD8" t="s">
        <v>98</v>
      </c>
      <c r="AE8" t="s">
        <v>175</v>
      </c>
      <c r="AF8" t="s">
        <v>203</v>
      </c>
    </row>
    <row r="9" spans="1:48" x14ac:dyDescent="0.25">
      <c r="A9" s="128">
        <v>45163</v>
      </c>
      <c r="B9" s="126" t="s">
        <v>696</v>
      </c>
      <c r="C9" s="125" t="s">
        <v>700</v>
      </c>
      <c r="D9" s="125">
        <v>3</v>
      </c>
      <c r="E9" s="125">
        <v>0.29899999999999999</v>
      </c>
      <c r="F9" s="126" t="s">
        <v>117</v>
      </c>
      <c r="G9" s="125" t="s">
        <v>421</v>
      </c>
      <c r="H9" s="125" t="s">
        <v>133</v>
      </c>
      <c r="I9" s="125" t="s">
        <v>294</v>
      </c>
      <c r="J9" s="125" t="s">
        <v>251</v>
      </c>
      <c r="P9" s="125">
        <v>13</v>
      </c>
      <c r="Q9" s="126" t="s">
        <v>734</v>
      </c>
      <c r="R9" s="128">
        <v>45163</v>
      </c>
      <c r="S9" s="125" t="s">
        <v>762</v>
      </c>
      <c r="T9" s="126" t="s">
        <v>92</v>
      </c>
      <c r="U9" s="126" t="s">
        <v>94</v>
      </c>
      <c r="V9" s="126">
        <v>0.45</v>
      </c>
      <c r="W9" s="126" t="s">
        <v>179</v>
      </c>
      <c r="X9" s="125" t="s">
        <v>737</v>
      </c>
      <c r="Y9" s="126" t="s">
        <v>751</v>
      </c>
      <c r="Z9" s="125" t="s">
        <v>763</v>
      </c>
      <c r="AA9" s="125" t="s">
        <v>43</v>
      </c>
      <c r="AB9" s="125" t="s">
        <v>7</v>
      </c>
      <c r="AC9" t="s">
        <v>421</v>
      </c>
      <c r="AD9" s="125" t="s">
        <v>17</v>
      </c>
      <c r="AE9" s="126" t="s">
        <v>7</v>
      </c>
      <c r="AF9" s="126">
        <v>0.45</v>
      </c>
    </row>
    <row r="10" spans="1:48" x14ac:dyDescent="0.25">
      <c r="A10" s="128">
        <v>45163</v>
      </c>
      <c r="B10" s="126" t="s">
        <v>734</v>
      </c>
      <c r="C10" s="125" t="s">
        <v>735</v>
      </c>
      <c r="D10" s="125">
        <v>3</v>
      </c>
      <c r="E10" s="125">
        <v>0.45</v>
      </c>
      <c r="F10" s="126" t="s">
        <v>94</v>
      </c>
      <c r="G10" s="125" t="s">
        <v>421</v>
      </c>
      <c r="H10" s="125" t="s">
        <v>133</v>
      </c>
      <c r="I10" s="125" t="s">
        <v>250</v>
      </c>
      <c r="J10" s="125" t="s">
        <v>251</v>
      </c>
      <c r="P10" s="125">
        <v>12</v>
      </c>
      <c r="Q10" s="126" t="s">
        <v>696</v>
      </c>
      <c r="R10" s="128">
        <v>45163</v>
      </c>
      <c r="S10" s="125" t="s">
        <v>717</v>
      </c>
      <c r="T10" s="126" t="s">
        <v>92</v>
      </c>
      <c r="U10" s="126" t="s">
        <v>117</v>
      </c>
      <c r="V10" s="126">
        <v>2.1800000000000002</v>
      </c>
      <c r="W10" s="126" t="s">
        <v>179</v>
      </c>
      <c r="X10" s="125" t="s">
        <v>701</v>
      </c>
      <c r="Y10" s="126" t="s">
        <v>7</v>
      </c>
      <c r="Z10" s="125" t="s">
        <v>7</v>
      </c>
      <c r="AA10" s="125" t="s">
        <v>129</v>
      </c>
      <c r="AB10" s="125" t="s">
        <v>294</v>
      </c>
      <c r="AC10" t="s">
        <v>421</v>
      </c>
      <c r="AD10" s="125" t="s">
        <v>10</v>
      </c>
      <c r="AE10" s="126" t="s">
        <v>7</v>
      </c>
      <c r="AF10" s="126">
        <v>0.29899999999999999</v>
      </c>
    </row>
    <row r="11" spans="1:48" x14ac:dyDescent="0.25">
      <c r="A11" s="128">
        <v>45162</v>
      </c>
      <c r="B11" s="126" t="s">
        <v>743</v>
      </c>
      <c r="C11" s="125" t="s">
        <v>744</v>
      </c>
      <c r="D11" s="125">
        <v>0.3</v>
      </c>
      <c r="E11" s="125">
        <v>5.0000000000000001E-3</v>
      </c>
      <c r="F11" s="126" t="s">
        <v>94</v>
      </c>
      <c r="G11" s="125" t="s">
        <v>420</v>
      </c>
      <c r="H11" s="125" t="s">
        <v>133</v>
      </c>
      <c r="I11" s="125" t="s">
        <v>250</v>
      </c>
      <c r="J11" s="125" t="s">
        <v>353</v>
      </c>
      <c r="P11" s="125">
        <v>11</v>
      </c>
      <c r="Q11" s="126" t="s">
        <v>465</v>
      </c>
      <c r="R11" s="128">
        <v>45162</v>
      </c>
      <c r="S11" s="125" t="s">
        <v>659</v>
      </c>
      <c r="T11" s="126" t="s">
        <v>92</v>
      </c>
      <c r="U11" s="126" t="s">
        <v>94</v>
      </c>
      <c r="V11" s="126">
        <v>0.25800000000000001</v>
      </c>
      <c r="W11" s="126" t="s">
        <v>179</v>
      </c>
      <c r="X11" s="125" t="s">
        <v>660</v>
      </c>
      <c r="Y11" s="126" t="s">
        <v>7</v>
      </c>
      <c r="Z11" s="125" t="s">
        <v>7</v>
      </c>
      <c r="AA11" s="125" t="s">
        <v>43</v>
      </c>
      <c r="AB11" s="125" t="s">
        <v>7</v>
      </c>
      <c r="AC11" t="s">
        <v>421</v>
      </c>
      <c r="AD11" s="125" t="s">
        <v>26</v>
      </c>
      <c r="AE11" s="126" t="s">
        <v>7</v>
      </c>
      <c r="AF11" s="126">
        <v>0.25800000000000001</v>
      </c>
    </row>
    <row r="12" spans="1:48" x14ac:dyDescent="0.25">
      <c r="A12" s="128">
        <v>45162</v>
      </c>
      <c r="B12" s="126" t="s">
        <v>436</v>
      </c>
      <c r="C12" s="125" t="s">
        <v>437</v>
      </c>
      <c r="D12" s="125">
        <v>3</v>
      </c>
      <c r="E12" s="125">
        <v>0.23300000000000001</v>
      </c>
      <c r="F12" s="126" t="s">
        <v>117</v>
      </c>
      <c r="G12" s="125" t="s">
        <v>421</v>
      </c>
      <c r="H12" s="125" t="s">
        <v>133</v>
      </c>
      <c r="I12" s="125" t="s">
        <v>294</v>
      </c>
      <c r="J12" s="125" t="s">
        <v>251</v>
      </c>
      <c r="P12" s="125">
        <v>10</v>
      </c>
      <c r="Q12" s="126" t="s">
        <v>451</v>
      </c>
      <c r="R12" s="128">
        <v>45162</v>
      </c>
      <c r="S12" s="125" t="s">
        <v>718</v>
      </c>
      <c r="T12" s="126" t="s">
        <v>92</v>
      </c>
      <c r="U12" s="126" t="s">
        <v>117</v>
      </c>
      <c r="V12" s="126">
        <v>7.18</v>
      </c>
      <c r="W12" s="126" t="s">
        <v>179</v>
      </c>
      <c r="X12" s="125" t="s">
        <v>663</v>
      </c>
      <c r="Y12" s="126" t="s">
        <v>7</v>
      </c>
      <c r="Z12" s="125" t="s">
        <v>7</v>
      </c>
      <c r="AA12" s="125" t="s">
        <v>128</v>
      </c>
      <c r="AB12" s="125" t="s">
        <v>294</v>
      </c>
      <c r="AC12" t="s">
        <v>421</v>
      </c>
      <c r="AD12" s="125" t="s">
        <v>21</v>
      </c>
      <c r="AE12" s="126" t="s">
        <v>7</v>
      </c>
      <c r="AF12" s="126">
        <v>0.98399999999999999</v>
      </c>
    </row>
    <row r="13" spans="1:48" x14ac:dyDescent="0.25">
      <c r="A13" s="128">
        <v>45162</v>
      </c>
      <c r="B13" s="126" t="s">
        <v>451</v>
      </c>
      <c r="C13" s="125" t="s">
        <v>452</v>
      </c>
      <c r="D13" s="125">
        <v>3</v>
      </c>
      <c r="E13" s="125">
        <v>0.98399999999999999</v>
      </c>
      <c r="F13" s="126" t="s">
        <v>117</v>
      </c>
      <c r="G13" s="125" t="s">
        <v>421</v>
      </c>
      <c r="H13" s="125" t="s">
        <v>133</v>
      </c>
      <c r="I13" s="125" t="s">
        <v>294</v>
      </c>
      <c r="J13" s="125" t="s">
        <v>251</v>
      </c>
      <c r="P13" s="125">
        <v>9</v>
      </c>
      <c r="Q13" s="126" t="s">
        <v>436</v>
      </c>
      <c r="R13" s="128">
        <v>45162</v>
      </c>
      <c r="S13" s="125" t="s">
        <v>719</v>
      </c>
      <c r="T13" s="126" t="s">
        <v>92</v>
      </c>
      <c r="U13" s="126" t="s">
        <v>117</v>
      </c>
      <c r="V13" s="126">
        <v>1.7</v>
      </c>
      <c r="W13" s="126" t="s">
        <v>179</v>
      </c>
      <c r="X13" s="125" t="s">
        <v>665</v>
      </c>
      <c r="Y13" s="126" t="s">
        <v>7</v>
      </c>
      <c r="Z13" s="125" t="s">
        <v>7</v>
      </c>
      <c r="AA13" s="125" t="s">
        <v>128</v>
      </c>
      <c r="AB13" s="125" t="s">
        <v>294</v>
      </c>
      <c r="AC13" t="s">
        <v>421</v>
      </c>
      <c r="AD13" s="125" t="s">
        <v>21</v>
      </c>
      <c r="AE13" s="126" t="s">
        <v>7</v>
      </c>
      <c r="AF13" s="126">
        <v>0.23300000000000001</v>
      </c>
    </row>
    <row r="14" spans="1:48" x14ac:dyDescent="0.25">
      <c r="A14" s="128">
        <v>45162</v>
      </c>
      <c r="B14" s="126" t="s">
        <v>465</v>
      </c>
      <c r="C14" s="125" t="s">
        <v>466</v>
      </c>
      <c r="D14" s="125">
        <v>3</v>
      </c>
      <c r="E14" s="125">
        <v>0.25800000000000001</v>
      </c>
      <c r="F14" s="126" t="s">
        <v>94</v>
      </c>
      <c r="G14" s="125" t="s">
        <v>421</v>
      </c>
      <c r="H14" s="125" t="s">
        <v>133</v>
      </c>
      <c r="I14" s="125" t="s">
        <v>250</v>
      </c>
      <c r="J14" s="125" t="s">
        <v>251</v>
      </c>
      <c r="P14" s="125">
        <v>8</v>
      </c>
      <c r="Q14" s="126" t="s">
        <v>432</v>
      </c>
      <c r="R14" s="128">
        <v>45161</v>
      </c>
      <c r="S14" s="125" t="s">
        <v>687</v>
      </c>
      <c r="T14" s="126" t="s">
        <v>771</v>
      </c>
      <c r="U14" s="126" t="s">
        <v>94</v>
      </c>
      <c r="V14" s="126">
        <v>5</v>
      </c>
      <c r="W14" s="126" t="s">
        <v>179</v>
      </c>
      <c r="X14" s="125" t="s">
        <v>667</v>
      </c>
      <c r="Y14" s="126" t="s">
        <v>666</v>
      </c>
      <c r="Z14" s="125" t="s">
        <v>691</v>
      </c>
      <c r="AA14" s="125" t="s">
        <v>43</v>
      </c>
      <c r="AB14" s="125" t="s">
        <v>773</v>
      </c>
      <c r="AC14" t="s">
        <v>420</v>
      </c>
      <c r="AD14" s="125" t="s">
        <v>13</v>
      </c>
      <c r="AE14" s="126" t="s">
        <v>267</v>
      </c>
      <c r="AF14" s="126">
        <v>5</v>
      </c>
    </row>
    <row r="15" spans="1:48" x14ac:dyDescent="0.25">
      <c r="A15" s="128">
        <v>45161</v>
      </c>
      <c r="B15" s="126" t="s">
        <v>432</v>
      </c>
      <c r="C15" s="125" t="s">
        <v>477</v>
      </c>
      <c r="D15" s="125">
        <v>3</v>
      </c>
      <c r="E15" s="125">
        <v>5</v>
      </c>
      <c r="F15" s="126" t="s">
        <v>94</v>
      </c>
      <c r="G15" s="125" t="s">
        <v>420</v>
      </c>
      <c r="H15" s="125" t="s">
        <v>158</v>
      </c>
      <c r="I15" s="125" t="s">
        <v>250</v>
      </c>
      <c r="J15" s="125" t="s">
        <v>251</v>
      </c>
      <c r="P15" s="125">
        <v>7</v>
      </c>
      <c r="Q15" s="126" t="s">
        <v>426</v>
      </c>
      <c r="R15" s="128">
        <v>45160</v>
      </c>
      <c r="S15" s="125" t="s">
        <v>685</v>
      </c>
      <c r="T15" s="126" t="s">
        <v>592</v>
      </c>
      <c r="U15" s="126" t="s">
        <v>94</v>
      </c>
      <c r="V15" s="126">
        <v>2</v>
      </c>
      <c r="W15" s="126" t="s">
        <v>179</v>
      </c>
      <c r="X15" s="125" t="s">
        <v>515</v>
      </c>
      <c r="Y15" s="126" t="s">
        <v>669</v>
      </c>
      <c r="Z15" s="125" t="s">
        <v>692</v>
      </c>
      <c r="AA15" s="125" t="s">
        <v>46</v>
      </c>
      <c r="AB15" s="125" t="s">
        <v>774</v>
      </c>
      <c r="AC15" t="s">
        <v>421</v>
      </c>
      <c r="AD15" s="125" t="s">
        <v>8</v>
      </c>
      <c r="AE15" s="126" t="s">
        <v>277</v>
      </c>
      <c r="AF15" s="126">
        <v>2</v>
      </c>
    </row>
    <row r="16" spans="1:48" x14ac:dyDescent="0.25">
      <c r="A16" s="128">
        <v>45160</v>
      </c>
      <c r="B16" s="126" t="s">
        <v>491</v>
      </c>
      <c r="C16" s="125" t="s">
        <v>492</v>
      </c>
      <c r="D16" s="125">
        <v>0.2</v>
      </c>
      <c r="E16" s="125">
        <v>7.3980000000000001E-3</v>
      </c>
      <c r="F16" s="126" t="s">
        <v>117</v>
      </c>
      <c r="G16" s="125" t="s">
        <v>420</v>
      </c>
      <c r="H16" s="125" t="s">
        <v>133</v>
      </c>
      <c r="I16" s="125" t="s">
        <v>294</v>
      </c>
      <c r="J16" s="125" t="s">
        <v>353</v>
      </c>
      <c r="P16" s="125">
        <v>6</v>
      </c>
      <c r="Q16" s="126" t="s">
        <v>429</v>
      </c>
      <c r="R16" s="128">
        <v>45160</v>
      </c>
      <c r="S16" s="125" t="s">
        <v>684</v>
      </c>
      <c r="T16" s="126" t="s">
        <v>92</v>
      </c>
      <c r="U16" s="126" t="s">
        <v>497</v>
      </c>
      <c r="V16" s="126">
        <v>130</v>
      </c>
      <c r="W16" s="126" t="s">
        <v>179</v>
      </c>
      <c r="X16" s="125" t="s">
        <v>508</v>
      </c>
      <c r="Y16" s="126" t="s">
        <v>671</v>
      </c>
      <c r="Z16" s="125" t="s">
        <v>693</v>
      </c>
      <c r="AA16" s="125" t="s">
        <v>129</v>
      </c>
      <c r="AB16" s="125" t="s">
        <v>7</v>
      </c>
      <c r="AC16" t="s">
        <v>422</v>
      </c>
      <c r="AD16" s="125" t="s">
        <v>17</v>
      </c>
      <c r="AE16" s="126" t="s">
        <v>277</v>
      </c>
      <c r="AF16" s="126">
        <v>0.91</v>
      </c>
    </row>
    <row r="17" spans="1:32" x14ac:dyDescent="0.25">
      <c r="A17" s="128">
        <v>45160</v>
      </c>
      <c r="B17" s="126" t="s">
        <v>426</v>
      </c>
      <c r="C17" s="125" t="s">
        <v>513</v>
      </c>
      <c r="D17" s="125">
        <v>3</v>
      </c>
      <c r="E17" s="125">
        <v>2</v>
      </c>
      <c r="F17" s="126" t="s">
        <v>94</v>
      </c>
      <c r="G17" s="125" t="s">
        <v>421</v>
      </c>
      <c r="H17" s="125" t="s">
        <v>158</v>
      </c>
      <c r="I17" s="125" t="s">
        <v>250</v>
      </c>
      <c r="J17" s="125" t="s">
        <v>251</v>
      </c>
      <c r="P17" s="125">
        <v>5</v>
      </c>
      <c r="Q17" s="126" t="s">
        <v>565</v>
      </c>
      <c r="R17" s="128">
        <v>45159</v>
      </c>
      <c r="S17" s="125" t="s">
        <v>681</v>
      </c>
      <c r="T17" s="126" t="s">
        <v>92</v>
      </c>
      <c r="U17" s="126" t="s">
        <v>117</v>
      </c>
      <c r="V17" s="126">
        <v>0.41</v>
      </c>
      <c r="W17" s="126" t="s">
        <v>672</v>
      </c>
      <c r="X17" s="125" t="s">
        <v>673</v>
      </c>
      <c r="Y17" s="126" t="s">
        <v>7</v>
      </c>
      <c r="Z17" s="125" t="s">
        <v>7</v>
      </c>
      <c r="AA17" s="125" t="s">
        <v>46</v>
      </c>
      <c r="AB17" s="125" t="s">
        <v>294</v>
      </c>
      <c r="AC17" t="s">
        <v>423</v>
      </c>
      <c r="AD17" s="125" t="s">
        <v>18</v>
      </c>
      <c r="AE17" s="126" t="s">
        <v>7</v>
      </c>
      <c r="AF17" s="126">
        <v>5.6000000000000001E-2</v>
      </c>
    </row>
    <row r="18" spans="1:32" x14ac:dyDescent="0.25">
      <c r="A18" s="128">
        <v>45159</v>
      </c>
      <c r="B18" s="126" t="s">
        <v>527</v>
      </c>
      <c r="C18" s="125" t="s">
        <v>528</v>
      </c>
      <c r="D18" s="125">
        <v>3</v>
      </c>
      <c r="E18" s="125">
        <v>0.03</v>
      </c>
      <c r="F18" s="126" t="s">
        <v>94</v>
      </c>
      <c r="G18" s="125" t="s">
        <v>420</v>
      </c>
      <c r="H18" s="125" t="s">
        <v>133</v>
      </c>
      <c r="I18" s="125" t="s">
        <v>250</v>
      </c>
      <c r="J18" s="125" t="s">
        <v>251</v>
      </c>
      <c r="P18" s="125">
        <v>4</v>
      </c>
      <c r="Q18" s="126" t="s">
        <v>579</v>
      </c>
      <c r="R18" s="128">
        <v>45159</v>
      </c>
      <c r="S18" s="125" t="s">
        <v>681</v>
      </c>
      <c r="T18" s="126" t="s">
        <v>92</v>
      </c>
      <c r="U18" s="126" t="s">
        <v>94</v>
      </c>
      <c r="V18" s="126">
        <v>0.05</v>
      </c>
      <c r="W18" s="126" t="s">
        <v>672</v>
      </c>
      <c r="X18" s="125" t="s">
        <v>673</v>
      </c>
      <c r="Y18" s="126" t="s">
        <v>7</v>
      </c>
      <c r="Z18" s="125" t="s">
        <v>7</v>
      </c>
      <c r="AA18" s="125" t="s">
        <v>46</v>
      </c>
      <c r="AB18" s="125" t="s">
        <v>7</v>
      </c>
      <c r="AC18" t="s">
        <v>423</v>
      </c>
      <c r="AD18" s="125" t="s">
        <v>18</v>
      </c>
      <c r="AE18" s="126" t="s">
        <v>7</v>
      </c>
      <c r="AF18" s="126">
        <v>0.05</v>
      </c>
    </row>
    <row r="19" spans="1:32" x14ac:dyDescent="0.25">
      <c r="A19" s="128">
        <v>45159</v>
      </c>
      <c r="B19" s="126" t="s">
        <v>535</v>
      </c>
      <c r="C19" s="125" t="s">
        <v>536</v>
      </c>
      <c r="D19" s="125">
        <v>3</v>
      </c>
      <c r="E19" s="125">
        <v>1.3</v>
      </c>
      <c r="F19" s="126" t="s">
        <v>94</v>
      </c>
      <c r="G19" s="125" t="s">
        <v>422</v>
      </c>
      <c r="H19" s="125" t="s">
        <v>133</v>
      </c>
      <c r="I19" s="125" t="s">
        <v>250</v>
      </c>
      <c r="J19" s="125" t="s">
        <v>251</v>
      </c>
      <c r="P19" s="125">
        <v>3</v>
      </c>
      <c r="Q19" s="126" t="s">
        <v>577</v>
      </c>
      <c r="R19" s="128">
        <v>45159</v>
      </c>
      <c r="S19" s="125" t="s">
        <v>681</v>
      </c>
      <c r="T19" s="126" t="s">
        <v>92</v>
      </c>
      <c r="U19" s="126" t="s">
        <v>120</v>
      </c>
      <c r="V19" s="126">
        <v>1.915</v>
      </c>
      <c r="W19" s="126" t="s">
        <v>672</v>
      </c>
      <c r="X19" s="125" t="s">
        <v>673</v>
      </c>
      <c r="Y19" s="126" t="s">
        <v>7</v>
      </c>
      <c r="Z19" s="125" t="s">
        <v>7</v>
      </c>
      <c r="AA19" s="125" t="s">
        <v>46</v>
      </c>
      <c r="AB19" s="125" t="s">
        <v>7</v>
      </c>
      <c r="AC19" t="s">
        <v>423</v>
      </c>
      <c r="AD19" s="125" t="s">
        <v>18</v>
      </c>
      <c r="AE19" s="126" t="s">
        <v>7</v>
      </c>
      <c r="AF19" s="126">
        <v>0.245</v>
      </c>
    </row>
    <row r="20" spans="1:32" x14ac:dyDescent="0.25">
      <c r="A20" s="128">
        <v>45159</v>
      </c>
      <c r="B20" s="126" t="s">
        <v>579</v>
      </c>
      <c r="C20" s="125" t="s">
        <v>566</v>
      </c>
      <c r="D20" s="125">
        <v>1</v>
      </c>
      <c r="E20" s="125">
        <v>0.05</v>
      </c>
      <c r="F20" s="126" t="s">
        <v>94</v>
      </c>
      <c r="G20" s="125" t="s">
        <v>423</v>
      </c>
      <c r="H20" s="125" t="s">
        <v>133</v>
      </c>
      <c r="I20" s="125" t="s">
        <v>250</v>
      </c>
      <c r="J20" s="125" t="s">
        <v>353</v>
      </c>
      <c r="P20" s="125">
        <v>2</v>
      </c>
      <c r="Q20" s="126" t="s">
        <v>550</v>
      </c>
      <c r="R20" s="128">
        <v>45159</v>
      </c>
      <c r="S20" s="125" t="s">
        <v>679</v>
      </c>
      <c r="T20" s="126" t="s">
        <v>92</v>
      </c>
      <c r="U20" s="126" t="s">
        <v>497</v>
      </c>
      <c r="V20" s="126">
        <v>167.2</v>
      </c>
      <c r="W20" s="126" t="s">
        <v>179</v>
      </c>
      <c r="X20" s="125" t="s">
        <v>552</v>
      </c>
      <c r="Y20" s="126" t="s">
        <v>671</v>
      </c>
      <c r="Z20" s="125" t="s">
        <v>694</v>
      </c>
      <c r="AA20" s="125" t="s">
        <v>129</v>
      </c>
      <c r="AB20" s="125" t="s">
        <v>7</v>
      </c>
      <c r="AC20" t="s">
        <v>421</v>
      </c>
      <c r="AD20" s="125" t="s">
        <v>17</v>
      </c>
      <c r="AE20" s="126" t="s">
        <v>7</v>
      </c>
      <c r="AF20" s="126">
        <v>1.17</v>
      </c>
    </row>
    <row r="21" spans="1:32" x14ac:dyDescent="0.25">
      <c r="A21" s="128">
        <v>45159</v>
      </c>
      <c r="B21" s="126" t="s">
        <v>565</v>
      </c>
      <c r="C21" s="125" t="s">
        <v>566</v>
      </c>
      <c r="D21" s="125">
        <v>1</v>
      </c>
      <c r="E21" s="125">
        <v>5.6000000000000001E-2</v>
      </c>
      <c r="F21" s="126" t="s">
        <v>117</v>
      </c>
      <c r="G21" s="125" t="s">
        <v>423</v>
      </c>
      <c r="H21" s="125" t="s">
        <v>133</v>
      </c>
      <c r="I21" s="125" t="s">
        <v>294</v>
      </c>
      <c r="J21" s="125" t="s">
        <v>353</v>
      </c>
      <c r="P21" s="125">
        <v>1</v>
      </c>
      <c r="Q21" s="126" t="s">
        <v>535</v>
      </c>
      <c r="R21" s="128">
        <v>45159</v>
      </c>
      <c r="S21" s="125" t="s">
        <v>677</v>
      </c>
      <c r="T21" s="126" t="s">
        <v>92</v>
      </c>
      <c r="U21" s="126" t="s">
        <v>94</v>
      </c>
      <c r="V21" s="126">
        <v>1.3</v>
      </c>
      <c r="W21" s="126" t="s">
        <v>179</v>
      </c>
      <c r="X21" s="125" t="s">
        <v>357</v>
      </c>
      <c r="Y21" s="126" t="s">
        <v>675</v>
      </c>
      <c r="Z21" s="125" t="s">
        <v>693</v>
      </c>
      <c r="AA21" s="125" t="s">
        <v>46</v>
      </c>
      <c r="AB21" s="125" t="s">
        <v>7</v>
      </c>
      <c r="AC21" t="s">
        <v>422</v>
      </c>
      <c r="AD21" s="125" t="s">
        <v>10</v>
      </c>
      <c r="AE21" s="126" t="s">
        <v>7</v>
      </c>
      <c r="AF21" s="126">
        <v>1.3</v>
      </c>
    </row>
    <row r="54" spans="15:15" x14ac:dyDescent="0.25">
      <c r="O54"/>
    </row>
  </sheetData>
  <phoneticPr fontId="14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6"/>
  <sheetViews>
    <sheetView zoomScale="85" zoomScaleNormal="85" workbookViewId="0">
      <selection activeCell="E23" sqref="E23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5" t="s">
        <v>163</v>
      </c>
      <c r="B1" s="7"/>
      <c r="C1" s="7"/>
      <c r="D1" s="7"/>
      <c r="E1" s="6"/>
      <c r="F1" s="6"/>
      <c r="G1" s="6"/>
    </row>
    <row r="2" spans="1:7" ht="60.75" customHeight="1" x14ac:dyDescent="0.25">
      <c r="A2" s="20"/>
    </row>
    <row r="3" spans="1:7" ht="57" customHeight="1" x14ac:dyDescent="0.25">
      <c r="A3" s="7" t="s">
        <v>93</v>
      </c>
      <c r="E3" s="21"/>
      <c r="F3" s="21"/>
      <c r="G3" s="21"/>
    </row>
    <row r="4" spans="1:7" x14ac:dyDescent="0.25">
      <c r="A4" t="s">
        <v>95</v>
      </c>
      <c r="B4" t="s">
        <v>268</v>
      </c>
      <c r="C4" t="s">
        <v>72</v>
      </c>
      <c r="D4" t="s">
        <v>195</v>
      </c>
      <c r="E4" t="s">
        <v>162</v>
      </c>
      <c r="F4" t="s">
        <v>287</v>
      </c>
    </row>
    <row r="5" spans="1:7" x14ac:dyDescent="0.25">
      <c r="A5">
        <v>8</v>
      </c>
      <c r="B5" t="s">
        <v>420</v>
      </c>
      <c r="C5" t="s">
        <v>94</v>
      </c>
      <c r="D5" t="s">
        <v>687</v>
      </c>
      <c r="E5" t="s">
        <v>776</v>
      </c>
      <c r="F5" s="63" t="s">
        <v>7</v>
      </c>
    </row>
    <row r="8" spans="1:7" ht="46.5" x14ac:dyDescent="0.25">
      <c r="A8" s="7" t="s">
        <v>117</v>
      </c>
      <c r="E8" s="21"/>
      <c r="F8" s="21"/>
      <c r="G8" s="21"/>
    </row>
    <row r="9" spans="1:7" x14ac:dyDescent="0.25">
      <c r="A9" s="63" t="s">
        <v>95</v>
      </c>
      <c r="B9" t="s">
        <v>268</v>
      </c>
      <c r="C9" s="63" t="s">
        <v>72</v>
      </c>
      <c r="D9" s="63" t="s">
        <v>195</v>
      </c>
      <c r="E9" s="63" t="s">
        <v>162</v>
      </c>
      <c r="F9" s="63" t="s">
        <v>287</v>
      </c>
    </row>
    <row r="10" spans="1:7" x14ac:dyDescent="0.25">
      <c r="A10" s="63">
        <v>12</v>
      </c>
      <c r="B10" t="s">
        <v>421</v>
      </c>
      <c r="C10" s="63" t="s">
        <v>117</v>
      </c>
      <c r="D10" s="63" t="s">
        <v>717</v>
      </c>
      <c r="E10" s="63" t="s">
        <v>720</v>
      </c>
      <c r="F10" s="124" t="s">
        <v>7</v>
      </c>
    </row>
    <row r="11" spans="1:7" x14ac:dyDescent="0.25">
      <c r="A11" s="63">
        <v>10</v>
      </c>
      <c r="B11" t="s">
        <v>421</v>
      </c>
      <c r="C11" s="63" t="s">
        <v>117</v>
      </c>
      <c r="D11" s="63" t="s">
        <v>718</v>
      </c>
      <c r="E11" s="63" t="s">
        <v>764</v>
      </c>
      <c r="F11" s="124" t="s">
        <v>7</v>
      </c>
    </row>
    <row r="12" spans="1:7" x14ac:dyDescent="0.25">
      <c r="A12" s="63">
        <v>9</v>
      </c>
      <c r="B12" t="s">
        <v>421</v>
      </c>
      <c r="C12" s="63" t="s">
        <v>117</v>
      </c>
      <c r="D12" s="63" t="s">
        <v>719</v>
      </c>
      <c r="E12" s="63" t="s">
        <v>765</v>
      </c>
      <c r="F12" s="124" t="s">
        <v>7</v>
      </c>
    </row>
    <row r="13" spans="1:7" x14ac:dyDescent="0.25">
      <c r="A13" s="63">
        <v>5</v>
      </c>
      <c r="B13" t="s">
        <v>423</v>
      </c>
      <c r="C13" s="63" t="s">
        <v>117</v>
      </c>
      <c r="D13" s="63" t="s">
        <v>681</v>
      </c>
      <c r="E13" s="63" t="s">
        <v>695</v>
      </c>
      <c r="F13" s="124" t="s">
        <v>7</v>
      </c>
    </row>
    <row r="17" spans="1:6" ht="46.5" x14ac:dyDescent="0.25">
      <c r="A17" s="7" t="s">
        <v>245</v>
      </c>
    </row>
    <row r="18" spans="1:6" x14ac:dyDescent="0.25">
      <c r="A18" t="s">
        <v>95</v>
      </c>
      <c r="B18" t="s">
        <v>268</v>
      </c>
      <c r="C18" t="s">
        <v>72</v>
      </c>
      <c r="D18" t="s">
        <v>195</v>
      </c>
      <c r="E18" t="s">
        <v>162</v>
      </c>
      <c r="F18" t="s">
        <v>287</v>
      </c>
    </row>
    <row r="19" spans="1:6" x14ac:dyDescent="0.25">
      <c r="A19" s="123">
        <v>1</v>
      </c>
      <c r="B19" t="s">
        <v>422</v>
      </c>
      <c r="C19" s="123" t="s">
        <v>94</v>
      </c>
      <c r="D19" s="123" t="s">
        <v>677</v>
      </c>
      <c r="E19" s="63" t="s">
        <v>678</v>
      </c>
      <c r="F19" s="124" t="s">
        <v>7</v>
      </c>
    </row>
    <row r="20" spans="1:6" x14ac:dyDescent="0.25">
      <c r="A20" s="123">
        <v>2</v>
      </c>
      <c r="B20" t="s">
        <v>421</v>
      </c>
      <c r="C20" s="123" t="s">
        <v>497</v>
      </c>
      <c r="D20" s="123" t="s">
        <v>679</v>
      </c>
      <c r="E20" s="63" t="s">
        <v>680</v>
      </c>
      <c r="F20" s="124" t="s">
        <v>7</v>
      </c>
    </row>
    <row r="21" spans="1:6" x14ac:dyDescent="0.25">
      <c r="A21" s="123">
        <v>3</v>
      </c>
      <c r="B21" t="s">
        <v>423</v>
      </c>
      <c r="C21" s="123" t="s">
        <v>120</v>
      </c>
      <c r="D21" s="123" t="s">
        <v>681</v>
      </c>
      <c r="E21" s="63" t="s">
        <v>682</v>
      </c>
      <c r="F21" s="124" t="s">
        <v>7</v>
      </c>
    </row>
    <row r="22" spans="1:6" x14ac:dyDescent="0.25">
      <c r="A22" s="123">
        <v>4</v>
      </c>
      <c r="B22" t="s">
        <v>423</v>
      </c>
      <c r="C22" s="123" t="s">
        <v>94</v>
      </c>
      <c r="D22" s="123" t="s">
        <v>681</v>
      </c>
      <c r="E22" s="63" t="s">
        <v>683</v>
      </c>
      <c r="F22" s="124" t="s">
        <v>7</v>
      </c>
    </row>
    <row r="23" spans="1:6" ht="30" x14ac:dyDescent="0.25">
      <c r="A23" s="123">
        <v>6</v>
      </c>
      <c r="B23" t="s">
        <v>422</v>
      </c>
      <c r="C23" s="123" t="s">
        <v>497</v>
      </c>
      <c r="D23" s="123" t="s">
        <v>684</v>
      </c>
      <c r="E23" s="63" t="s">
        <v>766</v>
      </c>
      <c r="F23" s="124" t="s">
        <v>7</v>
      </c>
    </row>
    <row r="24" spans="1:6" x14ac:dyDescent="0.25">
      <c r="A24" s="123">
        <v>7</v>
      </c>
      <c r="B24" t="s">
        <v>421</v>
      </c>
      <c r="C24" s="123" t="s">
        <v>94</v>
      </c>
      <c r="D24" s="123" t="s">
        <v>685</v>
      </c>
      <c r="E24" s="63" t="s">
        <v>686</v>
      </c>
      <c r="F24" s="124" t="s">
        <v>7</v>
      </c>
    </row>
    <row r="25" spans="1:6" x14ac:dyDescent="0.25">
      <c r="A25" s="123">
        <v>11</v>
      </c>
      <c r="B25" t="s">
        <v>421</v>
      </c>
      <c r="C25" s="123" t="s">
        <v>94</v>
      </c>
      <c r="D25" s="123" t="s">
        <v>659</v>
      </c>
      <c r="E25" s="63" t="s">
        <v>767</v>
      </c>
      <c r="F25" s="124" t="s">
        <v>7</v>
      </c>
    </row>
    <row r="26" spans="1:6" x14ac:dyDescent="0.25">
      <c r="A26" s="123">
        <v>13</v>
      </c>
      <c r="B26" t="s">
        <v>421</v>
      </c>
      <c r="C26" s="123" t="s">
        <v>94</v>
      </c>
      <c r="D26" s="123" t="s">
        <v>762</v>
      </c>
      <c r="E26" s="63" t="s">
        <v>768</v>
      </c>
      <c r="F26" s="124" t="s">
        <v>7</v>
      </c>
    </row>
  </sheetData>
  <phoneticPr fontId="14" type="noConversion"/>
  <conditionalFormatting sqref="G9:G11 E4:E5 E9:E13 E18:E26">
    <cfRule type="containsText" dxfId="134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D3" sqref="D3:D8"/>
    </sheetView>
  </sheetViews>
  <sheetFormatPr defaultColWidth="8.88671875" defaultRowHeight="28.5" customHeight="1" x14ac:dyDescent="0.25"/>
  <cols>
    <col min="1" max="1" width="4.88671875" style="32" bestFit="1" customWidth="1"/>
    <col min="2" max="2" width="6.77734375" style="32" bestFit="1" customWidth="1"/>
    <col min="3" max="3" width="25" style="32" bestFit="1" customWidth="1"/>
    <col min="4" max="4" width="8.33203125" style="32" bestFit="1" customWidth="1"/>
    <col min="5" max="5" width="6.44140625" style="32" bestFit="1" customWidth="1"/>
    <col min="6" max="7" width="6.6640625" style="32" bestFit="1" customWidth="1"/>
    <col min="8" max="8" width="7.33203125" style="32" bestFit="1" customWidth="1"/>
    <col min="9" max="9" width="9.21875" style="32" bestFit="1" customWidth="1"/>
    <col min="10" max="10" width="15.77734375" style="32" hidden="1" customWidth="1"/>
    <col min="11" max="11" width="10.6640625" style="32" hidden="1" customWidth="1"/>
    <col min="12" max="12" width="7.21875" style="32" hidden="1" customWidth="1"/>
    <col min="13" max="13" width="6" style="32" hidden="1" customWidth="1"/>
    <col min="14" max="14" width="11" style="32" hidden="1" customWidth="1"/>
    <col min="15" max="15" width="28.44140625" style="32" bestFit="1" customWidth="1" collapsed="1"/>
    <col min="16" max="16" width="6.5546875" style="32" customWidth="1"/>
    <col min="17" max="17" width="6.77734375" style="32" customWidth="1"/>
    <col min="18" max="18" width="28.109375" style="32" bestFit="1" customWidth="1"/>
    <col min="19" max="19" width="12.6640625" style="32" bestFit="1" customWidth="1"/>
    <col min="20" max="22" width="7.6640625" style="32" customWidth="1"/>
    <col min="23" max="23" width="6.109375" style="32" bestFit="1" customWidth="1"/>
    <col min="24" max="24" width="9.44140625" style="32" bestFit="1" customWidth="1"/>
    <col min="25" max="25" width="35.109375" style="32" bestFit="1" customWidth="1"/>
    <col min="26" max="16384" width="8.88671875" style="32"/>
  </cols>
  <sheetData>
    <row r="1" spans="1:22" ht="59.25" customHeight="1" x14ac:dyDescent="0.25">
      <c r="A1" s="38" t="s">
        <v>138</v>
      </c>
      <c r="I1" s="104" t="s">
        <v>183</v>
      </c>
    </row>
    <row r="2" spans="1:22" ht="15" x14ac:dyDescent="0.25">
      <c r="B2" s="33" t="s">
        <v>95</v>
      </c>
      <c r="C2" s="33" t="s">
        <v>183</v>
      </c>
      <c r="D2" s="33" t="s">
        <v>184</v>
      </c>
      <c r="E2" s="33" t="s">
        <v>185</v>
      </c>
      <c r="F2" s="33" t="s">
        <v>186</v>
      </c>
      <c r="G2" s="33" t="s">
        <v>187</v>
      </c>
    </row>
    <row r="3" spans="1:22" ht="15" x14ac:dyDescent="0.25">
      <c r="B3" s="33">
        <v>4</v>
      </c>
      <c r="C3" s="34" t="s">
        <v>372</v>
      </c>
      <c r="D3" s="52">
        <f>IFERROR(INDEX(ECON[Date],MATCH(input_econ[[#This Row],[上周主要经济数据]],ECON[上周主要经济数据],0)),"")</f>
        <v>45161</v>
      </c>
      <c r="E3" s="36">
        <f>IFERROR(INDEX(ECON[Prior],MATCH(input_econ[[#This Row],[上周主要经济数据]],ECON[上周主要经济数据],0)),"")</f>
        <v>-8.0000000000000002E-3</v>
      </c>
      <c r="F3" s="36" t="str">
        <f>IFERROR(INDEX(ECON[Survey],MATCH(input_econ[[#This Row],[上周主要经济数据]],ECON[上周主要经济数据],0)),"")</f>
        <v>--</v>
      </c>
      <c r="G3" s="36">
        <f>IFERROR(INDEX(ECON[Actual],MATCH(input_econ[[#This Row],[上周主要经济数据]],ECON[上周主要经济数据],0)),"")</f>
        <v>-4.2000000000000003E-2</v>
      </c>
    </row>
    <row r="4" spans="1:22" ht="15" x14ac:dyDescent="0.25">
      <c r="B4" s="33">
        <v>3</v>
      </c>
      <c r="C4" s="34" t="s">
        <v>377</v>
      </c>
      <c r="D4" s="52">
        <f>IFERROR(INDEX(ECON[Date],MATCH(input_econ[[#This Row],[上周主要经济数据]],ECON[上周主要经济数据],0)),"")</f>
        <v>45161</v>
      </c>
      <c r="E4" s="36">
        <f>IFERROR(INDEX(ECON[Prior],MATCH(input_econ[[#This Row],[上周主要经济数据]],ECON[上周主要经济数据],0)),"")</f>
        <v>42.7</v>
      </c>
      <c r="F4" s="36">
        <f>IFERROR(INDEX(ECON[Survey],MATCH(input_econ[[#This Row],[上周主要经济数据]],ECON[上周主要经济数据],0)),"")</f>
        <v>42.7</v>
      </c>
      <c r="G4" s="36">
        <f>IFERROR(INDEX(ECON[Actual],MATCH(input_econ[[#This Row],[上周主要经济数据]],ECON[上周主要经济数据],0)),"")</f>
        <v>43.7</v>
      </c>
    </row>
    <row r="5" spans="1:22" ht="15" x14ac:dyDescent="0.25">
      <c r="B5" s="33">
        <v>2</v>
      </c>
      <c r="C5" s="34" t="s">
        <v>399</v>
      </c>
      <c r="D5" s="52">
        <f>IFERROR(INDEX(ECON[Date],MATCH(input_econ[[#This Row],[上周主要经济数据]],ECON[上周主要经济数据],0)),"")</f>
        <v>45161</v>
      </c>
      <c r="E5" s="36">
        <f>IFERROR(INDEX(ECON[Prior],MATCH(input_econ[[#This Row],[上周主要经济数据]],ECON[上周主要经济数据],0)),"")</f>
        <v>49</v>
      </c>
      <c r="F5" s="36">
        <f>IFERROR(INDEX(ECON[Survey],MATCH(input_econ[[#This Row],[上周主要经济数据]],ECON[上周主要经济数据],0)),"")</f>
        <v>49</v>
      </c>
      <c r="G5" s="36">
        <f>IFERROR(INDEX(ECON[Actual],MATCH(input_econ[[#This Row],[上周主要经济数据]],ECON[上周主要经济数据],0)),"")</f>
        <v>47</v>
      </c>
    </row>
    <row r="6" spans="1:22" ht="15" x14ac:dyDescent="0.25">
      <c r="B6" s="33">
        <v>5</v>
      </c>
      <c r="C6" s="34" t="s">
        <v>368</v>
      </c>
      <c r="D6" s="52">
        <f>IFERROR(INDEX(ECON[Date],MATCH(input_econ[[#This Row],[上周主要经济数据]],ECON[上周主要经济数据],0)),"")</f>
        <v>45162</v>
      </c>
      <c r="E6" s="36" t="str">
        <f>IFERROR(INDEX(ECON[Prior],MATCH(input_econ[[#This Row],[上周主要经济数据]],ECON[上周主要经济数据],0)),"")</f>
        <v>239k</v>
      </c>
      <c r="F6" s="36" t="str">
        <f>IFERROR(INDEX(ECON[Survey],MATCH(input_econ[[#This Row],[上周主要经济数据]],ECON[上周主要经济数据],0)),"")</f>
        <v>240k</v>
      </c>
      <c r="G6" s="36" t="str">
        <f>IFERROR(INDEX(ECON[Actual],MATCH(input_econ[[#This Row],[上周主要经济数据]],ECON[上周主要经济数据],0)),"")</f>
        <v>230k</v>
      </c>
    </row>
    <row r="7" spans="1:22" ht="15" x14ac:dyDescent="0.25">
      <c r="B7" s="33">
        <v>6</v>
      </c>
      <c r="C7" s="34" t="s">
        <v>395</v>
      </c>
      <c r="D7" s="52">
        <f>IFERROR(INDEX(ECON[Date],MATCH(input_econ[[#This Row],[上周主要经济数据]],ECON[上周主要经济数据],0)),"")</f>
        <v>45162</v>
      </c>
      <c r="E7" s="36">
        <f>IFERROR(INDEX(ECON[Prior],MATCH(input_econ[[#This Row],[上周主要经济数据]],ECON[上周主要经济数据],0)),"")</f>
        <v>4.5999999999999999E-2</v>
      </c>
      <c r="F7" s="36">
        <f>IFERROR(INDEX(ECON[Survey],MATCH(input_econ[[#This Row],[上周主要经济数据]],ECON[上周主要经济数据],0)),"")</f>
        <v>-0.04</v>
      </c>
      <c r="G7" s="36">
        <f>IFERROR(INDEX(ECON[Actual],MATCH(input_econ[[#This Row],[上周主要经济数据]],ECON[上周主要经济数据],0)),"")</f>
        <v>-5.1999999999999998E-2</v>
      </c>
    </row>
    <row r="8" spans="1:22" ht="15" x14ac:dyDescent="0.25">
      <c r="B8" s="33">
        <v>1</v>
      </c>
      <c r="C8" s="34" t="s">
        <v>391</v>
      </c>
      <c r="D8" s="52">
        <f>IFERROR(INDEX(ECON[Date],MATCH(input_econ[[#This Row],[上周主要经济数据]],ECON[上周主要经济数据],0)),"")</f>
        <v>45163</v>
      </c>
      <c r="E8" s="36">
        <f>IFERROR(INDEX(ECON[Prior],MATCH(input_econ[[#This Row],[上周主要经济数据]],ECON[上周主要经济数据],0)),"")</f>
        <v>71.2</v>
      </c>
      <c r="F8" s="36">
        <f>IFERROR(INDEX(ECON[Survey],MATCH(input_econ[[#This Row],[上周主要经济数据]],ECON[上周主要经济数据],0)),"")</f>
        <v>71.2</v>
      </c>
      <c r="G8" s="36">
        <f>IFERROR(INDEX(ECON[Actual],MATCH(input_econ[[#This Row],[上周主要经济数据]],ECON[上周主要经济数据],0)),"")</f>
        <v>69.5</v>
      </c>
    </row>
    <row r="9" spans="1:22" ht="15" x14ac:dyDescent="0.25">
      <c r="Q9" s="35"/>
      <c r="R9" s="35"/>
      <c r="S9" s="35"/>
      <c r="T9" s="35"/>
      <c r="U9" s="35"/>
      <c r="V9" s="35"/>
    </row>
    <row r="10" spans="1:22" ht="15" x14ac:dyDescent="0.25">
      <c r="Q10" s="35"/>
      <c r="R10" s="35"/>
      <c r="S10" s="35"/>
      <c r="T10" s="35"/>
      <c r="U10" s="35"/>
      <c r="V10" s="35"/>
    </row>
    <row r="11" spans="1:22" ht="15" x14ac:dyDescent="0.25">
      <c r="Q11" s="35"/>
      <c r="R11" s="35"/>
      <c r="S11" s="35"/>
      <c r="T11" s="35"/>
      <c r="U11" s="35"/>
      <c r="V11" s="35"/>
    </row>
    <row r="12" spans="1:22" ht="15" x14ac:dyDescent="0.25">
      <c r="A12" s="33" t="s">
        <v>139</v>
      </c>
      <c r="B12" s="34" t="s">
        <v>188</v>
      </c>
      <c r="C12" s="34" t="s">
        <v>140</v>
      </c>
      <c r="D12" s="34" t="s">
        <v>189</v>
      </c>
      <c r="E12" s="34" t="s">
        <v>141</v>
      </c>
      <c r="F12" s="34" t="s">
        <v>142</v>
      </c>
      <c r="G12" s="34" t="s">
        <v>143</v>
      </c>
      <c r="H12" s="34" t="s">
        <v>144</v>
      </c>
      <c r="I12" s="34" t="s">
        <v>145</v>
      </c>
      <c r="J12" s="34" t="s">
        <v>146</v>
      </c>
      <c r="K12" s="34" t="s">
        <v>147</v>
      </c>
      <c r="L12" s="34" t="s">
        <v>190</v>
      </c>
      <c r="M12" s="34" t="s">
        <v>192</v>
      </c>
      <c r="N12" s="34" t="s">
        <v>193</v>
      </c>
      <c r="O12" s="34" t="s">
        <v>183</v>
      </c>
      <c r="Q12" s="35"/>
      <c r="R12" s="35"/>
      <c r="S12" s="35"/>
      <c r="T12" s="35"/>
      <c r="U12" s="35"/>
      <c r="V12" s="35"/>
    </row>
    <row r="13" spans="1:22" ht="15" x14ac:dyDescent="0.25">
      <c r="A13" s="97">
        <v>45162</v>
      </c>
      <c r="B13" s="34" t="s">
        <v>362</v>
      </c>
      <c r="C13" s="34" t="s">
        <v>363</v>
      </c>
      <c r="D13" s="34" t="s">
        <v>387</v>
      </c>
      <c r="E13" s="34" t="s">
        <v>364</v>
      </c>
      <c r="F13" s="34" t="s">
        <v>598</v>
      </c>
      <c r="G13" s="34" t="s">
        <v>365</v>
      </c>
      <c r="H13" s="34" t="s">
        <v>364</v>
      </c>
      <c r="I13" s="34">
        <v>98</v>
      </c>
      <c r="J13" s="34" t="s">
        <v>366</v>
      </c>
      <c r="K13" s="98">
        <v>0.85416666666666663</v>
      </c>
      <c r="L13" s="34" t="s">
        <v>138</v>
      </c>
      <c r="M13" s="34" t="s">
        <v>103</v>
      </c>
      <c r="N13" s="34" t="s">
        <v>367</v>
      </c>
      <c r="O13" s="34" t="s">
        <v>368</v>
      </c>
      <c r="Q13" s="35"/>
      <c r="R13" s="35"/>
      <c r="S13" s="35"/>
      <c r="T13" s="35"/>
      <c r="U13" s="35"/>
      <c r="V13" s="35"/>
    </row>
    <row r="14" spans="1:22" ht="15" x14ac:dyDescent="0.25">
      <c r="A14" s="97">
        <v>45163</v>
      </c>
      <c r="B14" s="34" t="s">
        <v>362</v>
      </c>
      <c r="C14" s="34" t="s">
        <v>388</v>
      </c>
      <c r="D14" s="34" t="s">
        <v>389</v>
      </c>
      <c r="E14" s="34">
        <v>71.2</v>
      </c>
      <c r="F14" s="34">
        <v>69.5</v>
      </c>
      <c r="G14" s="34">
        <v>71.2</v>
      </c>
      <c r="H14" s="34" t="s">
        <v>7</v>
      </c>
      <c r="I14" s="34">
        <v>95</v>
      </c>
      <c r="J14" s="34" t="s">
        <v>390</v>
      </c>
      <c r="K14" s="98">
        <v>0.91666666666666663</v>
      </c>
      <c r="L14" s="34" t="s">
        <v>138</v>
      </c>
      <c r="M14" s="34" t="s">
        <v>293</v>
      </c>
      <c r="N14" s="34" t="s">
        <v>373</v>
      </c>
      <c r="O14" s="34" t="s">
        <v>391</v>
      </c>
      <c r="Q14" s="35"/>
      <c r="R14" s="35"/>
      <c r="S14" s="35"/>
      <c r="T14" s="35"/>
      <c r="U14" s="35"/>
      <c r="V14" s="35"/>
    </row>
    <row r="15" spans="1:22" ht="15" x14ac:dyDescent="0.25">
      <c r="A15" s="97">
        <v>45161</v>
      </c>
      <c r="B15" s="34" t="s">
        <v>362</v>
      </c>
      <c r="C15" s="34" t="s">
        <v>370</v>
      </c>
      <c r="D15" s="34" t="s">
        <v>396</v>
      </c>
      <c r="E15" s="34" t="s">
        <v>7</v>
      </c>
      <c r="F15" s="34">
        <v>-4.2000000000000003E-2</v>
      </c>
      <c r="G15" s="34">
        <v>-8.0000000000000002E-3</v>
      </c>
      <c r="H15" s="34" t="s">
        <v>7</v>
      </c>
      <c r="I15" s="34">
        <v>91</v>
      </c>
      <c r="J15" s="34" t="s">
        <v>371</v>
      </c>
      <c r="K15" s="98">
        <v>0.79166666666666663</v>
      </c>
      <c r="L15" s="34" t="s">
        <v>138</v>
      </c>
      <c r="M15" s="34" t="s">
        <v>103</v>
      </c>
      <c r="N15" s="34" t="s">
        <v>367</v>
      </c>
      <c r="O15" s="34" t="s">
        <v>372</v>
      </c>
      <c r="Q15" s="35"/>
      <c r="R15" s="35"/>
      <c r="S15" s="35"/>
      <c r="T15" s="35"/>
      <c r="U15" s="35"/>
      <c r="V15" s="35"/>
    </row>
    <row r="16" spans="1:22" ht="15" x14ac:dyDescent="0.25">
      <c r="A16" s="97">
        <v>45162</v>
      </c>
      <c r="B16" s="34" t="s">
        <v>362</v>
      </c>
      <c r="C16" s="34" t="s">
        <v>392</v>
      </c>
      <c r="D16" s="34" t="s">
        <v>393</v>
      </c>
      <c r="E16" s="34">
        <v>-0.04</v>
      </c>
      <c r="F16" s="34">
        <v>-5.1999999999999998E-2</v>
      </c>
      <c r="G16" s="34">
        <v>4.5999999999999999E-2</v>
      </c>
      <c r="H16" s="34">
        <v>4.3999999999999997E-2</v>
      </c>
      <c r="I16" s="34">
        <v>91</v>
      </c>
      <c r="J16" s="34" t="s">
        <v>394</v>
      </c>
      <c r="K16" s="98">
        <v>0.85416666666666663</v>
      </c>
      <c r="L16" s="34" t="s">
        <v>138</v>
      </c>
      <c r="M16" s="34" t="s">
        <v>266</v>
      </c>
      <c r="N16" s="34" t="s">
        <v>369</v>
      </c>
      <c r="O16" s="34" t="s">
        <v>395</v>
      </c>
      <c r="Q16" s="35"/>
      <c r="R16" s="35"/>
      <c r="S16" s="35"/>
      <c r="T16" s="35"/>
      <c r="U16" s="35"/>
      <c r="V16" s="35"/>
    </row>
    <row r="17" spans="1:22" ht="15" x14ac:dyDescent="0.25">
      <c r="A17" s="97">
        <v>45161</v>
      </c>
      <c r="B17" s="34" t="s">
        <v>300</v>
      </c>
      <c r="C17" s="34" t="s">
        <v>374</v>
      </c>
      <c r="D17" s="34" t="s">
        <v>375</v>
      </c>
      <c r="E17" s="34">
        <v>42.7</v>
      </c>
      <c r="F17" s="34">
        <v>43.7</v>
      </c>
      <c r="G17" s="34">
        <v>42.7</v>
      </c>
      <c r="H17" s="34" t="s">
        <v>7</v>
      </c>
      <c r="I17" s="34">
        <v>90</v>
      </c>
      <c r="J17" s="34" t="s">
        <v>376</v>
      </c>
      <c r="K17" s="98">
        <v>0.66666666666666663</v>
      </c>
      <c r="L17" s="34" t="s">
        <v>138</v>
      </c>
      <c r="M17" s="34" t="s">
        <v>293</v>
      </c>
      <c r="N17" s="34" t="s">
        <v>293</v>
      </c>
      <c r="O17" s="34" t="s">
        <v>377</v>
      </c>
      <c r="Q17" s="35"/>
      <c r="R17" s="35"/>
      <c r="S17" s="35"/>
      <c r="T17" s="35"/>
      <c r="U17" s="35"/>
      <c r="V17" s="35"/>
    </row>
    <row r="18" spans="1:22" ht="15" x14ac:dyDescent="0.25">
      <c r="A18" s="97">
        <v>45161</v>
      </c>
      <c r="B18" s="34" t="s">
        <v>362</v>
      </c>
      <c r="C18" s="34" t="s">
        <v>397</v>
      </c>
      <c r="D18" s="34" t="s">
        <v>375</v>
      </c>
      <c r="E18" s="34">
        <v>49</v>
      </c>
      <c r="F18" s="34">
        <v>47</v>
      </c>
      <c r="G18" s="34">
        <v>49</v>
      </c>
      <c r="H18" s="34" t="s">
        <v>7</v>
      </c>
      <c r="I18" s="34">
        <v>90</v>
      </c>
      <c r="J18" s="34" t="s">
        <v>398</v>
      </c>
      <c r="K18" s="98">
        <v>0.90625</v>
      </c>
      <c r="L18" s="34" t="s">
        <v>138</v>
      </c>
      <c r="M18" s="34" t="s">
        <v>293</v>
      </c>
      <c r="N18" s="34" t="s">
        <v>293</v>
      </c>
      <c r="O18" s="34" t="s">
        <v>399</v>
      </c>
    </row>
    <row r="19" spans="1:22" ht="15" x14ac:dyDescent="0.25">
      <c r="A19" s="97">
        <v>45161</v>
      </c>
      <c r="B19" s="34" t="s">
        <v>362</v>
      </c>
      <c r="C19" s="34" t="s">
        <v>400</v>
      </c>
      <c r="D19" s="34" t="s">
        <v>361</v>
      </c>
      <c r="E19" s="34" t="s">
        <v>599</v>
      </c>
      <c r="F19" s="34" t="s">
        <v>600</v>
      </c>
      <c r="G19" s="34" t="s">
        <v>401</v>
      </c>
      <c r="H19" s="34" t="s">
        <v>601</v>
      </c>
      <c r="I19" s="34">
        <v>90</v>
      </c>
      <c r="J19" s="34" t="s">
        <v>402</v>
      </c>
      <c r="K19" s="98">
        <v>0.91666666666666663</v>
      </c>
      <c r="L19" s="34" t="s">
        <v>138</v>
      </c>
      <c r="M19" s="34" t="s">
        <v>266</v>
      </c>
      <c r="N19" s="34" t="s">
        <v>369</v>
      </c>
      <c r="O19" s="34" t="s">
        <v>403</v>
      </c>
      <c r="Q19" s="35"/>
      <c r="R19" s="35"/>
      <c r="S19" s="35"/>
      <c r="T19" s="35"/>
      <c r="U19" s="35"/>
      <c r="V19" s="35"/>
    </row>
    <row r="20" spans="1:22" ht="15" x14ac:dyDescent="0.25">
      <c r="A20" s="97">
        <v>45160</v>
      </c>
      <c r="B20" s="34" t="s">
        <v>362</v>
      </c>
      <c r="C20" s="34" t="s">
        <v>404</v>
      </c>
      <c r="D20" s="34" t="s">
        <v>361</v>
      </c>
      <c r="E20" s="34" t="s">
        <v>405</v>
      </c>
      <c r="F20" s="34" t="s">
        <v>602</v>
      </c>
      <c r="G20" s="34" t="s">
        <v>406</v>
      </c>
      <c r="H20" s="34" t="s">
        <v>7</v>
      </c>
      <c r="I20" s="34">
        <v>86</v>
      </c>
      <c r="J20" s="34" t="s">
        <v>407</v>
      </c>
      <c r="K20" s="98">
        <v>0.91666666666666663</v>
      </c>
      <c r="L20" s="34" t="s">
        <v>138</v>
      </c>
      <c r="M20" s="34" t="s">
        <v>266</v>
      </c>
      <c r="N20" s="34" t="s">
        <v>369</v>
      </c>
      <c r="O20" s="34" t="s">
        <v>408</v>
      </c>
      <c r="V20" s="35"/>
    </row>
    <row r="21" spans="1:22" ht="15" x14ac:dyDescent="0.25">
      <c r="A21" s="97">
        <v>45161</v>
      </c>
      <c r="B21" s="34" t="s">
        <v>300</v>
      </c>
      <c r="C21" s="34" t="s">
        <v>378</v>
      </c>
      <c r="D21" s="34" t="s">
        <v>375</v>
      </c>
      <c r="E21" s="34">
        <v>48.5</v>
      </c>
      <c r="F21" s="34">
        <v>47</v>
      </c>
      <c r="G21" s="34">
        <v>48.6</v>
      </c>
      <c r="H21" s="34" t="s">
        <v>7</v>
      </c>
      <c r="I21" s="34">
        <v>73</v>
      </c>
      <c r="J21" s="34" t="s">
        <v>379</v>
      </c>
      <c r="K21" s="98">
        <v>0.66666666666666663</v>
      </c>
      <c r="L21" s="34" t="s">
        <v>138</v>
      </c>
      <c r="M21" s="34" t="s">
        <v>293</v>
      </c>
      <c r="N21" s="34" t="s">
        <v>293</v>
      </c>
      <c r="O21" s="34" t="s">
        <v>380</v>
      </c>
      <c r="V21" s="35"/>
    </row>
    <row r="22" spans="1:22" ht="15" x14ac:dyDescent="0.25">
      <c r="A22" s="97">
        <v>45161</v>
      </c>
      <c r="B22" s="34" t="s">
        <v>300</v>
      </c>
      <c r="C22" s="34" t="s">
        <v>381</v>
      </c>
      <c r="D22" s="34" t="s">
        <v>375</v>
      </c>
      <c r="E22" s="34">
        <v>50.5</v>
      </c>
      <c r="F22" s="34">
        <v>48.3</v>
      </c>
      <c r="G22" s="34">
        <v>50.9</v>
      </c>
      <c r="H22" s="34" t="s">
        <v>7</v>
      </c>
      <c r="I22" s="34">
        <v>70</v>
      </c>
      <c r="J22" s="34" t="s">
        <v>382</v>
      </c>
      <c r="K22" s="98">
        <v>0.66666666666666663</v>
      </c>
      <c r="L22" s="34" t="s">
        <v>138</v>
      </c>
      <c r="M22" s="34" t="s">
        <v>293</v>
      </c>
      <c r="N22" s="34" t="s">
        <v>293</v>
      </c>
      <c r="O22" s="34" t="s">
        <v>383</v>
      </c>
      <c r="V22" s="35"/>
    </row>
    <row r="23" spans="1:22" ht="15" x14ac:dyDescent="0.25">
      <c r="A23" s="97">
        <v>45161</v>
      </c>
      <c r="B23" s="34" t="s">
        <v>300</v>
      </c>
      <c r="C23" s="34" t="s">
        <v>384</v>
      </c>
      <c r="D23" s="34" t="s">
        <v>375</v>
      </c>
      <c r="E23" s="34">
        <v>-14.5</v>
      </c>
      <c r="F23" s="34">
        <v>-16</v>
      </c>
      <c r="G23" s="34">
        <v>-15.1</v>
      </c>
      <c r="H23" s="34" t="s">
        <v>7</v>
      </c>
      <c r="I23" s="34">
        <v>66</v>
      </c>
      <c r="J23" s="34" t="s">
        <v>385</v>
      </c>
      <c r="K23" s="98">
        <v>0.91666666666666663</v>
      </c>
      <c r="L23" s="34" t="s">
        <v>138</v>
      </c>
      <c r="M23" s="34" t="s">
        <v>293</v>
      </c>
      <c r="N23" s="34" t="s">
        <v>307</v>
      </c>
      <c r="O23" s="34" t="s">
        <v>386</v>
      </c>
      <c r="V23" s="35"/>
    </row>
    <row r="24" spans="1:22" ht="15" x14ac:dyDescent="0.25">
      <c r="V24" s="35"/>
    </row>
    <row r="25" spans="1:22" ht="15" x14ac:dyDescent="0.25">
      <c r="V25" s="35"/>
    </row>
    <row r="26" spans="1:22" ht="15" x14ac:dyDescent="0.25">
      <c r="V26" s="35"/>
    </row>
    <row r="27" spans="1:22" ht="15" x14ac:dyDescent="0.25">
      <c r="V27" s="35"/>
    </row>
    <row r="28" spans="1:22" ht="15" x14ac:dyDescent="0.25"/>
    <row r="29" spans="1:22" ht="15" x14ac:dyDescent="0.25"/>
    <row r="30" spans="1:22" ht="15" x14ac:dyDescent="0.25"/>
    <row r="31" spans="1:22" ht="15" x14ac:dyDescent="0.25"/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4" type="noConversion"/>
  <conditionalFormatting sqref="I13:I23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I13:I23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46"/>
  <sheetViews>
    <sheetView workbookViewId="0">
      <selection activeCell="K7" sqref="K7"/>
    </sheetView>
  </sheetViews>
  <sheetFormatPr defaultColWidth="8.88671875" defaultRowHeight="15" x14ac:dyDescent="0.25"/>
  <cols>
    <col min="1" max="1" width="9.44140625" style="32" bestFit="1" customWidth="1"/>
    <col min="2" max="2" width="8.33203125" style="32" bestFit="1" customWidth="1"/>
    <col min="3" max="3" width="28.21875" style="32" bestFit="1" customWidth="1"/>
    <col min="4" max="4" width="8.44140625" style="32" bestFit="1" customWidth="1"/>
    <col min="5" max="5" width="8" style="32" bestFit="1" customWidth="1"/>
    <col min="6" max="6" width="7.6640625" style="32" bestFit="1" customWidth="1"/>
    <col min="7" max="7" width="6.77734375" style="32" bestFit="1" customWidth="1"/>
    <col min="8" max="8" width="8.88671875" style="32" bestFit="1" customWidth="1"/>
    <col min="9" max="9" width="10.77734375" style="32" bestFit="1" customWidth="1" collapsed="1"/>
    <col min="10" max="10" width="15.5546875" style="32" bestFit="1" customWidth="1"/>
    <col min="11" max="11" width="10.77734375" style="32" bestFit="1" customWidth="1"/>
    <col min="12" max="12" width="7.33203125" style="32" bestFit="1" customWidth="1"/>
    <col min="13" max="13" width="6.109375" style="32" bestFit="1" customWidth="1"/>
    <col min="14" max="14" width="9.44140625" style="32" bestFit="1" customWidth="1"/>
    <col min="15" max="15" width="35.109375" style="32" bestFit="1" customWidth="1" collapsed="1"/>
    <col min="16" max="16" width="6.5546875" style="32" customWidth="1"/>
    <col min="17" max="17" width="6.77734375" style="32" customWidth="1"/>
    <col min="18" max="18" width="28.109375" style="32" bestFit="1" customWidth="1"/>
    <col min="19" max="19" width="12.6640625" style="32" bestFit="1" customWidth="1"/>
    <col min="20" max="22" width="7.6640625" style="32" customWidth="1"/>
    <col min="23" max="23" width="6.109375" style="32" bestFit="1" customWidth="1"/>
    <col min="24" max="24" width="9.44140625" style="32" bestFit="1" customWidth="1"/>
    <col min="25" max="25" width="35.109375" style="32" bestFit="1" customWidth="1"/>
    <col min="26" max="16384" width="8.88671875" style="32"/>
  </cols>
  <sheetData>
    <row r="1" spans="1:22" ht="59.25" customHeight="1" x14ac:dyDescent="0.25">
      <c r="A1" s="31" t="s">
        <v>191</v>
      </c>
      <c r="H1" s="104" t="s">
        <v>194</v>
      </c>
    </row>
    <row r="2" spans="1:22" x14ac:dyDescent="0.25">
      <c r="B2" s="33" t="s">
        <v>95</v>
      </c>
      <c r="C2" s="33" t="s">
        <v>194</v>
      </c>
      <c r="D2" s="33" t="s">
        <v>197</v>
      </c>
      <c r="E2" s="33" t="s">
        <v>185</v>
      </c>
      <c r="F2" s="33" t="s">
        <v>186</v>
      </c>
      <c r="V2" s="35"/>
    </row>
    <row r="3" spans="1:22" x14ac:dyDescent="0.25">
      <c r="B3" s="33">
        <v>6</v>
      </c>
      <c r="C3" s="32" t="s">
        <v>634</v>
      </c>
      <c r="D3" s="53">
        <f>IFERROR(INDEX(FUTURE[Date],MATCH(input_future[[#This Row],[未来一周主要经济数据]],FUTURE[未来一周主要经济数据],0)),"")</f>
        <v>45168</v>
      </c>
      <c r="E3" s="37">
        <f>IFERROR(INDEX(FUTURE[Prior],MATCH(input_future[[#This Row],[未来一周主要经济数据]],FUTURE[未来一周主要经济数据],0)),"")</f>
        <v>2.4E-2</v>
      </c>
      <c r="F3" s="37">
        <f>IFERROR(INDEX(FUTURE[Survey],MATCH(input_future[[#This Row],[未来一周主要经济数据]],FUTURE[未来一周主要经济数据],0)),"")</f>
        <v>2.4E-2</v>
      </c>
      <c r="V3" s="41"/>
    </row>
    <row r="4" spans="1:22" x14ac:dyDescent="0.25">
      <c r="B4" s="33">
        <v>2</v>
      </c>
      <c r="C4" s="32" t="s">
        <v>368</v>
      </c>
      <c r="D4" s="53">
        <f>IFERROR(INDEX(FUTURE[Date],MATCH(input_future[[#This Row],[未来一周主要经济数据]],FUTURE[未来一周主要经济数据],0)),"")</f>
        <v>45169</v>
      </c>
      <c r="E4" s="37" t="str">
        <f>IFERROR(INDEX(FUTURE[Prior],MATCH(input_future[[#This Row],[未来一周主要经济数据]],FUTURE[未来一周主要经济数据],0)),"")</f>
        <v>230k</v>
      </c>
      <c r="F4" s="37" t="str">
        <f>IFERROR(INDEX(FUTURE[Survey],MATCH(input_future[[#This Row],[未来一周主要经济数据]],FUTURE[未来一周主要经济数据],0)),"")</f>
        <v>235k</v>
      </c>
      <c r="V4" s="41"/>
    </row>
    <row r="5" spans="1:22" x14ac:dyDescent="0.25">
      <c r="B5" s="33">
        <v>4</v>
      </c>
      <c r="C5" s="32" t="s">
        <v>606</v>
      </c>
      <c r="D5" s="53">
        <f>IFERROR(INDEX(FUTURE[Date],MATCH(input_future[[#This Row],[未来一周主要经济数据]],FUTURE[未来一周主要经济数据],0)),"")</f>
        <v>45169</v>
      </c>
      <c r="E5" s="37">
        <f>IFERROR(INDEX(FUTURE[Prior],MATCH(input_future[[#This Row],[未来一周主要经济数据]],FUTURE[未来一周主要经济数据],0)),"")</f>
        <v>49.3</v>
      </c>
      <c r="F5" s="37">
        <f>IFERROR(INDEX(FUTURE[Survey],MATCH(input_future[[#This Row],[未来一周主要经济数据]],FUTURE[未来一周主要经济数据],0)),"")</f>
        <v>49.1</v>
      </c>
      <c r="V5" s="41"/>
    </row>
    <row r="6" spans="1:22" x14ac:dyDescent="0.25">
      <c r="B6" s="33">
        <v>1</v>
      </c>
      <c r="C6" s="32" t="s">
        <v>628</v>
      </c>
      <c r="D6" s="53">
        <f>IFERROR(INDEX(FUTURE[Date],MATCH(input_future[[#This Row],[未来一周主要经济数据]],FUTURE[未来一周主要经济数据],0)),"")</f>
        <v>45170</v>
      </c>
      <c r="E6" s="37" t="str">
        <f>IFERROR(INDEX(FUTURE[Prior],MATCH(input_future[[#This Row],[未来一周主要经济数据]],FUTURE[未来一周主要经济数据],0)),"")</f>
        <v>187k</v>
      </c>
      <c r="F6" s="37" t="str">
        <f>IFERROR(INDEX(FUTURE[Survey],MATCH(input_future[[#This Row],[未来一周主要经济数据]],FUTURE[未来一周主要经济数据],0)),"")</f>
        <v>168k</v>
      </c>
      <c r="V6" s="41"/>
    </row>
    <row r="7" spans="1:22" x14ac:dyDescent="0.25">
      <c r="B7" s="33">
        <v>3</v>
      </c>
      <c r="C7" s="32" t="s">
        <v>637</v>
      </c>
      <c r="D7" s="53">
        <f>IFERROR(INDEX(FUTURE[Date],MATCH(input_future[[#This Row],[未来一周主要经济数据]],FUTURE[未来一周主要经济数据],0)),"")</f>
        <v>45170</v>
      </c>
      <c r="E7" s="37">
        <f>IFERROR(INDEX(FUTURE[Prior],MATCH(input_future[[#This Row],[未来一周主要经济数据]],FUTURE[未来一周主要经济数据],0)),"")</f>
        <v>46.4</v>
      </c>
      <c r="F7" s="37">
        <f>IFERROR(INDEX(FUTURE[Survey],MATCH(input_future[[#This Row],[未来一周主要经济数据]],FUTURE[未来一周主要经济数据],0)),"")</f>
        <v>47</v>
      </c>
      <c r="V7" s="41"/>
    </row>
    <row r="8" spans="1:22" x14ac:dyDescent="0.25">
      <c r="B8" s="33">
        <v>5</v>
      </c>
      <c r="C8" s="32" t="s">
        <v>609</v>
      </c>
      <c r="D8" s="53">
        <f>IFERROR(INDEX(FUTURE[Date],MATCH(input_future[[#This Row],[未来一周主要经济数据]],FUTURE[未来一周主要经济数据],0)),"")</f>
        <v>45170</v>
      </c>
      <c r="E8" s="37">
        <f>IFERROR(INDEX(FUTURE[Prior],MATCH(input_future[[#This Row],[未来一周主要经济数据]],FUTURE[未来一周主要经济数据],0)),"")</f>
        <v>49.2</v>
      </c>
      <c r="F8" s="37">
        <f>IFERROR(INDEX(FUTURE[Survey],MATCH(input_future[[#This Row],[未来一周主要经济数据]],FUTURE[未来一周主要经济数据],0)),"")</f>
        <v>49</v>
      </c>
      <c r="V8" s="41"/>
    </row>
    <row r="9" spans="1:22" x14ac:dyDescent="0.25">
      <c r="Q9" s="35"/>
      <c r="R9" s="35"/>
      <c r="S9" s="35"/>
      <c r="T9" s="35"/>
      <c r="U9" s="35"/>
      <c r="V9" s="35"/>
    </row>
    <row r="10" spans="1:22" x14ac:dyDescent="0.25">
      <c r="A10" s="34" t="s">
        <v>139</v>
      </c>
      <c r="B10" s="34" t="s">
        <v>188</v>
      </c>
      <c r="C10" s="34" t="s">
        <v>140</v>
      </c>
      <c r="D10" s="34" t="s">
        <v>189</v>
      </c>
      <c r="E10" s="34" t="s">
        <v>141</v>
      </c>
      <c r="F10" s="34" t="s">
        <v>142</v>
      </c>
      <c r="G10" s="34" t="s">
        <v>143</v>
      </c>
      <c r="H10" s="34" t="s">
        <v>144</v>
      </c>
      <c r="I10" s="34" t="s">
        <v>145</v>
      </c>
      <c r="J10" s="34" t="s">
        <v>146</v>
      </c>
      <c r="K10" s="34" t="s">
        <v>147</v>
      </c>
      <c r="L10" s="34" t="s">
        <v>190</v>
      </c>
      <c r="M10" s="34" t="s">
        <v>192</v>
      </c>
      <c r="N10" s="34" t="s">
        <v>193</v>
      </c>
      <c r="O10" s="34" t="s">
        <v>194</v>
      </c>
      <c r="Q10" s="35"/>
      <c r="R10" s="35"/>
      <c r="S10" s="35"/>
      <c r="T10" s="35"/>
      <c r="U10" s="35"/>
      <c r="V10" s="35"/>
    </row>
    <row r="11" spans="1:22" x14ac:dyDescent="0.25">
      <c r="A11" s="117">
        <v>45170</v>
      </c>
      <c r="B11" s="32" t="s">
        <v>362</v>
      </c>
      <c r="C11" s="32" t="s">
        <v>624</v>
      </c>
      <c r="D11" s="32" t="s">
        <v>306</v>
      </c>
      <c r="E11" s="32" t="s">
        <v>625</v>
      </c>
      <c r="F11" s="32" t="s">
        <v>7</v>
      </c>
      <c r="G11" s="32" t="s">
        <v>626</v>
      </c>
      <c r="H11" s="32" t="s">
        <v>7</v>
      </c>
      <c r="I11" s="32">
        <v>99</v>
      </c>
      <c r="J11" s="32" t="s">
        <v>627</v>
      </c>
      <c r="K11" s="44">
        <v>0.85416666666666663</v>
      </c>
      <c r="L11" s="32" t="s">
        <v>191</v>
      </c>
      <c r="M11" s="32" t="s">
        <v>293</v>
      </c>
      <c r="N11" s="32" t="s">
        <v>373</v>
      </c>
      <c r="O11" s="32" t="s">
        <v>628</v>
      </c>
      <c r="Q11" s="35"/>
      <c r="R11" s="35"/>
      <c r="S11" s="35"/>
      <c r="T11" s="35"/>
      <c r="U11" s="35"/>
      <c r="V11" s="35"/>
    </row>
    <row r="12" spans="1:22" x14ac:dyDescent="0.25">
      <c r="A12" s="117">
        <v>45169</v>
      </c>
      <c r="B12" s="32" t="s">
        <v>362</v>
      </c>
      <c r="C12" s="32" t="s">
        <v>363</v>
      </c>
      <c r="D12" s="32" t="s">
        <v>629</v>
      </c>
      <c r="E12" s="32" t="s">
        <v>715</v>
      </c>
      <c r="F12" s="32" t="s">
        <v>7</v>
      </c>
      <c r="G12" s="32" t="s">
        <v>598</v>
      </c>
      <c r="H12" s="32" t="s">
        <v>7</v>
      </c>
      <c r="I12" s="32">
        <v>98</v>
      </c>
      <c r="J12" s="32" t="s">
        <v>366</v>
      </c>
      <c r="K12" s="44">
        <v>0.85416666666666663</v>
      </c>
      <c r="L12" s="32" t="s">
        <v>191</v>
      </c>
      <c r="M12" s="32" t="s">
        <v>103</v>
      </c>
      <c r="N12" s="32" t="s">
        <v>367</v>
      </c>
      <c r="O12" s="32" t="s">
        <v>368</v>
      </c>
      <c r="Q12" s="35"/>
      <c r="R12" s="35"/>
      <c r="S12" s="35"/>
      <c r="T12" s="35"/>
      <c r="U12" s="35"/>
      <c r="V12" s="35"/>
    </row>
    <row r="13" spans="1:22" x14ac:dyDescent="0.25">
      <c r="A13" s="117">
        <v>45168</v>
      </c>
      <c r="B13" s="32" t="s">
        <v>362</v>
      </c>
      <c r="C13" s="32" t="s">
        <v>630</v>
      </c>
      <c r="D13" s="32" t="s">
        <v>631</v>
      </c>
      <c r="E13" s="32">
        <v>2.4E-2</v>
      </c>
      <c r="F13" s="32" t="s">
        <v>7</v>
      </c>
      <c r="G13" s="32">
        <v>2.4E-2</v>
      </c>
      <c r="H13" s="32" t="s">
        <v>7</v>
      </c>
      <c r="I13" s="32">
        <v>96</v>
      </c>
      <c r="J13" s="32" t="s">
        <v>632</v>
      </c>
      <c r="K13" s="44">
        <v>0.85416666666666663</v>
      </c>
      <c r="L13" s="32" t="s">
        <v>191</v>
      </c>
      <c r="M13" s="32" t="s">
        <v>302</v>
      </c>
      <c r="N13" s="32" t="s">
        <v>633</v>
      </c>
      <c r="O13" s="32" t="s">
        <v>634</v>
      </c>
      <c r="Q13" s="35"/>
      <c r="R13" s="35"/>
      <c r="S13" s="35"/>
      <c r="T13" s="35"/>
      <c r="U13" s="35"/>
      <c r="V13" s="35"/>
    </row>
    <row r="14" spans="1:22" x14ac:dyDescent="0.25">
      <c r="A14" s="117">
        <v>45170</v>
      </c>
      <c r="B14" s="32" t="s">
        <v>362</v>
      </c>
      <c r="C14" s="32" t="s">
        <v>635</v>
      </c>
      <c r="D14" s="32" t="s">
        <v>306</v>
      </c>
      <c r="E14" s="32">
        <v>47</v>
      </c>
      <c r="F14" s="32" t="s">
        <v>7</v>
      </c>
      <c r="G14" s="32">
        <v>46.4</v>
      </c>
      <c r="H14" s="32" t="s">
        <v>7</v>
      </c>
      <c r="I14" s="32">
        <v>95</v>
      </c>
      <c r="J14" s="32" t="s">
        <v>636</v>
      </c>
      <c r="K14" s="44">
        <v>0.91666666666666663</v>
      </c>
      <c r="L14" s="32" t="s">
        <v>191</v>
      </c>
      <c r="M14" s="32" t="s">
        <v>293</v>
      </c>
      <c r="N14" s="32" t="s">
        <v>373</v>
      </c>
      <c r="O14" s="32" t="s">
        <v>637</v>
      </c>
      <c r="Q14" s="35"/>
      <c r="R14" s="35"/>
      <c r="S14" s="35"/>
      <c r="T14" s="35"/>
      <c r="U14" s="35"/>
      <c r="V14" s="35"/>
    </row>
    <row r="15" spans="1:22" x14ac:dyDescent="0.25">
      <c r="A15" s="117">
        <v>45169</v>
      </c>
      <c r="B15" s="32" t="s">
        <v>360</v>
      </c>
      <c r="C15" s="32" t="s">
        <v>603</v>
      </c>
      <c r="D15" s="32" t="s">
        <v>306</v>
      </c>
      <c r="E15" s="32">
        <v>49.1</v>
      </c>
      <c r="F15" s="32" t="s">
        <v>7</v>
      </c>
      <c r="G15" s="32">
        <v>49.3</v>
      </c>
      <c r="H15" s="32" t="s">
        <v>7</v>
      </c>
      <c r="I15" s="32">
        <v>94</v>
      </c>
      <c r="J15" s="32" t="s">
        <v>604</v>
      </c>
      <c r="K15" s="44">
        <v>0.39583333333333331</v>
      </c>
      <c r="L15" s="32" t="s">
        <v>191</v>
      </c>
      <c r="M15" s="32" t="s">
        <v>293</v>
      </c>
      <c r="N15" s="32" t="s">
        <v>605</v>
      </c>
      <c r="O15" s="32" t="s">
        <v>606</v>
      </c>
      <c r="Q15" s="35"/>
      <c r="R15" s="35"/>
      <c r="S15" s="35"/>
      <c r="T15" s="35"/>
      <c r="U15" s="35"/>
      <c r="V15" s="35"/>
    </row>
    <row r="16" spans="1:22" x14ac:dyDescent="0.25">
      <c r="A16" s="117">
        <v>45170</v>
      </c>
      <c r="B16" s="32" t="s">
        <v>360</v>
      </c>
      <c r="C16" s="32" t="s">
        <v>607</v>
      </c>
      <c r="D16" s="32" t="s">
        <v>306</v>
      </c>
      <c r="E16" s="32">
        <v>49</v>
      </c>
      <c r="F16" s="32" t="s">
        <v>7</v>
      </c>
      <c r="G16" s="32">
        <v>49.2</v>
      </c>
      <c r="H16" s="32" t="s">
        <v>7</v>
      </c>
      <c r="I16" s="32">
        <v>92</v>
      </c>
      <c r="J16" s="32" t="s">
        <v>608</v>
      </c>
      <c r="K16" s="44">
        <v>0.40625</v>
      </c>
      <c r="L16" s="32" t="s">
        <v>191</v>
      </c>
      <c r="M16" s="32" t="s">
        <v>293</v>
      </c>
      <c r="N16" s="32" t="s">
        <v>293</v>
      </c>
      <c r="O16" s="32" t="s">
        <v>609</v>
      </c>
      <c r="Q16" s="35"/>
      <c r="R16" s="35"/>
      <c r="S16" s="35"/>
      <c r="T16" s="35"/>
      <c r="U16" s="35"/>
      <c r="V16" s="35"/>
    </row>
    <row r="17" spans="1:22" x14ac:dyDescent="0.25">
      <c r="A17" s="117">
        <v>45167</v>
      </c>
      <c r="B17" s="32" t="s">
        <v>362</v>
      </c>
      <c r="C17" s="32" t="s">
        <v>638</v>
      </c>
      <c r="D17" s="32" t="s">
        <v>306</v>
      </c>
      <c r="E17" s="32">
        <v>116.2</v>
      </c>
      <c r="F17" s="32" t="s">
        <v>7</v>
      </c>
      <c r="G17" s="32">
        <v>117</v>
      </c>
      <c r="H17" s="32" t="s">
        <v>7</v>
      </c>
      <c r="I17" s="32">
        <v>92</v>
      </c>
      <c r="J17" s="32" t="s">
        <v>639</v>
      </c>
      <c r="K17" s="44">
        <v>0.91666666666666663</v>
      </c>
      <c r="L17" s="32" t="s">
        <v>191</v>
      </c>
      <c r="M17" s="32" t="s">
        <v>293</v>
      </c>
      <c r="N17" s="32" t="s">
        <v>373</v>
      </c>
      <c r="O17" s="32" t="s">
        <v>640</v>
      </c>
      <c r="Q17" s="35"/>
      <c r="R17" s="35"/>
      <c r="S17" s="35"/>
      <c r="T17" s="35"/>
      <c r="U17" s="35"/>
      <c r="V17" s="35"/>
    </row>
    <row r="18" spans="1:22" x14ac:dyDescent="0.25">
      <c r="A18" s="117">
        <v>45168</v>
      </c>
      <c r="B18" s="32" t="s">
        <v>362</v>
      </c>
      <c r="C18" s="32" t="s">
        <v>370</v>
      </c>
      <c r="D18" s="32" t="s">
        <v>641</v>
      </c>
      <c r="E18" s="32" t="s">
        <v>7</v>
      </c>
      <c r="F18" s="32" t="s">
        <v>7</v>
      </c>
      <c r="G18" s="32">
        <v>-4.2000000000000003E-2</v>
      </c>
      <c r="H18" s="32" t="s">
        <v>7</v>
      </c>
      <c r="I18" s="32">
        <v>91</v>
      </c>
      <c r="J18" s="32" t="s">
        <v>371</v>
      </c>
      <c r="K18" s="44">
        <v>0.79166666666666663</v>
      </c>
      <c r="L18" s="32" t="s">
        <v>191</v>
      </c>
      <c r="M18" s="32" t="s">
        <v>103</v>
      </c>
      <c r="N18" s="32" t="s">
        <v>367</v>
      </c>
      <c r="O18" s="32" t="s">
        <v>372</v>
      </c>
    </row>
    <row r="19" spans="1:22" x14ac:dyDescent="0.25">
      <c r="A19" s="117">
        <v>45170</v>
      </c>
      <c r="B19" s="32" t="s">
        <v>300</v>
      </c>
      <c r="C19" s="32" t="s">
        <v>374</v>
      </c>
      <c r="D19" s="32" t="s">
        <v>389</v>
      </c>
      <c r="E19" s="32">
        <v>43.7</v>
      </c>
      <c r="F19" s="32" t="s">
        <v>7</v>
      </c>
      <c r="G19" s="32">
        <v>43.7</v>
      </c>
      <c r="H19" s="32" t="s">
        <v>7</v>
      </c>
      <c r="I19" s="32">
        <v>90</v>
      </c>
      <c r="J19" s="32" t="s">
        <v>376</v>
      </c>
      <c r="K19" s="44">
        <v>0.66666666666666663</v>
      </c>
      <c r="L19" s="32" t="s">
        <v>191</v>
      </c>
      <c r="M19" s="32" t="s">
        <v>293</v>
      </c>
      <c r="N19" s="32" t="s">
        <v>293</v>
      </c>
      <c r="O19" s="32" t="s">
        <v>377</v>
      </c>
      <c r="Q19" s="35"/>
      <c r="R19" s="35"/>
      <c r="S19" s="35"/>
      <c r="T19" s="35"/>
      <c r="U19" s="35"/>
      <c r="V19" s="35"/>
    </row>
    <row r="20" spans="1:22" x14ac:dyDescent="0.25">
      <c r="A20" s="117">
        <v>45170</v>
      </c>
      <c r="B20" s="32" t="s">
        <v>362</v>
      </c>
      <c r="C20" s="32" t="s">
        <v>397</v>
      </c>
      <c r="D20" s="32" t="s">
        <v>389</v>
      </c>
      <c r="E20" s="32">
        <v>47</v>
      </c>
      <c r="F20" s="32" t="s">
        <v>7</v>
      </c>
      <c r="G20" s="32">
        <v>47</v>
      </c>
      <c r="H20" s="32" t="s">
        <v>7</v>
      </c>
      <c r="I20" s="32">
        <v>90</v>
      </c>
      <c r="J20" s="32" t="s">
        <v>398</v>
      </c>
      <c r="K20" s="44">
        <v>0.90625</v>
      </c>
      <c r="L20" s="32" t="s">
        <v>191</v>
      </c>
      <c r="M20" s="32" t="s">
        <v>293</v>
      </c>
      <c r="N20" s="32" t="s">
        <v>293</v>
      </c>
      <c r="O20" s="32" t="s">
        <v>399</v>
      </c>
      <c r="V20" s="35"/>
    </row>
    <row r="21" spans="1:22" x14ac:dyDescent="0.25">
      <c r="A21" s="117">
        <v>45170</v>
      </c>
      <c r="B21" s="32" t="s">
        <v>362</v>
      </c>
      <c r="C21" s="32" t="s">
        <v>621</v>
      </c>
      <c r="D21" s="32" t="s">
        <v>306</v>
      </c>
      <c r="E21" s="32">
        <v>3.5000000000000003E-2</v>
      </c>
      <c r="F21" s="32" t="s">
        <v>7</v>
      </c>
      <c r="G21" s="32">
        <v>3.5000000000000003E-2</v>
      </c>
      <c r="H21" s="32" t="s">
        <v>7</v>
      </c>
      <c r="I21" s="32">
        <v>89</v>
      </c>
      <c r="J21" s="32" t="s">
        <v>642</v>
      </c>
      <c r="K21" s="44">
        <v>0.85416666666666663</v>
      </c>
      <c r="L21" s="32" t="s">
        <v>191</v>
      </c>
      <c r="M21" s="32" t="s">
        <v>293</v>
      </c>
      <c r="N21" s="32" t="s">
        <v>373</v>
      </c>
      <c r="O21" s="32" t="s">
        <v>643</v>
      </c>
      <c r="V21" s="35"/>
    </row>
    <row r="22" spans="1:22" x14ac:dyDescent="0.25">
      <c r="A22" s="117">
        <v>45168</v>
      </c>
      <c r="B22" s="32" t="s">
        <v>362</v>
      </c>
      <c r="C22" s="32" t="s">
        <v>644</v>
      </c>
      <c r="D22" s="32" t="s">
        <v>306</v>
      </c>
      <c r="E22" s="32" t="s">
        <v>716</v>
      </c>
      <c r="F22" s="32" t="s">
        <v>7</v>
      </c>
      <c r="G22" s="32" t="s">
        <v>645</v>
      </c>
      <c r="H22" s="32" t="s">
        <v>7</v>
      </c>
      <c r="I22" s="32">
        <v>88</v>
      </c>
      <c r="J22" s="32" t="s">
        <v>646</v>
      </c>
      <c r="K22" s="44">
        <v>0.84375</v>
      </c>
      <c r="L22" s="32" t="s">
        <v>191</v>
      </c>
      <c r="M22" s="32" t="s">
        <v>293</v>
      </c>
      <c r="N22" s="32" t="s">
        <v>373</v>
      </c>
      <c r="O22" s="32" t="s">
        <v>647</v>
      </c>
      <c r="V22" s="35"/>
    </row>
    <row r="23" spans="1:22" x14ac:dyDescent="0.25">
      <c r="A23" s="117">
        <v>45169</v>
      </c>
      <c r="B23" s="32" t="s">
        <v>300</v>
      </c>
      <c r="C23" s="32" t="s">
        <v>148</v>
      </c>
      <c r="D23" s="32" t="s">
        <v>375</v>
      </c>
      <c r="E23" s="32">
        <v>4.0000000000000001E-3</v>
      </c>
      <c r="F23" s="32" t="s">
        <v>7</v>
      </c>
      <c r="G23" s="32">
        <v>-1E-3</v>
      </c>
      <c r="H23" s="32" t="s">
        <v>7</v>
      </c>
      <c r="I23" s="32">
        <v>85</v>
      </c>
      <c r="J23" s="32" t="s">
        <v>303</v>
      </c>
      <c r="K23" s="44">
        <v>0.70833333333333337</v>
      </c>
      <c r="L23" s="32" t="s">
        <v>191</v>
      </c>
      <c r="M23" s="32" t="s">
        <v>293</v>
      </c>
      <c r="N23" s="32" t="s">
        <v>307</v>
      </c>
      <c r="O23" s="32" t="s">
        <v>613</v>
      </c>
      <c r="V23" s="35"/>
    </row>
    <row r="24" spans="1:22" x14ac:dyDescent="0.25">
      <c r="A24" s="117">
        <v>45169</v>
      </c>
      <c r="B24" s="32" t="s">
        <v>362</v>
      </c>
      <c r="C24" s="32" t="s">
        <v>648</v>
      </c>
      <c r="D24" s="32" t="s">
        <v>361</v>
      </c>
      <c r="E24" s="32">
        <v>7.0000000000000001E-3</v>
      </c>
      <c r="F24" s="32" t="s">
        <v>7</v>
      </c>
      <c r="G24" s="32">
        <v>5.0000000000000001E-3</v>
      </c>
      <c r="H24" s="32" t="s">
        <v>7</v>
      </c>
      <c r="I24" s="32">
        <v>85</v>
      </c>
      <c r="J24" s="32" t="s">
        <v>649</v>
      </c>
      <c r="K24" s="44">
        <v>0.85416666666666663</v>
      </c>
      <c r="L24" s="32" t="s">
        <v>191</v>
      </c>
      <c r="M24" s="32" t="s">
        <v>266</v>
      </c>
      <c r="N24" s="32" t="s">
        <v>369</v>
      </c>
      <c r="O24" s="32" t="s">
        <v>650</v>
      </c>
      <c r="Q24" s="35"/>
      <c r="R24" s="35"/>
      <c r="S24" s="35"/>
      <c r="T24" s="35"/>
      <c r="U24" s="35"/>
      <c r="V24" s="35"/>
    </row>
    <row r="25" spans="1:22" x14ac:dyDescent="0.25">
      <c r="A25" s="117">
        <v>45169</v>
      </c>
      <c r="B25" s="32" t="s">
        <v>362</v>
      </c>
      <c r="C25" s="32" t="s">
        <v>651</v>
      </c>
      <c r="D25" s="32" t="s">
        <v>361</v>
      </c>
      <c r="E25" s="32">
        <v>3.0000000000000001E-3</v>
      </c>
      <c r="F25" s="32" t="s">
        <v>7</v>
      </c>
      <c r="G25" s="32">
        <v>3.0000000000000001E-3</v>
      </c>
      <c r="H25" s="32" t="s">
        <v>7</v>
      </c>
      <c r="I25" s="32">
        <v>85</v>
      </c>
      <c r="J25" s="32" t="s">
        <v>652</v>
      </c>
      <c r="K25" s="44">
        <v>0.85416666666666663</v>
      </c>
      <c r="L25" s="32" t="s">
        <v>191</v>
      </c>
      <c r="M25" s="32" t="s">
        <v>266</v>
      </c>
      <c r="N25" s="32" t="s">
        <v>369</v>
      </c>
      <c r="O25" s="32" t="s">
        <v>653</v>
      </c>
      <c r="Q25" s="35"/>
      <c r="R25" s="35"/>
      <c r="S25" s="45"/>
      <c r="T25" s="41"/>
      <c r="U25" s="41"/>
      <c r="V25" s="35"/>
    </row>
    <row r="26" spans="1:22" x14ac:dyDescent="0.25">
      <c r="A26" s="117">
        <v>45166</v>
      </c>
      <c r="B26" s="32" t="s">
        <v>300</v>
      </c>
      <c r="C26" s="32" t="s">
        <v>614</v>
      </c>
      <c r="D26" s="32" t="s">
        <v>361</v>
      </c>
      <c r="E26" s="32">
        <v>0</v>
      </c>
      <c r="F26" s="32" t="s">
        <v>7</v>
      </c>
      <c r="G26" s="32">
        <v>6.0000000000000001E-3</v>
      </c>
      <c r="H26" s="32" t="s">
        <v>7</v>
      </c>
      <c r="I26" s="32">
        <v>83</v>
      </c>
      <c r="J26" s="32" t="s">
        <v>615</v>
      </c>
      <c r="K26" s="44">
        <v>0.66666666666666663</v>
      </c>
      <c r="L26" s="32" t="s">
        <v>191</v>
      </c>
      <c r="M26" s="32" t="s">
        <v>266</v>
      </c>
      <c r="N26" s="32" t="s">
        <v>301</v>
      </c>
      <c r="O26" s="32" t="s">
        <v>616</v>
      </c>
      <c r="Q26" s="35"/>
      <c r="R26" s="35"/>
      <c r="S26" s="45"/>
      <c r="T26" s="41"/>
      <c r="U26" s="41"/>
      <c r="V26" s="35"/>
    </row>
    <row r="27" spans="1:22" x14ac:dyDescent="0.25">
      <c r="A27" s="117">
        <v>45169</v>
      </c>
      <c r="B27" s="32" t="s">
        <v>362</v>
      </c>
      <c r="C27" s="32" t="s">
        <v>654</v>
      </c>
      <c r="D27" s="32" t="s">
        <v>306</v>
      </c>
      <c r="E27" s="32">
        <v>44.1</v>
      </c>
      <c r="F27" s="32" t="s">
        <v>7</v>
      </c>
      <c r="G27" s="32">
        <v>42.8</v>
      </c>
      <c r="H27" s="32" t="s">
        <v>7</v>
      </c>
      <c r="I27" s="32">
        <v>81</v>
      </c>
      <c r="J27" s="32" t="s">
        <v>655</v>
      </c>
      <c r="K27" s="44">
        <v>0.90625</v>
      </c>
      <c r="L27" s="32" t="s">
        <v>191</v>
      </c>
      <c r="M27" s="32" t="s">
        <v>293</v>
      </c>
      <c r="N27" s="32" t="s">
        <v>373</v>
      </c>
      <c r="O27" s="32" t="s">
        <v>656</v>
      </c>
      <c r="Q27" s="35"/>
      <c r="R27" s="35"/>
      <c r="S27" s="45"/>
      <c r="T27" s="41"/>
      <c r="U27" s="41"/>
      <c r="V27" s="35"/>
    </row>
    <row r="28" spans="1:22" x14ac:dyDescent="0.25">
      <c r="A28" s="117">
        <v>45169</v>
      </c>
      <c r="B28" s="32" t="s">
        <v>360</v>
      </c>
      <c r="C28" s="32" t="s">
        <v>610</v>
      </c>
      <c r="D28" s="32" t="s">
        <v>306</v>
      </c>
      <c r="E28" s="32">
        <v>51.1</v>
      </c>
      <c r="F28" s="32" t="s">
        <v>7</v>
      </c>
      <c r="G28" s="32">
        <v>51.5</v>
      </c>
      <c r="H28" s="32" t="s">
        <v>7</v>
      </c>
      <c r="I28" s="32">
        <v>76</v>
      </c>
      <c r="J28" s="32" t="s">
        <v>611</v>
      </c>
      <c r="K28" s="44">
        <v>0.39583333333333331</v>
      </c>
      <c r="L28" s="32" t="s">
        <v>191</v>
      </c>
      <c r="M28" s="32" t="s">
        <v>293</v>
      </c>
      <c r="N28" s="32" t="s">
        <v>605</v>
      </c>
      <c r="O28" s="32" t="s">
        <v>612</v>
      </c>
      <c r="Q28" s="35"/>
      <c r="R28" s="35"/>
      <c r="S28" s="45"/>
      <c r="T28" s="41"/>
      <c r="U28" s="41"/>
    </row>
    <row r="29" spans="1:22" x14ac:dyDescent="0.25">
      <c r="A29" s="117">
        <v>45169</v>
      </c>
      <c r="B29" s="32" t="s">
        <v>300</v>
      </c>
      <c r="C29" s="32" t="s">
        <v>617</v>
      </c>
      <c r="D29" s="32" t="s">
        <v>306</v>
      </c>
      <c r="E29" s="32">
        <v>5.0999999999999997E-2</v>
      </c>
      <c r="F29" s="32" t="s">
        <v>7</v>
      </c>
      <c r="G29" s="32">
        <v>5.2999999999999999E-2</v>
      </c>
      <c r="H29" s="32" t="s">
        <v>7</v>
      </c>
      <c r="I29" s="32">
        <v>76</v>
      </c>
      <c r="J29" s="32" t="s">
        <v>618</v>
      </c>
      <c r="K29" s="44">
        <v>0.70833333333333337</v>
      </c>
      <c r="L29" s="32" t="s">
        <v>191</v>
      </c>
      <c r="M29" s="32" t="s">
        <v>293</v>
      </c>
      <c r="N29" s="32" t="s">
        <v>307</v>
      </c>
      <c r="O29" s="32" t="s">
        <v>619</v>
      </c>
      <c r="Q29" s="35"/>
      <c r="R29" s="35"/>
      <c r="S29" s="45"/>
      <c r="T29" s="41"/>
      <c r="U29" s="41"/>
    </row>
    <row r="30" spans="1:22" x14ac:dyDescent="0.25">
      <c r="A30" s="117">
        <v>45169</v>
      </c>
      <c r="B30" s="32" t="s">
        <v>300</v>
      </c>
      <c r="C30" s="32" t="s">
        <v>304</v>
      </c>
      <c r="D30" s="32" t="s">
        <v>375</v>
      </c>
      <c r="E30" s="32">
        <v>5.2999999999999999E-2</v>
      </c>
      <c r="F30" s="32" t="s">
        <v>7</v>
      </c>
      <c r="G30" s="32">
        <v>5.5E-2</v>
      </c>
      <c r="H30" s="32" t="s">
        <v>7</v>
      </c>
      <c r="I30" s="32">
        <v>71</v>
      </c>
      <c r="J30" s="32" t="s">
        <v>305</v>
      </c>
      <c r="K30" s="44">
        <v>0.70833333333333337</v>
      </c>
      <c r="L30" s="32" t="s">
        <v>191</v>
      </c>
      <c r="M30" s="32" t="s">
        <v>293</v>
      </c>
      <c r="N30" s="32" t="s">
        <v>307</v>
      </c>
      <c r="O30" s="32" t="s">
        <v>620</v>
      </c>
      <c r="Q30" s="35"/>
      <c r="R30" s="35"/>
      <c r="S30" s="45"/>
      <c r="T30" s="41"/>
      <c r="U30" s="41"/>
    </row>
    <row r="31" spans="1:22" x14ac:dyDescent="0.25">
      <c r="A31" s="117">
        <v>45169</v>
      </c>
      <c r="B31" s="32" t="s">
        <v>300</v>
      </c>
      <c r="C31" s="32" t="s">
        <v>621</v>
      </c>
      <c r="D31" s="32" t="s">
        <v>361</v>
      </c>
      <c r="E31" s="32">
        <v>6.4000000000000001E-2</v>
      </c>
      <c r="F31" s="32" t="s">
        <v>7</v>
      </c>
      <c r="G31" s="32">
        <v>6.4000000000000001E-2</v>
      </c>
      <c r="H31" s="32" t="s">
        <v>7</v>
      </c>
      <c r="I31" s="32">
        <v>68</v>
      </c>
      <c r="J31" s="32" t="s">
        <v>622</v>
      </c>
      <c r="K31" s="44">
        <v>0.70833333333333337</v>
      </c>
      <c r="L31" s="32" t="s">
        <v>191</v>
      </c>
      <c r="M31" s="32" t="s">
        <v>266</v>
      </c>
      <c r="N31" s="32" t="s">
        <v>301</v>
      </c>
      <c r="O31" s="32" t="s">
        <v>623</v>
      </c>
    </row>
    <row r="32" spans="1:22" x14ac:dyDescent="0.25">
      <c r="A32" s="117">
        <v>45168</v>
      </c>
      <c r="B32" s="32" t="s">
        <v>300</v>
      </c>
      <c r="C32" s="32" t="s">
        <v>384</v>
      </c>
      <c r="D32" s="32" t="s">
        <v>389</v>
      </c>
      <c r="E32" s="32" t="s">
        <v>7</v>
      </c>
      <c r="F32" s="32" t="s">
        <v>7</v>
      </c>
      <c r="G32" s="32">
        <v>-16</v>
      </c>
      <c r="H32" s="32" t="s">
        <v>7</v>
      </c>
      <c r="I32" s="32">
        <v>66</v>
      </c>
      <c r="J32" s="32" t="s">
        <v>385</v>
      </c>
      <c r="K32" s="44">
        <v>0.70833333333333337</v>
      </c>
      <c r="L32" s="32" t="s">
        <v>191</v>
      </c>
      <c r="M32" s="32" t="s">
        <v>293</v>
      </c>
      <c r="N32" s="32" t="s">
        <v>307</v>
      </c>
      <c r="O32" s="32" t="s">
        <v>386</v>
      </c>
    </row>
    <row r="34" spans="1:11" x14ac:dyDescent="0.25">
      <c r="A34" s="46"/>
      <c r="K34" s="44"/>
    </row>
    <row r="35" spans="1:11" x14ac:dyDescent="0.25">
      <c r="A35" s="46"/>
      <c r="K35" s="44"/>
    </row>
    <row r="36" spans="1:11" x14ac:dyDescent="0.25">
      <c r="A36" s="46"/>
      <c r="K36" s="44"/>
    </row>
    <row r="37" spans="1:11" x14ac:dyDescent="0.25">
      <c r="A37" s="46"/>
      <c r="K37" s="44"/>
    </row>
    <row r="38" spans="1:11" x14ac:dyDescent="0.25">
      <c r="A38" s="46"/>
      <c r="K38" s="44"/>
    </row>
    <row r="39" spans="1:11" x14ac:dyDescent="0.25">
      <c r="A39" s="46"/>
      <c r="K39" s="44"/>
    </row>
    <row r="40" spans="1:11" x14ac:dyDescent="0.25">
      <c r="A40" s="46"/>
      <c r="K40" s="44"/>
    </row>
    <row r="41" spans="1:11" x14ac:dyDescent="0.25">
      <c r="A41" s="46"/>
      <c r="K41" s="44"/>
    </row>
    <row r="42" spans="1:11" x14ac:dyDescent="0.25">
      <c r="A42" s="46"/>
      <c r="K42" s="44"/>
    </row>
    <row r="43" spans="1:11" x14ac:dyDescent="0.25">
      <c r="A43" s="46"/>
      <c r="K43" s="44"/>
    </row>
    <row r="44" spans="1:11" x14ac:dyDescent="0.25">
      <c r="A44" s="46"/>
      <c r="K44" s="44"/>
    </row>
    <row r="45" spans="1:11" x14ac:dyDescent="0.25">
      <c r="A45" s="46"/>
      <c r="K45" s="44"/>
    </row>
    <row r="46" spans="1:11" x14ac:dyDescent="0.25">
      <c r="A46" s="46"/>
      <c r="K46" s="44"/>
    </row>
  </sheetData>
  <phoneticPr fontId="43" type="noConversion"/>
  <conditionalFormatting sqref="I34:I46 I11:I32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I34:I46 I11:I32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8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21875" style="1" bestFit="1" customWidth="1"/>
    <col min="3" max="3" width="23.88671875" style="1" bestFit="1" customWidth="1"/>
    <col min="4" max="4" width="5.88671875" style="1" bestFit="1" customWidth="1"/>
    <col min="5" max="5" width="9" style="1" bestFit="1" customWidth="1"/>
    <col min="6" max="6" width="5.88671875" style="1" bestFit="1" customWidth="1"/>
    <col min="7" max="7" width="7.6640625" style="1" bestFit="1" customWidth="1"/>
    <col min="8" max="8" width="9.21875" style="1" bestFit="1" customWidth="1"/>
    <col min="9" max="9" width="6" style="1" bestFit="1" customWidth="1"/>
    <col min="10" max="10" width="5.886718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99" t="s">
        <v>285</v>
      </c>
    </row>
    <row r="5" spans="1:10" x14ac:dyDescent="0.25">
      <c r="A5" t="s">
        <v>56</v>
      </c>
      <c r="B5" t="s">
        <v>55</v>
      </c>
      <c r="C5" t="s">
        <v>54</v>
      </c>
      <c r="D5" t="s">
        <v>96</v>
      </c>
      <c r="E5" t="s">
        <v>203</v>
      </c>
      <c r="F5" t="s">
        <v>72</v>
      </c>
      <c r="G5" t="s">
        <v>268</v>
      </c>
      <c r="H5" t="s">
        <v>104</v>
      </c>
      <c r="I5" t="s">
        <v>118</v>
      </c>
      <c r="J5" t="s">
        <v>135</v>
      </c>
    </row>
    <row r="6" spans="1:10" x14ac:dyDescent="0.25">
      <c r="A6" s="127">
        <v>45162</v>
      </c>
      <c r="B6" s="125" t="s">
        <v>743</v>
      </c>
      <c r="C6" s="125" t="s">
        <v>744</v>
      </c>
      <c r="D6" s="125">
        <v>0.3</v>
      </c>
      <c r="E6" s="125">
        <v>5.0000000000000001E-3</v>
      </c>
      <c r="F6" s="125" t="s">
        <v>94</v>
      </c>
      <c r="G6" s="125" t="s">
        <v>420</v>
      </c>
      <c r="H6" s="125" t="s">
        <v>133</v>
      </c>
      <c r="I6" s="125" t="s">
        <v>250</v>
      </c>
      <c r="J6" s="125" t="s">
        <v>353</v>
      </c>
    </row>
    <row r="7" spans="1:10" x14ac:dyDescent="0.25">
      <c r="A7" s="127">
        <v>45160</v>
      </c>
      <c r="B7" s="125" t="s">
        <v>491</v>
      </c>
      <c r="C7" s="125" t="s">
        <v>492</v>
      </c>
      <c r="D7" s="125">
        <v>0.2</v>
      </c>
      <c r="E7" s="125">
        <v>7.3980000000000001E-3</v>
      </c>
      <c r="F7" s="125" t="s">
        <v>117</v>
      </c>
      <c r="G7" s="125" t="s">
        <v>420</v>
      </c>
      <c r="H7" s="125" t="s">
        <v>133</v>
      </c>
      <c r="I7" s="125" t="s">
        <v>294</v>
      </c>
      <c r="J7" s="125" t="s">
        <v>353</v>
      </c>
    </row>
    <row r="8" spans="1:10" x14ac:dyDescent="0.25">
      <c r="A8" s="127">
        <v>45159</v>
      </c>
      <c r="B8" s="125" t="s">
        <v>527</v>
      </c>
      <c r="C8" s="125" t="s">
        <v>528</v>
      </c>
      <c r="D8" s="125">
        <v>3</v>
      </c>
      <c r="E8" s="125">
        <v>0.03</v>
      </c>
      <c r="F8" s="125" t="s">
        <v>94</v>
      </c>
      <c r="G8" s="125" t="s">
        <v>420</v>
      </c>
      <c r="H8" s="125" t="s">
        <v>133</v>
      </c>
      <c r="I8" s="125" t="s">
        <v>250</v>
      </c>
      <c r="J8" s="125" t="s">
        <v>251</v>
      </c>
    </row>
  </sheetData>
  <phoneticPr fontId="1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Q21"/>
  <sheetViews>
    <sheetView topLeftCell="A4" workbookViewId="0">
      <selection activeCell="E13" sqref="E13"/>
    </sheetView>
  </sheetViews>
  <sheetFormatPr defaultRowHeight="15" x14ac:dyDescent="0.25"/>
  <cols>
    <col min="1" max="1" width="29.88671875" style="1" bestFit="1" customWidth="1"/>
    <col min="2" max="2" width="20.88671875" style="1" bestFit="1" customWidth="1"/>
    <col min="3" max="3" width="13.33203125" style="1" bestFit="1" customWidth="1"/>
    <col min="4" max="4" width="9.33203125" style="1" bestFit="1" customWidth="1"/>
    <col min="5" max="5" width="43.77734375" style="1" bestFit="1" customWidth="1"/>
    <col min="6" max="6" width="10" style="1" bestFit="1" customWidth="1"/>
    <col min="7" max="7" width="12.5546875" style="1" bestFit="1" customWidth="1"/>
    <col min="8" max="8" width="9.21875" style="1" bestFit="1" customWidth="1"/>
    <col min="9" max="9" width="12" style="1" bestFit="1" customWidth="1"/>
    <col min="10" max="10" width="5.88671875" style="1" bestFit="1" customWidth="1"/>
    <col min="11" max="11" width="12" style="1" bestFit="1" customWidth="1"/>
    <col min="12" max="12" width="12.5546875" style="1" bestFit="1" customWidth="1"/>
    <col min="13" max="13" width="10.33203125" style="1" bestFit="1" customWidth="1"/>
    <col min="14" max="14" width="31.5546875" style="1" bestFit="1" customWidth="1"/>
    <col min="15" max="15" width="33.6640625" style="1" bestFit="1" customWidth="1"/>
    <col min="16" max="16" width="28.21875" style="1" bestFit="1" customWidth="1"/>
    <col min="17" max="17" width="12.5546875" style="1" bestFit="1" customWidth="1"/>
    <col min="18" max="18" width="9.21875" style="1" bestFit="1" customWidth="1"/>
    <col min="19" max="19" width="9.5546875" style="1" bestFit="1" customWidth="1"/>
    <col min="20" max="20" width="24.6640625" style="1" bestFit="1" customWidth="1"/>
    <col min="21" max="21" width="14.88671875" style="1" bestFit="1" customWidth="1"/>
    <col min="22" max="22" width="7.5546875" style="1" bestFit="1" customWidth="1"/>
    <col min="23" max="23" width="9.21875" style="1" bestFit="1" customWidth="1"/>
    <col min="24" max="24" width="6" style="1" bestFit="1" customWidth="1"/>
    <col min="25" max="25" width="7.6640625" style="1" bestFit="1" customWidth="1"/>
    <col min="26" max="26" width="19.5546875" style="1" bestFit="1" customWidth="1"/>
    <col min="27" max="27" width="10.33203125" style="1" bestFit="1" customWidth="1"/>
    <col min="28" max="30" width="9.21875" style="1" bestFit="1" customWidth="1"/>
    <col min="31" max="31" width="80.88671875" style="1" bestFit="1" customWidth="1"/>
    <col min="32" max="32" width="9.33203125" style="1" bestFit="1" customWidth="1"/>
    <col min="33" max="33" width="9.21875" style="1" bestFit="1" customWidth="1"/>
    <col min="34" max="35" width="12.5546875" style="1" bestFit="1" customWidth="1"/>
    <col min="36" max="36" width="5.88671875" style="1" bestFit="1" customWidth="1"/>
    <col min="37" max="38" width="9.21875" style="1" bestFit="1" customWidth="1"/>
    <col min="39" max="39" width="11" style="1" bestFit="1" customWidth="1"/>
    <col min="40" max="40" width="12.5546875" style="1" bestFit="1" customWidth="1"/>
    <col min="41" max="41" width="43.21875" style="1" bestFit="1" customWidth="1"/>
    <col min="42" max="43" width="10.88671875" style="1" bestFit="1" customWidth="1"/>
    <col min="44" max="44" width="8.44140625" style="1" bestFit="1" customWidth="1"/>
    <col min="45" max="45" width="12.5546875" style="1" bestFit="1" customWidth="1"/>
    <col min="46" max="46" width="9.21875" style="1" bestFit="1" customWidth="1"/>
    <col min="47" max="47" width="9.33203125" style="1" bestFit="1" customWidth="1"/>
    <col min="48" max="49" width="10.88671875" style="1" bestFit="1" customWidth="1"/>
    <col min="50" max="50" width="12.5546875" style="1" bestFit="1" customWidth="1"/>
    <col min="51" max="51" width="30.109375" style="1" bestFit="1" customWidth="1"/>
    <col min="52" max="52" width="51" style="1" bestFit="1" customWidth="1"/>
    <col min="53" max="53" width="14.21875" style="1" bestFit="1" customWidth="1"/>
    <col min="54" max="54" width="29.88671875" style="1" bestFit="1" customWidth="1"/>
    <col min="55" max="55" width="10.88671875" style="1" bestFit="1" customWidth="1"/>
    <col min="56" max="56" width="27.77734375" style="1" bestFit="1" customWidth="1"/>
    <col min="57" max="57" width="19" style="1" bestFit="1" customWidth="1"/>
    <col min="58" max="58" width="9.33203125" style="1" bestFit="1" customWidth="1"/>
    <col min="59" max="59" width="9.21875" style="1" bestFit="1" customWidth="1"/>
    <col min="60" max="61" width="80.88671875" style="1" bestFit="1" customWidth="1"/>
    <col min="62" max="62" width="10.88671875" style="1" bestFit="1" customWidth="1"/>
    <col min="63" max="67" width="9.21875" style="1" bestFit="1" customWidth="1"/>
    <col min="68" max="68" width="5.88671875" style="1" bestFit="1" customWidth="1"/>
    <col min="69" max="69" width="19.44140625" style="1" bestFit="1" customWidth="1"/>
    <col min="70" max="71" width="20.21875" style="1" bestFit="1" customWidth="1"/>
    <col min="72" max="76" width="19.33203125" style="1" bestFit="1" customWidth="1"/>
    <col min="77" max="77" width="6.109375" style="1" bestFit="1" customWidth="1"/>
    <col min="78" max="78" width="19.44140625" style="1" bestFit="1" customWidth="1"/>
    <col min="79" max="16384" width="8.88671875" style="1"/>
  </cols>
  <sheetData>
    <row r="1" spans="1:69" ht="67.5" customHeight="1" x14ac:dyDescent="0.25">
      <c r="A1" s="5" t="s">
        <v>314</v>
      </c>
    </row>
    <row r="5" spans="1:69" x14ac:dyDescent="0.25">
      <c r="A5" t="s">
        <v>105</v>
      </c>
      <c r="B5" t="s">
        <v>295</v>
      </c>
      <c r="C5" t="s">
        <v>55</v>
      </c>
      <c r="D5" t="s">
        <v>56</v>
      </c>
      <c r="E5" t="s">
        <v>54</v>
      </c>
      <c r="F5" t="s">
        <v>109</v>
      </c>
      <c r="G5" t="s">
        <v>110</v>
      </c>
      <c r="H5" t="s">
        <v>57</v>
      </c>
      <c r="I5" t="s">
        <v>65</v>
      </c>
      <c r="J5" t="s">
        <v>72</v>
      </c>
      <c r="K5" t="s">
        <v>66</v>
      </c>
      <c r="L5" t="s">
        <v>59</v>
      </c>
      <c r="M5" t="s">
        <v>60</v>
      </c>
      <c r="N5" t="s">
        <v>111</v>
      </c>
      <c r="O5" t="s">
        <v>242</v>
      </c>
      <c r="P5" t="s">
        <v>243</v>
      </c>
      <c r="Q5" t="s">
        <v>62</v>
      </c>
      <c r="R5" t="s">
        <v>234</v>
      </c>
      <c r="S5" t="s">
        <v>296</v>
      </c>
      <c r="T5" t="s">
        <v>63</v>
      </c>
      <c r="U5" t="s">
        <v>64</v>
      </c>
      <c r="V5" t="s">
        <v>67</v>
      </c>
      <c r="W5" t="s">
        <v>68</v>
      </c>
      <c r="X5" t="s">
        <v>106</v>
      </c>
      <c r="Y5" t="s">
        <v>52</v>
      </c>
      <c r="Z5" t="s">
        <v>53</v>
      </c>
      <c r="AA5" t="s">
        <v>157</v>
      </c>
      <c r="AB5" t="s">
        <v>69</v>
      </c>
      <c r="AC5" t="s">
        <v>70</v>
      </c>
      <c r="AD5" t="s">
        <v>71</v>
      </c>
      <c r="AE5" t="s">
        <v>73</v>
      </c>
      <c r="AF5" t="s">
        <v>51</v>
      </c>
      <c r="AG5" t="s">
        <v>107</v>
      </c>
      <c r="AH5" t="s">
        <v>206</v>
      </c>
      <c r="AI5" t="s">
        <v>58</v>
      </c>
      <c r="AJ5" t="s">
        <v>50</v>
      </c>
      <c r="AK5" t="s">
        <v>108</v>
      </c>
      <c r="AL5" t="s">
        <v>259</v>
      </c>
      <c r="AM5" t="s">
        <v>49</v>
      </c>
      <c r="AN5" t="s">
        <v>260</v>
      </c>
      <c r="AO5" t="s">
        <v>263</v>
      </c>
      <c r="AP5" t="s">
        <v>261</v>
      </c>
      <c r="AQ5" t="s">
        <v>262</v>
      </c>
      <c r="AR5" t="s">
        <v>74</v>
      </c>
      <c r="AS5" t="s">
        <v>112</v>
      </c>
      <c r="AT5" t="s">
        <v>113</v>
      </c>
      <c r="AU5" t="s">
        <v>75</v>
      </c>
      <c r="AV5" t="s">
        <v>76</v>
      </c>
      <c r="AW5" t="s">
        <v>78</v>
      </c>
      <c r="AX5" t="s">
        <v>114</v>
      </c>
      <c r="AY5" t="s">
        <v>77</v>
      </c>
      <c r="AZ5" t="s">
        <v>79</v>
      </c>
      <c r="BA5" t="s">
        <v>90</v>
      </c>
      <c r="BB5" t="s">
        <v>80</v>
      </c>
      <c r="BC5" t="s">
        <v>81</v>
      </c>
      <c r="BD5" t="s">
        <v>265</v>
      </c>
      <c r="BE5" t="s">
        <v>115</v>
      </c>
      <c r="BF5" t="s">
        <v>82</v>
      </c>
      <c r="BG5" t="s">
        <v>85</v>
      </c>
      <c r="BH5" t="s">
        <v>83</v>
      </c>
      <c r="BI5" t="s">
        <v>264</v>
      </c>
      <c r="BJ5" t="s">
        <v>84</v>
      </c>
      <c r="BK5" t="s">
        <v>86</v>
      </c>
      <c r="BL5" t="s">
        <v>87</v>
      </c>
      <c r="BM5" t="s">
        <v>88</v>
      </c>
      <c r="BN5" t="s">
        <v>116</v>
      </c>
      <c r="BO5" t="s">
        <v>89</v>
      </c>
      <c r="BP5" t="s">
        <v>98</v>
      </c>
      <c r="BQ5" t="s">
        <v>165</v>
      </c>
    </row>
    <row r="6" spans="1:69" x14ac:dyDescent="0.25">
      <c r="A6" t="s">
        <v>698</v>
      </c>
      <c r="B6" t="s">
        <v>699</v>
      </c>
      <c r="C6" t="s">
        <v>696</v>
      </c>
      <c r="D6" s="116">
        <v>45163</v>
      </c>
      <c r="E6" t="s">
        <v>700</v>
      </c>
      <c r="F6" t="s">
        <v>150</v>
      </c>
      <c r="G6" t="s">
        <v>150</v>
      </c>
      <c r="H6" t="s">
        <v>150</v>
      </c>
      <c r="I6">
        <v>2.1800000000000002</v>
      </c>
      <c r="J6" t="s">
        <v>117</v>
      </c>
      <c r="K6" t="s">
        <v>233</v>
      </c>
      <c r="L6">
        <v>4.7</v>
      </c>
      <c r="M6" s="116">
        <v>46266</v>
      </c>
      <c r="N6" t="s">
        <v>341</v>
      </c>
      <c r="O6" t="s">
        <v>103</v>
      </c>
      <c r="P6" t="s">
        <v>701</v>
      </c>
      <c r="Q6" s="100"/>
      <c r="R6" t="s">
        <v>235</v>
      </c>
      <c r="S6" t="s">
        <v>499</v>
      </c>
      <c r="T6" t="s">
        <v>702</v>
      </c>
      <c r="U6" t="s">
        <v>151</v>
      </c>
      <c r="V6">
        <v>100</v>
      </c>
      <c r="W6"/>
      <c r="X6" t="s">
        <v>358</v>
      </c>
      <c r="Y6" t="s">
        <v>703</v>
      </c>
      <c r="Z6"/>
      <c r="AA6" s="100"/>
      <c r="AB6" s="100"/>
      <c r="AC6"/>
      <c r="AD6"/>
      <c r="AE6" t="s">
        <v>704</v>
      </c>
      <c r="AF6" t="s">
        <v>705</v>
      </c>
      <c r="AG6" t="s">
        <v>103</v>
      </c>
      <c r="AH6" t="s">
        <v>150</v>
      </c>
      <c r="AI6" t="s">
        <v>292</v>
      </c>
      <c r="AJ6" t="s">
        <v>2</v>
      </c>
      <c r="AK6" t="s">
        <v>91</v>
      </c>
      <c r="AL6" t="s">
        <v>297</v>
      </c>
      <c r="AM6" t="s">
        <v>149</v>
      </c>
      <c r="AN6"/>
      <c r="AO6" t="s">
        <v>706</v>
      </c>
      <c r="AP6"/>
      <c r="AQ6"/>
      <c r="AR6" t="s">
        <v>707</v>
      </c>
      <c r="AS6">
        <v>10000</v>
      </c>
      <c r="AT6">
        <v>2.1800000000000002</v>
      </c>
      <c r="AU6" s="116">
        <v>45170</v>
      </c>
      <c r="AV6" s="116"/>
      <c r="AW6" s="116">
        <v>45352</v>
      </c>
      <c r="AX6">
        <v>4.7</v>
      </c>
      <c r="AY6" t="s">
        <v>103</v>
      </c>
      <c r="AZ6" t="s">
        <v>708</v>
      </c>
      <c r="BA6" t="s">
        <v>103</v>
      </c>
      <c r="BB6" t="s">
        <v>698</v>
      </c>
      <c r="BC6" s="116">
        <v>45170</v>
      </c>
      <c r="BD6" t="s">
        <v>701</v>
      </c>
      <c r="BE6" t="s">
        <v>289</v>
      </c>
      <c r="BF6" s="116">
        <v>45170</v>
      </c>
      <c r="BG6" t="s">
        <v>152</v>
      </c>
      <c r="BH6" t="s">
        <v>709</v>
      </c>
      <c r="BI6" t="s">
        <v>710</v>
      </c>
      <c r="BJ6" t="s">
        <v>152</v>
      </c>
      <c r="BK6" t="s">
        <v>153</v>
      </c>
      <c r="BL6" t="s">
        <v>154</v>
      </c>
      <c r="BM6" t="s">
        <v>155</v>
      </c>
      <c r="BN6" t="s">
        <v>103</v>
      </c>
      <c r="BO6" t="s">
        <v>156</v>
      </c>
      <c r="BP6" t="s">
        <v>10</v>
      </c>
      <c r="BQ6" t="s">
        <v>697</v>
      </c>
    </row>
    <row r="7" spans="1:69" x14ac:dyDescent="0.25">
      <c r="A7" t="s">
        <v>732</v>
      </c>
      <c r="B7" t="s">
        <v>733</v>
      </c>
      <c r="C7" t="s">
        <v>734</v>
      </c>
      <c r="D7" s="116">
        <v>45163</v>
      </c>
      <c r="E7" t="s">
        <v>735</v>
      </c>
      <c r="F7" t="s">
        <v>150</v>
      </c>
      <c r="G7" t="s">
        <v>150</v>
      </c>
      <c r="H7" t="s">
        <v>150</v>
      </c>
      <c r="I7">
        <v>0.45</v>
      </c>
      <c r="J7" t="s">
        <v>94</v>
      </c>
      <c r="K7" t="s">
        <v>233</v>
      </c>
      <c r="L7">
        <v>5.7</v>
      </c>
      <c r="M7" s="116">
        <v>46264</v>
      </c>
      <c r="N7" t="s">
        <v>341</v>
      </c>
      <c r="O7" t="s">
        <v>736</v>
      </c>
      <c r="P7" t="s">
        <v>737</v>
      </c>
      <c r="Q7" s="100">
        <v>0</v>
      </c>
      <c r="R7" t="s">
        <v>235</v>
      </c>
      <c r="S7" t="s">
        <v>283</v>
      </c>
      <c r="T7" t="s">
        <v>103</v>
      </c>
      <c r="U7" t="s">
        <v>151</v>
      </c>
      <c r="V7">
        <v>100</v>
      </c>
      <c r="W7"/>
      <c r="X7" t="s">
        <v>342</v>
      </c>
      <c r="Y7" t="s">
        <v>738</v>
      </c>
      <c r="Z7"/>
      <c r="AA7" s="100"/>
      <c r="AB7" s="100"/>
      <c r="AC7"/>
      <c r="AD7"/>
      <c r="AE7" t="s">
        <v>103</v>
      </c>
      <c r="AF7" t="s">
        <v>290</v>
      </c>
      <c r="AG7" t="s">
        <v>103</v>
      </c>
      <c r="AH7" t="s">
        <v>150</v>
      </c>
      <c r="AI7" t="s">
        <v>103</v>
      </c>
      <c r="AJ7" t="s">
        <v>2</v>
      </c>
      <c r="AK7" t="s">
        <v>91</v>
      </c>
      <c r="AL7" t="s">
        <v>504</v>
      </c>
      <c r="AM7" t="s">
        <v>149</v>
      </c>
      <c r="AN7"/>
      <c r="AO7" t="s">
        <v>739</v>
      </c>
      <c r="AP7"/>
      <c r="AQ7"/>
      <c r="AR7" t="s">
        <v>740</v>
      </c>
      <c r="AS7">
        <v>1000</v>
      </c>
      <c r="AT7">
        <v>0.45</v>
      </c>
      <c r="AU7" s="116">
        <v>45168</v>
      </c>
      <c r="AV7" s="116"/>
      <c r="AW7" s="116">
        <v>45351</v>
      </c>
      <c r="AX7">
        <v>5.7</v>
      </c>
      <c r="AY7" t="s">
        <v>103</v>
      </c>
      <c r="AZ7" t="s">
        <v>732</v>
      </c>
      <c r="BA7" t="s">
        <v>103</v>
      </c>
      <c r="BB7" t="s">
        <v>103</v>
      </c>
      <c r="BC7" s="116">
        <v>45168</v>
      </c>
      <c r="BD7"/>
      <c r="BE7" t="s">
        <v>359</v>
      </c>
      <c r="BF7" s="116">
        <v>45168</v>
      </c>
      <c r="BG7" t="s">
        <v>152</v>
      </c>
      <c r="BH7" t="s">
        <v>103</v>
      </c>
      <c r="BI7" t="s">
        <v>103</v>
      </c>
      <c r="BJ7" t="s">
        <v>152</v>
      </c>
      <c r="BK7" t="s">
        <v>153</v>
      </c>
      <c r="BL7" t="s">
        <v>154</v>
      </c>
      <c r="BM7" t="s">
        <v>155</v>
      </c>
      <c r="BN7" t="s">
        <v>103</v>
      </c>
      <c r="BO7" t="s">
        <v>156</v>
      </c>
      <c r="BP7" t="s">
        <v>17</v>
      </c>
      <c r="BQ7" t="s">
        <v>741</v>
      </c>
    </row>
    <row r="8" spans="1:69" x14ac:dyDescent="0.25">
      <c r="A8" t="s">
        <v>333</v>
      </c>
      <c r="B8" t="s">
        <v>742</v>
      </c>
      <c r="C8" t="s">
        <v>743</v>
      </c>
      <c r="D8" s="116">
        <v>45162</v>
      </c>
      <c r="E8" t="s">
        <v>744</v>
      </c>
      <c r="F8" t="s">
        <v>150</v>
      </c>
      <c r="G8" t="s">
        <v>150</v>
      </c>
      <c r="H8" t="s">
        <v>150</v>
      </c>
      <c r="I8">
        <v>5.0000000000000001E-3</v>
      </c>
      <c r="J8" t="s">
        <v>94</v>
      </c>
      <c r="K8" t="s">
        <v>745</v>
      </c>
      <c r="L8">
        <v>5.3</v>
      </c>
      <c r="M8" s="116">
        <v>45259</v>
      </c>
      <c r="N8" t="s">
        <v>121</v>
      </c>
      <c r="O8" t="s">
        <v>103</v>
      </c>
      <c r="P8" t="s">
        <v>103</v>
      </c>
      <c r="Q8" s="100"/>
      <c r="R8" t="s">
        <v>235</v>
      </c>
      <c r="S8" t="s">
        <v>45</v>
      </c>
      <c r="T8" t="s">
        <v>103</v>
      </c>
      <c r="U8" t="s">
        <v>151</v>
      </c>
      <c r="V8">
        <v>100</v>
      </c>
      <c r="W8"/>
      <c r="X8" t="s">
        <v>336</v>
      </c>
      <c r="Y8"/>
      <c r="Z8"/>
      <c r="AA8" s="100"/>
      <c r="AB8" s="100"/>
      <c r="AC8"/>
      <c r="AD8"/>
      <c r="AE8" t="s">
        <v>337</v>
      </c>
      <c r="AF8" t="s">
        <v>338</v>
      </c>
      <c r="AG8" t="s">
        <v>103</v>
      </c>
      <c r="AH8" t="s">
        <v>150</v>
      </c>
      <c r="AI8" t="s">
        <v>103</v>
      </c>
      <c r="AJ8" t="s">
        <v>93</v>
      </c>
      <c r="AK8" t="s">
        <v>91</v>
      </c>
      <c r="AL8" t="s">
        <v>746</v>
      </c>
      <c r="AM8" t="s">
        <v>149</v>
      </c>
      <c r="AN8"/>
      <c r="AO8"/>
      <c r="AP8"/>
      <c r="AQ8"/>
      <c r="AR8" t="s">
        <v>339</v>
      </c>
      <c r="AS8">
        <v>500000</v>
      </c>
      <c r="AT8">
        <v>5.0000000000000001E-3</v>
      </c>
      <c r="AU8" s="116">
        <v>45167</v>
      </c>
      <c r="AV8" s="116"/>
      <c r="AW8" s="116"/>
      <c r="AX8">
        <v>5.3</v>
      </c>
      <c r="AY8" t="s">
        <v>103</v>
      </c>
      <c r="AZ8" t="s">
        <v>340</v>
      </c>
      <c r="BA8" t="s">
        <v>103</v>
      </c>
      <c r="BB8" t="s">
        <v>333</v>
      </c>
      <c r="BC8" s="116">
        <v>45167</v>
      </c>
      <c r="BD8"/>
      <c r="BE8" t="s">
        <v>103</v>
      </c>
      <c r="BF8" s="116">
        <v>45167</v>
      </c>
      <c r="BG8" t="s">
        <v>152</v>
      </c>
      <c r="BH8" t="s">
        <v>103</v>
      </c>
      <c r="BI8" t="s">
        <v>337</v>
      </c>
      <c r="BJ8" t="s">
        <v>152</v>
      </c>
      <c r="BK8" t="s">
        <v>153</v>
      </c>
      <c r="BL8" t="s">
        <v>154</v>
      </c>
      <c r="BM8" t="s">
        <v>747</v>
      </c>
      <c r="BN8" t="s">
        <v>103</v>
      </c>
      <c r="BO8" t="s">
        <v>103</v>
      </c>
      <c r="BP8" t="s">
        <v>12</v>
      </c>
      <c r="BQ8" t="s">
        <v>748</v>
      </c>
    </row>
    <row r="9" spans="1:69" x14ac:dyDescent="0.25">
      <c r="A9" t="s">
        <v>434</v>
      </c>
      <c r="B9" t="s">
        <v>435</v>
      </c>
      <c r="C9" t="s">
        <v>436</v>
      </c>
      <c r="D9" s="116">
        <v>45162</v>
      </c>
      <c r="E9" t="s">
        <v>437</v>
      </c>
      <c r="F9" t="s">
        <v>150</v>
      </c>
      <c r="G9" t="s">
        <v>150</v>
      </c>
      <c r="H9" t="s">
        <v>150</v>
      </c>
      <c r="I9">
        <v>1.7</v>
      </c>
      <c r="J9" t="s">
        <v>117</v>
      </c>
      <c r="K9" t="s">
        <v>233</v>
      </c>
      <c r="L9">
        <v>4.8</v>
      </c>
      <c r="M9" s="116">
        <v>46264</v>
      </c>
      <c r="N9" t="s">
        <v>341</v>
      </c>
      <c r="O9" t="s">
        <v>103</v>
      </c>
      <c r="P9" t="s">
        <v>438</v>
      </c>
      <c r="Q9" s="100"/>
      <c r="R9" t="s">
        <v>235</v>
      </c>
      <c r="S9" t="s">
        <v>284</v>
      </c>
      <c r="T9" t="s">
        <v>439</v>
      </c>
      <c r="U9" t="s">
        <v>151</v>
      </c>
      <c r="V9">
        <v>100</v>
      </c>
      <c r="W9"/>
      <c r="X9" t="s">
        <v>440</v>
      </c>
      <c r="Y9" t="s">
        <v>441</v>
      </c>
      <c r="Z9" t="s">
        <v>442</v>
      </c>
      <c r="AA9" s="100"/>
      <c r="AB9" s="100"/>
      <c r="AC9"/>
      <c r="AD9"/>
      <c r="AE9" t="s">
        <v>443</v>
      </c>
      <c r="AF9" t="s">
        <v>290</v>
      </c>
      <c r="AG9" t="s">
        <v>103</v>
      </c>
      <c r="AH9" t="s">
        <v>150</v>
      </c>
      <c r="AI9" t="s">
        <v>292</v>
      </c>
      <c r="AJ9" t="s">
        <v>1</v>
      </c>
      <c r="AK9" t="s">
        <v>91</v>
      </c>
      <c r="AL9" t="s">
        <v>504</v>
      </c>
      <c r="AM9" t="s">
        <v>149</v>
      </c>
      <c r="AN9"/>
      <c r="AO9" t="s">
        <v>444</v>
      </c>
      <c r="AP9"/>
      <c r="AQ9"/>
      <c r="AR9" t="s">
        <v>445</v>
      </c>
      <c r="AS9">
        <v>10000</v>
      </c>
      <c r="AT9">
        <v>1.7</v>
      </c>
      <c r="AU9" s="116">
        <v>45168</v>
      </c>
      <c r="AV9" s="116"/>
      <c r="AW9" s="116"/>
      <c r="AX9">
        <v>4.8</v>
      </c>
      <c r="AY9" t="s">
        <v>103</v>
      </c>
      <c r="AZ9" t="s">
        <v>434</v>
      </c>
      <c r="BA9" t="s">
        <v>103</v>
      </c>
      <c r="BB9" t="s">
        <v>103</v>
      </c>
      <c r="BC9" s="116">
        <v>45168</v>
      </c>
      <c r="BD9" t="s">
        <v>438</v>
      </c>
      <c r="BE9" t="s">
        <v>289</v>
      </c>
      <c r="BF9" s="116">
        <v>45168</v>
      </c>
      <c r="BG9" t="s">
        <v>152</v>
      </c>
      <c r="BH9" t="s">
        <v>446</v>
      </c>
      <c r="BI9" t="s">
        <v>447</v>
      </c>
      <c r="BJ9" t="s">
        <v>152</v>
      </c>
      <c r="BK9" t="s">
        <v>153</v>
      </c>
      <c r="BL9" t="s">
        <v>154</v>
      </c>
      <c r="BM9" t="s">
        <v>155</v>
      </c>
      <c r="BN9" t="s">
        <v>103</v>
      </c>
      <c r="BO9" t="s">
        <v>103</v>
      </c>
      <c r="BP9" t="s">
        <v>21</v>
      </c>
      <c r="BQ9" t="s">
        <v>448</v>
      </c>
    </row>
    <row r="10" spans="1:69" x14ac:dyDescent="0.25">
      <c r="A10" t="s">
        <v>449</v>
      </c>
      <c r="B10" t="s">
        <v>450</v>
      </c>
      <c r="C10" t="s">
        <v>451</v>
      </c>
      <c r="D10" s="116">
        <v>45162</v>
      </c>
      <c r="E10" t="s">
        <v>452</v>
      </c>
      <c r="F10" t="s">
        <v>150</v>
      </c>
      <c r="G10" t="s">
        <v>150</v>
      </c>
      <c r="H10" t="s">
        <v>150</v>
      </c>
      <c r="I10">
        <v>7.18</v>
      </c>
      <c r="J10" t="s">
        <v>117</v>
      </c>
      <c r="K10" t="s">
        <v>233</v>
      </c>
      <c r="L10">
        <v>5</v>
      </c>
      <c r="M10" s="116">
        <v>46265</v>
      </c>
      <c r="N10" t="s">
        <v>341</v>
      </c>
      <c r="O10" t="s">
        <v>103</v>
      </c>
      <c r="P10" t="s">
        <v>453</v>
      </c>
      <c r="Q10" s="100"/>
      <c r="R10" t="s">
        <v>235</v>
      </c>
      <c r="S10" t="s">
        <v>284</v>
      </c>
      <c r="T10" t="s">
        <v>454</v>
      </c>
      <c r="U10" t="s">
        <v>151</v>
      </c>
      <c r="V10">
        <v>100</v>
      </c>
      <c r="W10"/>
      <c r="X10" t="s">
        <v>440</v>
      </c>
      <c r="Y10" t="s">
        <v>455</v>
      </c>
      <c r="Z10" t="s">
        <v>711</v>
      </c>
      <c r="AA10" s="100"/>
      <c r="AB10" s="100"/>
      <c r="AC10"/>
      <c r="AD10"/>
      <c r="AE10" t="s">
        <v>456</v>
      </c>
      <c r="AF10" t="s">
        <v>457</v>
      </c>
      <c r="AG10" t="s">
        <v>103</v>
      </c>
      <c r="AH10" t="s">
        <v>150</v>
      </c>
      <c r="AI10" t="s">
        <v>292</v>
      </c>
      <c r="AJ10" t="s">
        <v>1</v>
      </c>
      <c r="AK10" t="s">
        <v>91</v>
      </c>
      <c r="AL10" t="s">
        <v>297</v>
      </c>
      <c r="AM10" t="s">
        <v>149</v>
      </c>
      <c r="AN10"/>
      <c r="AO10" t="s">
        <v>458</v>
      </c>
      <c r="AP10"/>
      <c r="AQ10"/>
      <c r="AR10" t="s">
        <v>459</v>
      </c>
      <c r="AS10">
        <v>10000</v>
      </c>
      <c r="AT10">
        <v>7.18</v>
      </c>
      <c r="AU10" s="116">
        <v>45169</v>
      </c>
      <c r="AV10" s="116"/>
      <c r="AW10" s="116">
        <v>45351</v>
      </c>
      <c r="AX10">
        <v>5</v>
      </c>
      <c r="AY10" t="s">
        <v>103</v>
      </c>
      <c r="AZ10" t="s">
        <v>449</v>
      </c>
      <c r="BA10" t="s">
        <v>103</v>
      </c>
      <c r="BB10" t="s">
        <v>103</v>
      </c>
      <c r="BC10" s="116">
        <v>45169</v>
      </c>
      <c r="BD10" t="s">
        <v>453</v>
      </c>
      <c r="BE10" t="s">
        <v>289</v>
      </c>
      <c r="BF10" s="116">
        <v>45169</v>
      </c>
      <c r="BG10" t="s">
        <v>152</v>
      </c>
      <c r="BH10" t="s">
        <v>460</v>
      </c>
      <c r="BI10" t="s">
        <v>461</v>
      </c>
      <c r="BJ10" t="s">
        <v>152</v>
      </c>
      <c r="BK10" t="s">
        <v>153</v>
      </c>
      <c r="BL10" t="s">
        <v>154</v>
      </c>
      <c r="BM10" t="s">
        <v>155</v>
      </c>
      <c r="BN10" t="s">
        <v>103</v>
      </c>
      <c r="BO10" t="s">
        <v>156</v>
      </c>
      <c r="BP10" t="s">
        <v>21</v>
      </c>
      <c r="BQ10" t="s">
        <v>462</v>
      </c>
    </row>
    <row r="11" spans="1:69" x14ac:dyDescent="0.25">
      <c r="A11" t="s">
        <v>463</v>
      </c>
      <c r="B11" t="s">
        <v>464</v>
      </c>
      <c r="C11" t="s">
        <v>465</v>
      </c>
      <c r="D11" s="116">
        <v>45162</v>
      </c>
      <c r="E11" t="s">
        <v>466</v>
      </c>
      <c r="F11" t="s">
        <v>150</v>
      </c>
      <c r="G11" t="s">
        <v>150</v>
      </c>
      <c r="H11" t="s">
        <v>150</v>
      </c>
      <c r="I11">
        <v>0.25800000000000001</v>
      </c>
      <c r="J11" t="s">
        <v>94</v>
      </c>
      <c r="K11" t="s">
        <v>233</v>
      </c>
      <c r="L11">
        <v>7.2</v>
      </c>
      <c r="M11" s="116">
        <v>46262</v>
      </c>
      <c r="N11" t="s">
        <v>467</v>
      </c>
      <c r="O11" t="s">
        <v>103</v>
      </c>
      <c r="P11" t="s">
        <v>103</v>
      </c>
      <c r="Q11" s="100"/>
      <c r="R11" t="s">
        <v>235</v>
      </c>
      <c r="S11" t="s">
        <v>283</v>
      </c>
      <c r="T11" t="s">
        <v>103</v>
      </c>
      <c r="U11" t="s">
        <v>151</v>
      </c>
      <c r="V11">
        <v>100</v>
      </c>
      <c r="W11"/>
      <c r="X11" t="s">
        <v>468</v>
      </c>
      <c r="Y11" t="s">
        <v>469</v>
      </c>
      <c r="Z11"/>
      <c r="AA11" s="100"/>
      <c r="AB11" s="100"/>
      <c r="AC11"/>
      <c r="AD11"/>
      <c r="AE11" t="s">
        <v>470</v>
      </c>
      <c r="AF11" t="s">
        <v>471</v>
      </c>
      <c r="AG11" t="s">
        <v>103</v>
      </c>
      <c r="AH11" t="s">
        <v>150</v>
      </c>
      <c r="AI11" t="s">
        <v>292</v>
      </c>
      <c r="AJ11" t="s">
        <v>1</v>
      </c>
      <c r="AK11" t="s">
        <v>91</v>
      </c>
      <c r="AL11" t="s">
        <v>504</v>
      </c>
      <c r="AM11" t="s">
        <v>149</v>
      </c>
      <c r="AN11"/>
      <c r="AO11"/>
      <c r="AP11"/>
      <c r="AQ11"/>
      <c r="AR11" t="s">
        <v>472</v>
      </c>
      <c r="AS11">
        <v>1000</v>
      </c>
      <c r="AT11">
        <v>0.25800000000000001</v>
      </c>
      <c r="AU11" s="116">
        <v>45166</v>
      </c>
      <c r="AV11" s="116"/>
      <c r="AW11" s="116">
        <v>45350</v>
      </c>
      <c r="AX11">
        <v>7.2</v>
      </c>
      <c r="AY11" t="s">
        <v>103</v>
      </c>
      <c r="AZ11" t="s">
        <v>463</v>
      </c>
      <c r="BA11" t="s">
        <v>103</v>
      </c>
      <c r="BB11" t="s">
        <v>103</v>
      </c>
      <c r="BC11" s="116">
        <v>45166</v>
      </c>
      <c r="BD11"/>
      <c r="BE11" t="s">
        <v>289</v>
      </c>
      <c r="BF11" s="116">
        <v>45166</v>
      </c>
      <c r="BG11" t="s">
        <v>152</v>
      </c>
      <c r="BH11" t="s">
        <v>103</v>
      </c>
      <c r="BI11" t="s">
        <v>473</v>
      </c>
      <c r="BJ11" t="s">
        <v>152</v>
      </c>
      <c r="BK11" t="s">
        <v>153</v>
      </c>
      <c r="BL11" t="s">
        <v>154</v>
      </c>
      <c r="BM11" t="s">
        <v>155</v>
      </c>
      <c r="BN11" t="s">
        <v>103</v>
      </c>
      <c r="BO11" t="s">
        <v>156</v>
      </c>
      <c r="BP11" t="s">
        <v>26</v>
      </c>
      <c r="BQ11" t="s">
        <v>474</v>
      </c>
    </row>
    <row r="12" spans="1:69" x14ac:dyDescent="0.25">
      <c r="A12" t="s">
        <v>475</v>
      </c>
      <c r="B12" t="s">
        <v>476</v>
      </c>
      <c r="C12" t="s">
        <v>432</v>
      </c>
      <c r="D12" s="116">
        <v>45161</v>
      </c>
      <c r="E12" t="s">
        <v>477</v>
      </c>
      <c r="F12" t="s">
        <v>478</v>
      </c>
      <c r="G12" t="s">
        <v>351</v>
      </c>
      <c r="H12" t="s">
        <v>150</v>
      </c>
      <c r="I12">
        <v>5</v>
      </c>
      <c r="J12" t="s">
        <v>94</v>
      </c>
      <c r="K12" t="s">
        <v>233</v>
      </c>
      <c r="L12">
        <v>5.9348999999999998</v>
      </c>
      <c r="M12" s="116">
        <v>46264</v>
      </c>
      <c r="N12" t="s">
        <v>467</v>
      </c>
      <c r="O12" t="s">
        <v>479</v>
      </c>
      <c r="P12" t="s">
        <v>480</v>
      </c>
      <c r="Q12" s="100">
        <v>45</v>
      </c>
      <c r="R12" t="s">
        <v>235</v>
      </c>
      <c r="S12" t="s">
        <v>283</v>
      </c>
      <c r="T12" t="s">
        <v>103</v>
      </c>
      <c r="U12" t="s">
        <v>151</v>
      </c>
      <c r="V12">
        <v>100</v>
      </c>
      <c r="W12"/>
      <c r="X12" t="s">
        <v>343</v>
      </c>
      <c r="Y12" t="s">
        <v>344</v>
      </c>
      <c r="Z12"/>
      <c r="AA12" s="100"/>
      <c r="AB12" s="100"/>
      <c r="AC12"/>
      <c r="AD12"/>
      <c r="AE12" t="s">
        <v>481</v>
      </c>
      <c r="AF12" t="s">
        <v>348</v>
      </c>
      <c r="AG12" t="s">
        <v>38</v>
      </c>
      <c r="AH12" t="s">
        <v>150</v>
      </c>
      <c r="AI12" t="s">
        <v>288</v>
      </c>
      <c r="AJ12" t="s">
        <v>93</v>
      </c>
      <c r="AK12" t="s">
        <v>178</v>
      </c>
      <c r="AL12" t="s">
        <v>504</v>
      </c>
      <c r="AM12" t="s">
        <v>349</v>
      </c>
      <c r="AN12"/>
      <c r="AO12" t="s">
        <v>482</v>
      </c>
      <c r="AP12"/>
      <c r="AQ12"/>
      <c r="AR12" t="s">
        <v>483</v>
      </c>
      <c r="AS12">
        <v>1000</v>
      </c>
      <c r="AT12">
        <v>5</v>
      </c>
      <c r="AU12" s="116">
        <v>45168</v>
      </c>
      <c r="AV12" s="116"/>
      <c r="AW12" s="116">
        <v>45260</v>
      </c>
      <c r="AX12">
        <v>5.9348999999999998</v>
      </c>
      <c r="AY12" t="s">
        <v>484</v>
      </c>
      <c r="AZ12" t="s">
        <v>485</v>
      </c>
      <c r="BA12" t="s">
        <v>103</v>
      </c>
      <c r="BB12" t="s">
        <v>103</v>
      </c>
      <c r="BC12" s="116">
        <v>45168</v>
      </c>
      <c r="BD12" t="s">
        <v>486</v>
      </c>
      <c r="BE12" t="s">
        <v>103</v>
      </c>
      <c r="BF12" s="116">
        <v>45168</v>
      </c>
      <c r="BG12" t="s">
        <v>152</v>
      </c>
      <c r="BH12" t="s">
        <v>487</v>
      </c>
      <c r="BI12" t="s">
        <v>488</v>
      </c>
      <c r="BJ12" t="s">
        <v>152</v>
      </c>
      <c r="BK12" t="s">
        <v>346</v>
      </c>
      <c r="BL12" t="s">
        <v>154</v>
      </c>
      <c r="BM12" t="s">
        <v>155</v>
      </c>
      <c r="BN12" t="s">
        <v>103</v>
      </c>
      <c r="BO12" t="s">
        <v>345</v>
      </c>
      <c r="BP12" t="s">
        <v>13</v>
      </c>
      <c r="BQ12" t="s">
        <v>489</v>
      </c>
    </row>
    <row r="13" spans="1:69" x14ac:dyDescent="0.25">
      <c r="A13" t="s">
        <v>333</v>
      </c>
      <c r="B13" t="s">
        <v>490</v>
      </c>
      <c r="C13" t="s">
        <v>491</v>
      </c>
      <c r="D13" s="116">
        <v>45160</v>
      </c>
      <c r="E13" t="s">
        <v>492</v>
      </c>
      <c r="F13" t="s">
        <v>150</v>
      </c>
      <c r="G13" t="s">
        <v>150</v>
      </c>
      <c r="H13" t="s">
        <v>150</v>
      </c>
      <c r="I13">
        <v>5.3999999999999999E-2</v>
      </c>
      <c r="J13" t="s">
        <v>117</v>
      </c>
      <c r="K13" t="s">
        <v>493</v>
      </c>
      <c r="L13">
        <v>2.4</v>
      </c>
      <c r="M13" s="116">
        <v>45230</v>
      </c>
      <c r="N13" t="s">
        <v>121</v>
      </c>
      <c r="O13" t="s">
        <v>103</v>
      </c>
      <c r="P13" t="s">
        <v>103</v>
      </c>
      <c r="Q13" s="100"/>
      <c r="R13" t="s">
        <v>235</v>
      </c>
      <c r="S13" t="s">
        <v>45</v>
      </c>
      <c r="T13" t="s">
        <v>103</v>
      </c>
      <c r="U13" t="s">
        <v>335</v>
      </c>
      <c r="V13">
        <v>100</v>
      </c>
      <c r="W13"/>
      <c r="X13" t="s">
        <v>336</v>
      </c>
      <c r="Y13"/>
      <c r="Z13"/>
      <c r="AA13" s="100"/>
      <c r="AB13" s="100"/>
      <c r="AC13"/>
      <c r="AD13"/>
      <c r="AE13" t="s">
        <v>337</v>
      </c>
      <c r="AF13" t="s">
        <v>338</v>
      </c>
      <c r="AG13" t="s">
        <v>103</v>
      </c>
      <c r="AH13" t="s">
        <v>150</v>
      </c>
      <c r="AI13" t="s">
        <v>103</v>
      </c>
      <c r="AJ13" t="s">
        <v>93</v>
      </c>
      <c r="AK13" t="s">
        <v>91</v>
      </c>
      <c r="AL13" t="s">
        <v>712</v>
      </c>
      <c r="AM13" t="s">
        <v>149</v>
      </c>
      <c r="AN13"/>
      <c r="AO13"/>
      <c r="AP13"/>
      <c r="AQ13"/>
      <c r="AR13" t="s">
        <v>339</v>
      </c>
      <c r="AS13">
        <v>5400000</v>
      </c>
      <c r="AT13">
        <v>5.3999999999999999E-2</v>
      </c>
      <c r="AU13" s="116">
        <v>45168</v>
      </c>
      <c r="AV13" s="116"/>
      <c r="AW13" s="116"/>
      <c r="AX13">
        <v>2.4</v>
      </c>
      <c r="AY13" t="s">
        <v>103</v>
      </c>
      <c r="AZ13" t="s">
        <v>340</v>
      </c>
      <c r="BA13" t="s">
        <v>103</v>
      </c>
      <c r="BB13" t="s">
        <v>333</v>
      </c>
      <c r="BC13" s="116">
        <v>45168</v>
      </c>
      <c r="BD13"/>
      <c r="BE13" t="s">
        <v>103</v>
      </c>
      <c r="BF13" s="116">
        <v>45168</v>
      </c>
      <c r="BG13" t="s">
        <v>152</v>
      </c>
      <c r="BH13" t="s">
        <v>103</v>
      </c>
      <c r="BI13" t="s">
        <v>337</v>
      </c>
      <c r="BJ13" t="s">
        <v>152</v>
      </c>
      <c r="BK13" t="s">
        <v>153</v>
      </c>
      <c r="BL13" t="s">
        <v>154</v>
      </c>
      <c r="BM13" t="s">
        <v>155</v>
      </c>
      <c r="BN13" t="s">
        <v>103</v>
      </c>
      <c r="BO13" t="s">
        <v>103</v>
      </c>
      <c r="BP13" t="s">
        <v>12</v>
      </c>
      <c r="BQ13" t="s">
        <v>494</v>
      </c>
    </row>
    <row r="14" spans="1:69" x14ac:dyDescent="0.25">
      <c r="A14" t="s">
        <v>430</v>
      </c>
      <c r="B14" t="s">
        <v>495</v>
      </c>
      <c r="C14" t="s">
        <v>429</v>
      </c>
      <c r="D14" s="116">
        <v>45160</v>
      </c>
      <c r="E14" t="s">
        <v>496</v>
      </c>
      <c r="F14" t="s">
        <v>150</v>
      </c>
      <c r="G14" t="s">
        <v>150</v>
      </c>
      <c r="H14" t="s">
        <v>150</v>
      </c>
      <c r="I14">
        <v>130</v>
      </c>
      <c r="J14" t="s">
        <v>497</v>
      </c>
      <c r="K14" t="s">
        <v>233</v>
      </c>
      <c r="L14">
        <v>1.6</v>
      </c>
      <c r="M14" s="116">
        <v>46259</v>
      </c>
      <c r="N14" t="s">
        <v>341</v>
      </c>
      <c r="O14" t="s">
        <v>498</v>
      </c>
      <c r="P14" t="s">
        <v>103</v>
      </c>
      <c r="Q14" s="100"/>
      <c r="R14" t="s">
        <v>235</v>
      </c>
      <c r="S14" t="s">
        <v>499</v>
      </c>
      <c r="T14" t="s">
        <v>500</v>
      </c>
      <c r="U14" t="s">
        <v>151</v>
      </c>
      <c r="V14">
        <v>100</v>
      </c>
      <c r="W14"/>
      <c r="X14" t="s">
        <v>342</v>
      </c>
      <c r="Y14" t="s">
        <v>501</v>
      </c>
      <c r="Z14"/>
      <c r="AA14" s="100"/>
      <c r="AB14" s="100"/>
      <c r="AC14"/>
      <c r="AD14"/>
      <c r="AE14" t="s">
        <v>502</v>
      </c>
      <c r="AF14" t="s">
        <v>503</v>
      </c>
      <c r="AG14" t="s">
        <v>103</v>
      </c>
      <c r="AH14" t="s">
        <v>150</v>
      </c>
      <c r="AI14" t="s">
        <v>103</v>
      </c>
      <c r="AJ14" t="s">
        <v>2</v>
      </c>
      <c r="AK14" t="s">
        <v>91</v>
      </c>
      <c r="AL14" t="s">
        <v>713</v>
      </c>
      <c r="AM14" t="s">
        <v>149</v>
      </c>
      <c r="AN14"/>
      <c r="AO14" t="s">
        <v>505</v>
      </c>
      <c r="AP14"/>
      <c r="AQ14"/>
      <c r="AR14" t="s">
        <v>506</v>
      </c>
      <c r="AS14">
        <v>1000</v>
      </c>
      <c r="AT14">
        <v>130</v>
      </c>
      <c r="AU14" s="116">
        <v>45163</v>
      </c>
      <c r="AV14" s="116"/>
      <c r="AW14" s="116">
        <v>45347</v>
      </c>
      <c r="AX14">
        <v>1.6</v>
      </c>
      <c r="AY14" t="s">
        <v>103</v>
      </c>
      <c r="AZ14" t="s">
        <v>507</v>
      </c>
      <c r="BA14" t="s">
        <v>103</v>
      </c>
      <c r="BB14" t="s">
        <v>430</v>
      </c>
      <c r="BC14" s="116">
        <v>45163</v>
      </c>
      <c r="BD14" t="s">
        <v>508</v>
      </c>
      <c r="BE14" t="s">
        <v>289</v>
      </c>
      <c r="BF14" s="116">
        <v>45163</v>
      </c>
      <c r="BG14" t="s">
        <v>152</v>
      </c>
      <c r="BH14" t="s">
        <v>509</v>
      </c>
      <c r="BI14" t="s">
        <v>510</v>
      </c>
      <c r="BJ14" t="s">
        <v>152</v>
      </c>
      <c r="BK14" t="s">
        <v>153</v>
      </c>
      <c r="BL14" t="s">
        <v>154</v>
      </c>
      <c r="BM14" t="s">
        <v>155</v>
      </c>
      <c r="BN14" t="s">
        <v>103</v>
      </c>
      <c r="BO14" t="s">
        <v>156</v>
      </c>
      <c r="BP14" t="s">
        <v>17</v>
      </c>
      <c r="BQ14" t="s">
        <v>511</v>
      </c>
    </row>
    <row r="15" spans="1:69" x14ac:dyDescent="0.25">
      <c r="A15" t="s">
        <v>427</v>
      </c>
      <c r="B15" t="s">
        <v>512</v>
      </c>
      <c r="C15" t="s">
        <v>426</v>
      </c>
      <c r="D15" s="116">
        <v>45160</v>
      </c>
      <c r="E15" t="s">
        <v>513</v>
      </c>
      <c r="F15" t="s">
        <v>150</v>
      </c>
      <c r="G15" t="s">
        <v>150</v>
      </c>
      <c r="H15" t="s">
        <v>150</v>
      </c>
      <c r="I15">
        <v>2</v>
      </c>
      <c r="J15" t="s">
        <v>94</v>
      </c>
      <c r="K15" t="s">
        <v>233</v>
      </c>
      <c r="L15">
        <v>5.85</v>
      </c>
      <c r="M15" s="116">
        <v>46259</v>
      </c>
      <c r="N15" t="s">
        <v>467</v>
      </c>
      <c r="O15" t="s">
        <v>514</v>
      </c>
      <c r="P15" t="s">
        <v>515</v>
      </c>
      <c r="Q15" s="100">
        <v>40</v>
      </c>
      <c r="R15" t="s">
        <v>235</v>
      </c>
      <c r="S15" t="s">
        <v>45</v>
      </c>
      <c r="T15" t="s">
        <v>103</v>
      </c>
      <c r="U15" t="s">
        <v>151</v>
      </c>
      <c r="V15">
        <v>100</v>
      </c>
      <c r="W15"/>
      <c r="X15" t="s">
        <v>516</v>
      </c>
      <c r="Y15" t="s">
        <v>517</v>
      </c>
      <c r="Z15" t="s">
        <v>518</v>
      </c>
      <c r="AA15" s="100"/>
      <c r="AB15" s="100"/>
      <c r="AC15"/>
      <c r="AD15"/>
      <c r="AE15" t="s">
        <v>519</v>
      </c>
      <c r="AF15" t="s">
        <v>290</v>
      </c>
      <c r="AG15" t="s">
        <v>38</v>
      </c>
      <c r="AH15" t="s">
        <v>150</v>
      </c>
      <c r="AI15" t="s">
        <v>299</v>
      </c>
      <c r="AJ15" t="s">
        <v>1</v>
      </c>
      <c r="AK15" t="s">
        <v>178</v>
      </c>
      <c r="AL15" t="s">
        <v>713</v>
      </c>
      <c r="AM15" t="s">
        <v>149</v>
      </c>
      <c r="AN15"/>
      <c r="AO15" t="s">
        <v>520</v>
      </c>
      <c r="AP15"/>
      <c r="AQ15"/>
      <c r="AR15" t="s">
        <v>521</v>
      </c>
      <c r="AS15">
        <v>1000</v>
      </c>
      <c r="AT15">
        <v>2</v>
      </c>
      <c r="AU15" s="116">
        <v>45163</v>
      </c>
      <c r="AV15" s="116"/>
      <c r="AW15" s="116">
        <v>45347</v>
      </c>
      <c r="AX15">
        <v>5.85</v>
      </c>
      <c r="AY15" t="s">
        <v>103</v>
      </c>
      <c r="AZ15" t="s">
        <v>522</v>
      </c>
      <c r="BA15" t="s">
        <v>103</v>
      </c>
      <c r="BB15" t="s">
        <v>427</v>
      </c>
      <c r="BC15" s="116">
        <v>45163</v>
      </c>
      <c r="BD15" t="s">
        <v>515</v>
      </c>
      <c r="BE15" t="s">
        <v>103</v>
      </c>
      <c r="BF15" s="116">
        <v>45163</v>
      </c>
      <c r="BG15" t="s">
        <v>152</v>
      </c>
      <c r="BH15" t="s">
        <v>523</v>
      </c>
      <c r="BI15" t="s">
        <v>524</v>
      </c>
      <c r="BJ15" t="s">
        <v>152</v>
      </c>
      <c r="BK15" t="s">
        <v>153</v>
      </c>
      <c r="BL15" t="s">
        <v>154</v>
      </c>
      <c r="BM15" t="s">
        <v>155</v>
      </c>
      <c r="BN15" t="s">
        <v>103</v>
      </c>
      <c r="BO15" t="s">
        <v>156</v>
      </c>
      <c r="BP15" t="s">
        <v>8</v>
      </c>
      <c r="BQ15" t="s">
        <v>525</v>
      </c>
    </row>
    <row r="16" spans="1:69" x14ac:dyDescent="0.25">
      <c r="A16" t="s">
        <v>350</v>
      </c>
      <c r="B16" t="s">
        <v>526</v>
      </c>
      <c r="C16" t="s">
        <v>527</v>
      </c>
      <c r="D16" s="116">
        <v>45159</v>
      </c>
      <c r="E16" t="s">
        <v>528</v>
      </c>
      <c r="F16" t="s">
        <v>298</v>
      </c>
      <c r="G16" t="s">
        <v>351</v>
      </c>
      <c r="H16" t="s">
        <v>150</v>
      </c>
      <c r="I16">
        <v>0.03</v>
      </c>
      <c r="J16" t="s">
        <v>94</v>
      </c>
      <c r="K16" t="s">
        <v>233</v>
      </c>
      <c r="L16">
        <v>3.2</v>
      </c>
      <c r="M16" s="116">
        <v>46258</v>
      </c>
      <c r="N16" t="s">
        <v>121</v>
      </c>
      <c r="O16" t="s">
        <v>103</v>
      </c>
      <c r="P16" t="s">
        <v>103</v>
      </c>
      <c r="Q16" s="100"/>
      <c r="R16" t="s">
        <v>235</v>
      </c>
      <c r="S16" t="s">
        <v>283</v>
      </c>
      <c r="T16" t="s">
        <v>103</v>
      </c>
      <c r="U16" t="s">
        <v>335</v>
      </c>
      <c r="V16">
        <v>93.989000000000004</v>
      </c>
      <c r="W16"/>
      <c r="X16" t="s">
        <v>336</v>
      </c>
      <c r="Y16" t="s">
        <v>347</v>
      </c>
      <c r="Z16"/>
      <c r="AA16" s="100"/>
      <c r="AB16" s="100"/>
      <c r="AC16"/>
      <c r="AD16"/>
      <c r="AE16" t="s">
        <v>529</v>
      </c>
      <c r="AF16" t="s">
        <v>348</v>
      </c>
      <c r="AG16" t="s">
        <v>103</v>
      </c>
      <c r="AH16" t="s">
        <v>150</v>
      </c>
      <c r="AI16" t="s">
        <v>288</v>
      </c>
      <c r="AJ16" t="s">
        <v>93</v>
      </c>
      <c r="AK16" t="s">
        <v>178</v>
      </c>
      <c r="AL16" t="s">
        <v>713</v>
      </c>
      <c r="AM16" t="s">
        <v>349</v>
      </c>
      <c r="AN16"/>
      <c r="AO16"/>
      <c r="AP16"/>
      <c r="AQ16"/>
      <c r="AR16" t="s">
        <v>352</v>
      </c>
      <c r="AS16">
        <v>1000</v>
      </c>
      <c r="AT16">
        <v>0.03</v>
      </c>
      <c r="AU16" s="116">
        <v>45162</v>
      </c>
      <c r="AV16" s="116">
        <v>45162</v>
      </c>
      <c r="AW16" s="116">
        <v>45193</v>
      </c>
      <c r="AX16">
        <v>3.2</v>
      </c>
      <c r="AY16" t="s">
        <v>103</v>
      </c>
      <c r="AZ16" t="s">
        <v>530</v>
      </c>
      <c r="BA16" t="s">
        <v>103</v>
      </c>
      <c r="BB16" t="s">
        <v>103</v>
      </c>
      <c r="BC16" s="116">
        <v>45162</v>
      </c>
      <c r="BD16"/>
      <c r="BE16" t="s">
        <v>103</v>
      </c>
      <c r="BF16" s="116">
        <v>45162</v>
      </c>
      <c r="BG16" t="s">
        <v>152</v>
      </c>
      <c r="BH16" t="s">
        <v>103</v>
      </c>
      <c r="BI16" t="s">
        <v>529</v>
      </c>
      <c r="BJ16" t="s">
        <v>152</v>
      </c>
      <c r="BK16" t="s">
        <v>153</v>
      </c>
      <c r="BL16" t="s">
        <v>154</v>
      </c>
      <c r="BM16" t="s">
        <v>531</v>
      </c>
      <c r="BN16" t="s">
        <v>103</v>
      </c>
      <c r="BO16" t="s">
        <v>103</v>
      </c>
      <c r="BP16" t="s">
        <v>12</v>
      </c>
      <c r="BQ16" t="s">
        <v>532</v>
      </c>
    </row>
    <row r="17" spans="1:69" x14ac:dyDescent="0.25">
      <c r="A17" t="s">
        <v>533</v>
      </c>
      <c r="B17" t="s">
        <v>534</v>
      </c>
      <c r="C17" t="s">
        <v>535</v>
      </c>
      <c r="D17" s="116">
        <v>45159</v>
      </c>
      <c r="E17" t="s">
        <v>536</v>
      </c>
      <c r="F17" t="s">
        <v>150</v>
      </c>
      <c r="G17" t="s">
        <v>150</v>
      </c>
      <c r="H17" t="s">
        <v>150</v>
      </c>
      <c r="I17">
        <v>1.3</v>
      </c>
      <c r="J17" t="s">
        <v>94</v>
      </c>
      <c r="K17" t="s">
        <v>233</v>
      </c>
      <c r="L17">
        <v>8</v>
      </c>
      <c r="M17" s="116">
        <v>46258</v>
      </c>
      <c r="N17" t="s">
        <v>467</v>
      </c>
      <c r="O17" t="s">
        <v>537</v>
      </c>
      <c r="P17" t="s">
        <v>538</v>
      </c>
      <c r="Q17" s="100">
        <v>20</v>
      </c>
      <c r="R17" t="s">
        <v>235</v>
      </c>
      <c r="S17" t="s">
        <v>45</v>
      </c>
      <c r="T17" t="s">
        <v>103</v>
      </c>
      <c r="U17" t="s">
        <v>151</v>
      </c>
      <c r="V17">
        <v>100</v>
      </c>
      <c r="W17"/>
      <c r="X17" t="s">
        <v>358</v>
      </c>
      <c r="Y17" t="s">
        <v>539</v>
      </c>
      <c r="Z17"/>
      <c r="AA17" s="100"/>
      <c r="AB17" s="100"/>
      <c r="AC17"/>
      <c r="AD17"/>
      <c r="AE17" t="s">
        <v>540</v>
      </c>
      <c r="AF17" t="s">
        <v>541</v>
      </c>
      <c r="AG17" t="s">
        <v>103</v>
      </c>
      <c r="AH17" t="s">
        <v>150</v>
      </c>
      <c r="AI17" t="s">
        <v>299</v>
      </c>
      <c r="AJ17" t="s">
        <v>2</v>
      </c>
      <c r="AK17" t="s">
        <v>91</v>
      </c>
      <c r="AL17" t="s">
        <v>713</v>
      </c>
      <c r="AM17" t="s">
        <v>149</v>
      </c>
      <c r="AN17"/>
      <c r="AO17" t="s">
        <v>542</v>
      </c>
      <c r="AP17"/>
      <c r="AQ17"/>
      <c r="AR17" t="s">
        <v>543</v>
      </c>
      <c r="AS17">
        <v>1000</v>
      </c>
      <c r="AT17">
        <v>1.3</v>
      </c>
      <c r="AU17" s="116">
        <v>45162</v>
      </c>
      <c r="AV17" s="116"/>
      <c r="AW17" s="116">
        <v>45346</v>
      </c>
      <c r="AX17">
        <v>8</v>
      </c>
      <c r="AY17" t="s">
        <v>103</v>
      </c>
      <c r="AZ17" t="s">
        <v>544</v>
      </c>
      <c r="BA17" t="s">
        <v>103</v>
      </c>
      <c r="BB17" t="s">
        <v>533</v>
      </c>
      <c r="BC17" s="116">
        <v>45162</v>
      </c>
      <c r="BD17" t="s">
        <v>538</v>
      </c>
      <c r="BE17" t="s">
        <v>359</v>
      </c>
      <c r="BF17" s="116">
        <v>45162</v>
      </c>
      <c r="BG17" t="s">
        <v>152</v>
      </c>
      <c r="BH17" t="s">
        <v>545</v>
      </c>
      <c r="BI17" t="s">
        <v>546</v>
      </c>
      <c r="BJ17" t="s">
        <v>152</v>
      </c>
      <c r="BK17" t="s">
        <v>153</v>
      </c>
      <c r="BL17" t="s">
        <v>154</v>
      </c>
      <c r="BM17" t="s">
        <v>155</v>
      </c>
      <c r="BN17" t="s">
        <v>103</v>
      </c>
      <c r="BO17" t="s">
        <v>156</v>
      </c>
      <c r="BP17" t="s">
        <v>10</v>
      </c>
      <c r="BQ17" t="s">
        <v>547</v>
      </c>
    </row>
    <row r="18" spans="1:69" x14ac:dyDescent="0.25">
      <c r="A18" t="s">
        <v>548</v>
      </c>
      <c r="B18" t="s">
        <v>549</v>
      </c>
      <c r="C18" t="s">
        <v>550</v>
      </c>
      <c r="D18" s="116">
        <v>45159</v>
      </c>
      <c r="E18" t="s">
        <v>551</v>
      </c>
      <c r="F18" t="s">
        <v>150</v>
      </c>
      <c r="G18" t="s">
        <v>150</v>
      </c>
      <c r="H18" t="s">
        <v>150</v>
      </c>
      <c r="I18">
        <v>167.2</v>
      </c>
      <c r="J18" t="s">
        <v>497</v>
      </c>
      <c r="K18" t="s">
        <v>233</v>
      </c>
      <c r="L18">
        <v>1.7</v>
      </c>
      <c r="M18" s="116">
        <v>46258</v>
      </c>
      <c r="N18" t="s">
        <v>341</v>
      </c>
      <c r="O18" t="s">
        <v>498</v>
      </c>
      <c r="P18" t="s">
        <v>552</v>
      </c>
      <c r="Q18" s="100">
        <v>10</v>
      </c>
      <c r="R18" t="s">
        <v>235</v>
      </c>
      <c r="S18" t="s">
        <v>499</v>
      </c>
      <c r="T18" t="s">
        <v>553</v>
      </c>
      <c r="U18" t="s">
        <v>151</v>
      </c>
      <c r="V18">
        <v>100</v>
      </c>
      <c r="W18"/>
      <c r="X18" t="s">
        <v>342</v>
      </c>
      <c r="Y18" t="s">
        <v>554</v>
      </c>
      <c r="Z18" t="s">
        <v>555</v>
      </c>
      <c r="AA18" s="100"/>
      <c r="AB18" s="100"/>
      <c r="AC18"/>
      <c r="AD18"/>
      <c r="AE18" t="s">
        <v>556</v>
      </c>
      <c r="AF18" t="s">
        <v>290</v>
      </c>
      <c r="AG18" t="s">
        <v>103</v>
      </c>
      <c r="AH18" t="s">
        <v>150</v>
      </c>
      <c r="AI18" t="s">
        <v>299</v>
      </c>
      <c r="AJ18" t="s">
        <v>1</v>
      </c>
      <c r="AK18" t="s">
        <v>91</v>
      </c>
      <c r="AL18" t="s">
        <v>713</v>
      </c>
      <c r="AM18" t="s">
        <v>149</v>
      </c>
      <c r="AN18"/>
      <c r="AO18" t="s">
        <v>557</v>
      </c>
      <c r="AP18"/>
      <c r="AQ18"/>
      <c r="AR18" t="s">
        <v>558</v>
      </c>
      <c r="AS18">
        <v>10000000</v>
      </c>
      <c r="AT18">
        <v>167.2</v>
      </c>
      <c r="AU18" s="116">
        <v>45162</v>
      </c>
      <c r="AV18" s="116"/>
      <c r="AW18" s="116">
        <v>45346</v>
      </c>
      <c r="AX18">
        <v>1.7</v>
      </c>
      <c r="AY18" t="s">
        <v>103</v>
      </c>
      <c r="AZ18" t="s">
        <v>559</v>
      </c>
      <c r="BA18" t="s">
        <v>103</v>
      </c>
      <c r="BB18" t="s">
        <v>548</v>
      </c>
      <c r="BC18" s="116">
        <v>45162</v>
      </c>
      <c r="BD18" t="s">
        <v>552</v>
      </c>
      <c r="BE18" t="s">
        <v>289</v>
      </c>
      <c r="BF18" s="116">
        <v>45162</v>
      </c>
      <c r="BG18" t="s">
        <v>152</v>
      </c>
      <c r="BH18" t="s">
        <v>560</v>
      </c>
      <c r="BI18" t="s">
        <v>561</v>
      </c>
      <c r="BJ18" t="s">
        <v>152</v>
      </c>
      <c r="BK18" t="s">
        <v>153</v>
      </c>
      <c r="BL18" t="s">
        <v>154</v>
      </c>
      <c r="BM18" t="s">
        <v>155</v>
      </c>
      <c r="BN18" t="s">
        <v>103</v>
      </c>
      <c r="BO18" t="s">
        <v>156</v>
      </c>
      <c r="BP18" t="s">
        <v>17</v>
      </c>
      <c r="BQ18" t="s">
        <v>562</v>
      </c>
    </row>
    <row r="19" spans="1:69" x14ac:dyDescent="0.25">
      <c r="A19" t="s">
        <v>563</v>
      </c>
      <c r="B19" t="s">
        <v>564</v>
      </c>
      <c r="C19" t="s">
        <v>565</v>
      </c>
      <c r="D19" s="116">
        <v>45159</v>
      </c>
      <c r="E19" t="s">
        <v>566</v>
      </c>
      <c r="F19" t="s">
        <v>567</v>
      </c>
      <c r="G19" t="s">
        <v>568</v>
      </c>
      <c r="H19" t="s">
        <v>150</v>
      </c>
      <c r="I19">
        <v>0.41</v>
      </c>
      <c r="J19" t="s">
        <v>117</v>
      </c>
      <c r="K19" t="s">
        <v>334</v>
      </c>
      <c r="L19">
        <v>7</v>
      </c>
      <c r="M19" s="116">
        <v>45526</v>
      </c>
      <c r="N19" t="s">
        <v>121</v>
      </c>
      <c r="O19" t="s">
        <v>103</v>
      </c>
      <c r="P19" t="s">
        <v>103</v>
      </c>
      <c r="Q19" s="100"/>
      <c r="R19" t="s">
        <v>235</v>
      </c>
      <c r="S19" t="s">
        <v>45</v>
      </c>
      <c r="T19" t="s">
        <v>103</v>
      </c>
      <c r="U19" t="s">
        <v>151</v>
      </c>
      <c r="V19">
        <v>100</v>
      </c>
      <c r="W19"/>
      <c r="X19" t="s">
        <v>291</v>
      </c>
      <c r="Y19" t="s">
        <v>569</v>
      </c>
      <c r="Z19"/>
      <c r="AA19" s="100"/>
      <c r="AB19" s="100"/>
      <c r="AC19"/>
      <c r="AD19"/>
      <c r="AE19" t="s">
        <v>570</v>
      </c>
      <c r="AF19" t="s">
        <v>571</v>
      </c>
      <c r="AG19" t="s">
        <v>103</v>
      </c>
      <c r="AH19" t="s">
        <v>150</v>
      </c>
      <c r="AI19" t="s">
        <v>299</v>
      </c>
      <c r="AJ19" t="s">
        <v>3</v>
      </c>
      <c r="AK19" t="s">
        <v>91</v>
      </c>
      <c r="AL19" t="s">
        <v>714</v>
      </c>
      <c r="AM19" t="s">
        <v>572</v>
      </c>
      <c r="AN19"/>
      <c r="AO19"/>
      <c r="AP19"/>
      <c r="AQ19"/>
      <c r="AR19" t="s">
        <v>573</v>
      </c>
      <c r="AS19">
        <v>10000</v>
      </c>
      <c r="AT19">
        <v>0.41</v>
      </c>
      <c r="AU19" s="116">
        <v>45162</v>
      </c>
      <c r="AV19" s="116"/>
      <c r="AW19" s="116">
        <v>45346</v>
      </c>
      <c r="AX19">
        <v>7</v>
      </c>
      <c r="AY19" t="s">
        <v>103</v>
      </c>
      <c r="AZ19" t="s">
        <v>574</v>
      </c>
      <c r="BA19" t="s">
        <v>103</v>
      </c>
      <c r="BB19" t="s">
        <v>563</v>
      </c>
      <c r="BC19" s="116">
        <v>45162</v>
      </c>
      <c r="BD19"/>
      <c r="BE19" t="s">
        <v>103</v>
      </c>
      <c r="BF19" s="116">
        <v>45162</v>
      </c>
      <c r="BG19" t="s">
        <v>152</v>
      </c>
      <c r="BH19" t="s">
        <v>103</v>
      </c>
      <c r="BI19" t="s">
        <v>575</v>
      </c>
      <c r="BJ19" t="s">
        <v>152</v>
      </c>
      <c r="BK19" t="s">
        <v>153</v>
      </c>
      <c r="BL19" t="s">
        <v>154</v>
      </c>
      <c r="BM19" t="s">
        <v>155</v>
      </c>
      <c r="BN19" t="s">
        <v>103</v>
      </c>
      <c r="BO19" t="s">
        <v>156</v>
      </c>
      <c r="BP19" t="s">
        <v>18</v>
      </c>
      <c r="BQ19" t="s">
        <v>576</v>
      </c>
    </row>
    <row r="20" spans="1:69" x14ac:dyDescent="0.25">
      <c r="A20" t="s">
        <v>563</v>
      </c>
      <c r="B20" t="s">
        <v>564</v>
      </c>
      <c r="C20" t="s">
        <v>577</v>
      </c>
      <c r="D20" s="116">
        <v>45159</v>
      </c>
      <c r="E20" t="s">
        <v>566</v>
      </c>
      <c r="F20" t="s">
        <v>567</v>
      </c>
      <c r="G20" t="s">
        <v>568</v>
      </c>
      <c r="H20" t="s">
        <v>150</v>
      </c>
      <c r="I20">
        <v>1.915</v>
      </c>
      <c r="J20" t="s">
        <v>120</v>
      </c>
      <c r="K20" t="s">
        <v>334</v>
      </c>
      <c r="L20">
        <v>7</v>
      </c>
      <c r="M20" s="116">
        <v>45526</v>
      </c>
      <c r="N20" t="s">
        <v>121</v>
      </c>
      <c r="O20" t="s">
        <v>103</v>
      </c>
      <c r="P20" t="s">
        <v>103</v>
      </c>
      <c r="Q20" s="100"/>
      <c r="R20" t="s">
        <v>235</v>
      </c>
      <c r="S20" t="s">
        <v>45</v>
      </c>
      <c r="T20" t="s">
        <v>103</v>
      </c>
      <c r="U20" t="s">
        <v>151</v>
      </c>
      <c r="V20">
        <v>100</v>
      </c>
      <c r="W20"/>
      <c r="X20" t="s">
        <v>291</v>
      </c>
      <c r="Y20" t="s">
        <v>569</v>
      </c>
      <c r="Z20"/>
      <c r="AA20" s="100"/>
      <c r="AB20" s="100"/>
      <c r="AC20"/>
      <c r="AD20"/>
      <c r="AE20" t="s">
        <v>570</v>
      </c>
      <c r="AF20" t="s">
        <v>571</v>
      </c>
      <c r="AG20" t="s">
        <v>103</v>
      </c>
      <c r="AH20" t="s">
        <v>150</v>
      </c>
      <c r="AI20" t="s">
        <v>299</v>
      </c>
      <c r="AJ20" t="s">
        <v>3</v>
      </c>
      <c r="AK20" t="s">
        <v>91</v>
      </c>
      <c r="AL20" t="s">
        <v>714</v>
      </c>
      <c r="AM20" t="s">
        <v>572</v>
      </c>
      <c r="AN20"/>
      <c r="AO20"/>
      <c r="AP20"/>
      <c r="AQ20"/>
      <c r="AR20" t="s">
        <v>573</v>
      </c>
      <c r="AS20">
        <v>1000</v>
      </c>
      <c r="AT20">
        <v>1.9145000000000001</v>
      </c>
      <c r="AU20" s="116">
        <v>45162</v>
      </c>
      <c r="AV20" s="116"/>
      <c r="AW20" s="116">
        <v>45346</v>
      </c>
      <c r="AX20">
        <v>7</v>
      </c>
      <c r="AY20" t="s">
        <v>103</v>
      </c>
      <c r="AZ20" t="s">
        <v>574</v>
      </c>
      <c r="BA20" t="s">
        <v>103</v>
      </c>
      <c r="BB20" t="s">
        <v>563</v>
      </c>
      <c r="BC20" s="116">
        <v>45162</v>
      </c>
      <c r="BD20"/>
      <c r="BE20" t="s">
        <v>103</v>
      </c>
      <c r="BF20" s="116">
        <v>45162</v>
      </c>
      <c r="BG20" t="s">
        <v>152</v>
      </c>
      <c r="BH20" t="s">
        <v>103</v>
      </c>
      <c r="BI20" t="s">
        <v>575</v>
      </c>
      <c r="BJ20" t="s">
        <v>152</v>
      </c>
      <c r="BK20" t="s">
        <v>153</v>
      </c>
      <c r="BL20" t="s">
        <v>154</v>
      </c>
      <c r="BM20" t="s">
        <v>155</v>
      </c>
      <c r="BN20" t="s">
        <v>103</v>
      </c>
      <c r="BO20" t="s">
        <v>156</v>
      </c>
      <c r="BP20" t="s">
        <v>18</v>
      </c>
      <c r="BQ20" t="s">
        <v>578</v>
      </c>
    </row>
    <row r="21" spans="1:69" x14ac:dyDescent="0.25">
      <c r="A21" t="s">
        <v>563</v>
      </c>
      <c r="B21" t="s">
        <v>564</v>
      </c>
      <c r="C21" t="s">
        <v>579</v>
      </c>
      <c r="D21" s="116">
        <v>45159</v>
      </c>
      <c r="E21" t="s">
        <v>566</v>
      </c>
      <c r="F21" t="s">
        <v>567</v>
      </c>
      <c r="G21" t="s">
        <v>568</v>
      </c>
      <c r="H21" t="s">
        <v>150</v>
      </c>
      <c r="I21">
        <v>0.05</v>
      </c>
      <c r="J21" t="s">
        <v>94</v>
      </c>
      <c r="K21" t="s">
        <v>334</v>
      </c>
      <c r="L21">
        <v>7</v>
      </c>
      <c r="M21" s="116">
        <v>45526</v>
      </c>
      <c r="N21" t="s">
        <v>121</v>
      </c>
      <c r="O21" t="s">
        <v>103</v>
      </c>
      <c r="P21" t="s">
        <v>103</v>
      </c>
      <c r="Q21" s="100"/>
      <c r="R21" t="s">
        <v>235</v>
      </c>
      <c r="S21" t="s">
        <v>45</v>
      </c>
      <c r="T21" t="s">
        <v>103</v>
      </c>
      <c r="U21" t="s">
        <v>151</v>
      </c>
      <c r="V21">
        <v>100</v>
      </c>
      <c r="W21"/>
      <c r="X21" t="s">
        <v>291</v>
      </c>
      <c r="Y21" t="s">
        <v>569</v>
      </c>
      <c r="Z21"/>
      <c r="AA21" s="100"/>
      <c r="AB21" s="100"/>
      <c r="AC21"/>
      <c r="AD21"/>
      <c r="AE21" t="s">
        <v>570</v>
      </c>
      <c r="AF21" t="s">
        <v>571</v>
      </c>
      <c r="AG21" t="s">
        <v>103</v>
      </c>
      <c r="AH21" t="s">
        <v>150</v>
      </c>
      <c r="AI21" t="s">
        <v>299</v>
      </c>
      <c r="AJ21" t="s">
        <v>3</v>
      </c>
      <c r="AK21" t="s">
        <v>91</v>
      </c>
      <c r="AL21" t="s">
        <v>714</v>
      </c>
      <c r="AM21" t="s">
        <v>572</v>
      </c>
      <c r="AN21"/>
      <c r="AO21"/>
      <c r="AP21"/>
      <c r="AQ21"/>
      <c r="AR21" t="s">
        <v>573</v>
      </c>
      <c r="AS21">
        <v>1000</v>
      </c>
      <c r="AT21">
        <v>4.99E-2</v>
      </c>
      <c r="AU21" s="116">
        <v>45162</v>
      </c>
      <c r="AV21" s="116"/>
      <c r="AW21" s="116">
        <v>45346</v>
      </c>
      <c r="AX21">
        <v>7</v>
      </c>
      <c r="AY21" t="s">
        <v>103</v>
      </c>
      <c r="AZ21" t="s">
        <v>574</v>
      </c>
      <c r="BA21" t="s">
        <v>103</v>
      </c>
      <c r="BB21" t="s">
        <v>563</v>
      </c>
      <c r="BC21" s="116">
        <v>45162</v>
      </c>
      <c r="BD21"/>
      <c r="BE21" t="s">
        <v>103</v>
      </c>
      <c r="BF21" s="116">
        <v>45162</v>
      </c>
      <c r="BG21" t="s">
        <v>152</v>
      </c>
      <c r="BH21" t="s">
        <v>103</v>
      </c>
      <c r="BI21" t="s">
        <v>575</v>
      </c>
      <c r="BJ21" t="s">
        <v>152</v>
      </c>
      <c r="BK21" t="s">
        <v>153</v>
      </c>
      <c r="BL21" t="s">
        <v>154</v>
      </c>
      <c r="BM21" t="s">
        <v>155</v>
      </c>
      <c r="BN21" t="s">
        <v>103</v>
      </c>
      <c r="BO21" t="s">
        <v>156</v>
      </c>
      <c r="BP21" t="s">
        <v>18</v>
      </c>
      <c r="BQ21" t="s">
        <v>580</v>
      </c>
    </row>
  </sheetData>
  <phoneticPr fontId="43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M27"/>
  <sheetViews>
    <sheetView workbookViewId="0">
      <selection activeCell="G6" sqref="G6"/>
    </sheetView>
  </sheetViews>
  <sheetFormatPr defaultRowHeight="15" x14ac:dyDescent="0.25"/>
  <cols>
    <col min="1" max="1" width="7.109375" style="1" bestFit="1" customWidth="1"/>
    <col min="2" max="2" width="9.33203125" style="1" bestFit="1" customWidth="1"/>
    <col min="3" max="3" width="13.33203125" style="1" bestFit="1" customWidth="1"/>
    <col min="4" max="4" width="18.21875" style="1" bestFit="1" customWidth="1"/>
    <col min="5" max="5" width="9.21875" style="1" bestFit="1" customWidth="1"/>
    <col min="6" max="6" width="12.5546875" style="1" bestFit="1" customWidth="1"/>
    <col min="7" max="7" width="14.21875" style="1" bestFit="1" customWidth="1"/>
    <col min="8" max="8" width="10.109375" style="1" bestFit="1" customWidth="1"/>
    <col min="9" max="10" width="9.21875" style="1" bestFit="1" customWidth="1"/>
    <col min="11" max="11" width="19.44140625" style="1" bestFit="1" customWidth="1"/>
    <col min="12" max="12" width="9.33203125" style="1" bestFit="1" customWidth="1"/>
    <col min="13" max="13" width="10.109375" style="1" bestFit="1" customWidth="1"/>
    <col min="14" max="14" width="11.6640625" style="1" customWidth="1"/>
    <col min="15" max="16384" width="8.88671875" style="1"/>
  </cols>
  <sheetData>
    <row r="1" spans="1:13" ht="67.5" customHeight="1" x14ac:dyDescent="0.25">
      <c r="A1" s="66" t="s">
        <v>315</v>
      </c>
    </row>
    <row r="5" spans="1:13" x14ac:dyDescent="0.25">
      <c r="A5" s="105" t="s">
        <v>95</v>
      </c>
      <c r="B5" s="105" t="s">
        <v>56</v>
      </c>
      <c r="C5" s="105" t="s">
        <v>55</v>
      </c>
      <c r="D5" s="105" t="s">
        <v>171</v>
      </c>
      <c r="E5" s="105" t="s">
        <v>160</v>
      </c>
      <c r="F5" s="105" t="s">
        <v>310</v>
      </c>
      <c r="G5" s="105" t="s">
        <v>424</v>
      </c>
      <c r="H5" s="105" t="s">
        <v>207</v>
      </c>
      <c r="I5" s="105" t="s">
        <v>136</v>
      </c>
      <c r="J5" s="105" t="s">
        <v>311</v>
      </c>
      <c r="K5" s="105" t="s">
        <v>165</v>
      </c>
      <c r="L5" s="105" t="s">
        <v>312</v>
      </c>
      <c r="M5" s="105" t="s">
        <v>313</v>
      </c>
    </row>
    <row r="6" spans="1:13" x14ac:dyDescent="0.25">
      <c r="A6" s="105">
        <v>1</v>
      </c>
      <c r="B6" s="115">
        <v>45163</v>
      </c>
      <c r="C6" s="105" t="s">
        <v>734</v>
      </c>
      <c r="D6" s="105"/>
      <c r="E6" s="105" t="s">
        <v>92</v>
      </c>
      <c r="F6" s="105" t="s">
        <v>332</v>
      </c>
      <c r="G6" s="105" t="s">
        <v>7</v>
      </c>
      <c r="H6" s="105" t="s">
        <v>92</v>
      </c>
      <c r="I6" s="105"/>
      <c r="J6" s="105"/>
      <c r="K6" s="105" t="s">
        <v>741</v>
      </c>
      <c r="L6" s="105" t="s">
        <v>92</v>
      </c>
      <c r="M6" s="105" t="s">
        <v>92</v>
      </c>
    </row>
    <row r="7" spans="1:13" x14ac:dyDescent="0.25">
      <c r="A7" s="105">
        <v>2</v>
      </c>
      <c r="B7" s="115">
        <v>45163</v>
      </c>
      <c r="C7" s="105" t="s">
        <v>696</v>
      </c>
      <c r="D7" s="105"/>
      <c r="E7" s="105" t="s">
        <v>92</v>
      </c>
      <c r="F7" s="105" t="s">
        <v>356</v>
      </c>
      <c r="G7" s="105" t="s">
        <v>7</v>
      </c>
      <c r="H7" s="105" t="s">
        <v>92</v>
      </c>
      <c r="I7" s="105"/>
      <c r="J7" s="105"/>
      <c r="K7" s="105" t="s">
        <v>697</v>
      </c>
      <c r="L7" s="105" t="s">
        <v>92</v>
      </c>
      <c r="M7" s="105" t="s">
        <v>92</v>
      </c>
    </row>
    <row r="8" spans="1:13" x14ac:dyDescent="0.25">
      <c r="A8" s="105">
        <v>3</v>
      </c>
      <c r="B8" s="115">
        <v>45162</v>
      </c>
      <c r="C8" s="105" t="s">
        <v>743</v>
      </c>
      <c r="D8" s="105"/>
      <c r="E8" s="105" t="s">
        <v>92</v>
      </c>
      <c r="F8" s="105" t="s">
        <v>331</v>
      </c>
      <c r="G8" s="105" t="s">
        <v>7</v>
      </c>
      <c r="H8" s="105" t="s">
        <v>92</v>
      </c>
      <c r="I8" s="105"/>
      <c r="J8" s="105"/>
      <c r="K8" s="105" t="s">
        <v>748</v>
      </c>
      <c r="L8" s="105" t="s">
        <v>92</v>
      </c>
      <c r="M8" s="105" t="s">
        <v>92</v>
      </c>
    </row>
    <row r="9" spans="1:13" x14ac:dyDescent="0.25">
      <c r="A9" s="105">
        <v>4</v>
      </c>
      <c r="B9" s="115">
        <v>45162</v>
      </c>
      <c r="C9" s="105" t="s">
        <v>465</v>
      </c>
      <c r="D9" s="105"/>
      <c r="E9" s="105" t="s">
        <v>92</v>
      </c>
      <c r="F9" s="105" t="s">
        <v>332</v>
      </c>
      <c r="G9" s="105" t="s">
        <v>7</v>
      </c>
      <c r="H9" s="105" t="s">
        <v>92</v>
      </c>
      <c r="I9" s="105"/>
      <c r="J9" s="105"/>
      <c r="K9" s="105" t="s">
        <v>474</v>
      </c>
      <c r="L9" s="105" t="s">
        <v>92</v>
      </c>
      <c r="M9" s="105" t="s">
        <v>92</v>
      </c>
    </row>
    <row r="10" spans="1:13" x14ac:dyDescent="0.25">
      <c r="A10" s="105">
        <v>5</v>
      </c>
      <c r="B10" s="115">
        <v>45162</v>
      </c>
      <c r="C10" s="105" t="s">
        <v>451</v>
      </c>
      <c r="D10" s="105"/>
      <c r="E10" s="105" t="s">
        <v>92</v>
      </c>
      <c r="F10" s="105" t="s">
        <v>332</v>
      </c>
      <c r="G10" s="105" t="s">
        <v>7</v>
      </c>
      <c r="H10" s="105" t="s">
        <v>92</v>
      </c>
      <c r="I10" s="105"/>
      <c r="J10" s="105"/>
      <c r="K10" s="105" t="s">
        <v>462</v>
      </c>
      <c r="L10" s="105" t="s">
        <v>92</v>
      </c>
      <c r="M10" s="105" t="s">
        <v>92</v>
      </c>
    </row>
    <row r="11" spans="1:13" x14ac:dyDescent="0.25">
      <c r="A11" s="105">
        <v>6</v>
      </c>
      <c r="B11" s="115">
        <v>45162</v>
      </c>
      <c r="C11" s="105" t="s">
        <v>436</v>
      </c>
      <c r="D11" s="105"/>
      <c r="E11" s="105" t="s">
        <v>92</v>
      </c>
      <c r="F11" s="105" t="s">
        <v>332</v>
      </c>
      <c r="G11" s="105" t="s">
        <v>7</v>
      </c>
      <c r="H11" s="105" t="s">
        <v>92</v>
      </c>
      <c r="I11" s="105"/>
      <c r="J11" s="105"/>
      <c r="K11" s="105" t="s">
        <v>448</v>
      </c>
      <c r="L11" s="105" t="s">
        <v>92</v>
      </c>
      <c r="M11" s="105" t="s">
        <v>92</v>
      </c>
    </row>
    <row r="12" spans="1:13" x14ac:dyDescent="0.25">
      <c r="A12" s="105">
        <v>7</v>
      </c>
      <c r="B12" s="115">
        <v>45161</v>
      </c>
      <c r="C12" s="105" t="s">
        <v>749</v>
      </c>
      <c r="D12" s="105"/>
      <c r="E12" s="105" t="s">
        <v>586</v>
      </c>
      <c r="F12" s="105" t="s">
        <v>331</v>
      </c>
      <c r="G12" s="105" t="s">
        <v>7</v>
      </c>
      <c r="H12" s="105" t="s">
        <v>582</v>
      </c>
      <c r="I12" s="105"/>
      <c r="J12" s="105"/>
      <c r="K12" s="105" t="s">
        <v>750</v>
      </c>
      <c r="L12" s="105" t="s">
        <v>586</v>
      </c>
      <c r="M12" s="105" t="s">
        <v>582</v>
      </c>
    </row>
    <row r="13" spans="1:13" x14ac:dyDescent="0.25">
      <c r="A13" s="105">
        <v>8</v>
      </c>
      <c r="B13" s="115">
        <v>45161</v>
      </c>
      <c r="C13" s="105" t="s">
        <v>581</v>
      </c>
      <c r="D13" s="105"/>
      <c r="E13" s="105" t="s">
        <v>594</v>
      </c>
      <c r="F13" s="105" t="s">
        <v>331</v>
      </c>
      <c r="G13" s="105" t="s">
        <v>7</v>
      </c>
      <c r="H13" s="105" t="s">
        <v>582</v>
      </c>
      <c r="I13" s="105"/>
      <c r="J13" s="105"/>
      <c r="K13" s="105" t="s">
        <v>583</v>
      </c>
      <c r="L13" s="105" t="s">
        <v>594</v>
      </c>
      <c r="M13" s="105" t="s">
        <v>582</v>
      </c>
    </row>
    <row r="14" spans="1:13" x14ac:dyDescent="0.25">
      <c r="A14" s="105">
        <v>9</v>
      </c>
      <c r="B14" s="115">
        <v>45161</v>
      </c>
      <c r="C14" s="105" t="s">
        <v>432</v>
      </c>
      <c r="D14" s="105"/>
      <c r="E14" s="105" t="s">
        <v>92</v>
      </c>
      <c r="F14" s="105" t="s">
        <v>332</v>
      </c>
      <c r="G14" s="105" t="s">
        <v>7</v>
      </c>
      <c r="H14" s="105" t="s">
        <v>584</v>
      </c>
      <c r="I14" s="105"/>
      <c r="J14" s="105">
        <v>60</v>
      </c>
      <c r="K14" s="105" t="s">
        <v>489</v>
      </c>
      <c r="L14" s="105" t="s">
        <v>92</v>
      </c>
      <c r="M14" s="105" t="s">
        <v>584</v>
      </c>
    </row>
    <row r="15" spans="1:13" x14ac:dyDescent="0.25">
      <c r="A15" s="105">
        <v>10</v>
      </c>
      <c r="B15" s="115">
        <v>45160</v>
      </c>
      <c r="C15" s="105" t="s">
        <v>585</v>
      </c>
      <c r="D15" s="105"/>
      <c r="E15" s="105" t="s">
        <v>586</v>
      </c>
      <c r="F15" s="105" t="s">
        <v>331</v>
      </c>
      <c r="G15" s="105" t="s">
        <v>7</v>
      </c>
      <c r="H15" s="105" t="s">
        <v>582</v>
      </c>
      <c r="I15" s="105"/>
      <c r="J15" s="105"/>
      <c r="K15" s="105" t="s">
        <v>587</v>
      </c>
      <c r="L15" s="105" t="s">
        <v>586</v>
      </c>
      <c r="M15" s="105" t="s">
        <v>582</v>
      </c>
    </row>
    <row r="16" spans="1:13" x14ac:dyDescent="0.25">
      <c r="A16" s="105">
        <v>11</v>
      </c>
      <c r="B16" s="115">
        <v>45160</v>
      </c>
      <c r="C16" s="105" t="s">
        <v>491</v>
      </c>
      <c r="D16" s="105"/>
      <c r="E16" s="105" t="s">
        <v>92</v>
      </c>
      <c r="F16" s="105" t="s">
        <v>331</v>
      </c>
      <c r="G16" s="105" t="s">
        <v>7</v>
      </c>
      <c r="H16" s="105" t="s">
        <v>92</v>
      </c>
      <c r="I16" s="105"/>
      <c r="J16" s="105"/>
      <c r="K16" s="105" t="s">
        <v>494</v>
      </c>
      <c r="L16" s="105" t="s">
        <v>92</v>
      </c>
      <c r="M16" s="105" t="s">
        <v>92</v>
      </c>
    </row>
    <row r="17" spans="1:13" x14ac:dyDescent="0.25">
      <c r="A17" s="105">
        <v>12</v>
      </c>
      <c r="B17" s="115">
        <v>45160</v>
      </c>
      <c r="C17" s="105" t="s">
        <v>588</v>
      </c>
      <c r="D17" s="105"/>
      <c r="E17" s="105" t="s">
        <v>92</v>
      </c>
      <c r="F17" s="105" t="s">
        <v>332</v>
      </c>
      <c r="G17" s="105" t="s">
        <v>7</v>
      </c>
      <c r="H17" s="105" t="s">
        <v>92</v>
      </c>
      <c r="I17" s="105"/>
      <c r="J17" s="105"/>
      <c r="K17" s="105" t="s">
        <v>589</v>
      </c>
      <c r="L17" s="105" t="s">
        <v>92</v>
      </c>
      <c r="M17" s="105" t="s">
        <v>92</v>
      </c>
    </row>
    <row r="18" spans="1:13" x14ac:dyDescent="0.25">
      <c r="A18" s="105">
        <v>13</v>
      </c>
      <c r="B18" s="115">
        <v>45160</v>
      </c>
      <c r="C18" s="105" t="s">
        <v>590</v>
      </c>
      <c r="D18" s="105"/>
      <c r="E18" s="105" t="s">
        <v>92</v>
      </c>
      <c r="F18" s="105" t="s">
        <v>332</v>
      </c>
      <c r="G18" s="105" t="s">
        <v>7</v>
      </c>
      <c r="H18" s="105" t="s">
        <v>92</v>
      </c>
      <c r="I18" s="105"/>
      <c r="J18" s="105"/>
      <c r="K18" s="105" t="s">
        <v>591</v>
      </c>
      <c r="L18" s="105" t="s">
        <v>92</v>
      </c>
      <c r="M18" s="105" t="s">
        <v>92</v>
      </c>
    </row>
    <row r="19" spans="1:13" x14ac:dyDescent="0.25">
      <c r="A19" s="105">
        <v>14</v>
      </c>
      <c r="B19" s="115">
        <v>45160</v>
      </c>
      <c r="C19" s="105" t="s">
        <v>429</v>
      </c>
      <c r="D19" s="105"/>
      <c r="E19" s="105" t="s">
        <v>92</v>
      </c>
      <c r="F19" s="105" t="s">
        <v>331</v>
      </c>
      <c r="G19" s="105" t="s">
        <v>7</v>
      </c>
      <c r="H19" s="105" t="s">
        <v>92</v>
      </c>
      <c r="I19" s="105"/>
      <c r="J19" s="105"/>
      <c r="K19" s="105" t="s">
        <v>511</v>
      </c>
      <c r="L19" s="105" t="s">
        <v>92</v>
      </c>
      <c r="M19" s="105" t="s">
        <v>92</v>
      </c>
    </row>
    <row r="20" spans="1:13" x14ac:dyDescent="0.25">
      <c r="A20" s="105">
        <v>15</v>
      </c>
      <c r="B20" s="115">
        <v>45160</v>
      </c>
      <c r="C20" s="105" t="s">
        <v>426</v>
      </c>
      <c r="D20" s="105"/>
      <c r="E20" s="105" t="s">
        <v>592</v>
      </c>
      <c r="F20" s="105" t="s">
        <v>356</v>
      </c>
      <c r="G20" s="105" t="s">
        <v>7</v>
      </c>
      <c r="H20" s="105" t="s">
        <v>592</v>
      </c>
      <c r="I20" s="105"/>
      <c r="J20" s="105"/>
      <c r="K20" s="105" t="s">
        <v>525</v>
      </c>
      <c r="L20" s="105" t="s">
        <v>592</v>
      </c>
      <c r="M20" s="105" t="s">
        <v>592</v>
      </c>
    </row>
    <row r="21" spans="1:13" x14ac:dyDescent="0.25">
      <c r="A21" s="105">
        <v>16</v>
      </c>
      <c r="B21" s="115">
        <v>45159</v>
      </c>
      <c r="C21" s="105" t="s">
        <v>535</v>
      </c>
      <c r="D21" s="105"/>
      <c r="E21" s="105" t="s">
        <v>92</v>
      </c>
      <c r="F21" s="105" t="s">
        <v>356</v>
      </c>
      <c r="G21" s="105" t="s">
        <v>7</v>
      </c>
      <c r="H21" s="105" t="s">
        <v>92</v>
      </c>
      <c r="I21" s="105"/>
      <c r="J21" s="105"/>
      <c r="K21" s="105" t="s">
        <v>547</v>
      </c>
      <c r="L21" s="105" t="s">
        <v>92</v>
      </c>
      <c r="M21" s="105" t="s">
        <v>92</v>
      </c>
    </row>
    <row r="22" spans="1:13" x14ac:dyDescent="0.25">
      <c r="A22">
        <v>17</v>
      </c>
      <c r="B22">
        <v>45159</v>
      </c>
      <c r="C22" t="s">
        <v>593</v>
      </c>
      <c r="D22"/>
      <c r="E22" t="s">
        <v>594</v>
      </c>
      <c r="F22" t="s">
        <v>331</v>
      </c>
      <c r="G22" t="s">
        <v>7</v>
      </c>
      <c r="H22" t="s">
        <v>582</v>
      </c>
      <c r="I22"/>
      <c r="J22"/>
      <c r="K22" t="s">
        <v>595</v>
      </c>
      <c r="L22" t="s">
        <v>594</v>
      </c>
      <c r="M22" t="s">
        <v>582</v>
      </c>
    </row>
    <row r="23" spans="1:13" x14ac:dyDescent="0.25">
      <c r="A23">
        <v>18</v>
      </c>
      <c r="B23">
        <v>45159</v>
      </c>
      <c r="C23" t="s">
        <v>527</v>
      </c>
      <c r="D23"/>
      <c r="E23" t="s">
        <v>92</v>
      </c>
      <c r="F23" t="s">
        <v>332</v>
      </c>
      <c r="G23" t="s">
        <v>7</v>
      </c>
      <c r="H23" t="s">
        <v>92</v>
      </c>
      <c r="I23"/>
      <c r="J23"/>
      <c r="K23" t="s">
        <v>532</v>
      </c>
      <c r="L23" t="s">
        <v>92</v>
      </c>
      <c r="M23" t="s">
        <v>92</v>
      </c>
    </row>
    <row r="24" spans="1:13" x14ac:dyDescent="0.25">
      <c r="A24">
        <v>19</v>
      </c>
      <c r="B24">
        <v>45159</v>
      </c>
      <c r="C24" t="s">
        <v>579</v>
      </c>
      <c r="D24"/>
      <c r="E24" t="s">
        <v>92</v>
      </c>
      <c r="F24" t="s">
        <v>356</v>
      </c>
      <c r="G24" t="s">
        <v>7</v>
      </c>
      <c r="H24" t="s">
        <v>596</v>
      </c>
      <c r="I24"/>
      <c r="J24"/>
      <c r="K24" t="s">
        <v>580</v>
      </c>
      <c r="L24" t="s">
        <v>92</v>
      </c>
      <c r="M24" t="s">
        <v>92</v>
      </c>
    </row>
    <row r="25" spans="1:13" x14ac:dyDescent="0.25">
      <c r="A25">
        <v>20</v>
      </c>
      <c r="B25">
        <v>45159</v>
      </c>
      <c r="C25" t="s">
        <v>577</v>
      </c>
      <c r="D25"/>
      <c r="E25" t="s">
        <v>92</v>
      </c>
      <c r="F25" t="s">
        <v>356</v>
      </c>
      <c r="G25" t="s">
        <v>7</v>
      </c>
      <c r="H25" t="s">
        <v>596</v>
      </c>
      <c r="I25"/>
      <c r="J25"/>
      <c r="K25" t="s">
        <v>578</v>
      </c>
      <c r="L25" t="s">
        <v>92</v>
      </c>
      <c r="M25" t="s">
        <v>92</v>
      </c>
    </row>
    <row r="26" spans="1:13" x14ac:dyDescent="0.25">
      <c r="A26">
        <v>21</v>
      </c>
      <c r="B26">
        <v>45159</v>
      </c>
      <c r="C26" t="s">
        <v>565</v>
      </c>
      <c r="D26"/>
      <c r="E26" t="s">
        <v>92</v>
      </c>
      <c r="F26" t="s">
        <v>356</v>
      </c>
      <c r="G26" t="s">
        <v>7</v>
      </c>
      <c r="H26" t="s">
        <v>596</v>
      </c>
      <c r="I26"/>
      <c r="J26"/>
      <c r="K26" t="s">
        <v>576</v>
      </c>
      <c r="L26" t="s">
        <v>92</v>
      </c>
      <c r="M26" t="s">
        <v>92</v>
      </c>
    </row>
    <row r="27" spans="1:13" x14ac:dyDescent="0.25">
      <c r="A27">
        <v>22</v>
      </c>
      <c r="B27">
        <v>45159</v>
      </c>
      <c r="C27" t="s">
        <v>550</v>
      </c>
      <c r="D27"/>
      <c r="E27" t="s">
        <v>92</v>
      </c>
      <c r="F27" t="s">
        <v>356</v>
      </c>
      <c r="G27" t="s">
        <v>7</v>
      </c>
      <c r="H27" t="s">
        <v>597</v>
      </c>
      <c r="I27"/>
      <c r="J27"/>
      <c r="K27" t="s">
        <v>562</v>
      </c>
      <c r="L27" t="s">
        <v>92</v>
      </c>
      <c r="M27" t="s">
        <v>92</v>
      </c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8"/>
  <sheetViews>
    <sheetView workbookViewId="0">
      <selection activeCell="E20" sqref="E20"/>
    </sheetView>
  </sheetViews>
  <sheetFormatPr defaultRowHeight="15" x14ac:dyDescent="0.25"/>
  <cols>
    <col min="1" max="1" width="13.5546875" style="1" bestFit="1" customWidth="1"/>
    <col min="2" max="2" width="13.21875" style="1" bestFit="1" customWidth="1"/>
    <col min="3" max="3" width="29.88671875" style="1" bestFit="1" customWidth="1"/>
    <col min="4" max="6" width="9.21875" style="1" bestFit="1" customWidth="1"/>
    <col min="7" max="7" width="11.44140625" style="1" bestFit="1" customWidth="1"/>
    <col min="8" max="8" width="10.88671875" style="1" bestFit="1" customWidth="1"/>
    <col min="9" max="16384" width="8.88671875" style="1"/>
  </cols>
  <sheetData>
    <row r="1" spans="1:8" ht="67.5" customHeight="1" x14ac:dyDescent="0.25">
      <c r="A1" s="67" t="s">
        <v>326</v>
      </c>
    </row>
    <row r="5" spans="1:8" x14ac:dyDescent="0.25">
      <c r="A5" t="s">
        <v>218</v>
      </c>
      <c r="B5" t="s">
        <v>55</v>
      </c>
      <c r="C5" t="s">
        <v>323</v>
      </c>
      <c r="D5" t="s">
        <v>240</v>
      </c>
      <c r="E5" t="s">
        <v>324</v>
      </c>
      <c r="F5" t="s">
        <v>201</v>
      </c>
      <c r="G5" t="s">
        <v>202</v>
      </c>
      <c r="H5" t="s">
        <v>325</v>
      </c>
    </row>
    <row r="6" spans="1:8" x14ac:dyDescent="0.25">
      <c r="A6" t="s">
        <v>425</v>
      </c>
      <c r="B6" t="s">
        <v>426</v>
      </c>
      <c r="C6" t="s">
        <v>427</v>
      </c>
      <c r="D6">
        <v>55</v>
      </c>
      <c r="E6" t="s">
        <v>176</v>
      </c>
      <c r="F6" t="s">
        <v>210</v>
      </c>
      <c r="G6" t="s">
        <v>214</v>
      </c>
      <c r="H6">
        <v>45160</v>
      </c>
    </row>
    <row r="7" spans="1:8" x14ac:dyDescent="0.25">
      <c r="A7" t="s">
        <v>428</v>
      </c>
      <c r="B7" t="s">
        <v>429</v>
      </c>
      <c r="C7" t="s">
        <v>430</v>
      </c>
      <c r="D7">
        <v>56</v>
      </c>
      <c r="E7" t="s">
        <v>177</v>
      </c>
      <c r="F7" t="s">
        <v>210</v>
      </c>
      <c r="G7" t="s">
        <v>214</v>
      </c>
      <c r="H7">
        <v>45160</v>
      </c>
    </row>
    <row r="8" spans="1:8" x14ac:dyDescent="0.25">
      <c r="A8" t="s">
        <v>431</v>
      </c>
      <c r="B8" t="s">
        <v>432</v>
      </c>
      <c r="C8" t="s">
        <v>433</v>
      </c>
      <c r="D8">
        <v>57</v>
      </c>
      <c r="E8" t="s">
        <v>176</v>
      </c>
      <c r="F8" t="s">
        <v>210</v>
      </c>
      <c r="G8" t="s">
        <v>211</v>
      </c>
      <c r="H8">
        <v>45161</v>
      </c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5546875" style="1" bestFit="1" customWidth="1"/>
    <col min="6" max="6" width="10.88671875" style="1" bestFit="1" customWidth="1"/>
    <col min="7" max="8" width="9.21875" style="1" bestFit="1" customWidth="1"/>
    <col min="9" max="9" width="7.6640625" style="1" bestFit="1" customWidth="1"/>
    <col min="10" max="10" width="27.109375" style="1" bestFit="1" customWidth="1"/>
    <col min="11" max="11" width="8.88671875" style="1" bestFit="1" customWidth="1"/>
    <col min="12" max="12" width="9.21875" style="1" bestFit="1" customWidth="1"/>
    <col min="13" max="13" width="20.109375" style="1" bestFit="1" customWidth="1"/>
    <col min="14" max="16384" width="8.88671875" style="1"/>
  </cols>
  <sheetData>
    <row r="1" spans="1:13" ht="67.5" customHeight="1" x14ac:dyDescent="0.25">
      <c r="A1" s="7" t="s">
        <v>322</v>
      </c>
    </row>
    <row r="5" spans="1:13" x14ac:dyDescent="0.25">
      <c r="A5" t="s">
        <v>105</v>
      </c>
      <c r="B5" t="s">
        <v>56</v>
      </c>
      <c r="C5" t="s">
        <v>316</v>
      </c>
      <c r="D5" t="s">
        <v>55</v>
      </c>
      <c r="E5" t="s">
        <v>67</v>
      </c>
      <c r="F5" t="s">
        <v>317</v>
      </c>
      <c r="G5" t="s">
        <v>69</v>
      </c>
      <c r="H5" t="s">
        <v>318</v>
      </c>
      <c r="I5" t="s">
        <v>50</v>
      </c>
      <c r="J5" t="s">
        <v>319</v>
      </c>
      <c r="K5" t="s">
        <v>320</v>
      </c>
      <c r="L5" t="s">
        <v>321</v>
      </c>
      <c r="M5" t="s">
        <v>165</v>
      </c>
    </row>
    <row r="6" spans="1:13" x14ac:dyDescent="0.25">
      <c r="A6" t="s">
        <v>721</v>
      </c>
      <c r="B6" s="116">
        <v>45153</v>
      </c>
      <c r="C6" t="s">
        <v>722</v>
      </c>
      <c r="D6" t="s">
        <v>723</v>
      </c>
      <c r="E6" t="s">
        <v>724</v>
      </c>
      <c r="F6" t="s">
        <v>725</v>
      </c>
      <c r="G6"/>
      <c r="H6"/>
      <c r="I6" t="s">
        <v>726</v>
      </c>
      <c r="J6"/>
      <c r="K6" t="s">
        <v>103</v>
      </c>
      <c r="L6" t="s">
        <v>103</v>
      </c>
      <c r="M6" t="s">
        <v>727</v>
      </c>
    </row>
    <row r="7" spans="1:13" x14ac:dyDescent="0.25">
      <c r="A7" t="s">
        <v>728</v>
      </c>
      <c r="B7" s="116">
        <v>45154</v>
      </c>
      <c r="C7" t="s">
        <v>729</v>
      </c>
      <c r="D7" t="s">
        <v>730</v>
      </c>
      <c r="E7" t="s">
        <v>724</v>
      </c>
      <c r="F7" t="s">
        <v>725</v>
      </c>
      <c r="G7"/>
      <c r="H7"/>
      <c r="I7" t="s">
        <v>1</v>
      </c>
      <c r="J7"/>
      <c r="K7" t="s">
        <v>103</v>
      </c>
      <c r="L7" t="s">
        <v>103</v>
      </c>
      <c r="M7" t="s">
        <v>731</v>
      </c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G17"/>
  <sheetViews>
    <sheetView topLeftCell="S1" workbookViewId="0">
      <selection activeCell="AF21" sqref="AF19:AF21"/>
    </sheetView>
  </sheetViews>
  <sheetFormatPr defaultRowHeight="15" x14ac:dyDescent="0.25"/>
  <cols>
    <col min="1" max="1" width="7.109375" style="1" bestFit="1" customWidth="1"/>
    <col min="2" max="2" width="29.88671875" style="1" bestFit="1" customWidth="1"/>
    <col min="3" max="3" width="13.33203125" style="1" bestFit="1" customWidth="1"/>
    <col min="4" max="4" width="9.33203125" style="1" bestFit="1" customWidth="1"/>
    <col min="5" max="6" width="9.21875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8.5546875" style="1" bestFit="1" customWidth="1"/>
    <col min="12" max="12" width="10.44140625" style="1" bestFit="1" customWidth="1"/>
    <col min="13" max="14" width="8.5546875" style="1" bestFit="1" customWidth="1"/>
    <col min="15" max="15" width="9.21875" style="1" bestFit="1" customWidth="1"/>
    <col min="16" max="16" width="22.88671875" style="1" bestFit="1" customWidth="1"/>
    <col min="17" max="17" width="7.5546875" style="1" bestFit="1" customWidth="1"/>
    <col min="18" max="18" width="8.88671875" style="1" bestFit="1" customWidth="1"/>
    <col min="19" max="19" width="6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9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8.44140625" style="1" bestFit="1" customWidth="1"/>
    <col min="31" max="31" width="10.88671875" style="1" bestFit="1" customWidth="1"/>
    <col min="32" max="32" width="14.21875" style="1" bestFit="1" customWidth="1"/>
    <col min="33" max="33" width="51" style="1" bestFit="1" customWidth="1"/>
    <col min="34" max="34" width="29.88671875" style="1" bestFit="1" customWidth="1"/>
    <col min="35" max="35" width="14.21875" style="1" bestFit="1" customWidth="1"/>
    <col min="36" max="36" width="7.6640625" style="1" bestFit="1" customWidth="1"/>
    <col min="37" max="37" width="5.6640625" style="1" bestFit="1" customWidth="1"/>
    <col min="38" max="38" width="11.109375" style="1" bestFit="1" customWidth="1"/>
    <col min="39" max="39" width="5.88671875" style="1" bestFit="1" customWidth="1"/>
    <col min="40" max="41" width="9.21875" style="1" bestFit="1" customWidth="1"/>
    <col min="42" max="42" width="10" style="1" bestFit="1" customWidth="1"/>
    <col min="43" max="43" width="12.44140625" style="1" bestFit="1" customWidth="1"/>
    <col min="44" max="44" width="9.33203125" style="1" bestFit="1" customWidth="1"/>
    <col min="45" max="45" width="11.5546875" style="1" bestFit="1" customWidth="1"/>
    <col min="46" max="46" width="19.44140625" style="1" bestFit="1" customWidth="1"/>
    <col min="47" max="47" width="11.5546875" style="1" bestFit="1" customWidth="1"/>
    <col min="48" max="49" width="17.33203125" style="1" bestFit="1" customWidth="1"/>
    <col min="50" max="50" width="9.21875" style="1" bestFit="1" customWidth="1"/>
    <col min="51" max="51" width="15.21875" style="1" bestFit="1" customWidth="1"/>
    <col min="52" max="52" width="13.44140625" style="1" bestFit="1" customWidth="1"/>
    <col min="53" max="53" width="11.109375" style="1" bestFit="1" customWidth="1"/>
    <col min="54" max="55" width="10.88671875" style="1" bestFit="1" customWidth="1"/>
    <col min="56" max="56" width="9.21875" style="1" bestFit="1" customWidth="1"/>
    <col min="57" max="57" width="8.77734375" style="1" bestFit="1" customWidth="1"/>
    <col min="58" max="58" width="9.21875" style="1" bestFit="1" customWidth="1"/>
    <col min="59" max="59" width="14.6640625" style="1" bestFit="1" customWidth="1"/>
    <col min="60" max="60" width="9.21875" style="1" bestFit="1" customWidth="1"/>
    <col min="61" max="61" width="8.5546875" style="1" bestFit="1" customWidth="1"/>
    <col min="62" max="62" width="9.33203125" style="1" bestFit="1" customWidth="1"/>
    <col min="63" max="63" width="9.21875" style="1" bestFit="1" customWidth="1"/>
    <col min="64" max="64" width="10.109375" style="1" bestFit="1" customWidth="1"/>
    <col min="65" max="65" width="10.33203125" style="1" bestFit="1" customWidth="1"/>
    <col min="66" max="66" width="15.109375" style="1" bestFit="1" customWidth="1"/>
    <col min="67" max="67" width="10.33203125" style="1" bestFit="1" customWidth="1"/>
    <col min="68" max="68" width="5.88671875" style="1" bestFit="1" customWidth="1"/>
    <col min="69" max="69" width="9.21875" style="1" bestFit="1" customWidth="1"/>
    <col min="70" max="70" width="10.33203125" style="1" bestFit="1" customWidth="1"/>
    <col min="71" max="71" width="14.44140625" style="1" bestFit="1" customWidth="1"/>
    <col min="72" max="72" width="16.109375" style="1" bestFit="1" customWidth="1"/>
    <col min="73" max="73" width="20.6640625" style="1" bestFit="1" customWidth="1"/>
    <col min="74" max="74" width="18.88671875" style="1" bestFit="1" customWidth="1"/>
    <col min="75" max="75" width="27.109375" style="1" bestFit="1" customWidth="1"/>
    <col min="76" max="16384" width="8.88671875" style="1"/>
  </cols>
  <sheetData>
    <row r="1" spans="1:59" ht="39.75" customHeight="1" x14ac:dyDescent="0.25"/>
    <row r="2" spans="1:59" ht="39.75" customHeight="1" x14ac:dyDescent="0.25"/>
    <row r="3" spans="1:59" ht="39.75" customHeight="1" x14ac:dyDescent="0.25"/>
    <row r="4" spans="1:59" x14ac:dyDescent="0.25">
      <c r="A4" s="105" t="s">
        <v>95</v>
      </c>
      <c r="B4" s="105" t="s">
        <v>105</v>
      </c>
      <c r="C4" s="105" t="s">
        <v>55</v>
      </c>
      <c r="D4" s="105" t="s">
        <v>56</v>
      </c>
      <c r="E4" s="105" t="s">
        <v>160</v>
      </c>
      <c r="F4" s="105" t="s">
        <v>207</v>
      </c>
      <c r="G4" s="105" t="s">
        <v>58</v>
      </c>
      <c r="H4" s="105" t="s">
        <v>72</v>
      </c>
      <c r="I4" s="105" t="s">
        <v>65</v>
      </c>
      <c r="J4" s="105" t="s">
        <v>96</v>
      </c>
      <c r="K4" s="105" t="s">
        <v>137</v>
      </c>
      <c r="L4" s="105" t="s">
        <v>97</v>
      </c>
      <c r="M4" s="105" t="s">
        <v>61</v>
      </c>
      <c r="N4" s="105" t="s">
        <v>180</v>
      </c>
      <c r="O4" s="105" t="s">
        <v>196</v>
      </c>
      <c r="P4" s="105" t="s">
        <v>198</v>
      </c>
      <c r="Q4" s="105" t="s">
        <v>67</v>
      </c>
      <c r="R4" s="105" t="s">
        <v>99</v>
      </c>
      <c r="S4" s="105" t="s">
        <v>102</v>
      </c>
      <c r="T4" s="105" t="s">
        <v>216</v>
      </c>
      <c r="U4" s="105" t="s">
        <v>217</v>
      </c>
      <c r="V4" s="105" t="s">
        <v>166</v>
      </c>
      <c r="W4" s="105" t="s">
        <v>89</v>
      </c>
      <c r="X4" s="105" t="s">
        <v>75</v>
      </c>
      <c r="Y4" s="105" t="s">
        <v>78</v>
      </c>
      <c r="Z4" s="105" t="s">
        <v>60</v>
      </c>
      <c r="AA4" s="105" t="s">
        <v>203</v>
      </c>
      <c r="AB4" s="105" t="s">
        <v>204</v>
      </c>
      <c r="AC4" s="105" t="s">
        <v>247</v>
      </c>
      <c r="AD4" s="105" t="s">
        <v>74</v>
      </c>
      <c r="AE4" s="105" t="s">
        <v>276</v>
      </c>
      <c r="AF4" s="105" t="s">
        <v>424</v>
      </c>
      <c r="AG4" s="105" t="s">
        <v>79</v>
      </c>
      <c r="AH4" s="105" t="s">
        <v>80</v>
      </c>
      <c r="AI4" s="105" t="s">
        <v>90</v>
      </c>
      <c r="AJ4" s="105" t="s">
        <v>48</v>
      </c>
      <c r="AK4" s="105" t="s">
        <v>164</v>
      </c>
      <c r="AL4" s="105" t="s">
        <v>182</v>
      </c>
      <c r="AM4" s="105" t="s">
        <v>255</v>
      </c>
      <c r="AN4" s="105" t="s">
        <v>244</v>
      </c>
      <c r="AO4" s="105" t="s">
        <v>246</v>
      </c>
      <c r="AP4" s="105" t="s">
        <v>256</v>
      </c>
      <c r="AQ4" s="105" t="s">
        <v>257</v>
      </c>
      <c r="AR4" s="105" t="s">
        <v>199</v>
      </c>
      <c r="AS4" s="105" t="s">
        <v>258</v>
      </c>
      <c r="AT4" s="105" t="s">
        <v>165</v>
      </c>
    </row>
    <row r="5" spans="1:59" x14ac:dyDescent="0.25">
      <c r="A5" s="105">
        <v>13</v>
      </c>
      <c r="B5" s="105" t="s">
        <v>732</v>
      </c>
      <c r="C5" s="105" t="s">
        <v>734</v>
      </c>
      <c r="D5" s="129">
        <v>45163</v>
      </c>
      <c r="E5" s="105" t="s">
        <v>92</v>
      </c>
      <c r="F5" s="105" t="s">
        <v>92</v>
      </c>
      <c r="G5" s="105" t="s">
        <v>7</v>
      </c>
      <c r="H5" s="105" t="s">
        <v>94</v>
      </c>
      <c r="I5" s="105">
        <v>0.45</v>
      </c>
      <c r="J5" s="105" t="s">
        <v>179</v>
      </c>
      <c r="K5" s="105" t="s">
        <v>737</v>
      </c>
      <c r="L5" s="105" t="s">
        <v>751</v>
      </c>
      <c r="M5" s="105" t="s">
        <v>737</v>
      </c>
      <c r="N5" s="105" t="s">
        <v>7</v>
      </c>
      <c r="O5" s="105" t="s">
        <v>763</v>
      </c>
      <c r="P5" s="105" t="s">
        <v>132</v>
      </c>
      <c r="Q5" s="105">
        <v>100</v>
      </c>
      <c r="R5" s="105" t="s">
        <v>43</v>
      </c>
      <c r="S5" s="105" t="s">
        <v>355</v>
      </c>
      <c r="T5" s="105" t="s">
        <v>7</v>
      </c>
      <c r="U5" s="105" t="s">
        <v>7</v>
      </c>
      <c r="V5" s="105" t="s">
        <v>103</v>
      </c>
      <c r="W5" s="105" t="s">
        <v>156</v>
      </c>
      <c r="X5" s="129">
        <v>45168</v>
      </c>
      <c r="Y5" s="129">
        <v>45351</v>
      </c>
      <c r="Z5" s="129">
        <v>46264</v>
      </c>
      <c r="AA5" s="105">
        <v>0.45</v>
      </c>
      <c r="AB5" s="105">
        <v>3.2839999999999998</v>
      </c>
      <c r="AC5" s="105">
        <v>3.53</v>
      </c>
      <c r="AD5" s="105" t="s">
        <v>740</v>
      </c>
      <c r="AE5" s="105" t="s">
        <v>332</v>
      </c>
      <c r="AF5" s="105" t="s">
        <v>7</v>
      </c>
      <c r="AG5" s="105" t="s">
        <v>732</v>
      </c>
      <c r="AH5" s="105" t="s">
        <v>103</v>
      </c>
      <c r="AI5" s="105" t="s">
        <v>103</v>
      </c>
      <c r="AJ5" s="105" t="s">
        <v>7</v>
      </c>
      <c r="AK5" s="105" t="s">
        <v>7</v>
      </c>
      <c r="AL5" s="105" t="s">
        <v>7</v>
      </c>
      <c r="AM5" s="105"/>
      <c r="AN5" s="105" t="s">
        <v>103</v>
      </c>
      <c r="AO5" s="105" t="s">
        <v>103</v>
      </c>
      <c r="AP5" s="105"/>
      <c r="AQ5" s="105"/>
      <c r="AR5" s="105"/>
      <c r="AS5" s="105"/>
      <c r="AT5" s="105" t="s">
        <v>741</v>
      </c>
      <c r="BG5" s="22"/>
    </row>
    <row r="6" spans="1:59" x14ac:dyDescent="0.25">
      <c r="A6" s="105">
        <v>12</v>
      </c>
      <c r="B6" s="105" t="s">
        <v>698</v>
      </c>
      <c r="C6" s="105" t="s">
        <v>696</v>
      </c>
      <c r="D6" s="129">
        <v>45163</v>
      </c>
      <c r="E6" s="105" t="s">
        <v>92</v>
      </c>
      <c r="F6" s="105" t="s">
        <v>92</v>
      </c>
      <c r="G6" s="105" t="s">
        <v>292</v>
      </c>
      <c r="H6" s="105" t="s">
        <v>117</v>
      </c>
      <c r="I6" s="105">
        <v>2.1800000000000002</v>
      </c>
      <c r="J6" s="105" t="s">
        <v>179</v>
      </c>
      <c r="K6" s="105" t="s">
        <v>701</v>
      </c>
      <c r="L6" s="105" t="s">
        <v>7</v>
      </c>
      <c r="M6" s="105" t="s">
        <v>701</v>
      </c>
      <c r="N6" s="105" t="s">
        <v>7</v>
      </c>
      <c r="O6" s="105" t="s">
        <v>7</v>
      </c>
      <c r="P6" s="105" t="s">
        <v>132</v>
      </c>
      <c r="Q6" s="105">
        <v>100</v>
      </c>
      <c r="R6" s="105" t="s">
        <v>129</v>
      </c>
      <c r="S6" s="105" t="s">
        <v>355</v>
      </c>
      <c r="T6" s="105" t="s">
        <v>7</v>
      </c>
      <c r="U6" s="105" t="s">
        <v>7</v>
      </c>
      <c r="V6" s="105" t="s">
        <v>103</v>
      </c>
      <c r="W6" s="105" t="s">
        <v>156</v>
      </c>
      <c r="X6" s="129">
        <v>45170</v>
      </c>
      <c r="Y6" s="129">
        <v>45352</v>
      </c>
      <c r="Z6" s="129">
        <v>46266</v>
      </c>
      <c r="AA6" s="105">
        <v>0.29899999999999999</v>
      </c>
      <c r="AB6" s="105">
        <v>2.1800000000000002</v>
      </c>
      <c r="AC6" s="105">
        <v>2.3439999999999999</v>
      </c>
      <c r="AD6" s="105" t="s">
        <v>707</v>
      </c>
      <c r="AE6" s="105" t="s">
        <v>356</v>
      </c>
      <c r="AF6" s="105" t="s">
        <v>7</v>
      </c>
      <c r="AG6" s="105" t="s">
        <v>708</v>
      </c>
      <c r="AH6" s="105" t="s">
        <v>698</v>
      </c>
      <c r="AI6" s="105" t="s">
        <v>103</v>
      </c>
      <c r="AJ6" s="105" t="s">
        <v>664</v>
      </c>
      <c r="AK6" s="105" t="s">
        <v>7</v>
      </c>
      <c r="AL6" s="105" t="s">
        <v>7</v>
      </c>
      <c r="AM6" s="105"/>
      <c r="AN6" s="105" t="s">
        <v>103</v>
      </c>
      <c r="AO6" s="105" t="s">
        <v>103</v>
      </c>
      <c r="AP6" s="105"/>
      <c r="AQ6" s="105"/>
      <c r="AR6" s="105"/>
      <c r="AS6" s="105"/>
      <c r="AT6" s="105" t="s">
        <v>697</v>
      </c>
      <c r="BG6" s="22"/>
    </row>
    <row r="7" spans="1:59" x14ac:dyDescent="0.25">
      <c r="A7" s="105">
        <v>11</v>
      </c>
      <c r="B7" s="105" t="s">
        <v>463</v>
      </c>
      <c r="C7" s="105" t="s">
        <v>465</v>
      </c>
      <c r="D7" s="129">
        <v>45162</v>
      </c>
      <c r="E7" s="105" t="s">
        <v>92</v>
      </c>
      <c r="F7" s="105" t="s">
        <v>92</v>
      </c>
      <c r="G7" s="105" t="s">
        <v>292</v>
      </c>
      <c r="H7" s="105" t="s">
        <v>94</v>
      </c>
      <c r="I7" s="105">
        <v>0.25800000000000001</v>
      </c>
      <c r="J7" s="105" t="s">
        <v>179</v>
      </c>
      <c r="K7" s="105" t="s">
        <v>660</v>
      </c>
      <c r="L7" s="105" t="s">
        <v>7</v>
      </c>
      <c r="M7" s="105" t="s">
        <v>7</v>
      </c>
      <c r="N7" s="105" t="s">
        <v>7</v>
      </c>
      <c r="O7" s="105" t="s">
        <v>7</v>
      </c>
      <c r="P7" s="105" t="s">
        <v>132</v>
      </c>
      <c r="Q7" s="105">
        <v>100</v>
      </c>
      <c r="R7" s="105" t="s">
        <v>43</v>
      </c>
      <c r="S7" s="105" t="s">
        <v>661</v>
      </c>
      <c r="T7" s="105" t="s">
        <v>7</v>
      </c>
      <c r="U7" s="105" t="s">
        <v>7</v>
      </c>
      <c r="V7" s="105" t="s">
        <v>103</v>
      </c>
      <c r="W7" s="105" t="s">
        <v>156</v>
      </c>
      <c r="X7" s="129">
        <v>45166</v>
      </c>
      <c r="Y7" s="129">
        <v>45350</v>
      </c>
      <c r="Z7" s="129">
        <v>46262</v>
      </c>
      <c r="AA7" s="105">
        <v>0.25800000000000001</v>
      </c>
      <c r="AB7" s="105">
        <v>1.88</v>
      </c>
      <c r="AC7" s="105">
        <v>2.0230000000000001</v>
      </c>
      <c r="AD7" s="105" t="s">
        <v>472</v>
      </c>
      <c r="AE7" s="105" t="s">
        <v>332</v>
      </c>
      <c r="AF7" s="105" t="s">
        <v>7</v>
      </c>
      <c r="AG7" s="105" t="s">
        <v>463</v>
      </c>
      <c r="AH7" s="105" t="s">
        <v>103</v>
      </c>
      <c r="AI7" s="105" t="s">
        <v>103</v>
      </c>
      <c r="AJ7" s="105" t="s">
        <v>7</v>
      </c>
      <c r="AK7" s="105" t="s">
        <v>7</v>
      </c>
      <c r="AL7" s="105" t="s">
        <v>7</v>
      </c>
      <c r="AM7" s="105"/>
      <c r="AN7" s="105" t="s">
        <v>103</v>
      </c>
      <c r="AO7" s="105" t="s">
        <v>103</v>
      </c>
      <c r="AP7" s="105"/>
      <c r="AQ7" s="105"/>
      <c r="AR7" s="105"/>
      <c r="AS7" s="105"/>
      <c r="AT7" s="105" t="s">
        <v>474</v>
      </c>
      <c r="BG7" s="22"/>
    </row>
    <row r="8" spans="1:59" x14ac:dyDescent="0.25">
      <c r="A8" s="105">
        <v>9</v>
      </c>
      <c r="B8" s="105" t="s">
        <v>434</v>
      </c>
      <c r="C8" s="105" t="s">
        <v>436</v>
      </c>
      <c r="D8" s="129">
        <v>45162</v>
      </c>
      <c r="E8" s="105" t="s">
        <v>92</v>
      </c>
      <c r="F8" s="105" t="s">
        <v>92</v>
      </c>
      <c r="G8" s="105" t="s">
        <v>292</v>
      </c>
      <c r="H8" s="105" t="s">
        <v>117</v>
      </c>
      <c r="I8" s="105">
        <v>1.7</v>
      </c>
      <c r="J8" s="105" t="s">
        <v>179</v>
      </c>
      <c r="K8" s="105" t="s">
        <v>665</v>
      </c>
      <c r="L8" s="105" t="s">
        <v>7</v>
      </c>
      <c r="M8" s="105" t="s">
        <v>665</v>
      </c>
      <c r="N8" s="105" t="s">
        <v>7</v>
      </c>
      <c r="O8" s="105" t="s">
        <v>7</v>
      </c>
      <c r="P8" s="105" t="s">
        <v>132</v>
      </c>
      <c r="Q8" s="105">
        <v>100</v>
      </c>
      <c r="R8" s="105" t="s">
        <v>128</v>
      </c>
      <c r="S8" s="105" t="s">
        <v>355</v>
      </c>
      <c r="T8" s="105" t="s">
        <v>7</v>
      </c>
      <c r="U8" s="105" t="s">
        <v>7</v>
      </c>
      <c r="V8" s="105" t="s">
        <v>103</v>
      </c>
      <c r="W8" s="105" t="s">
        <v>103</v>
      </c>
      <c r="X8" s="129">
        <v>45168</v>
      </c>
      <c r="Y8" s="129"/>
      <c r="Z8" s="129">
        <v>46264</v>
      </c>
      <c r="AA8" s="105">
        <v>0.23300000000000001</v>
      </c>
      <c r="AB8" s="105">
        <v>1.7</v>
      </c>
      <c r="AC8" s="105">
        <v>1.829</v>
      </c>
      <c r="AD8" s="105" t="s">
        <v>445</v>
      </c>
      <c r="AE8" s="105" t="s">
        <v>332</v>
      </c>
      <c r="AF8" s="105" t="s">
        <v>7</v>
      </c>
      <c r="AG8" s="105" t="s">
        <v>434</v>
      </c>
      <c r="AH8" s="105" t="s">
        <v>103</v>
      </c>
      <c r="AI8" s="105" t="s">
        <v>103</v>
      </c>
      <c r="AJ8" s="105" t="s">
        <v>664</v>
      </c>
      <c r="AK8" s="105" t="s">
        <v>7</v>
      </c>
      <c r="AL8" s="105" t="s">
        <v>7</v>
      </c>
      <c r="AM8" s="105"/>
      <c r="AN8" s="105" t="s">
        <v>103</v>
      </c>
      <c r="AO8" s="105" t="s">
        <v>103</v>
      </c>
      <c r="AP8" s="105"/>
      <c r="AQ8" s="105"/>
      <c r="AR8" s="105"/>
      <c r="AS8" s="105"/>
      <c r="AT8" s="105" t="s">
        <v>448</v>
      </c>
      <c r="BG8" s="22"/>
    </row>
    <row r="9" spans="1:59" x14ac:dyDescent="0.25">
      <c r="A9" s="125">
        <v>10</v>
      </c>
      <c r="B9" s="125" t="s">
        <v>449</v>
      </c>
      <c r="C9" s="125" t="s">
        <v>451</v>
      </c>
      <c r="D9" s="128">
        <v>45162</v>
      </c>
      <c r="E9" s="125" t="s">
        <v>92</v>
      </c>
      <c r="F9" s="125" t="s">
        <v>92</v>
      </c>
      <c r="G9" s="125" t="s">
        <v>292</v>
      </c>
      <c r="H9" s="125" t="s">
        <v>117</v>
      </c>
      <c r="I9" s="125">
        <v>7.18</v>
      </c>
      <c r="J9" s="125" t="s">
        <v>179</v>
      </c>
      <c r="K9" s="125" t="s">
        <v>663</v>
      </c>
      <c r="L9" s="125" t="s">
        <v>7</v>
      </c>
      <c r="M9" s="125" t="s">
        <v>663</v>
      </c>
      <c r="N9" s="125" t="s">
        <v>7</v>
      </c>
      <c r="O9" s="125" t="s">
        <v>7</v>
      </c>
      <c r="P9" s="125" t="s">
        <v>132</v>
      </c>
      <c r="Q9" s="125">
        <v>100</v>
      </c>
      <c r="R9" s="125" t="s">
        <v>128</v>
      </c>
      <c r="S9" s="125" t="s">
        <v>355</v>
      </c>
      <c r="T9" s="125" t="s">
        <v>7</v>
      </c>
      <c r="U9" s="125" t="s">
        <v>7</v>
      </c>
      <c r="V9" s="125" t="s">
        <v>103</v>
      </c>
      <c r="W9" s="125" t="s">
        <v>156</v>
      </c>
      <c r="X9" s="128">
        <v>45169</v>
      </c>
      <c r="Y9" s="128">
        <v>45351</v>
      </c>
      <c r="Z9" s="128">
        <v>46265</v>
      </c>
      <c r="AA9" s="125">
        <v>0.98399999999999999</v>
      </c>
      <c r="AB9" s="125">
        <v>7.18</v>
      </c>
      <c r="AC9" s="125">
        <v>7.726</v>
      </c>
      <c r="AD9" s="125" t="s">
        <v>459</v>
      </c>
      <c r="AE9" s="125" t="s">
        <v>332</v>
      </c>
      <c r="AF9" s="125" t="s">
        <v>7</v>
      </c>
      <c r="AG9" s="125" t="s">
        <v>449</v>
      </c>
      <c r="AH9" s="125" t="s">
        <v>103</v>
      </c>
      <c r="AI9" s="125" t="s">
        <v>103</v>
      </c>
      <c r="AJ9" s="125" t="s">
        <v>662</v>
      </c>
      <c r="AK9" s="125" t="s">
        <v>7</v>
      </c>
      <c r="AL9" s="125" t="s">
        <v>7</v>
      </c>
      <c r="AM9" s="125"/>
      <c r="AN9" s="125" t="s">
        <v>103</v>
      </c>
      <c r="AO9" s="125" t="s">
        <v>103</v>
      </c>
      <c r="AP9" s="125"/>
      <c r="AQ9" s="125"/>
      <c r="AR9" s="125"/>
      <c r="AS9" s="125"/>
      <c r="AT9" s="125" t="s">
        <v>462</v>
      </c>
      <c r="BG9" s="22"/>
    </row>
    <row r="10" spans="1:59" x14ac:dyDescent="0.25">
      <c r="A10" s="125">
        <v>8</v>
      </c>
      <c r="B10" s="125" t="s">
        <v>475</v>
      </c>
      <c r="C10" s="125" t="s">
        <v>432</v>
      </c>
      <c r="D10" s="128">
        <v>45161</v>
      </c>
      <c r="E10" s="125" t="s">
        <v>771</v>
      </c>
      <c r="F10" s="125" t="s">
        <v>772</v>
      </c>
      <c r="G10" s="125" t="s">
        <v>288</v>
      </c>
      <c r="H10" s="125" t="s">
        <v>94</v>
      </c>
      <c r="I10" s="125">
        <v>5</v>
      </c>
      <c r="J10" s="125" t="s">
        <v>179</v>
      </c>
      <c r="K10" s="125" t="s">
        <v>667</v>
      </c>
      <c r="L10" s="125" t="s">
        <v>666</v>
      </c>
      <c r="M10" s="125" t="s">
        <v>667</v>
      </c>
      <c r="N10" s="125" t="s">
        <v>667</v>
      </c>
      <c r="O10" s="125" t="s">
        <v>691</v>
      </c>
      <c r="P10" s="125" t="s">
        <v>668</v>
      </c>
      <c r="Q10" s="125">
        <v>100</v>
      </c>
      <c r="R10" s="125" t="s">
        <v>43</v>
      </c>
      <c r="S10" s="125" t="s">
        <v>661</v>
      </c>
      <c r="T10" s="125" t="s">
        <v>177</v>
      </c>
      <c r="U10" s="125" t="s">
        <v>7</v>
      </c>
      <c r="V10" s="125" t="s">
        <v>103</v>
      </c>
      <c r="W10" s="125" t="s">
        <v>345</v>
      </c>
      <c r="X10" s="128">
        <v>45168</v>
      </c>
      <c r="Y10" s="128">
        <v>45260</v>
      </c>
      <c r="Z10" s="128">
        <v>46264</v>
      </c>
      <c r="AA10" s="125">
        <v>5</v>
      </c>
      <c r="AB10" s="125">
        <v>36.435000000000002</v>
      </c>
      <c r="AC10" s="125">
        <v>39.204999999999998</v>
      </c>
      <c r="AD10" s="125" t="s">
        <v>483</v>
      </c>
      <c r="AE10" s="125" t="s">
        <v>332</v>
      </c>
      <c r="AF10" s="125" t="s">
        <v>7</v>
      </c>
      <c r="AG10" s="125" t="s">
        <v>485</v>
      </c>
      <c r="AH10" s="125" t="s">
        <v>103</v>
      </c>
      <c r="AI10" s="125" t="s">
        <v>103</v>
      </c>
      <c r="AJ10" s="125" t="s">
        <v>7</v>
      </c>
      <c r="AK10" s="125" t="s">
        <v>308</v>
      </c>
      <c r="AL10" s="125" t="s">
        <v>354</v>
      </c>
      <c r="AM10" s="125"/>
      <c r="AN10" s="125" t="s">
        <v>103</v>
      </c>
      <c r="AO10" s="125" t="s">
        <v>103</v>
      </c>
      <c r="AP10" s="125"/>
      <c r="AQ10" s="125"/>
      <c r="AR10" s="125"/>
      <c r="AS10" s="125"/>
      <c r="AT10" s="125" t="s">
        <v>489</v>
      </c>
      <c r="BG10" s="22"/>
    </row>
    <row r="11" spans="1:59" x14ac:dyDescent="0.25">
      <c r="A11" s="125">
        <v>7</v>
      </c>
      <c r="B11" s="125" t="s">
        <v>427</v>
      </c>
      <c r="C11" s="125" t="s">
        <v>426</v>
      </c>
      <c r="D11" s="128">
        <v>45160</v>
      </c>
      <c r="E11" s="125" t="s">
        <v>592</v>
      </c>
      <c r="F11" s="125" t="s">
        <v>592</v>
      </c>
      <c r="G11" s="125" t="s">
        <v>299</v>
      </c>
      <c r="H11" s="125" t="s">
        <v>94</v>
      </c>
      <c r="I11" s="125">
        <v>2</v>
      </c>
      <c r="J11" s="125" t="s">
        <v>179</v>
      </c>
      <c r="K11" s="125" t="s">
        <v>515</v>
      </c>
      <c r="L11" s="125" t="s">
        <v>669</v>
      </c>
      <c r="M11" s="125" t="s">
        <v>515</v>
      </c>
      <c r="N11" s="125" t="s">
        <v>7</v>
      </c>
      <c r="O11" s="125" t="s">
        <v>692</v>
      </c>
      <c r="P11" s="125" t="s">
        <v>132</v>
      </c>
      <c r="Q11" s="125">
        <v>100</v>
      </c>
      <c r="R11" s="125" t="s">
        <v>46</v>
      </c>
      <c r="S11" s="125" t="s">
        <v>661</v>
      </c>
      <c r="T11" s="125" t="s">
        <v>7</v>
      </c>
      <c r="U11" s="125" t="s">
        <v>7</v>
      </c>
      <c r="V11" s="125" t="s">
        <v>103</v>
      </c>
      <c r="W11" s="125" t="s">
        <v>156</v>
      </c>
      <c r="X11" s="128">
        <v>45163</v>
      </c>
      <c r="Y11" s="128">
        <v>45347</v>
      </c>
      <c r="Z11" s="128">
        <v>46259</v>
      </c>
      <c r="AA11" s="125">
        <v>2</v>
      </c>
      <c r="AB11" s="125">
        <v>14.612</v>
      </c>
      <c r="AC11" s="125">
        <v>15.676</v>
      </c>
      <c r="AD11" s="125" t="s">
        <v>521</v>
      </c>
      <c r="AE11" s="125" t="s">
        <v>356</v>
      </c>
      <c r="AF11" s="125" t="s">
        <v>7</v>
      </c>
      <c r="AG11" s="125" t="s">
        <v>522</v>
      </c>
      <c r="AH11" s="125" t="s">
        <v>427</v>
      </c>
      <c r="AI11" s="125" t="s">
        <v>103</v>
      </c>
      <c r="AJ11" s="125" t="s">
        <v>7</v>
      </c>
      <c r="AK11" s="125" t="s">
        <v>308</v>
      </c>
      <c r="AL11" s="125" t="s">
        <v>7</v>
      </c>
      <c r="AM11" s="125"/>
      <c r="AN11" s="125" t="s">
        <v>103</v>
      </c>
      <c r="AO11" s="125" t="s">
        <v>103</v>
      </c>
      <c r="AP11" s="125"/>
      <c r="AQ11" s="125"/>
      <c r="AR11" s="125"/>
      <c r="AS11" s="125"/>
      <c r="AT11" s="125" t="s">
        <v>525</v>
      </c>
      <c r="BG11" s="22"/>
    </row>
    <row r="12" spans="1:59" x14ac:dyDescent="0.25">
      <c r="A12" s="125">
        <v>6</v>
      </c>
      <c r="B12" s="125" t="s">
        <v>430</v>
      </c>
      <c r="C12" s="125" t="s">
        <v>429</v>
      </c>
      <c r="D12" s="128">
        <v>45160</v>
      </c>
      <c r="E12" s="125" t="s">
        <v>92</v>
      </c>
      <c r="F12" s="125" t="s">
        <v>92</v>
      </c>
      <c r="G12" s="125" t="s">
        <v>7</v>
      </c>
      <c r="H12" s="125" t="s">
        <v>497</v>
      </c>
      <c r="I12" s="125">
        <v>130</v>
      </c>
      <c r="J12" s="125" t="s">
        <v>179</v>
      </c>
      <c r="K12" s="125" t="s">
        <v>508</v>
      </c>
      <c r="L12" s="125" t="s">
        <v>671</v>
      </c>
      <c r="M12" s="125" t="s">
        <v>7</v>
      </c>
      <c r="N12" s="125" t="s">
        <v>7</v>
      </c>
      <c r="O12" s="125" t="s">
        <v>693</v>
      </c>
      <c r="P12" s="125" t="s">
        <v>132</v>
      </c>
      <c r="Q12" s="125">
        <v>100</v>
      </c>
      <c r="R12" s="125" t="s">
        <v>129</v>
      </c>
      <c r="S12" s="125" t="s">
        <v>355</v>
      </c>
      <c r="T12" s="125" t="s">
        <v>7</v>
      </c>
      <c r="U12" s="125" t="s">
        <v>7</v>
      </c>
      <c r="V12" s="125" t="s">
        <v>103</v>
      </c>
      <c r="W12" s="125" t="s">
        <v>156</v>
      </c>
      <c r="X12" s="128">
        <v>45163</v>
      </c>
      <c r="Y12" s="128">
        <v>45347</v>
      </c>
      <c r="Z12" s="128">
        <v>46259</v>
      </c>
      <c r="AA12" s="125">
        <v>0.91</v>
      </c>
      <c r="AB12" s="125">
        <v>6.5</v>
      </c>
      <c r="AC12" s="125">
        <v>7.02</v>
      </c>
      <c r="AD12" s="125" t="s">
        <v>506</v>
      </c>
      <c r="AE12" s="125" t="s">
        <v>331</v>
      </c>
      <c r="AF12" s="125" t="s">
        <v>7</v>
      </c>
      <c r="AG12" s="125" t="s">
        <v>507</v>
      </c>
      <c r="AH12" s="125" t="s">
        <v>430</v>
      </c>
      <c r="AI12" s="125" t="s">
        <v>103</v>
      </c>
      <c r="AJ12" s="125" t="s">
        <v>670</v>
      </c>
      <c r="AK12" s="125" t="s">
        <v>7</v>
      </c>
      <c r="AL12" s="125" t="s">
        <v>7</v>
      </c>
      <c r="AM12" s="125"/>
      <c r="AN12" s="125" t="s">
        <v>103</v>
      </c>
      <c r="AO12" s="125" t="s">
        <v>103</v>
      </c>
      <c r="AP12" s="125"/>
      <c r="AQ12" s="125"/>
      <c r="AR12" s="125"/>
      <c r="AS12" s="125"/>
      <c r="AT12" s="125" t="s">
        <v>511</v>
      </c>
      <c r="BG12" s="22"/>
    </row>
    <row r="13" spans="1:59" x14ac:dyDescent="0.25">
      <c r="A13" s="125">
        <v>5</v>
      </c>
      <c r="B13" s="125" t="s">
        <v>563</v>
      </c>
      <c r="C13" s="125" t="s">
        <v>565</v>
      </c>
      <c r="D13" s="128">
        <v>45159</v>
      </c>
      <c r="E13" s="125" t="s">
        <v>92</v>
      </c>
      <c r="F13" s="125" t="s">
        <v>92</v>
      </c>
      <c r="G13" s="125" t="s">
        <v>299</v>
      </c>
      <c r="H13" s="125" t="s">
        <v>117</v>
      </c>
      <c r="I13" s="125">
        <v>0.41</v>
      </c>
      <c r="J13" s="125" t="s">
        <v>672</v>
      </c>
      <c r="K13" s="125" t="s">
        <v>673</v>
      </c>
      <c r="L13" s="125" t="s">
        <v>7</v>
      </c>
      <c r="M13" s="125" t="s">
        <v>7</v>
      </c>
      <c r="N13" s="125" t="s">
        <v>7</v>
      </c>
      <c r="O13" s="125" t="s">
        <v>7</v>
      </c>
      <c r="P13" s="125" t="s">
        <v>132</v>
      </c>
      <c r="Q13" s="125">
        <v>100</v>
      </c>
      <c r="R13" s="125" t="s">
        <v>46</v>
      </c>
      <c r="S13" s="125" t="s">
        <v>121</v>
      </c>
      <c r="T13" s="125" t="s">
        <v>7</v>
      </c>
      <c r="U13" s="125" t="s">
        <v>7</v>
      </c>
      <c r="V13" s="125" t="s">
        <v>103</v>
      </c>
      <c r="W13" s="125" t="s">
        <v>156</v>
      </c>
      <c r="X13" s="128">
        <v>45162</v>
      </c>
      <c r="Y13" s="128">
        <v>45346</v>
      </c>
      <c r="Z13" s="128">
        <v>45526</v>
      </c>
      <c r="AA13" s="125">
        <v>5.6000000000000001E-2</v>
      </c>
      <c r="AB13" s="125">
        <v>0.41</v>
      </c>
      <c r="AC13" s="125">
        <v>0.441</v>
      </c>
      <c r="AD13" s="125" t="s">
        <v>573</v>
      </c>
      <c r="AE13" s="125" t="s">
        <v>356</v>
      </c>
      <c r="AF13" s="125" t="s">
        <v>7</v>
      </c>
      <c r="AG13" s="125" t="s">
        <v>574</v>
      </c>
      <c r="AH13" s="125" t="s">
        <v>563</v>
      </c>
      <c r="AI13" s="125" t="s">
        <v>103</v>
      </c>
      <c r="AJ13" s="125" t="s">
        <v>7</v>
      </c>
      <c r="AK13" s="125" t="s">
        <v>7</v>
      </c>
      <c r="AL13" s="125" t="s">
        <v>7</v>
      </c>
      <c r="AM13" s="125"/>
      <c r="AN13" s="125" t="s">
        <v>103</v>
      </c>
      <c r="AO13" s="125" t="s">
        <v>674</v>
      </c>
      <c r="AP13" s="125"/>
      <c r="AQ13" s="125"/>
      <c r="AR13" s="125"/>
      <c r="AS13" s="125"/>
      <c r="AT13" s="125" t="s">
        <v>576</v>
      </c>
      <c r="BG13" s="22"/>
    </row>
    <row r="14" spans="1:59" x14ac:dyDescent="0.25">
      <c r="A14" s="125">
        <v>1</v>
      </c>
      <c r="B14" s="125" t="s">
        <v>533</v>
      </c>
      <c r="C14" s="125" t="s">
        <v>535</v>
      </c>
      <c r="D14" s="128">
        <v>45159</v>
      </c>
      <c r="E14" s="125" t="s">
        <v>92</v>
      </c>
      <c r="F14" s="125" t="s">
        <v>92</v>
      </c>
      <c r="G14" s="125" t="s">
        <v>299</v>
      </c>
      <c r="H14" s="125" t="s">
        <v>94</v>
      </c>
      <c r="I14" s="125">
        <v>1.3</v>
      </c>
      <c r="J14" s="125" t="s">
        <v>179</v>
      </c>
      <c r="K14" s="125" t="s">
        <v>357</v>
      </c>
      <c r="L14" s="125" t="s">
        <v>675</v>
      </c>
      <c r="M14" s="125" t="s">
        <v>357</v>
      </c>
      <c r="N14" s="125" t="s">
        <v>7</v>
      </c>
      <c r="O14" s="125" t="s">
        <v>693</v>
      </c>
      <c r="P14" s="125" t="s">
        <v>132</v>
      </c>
      <c r="Q14" s="125">
        <v>100</v>
      </c>
      <c r="R14" s="125" t="s">
        <v>46</v>
      </c>
      <c r="S14" s="125" t="s">
        <v>661</v>
      </c>
      <c r="T14" s="125" t="s">
        <v>7</v>
      </c>
      <c r="U14" s="125" t="s">
        <v>7</v>
      </c>
      <c r="V14" s="125" t="s">
        <v>103</v>
      </c>
      <c r="W14" s="125" t="s">
        <v>156</v>
      </c>
      <c r="X14" s="128">
        <v>45162</v>
      </c>
      <c r="Y14" s="128">
        <v>45346</v>
      </c>
      <c r="Z14" s="128">
        <v>46258</v>
      </c>
      <c r="AA14" s="125">
        <v>1.3</v>
      </c>
      <c r="AB14" s="125">
        <v>9.4819999999999993</v>
      </c>
      <c r="AC14" s="125">
        <v>10.191000000000001</v>
      </c>
      <c r="AD14" s="125" t="s">
        <v>543</v>
      </c>
      <c r="AE14" s="125" t="s">
        <v>356</v>
      </c>
      <c r="AF14" s="125" t="s">
        <v>7</v>
      </c>
      <c r="AG14" s="125" t="s">
        <v>544</v>
      </c>
      <c r="AH14" s="125" t="s">
        <v>533</v>
      </c>
      <c r="AI14" s="125" t="s">
        <v>103</v>
      </c>
      <c r="AJ14" s="125" t="s">
        <v>7</v>
      </c>
      <c r="AK14" s="125" t="s">
        <v>7</v>
      </c>
      <c r="AL14" s="125" t="s">
        <v>7</v>
      </c>
      <c r="AM14" s="125"/>
      <c r="AN14" s="125" t="s">
        <v>103</v>
      </c>
      <c r="AO14" s="125" t="s">
        <v>103</v>
      </c>
      <c r="AP14" s="125"/>
      <c r="AQ14" s="125"/>
      <c r="AR14" s="125"/>
      <c r="AS14" s="125"/>
      <c r="AT14" s="125" t="s">
        <v>547</v>
      </c>
      <c r="BG14" s="22"/>
    </row>
    <row r="15" spans="1:59" x14ac:dyDescent="0.25">
      <c r="A15" s="125">
        <v>4</v>
      </c>
      <c r="B15" s="125" t="s">
        <v>563</v>
      </c>
      <c r="C15" s="125" t="s">
        <v>579</v>
      </c>
      <c r="D15" s="128">
        <v>45159</v>
      </c>
      <c r="E15" s="125" t="s">
        <v>92</v>
      </c>
      <c r="F15" s="125" t="s">
        <v>92</v>
      </c>
      <c r="G15" s="125" t="s">
        <v>299</v>
      </c>
      <c r="H15" s="125" t="s">
        <v>94</v>
      </c>
      <c r="I15" s="125">
        <v>0.05</v>
      </c>
      <c r="J15" s="125" t="s">
        <v>672</v>
      </c>
      <c r="K15" s="125" t="s">
        <v>673</v>
      </c>
      <c r="L15" s="125" t="s">
        <v>7</v>
      </c>
      <c r="M15" s="125" t="s">
        <v>7</v>
      </c>
      <c r="N15" s="125" t="s">
        <v>7</v>
      </c>
      <c r="O15" s="125" t="s">
        <v>7</v>
      </c>
      <c r="P15" s="125" t="s">
        <v>132</v>
      </c>
      <c r="Q15" s="125">
        <v>100</v>
      </c>
      <c r="R15" s="125" t="s">
        <v>46</v>
      </c>
      <c r="S15" s="125" t="s">
        <v>121</v>
      </c>
      <c r="T15" s="125" t="s">
        <v>7</v>
      </c>
      <c r="U15" s="125" t="s">
        <v>7</v>
      </c>
      <c r="V15" s="125" t="s">
        <v>103</v>
      </c>
      <c r="W15" s="125" t="s">
        <v>156</v>
      </c>
      <c r="X15" s="128">
        <v>45162</v>
      </c>
      <c r="Y15" s="128">
        <v>45346</v>
      </c>
      <c r="Z15" s="128">
        <v>45526</v>
      </c>
      <c r="AA15" s="125">
        <v>0.05</v>
      </c>
      <c r="AB15" s="125">
        <v>0.36499999999999999</v>
      </c>
      <c r="AC15" s="125">
        <v>0.39200000000000002</v>
      </c>
      <c r="AD15" s="125" t="s">
        <v>573</v>
      </c>
      <c r="AE15" s="125" t="s">
        <v>356</v>
      </c>
      <c r="AF15" s="125" t="s">
        <v>7</v>
      </c>
      <c r="AG15" s="125" t="s">
        <v>574</v>
      </c>
      <c r="AH15" s="125" t="s">
        <v>563</v>
      </c>
      <c r="AI15" s="125" t="s">
        <v>103</v>
      </c>
      <c r="AJ15" s="125" t="s">
        <v>7</v>
      </c>
      <c r="AK15" s="125" t="s">
        <v>7</v>
      </c>
      <c r="AL15" s="125" t="s">
        <v>7</v>
      </c>
      <c r="AM15" s="125"/>
      <c r="AN15" s="125" t="s">
        <v>103</v>
      </c>
      <c r="AO15" s="125" t="s">
        <v>674</v>
      </c>
      <c r="AP15" s="125"/>
      <c r="AQ15" s="125"/>
      <c r="AR15" s="125"/>
      <c r="AS15" s="125"/>
      <c r="AT15" s="125" t="s">
        <v>580</v>
      </c>
    </row>
    <row r="16" spans="1:59" x14ac:dyDescent="0.25">
      <c r="A16" s="125">
        <v>2</v>
      </c>
      <c r="B16" s="125" t="s">
        <v>548</v>
      </c>
      <c r="C16" s="125" t="s">
        <v>550</v>
      </c>
      <c r="D16" s="128">
        <v>45159</v>
      </c>
      <c r="E16" s="125" t="s">
        <v>92</v>
      </c>
      <c r="F16" s="125" t="s">
        <v>92</v>
      </c>
      <c r="G16" s="125" t="s">
        <v>299</v>
      </c>
      <c r="H16" s="125" t="s">
        <v>497</v>
      </c>
      <c r="I16" s="125">
        <v>167.2</v>
      </c>
      <c r="J16" s="125" t="s">
        <v>179</v>
      </c>
      <c r="K16" s="125" t="s">
        <v>552</v>
      </c>
      <c r="L16" s="125" t="s">
        <v>671</v>
      </c>
      <c r="M16" s="125" t="s">
        <v>552</v>
      </c>
      <c r="N16" s="125" t="s">
        <v>7</v>
      </c>
      <c r="O16" s="125" t="s">
        <v>694</v>
      </c>
      <c r="P16" s="125" t="s">
        <v>132</v>
      </c>
      <c r="Q16" s="125">
        <v>100</v>
      </c>
      <c r="R16" s="125" t="s">
        <v>129</v>
      </c>
      <c r="S16" s="125" t="s">
        <v>355</v>
      </c>
      <c r="T16" s="125" t="s">
        <v>7</v>
      </c>
      <c r="U16" s="125" t="s">
        <v>7</v>
      </c>
      <c r="V16" s="125" t="s">
        <v>103</v>
      </c>
      <c r="W16" s="125" t="s">
        <v>156</v>
      </c>
      <c r="X16" s="128">
        <v>45162</v>
      </c>
      <c r="Y16" s="128">
        <v>45346</v>
      </c>
      <c r="Z16" s="128">
        <v>46258</v>
      </c>
      <c r="AA16" s="125">
        <v>1.17</v>
      </c>
      <c r="AB16" s="125">
        <v>8.36</v>
      </c>
      <c r="AC16" s="125">
        <v>9.0289999999999999</v>
      </c>
      <c r="AD16" s="125" t="s">
        <v>558</v>
      </c>
      <c r="AE16" s="125" t="s">
        <v>356</v>
      </c>
      <c r="AF16" s="125" t="s">
        <v>7</v>
      </c>
      <c r="AG16" s="125" t="s">
        <v>559</v>
      </c>
      <c r="AH16" s="125" t="s">
        <v>548</v>
      </c>
      <c r="AI16" s="125" t="s">
        <v>103</v>
      </c>
      <c r="AJ16" s="125" t="s">
        <v>676</v>
      </c>
      <c r="AK16" s="125" t="s">
        <v>7</v>
      </c>
      <c r="AL16" s="125" t="s">
        <v>7</v>
      </c>
      <c r="AM16" s="125"/>
      <c r="AN16" s="125" t="s">
        <v>103</v>
      </c>
      <c r="AO16" s="125" t="s">
        <v>103</v>
      </c>
      <c r="AP16" s="125"/>
      <c r="AQ16" s="125"/>
      <c r="AR16" s="125"/>
      <c r="AS16" s="125"/>
      <c r="AT16" s="125" t="s">
        <v>562</v>
      </c>
    </row>
    <row r="17" spans="1:46" x14ac:dyDescent="0.25">
      <c r="A17" s="125">
        <v>3</v>
      </c>
      <c r="B17" s="125" t="s">
        <v>563</v>
      </c>
      <c r="C17" s="125" t="s">
        <v>577</v>
      </c>
      <c r="D17" s="128">
        <v>45159</v>
      </c>
      <c r="E17" s="125" t="s">
        <v>92</v>
      </c>
      <c r="F17" s="125" t="s">
        <v>92</v>
      </c>
      <c r="G17" s="125" t="s">
        <v>299</v>
      </c>
      <c r="H17" s="125" t="s">
        <v>120</v>
      </c>
      <c r="I17" s="125">
        <v>1.915</v>
      </c>
      <c r="J17" s="125" t="s">
        <v>672</v>
      </c>
      <c r="K17" s="125" t="s">
        <v>673</v>
      </c>
      <c r="L17" s="125" t="s">
        <v>7</v>
      </c>
      <c r="M17" s="125" t="s">
        <v>7</v>
      </c>
      <c r="N17" s="125" t="s">
        <v>7</v>
      </c>
      <c r="O17" s="125" t="s">
        <v>7</v>
      </c>
      <c r="P17" s="125" t="s">
        <v>132</v>
      </c>
      <c r="Q17" s="125">
        <v>100</v>
      </c>
      <c r="R17" s="125" t="s">
        <v>46</v>
      </c>
      <c r="S17" s="125" t="s">
        <v>121</v>
      </c>
      <c r="T17" s="125" t="s">
        <v>7</v>
      </c>
      <c r="U17" s="125" t="s">
        <v>7</v>
      </c>
      <c r="V17" s="125" t="s">
        <v>103</v>
      </c>
      <c r="W17" s="125" t="s">
        <v>156</v>
      </c>
      <c r="X17" s="128">
        <v>45162</v>
      </c>
      <c r="Y17" s="128">
        <v>45346</v>
      </c>
      <c r="Z17" s="128">
        <v>45526</v>
      </c>
      <c r="AA17" s="125">
        <v>0.245</v>
      </c>
      <c r="AB17" s="125">
        <v>1.7809999999999999</v>
      </c>
      <c r="AC17" s="125">
        <v>1.915</v>
      </c>
      <c r="AD17" s="125" t="s">
        <v>573</v>
      </c>
      <c r="AE17" s="125" t="s">
        <v>356</v>
      </c>
      <c r="AF17" s="125" t="s">
        <v>7</v>
      </c>
      <c r="AG17" s="125" t="s">
        <v>574</v>
      </c>
      <c r="AH17" s="125" t="s">
        <v>563</v>
      </c>
      <c r="AI17" s="125" t="s">
        <v>103</v>
      </c>
      <c r="AJ17" s="125" t="s">
        <v>7</v>
      </c>
      <c r="AK17" s="125" t="s">
        <v>7</v>
      </c>
      <c r="AL17" s="125" t="s">
        <v>7</v>
      </c>
      <c r="AM17" s="125"/>
      <c r="AN17" s="125" t="s">
        <v>103</v>
      </c>
      <c r="AO17" s="125" t="s">
        <v>674</v>
      </c>
      <c r="AP17" s="125"/>
      <c r="AQ17" s="125"/>
      <c r="AR17" s="125"/>
      <c r="AS17" s="125"/>
      <c r="AT17" s="125" t="s">
        <v>578</v>
      </c>
    </row>
  </sheetData>
  <phoneticPr fontId="14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T7"/>
  <sheetViews>
    <sheetView workbookViewId="0">
      <selection activeCell="E5" sqref="E5"/>
    </sheetView>
  </sheetViews>
  <sheetFormatPr defaultRowHeight="15" x14ac:dyDescent="0.25"/>
  <cols>
    <col min="1" max="1" width="7.109375" style="1" bestFit="1" customWidth="1"/>
    <col min="2" max="2" width="19.5546875" style="1" bestFit="1" customWidth="1"/>
    <col min="3" max="3" width="12.5546875" style="1" bestFit="1" customWidth="1"/>
    <col min="4" max="4" width="7.6640625" style="1" bestFit="1" customWidth="1"/>
    <col min="5" max="5" width="9.21875" style="1" bestFit="1" customWidth="1"/>
    <col min="6" max="6" width="5.88671875" style="1" bestFit="1" customWidth="1"/>
    <col min="7" max="7" width="6" style="1" bestFit="1" customWidth="1"/>
    <col min="8" max="8" width="19.5546875" style="1" bestFit="1" customWidth="1"/>
    <col min="9" max="10" width="9.21875" style="1" bestFit="1" customWidth="1"/>
    <col min="11" max="11" width="4.21875" style="1" bestFit="1" customWidth="1"/>
    <col min="12" max="12" width="10.88671875" style="1" bestFit="1" customWidth="1"/>
    <col min="13" max="13" width="13.33203125" style="1" bestFit="1" customWidth="1"/>
    <col min="14" max="14" width="7.5546875" style="1" bestFit="1" customWidth="1"/>
    <col min="15" max="15" width="9.21875" style="1" bestFit="1" customWidth="1"/>
    <col min="16" max="16" width="5.88671875" style="1" bestFit="1" customWidth="1"/>
    <col min="17" max="17" width="9.21875" style="1" bestFit="1" customWidth="1"/>
    <col min="18" max="18" width="11" style="1" bestFit="1" customWidth="1"/>
    <col min="19" max="19" width="9.33203125" style="1" bestFit="1" customWidth="1"/>
    <col min="20" max="20" width="11.5546875" style="1" bestFit="1" customWidth="1"/>
    <col min="21" max="21" width="11.77734375" style="1" bestFit="1" customWidth="1"/>
    <col min="22" max="22" width="5.88671875" style="1" bestFit="1" customWidth="1"/>
    <col min="23" max="24" width="8.33203125" style="1" bestFit="1" customWidth="1"/>
    <col min="25" max="16384" width="8.88671875" style="1"/>
  </cols>
  <sheetData>
    <row r="1" spans="1:20" ht="43.5" customHeight="1" x14ac:dyDescent="0.25"/>
    <row r="2" spans="1:20" ht="43.5" customHeight="1" x14ac:dyDescent="0.25"/>
    <row r="3" spans="1:20" ht="43.5" customHeight="1" x14ac:dyDescent="0.25"/>
    <row r="4" spans="1:20" x14ac:dyDescent="0.25">
      <c r="A4" t="s">
        <v>95</v>
      </c>
      <c r="B4" t="s">
        <v>105</v>
      </c>
      <c r="C4" t="s">
        <v>134</v>
      </c>
      <c r="D4" t="s">
        <v>268</v>
      </c>
      <c r="E4" t="s">
        <v>274</v>
      </c>
      <c r="F4" t="s">
        <v>98</v>
      </c>
      <c r="G4" t="s">
        <v>52</v>
      </c>
      <c r="H4" t="s">
        <v>53</v>
      </c>
      <c r="I4" t="s">
        <v>270</v>
      </c>
      <c r="J4" t="s">
        <v>241</v>
      </c>
      <c r="K4" t="s">
        <v>286</v>
      </c>
      <c r="L4" t="s">
        <v>271</v>
      </c>
      <c r="M4" t="s">
        <v>227</v>
      </c>
      <c r="N4" t="s">
        <v>272</v>
      </c>
      <c r="O4" t="s">
        <v>273</v>
      </c>
      <c r="P4" t="s">
        <v>50</v>
      </c>
      <c r="Q4" t="s">
        <v>51</v>
      </c>
      <c r="R4" t="s">
        <v>49</v>
      </c>
      <c r="S4" t="s">
        <v>199</v>
      </c>
      <c r="T4" t="s">
        <v>258</v>
      </c>
    </row>
    <row r="5" spans="1:20" x14ac:dyDescent="0.25">
      <c r="A5"/>
      <c r="B5" t="s">
        <v>463</v>
      </c>
      <c r="C5" t="s">
        <v>659</v>
      </c>
      <c r="D5" t="s">
        <v>421</v>
      </c>
      <c r="E5"/>
      <c r="F5" t="s">
        <v>26</v>
      </c>
      <c r="G5" t="s">
        <v>469</v>
      </c>
      <c r="H5" t="s">
        <v>7</v>
      </c>
      <c r="I5"/>
      <c r="J5" t="s">
        <v>230</v>
      </c>
      <c r="K5"/>
      <c r="L5"/>
      <c r="M5" s="64">
        <v>44097</v>
      </c>
      <c r="N5"/>
      <c r="O5"/>
      <c r="P5" t="s">
        <v>1</v>
      </c>
      <c r="Q5" t="s">
        <v>471</v>
      </c>
      <c r="R5" t="s">
        <v>149</v>
      </c>
      <c r="S5"/>
      <c r="T5"/>
    </row>
    <row r="6" spans="1:20" x14ac:dyDescent="0.25">
      <c r="A6"/>
      <c r="B6" t="s">
        <v>449</v>
      </c>
      <c r="C6" t="s">
        <v>658</v>
      </c>
      <c r="D6" t="s">
        <v>421</v>
      </c>
      <c r="E6"/>
      <c r="F6" t="s">
        <v>21</v>
      </c>
      <c r="G6" t="s">
        <v>455</v>
      </c>
      <c r="H6" t="s">
        <v>711</v>
      </c>
      <c r="I6"/>
      <c r="J6" t="s">
        <v>230</v>
      </c>
      <c r="K6"/>
      <c r="L6"/>
      <c r="M6" s="64">
        <v>45162</v>
      </c>
      <c r="N6"/>
      <c r="O6"/>
      <c r="P6" t="s">
        <v>1</v>
      </c>
      <c r="Q6" t="s">
        <v>457</v>
      </c>
      <c r="R6" t="s">
        <v>149</v>
      </c>
      <c r="S6"/>
      <c r="T6"/>
    </row>
    <row r="7" spans="1:20" x14ac:dyDescent="0.25">
      <c r="A7"/>
      <c r="B7" t="s">
        <v>434</v>
      </c>
      <c r="C7" t="s">
        <v>657</v>
      </c>
      <c r="D7" t="s">
        <v>421</v>
      </c>
      <c r="E7"/>
      <c r="F7" t="s">
        <v>21</v>
      </c>
      <c r="G7" t="s">
        <v>441</v>
      </c>
      <c r="H7" t="s">
        <v>442</v>
      </c>
      <c r="I7"/>
      <c r="J7" t="s">
        <v>230</v>
      </c>
      <c r="K7"/>
      <c r="L7"/>
      <c r="M7" s="64">
        <v>45162</v>
      </c>
      <c r="N7"/>
      <c r="O7"/>
      <c r="P7" t="s">
        <v>1</v>
      </c>
      <c r="Q7" t="s">
        <v>290</v>
      </c>
      <c r="R7" t="s">
        <v>149</v>
      </c>
      <c r="S7"/>
      <c r="T7"/>
    </row>
  </sheetData>
  <phoneticPr fontId="4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R8"/>
  <sheetViews>
    <sheetView workbookViewId="0">
      <selection activeCell="D18" sqref="D18"/>
    </sheetView>
  </sheetViews>
  <sheetFormatPr defaultRowHeight="15" x14ac:dyDescent="0.25"/>
  <cols>
    <col min="1" max="1" width="7.109375" style="1" bestFit="1" customWidth="1"/>
    <col min="2" max="2" width="13.21875" style="1" bestFit="1" customWidth="1"/>
    <col min="3" max="3" width="7.5546875" style="1" bestFit="1" customWidth="1"/>
    <col min="4" max="4" width="29.88671875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9" width="9.21875" style="1" bestFit="1" customWidth="1"/>
    <col min="10" max="10" width="11.44140625" style="1" bestFit="1" customWidth="1"/>
    <col min="11" max="11" width="15.21875" style="1" bestFit="1" customWidth="1"/>
    <col min="12" max="12" width="5.8867187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9.33203125" style="1" bestFit="1" customWidth="1"/>
    <col min="18" max="19" width="10.33203125" style="1" bestFit="1" customWidth="1"/>
    <col min="20" max="20" width="11.109375" style="1" bestFit="1" customWidth="1"/>
    <col min="21" max="21" width="8.77734375" style="1" bestFit="1" customWidth="1"/>
    <col min="22" max="22" width="9.21875" style="1" bestFit="1" customWidth="1"/>
    <col min="23" max="16384" width="8.88671875" style="1"/>
  </cols>
  <sheetData>
    <row r="5" spans="1:18" x14ac:dyDescent="0.25">
      <c r="A5" s="105" t="s">
        <v>95</v>
      </c>
      <c r="B5" s="105" t="s">
        <v>55</v>
      </c>
      <c r="C5" s="105" t="s">
        <v>56</v>
      </c>
      <c r="D5" s="105" t="s">
        <v>105</v>
      </c>
      <c r="E5" s="105" t="s">
        <v>174</v>
      </c>
      <c r="F5" s="105" t="s">
        <v>236</v>
      </c>
      <c r="G5" s="105" t="s">
        <v>237</v>
      </c>
      <c r="H5" s="105" t="s">
        <v>238</v>
      </c>
      <c r="I5" s="105" t="s">
        <v>201</v>
      </c>
      <c r="J5" s="105" t="s">
        <v>202</v>
      </c>
      <c r="K5" s="105" t="s">
        <v>212</v>
      </c>
      <c r="L5" s="105" t="s">
        <v>200</v>
      </c>
      <c r="M5" s="105" t="s">
        <v>240</v>
      </c>
      <c r="N5" s="105" t="s">
        <v>252</v>
      </c>
      <c r="O5" s="105" t="s">
        <v>253</v>
      </c>
      <c r="P5" s="105" t="s">
        <v>254</v>
      </c>
      <c r="Q5" s="105" t="s">
        <v>165</v>
      </c>
      <c r="R5" s="105" t="s">
        <v>790</v>
      </c>
    </row>
    <row r="6" spans="1:18" x14ac:dyDescent="0.25">
      <c r="A6" s="105">
        <v>8</v>
      </c>
      <c r="B6" s="105" t="s">
        <v>432</v>
      </c>
      <c r="C6" s="105">
        <v>45161</v>
      </c>
      <c r="D6" s="105" t="s">
        <v>475</v>
      </c>
      <c r="E6" s="105" t="s">
        <v>176</v>
      </c>
      <c r="F6" s="105" t="s">
        <v>7</v>
      </c>
      <c r="G6" s="105" t="s">
        <v>7</v>
      </c>
      <c r="H6" s="105" t="s">
        <v>7</v>
      </c>
      <c r="I6" s="105" t="s">
        <v>210</v>
      </c>
      <c r="J6" s="105" t="s">
        <v>211</v>
      </c>
      <c r="K6" s="105" t="s">
        <v>431</v>
      </c>
      <c r="L6" s="105" t="s">
        <v>103</v>
      </c>
      <c r="M6" s="105" t="s">
        <v>688</v>
      </c>
      <c r="N6" s="105">
        <v>1</v>
      </c>
      <c r="O6" s="105">
        <v>1</v>
      </c>
      <c r="P6" s="105">
        <v>1</v>
      </c>
      <c r="Q6" s="105" t="s">
        <v>489</v>
      </c>
      <c r="R6" s="105"/>
    </row>
    <row r="7" spans="1:18" x14ac:dyDescent="0.25">
      <c r="A7" s="105">
        <v>7</v>
      </c>
      <c r="B7" s="105" t="s">
        <v>426</v>
      </c>
      <c r="C7" s="105">
        <v>45160</v>
      </c>
      <c r="D7" s="105" t="s">
        <v>427</v>
      </c>
      <c r="E7" s="105" t="s">
        <v>176</v>
      </c>
      <c r="F7" s="105" t="s">
        <v>7</v>
      </c>
      <c r="G7" s="105" t="s">
        <v>7</v>
      </c>
      <c r="H7" s="105" t="s">
        <v>7</v>
      </c>
      <c r="I7" s="105" t="s">
        <v>210</v>
      </c>
      <c r="J7" s="105" t="s">
        <v>214</v>
      </c>
      <c r="K7" s="105" t="s">
        <v>757</v>
      </c>
      <c r="L7" s="105" t="s">
        <v>759</v>
      </c>
      <c r="M7" s="105" t="s">
        <v>689</v>
      </c>
      <c r="N7" s="105">
        <v>1</v>
      </c>
      <c r="O7" s="105">
        <v>1</v>
      </c>
      <c r="P7" s="105">
        <v>1</v>
      </c>
      <c r="Q7" s="105" t="s">
        <v>525</v>
      </c>
      <c r="R7" s="105"/>
    </row>
    <row r="8" spans="1:18" x14ac:dyDescent="0.25">
      <c r="A8" s="105">
        <v>6</v>
      </c>
      <c r="B8" s="105" t="s">
        <v>429</v>
      </c>
      <c r="C8" s="105">
        <v>45160</v>
      </c>
      <c r="D8" s="105" t="s">
        <v>430</v>
      </c>
      <c r="E8" s="105" t="s">
        <v>177</v>
      </c>
      <c r="F8" s="105" t="s">
        <v>7</v>
      </c>
      <c r="G8" s="105" t="s">
        <v>756</v>
      </c>
      <c r="H8" s="105" t="s">
        <v>7</v>
      </c>
      <c r="I8" s="105" t="s">
        <v>210</v>
      </c>
      <c r="J8" s="105" t="s">
        <v>214</v>
      </c>
      <c r="K8" s="105" t="s">
        <v>752</v>
      </c>
      <c r="L8" s="105" t="s">
        <v>754</v>
      </c>
      <c r="M8" s="105" t="s">
        <v>690</v>
      </c>
      <c r="N8" s="105">
        <v>1</v>
      </c>
      <c r="O8" s="105">
        <v>1</v>
      </c>
      <c r="P8" s="105">
        <v>1</v>
      </c>
      <c r="Q8" s="105" t="s">
        <v>511</v>
      </c>
      <c r="R8" s="105"/>
    </row>
  </sheetData>
  <phoneticPr fontId="4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29</vt:i4>
      </vt:variant>
    </vt:vector>
  </HeadingPairs>
  <TitlesOfParts>
    <vt:vector size="45" baseType="lpstr">
      <vt:lpstr>EXE</vt:lpstr>
      <vt:lpstr>DOWNLOAD</vt:lpstr>
      <vt:lpstr>load</vt:lpstr>
      <vt:lpstr>REVIEW_LIST</vt:lpstr>
      <vt:lpstr>Charts</vt:lpstr>
      <vt:lpstr>WRITER</vt:lpstr>
      <vt:lpstr>ECON</vt:lpstr>
      <vt:lpstr>FUTURE</vt:lpstr>
      <vt:lpstr>FIMTN</vt:lpstr>
      <vt:lpstr>dmi</vt:lpstr>
      <vt:lpstr>bbgcorp</vt:lpstr>
      <vt:lpstr>台账</vt:lpstr>
      <vt:lpstr>WST</vt:lpstr>
      <vt:lpstr>AddtoCurated</vt:lpstr>
      <vt:lpstr>AddtoCredit</vt:lpstr>
      <vt:lpstr>AddtoBISL</vt:lpstr>
      <vt:lpstr>dd_BISL_role</vt:lpstr>
      <vt:lpstr>dd_bocomdeal</vt:lpstr>
      <vt:lpstr>dd_bocomrole</vt:lpstr>
      <vt:lpstr>dd_by_rtg</vt:lpstr>
      <vt:lpstr>dd_byrtg</vt:lpstr>
      <vt:lpstr>dd_coverage</vt:lpstr>
      <vt:lpstr>dd_crcy</vt:lpstr>
      <vt:lpstr>dd_econ</vt:lpstr>
      <vt:lpstr>dd_econ1</vt:lpstr>
      <vt:lpstr>dd_ECONEvent</vt:lpstr>
      <vt:lpstr>dd_econfuture</vt:lpstr>
      <vt:lpstr>dd_FutureEvent</vt:lpstr>
      <vt:lpstr>dd_listing</vt:lpstr>
      <vt:lpstr>dd_region</vt:lpstr>
      <vt:lpstr>dd_sector</vt:lpstr>
      <vt:lpstr>dd_sfcrole</vt:lpstr>
      <vt:lpstr>dd_strct</vt:lpstr>
      <vt:lpstr>dd_structure</vt:lpstr>
      <vt:lpstr>dd_theme</vt:lpstr>
      <vt:lpstr>dd_updator</vt:lpstr>
      <vt:lpstr>dd_中资属性</vt:lpstr>
      <vt:lpstr>dd_板块</vt:lpstr>
      <vt:lpstr>GPS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2023-03-10T12:57:22Z</dcterms:created>
  <dcterms:modified xsi:type="dcterms:W3CDTF">2023-08-30T14:39:44Z</dcterms:modified>
</cp:coreProperties>
</file>