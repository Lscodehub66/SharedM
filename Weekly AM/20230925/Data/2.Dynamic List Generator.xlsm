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queryTables/queryTable10.xml" ContentType="application/vnd.openxmlformats-officedocument.spreadsheetml.query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1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queryTables/queryTable13.xml" ContentType="application/vnd.openxmlformats-officedocument.spreadsheetml.queryTable+xml"/>
  <Override PartName="/xl/tables/table21.xml" ContentType="application/vnd.openxmlformats-officedocument.spreadsheetml.table+xml"/>
  <Override PartName="/xl/queryTables/queryTable14.xml" ContentType="application/vnd.openxmlformats-officedocument.spreadsheetml.queryTable+xml"/>
  <Override PartName="/xl/tables/table22.xml" ContentType="application/vnd.openxmlformats-officedocument.spreadsheetml.table+xml"/>
  <Override PartName="/xl/queryTables/queryTable15.xml" ContentType="application/vnd.openxmlformats-officedocument.spreadsheetml.queryTable+xml"/>
  <Override PartName="/xl/tables/table23.xml" ContentType="application/vnd.openxmlformats-officedocument.spreadsheetml.table+xml"/>
  <Override PartName="/xl/queryTables/queryTable16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4.xml" ContentType="application/vnd.openxmlformats-officedocument.spreadsheetml.table+xml"/>
  <Override PartName="/xl/queryTables/queryTable17.xml" ContentType="application/vnd.openxmlformats-officedocument.spreadsheetml.queryTable+xml"/>
  <Override PartName="/xl/tables/table25.xml" ContentType="application/vnd.openxmlformats-officedocument.spreadsheetml.table+xml"/>
  <Override PartName="/xl/queryTables/queryTable18.xml" ContentType="application/vnd.openxmlformats-officedocument.spreadsheetml.queryTable+xml"/>
  <Override PartName="/xl/tables/table26.xml" ContentType="application/vnd.openxmlformats-officedocument.spreadsheetml.table+xml"/>
  <Override PartName="/xl/queryTables/queryTable19.xml" ContentType="application/vnd.openxmlformats-officedocument.spreadsheetml.queryTable+xml"/>
  <Override PartName="/xl/tables/table27.xml" ContentType="application/vnd.openxmlformats-officedocument.spreadsheetml.table+xml"/>
  <Override PartName="/xl/queryTables/queryTable20.xml" ContentType="application/vnd.openxmlformats-officedocument.spreadsheetml.queryTable+xml"/>
  <Override PartName="/xl/tables/table28.xml" ContentType="application/vnd.openxmlformats-officedocument.spreadsheetml.table+xml"/>
  <Override PartName="/xl/queryTables/queryTable21.xml" ContentType="application/vnd.openxmlformats-officedocument.spreadsheetml.queryTable+xml"/>
  <Override PartName="/xl/tables/table29.xml" ContentType="application/vnd.openxmlformats-officedocument.spreadsheetml.table+xml"/>
  <Override PartName="/xl/queryTables/queryTable22.xml" ContentType="application/vnd.openxmlformats-officedocument.spreadsheetml.queryTable+xml"/>
  <Override PartName="/xl/tables/table30.xml" ContentType="application/vnd.openxmlformats-officedocument.spreadsheetml.table+xml"/>
  <Override PartName="/xl/queryTables/queryTable23.xml" ContentType="application/vnd.openxmlformats-officedocument.spreadsheetml.query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tables/table35.xml" ContentType="application/vnd.openxmlformats-officedocument.spreadsheetml.table+xml"/>
  <Override PartName="/xl/queryTables/queryTable24.xml" ContentType="application/vnd.openxmlformats-officedocument.spreadsheetml.queryTable+xml"/>
  <Override PartName="/xl/tables/table36.xml" ContentType="application/vnd.openxmlformats-officedocument.spreadsheetml.table+xml"/>
  <Override PartName="/xl/queryTables/queryTable25.xml" ContentType="application/vnd.openxmlformats-officedocument.spreadsheetml.queryTable+xml"/>
  <Override PartName="/xl/tables/table37.xml" ContentType="application/vnd.openxmlformats-officedocument.spreadsheetml.table+xml"/>
  <Override PartName="/xl/queryTables/queryTable26.xml" ContentType="application/vnd.openxmlformats-officedocument.spreadsheetml.queryTable+xml"/>
  <Override PartName="/xl/tables/table38.xml" ContentType="application/vnd.openxmlformats-officedocument.spreadsheetml.table+xml"/>
  <Override PartName="/xl/queryTables/queryTable27.xml" ContentType="application/vnd.openxmlformats-officedocument.spreadsheetml.queryTable+xml"/>
  <Override PartName="/xl/drawings/drawing5.xml" ContentType="application/vnd.openxmlformats-officedocument.drawing+xml"/>
  <Override PartName="/xl/tables/table39.xml" ContentType="application/vnd.openxmlformats-officedocument.spreadsheetml.table+xml"/>
  <Override PartName="/xl/queryTables/queryTable28.xml" ContentType="application/vnd.openxmlformats-officedocument.spreadsheetml.queryTable+xml"/>
  <Override PartName="/xl/drawings/drawing6.xml" ContentType="application/vnd.openxmlformats-officedocument.drawing+xml"/>
  <Override PartName="/xl/tables/table40.xml" ContentType="application/vnd.openxmlformats-officedocument.spreadsheetml.table+xml"/>
  <Override PartName="/xl/queryTables/queryTable29.xml" ContentType="application/vnd.openxmlformats-officedocument.spreadsheetml.queryTable+xml"/>
  <Override PartName="/xl/tables/table41.xml" ContentType="application/vnd.openxmlformats-officedocument.spreadsheetml.table+xml"/>
  <Override PartName="/xl/queryTables/queryTable30.xml" ContentType="application/vnd.openxmlformats-officedocument.spreadsheetml.queryTable+xml"/>
  <Override PartName="/xl/tables/table42.xml" ContentType="application/vnd.openxmlformats-officedocument.spreadsheetml.table+xml"/>
  <Override PartName="/xl/queryTables/queryTable31.xml" ContentType="application/vnd.openxmlformats-officedocument.spreadsheetml.queryTable+xml"/>
  <Override PartName="/xl/comments4.xml" ContentType="application/vnd.openxmlformats-officedocument.spreadsheetml.comments+xml"/>
  <Override PartName="/xl/tables/table43.xml" ContentType="application/vnd.openxmlformats-officedocument.spreadsheetml.table+xml"/>
  <Override PartName="/xl/queryTables/queryTable32.xml" ContentType="application/vnd.openxmlformats-officedocument.spreadsheetml.query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queryTables/queryTable33.xml" ContentType="application/vnd.openxmlformats-officedocument.spreadsheetml.queryTable+xml"/>
  <Override PartName="/xl/tables/table46.xml" ContentType="application/vnd.openxmlformats-officedocument.spreadsheetml.table+xml"/>
  <Override PartName="/xl/drawings/drawing7.xml" ContentType="application/vnd.openxmlformats-officedocument.drawing+xml"/>
  <Override PartName="/xl/tables/table47.xml" ContentType="application/vnd.openxmlformats-officedocument.spreadsheetml.table+xml"/>
  <Override PartName="/xl/queryTables/queryTable34.xml" ContentType="application/vnd.openxmlformats-officedocument.spreadsheetml.query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queryTables/queryTable35.xml" ContentType="application/vnd.openxmlformats-officedocument.spreadsheetml.query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queryTables/queryTable36.xml" ContentType="application/vnd.openxmlformats-officedocument.spreadsheetml.query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queryTables/queryTable37.xml" ContentType="application/vnd.openxmlformats-officedocument.spreadsheetml.queryTable+xml"/>
  <Override PartName="/xl/tables/table56.xml" ContentType="application/vnd.openxmlformats-officedocument.spreadsheetml.table+xml"/>
  <Override PartName="/xl/queryTables/queryTable38.xml" ContentType="application/vnd.openxmlformats-officedocument.spreadsheetml.queryTable+xml"/>
  <Override PartName="/xl/tables/table57.xml" ContentType="application/vnd.openxmlformats-officedocument.spreadsheetml.table+xml"/>
  <Override PartName="/xl/queryTables/queryTable39.xml" ContentType="application/vnd.openxmlformats-officedocument.spreadsheetml.queryTable+xml"/>
  <Override PartName="/xl/tables/table58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8.xml" ContentType="application/vnd.openxmlformats-officedocument.drawing+xml"/>
  <Override PartName="/xl/tables/table59.xml" ContentType="application/vnd.openxmlformats-officedocument.spreadsheetml.table+xml"/>
  <Override PartName="/xl/queryTables/queryTable41.xml" ContentType="application/vnd.openxmlformats-officedocument.spreadsheetml.queryTable+xml"/>
  <Override PartName="/xl/drawings/drawing9.xml" ContentType="application/vnd.openxmlformats-officedocument.drawing+xml"/>
  <Override PartName="/xl/tables/table60.xml" ContentType="application/vnd.openxmlformats-officedocument.spreadsheetml.table+xml"/>
  <Override PartName="/xl/queryTables/queryTable42.xml" ContentType="application/vnd.openxmlformats-officedocument.spreadsheetml.queryTable+xml"/>
  <Override PartName="/xl/tables/table61.xml" ContentType="application/vnd.openxmlformats-officedocument.spreadsheetml.table+xml"/>
  <Override PartName="/xl/queryTables/queryTable4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0.10.1.215\dcm$\Team Folder\Execution Team\Weekly AM\20230925\Data\"/>
    </mc:Choice>
  </mc:AlternateContent>
  <xr:revisionPtr revIDLastSave="0" documentId="13_ncr:1_{9BF0E6AF-AE64-47AD-A9A1-E7A2DD4EF1A3}" xr6:coauthVersionLast="36" xr6:coauthVersionMax="47" xr10:uidLastSave="{00000000-0000-0000-0000-000000000000}"/>
  <bookViews>
    <workbookView xWindow="0" yWindow="0" windowWidth="16200" windowHeight="24450" tabRatio="594" activeTab="8" xr2:uid="{00000000-000D-0000-FFFF-FFFF00000000}"/>
  </bookViews>
  <sheets>
    <sheet name="MDM" sheetId="27" r:id="rId1"/>
    <sheet name="DOWNLOAD" sheetId="1" r:id="rId2"/>
    <sheet name="load" sheetId="23" r:id="rId3"/>
    <sheet name="REVIEW_LIST" sheetId="33" r:id="rId4"/>
    <sheet name="Charts" sheetId="40" r:id="rId5"/>
    <sheet name="NWriter" sheetId="52" r:id="rId6"/>
    <sheet name="WRITER" sheetId="39" state="hidden" r:id="rId7"/>
    <sheet name="ECON" sheetId="30" r:id="rId8"/>
    <sheet name="FUTURE" sheetId="41" r:id="rId9"/>
    <sheet name="AddTap" sheetId="53" r:id="rId10"/>
    <sheet name="WIP AddNew" sheetId="54" state="hidden" r:id="rId11"/>
    <sheet name="FIMTN" sheetId="43" state="hidden" r:id="rId12"/>
    <sheet name="wDMI" sheetId="42" state="hidden" r:id="rId13"/>
    <sheet name="BBG" sheetId="49" state="hidden" r:id="rId14"/>
    <sheet name="台账" sheetId="51" state="hidden" r:id="rId15"/>
    <sheet name="wCurated" sheetId="48" state="hidden" r:id="rId16"/>
    <sheet name="wCredit" sheetId="46" state="hidden" r:id="rId17"/>
    <sheet name="wBISL" sheetId="47" state="hidden" r:id="rId18"/>
  </sheets>
  <definedNames>
    <definedName name="_xlnm._FilterDatabase" localSheetId="11" hidden="1">FIMTN!#REF!</definedName>
    <definedName name="_xlnm._FilterDatabase" localSheetId="0" hidden="1">MDM!#REF!</definedName>
    <definedName name="_xlnm.Criteria" localSheetId="0">MDM!$Q$6:$Q$10</definedName>
    <definedName name="dd_BISL_ROLE">BISL_ROLE[BISL_ROLE]</definedName>
    <definedName name="dd_BOCOMJLM">BOCOMJLM[Find]</definedName>
    <definedName name="dd_byrtg">tbl_dd_by_rtg[评级分类]</definedName>
    <definedName name="dd_coverage">tbl_dd_coverage[COVERAGE]</definedName>
    <definedName name="dd_econ">ECON[上周主要经济数据]</definedName>
    <definedName name="dd_econ1">FUTURE[未来一周主要经济数据]</definedName>
    <definedName name="dd_ECONEvent">ECON[上周主要经济数据]</definedName>
    <definedName name="dd_econfuture">FUTURE[未来一周主要经济数据]</definedName>
    <definedName name="dd_FutureEvent">FUTURE[未来一周主要经济数据]</definedName>
    <definedName name="dd_region">地区[地区]</definedName>
    <definedName name="dd_sector">行业[行业]</definedName>
    <definedName name="dd_sfcrole">新规角色[新规角色]</definedName>
    <definedName name="dd_strct">结构[结构]</definedName>
    <definedName name="dd_updator">Updator[Updator]</definedName>
    <definedName name="dd_上市分类">上市分类[上市分类]</definedName>
    <definedName name="dd_中资属性">中资属性[中资属性]</definedName>
    <definedName name="dd_主题债券">主题债券[主题债券]</definedName>
    <definedName name="dd_备证行">备证行[备证行]</definedName>
    <definedName name="dd_板块">板块[板块]</definedName>
    <definedName name="dd_结构">结构[结构]</definedName>
    <definedName name="dd_评级分类">tbl_dd_by_rtg[评级分类]</definedName>
    <definedName name="dd_货币">货币[货币]</definedName>
    <definedName name="ExternalData_1" localSheetId="9" hidden="1">AddTap!$B$9:$K$19</definedName>
    <definedName name="ExternalData_1" localSheetId="13" hidden="1">BBG!$A$5:$Z$26</definedName>
    <definedName name="ExternalData_1" localSheetId="7" hidden="1">ECON!$A$12:$O$26</definedName>
    <definedName name="ExternalData_1" localSheetId="11" hidden="1">FIMTN!$A$5:$J$8</definedName>
    <definedName name="ExternalData_1" localSheetId="0" hidden="1">MDM!$H$22:$I$27</definedName>
    <definedName name="ExternalData_1" localSheetId="15" hidden="1">wCurated!$A$4:$AY$15</definedName>
    <definedName name="ExternalData_1" localSheetId="10" hidden="1">'WIP AddNew'!$B$6:$B$16</definedName>
    <definedName name="ExternalData_10" localSheetId="4" hidden="1">Charts!$L$12:$N$13</definedName>
    <definedName name="ExternalData_10" localSheetId="0" hidden="1">MDM!$C$41:$C$92</definedName>
    <definedName name="ExternalData_11" localSheetId="1" hidden="1">DOWNLOAD!#REF!</definedName>
    <definedName name="ExternalData_11" localSheetId="0" hidden="1">MDM!$C$6:$C$39</definedName>
    <definedName name="ExternalData_11" localSheetId="6" hidden="1">WRITER!$A$9:$F$15</definedName>
    <definedName name="ExternalData_12" localSheetId="0" hidden="1">MDM!$L$6:$M$75</definedName>
    <definedName name="ExternalData_12" localSheetId="6" hidden="1">WRITER!$A$20:$F$21</definedName>
    <definedName name="ExternalData_13" localSheetId="0" hidden="1">MDM!$O$6:$O$57</definedName>
    <definedName name="ExternalData_13" localSheetId="5" hidden="1">NWriter!$A$6:$D$16</definedName>
    <definedName name="ExternalData_15" localSheetId="1" hidden="1">DOWNLOAD!$D$10:$CP$21</definedName>
    <definedName name="ExternalData_16" localSheetId="12" hidden="1">wDMI!$A$5:$BU$19</definedName>
    <definedName name="ExternalData_18" localSheetId="1" hidden="1">DOWNLOAD!#REF!</definedName>
    <definedName name="ExternalData_19" localSheetId="1" hidden="1">DOWNLOAD!#REF!</definedName>
    <definedName name="ExternalData_19" localSheetId="2" hidden="1">load!$S$5:$AL$16</definedName>
    <definedName name="ExternalData_2" localSheetId="9" hidden="1">AddTap!$B$26:$C$59</definedName>
    <definedName name="ExternalData_2" localSheetId="8" hidden="1">FUTURE!$A$10:$O$27</definedName>
    <definedName name="ExternalData_2" localSheetId="2" hidden="1">load!$AR$5:$BE$7</definedName>
    <definedName name="ExternalData_2" localSheetId="0" hidden="1">MDM!$H$14:$I$20</definedName>
    <definedName name="ExternalData_2" localSheetId="14" hidden="1">台账!$A$5:$H$7</definedName>
    <definedName name="ExternalData_20" localSheetId="1" hidden="1">DOWNLOAD!$A$16:$A$18</definedName>
    <definedName name="ExternalData_21" localSheetId="1" hidden="1">DOWNLOAD!$A$20:$A$22</definedName>
    <definedName name="ExternalData_21" localSheetId="2" hidden="1">load!$AR$11:$AU$12</definedName>
    <definedName name="ExternalData_22" localSheetId="1" hidden="1">DOWNLOAD!$A$10:$B$14</definedName>
    <definedName name="ExternalData_22" localSheetId="2" hidden="1">load!$C$5:$C$19</definedName>
    <definedName name="ExternalData_23" localSheetId="2" hidden="1">load!$B$5:$B$16</definedName>
    <definedName name="ExternalData_24" localSheetId="2" hidden="1">load!$E$5:$O$16</definedName>
    <definedName name="ExternalData_3" localSheetId="2" hidden="1">load!$A$5:$A$25</definedName>
    <definedName name="ExternalData_3" localSheetId="0" hidden="1">MDM!$H$29:$I$35</definedName>
    <definedName name="ExternalData_4" localSheetId="4" hidden="1">Charts!$P$8:$AF$19</definedName>
    <definedName name="ExternalData_5" localSheetId="0" hidden="1">MDM!$H$6:$I$11</definedName>
    <definedName name="ExternalData_5" localSheetId="15" hidden="1">wCurated!$A$4:$BR$14</definedName>
    <definedName name="ExternalData_6" localSheetId="0" hidden="1">MDM!$H$59:$I$65</definedName>
    <definedName name="ExternalData_6" localSheetId="17" hidden="1">wBISL!$A$5:$S$7</definedName>
    <definedName name="ExternalData_7" localSheetId="0" hidden="1">MDM!$C$94:$C$103</definedName>
    <definedName name="ExternalData_8" localSheetId="4" hidden="1">Charts!$A$8:$J$22</definedName>
    <definedName name="ExternalData_8" localSheetId="0" hidden="1">MDM!$H$37:$I$48</definedName>
    <definedName name="ExternalData_8" localSheetId="6" hidden="1">WRITER!$A$4:$F$5</definedName>
    <definedName name="ExternalData_9" localSheetId="4" hidden="1">Charts!$L$8:$N$9</definedName>
    <definedName name="ExternalData_9" localSheetId="0" hidden="1">MDM!$H$50:$I$57</definedName>
    <definedName name="ExternalData_9" localSheetId="16" hidden="1">wCredit!$A$4:$U$8</definedName>
    <definedName name="GPS">MDM!$A$1</definedName>
    <definedName name="input_data">#REF!</definedName>
    <definedName name="Name">load!$W$4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41" l="1"/>
  <c r="F6" i="41"/>
  <c r="F8" i="41"/>
  <c r="F7" i="41"/>
  <c r="F4" i="41"/>
  <c r="F3" i="41"/>
  <c r="E5" i="41"/>
  <c r="E6" i="41"/>
  <c r="E8" i="41"/>
  <c r="E7" i="41"/>
  <c r="E4" i="41"/>
  <c r="E3" i="41"/>
  <c r="D5" i="41"/>
  <c r="D6" i="41"/>
  <c r="D8" i="41"/>
  <c r="D7" i="41"/>
  <c r="D4" i="41"/>
  <c r="D3" i="41"/>
  <c r="G5" i="30" l="1"/>
  <c r="G6" i="30"/>
  <c r="G3" i="30"/>
  <c r="G4" i="30"/>
  <c r="G7" i="30"/>
  <c r="G8" i="30"/>
  <c r="F5" i="30"/>
  <c r="F6" i="30"/>
  <c r="F3" i="30"/>
  <c r="F4" i="30"/>
  <c r="F7" i="30"/>
  <c r="F8" i="30"/>
  <c r="E5" i="30"/>
  <c r="E6" i="30"/>
  <c r="E3" i="30"/>
  <c r="E4" i="30"/>
  <c r="E7" i="30"/>
  <c r="E8" i="30"/>
  <c r="D5" i="30"/>
  <c r="D6" i="30"/>
  <c r="D3" i="30"/>
  <c r="D4" i="30"/>
  <c r="D7" i="30"/>
  <c r="D8" i="30"/>
  <c r="A1" i="27" l="1"/>
  <c r="U1" i="23" l="1"/>
  <c r="V1" i="23" s="1"/>
  <c r="S1" i="40"/>
  <c r="Q1" i="40"/>
  <c r="AR1" i="23"/>
  <c r="AS1" i="23" s="1"/>
  <c r="H1" i="23"/>
  <c r="I1" i="23" s="1"/>
  <c r="R7" i="27"/>
  <c r="R8" i="27"/>
  <c r="R9" i="27"/>
  <c r="R10" i="27"/>
  <c r="B4" i="1"/>
  <c r="B6" i="1"/>
  <c r="B5" i="1"/>
  <c r="C5" i="1" l="1"/>
  <c r="W4" i="23" l="1"/>
  <c r="A1" i="4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Q1" authorId="0" shapeId="0" xr:uid="{5F225EBE-C4A4-4976-945D-CA2807ED6C4B}">
      <text>
        <r>
          <rPr>
            <sz val="9"/>
            <color indexed="81"/>
            <rFont val="Tahoma"/>
            <family val="2"/>
          </rPr>
          <t>DateFormat YYYY/M/D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H1" authorId="0" shapeId="0" xr:uid="{CF28B555-E5FC-4DAD-9D9A-4A0BEAE7DDC4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U1" authorId="0" shapeId="0" xr:uid="{C9825F5E-AADB-4C3A-807E-2F468738BB10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AR1" authorId="0" shapeId="0" xr:uid="{C5184C52-6971-436C-B711-5F656D3FC235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A3" authorId="0" shapeId="0" xr:uid="{C319BA13-53DE-4DB1-9964-5A01BE20AE56}">
      <text>
        <r>
          <rPr>
            <b/>
            <sz val="9"/>
            <color indexed="81"/>
            <rFont val="Tahoma"/>
            <family val="2"/>
          </rPr>
          <t>KT: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A3" authorId="0" shapeId="0" xr:uid="{5C849F5E-7FF2-4428-A4A5-42D3B6E6A82C}">
      <text>
        <r>
          <rPr>
            <sz val="12"/>
            <color indexed="81"/>
            <rFont val="Tahoma"/>
            <family val="2"/>
          </rPr>
          <t>如无法判断是否为投资级板块，请在周报Chat确认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B74FB3-7547-4921-934E-78A8FD4EF19B}" keepAlive="1" name="Query - AddNewCr" description="Connection to the 'AddNewCr' query in the workbook." type="5" refreshedVersion="6" background="1" saveData="1">
    <dbPr connection="Provider=Microsoft.Mashup.OleDb.1;Data Source=$Workbook$;Location=AddNewCr;Extended Properties=&quot;&quot;" command="SELECT * FROM [AddNewCr]"/>
  </connection>
  <connection id="2" xr16:uid="{7AA4B715-AEC3-4585-B436-228D758A7919}" keepAlive="1" name="Query - AddTapISIN" description="Connection to the 'AddTapISIN' query in the workbook." type="5" refreshedVersion="6" background="1" saveData="1">
    <dbPr connection="Provider=Microsoft.Mashup.OleDb.1;Data Source=$Workbook$;Location=AddTapISIN;Extended Properties=&quot;&quot;" command="SELECT * FROM [AddTapISIN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D68969FF-6704-4B2B-99CF-16282417B94C}" keepAlive="1" name="Query - AddTapLoad" description="Connection to the 'AddTapLoad' query in the workbook." type="5" refreshedVersion="6" background="1" saveData="1">
    <dbPr connection="Provider=Microsoft.Mashup.OleDb.1;Data Source=$Workbook$;Location=AddTapLoad;Extended Properties=&quot;&quot;" command="SELECT * FROM [AddTapLoad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00000000-0015-0000-FFFF-FFFF03000000}" keepAlive="1" name="Query - BBGcorp" description="Connection to the 'BBGcorp' query in the workbook." type="5" refreshedVersion="6" background="1" saveData="1">
    <dbPr connection="Provider=Microsoft.Mashup.OleDb.1;Data Source=$Workbook$;Location=BBGcorp;Extended Properties=&quot;&quot;" command="SELECT * FROM [BBGcorp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7271C9AE-7E6A-4CA5-AE87-5A56963D7E9D}" keepAlive="1" name="Query - BBGRtg" description="Connection to the 'BBGRtg' query in the workbook." type="5" refreshedVersion="6" background="1">
    <dbPr connection="Provider=Microsoft.Mashup.OleDb.1;Data Source=$Workbook$;Location=BBGRtg;Extended Properties=&quot;&quot;" command="SELECT * FROM [BBGRtg]"/>
  </connection>
  <connection id="6" xr16:uid="{5ECC110B-5941-4CB2-94EB-3F1D17502467}" keepAlive="1" name="Query - BISL_ROLE" description="Connection to the 'BISL_ROLE' query in the workbook." type="5" refreshedVersion="6" background="1" saveData="1">
    <dbPr connection="Provider=Microsoft.Mashup.OleDb.1;Data Source=$Workbook$;Location=BISL_ROLE;Extended Properties=&quot;&quot;" command="SELECT * FROM [BISL_ROLE]"/>
  </connection>
  <connection id="7" xr16:uid="{00000000-0015-0000-FFFF-FFFF04000000}" keepAlive="1" name="Query - charts" description="Connection to the 'charts' query in the workbook." type="5" refreshedVersion="6" background="1" saveData="1">
    <dbPr connection="Provider=Microsoft.Mashup.OleDb.1;Data Source=$Workbook$;Location=charts;Extended Properties=&quot;&quot;" command="SELECT * FROM [charts]"/>
  </connection>
  <connection id="8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9" xr16:uid="{478B3F06-FC65-4BFF-995C-3141BA3E15B8}" keepAlive="1" name="Query - ColNow_charts" description="Connection to the 'ColNow_charts' query in the workbook." type="5" refreshedVersion="0" background="1">
    <dbPr connection="Provider=Microsoft.Mashup.OleDb.1;Data Source=$Workbook$;Location=ColNow_charts;Extended Properties=&quot;&quot;" command="SELECT * FROM [ColNow_charts]"/>
  </connection>
  <connection id="10" xr16:uid="{33FD96BB-2061-4D64-B212-F4E92D26C14A}" keepAlive="1" name="Query - ColNow_Graph" description="Connection to the 'ColNow_Graph' query in the workbook." type="5" refreshedVersion="0" background="1">
    <dbPr connection="Provider=Microsoft.Mashup.OleDb.1;Data Source=$Workbook$;Location=ColNow_Graph;Extended Properties=&quot;&quot;" command="SELECT * FROM [ColNow_Graph]"/>
  </connection>
  <connection id="11" xr16:uid="{00000000-0015-0000-FFFF-FFFF27000000}" keepAlive="1" name="Query - ColNow_mBISL" description="Connection to the 'ColNow_mBISL' query in the workbook." type="5" refreshedVersion="0" background="1">
    <dbPr connection="Provider=Microsoft.Mashup.OleDb.1;Data Source=$Workbook$;Location=ColNow_mBISL;Extended Properties=&quot;&quot;" command="SELECT * FROM [ColNow_mBISL]"/>
  </connection>
  <connection id="12" xr16:uid="{F6638094-FD8F-4406-890E-04C11EEAACAB}" keepAlive="1" name="Query - ColNow_mCredit" description="Connection to the 'ColNow_mCredit' query in the workbook." type="5" refreshedVersion="0" background="1">
    <dbPr connection="Provider=Microsoft.Mashup.OleDb.1;Data Source=$Workbook$;Location=ColNow_mCredit;Extended Properties=&quot;&quot;" command="SELECT * FROM [ColNow_mCredit]"/>
  </connection>
  <connection id="13" xr16:uid="{28F817A5-DA87-4C75-ABB7-1836A531F661}" keepAlive="1" name="Query - ColNow_mCurated" description="Connection to the 'ColNow_mCurated' query in the workbook." type="5" refreshedVersion="6" background="1" saveData="1">
    <dbPr connection="Provider=Microsoft.Mashup.OleDb.1;Data Source=$Workbook$;Location=ColNow_mCurated;Extended Properties=&quot;&quot;" command="SELECT * FROM [ColNow_mCurated]"/>
  </connection>
  <connection id="14" xr16:uid="{A9E0B3E7-81CC-4938-9E11-24EA826336AA}" keepAlive="1" name="Query - ColNow_mDeal" description="Connection to the 'ColNow_mDeal' query in the workbook." type="5" refreshedVersion="6" background="1" saveData="1">
    <dbPr connection="Provider=Microsoft.Mashup.OleDb.1;Data Source=$Workbook$;Location=ColNow_mDeal;Extended Properties=&quot;&quot;" command="SELECT * FROM [ColNow_mDeal]"/>
  </connection>
  <connection id="15" xr16:uid="{0AF1C12F-6409-4D40-8000-EA1EAF0A94F1}" keepAlive="1" name="Query - ColNow_mDMI" description="Connection to the 'ColNow_mDMI' query in the workbook." type="5" refreshedVersion="6" background="1" saveData="1">
    <dbPr connection="Provider=Microsoft.Mashup.OleDb.1;Data Source=$Workbook$;Location=ColNow_mDMI;Extended Properties=&quot;&quot;" command="SELECT * FROM [ColNow_mDMI]"/>
  </connection>
  <connection id="16" xr16:uid="{00000000-0015-0000-FFFF-FFFF06000000}" keepAlive="1" name="Query - credit_all" description="Connection to the 'credit_all' query in the workbook." type="5" refreshedVersion="8" background="1" saveData="1">
    <dbPr connection="Provider=Microsoft.Mashup.OleDb.1;Data Source=$Workbook$;Location=credit_all;Extended Properties=&quot;&quot;" command="SELECT * FROM [credit_all]"/>
  </connection>
  <connection id="17" xr16:uid="{00000000-0015-0000-FFFF-FFFF07000000}" keepAlive="1" name="Query - credit_all(1)" description="Connection to the 'credit_all' query in the workbook." type="5" refreshedVersion="0" background="1">
    <dbPr connection="Provider=Microsoft.Mashup.OleDb.1;Data Source=$Workbook$;Location=credit_all;Extended Properties=&quot;&quot;" command="SELECT * FROM [credit_all]"/>
  </connection>
  <connection id="18" xr16:uid="{6FAA32D1-9FAB-41CB-98CB-D8BFBA53181B}" keepAlive="1" name="Query - CrLookup" description="Connection to the 'CrLookup' query in the workbook." type="5" refreshedVersion="6" background="1">
    <dbPr connection="Provider=Microsoft.Mashup.OleDb.1;Data Source=$Workbook$;Location=CrLookup;Extended Properties=&quot;&quot;" command="SELECT * FROM [CrLookup]"/>
  </connection>
  <connection id="19" xr16:uid="{8B65B2A6-19D7-4DA1-BA05-6166BEE851FF}" keepAlive="1" name="Query - CWB_AddTap" description="Connection to the 'CWB_AddTap' query in the workbook." type="5" refreshedVersion="0" background="1" saveData="1">
    <dbPr connection="Provider=Microsoft.Mashup.OleDb.1;Data Source=$Workbook$;Location=CWB_AddTap;Extended Properties=&quot;&quot;" command="SELECT * FROM [CWB_AddTap]"/>
    <extLst>
      <ext xmlns:x15="http://schemas.microsoft.com/office/spreadsheetml/2010/11/main" uri="{DE250136-89BD-433C-8126-D09CA5730AF9}">
        <x15:connection id="" excludeFromRefreshAll="1"/>
      </ext>
    </extLst>
  </connection>
  <connection id="20" xr16:uid="{A8933380-CBAB-4963-A327-5F18A0FCBF41}" keepAlive="1" name="Query - CWB_DLDconso" description="Connection to the 'CWB_DLDconso' query in the workbook." type="5" refreshedVersion="0" background="1">
    <dbPr connection="Provider=Microsoft.Mashup.OleDb.1;Data Source=$Workbook$;Location=CWB_DLDConso;Extended Properties=&quot;&quot;" command="SELECT * FROM [CWB_DLDconso]"/>
  </connection>
  <connection id="21" xr16:uid="{82BBE67A-7C9F-459C-A990-585A97478532}" keepAlive="1" name="Query - CWB_dmi" description="Connection to the 'CWB_dmi' query in the workbook." type="5" refreshedVersion="0" background="1">
    <dbPr connection="Provider=Microsoft.Mashup.OleDb.1;Data Source=$Workbook$;Location=CWB_dmi;Extended Properties=&quot;&quot;" command="SELECT * FROM [CWB_dmi]"/>
  </connection>
  <connection id="22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23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24" xr16:uid="{00000000-0015-0000-FFFF-FFFF09000000}" keepAlive="1" name="Query - DLDconso" description="Connection to the 'DLDconso' query in the workbook." type="5" refreshedVersion="6" background="1" saveData="1">
    <dbPr connection="Provider=Microsoft.Mashup.OleDb.1;Data Source=$Workbook$;Location=DLDconso;Extended Properties=&quot;&quot;" command="SELECT * FROM [DLDconso]"/>
    <extLst>
      <ext xmlns:x15="http://schemas.microsoft.com/office/spreadsheetml/2010/11/main" uri="{DE250136-89BD-433C-8126-D09CA5730AF9}">
        <x15:connection id="" excludeFromRefreshAll="1"/>
      </ext>
    </extLst>
  </connection>
  <connection id="25" xr16:uid="{CCF5AEA9-4876-4713-9EE0-D7F0D0E127ED}" keepAlive="1" name="Query - DLDSource" description="Connection to the 'DLDSource' query in the workbook." type="5" refreshedVersion="0" background="1" saveData="1">
    <dbPr connection="Provider=Microsoft.Mashup.OleDb.1;Data Source=$Workbook$;Location=DLDSource;Extended Properties=&quot;&quot;" command="SELECT * FROM [DLDSource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00000000-0015-0000-FFFF-FFFF0A000000}" keepAlive="1" name="Query - dmi" description="Connection to the 'dmi' query in the workbook." type="5" refreshedVersion="6" background="1" saveData="1">
    <dbPr connection="Provider=Microsoft.Mashup.OleDb.1;Data Source=$Workbook$;Location=dmi;Extended Properties=&quot;&quot;" command="SELECT * FROM [dmi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B3385EF9-0C67-44D3-A5B3-207896EE8512}" keepAlive="1" name="Query - DMI_all" description="Connection to the 'DMI_all' query in the workbook." type="5" refreshedVersion="0" background="1">
    <dbPr connection="Provider=Microsoft.Mashup.OleDb.1;Data Source=$Workbook$;Location=DMI_all;Extended Properties=&quot;&quot;" command="SELECT * FROM [DMI_all]"/>
  </connection>
  <connection id="28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29" xr16:uid="{00000000-0015-0000-FFFF-FFFF08000000}" keepAlive="1" name="Query - DMICredit" description="Connection to the 'DMICredit' query in the workbook." type="5" refreshedVersion="0" background="1">
    <dbPr connection="Provider=Microsoft.Mashup.OleDb.1;Data Source=$Workbook$;Location=DMICredit;Extended Properties=&quot;&quot;" command="SELECT * FROM [DMICredit]"/>
  </connection>
  <connection id="30" xr16:uid="{7F3E4F52-6A9D-4FC7-8753-2A0C423FBBDF}" keepAlive="1" name="Query - DMIHeaders" description="Connection to the 'DMIHeaders' query in the workbook." type="5" refreshedVersion="6" background="1" saveData="1">
    <dbPr connection="Provider=Microsoft.Mashup.OleDb.1;Data Source=$Workbook$;Location=DMIHeaders;Extended Properties=&quot;&quot;" command="SELECT * FROM [DMIHeaders]"/>
    <extLst>
      <ext xmlns:x15="http://schemas.microsoft.com/office/spreadsheetml/2010/11/main" uri="{DE250136-89BD-433C-8126-D09CA5730AF9}">
        <x15:connection id="" excludeFromRefreshAll="1"/>
      </ext>
    </extLst>
  </connection>
  <connection id="31" xr16:uid="{57EAE1B6-0C3E-40E4-8919-C36E35185C69}" keepAlive="1" name="Query - DMImissing" description="Connection to the 'DMImissing' query in the workbook." type="5" refreshedVersion="0" background="1">
    <dbPr connection="Provider=Microsoft.Mashup.OleDb.1;Data Source=$Workbook$;Location=DMImissing;Extended Properties=&quot;&quot;" command="SELECT * FROM [DMImissing]"/>
  </connection>
  <connection id="32" xr16:uid="{B4C9D457-3E61-492F-833F-377DEFF635B1}" keepAlive="1" name="Query - DMIRtg" description="Connection to the 'DMIRtg' query in the workbook." type="5" refreshedVersion="6" background="1">
    <dbPr connection="Provider=Microsoft.Mashup.OleDb.1;Data Source=$Workbook$;Location=DMIRtg;Extended Properties=&quot;&quot;" command="SELECT * FROM [DMIRtg]"/>
  </connection>
  <connection id="33" xr16:uid="{3E0A6FC5-BDF3-4C8C-9C97-5B6F5B25B772}" keepAlive="1" name="Query - DMI列名更改" description="Connection to the 'DMI列名更改' query in the workbook." type="5" refreshedVersion="6" background="1" saveData="1">
    <dbPr connection="Provider=Microsoft.Mashup.OleDb.1;Data Source=$Workbook$;Location=DMI列名更改;Extended Properties=&quot;&quot;" command="SELECT * FROM [DMI列名更改]"/>
    <extLst>
      <ext xmlns:x15="http://schemas.microsoft.com/office/spreadsheetml/2010/11/main" uri="{DE250136-89BD-433C-8126-D09CA5730AF9}">
        <x15:connection id="" excludeFromRefreshAll="1"/>
      </ext>
    </extLst>
  </connection>
  <connection id="34" xr16:uid="{E625B8BF-BE23-4834-A971-DD1142ED5E96}" keepAlive="1" name="Query - DMI新增列" description="Connection to the 'DMI新增列' query in the workbook." type="5" refreshedVersion="6" background="1" saveData="1">
    <dbPr connection="Provider=Microsoft.Mashup.OleDb.1;Data Source=$Workbook$;Location=DMI新增列;Extended Properties=&quot;&quot;" command="SELECT * FROM [DMI新增列]"/>
    <extLst>
      <ext xmlns:x15="http://schemas.microsoft.com/office/spreadsheetml/2010/11/main" uri="{DE250136-89BD-433C-8126-D09CA5730AF9}">
        <x15:connection id="" excludeFromRefreshAll="1"/>
      </ext>
    </extLst>
  </connection>
  <connection id="35" xr16:uid="{00000000-0015-0000-FFFF-FFFF0D000000}" keepAlive="1" name="Query - DupeCheck" description="Connection to the 'DupeCheck' query in the workbook." type="5" refreshedVersion="0" background="1">
    <dbPr connection="Provider=Microsoft.Mashup.OleDb.1;Data Source=$Workbook$;Location=DupeCheck;Extended Properties=&quot;&quot;" command="SELECT * FROM [DupeCheck]"/>
  </connection>
  <connection id="36" xr16:uid="{00000000-0015-0000-FFFF-FFFF0E000000}" keepAlive="1" name="Query - ECON(1)" description="Connection to the 'ECON' query in the workbook." type="5" refreshedVersion="6" background="1" saveData="1">
    <dbPr connection="Provider=Microsoft.Mashup.OleDb.1;Data Source=$Workbook$;Location=ECON;Extended Properties=&quot;&quot;" command="SELECT * FROM [ECON]"/>
    <extLst>
      <ext xmlns:x15="http://schemas.microsoft.com/office/spreadsheetml/2010/11/main" uri="{DE250136-89BD-433C-8126-D09CA5730AF9}">
        <x15:connection id="" excludeFromRefreshAll="1"/>
      </ext>
    </extLst>
  </connection>
  <connection id="37" xr16:uid="{00000000-0015-0000-FFFF-FFFF0F000000}" keepAlive="1" name="Query - ECON_all" description="Connection to the 'ECON_all' query in the workbook." type="5" refreshedVersion="6" background="1" saveData="1">
    <dbPr connection="Provider=Microsoft.Mashup.OleDb.1;Data Source=$Workbook$;Location=ECON_all;Extended Properties=&quot;&quot;" command="SELECT * FROM [ECON_all]"/>
    <extLst>
      <ext xmlns:x15="http://schemas.microsoft.com/office/spreadsheetml/2010/11/main" uri="{DE250136-89BD-433C-8126-D09CA5730AF9}">
        <x15:connection id="" excludeFromRefreshAll="1"/>
      </ext>
    </extLst>
  </connection>
  <connection id="38" xr16:uid="{87E2E6BF-1E97-4F0D-8D48-5C22F420A132}" keepAlive="1" name="Query - FIMTN" description="Connection to the 'FIMTN' query in the workbook." type="5" refreshedVersion="6" background="1" saveData="1">
    <dbPr connection="Provider=Microsoft.Mashup.OleDb.1;Data Source=$Workbook$;Location=FIMTN;Extended Properties=&quot;&quot;" command="SELECT * FROM [FIMTN]"/>
    <extLst>
      <ext xmlns:x15="http://schemas.microsoft.com/office/spreadsheetml/2010/11/main" uri="{DE250136-89BD-433C-8126-D09CA5730AF9}">
        <x15:connection id="" excludeFromRefreshAll="1"/>
      </ext>
    </extLst>
  </connection>
  <connection id="39" xr16:uid="{8752F56F-7E5E-48E4-904F-75D0F93905AC}" keepAlive="1" name="Query - ForReview_Issuer" description="Connection to the 'ForReview_Issuer' query in the workbook." type="5" refreshedVersion="6" background="1" saveData="1">
    <dbPr connection="Provider=Microsoft.Mashup.OleDb.1;Data Source=$Workbook$;Location=ForReview_Issuer;Extended Properties=&quot;&quot;" command="SELECT * FROM [ForReview_Issuer]"/>
  </connection>
  <connection id="40" xr16:uid="{00000000-0015-0000-FFFF-FFFF2C000000}" keepAlive="1" name="Query - ForReview_wBOCOM" description="Connection to the 'ForReview_wBOCOM' query in the workbook." type="5" refreshedVersion="6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41" xr16:uid="{00000000-0015-0000-FFFF-FFFF00000000}" keepAlive="1" name="Query - ForReview_wCredit" description="Connection to the 'ForReview_wCredit' query in the workbook." type="5" refreshedVersion="6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42" xr16:uid="{00000000-0015-0000-FFFF-FFFF10000000}" keepAlive="1" name="Query - ForReview_wCurated" description="Connection to the 'ForReview_wCurated' query in the workbook." type="5" refreshedVersion="6" background="1" saveData="1">
    <dbPr connection="Provider=Microsoft.Mashup.OleDb.1;Data Source=$Workbook$;Location=ForReview_wCurated;Extended Properties=&quot;&quot;" command="SELECT * FROM [ForReview_wCurated]"/>
    <extLst>
      <ext xmlns:x15="http://schemas.microsoft.com/office/spreadsheetml/2010/11/main" uri="{DE250136-89BD-433C-8126-D09CA5730AF9}">
        <x15:connection id="" excludeFromRefreshAll="1"/>
      </ext>
    </extLst>
  </connection>
  <connection id="43" xr16:uid="{00000000-0015-0000-FFFF-FFFF12000000}" keepAlive="1" name="Query - FUTURE" description="Connection to the 'FUTURE' query in the workbook." type="5" refreshedVersion="6" background="1" saveData="1">
    <dbPr connection="Provider=Microsoft.Mashup.OleDb.1;Data Source=$Workbook$;Location=FUTURE;Extended Properties=&quot;&quot;" command="SELECT * FROM [FUTURE]"/>
    <extLst>
      <ext xmlns:x15="http://schemas.microsoft.com/office/spreadsheetml/2010/11/main" uri="{DE250136-89BD-433C-8126-D09CA5730AF9}">
        <x15:connection id="" excludeFromRefreshAll="1"/>
      </ext>
    </extLst>
  </connection>
  <connection id="44" xr16:uid="{ED7E70F9-70B4-4AEA-8E71-2D91C389FDB7}" keepAlive="1" name="Query - fxAddFeatured" description="Connection to the 'fxAddFeatured' query in the workbook." type="5" refreshedVersion="0" background="1">
    <dbPr connection="Provider=Microsoft.Mashup.OleDb.1;Data Source=$Workbook$;Location=fxAddFeatured;Extended Properties=&quot;&quot;" command="SELECT * FROM [fxAddFeatured]"/>
  </connection>
  <connection id="45" xr16:uid="{8C66136B-EB79-46C3-B6F6-314DCAD59AF0}" keepAlive="1" name="Query - fxAddTenor" description="Connection to the 'fxAddTenor' query in the workbook." type="5" refreshedVersion="0" background="1">
    <dbPr connection="Provider=Microsoft.Mashup.OleDb.1;Data Source=$Workbook$;Location=fxAddTenor;Extended Properties=&quot;&quot;" command="SELECT * FROM [fxAddTenor]"/>
  </connection>
  <connection id="46" xr16:uid="{AD66991F-8EB3-49E8-A820-AEAFB16691FC}" keepAlive="1" name="Query - fxBOCOMDEAL" description="Connection to the 'fxBOCOMDEAL' query in the workbook." type="5" refreshedVersion="0" background="1">
    <dbPr connection="Provider=Microsoft.Mashup.OleDb.1;Data Source=$Workbook$;Location=fxBOCOMDEAL;Extended Properties=&quot;&quot;" command="SELECT * FROM [fxBOCOMDEAL]"/>
  </connection>
  <connection id="47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48" xr16:uid="{50B95D9B-B58A-47BF-A8B7-327A21A09BA5}" keepAlive="1" name="Query - fxByeAllErrors(1)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49" xr16:uid="{0B163748-9083-4CCF-929A-2DCBEFF0F446}" keepAlive="1" name="Query - fxCheck" description="Connection to the 'fxCheck' query in the workbook." type="5" refreshedVersion="0" background="1">
    <dbPr connection="Provider=Microsoft.Mashup.OleDb.1;Data Source=$Workbook$;Location=fxCheck;Extended Properties=&quot;&quot;" command="SELECT * FROM [fxCheck]"/>
  </connection>
  <connection id="50" xr16:uid="{00000000-0015-0000-FFFF-FFFF16000000}" keepAlive="1" name="Query - fxCheckNDupe" description="Connection to the 'fxCheckNDupe' query in the workbook." type="5" refreshedVersion="0" background="1">
    <dbPr connection="Provider=Microsoft.Mashup.OleDb.1;Data Source=$Workbook$;Location=fxCheckNDupe;Extended Properties=&quot;&quot;" command="SELECT * FROM [fxCheckNDupe]"/>
  </connection>
  <connection id="51" xr16:uid="{A10E6FDC-3D73-47EF-89B8-467861EF29AA}" keepAlive="1" name="Query - fxCleaner" description="Connection to the 'fxCleaner' query in the workbook." type="5" refreshedVersion="0" background="1">
    <dbPr connection="Provider=Microsoft.Mashup.OleDb.1;Data Source=$Workbook$;Location=fxCleaner;Extended Properties=&quot;&quot;" command="SELECT * FROM [fxCleaner]"/>
  </connection>
  <connection id="52" xr16:uid="{240046F4-3549-4CF6-A44E-D16FD099BE8E}" keepAlive="1" name="Query - fxCNPresenter" description="Connection to the 'fxCNPresenter' query in the workbook." type="5" refreshedVersion="0" background="1">
    <dbPr connection="Provider=Microsoft.Mashup.OleDb.1;Data Source=$Workbook$;Location=fxCNPresenter;Extended Properties=&quot;&quot;" command="SELECT * FROM [fxCNPresenter]"/>
  </connection>
  <connection id="53" xr16:uid="{E862A2C4-7470-4098-AE96-B028F7664735}" keepAlive="1" name="Query - fxCNTheme" description="Connection to the 'fxCNTheme' query in the workbook." type="5" refreshedVersion="0" background="1">
    <dbPr connection="Provider=Microsoft.Mashup.OleDb.1;Data Source=$Workbook$;Location=fxCNTheme;Extended Properties=&quot;&quot;" command="SELECT * FROM [fxCNTheme]"/>
  </connection>
  <connection id="54" xr16:uid="{BF645C4B-581E-4956-A3F1-B4E8474DBD4A}" keepAlive="1" name="Query - fxComparer" description="Connection to the 'fxComparer' query in the workbook." type="5" refreshedVersion="0" background="1">
    <dbPr connection="Provider=Microsoft.Mashup.OleDb.1;Data Source=$Workbook$;Location=fxComparer;Extended Properties=&quot;&quot;" command="SELECT * FROM [fxComparer]"/>
  </connection>
  <connection id="55" xr16:uid="{51259F8B-6A8C-4BF0-9F04-FA33835D5B73}" keepAlive="1" name="Query - fxCountMore" description="Connection to the 'fxCountMore' query in the workbook." type="5" refreshedVersion="0" background="1">
    <dbPr connection="Provider=Microsoft.Mashup.OleDb.1;Data Source=$Workbook$;Location=fxCountMore;Extended Properties=&quot;&quot;" command="SELECT * FROM [fxCountMore]"/>
  </connection>
  <connection id="56" xr16:uid="{00000000-0015-0000-FFFF-FFFF19000000}" keepAlive="1" name="Query - fxDataFormat" description="Connection to the 'fxDataFormat' query in the workbook." type="5" refreshedVersion="0" background="1">
    <dbPr connection="Provider=Microsoft.Mashup.OleDb.1;Data Source=$Workbook$;Location=fxDataFormat;Extended Properties=&quot;&quot;" command="SELECT * FROM [fxDataFormat]"/>
  </connection>
  <connection id="57" xr16:uid="{F7FF3811-55E1-41E6-A2D4-1D6E8DDCDBFD}" keepAlive="1" name="Query - fxDBFinalization" description="Connection to the 'fxDBFinalization' query in the workbook." type="5" refreshedVersion="0" background="1">
    <dbPr connection="Provider=Microsoft.Mashup.OleDb.1;Data Source=$Workbook$;Location=fxDBFinalization;Extended Properties=&quot;&quot;" command="SELECT * FROM [fxDBFinalization]"/>
  </connection>
  <connection id="58" xr16:uid="{2ECF697F-3E92-4C6D-9AA0-C99AA86B1952}" keepAlive="1" name="Query - fxDebug" description="Connection to the 'fxDebug' query in the workbook." type="5" refreshedVersion="0" background="1">
    <dbPr connection="Provider=Microsoft.Mashup.OleDb.1;Data Source=$Workbook$;Location=fxDebug;Extended Properties=&quot;&quot;" command="SELECT * FROM [fxDebug]"/>
  </connection>
  <connection id="59" xr16:uid="{B5341989-3143-46DE-A183-C2941DF8ABA2}" keepAlive="1" name="Query - fxDMILoad" description="Connection to the 'fxDMILoad' query in the workbook." type="5" refreshedVersion="0" background="1">
    <dbPr connection="Provider=Microsoft.Mashup.OleDb.1;Data Source=$Workbook$;Location=fxDMILoad;Extended Properties=&quot;&quot;" command="SELECT * FROM [fxDMILoad]"/>
  </connection>
  <connection id="60" xr16:uid="{546F1844-0DB5-40AD-9CFC-BAE4260433DE}" keepAlive="1" name="Query - fxDMIStats" description="Connection to the 'fxDMIStats' query in the workbook." type="5" refreshedVersion="0" background="1">
    <dbPr connection="Provider=Microsoft.Mashup.OleDb.1;Data Source=$Workbook$;Location=fxDMIStats;Extended Properties=&quot;&quot;" command="SELECT * FROM [fxDMIStats]"/>
  </connection>
  <connection id="61" xr16:uid="{184A33D4-2BA1-4DAB-B9AB-226ACCB9CA8B}" keepAlive="1" name="Query - fxDupeRemover" description="Connection to the 'fxDupeRemover' query in the workbook." type="5" refreshedVersion="0" background="1">
    <dbPr connection="Provider=Microsoft.Mashup.OleDb.1;Data Source=$Workbook$;Location=fxDupeRemover;Extended Properties=&quot;&quot;" command="SELECT * FROM [fxDupeRemover]"/>
  </connection>
  <connection id="62" xr16:uid="{CF89096E-D60C-472D-9AC8-86537529C4A6}" keepAlive="1" name="Query - fxDynamicMerge" description="Connection to the 'fxDynamicMerge' query in the workbook." type="5" refreshedVersion="0" background="1">
    <dbPr connection="Provider=Microsoft.Mashup.OleDb.1;Data Source=$Workbook$;Location=fxDynamicMerge;Extended Properties=&quot;&quot;" command="SELECT * FROM [fxDynamicMerge]"/>
  </connection>
  <connection id="63" xr16:uid="{D347034E-4B51-49D0-9EE4-6F64A37926CD}" keepAlive="1" name="Query - fxGroupRtg(1)" description="Connection to the 'fxGroupRtg' query in the workbook." type="5" refreshedVersion="0" background="1">
    <dbPr connection="Provider=Microsoft.Mashup.OleDb.1;Data Source=$Workbook$;Location=fxGroupRtg;Extended Properties=&quot;&quot;" command="SELECT * FROM [fxGroupRtg]"/>
  </connection>
  <connection id="64" xr16:uid="{E4E445F1-00CA-41E8-906C-4F2E323EEF9B}" keepAlive="1" name="Query - fxGroupSTR" description="Connection to the 'fxGroupSTR' query in the workbook." type="5" refreshedVersion="0" background="1">
    <dbPr connection="Provider=Microsoft.Mashup.OleDb.1;Data Source=$Workbook$;Location=fxGroupSTR;Extended Properties=&quot;&quot;" command="SELECT * FROM [fxGroupSTR]"/>
  </connection>
  <connection id="65" xr16:uid="{C5509861-E5FF-4403-9202-DA8BD6C5164D}" keepAlive="1" name="Query - fxIsFIMTN" description="Connection to the 'fxIsFIMTN' query in the workbook." type="5" refreshedVersion="0" background="1">
    <dbPr connection="Provider=Microsoft.Mashup.OleDb.1;Data Source=$Workbook$;Location=fxIsFIMTN;Extended Properties=&quot;&quot;" command="SELECT * FROM [fxIsFIMTN]"/>
  </connection>
  <connection id="66" xr16:uid="{2139C9B8-76BA-4CD9-82E3-EB8C9500DAD3}" keepAlive="1" name="Query - fxLauncher" description="Connection to the 'fxLauncher' query in the workbook." type="5" refreshedVersion="0" background="1">
    <dbPr connection="Provider=Microsoft.Mashup.OleDb.1;Data Source=$Workbook$;Location=fxLauncher;Extended Properties=&quot;&quot;" command="SELECT * FROM [fxLauncher]"/>
  </connection>
  <connection id="67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68" xr16:uid="{1C1F67D1-A3C4-43D2-BE41-533971CDEAD3}" keepAlive="1" name="Query - fxNameCombiner" description="Connection to the 'fxNameCombiner' query in the workbook." type="5" refreshedVersion="0" background="1">
    <dbPr connection="Provider=Microsoft.Mashup.OleDb.1;Data Source=$Workbook$;Location=fxNameCombiner;Extended Properties=&quot;&quot;" command="SELECT * FROM [fxNameCombiner]"/>
  </connection>
  <connection id="69" xr16:uid="{71492AF0-6A7F-433F-860C-FC6E729FD2C3}" keepAlive="1" name="Query - fxNewIssueWriter" description="Connection to the 'fxNewIssueWriter' query in the workbook." type="5" refreshedVersion="0" background="1">
    <dbPr connection="Provider=Microsoft.Mashup.OleDb.1;Data Source=$Workbook$;Location=fxNewIssueWriter;Extended Properties=&quot;&quot;" command="SELECT * FROM [fxNewIssueWriter]"/>
  </connection>
  <connection id="70" xr16:uid="{50886567-B534-45B9-AC22-9486D48514A9}" keepAlive="1" name="Query - fxNumText" description="Connection to the 'fxNumText' query in the workbook." type="5" refreshedVersion="0" background="1">
    <dbPr connection="Provider=Microsoft.Mashup.OleDb.1;Data Source=$Workbook$;Location=fxNumText;Extended Properties=&quot;&quot;" command="SELECT * FROM [fxNumText]"/>
  </connection>
  <connection id="71" xr16:uid="{00000000-0015-0000-FFFF-FFFF1D000000}" keepAlive="1" name="Query - fxPresentNoData" description="Connection to the 'fxPresentNoData' query in the workbook." type="5" refreshedVersion="0" background="1">
    <dbPr connection="Provider=Microsoft.Mashup.OleDb.1;Data Source=$Workbook$;Location=fxPresentNoData;Extended Properties=&quot;&quot;" command="SELECT * FROM [fxPresentNoData]"/>
  </connection>
  <connection id="72" xr16:uid="{77921D40-3CEB-495E-864A-1DD75AF27186}" keepAlive="1" name="Query - fxRemoveRepeated" description="Connection to the 'fxRemoveRepeated' query in the workbook." type="5" refreshedVersion="0" background="1">
    <dbPr connection="Provider=Microsoft.Mashup.OleDb.1;Data Source=$Workbook$;Location=fxRemoveRepeated;Extended Properties=&quot;&quot;" command="SELECT * FROM [fxRemoveRepeated]"/>
  </connection>
  <connection id="73" xr16:uid="{C398B2ED-510C-4D1A-A4EE-6D6B06D28282}" keepAlive="1" name="Query - fxShared" description="Connection to the 'fxShared' query in the workbook." type="5" refreshedVersion="0" background="1">
    <dbPr connection="Provider=Microsoft.Mashup.OleDb.1;Data Source=$Workbook$;Location=fxShared;Extended Properties=&quot;&quot;" command="SELECT * FROM [fxShared]"/>
  </connection>
  <connection id="74" xr16:uid="{91C92796-6331-42B0-8296-3B0669BACA64}" keepAlive="1" name="Query - fxSmartFX" description="Connection to the 'fxSmartFX' query in the workbook." type="5" refreshedVersion="0" background="1">
    <dbPr connection="Provider=Microsoft.Mashup.OleDb.1;Data Source=$Workbook$;Location=fxSmartFX;Extended Properties=&quot;&quot;" command="SELECT * FROM [fxSmartFX]"/>
  </connection>
  <connection id="75" xr16:uid="{F368026D-35F4-442B-AA51-C00D0BEB1F74}" keepAlive="1" name="Query - fxSmartListing" description="Connection to the 'fxSmartListing' query in the workbook." type="5" refreshedVersion="0" background="1">
    <dbPr connection="Provider=Microsoft.Mashup.OleDb.1;Data Source=$Workbook$;Location=fxSmartListing;Extended Properties=&quot;&quot;" command="SELECT * FROM [fxSmartListing]"/>
  </connection>
  <connection id="76" xr16:uid="{465FE5A0-DC8C-4C16-AF9E-493421986A67}" keepAlive="1" name="Query - fxSNBankCorp" description="Connection to the 'fxSNBankCorp' query in the workbook." type="5" refreshedVersion="0" background="1">
    <dbPr connection="Provider=Microsoft.Mashup.OleDb.1;Data Source=$Workbook$;Location=fxSNBankCorp;Extended Properties=&quot;&quot;" command="SELECT * FROM [fxSNBankCorp]"/>
  </connection>
  <connection id="77" xr16:uid="{00000000-0015-0000-FFFF-FFFF15000000}" keepAlive="1" name="Query - fxSNBranch" description="Connection to the 'fxSNBranch' query in the workbook." type="5" refreshedVersion="0" background="1">
    <dbPr connection="Provider=Microsoft.Mashup.OleDb.1;Data Source=$Workbook$;Location=fxSNBranch;Extended Properties=&quot;&quot;" command="SELECT * FROM [fxSNBranch]"/>
  </connection>
  <connection id="78" xr16:uid="{37660B10-7705-47AC-9AC3-B0B4E2F65AFC}" keepAlive="1" name="Query - fxSortNIndex" description="Connection to the 'fxSortNIndex' query in the workbook." type="5" refreshedVersion="0" background="1">
    <dbPr connection="Provider=Microsoft.Mashup.OleDb.1;Data Source=$Workbook$;Location=fxSortNIndex;Extended Properties=&quot;&quot;" command="SELECT * FROM [fxSortNIndex]"/>
  </connection>
  <connection id="79" xr16:uid="{E3E21612-304A-4C29-9188-3FC44F9A04E9}" keepAlive="1" name="Query - fxSplitRtg" description="Connection to the 'fxSplitRtg' query in the workbook." type="5" refreshedVersion="0" background="1">
    <dbPr connection="Provider=Microsoft.Mashup.OleDb.1;Data Source=$Workbook$;Location=fxSplitRtg;Extended Properties=&quot;&quot;" command="SELECT * FROM [fxSplitRtg]"/>
  </connection>
  <connection id="80" xr16:uid="{68AA3278-D81A-4EE9-A48A-A1155B67AC8B}" keepAlive="1" name="Query - fxtblAddTap" description="Connection to the 'fxtblAddTap' query in the workbook." type="5" refreshedVersion="0" background="1">
    <dbPr connection="Provider=Microsoft.Mashup.OleDb.1;Data Source=$Workbook$;Location=fxtblAddTap;Extended Properties=&quot;&quot;" command="SELECT * FROM [fxtblAddTap]"/>
  </connection>
  <connection id="81" xr16:uid="{00000000-0015-0000-FFFF-FFFF20000000}" keepAlive="1" name="Query - fxtblBCMRole" description="Connection to the 'fxtblBCMRole' query in the workbook." type="5" refreshedVersion="0" background="1">
    <dbPr connection="Provider=Microsoft.Mashup.OleDb.1;Data Source=$Workbook$;Location=fxtblBCMRole;Extended Properties=&quot;&quot;" command="SELECT * FROM [fxtblBCMRole]"/>
  </connection>
  <connection id="82" xr16:uid="{B7A3C230-A114-4AF1-9BA0-805BBB6B1A1A}" keepAlive="1" name="Query - fxtblECON" description="Connection to the 'fxtblECON' query in the workbook." type="5" refreshedVersion="0" background="1">
    <dbPr connection="Provider=Microsoft.Mashup.OleDb.1;Data Source=$Workbook$;Location=fxtblECON;Extended Properties=&quot;&quot;" command="SELECT * FROM [fxtblECON]"/>
  </connection>
  <connection id="83" xr16:uid="{30DD5504-71AB-42FE-951C-FE1AAFDD83AB}" keepAlive="1" name="Query - fxtblPNum" description="Connection to the 'fxtblPNum' query in the workbook." type="5" refreshedVersion="0" background="1">
    <dbPr connection="Provider=Microsoft.Mashup.OleDb.1;Data Source=$Workbook$;Location=fxtblPNum;Extended Properties=&quot;&quot;" command="SELECT * FROM [fxtblPNum]"/>
  </connection>
  <connection id="84" xr16:uid="{17452D4E-2E79-474E-9EEE-4B130F922A1C}" keepAlive="1" name="Query - fxtblPText" description="Connection to the 'fxtblPText' query in the workbook." type="5" refreshedVersion="0" background="1">
    <dbPr connection="Provider=Microsoft.Mashup.OleDb.1;Data Source=$Workbook$;Location=fxtblPText;Extended Properties=&quot;&quot;" command="SELECT * FROM [fxtblPText]"/>
  </connection>
  <connection id="85" xr16:uid="{C311F849-FC06-46C6-9800-714C81B7B13D}" keepAlive="1" name="Query - fxTimeSlicer" description="Connection to the 'fxTimeSlicer' query in the workbook." type="5" refreshedVersion="0" background="1">
    <dbPr connection="Provider=Microsoft.Mashup.OleDb.1;Data Source=$Workbook$;Location=fxTimeSlicer;Extended Properties=&quot;&quot;" command="SELECT * FROM [fxTimeSlicer]"/>
  </connection>
  <connection id="86" xr16:uid="{024B29CF-3225-4909-B136-6A0FE864C1D6}" keepAlive="1" name="Query - fxTombWriter" description="Connection to the 'fxTombWriter' query in the workbook." type="5" refreshedVersion="0" background="1">
    <dbPr connection="Provider=Microsoft.Mashup.OleDb.1;Data Source=$Workbook$;Location=fxTombWriter;Extended Properties=&quot;&quot;" command="SELECT * FROM [fxTombWriter]"/>
  </connection>
  <connection id="87" xr16:uid="{D51AF1B1-C2C0-431C-B569-9BE7510FA498}" keepAlive="1" name="Query - GNG" description="Connection to the 'GNG' query in the workbook." type="5" refreshedVersion="0" background="1">
    <dbPr connection="Provider=Microsoft.Mashup.OleDb.1;Data Source=$Workbook$;Location=GNG;Extended Properties=&quot;&quot;" command="SELECT * FROM [GNG]"/>
  </connection>
  <connection id="88" xr16:uid="{00000000-0015-0000-FFFF-FFFF25000000}" keepAlive="1" name="Query - graph_weeklydeal" description="Connection to the 'graph_weeklydeal' query in the workbook." type="5" refreshedVersion="6" background="1" saveData="1">
    <dbPr connection="Provider=Microsoft.Mashup.OleDb.1;Data Source=$Workbook$;Location=graph_weeklydeal;Extended Properties=&quot;&quot;" command="SELECT * FROM [graph_weeklydeal]"/>
  </connection>
  <connection id="89" xr16:uid="{8913E89A-CCE7-436D-94F0-17CBC7FCA9F5}" keepAlive="1" name="Query - headers_BOCOM" description="Connection to the 'headers_BOCOM' query in the workbook." type="5" refreshedVersion="6" background="1" saveData="1">
    <dbPr connection="Provider=Microsoft.Mashup.OleDb.1;Data Source=$Workbook$;Location=headers_BOCOM;Extended Properties=&quot;&quot;" command="SELECT * FROM [headers_BOCOM]"/>
    <extLst>
      <ext xmlns:x15="http://schemas.microsoft.com/office/spreadsheetml/2010/11/main" uri="{DE250136-89BD-433C-8126-D09CA5730AF9}">
        <x15:connection id="" excludeFromRefreshAll="1"/>
      </ext>
    </extLst>
  </connection>
  <connection id="90" xr16:uid="{00000000-0015-0000-FFFF-FFFF28000000}" keepAlive="1" name="Query - headers_Curated" description="Connection to the 'headers_Curated' query in the workbook." type="5" refreshedVersion="6" background="1" saveData="1">
    <dbPr connection="Provider=Microsoft.Mashup.OleDb.1;Data Source=$Workbook$;Location=headers_Curated;Extended Properties=&quot;&quot;" command="SELECT * FROM [headers_Curated]"/>
    <extLst>
      <ext xmlns:x15="http://schemas.microsoft.com/office/spreadsheetml/2010/11/main" uri="{DE250136-89BD-433C-8126-D09CA5730AF9}">
        <x15:connection id="" excludeFromRefreshAll="1"/>
      </ext>
    </extLst>
  </connection>
  <connection id="91" xr16:uid="{E97FCDE8-419B-46A1-A443-F6567C7F2666}" keepAlive="1" name="Query - headers_Issuer" description="Connection to the 'headers_Issuer' query in the workbook." type="5" refreshedVersion="6" background="1" saveData="1">
    <dbPr connection="Provider=Microsoft.Mashup.OleDb.1;Data Source=$Workbook$;Location=headers_Issuer;Extended Properties=&quot;&quot;" command="SELECT * FROM [headers_Issuer]"/>
    <extLst>
      <ext xmlns:x15="http://schemas.microsoft.com/office/spreadsheetml/2010/11/main" uri="{DE250136-89BD-433C-8126-D09CA5730AF9}">
        <x15:connection id="" excludeFromRefreshAll="1"/>
      </ext>
    </extLst>
  </connection>
  <connection id="92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93" xr16:uid="{DF391BF9-10B3-47BB-BCB3-2FA203766B76}" keepAlive="1" name="Query - LastCharts" description="Connection to the 'LastCharts' query in the workbook." type="5" refreshedVersion="6" background="1" saveData="1">
    <dbPr connection="Provider=Microsoft.Mashup.OleDb.1;Data Source=$Workbook$;Location=LastCharts;Extended Properties=&quot;&quot;" command="SELECT * FROM [LastCharts]"/>
    <extLst>
      <ext xmlns:x15="http://schemas.microsoft.com/office/spreadsheetml/2010/11/main" uri="{DE250136-89BD-433C-8126-D09CA5730AF9}">
        <x15:connection id="" excludeFromRefreshAll="1"/>
      </ext>
    </extLst>
  </connection>
  <connection id="94" xr16:uid="{126E0118-2657-4C9F-9DDE-69F494188C77}" keepAlive="1" name="Query - LastNIM" description="Connection to the 'LastNIM' query in the workbook." type="5" refreshedVersion="6" background="1" saveData="1">
    <dbPr connection="Provider=Microsoft.Mashup.OleDb.1;Data Source=$Workbook$;Location=LastNIM;Extended Properties=&quot;&quot;" command="SELECT * FROM [LastNIM]"/>
    <extLst>
      <ext xmlns:x15="http://schemas.microsoft.com/office/spreadsheetml/2010/11/main" uri="{DE250136-89BD-433C-8126-D09CA5730AF9}">
        <x15:connection id="" excludeFromRefreshAll="1"/>
      </ext>
    </extLst>
  </connection>
  <connection id="95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96" xr16:uid="{B5A33C46-30A6-448A-B2E9-624B9CDBE4A4}" keepAlive="1" name="Query - LoadStatus" description="Connection to the 'LoadStatus' query in the workbook." type="5" refreshedVersion="6" background="1" saveData="1">
    <dbPr connection="Provider=Microsoft.Mashup.OleDb.1;Data Source=$Workbook$;Location=LoadStatus;Extended Properties=&quot;&quot;" command="SELECT * FROM [LoadStatus]"/>
  </connection>
  <connection id="97" xr16:uid="{00000000-0015-0000-FFFF-FFFF30000000}" keepAlive="1" name="Query - mCredit" description="Connection to the 'mCredit' query in the workbook." type="5" refreshedVersion="0" background="1">
    <dbPr connection="Provider=Microsoft.Mashup.OleDb.1;Data Source=$Workbook$;Location=mCredit;Extended Properties=&quot;&quot;" command="SELECT * FROM [mCredit]"/>
  </connection>
  <connection id="98" xr16:uid="{E35E19B2-4F06-42E1-843F-D6597212BF39}" keepAlive="1" name="Query - mCurated" description="Connection to the 'mCurated' query in the workbook." type="5" refreshedVersion="0" background="1">
    <dbPr connection="Provider=Microsoft.Mashup.OleDb.1;Data Source=$Workbook$;Location=mCurated;Extended Properties=&quot;&quot;" command="SELECT * FROM [mCurated]"/>
  </connection>
  <connection id="99" xr16:uid="{37E886E7-3555-40D0-87C0-23B9D1E8DA68}" keepAlive="1" name="Query - Monday" description="Connection to the 'Monday' query in the workbook." type="5" refreshedVersion="0" background="1">
    <dbPr connection="Provider=Microsoft.Mashup.OleDb.1;Data Source=$Workbook$;Location=Monday;Extended Properties=&quot;&quot;" command="SELECT * FROM [Monday]"/>
  </connection>
  <connection id="100" xr16:uid="{2B37D559-24C2-410E-B6ED-5B3135229924}" keepAlive="1" name="Query - MultiSource" description="Connection to the 'MultiSource' query in the workbook." type="5" refreshedVersion="0" background="1">
    <dbPr connection="Provider=Microsoft.Mashup.OleDb.1;Data Source=$Workbook$;Location=MultiSource;Extended Properties=&quot;&quot;" command="SELECT * FROM [MultiSource]"/>
  </connection>
  <connection id="101" xr16:uid="{7E2B54C3-A951-45B3-8619-BD0F0AF782C5}" keepAlive="1" name="Query - P_DefaultedEntityQry" description="Connection to the 'P_DefaultedEntityQry' query in the workbook." type="5" refreshedVersion="0" background="1" saveData="1">
    <dbPr connection="Provider=Microsoft.Mashup.OleDb.1;Data Source=$Workbook$;Location=P_DefaultedEntityQry;Extended Properties=&quot;&quot;" command="SELECT * FROM [P_DefaultedEntityQry]"/>
    <extLst>
      <ext xmlns:x15="http://schemas.microsoft.com/office/spreadsheetml/2010/11/main" uri="{DE250136-89BD-433C-8126-D09CA5730AF9}">
        <x15:connection id="" excludeFromRefreshAll="1"/>
      </ext>
    </extLst>
  </connection>
  <connection id="102" xr16:uid="{BB5D0DB2-172D-4CDD-BB85-10C3AEDBC156}" keepAlive="1" name="Query - RemovedDMICol" description="Connection to the 'RemovedDMICol' query in the workbook." type="5" refreshedVersion="0" background="1">
    <dbPr connection="Provider=Microsoft.Mashup.OleDb.1;Data Source=$Workbook$;Location=RemovedDMICol;Extended Properties=&quot;&quot;" command="SELECT * FROM [RemovedDMICol]"/>
  </connection>
  <connection id="103" xr16:uid="{D9BD31C0-3BE7-44F3-B49A-0B8072CF3555}" keepAlive="1" name="Query - Reviewed_curated" description="Connection to the 'Reviewed_curated' query in the workbook." type="5" refreshedVersion="0" background="1">
    <dbPr connection="Provider=Microsoft.Mashup.OleDb.1;Data Source=$Workbook$;Location=Reviewed_curated;Extended Properties=&quot;&quot;" command="SELECT * FROM [Reviewed_curated]"/>
  </connection>
  <connection id="104" xr16:uid="{3D5FADB2-F6C8-42FF-880A-8D97591D21C9}" keepAlive="1" name="Query - Reviewed_issuer" description="Connection to the 'Reviewed_issuer' query in the workbook." type="5" refreshedVersion="0" background="1">
    <dbPr connection="Provider=Microsoft.Mashup.OleDb.1;Data Source=$Workbook$;Location=Reviewed_issuer;Extended Properties=&quot;&quot;" command="SELECT * FROM [Reviewed_issuer]"/>
  </connection>
  <connection id="105" xr16:uid="{DD67756B-4E79-4EEB-9D1D-2A958FC7C782}" keepAlive="1" name="Query - ReviewedConso" description="Connection to the 'ReviewedConso' query in the workbook." type="5" refreshedVersion="6" background="1" saveData="1">
    <dbPr connection="Provider=Microsoft.Mashup.OleDb.1;Data Source=$Workbook$;Location=ReviewedConso;Extended Properties=&quot;&quot;" command="SELECT * FROM [ReviewedConso]"/>
  </connection>
  <connection id="106" xr16:uid="{00000000-0015-0000-FFFF-FFFF37000000}" keepAlive="1" name="Query - RlvLvl" description="Connection to the 'RlvLvl' query in the workbook." type="5" refreshedVersion="0" background="1">
    <dbPr connection="Provider=Microsoft.Mashup.OleDb.1;Data Source=$Workbook$;Location=RlvLvl;Extended Properties=&quot;&quot;" command="SELECT * FROM [RlvLvl]"/>
  </connection>
  <connection id="107" xr16:uid="{ED951367-368F-4C4D-9AB2-667FE65264C5}" keepAlive="1" name="Query - SharedM" description="Connection to the 'SharedM' query in the workbook." type="5" refreshedVersion="0" background="1">
    <dbPr connection="Provider=Microsoft.Mashup.OleDb.1;Data Source=$Workbook$;Location=SharedM;Extended Properties=&quot;&quot;" command="SELECT * FROM [SharedM]"/>
  </connection>
  <connection id="108" xr16:uid="{75C72594-EF79-4C48-B338-2776CCBA5C6D}" keepAlive="1" name="Query - SmartWriter" description="Connection to the 'SmartWriter' query in the workbook." type="5" refreshedVersion="6" background="1" saveData="1">
    <dbPr connection="Provider=Microsoft.Mashup.OleDb.1;Data Source=$Workbook$;Location=SmartWriter;Extended Properties=&quot;&quot;" command="SELECT * FROM [SmartWriter]"/>
  </connection>
  <connection id="109" xr16:uid="{00000000-0015-0000-FFFF-FFFF11000000}" keepAlive="1" name="Query - ss FTZ_region" description="Connection to the 'ss FTZ_region' query in the workbook." type="5" refreshedVersion="6" background="1" saveData="1">
    <dbPr connection="Provider=Microsoft.Mashup.OleDb.1;Data Source=$Workbook$;Location=&quot;ss FTZ_region&quot;;Extended Properties=&quot;&quot;" command="SELECT * FROM [ss FTZ_region]"/>
    <extLst>
      <ext xmlns:x15="http://schemas.microsoft.com/office/spreadsheetml/2010/11/main" uri="{DE250136-89BD-433C-8126-D09CA5730AF9}">
        <x15:connection id="" excludeFromRefreshAll="1"/>
      </ext>
    </extLst>
  </connection>
  <connection id="110" xr16:uid="{44DC9384-C1BD-426D-A60B-4C4B46237EEE}" keepAlive="1" name="Query - TapLookup" description="Connection to the 'TapLookup' query in the workbook." type="5" refreshedVersion="0" background="1">
    <dbPr connection="Provider=Microsoft.Mashup.OleDb.1;Data Source=$Workbook$;Location=TapLookup;Extended Properties=&quot;&quot;" command="SELECT * FROM [TapLookup]"/>
  </connection>
  <connection id="111" xr16:uid="{64BB5515-6BB1-4128-B7AD-00724FC14FFD}" keepAlive="1" name="Query - Updator" description="Connection to the 'Updator' query in the workbook." type="5" refreshedVersion="6" background="1" saveData="1">
    <dbPr connection="Provider=Microsoft.Mashup.OleDb.1;Data Source=$Workbook$;Location=Updator;Extended Properties=&quot;&quot;" command="SELECT * FROM [Updator]"/>
  </connection>
  <connection id="112" xr16:uid="{00000000-0015-0000-FFFF-FFFF39000000}" keepAlive="1" name="Query - US_addon" description="Connection to the 'US_addon' query in the workbook." type="5" refreshedVersion="0" background="1">
    <dbPr connection="Provider=Microsoft.Mashup.OleDb.1;Data Source=$Workbook$;Location=US_addon;Extended Properties=&quot;&quot;" command="SELECT * FROM [US_addon]"/>
  </connection>
  <connection id="113" xr16:uid="{00000000-0015-0000-FFFF-FFFF35000000}" keepAlive="1" name="Query - wBISL" description="Connection to the 'wBISL' query in the workbook." type="5" refreshedVersion="6" background="1" saveData="1">
    <dbPr connection="Provider=Microsoft.Mashup.OleDb.1;Data Source=$Workbook$;Location=wBISL;Extended Properties=&quot;&quot;" command="SELECT * FROM [wBISL]"/>
  </connection>
  <connection id="114" xr16:uid="{00000000-0015-0000-FFFF-FFFF36000000}" keepAlive="1" name="Query - wCredit" description="Connection to the 'wCredit' query in the workbook." type="5" refreshedVersion="6" background="1" saveData="1">
    <dbPr connection="Provider=Microsoft.Mashup.OleDb.1;Data Source=$Workbook$;Location=wCredit;Extended Properties=&quot;&quot;" command="SELECT * FROM [wCredit]"/>
  </connection>
  <connection id="115" xr16:uid="{1BDF5794-999D-4820-9D8F-42590D7C7106}" keepAlive="1" name="Query - wCurated" description="Connection to the 'wCurated' query in the workbook." type="5" refreshedVersion="6" background="1" saveData="1">
    <dbPr connection="Provider=Microsoft.Mashup.OleDb.1;Data Source=$Workbook$;Location=wCurated;Extended Properties=&quot;&quot;" command="SELECT * FROM [wCurated]"/>
  </connection>
  <connection id="116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117" xr16:uid="{19D1300C-0BAB-4E05-B057-6BE735762337}" keepAlive="1" name="Query - WeeklyFilter" description="Connection to the 'WeeklyFilter' query in the workbook." type="5" refreshedVersion="0" background="1">
    <dbPr connection="Provider=Microsoft.Mashup.OleDb.1;Data Source=$Workbook$;Location=WeeklyFilter;Extended Properties=&quot;&quot;" command="SELECT * FROM [WeeklyFilter]"/>
  </connection>
  <connection id="118" xr16:uid="{00000000-0015-0000-FFFF-FFFF3B000000}" keepAlive="1" name="Query - writer" description="Connection to the 'writer' query in the workbook." type="5" refreshedVersion="8" background="1" saveData="1">
    <dbPr connection="Provider=Microsoft.Mashup.OleDb.1;Data Source=$Workbook$;Location=writer;Extended Properties=&quot;&quot;" command="SELECT * FROM [writer]"/>
    <extLst>
      <ext xmlns:x15="http://schemas.microsoft.com/office/spreadsheetml/2010/11/main" uri="{DE250136-89BD-433C-8126-D09CA5730AF9}">
        <x15:connection id="" excludeFromRefreshAll="1"/>
      </ext>
    </extLst>
  </connection>
  <connection id="119" xr16:uid="{00000000-0015-0000-FFFF-FFFF3E000000}" keepAlive="1" name="Query - writer_CNH" description="Connection to the 'writer_CNH' query in the workbook." type="5" refreshedVersion="6" background="1" saveData="1">
    <dbPr connection="Provider=Microsoft.Mashup.OleDb.1;Data Source=$Workbook$;Location=writer_CNH;Extended Properties=&quot;&quot;" command="SELECT * FROM [writer_CNH]"/>
    <extLst>
      <ext xmlns:x15="http://schemas.microsoft.com/office/spreadsheetml/2010/11/main" uri="{DE250136-89BD-433C-8126-D09CA5730AF9}">
        <x15:connection id="" excludeFromRefreshAll="1"/>
      </ext>
    </extLst>
  </connection>
  <connection id="120" xr16:uid="{00000000-0015-0000-FFFF-FFFF3C000000}" keepAlive="1" name="Query - writer_fi" description="Connection to the 'writer_fi' query in the workbook." type="5" refreshedVersion="6" background="1" saveData="1">
    <dbPr connection="Provider=Microsoft.Mashup.OleDb.1;Data Source=$Workbook$;Location=writer_fi;Extended Properties=&quot;&quot;" command="SELECT * FROM [writer_fi]"/>
    <extLst>
      <ext xmlns:x15="http://schemas.microsoft.com/office/spreadsheetml/2010/11/main" uri="{DE250136-89BD-433C-8126-D09CA5730AF9}">
        <x15:connection id="" excludeFromRefreshAll="1"/>
      </ext>
    </extLst>
  </connection>
  <connection id="121" xr16:uid="{00000000-0015-0000-FFFF-FFFF3D000000}" keepAlive="1" name="Query - writer_NotCNH" description="Connection to the 'writer_NotCNH' query in the workbook." type="5" refreshedVersion="6" background="1" saveData="1">
    <dbPr connection="Provider=Microsoft.Mashup.OleDb.1;Data Source=$Workbook$;Location=writer_NotCNH;Extended Properties=&quot;&quot;" command="SELECT * FROM [writer_NotCNH]"/>
    <extLst>
      <ext xmlns:x15="http://schemas.microsoft.com/office/spreadsheetml/2010/11/main" uri="{DE250136-89BD-433C-8126-D09CA5730AF9}">
        <x15:connection id="" excludeFromRefreshAll="1"/>
      </ext>
    </extLst>
  </connection>
  <connection id="122" xr16:uid="{00000000-0015-0000-FFFF-FFFF3F000000}" keepAlive="1" name="Query - writer_others" description="Connection to the 'writer_others' query in the workbook." type="5" refreshedVersion="8" background="1" saveData="1">
    <dbPr connection="Provider=Microsoft.Mashup.OleDb.1;Data Source=$Workbook$;Location=writer_others;Extended Properties=&quot;&quot;" command="SELECT * FROM [writer_others]"/>
    <extLst>
      <ext xmlns:x15="http://schemas.microsoft.com/office/spreadsheetml/2010/11/main" uri="{DE250136-89BD-433C-8126-D09CA5730AF9}">
        <x15:connection id="" excludeFromRefreshAll="1"/>
      </ext>
    </extLst>
  </connection>
  <connection id="123" xr16:uid="{00000000-0015-0000-FFFF-FFFF40000000}" keepAlive="1" name="Query - WST" description="Connection to the 'WST' query in the workbook." type="5" refreshedVersion="6" background="1" saveData="1">
    <dbPr connection="Provider=Microsoft.Mashup.OleDb.1;Data Source=$Workbook$;Location=WST;Extended Properties=&quot;&quot;" command="SELECT * FROM [WST]"/>
    <extLst>
      <ext xmlns:x15="http://schemas.microsoft.com/office/spreadsheetml/2010/11/main" uri="{DE250136-89BD-433C-8126-D09CA5730AF9}">
        <x15:connection id="" excludeFromRefreshAll="1"/>
      </ext>
    </extLst>
  </connection>
  <connection id="124" xr16:uid="{300052CE-E049-47C1-8773-F138EC001C65}" keepAlive="1" name="Query - 上市分类" description="Connection to the '上市分类' query in the workbook." type="5" refreshedVersion="6" background="1" saveData="1">
    <dbPr connection="Provider=Microsoft.Mashup.OleDb.1;Data Source=$Workbook$;Location=上市分类;Extended Properties=&quot;&quot;" command="SELECT * FROM [上市分类]"/>
  </connection>
  <connection id="125" xr16:uid="{370A6D65-AD92-4777-A563-8BCAE798FDE5}" keepAlive="1" name="Query - 中资属性" description="Connection to the '中资属性' query in the workbook." type="5" refreshedVersion="6" background="1" saveData="1">
    <dbPr connection="Provider=Microsoft.Mashup.OleDb.1;Data Source=$Workbook$;Location=中资属性;Extended Properties=&quot;&quot;" command="SELECT * FROM [中资属性]"/>
  </connection>
  <connection id="126" xr16:uid="{5803C420-57A2-4823-B625-8F1D20F98284}" keepAlive="1" name="Query - 债务管理Filter" description="Connection to the '债务管理Filter' query in the workbook." type="5" refreshedVersion="0" background="1">
    <dbPr connection="Provider=Microsoft.Mashup.OleDb.1;Data Source=$Workbook$;Location=债务管理Filter;Extended Properties=&quot;&quot;" command="SELECT * FROM [债务管理Filter]"/>
  </connection>
  <connection id="127" xr16:uid="{00000000-0015-0000-FFFF-FFFF33000000}" keepAlive="1" name="Query - 台账23" description="Connection to the '台账23' query in the workbook." type="5" refreshedVersion="6" background="1" saveData="1">
    <dbPr connection="Provider=Microsoft.Mashup.OleDb.1;Data Source=$Workbook$;Location=台账23;Extended Properties=&quot;&quot;" command="SELECT * FROM [台账23]"/>
    <extLst>
      <ext xmlns:x15="http://schemas.microsoft.com/office/spreadsheetml/2010/11/main" uri="{DE250136-89BD-433C-8126-D09CA5730AF9}">
        <x15:connection id="" excludeFromRefreshAll="1"/>
      </ext>
    </extLst>
  </connection>
  <connection id="128" xr16:uid="{E97E0589-0DC6-4A92-ACAA-A90D51140E8C}" keepAlive="1" name="Query - 地区" description="Connection to the '地区' query in the workbook." type="5" refreshedVersion="6" background="1" saveData="1">
    <dbPr connection="Provider=Microsoft.Mashup.OleDb.1;Data Source=$Workbook$;Location=地区;Extended Properties=&quot;&quot;" command="SELECT * FROM [地区]"/>
  </connection>
  <connection id="129" xr16:uid="{11B12458-3054-4656-B5A0-28E39A6B7A7E}" keepAlive="1" name="Query - 备证行" description="Connection to the '备证行' query in the workbook." type="5" refreshedVersion="6" background="1" saveData="1">
    <dbPr connection="Provider=Microsoft.Mashup.OleDb.1;Data Source=$Workbook$;Location=备证行;Extended Properties=&quot;&quot;" command="SELECT * FROM [备证行]"/>
  </connection>
  <connection id="130" xr16:uid="{D721FFC0-031C-4161-ABF2-749DD8FBE622}" keepAlive="1" name="Query - 新规角色" description="Connection to the '新规角色' query in the workbook." type="5" refreshedVersion="6" background="1" saveData="1">
    <dbPr connection="Provider=Microsoft.Mashup.OleDb.1;Data Source=$Workbook$;Location=新规角色;Extended Properties=&quot;&quot;" command="SELECT * FROM [新规角色]"/>
  </connection>
  <connection id="131" xr16:uid="{44C1FC59-A385-4F10-963A-D0BA37120278}" keepAlive="1" name="Query - 板块" description="Connection to the '板块' query in the workbook." type="5" refreshedVersion="6" background="1" saveData="1">
    <dbPr connection="Provider=Microsoft.Mashup.OleDb.1;Data Source=$Workbook$;Location=板块;Extended Properties=&quot;&quot;" command="SELECT * FROM [板块]"/>
  </connection>
  <connection id="132" xr16:uid="{04EC04FB-EA39-41C9-880E-D310A67759CB}" keepAlive="1" name="Query - 港分_ROLE" description="Connection to the '港分_ROLE' query in the workbook." type="5" refreshedVersion="0" background="1">
    <dbPr connection="Provider=Microsoft.Mashup.OleDb.1;Data Source=$Workbook$;Location=港分_ROLE;Extended Properties=&quot;&quot;" command="SELECT * FROM [港分_ROLE]"/>
  </connection>
  <connection id="133" xr16:uid="{5FAD6CB1-4054-4D46-BC8C-78174FE2C605}" keepAlive="1" name="Query - 澳门Filter" description="Connection to the '澳门Filter' query in the workbook." type="5" refreshedVersion="0" background="1">
    <dbPr connection="Provider=Microsoft.Mashup.OleDb.1;Data Source=$Workbook$;Location=澳门Filter;Extended Properties=&quot;&quot;" command="SELECT * FROM [澳门Filter]"/>
  </connection>
  <connection id="134" xr16:uid="{ABF191AE-2E2C-4E38-A4FF-8E4D5CB9358A}" keepAlive="1" name="Query - 结构" description="Connection to the '结构' query in the workbook." type="5" refreshedVersion="6" background="1" saveData="1">
    <dbPr connection="Provider=Microsoft.Mashup.OleDb.1;Data Source=$Workbook$;Location=结构;Extended Properties=&quot;&quot;" command="SELECT * FROM [结构]"/>
  </connection>
  <connection id="135" xr16:uid="{3AD69D05-CDF4-4A1A-819B-39DC20D2AE25}" keepAlive="1" name="Query - 货币" description="Connection to the '货币' query in the workbook." type="5" refreshedVersion="6" background="1" saveData="1">
    <dbPr connection="Provider=Microsoft.Mashup.OleDb.1;Data Source=$Workbook$;Location=货币;Extended Properties=&quot;&quot;" command="SELECT * FROM [货币]"/>
  </connection>
  <connection id="136" xr16:uid="{60E777FB-0FBC-439A-9E26-0443E2DF96BF}" keepAlive="1" name="Query - 香港Filter" description="Connection to the '香港Filter' query in the workbook." type="5" refreshedVersion="0" background="1">
    <dbPr connection="Provider=Microsoft.Mashup.OleDb.1;Data Source=$Workbook$;Location=香港Filter;Extended Properties=&quot;&quot;" command="SELECT * FROM [香港Filter]"/>
  </connection>
</connections>
</file>

<file path=xl/sharedStrings.xml><?xml version="1.0" encoding="utf-8"?>
<sst xmlns="http://schemas.openxmlformats.org/spreadsheetml/2006/main" count="4780" uniqueCount="1000">
  <si>
    <t>KT</t>
  </si>
  <si>
    <t>城投</t>
  </si>
  <si>
    <t>其他</t>
  </si>
  <si>
    <t>地产</t>
  </si>
  <si>
    <t>JH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</si>
  <si>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</si>
  <si>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</si>
  <si>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</si>
  <si>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</si>
  <si>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</si>
  <si>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</si>
  <si>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</si>
  <si>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</si>
  <si>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</si>
  <si>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</si>
  <si>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</si>
  <si>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</si>
  <si>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</si>
  <si>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</si>
  <si>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</si>
  <si>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</si>
  <si>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</si>
  <si>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</si>
  <si>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</si>
  <si>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</si>
  <si>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</si>
  <si>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</si>
  <si>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</si>
  <si>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</si>
  <si>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</si>
  <si>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</si>
  <si>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</si>
  <si>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</si>
  <si>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</si>
  <si>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</si>
  <si>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</si>
  <si>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主题</t>
  </si>
  <si>
    <t>直发</t>
  </si>
  <si>
    <t>维好+担保</t>
  </si>
  <si>
    <t>担保发行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</si>
  <si>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</si>
  <si>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</si>
  <si>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</si>
  <si>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</si>
  <si>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</si>
  <si>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</si>
  <si>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</si>
  <si>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</si>
  <si>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</si>
  <si>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</si>
  <si>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</si>
  <si>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</si>
  <si>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</si>
  <si>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</si>
  <si>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</si>
  <si>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</si>
  <si>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</si>
  <si>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</si>
  <si>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</si>
  <si>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</si>
  <si>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</si>
  <si>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</si>
  <si>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</si>
  <si>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</si>
  <si>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</si>
  <si>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</si>
  <si>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</si>
  <si>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ticker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</si>
  <si>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</si>
  <si>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</si>
  <si>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</si>
  <si>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</si>
  <si>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</si>
  <si>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</si>
  <si>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</si>
  <si>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</si>
  <si>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</si>
  <si>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</si>
  <si>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</si>
  <si>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</si>
  <si>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</si>
  <si>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</si>
  <si>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</si>
  <si>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</si>
  <si>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无评级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</si>
  <si>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</si>
  <si>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</si>
  <si>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</si>
  <si>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</si>
  <si>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</si>
  <si>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</si>
  <si>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</si>
  <si>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</si>
  <si>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</si>
  <si>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</si>
  <si>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</si>
  <si>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</si>
  <si>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</si>
  <si>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</si>
  <si>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</si>
  <si>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</si>
  <si>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</si>
  <si>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</si>
  <si>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</si>
  <si>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</si>
  <si>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</si>
  <si>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</si>
  <si>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</si>
  <si>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</si>
  <si>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品种</t>
  </si>
  <si>
    <t>GENERATOR</t>
  </si>
  <si>
    <t>HKD</t>
  </si>
  <si>
    <t>未上市</t>
  </si>
  <si>
    <t>EUR</t>
  </si>
  <si>
    <t>备证</t>
  </si>
  <si>
    <t>备证+担保</t>
  </si>
  <si>
    <t>备证+维好</t>
  </si>
  <si>
    <t>%</t>
  </si>
  <si>
    <t>NR</t>
  </si>
  <si>
    <t>信用主体简称</t>
  </si>
  <si>
    <t>按年</t>
  </si>
  <si>
    <t>定价息差</t>
  </si>
  <si>
    <t>票息</t>
  </si>
  <si>
    <t>ECON</t>
  </si>
  <si>
    <t>Date</t>
  </si>
  <si>
    <t>Event</t>
  </si>
  <si>
    <t>Survey</t>
  </si>
  <si>
    <t>Actual</t>
  </si>
  <si>
    <t>Prior</t>
  </si>
  <si>
    <t>Revised</t>
  </si>
  <si>
    <t>Relevance</t>
  </si>
  <si>
    <t>Ticker</t>
  </si>
  <si>
    <t>Time</t>
  </si>
  <si>
    <t>地方国有企业</t>
  </si>
  <si>
    <t>--/--</t>
  </si>
  <si>
    <t>Senior Unsecured</t>
  </si>
  <si>
    <t>否</t>
  </si>
  <si>
    <t>固定利率</t>
  </si>
  <si>
    <t>未到期</t>
  </si>
  <si>
    <t>普通债</t>
  </si>
  <si>
    <t>M6</t>
  </si>
  <si>
    <t>认购额(亿)</t>
  </si>
  <si>
    <t>IG</t>
  </si>
  <si>
    <t>HY</t>
  </si>
  <si>
    <t>发行评级</t>
  </si>
  <si>
    <t>USD &amp; CNH</t>
  </si>
  <si>
    <t>描述</t>
  </si>
  <si>
    <t>WRITER</t>
  </si>
  <si>
    <t>ESG</t>
  </si>
  <si>
    <t>Check</t>
  </si>
  <si>
    <t>增发判定</t>
  </si>
  <si>
    <t>宁夏</t>
  </si>
  <si>
    <t>西藏</t>
  </si>
  <si>
    <t>香港</t>
  </si>
  <si>
    <t>补充OMAS updates</t>
  </si>
  <si>
    <t>LOAD</t>
  </si>
  <si>
    <t>BISL_ROLE</t>
  </si>
  <si>
    <t>BOCOM_DEAL?</t>
  </si>
  <si>
    <t>JBR</t>
  </si>
  <si>
    <t>JGC</t>
  </si>
  <si>
    <t>3</t>
  </si>
  <si>
    <t>定价</t>
  </si>
  <si>
    <t>FEATURED</t>
  </si>
  <si>
    <t>上周主要经济数据</t>
  </si>
  <si>
    <t xml:space="preserve">发布(HKT) </t>
  </si>
  <si>
    <t>前值</t>
  </si>
  <si>
    <t>预期</t>
  </si>
  <si>
    <t>现值</t>
  </si>
  <si>
    <t>Region</t>
  </si>
  <si>
    <t>Period</t>
  </si>
  <si>
    <t>Table</t>
  </si>
  <si>
    <t>FUTURE</t>
  </si>
  <si>
    <t>区间</t>
  </si>
  <si>
    <t>范围</t>
  </si>
  <si>
    <t>未来一周主要经济数据</t>
  </si>
  <si>
    <t>信用主体(备证行)</t>
  </si>
  <si>
    <t>收窄基点</t>
  </si>
  <si>
    <t xml:space="preserve">预计发布(HKT) 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</si>
  <si>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</si>
  <si>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</si>
  <si>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</si>
  <si>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</si>
  <si>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</si>
  <si>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</si>
  <si>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</si>
  <si>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</si>
  <si>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</si>
  <si>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</si>
  <si>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</si>
  <si>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CHARTs</t>
  </si>
  <si>
    <t>SCMI</t>
  </si>
  <si>
    <t>FI组</t>
  </si>
  <si>
    <t>PROJECT_CODE</t>
  </si>
  <si>
    <t>OC</t>
  </si>
  <si>
    <t>SOE组</t>
  </si>
  <si>
    <t>GRAPH</t>
  </si>
  <si>
    <t>港分_ROLE</t>
  </si>
  <si>
    <t>澳分_ROLE</t>
  </si>
  <si>
    <t>Project Name</t>
  </si>
  <si>
    <t>Co-Manager</t>
  </si>
  <si>
    <t>PA</t>
  </si>
  <si>
    <t>NSCMI</t>
  </si>
  <si>
    <t>POE组</t>
  </si>
  <si>
    <t>DEBUT_DATE</t>
  </si>
  <si>
    <t>央企</t>
  </si>
  <si>
    <t>央企(子)</t>
  </si>
  <si>
    <t>地方国企</t>
  </si>
  <si>
    <t>民企</t>
  </si>
  <si>
    <t>n/a</t>
  </si>
  <si>
    <t>3.0000</t>
  </si>
  <si>
    <t>发行方式</t>
  </si>
  <si>
    <t>RegS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</si>
  <si>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</si>
  <si>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</si>
  <si>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</si>
  <si>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</si>
  <si>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</si>
  <si>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</si>
  <si>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</si>
  <si>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</si>
  <si>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</si>
  <si>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NotCNH</t>
  </si>
  <si>
    <t>期限备注</t>
  </si>
  <si>
    <t>亿港币</t>
  </si>
  <si>
    <t>SGC</t>
  </si>
  <si>
    <t>Dealer</t>
  </si>
  <si>
    <t>多笔</t>
  </si>
  <si>
    <t>多币种</t>
  </si>
  <si>
    <t>多品种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</si>
  <si>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</si>
  <si>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</si>
  <si>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</si>
  <si>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</si>
  <si>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</si>
  <si>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</si>
  <si>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</si>
  <si>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</si>
  <si>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</si>
  <si>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</si>
  <si>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</si>
  <si>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板块</t>
  </si>
  <si>
    <t>主权/政府</t>
  </si>
  <si>
    <t>平台级别</t>
  </si>
  <si>
    <t>首次违约日</t>
  </si>
  <si>
    <t>曾用名</t>
  </si>
  <si>
    <t>主体备注</t>
  </si>
  <si>
    <t>行业二级</t>
  </si>
  <si>
    <t>CY</t>
  </si>
  <si>
    <t>注册成立地</t>
  </si>
  <si>
    <t>BISL</t>
  </si>
  <si>
    <t>港分</t>
  </si>
  <si>
    <t>澳分</t>
  </si>
  <si>
    <t>FI MTN</t>
  </si>
  <si>
    <t>系</t>
  </si>
  <si>
    <t>Stats描述</t>
  </si>
  <si>
    <t>英文简称</t>
  </si>
  <si>
    <t>发行架构</t>
  </si>
  <si>
    <t>浮息息差</t>
  </si>
  <si>
    <t>债项BBG</t>
  </si>
  <si>
    <t>主体BBG</t>
  </si>
  <si>
    <t>DMI</t>
  </si>
  <si>
    <t>项目名称（集团全称）</t>
  </si>
  <si>
    <t>担任角色</t>
  </si>
  <si>
    <t>项目定价日</t>
  </si>
  <si>
    <t>QRC台账</t>
  </si>
  <si>
    <t>DMI Count</t>
  </si>
  <si>
    <t>BBG Count</t>
  </si>
  <si>
    <t>Max 台账序号</t>
  </si>
  <si>
    <t>CN</t>
  </si>
  <si>
    <t>中华（澳门）金融资产交易股份有限公司</t>
  </si>
  <si>
    <t>澳交所</t>
  </si>
  <si>
    <t>增发</t>
  </si>
  <si>
    <t>Health Checker</t>
  </si>
  <si>
    <t>DMI列名更改</t>
  </si>
  <si>
    <t>DMI新增列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</si>
  <si>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</si>
  <si>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</si>
  <si>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</si>
  <si>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</si>
  <si>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</si>
  <si>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</si>
  <si>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</si>
  <si>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发行人主上市地</t>
  </si>
  <si>
    <t>JPY</t>
  </si>
  <si>
    <t>港交所</t>
  </si>
  <si>
    <t>恒丰银行</t>
  </si>
  <si>
    <t>Weeknum</t>
  </si>
  <si>
    <t>上周亿美元</t>
  </si>
  <si>
    <t>上周笔数</t>
  </si>
  <si>
    <r>
      <rPr>
        <sz val="14"/>
        <color theme="9"/>
        <rFont val="Microsoft JhengHei UI"/>
        <family val="2"/>
        <scheme val="minor"/>
      </rPr>
      <t>REVIEW</t>
    </r>
    <r>
      <rPr>
        <sz val="18"/>
        <color theme="9"/>
        <rFont val="Microsoft JhengHei UI"/>
        <family val="2"/>
        <scheme val="minor"/>
      </rPr>
      <t xml:space="preserve">
⬇️</t>
    </r>
  </si>
  <si>
    <t>周</t>
  </si>
  <si>
    <t>Name</t>
  </si>
  <si>
    <t>黄荣左</t>
  </si>
  <si>
    <t>刘嘉西</t>
  </si>
  <si>
    <t>孙颖芝</t>
  </si>
  <si>
    <t>余烨洁</t>
  </si>
  <si>
    <t>PRJ对账号</t>
  </si>
  <si>
    <t>SortValue</t>
  </si>
  <si>
    <t>上市类型</t>
  </si>
  <si>
    <t>童富涵</t>
  </si>
  <si>
    <t>SGD</t>
  </si>
  <si>
    <t>MOP</t>
  </si>
  <si>
    <t>GBP</t>
  </si>
  <si>
    <t>AUD</t>
  </si>
  <si>
    <t>NZD</t>
  </si>
  <si>
    <t>CAD</t>
  </si>
  <si>
    <t>上市分类</t>
  </si>
  <si>
    <t>新交所</t>
  </si>
  <si>
    <t>多地上市</t>
  </si>
  <si>
    <t>6.3%区域</t>
  </si>
  <si>
    <t>齐鲁银行</t>
  </si>
  <si>
    <t>备证+担保+维好</t>
  </si>
  <si>
    <t>6.3%a</t>
  </si>
  <si>
    <t>乌鲁木齐高新</t>
  </si>
  <si>
    <t>齐鲁财金(恒丰银行)</t>
  </si>
  <si>
    <t>广东省政府</t>
  </si>
  <si>
    <t>深圳市政府</t>
  </si>
  <si>
    <t>周四，齐鲁财金定价人民币2亿元3年期点心债（恒丰银行提供备证），价格4.8%</t>
  </si>
  <si>
    <t>周四，广东省政府定价人民币10亿元2年期绿色澳交所点心债，价格2.4%，较IPG收窄35个基点，交通银行担任账簿管理人</t>
  </si>
  <si>
    <t>周二，深圳市政府定价人民币21亿元3年期绿色点心债，价格2.55%，较IPG收窄35个基点，交通银行担任账簿管理人</t>
  </si>
  <si>
    <t>周二，深圳市政府定价人民币20亿元5年期绿色点心债，价格2.75%，较IPG收窄40个基点，交通银行担任账簿管理人</t>
  </si>
  <si>
    <t>周二，深圳市政府定价人民币9亿元2年期绿色点心债，价格2.4%，较IPG收窄35个基点，交通银行担任账簿管理人</t>
  </si>
  <si>
    <t>周二，乌鲁木齐高新（--/--/BB+）定价人民币8.062亿元3年期点心债，价格5.5%，较IPG收窄10个基点，交银国际担任全球协调人</t>
  </si>
  <si>
    <t>Writer</t>
  </si>
  <si>
    <t>NEWWriter</t>
  </si>
  <si>
    <t>违约日期</t>
  </si>
  <si>
    <t>Stats</t>
  </si>
  <si>
    <t>Column1</t>
  </si>
  <si>
    <t>未检测到DMI列名有更改</t>
  </si>
  <si>
    <t>Column2</t>
  </si>
  <si>
    <t>添加增发方式</t>
  </si>
  <si>
    <t>新增记录</t>
  </si>
  <si>
    <t>原始ISIN</t>
  </si>
  <si>
    <t>增发ISIN</t>
  </si>
  <si>
    <t>IPT</t>
  </si>
  <si>
    <t>绿色债券</t>
  </si>
  <si>
    <t>输入要查询的ISIN</t>
  </si>
  <si>
    <t>输入主体关键字</t>
  </si>
  <si>
    <t>6.20%</t>
  </si>
  <si>
    <t>3 增发详情：填写每一列</t>
  </si>
  <si>
    <t>2 原始债券：在下表内右键选Refresh</t>
  </si>
  <si>
    <t>4 生成增发记录：在下表内右键选Refresh</t>
  </si>
  <si>
    <t>AddToDLD</t>
  </si>
  <si>
    <t>N</t>
  </si>
  <si>
    <t>1 搜索原始债券</t>
  </si>
  <si>
    <t>AddTap To Download</t>
  </si>
  <si>
    <t>5 Refresh Query FOLDER 【2】Download</t>
  </si>
  <si>
    <t>发行规则</t>
  </si>
  <si>
    <t>临时isin</t>
  </si>
  <si>
    <t>青岛银行</t>
  </si>
  <si>
    <t>中国银行股份有限公司</t>
  </si>
  <si>
    <t>新发</t>
  </si>
  <si>
    <t>中国银行</t>
  </si>
  <si>
    <t>Monday</t>
  </si>
  <si>
    <t>FolderRefreshed</t>
  </si>
  <si>
    <t>RefreshedAll</t>
  </si>
  <si>
    <t>国开行</t>
  </si>
  <si>
    <t>工商银行</t>
  </si>
  <si>
    <t>农业银行</t>
  </si>
  <si>
    <t>建设银行</t>
  </si>
  <si>
    <t>邮储银行</t>
  </si>
  <si>
    <t>招商银行</t>
  </si>
  <si>
    <t>浦发银行</t>
  </si>
  <si>
    <t>兴业银行</t>
  </si>
  <si>
    <t>中信银行</t>
  </si>
  <si>
    <t>华夏银行</t>
  </si>
  <si>
    <t>浙商银行</t>
  </si>
  <si>
    <t>渤海银行</t>
  </si>
  <si>
    <t>北京银行</t>
  </si>
  <si>
    <t>江苏银行</t>
  </si>
  <si>
    <t>上海银行</t>
  </si>
  <si>
    <t>宁波银行</t>
  </si>
  <si>
    <t>南京银行</t>
  </si>
  <si>
    <t>杭州银行</t>
  </si>
  <si>
    <t>成都银行</t>
  </si>
  <si>
    <t>重庆银行</t>
  </si>
  <si>
    <t>长沙银行</t>
  </si>
  <si>
    <t>郑州银行</t>
  </si>
  <si>
    <t>西安银行</t>
  </si>
  <si>
    <t>徽商银行</t>
  </si>
  <si>
    <t>中原银行</t>
  </si>
  <si>
    <t>天津银行</t>
  </si>
  <si>
    <t>江西银行</t>
  </si>
  <si>
    <t>湖南银行(原华融湘江)</t>
  </si>
  <si>
    <t>北部湾银行</t>
  </si>
  <si>
    <t>湖北银行</t>
  </si>
  <si>
    <t>齐商银行</t>
  </si>
  <si>
    <t>长安银行</t>
  </si>
  <si>
    <t>重庆三峡银行</t>
  </si>
  <si>
    <t>绵阳商业银行</t>
  </si>
  <si>
    <t>九江银行</t>
  </si>
  <si>
    <t>绍兴银行</t>
  </si>
  <si>
    <t>桂林银行</t>
  </si>
  <si>
    <t>河北银行</t>
  </si>
  <si>
    <t>嘉兴银行</t>
  </si>
  <si>
    <t>富滇银行</t>
  </si>
  <si>
    <t>厦门国际银行</t>
  </si>
  <si>
    <t>东莞银行</t>
  </si>
  <si>
    <t>合肥科农行</t>
  </si>
  <si>
    <t>成都农商行</t>
  </si>
  <si>
    <t>重庆农商行</t>
  </si>
  <si>
    <t>南商(中国)</t>
  </si>
  <si>
    <t>招商永隆银行</t>
  </si>
  <si>
    <t>AddNew To Download</t>
  </si>
  <si>
    <t>发行日</t>
  </si>
  <si>
    <t>到期日</t>
  </si>
  <si>
    <t>Input</t>
  </si>
  <si>
    <t>1 添加信用主体</t>
  </si>
  <si>
    <t>3.50%a</t>
  </si>
  <si>
    <t>澳门</t>
  </si>
  <si>
    <t>台湾</t>
  </si>
  <si>
    <t>科技</t>
  </si>
  <si>
    <t>能源</t>
  </si>
  <si>
    <t>DropdownSort</t>
  </si>
  <si>
    <t>可持续债券</t>
  </si>
  <si>
    <t>AT1</t>
  </si>
  <si>
    <t>T2</t>
  </si>
  <si>
    <t>BOCOM</t>
  </si>
  <si>
    <t>COMMUNICATIONSMACAU</t>
  </si>
  <si>
    <t>COMMUNICATIONS</t>
  </si>
  <si>
    <t>BISL;港分</t>
  </si>
  <si>
    <t>港分;澳分</t>
  </si>
  <si>
    <t>BOCOM;COMMUNICATIONS</t>
  </si>
  <si>
    <t>Find</t>
  </si>
  <si>
    <t>Replace</t>
  </si>
  <si>
    <t>DropdownLoad</t>
  </si>
  <si>
    <t>Dropdown</t>
  </si>
  <si>
    <t>BOCOM_JGC</t>
  </si>
  <si>
    <t>BOCOM_JBR</t>
  </si>
  <si>
    <t>中国</t>
  </si>
  <si>
    <t>绿景(中国)地产投资有限公司</t>
  </si>
  <si>
    <t>中国进出口银行</t>
  </si>
  <si>
    <t>中国人寿保险(海外)股份有限公司</t>
  </si>
  <si>
    <t>中国农业银行股份有限公司</t>
  </si>
  <si>
    <t>中国信达(香港)控股有限公司</t>
  </si>
  <si>
    <t>中国国际金融股份有限公司</t>
  </si>
  <si>
    <t>中国工商银行股份有限公司</t>
  </si>
  <si>
    <t>中国国际金融(国际)有限公司</t>
  </si>
  <si>
    <t>债券详情</t>
  </si>
  <si>
    <t>BBGcorp</t>
  </si>
  <si>
    <t>票息_DMI</t>
  </si>
  <si>
    <t>XS2509105412</t>
  </si>
  <si>
    <t>晋城国投</t>
  </si>
  <si>
    <t>10</t>
  </si>
  <si>
    <t>晋城市国有资本投资运营有限公司</t>
  </si>
  <si>
    <t>AA+</t>
  </si>
  <si>
    <t>JNCHED</t>
  </si>
  <si>
    <t>JINCHENG STATE-OWNED CAPITAL INVESTMENT OPERATION CO LTD</t>
  </si>
  <si>
    <t>220902XS2509105412</t>
  </si>
  <si>
    <t>现有债务再融资</t>
  </si>
  <si>
    <t>DataSource</t>
  </si>
  <si>
    <t>DMIRenamed</t>
  </si>
  <si>
    <t>更名规则 - 添加"_DMI"</t>
  </si>
  <si>
    <t>ColNow_mCurated</t>
  </si>
  <si>
    <t>原始DMI字段</t>
  </si>
  <si>
    <t>Curated</t>
  </si>
  <si>
    <t>DMI字段</t>
  </si>
  <si>
    <t>状态</t>
  </si>
  <si>
    <t>原始录入</t>
  </si>
  <si>
    <t>更名后缀录入</t>
  </si>
  <si>
    <t>合并至其他字段录入</t>
  </si>
  <si>
    <t>Referenced</t>
  </si>
  <si>
    <t>未参考</t>
  </si>
  <si>
    <t>headers_Issuer</t>
  </si>
  <si>
    <t>删除及隐藏</t>
  </si>
  <si>
    <t>headers_Curated</t>
  </si>
  <si>
    <t>headers_BOCOM</t>
  </si>
  <si>
    <t>主体及承销</t>
  </si>
  <si>
    <t>简称及分类</t>
  </si>
  <si>
    <t>hardcode3 AN4:BA40
Autocopy: AN4</t>
  </si>
  <si>
    <t>hardcode4 BF4:BI40
Autocopy: BF4</t>
  </si>
  <si>
    <t>hardcode2 P4:AI40
Autocopy: P4</t>
  </si>
  <si>
    <t>hardcode1 A4:K40
Auto: A4</t>
  </si>
  <si>
    <t>Cell To Review Format</t>
  </si>
  <si>
    <t>⭐</t>
  </si>
  <si>
    <t>笔</t>
  </si>
  <si>
    <t>角色详情</t>
  </si>
  <si>
    <t>未检测到DMI有新增列</t>
  </si>
  <si>
    <t>5.5%</t>
  </si>
  <si>
    <t>FolderPath</t>
  </si>
  <si>
    <t>高新</t>
  </si>
  <si>
    <t>XS2667389196</t>
  </si>
  <si>
    <t>7.5%</t>
  </si>
  <si>
    <t>7.6%a</t>
  </si>
  <si>
    <t>HK0000954344</t>
  </si>
  <si>
    <t>枣庄高新(恒丰银行)</t>
  </si>
  <si>
    <t>4.8%</t>
  </si>
  <si>
    <t>HK0000954096</t>
  </si>
  <si>
    <t>枣庄高新(青岛银行)</t>
  </si>
  <si>
    <t>HK0000946829</t>
  </si>
  <si>
    <t>5.6%a</t>
  </si>
  <si>
    <t>XS2643016293</t>
  </si>
  <si>
    <t>淄博高新国投</t>
  </si>
  <si>
    <t>2.7</t>
  </si>
  <si>
    <t>8%</t>
  </si>
  <si>
    <t>XS2633210229</t>
  </si>
  <si>
    <t>莱芜高投(齐鲁银行)</t>
  </si>
  <si>
    <t>6.8%</t>
  </si>
  <si>
    <t>XS2627284396</t>
  </si>
  <si>
    <t>XS2528158053</t>
  </si>
  <si>
    <t>7%</t>
  </si>
  <si>
    <t>XS2560864253</t>
  </si>
  <si>
    <t>1.5</t>
  </si>
  <si>
    <t>XS2574741273</t>
  </si>
  <si>
    <t>淄博高新国投(青岛银行)</t>
  </si>
  <si>
    <t>【】</t>
  </si>
  <si>
    <t>HK</t>
  </si>
  <si>
    <t>VG</t>
  </si>
  <si>
    <t>--/A+/A+</t>
  </si>
  <si>
    <t>中国光大银行股份有限公司</t>
  </si>
  <si>
    <t>--/BBB+/--</t>
  </si>
  <si>
    <t>香港铁路有限公司</t>
  </si>
  <si>
    <t>Aa3/AA+/AA-</t>
  </si>
  <si>
    <t>3.3</t>
  </si>
  <si>
    <t>7.5</t>
  </si>
  <si>
    <t>4.2</t>
  </si>
  <si>
    <t>美元债</t>
  </si>
  <si>
    <t>1-3年</t>
  </si>
  <si>
    <t>SBLC+担保</t>
  </si>
  <si>
    <t>山东省</t>
  </si>
  <si>
    <t>综合</t>
  </si>
  <si>
    <t>控制权变更回售@100%</t>
  </si>
  <si>
    <t>稳定/稳定</t>
  </si>
  <si>
    <t>香港交易所</t>
  </si>
  <si>
    <t>直接发行</t>
  </si>
  <si>
    <t>北京市</t>
  </si>
  <si>
    <t>西城区</t>
  </si>
  <si>
    <t>银行</t>
  </si>
  <si>
    <t>AAA</t>
  </si>
  <si>
    <t>3.01Y</t>
  </si>
  <si>
    <t>投资级</t>
  </si>
  <si>
    <t>浮动利率</t>
  </si>
  <si>
    <t>M3</t>
  </si>
  <si>
    <t>中央国有企业</t>
  </si>
  <si>
    <t>A1/--</t>
  </si>
  <si>
    <t>稳定/--</t>
  </si>
  <si>
    <t>EXIMCH</t>
  </si>
  <si>
    <t>EXPORT-IMPORT BANK OF CHINA</t>
  </si>
  <si>
    <t>2.0000</t>
  </si>
  <si>
    <t>其他分类</t>
  </si>
  <si>
    <t>利率债</t>
  </si>
  <si>
    <t>5.0000</t>
  </si>
  <si>
    <t>5.01Y</t>
  </si>
  <si>
    <t>SBLC</t>
  </si>
  <si>
    <t>多元金融</t>
  </si>
  <si>
    <t>贸易</t>
  </si>
  <si>
    <t>0.9945</t>
  </si>
  <si>
    <t>控制权变更回售@101%</t>
  </si>
  <si>
    <t>Y1</t>
  </si>
  <si>
    <t>2</t>
  </si>
  <si>
    <t>5</t>
  </si>
  <si>
    <t>1</t>
  </si>
  <si>
    <t>4.2%</t>
  </si>
  <si>
    <t>364天</t>
  </si>
  <si>
    <t>will wipe out  last week's results</t>
  </si>
  <si>
    <t xml:space="preserve">⚠️ Change Updator </t>
  </si>
  <si>
    <t>点心债</t>
  </si>
  <si>
    <t>≤1年</t>
  </si>
  <si>
    <t>3-5年</t>
  </si>
  <si>
    <t>Camphor Tree</t>
  </si>
  <si>
    <t>HK0000954286</t>
  </si>
  <si>
    <t>江苏平陵建设投资集团有限公司</t>
  </si>
  <si>
    <t>Qilin</t>
  </si>
  <si>
    <t>XS2664783565</t>
  </si>
  <si>
    <t>徐州经济技术开发区国有资产经营有限责任公司</t>
  </si>
  <si>
    <t>Parent company tiker</t>
  </si>
  <si>
    <t>评级</t>
  </si>
  <si>
    <t>BBG01JG8LTW0</t>
  </si>
  <si>
    <t>MTR CORP LTD</t>
  </si>
  <si>
    <t>4.9800000000000004</t>
  </si>
  <si>
    <t>66 HK</t>
  </si>
  <si>
    <t>Aa3/AA+/AA-u</t>
  </si>
  <si>
    <t>230921BBG01JG8LTW0</t>
  </si>
  <si>
    <t>HK0000957891</t>
  </si>
  <si>
    <t>4.8499999999999996</t>
  </si>
  <si>
    <t>230921HK0000957891</t>
  </si>
  <si>
    <t>华泰国际金融控股有限公司</t>
  </si>
  <si>
    <t>HUATAI INTERNATIONAL FINANCE L</t>
  </si>
  <si>
    <t>HUATAI INTERNATIONAL FINANCIAL HOLDINGS CO LTD</t>
  </si>
  <si>
    <t>601688 CH</t>
  </si>
  <si>
    <t>Baa1/BBB+/--</t>
  </si>
  <si>
    <t>HK0000942661</t>
  </si>
  <si>
    <t>陕西西咸新区沣西发展集团有限公司</t>
  </si>
  <si>
    <t>SHAANXI XIXIAN NEW AREA FENGXI</t>
  </si>
  <si>
    <t>4.95</t>
  </si>
  <si>
    <t>230921HK0000942661</t>
  </si>
  <si>
    <t>XS2696086680</t>
  </si>
  <si>
    <t>EXPORT-IMPORT BANK OF CHINA/TH</t>
  </si>
  <si>
    <t>6.0344951729044078</t>
  </si>
  <si>
    <t>EIBCZ CH</t>
  </si>
  <si>
    <t>--/A+/A+u</t>
  </si>
  <si>
    <t>230920XS2696086680</t>
  </si>
  <si>
    <t>XS2696107866</t>
  </si>
  <si>
    <t>6</t>
  </si>
  <si>
    <t>230920XS2696107866</t>
  </si>
  <si>
    <t>HK0000954021</t>
  </si>
  <si>
    <t>甘肃省公路航空旅游投资集团有限公司</t>
  </si>
  <si>
    <t>--/BBB+/BBB+</t>
  </si>
  <si>
    <t>GANSU PROVINCIAL HIGHWAY AVIAT</t>
  </si>
  <si>
    <t>3.9</t>
  </si>
  <si>
    <t>0793820D CH</t>
  </si>
  <si>
    <t>230920HK0000954021</t>
  </si>
  <si>
    <t>JINSHINE INTERNATIONAL CO LTD</t>
  </si>
  <si>
    <t>XUZHOU ECONOMIC TECHNOLOGY DEVELOPMENT ZONE STATE OWNED ASSET MANAGEMENT CO LTD</t>
  </si>
  <si>
    <t>6.5</t>
  </si>
  <si>
    <t>0794572D CH</t>
  </si>
  <si>
    <t>--/--/WD</t>
  </si>
  <si>
    <t>230920XS2664783565</t>
  </si>
  <si>
    <t>PINGLING GROUP OVERSEAS LTD</t>
  </si>
  <si>
    <t>JIANGSU PINGLING CONSTRUCTION INVESTMENT GROUP CO LTD</t>
  </si>
  <si>
    <t>3.88</t>
  </si>
  <si>
    <t>230920HK0000954286</t>
  </si>
  <si>
    <t>HK0000951159</t>
  </si>
  <si>
    <t>漳州市九龙江集团有限公司</t>
  </si>
  <si>
    <t>--/--/BBB-</t>
  </si>
  <si>
    <t>ZHANGZHOU JIULONGJIANG GROUP C</t>
  </si>
  <si>
    <t>ZPZHGZ CH</t>
  </si>
  <si>
    <t>230920HK0000951159</t>
  </si>
  <si>
    <t>MO0000000287</t>
  </si>
  <si>
    <t>中华人民共和国财政部</t>
  </si>
  <si>
    <t>A1/A+/A+</t>
  </si>
  <si>
    <t>CHINA GOVERNMENT BOND</t>
  </si>
  <si>
    <t>2.4</t>
  </si>
  <si>
    <t>230920MO0000000287</t>
  </si>
  <si>
    <t>MO0000000295</t>
  </si>
  <si>
    <t>2.68</t>
  </si>
  <si>
    <t>230920MO0000000295</t>
  </si>
  <si>
    <t>HK0000957859</t>
  </si>
  <si>
    <t>交银租赁管理香港有限公司</t>
  </si>
  <si>
    <t>A3/A-/A</t>
  </si>
  <si>
    <t>BOCOM LEASING MANAGEMENT HONG</t>
  </si>
  <si>
    <t>BANK OF COMMUNICATIONS FINANCI</t>
  </si>
  <si>
    <t>0791864D CH</t>
  </si>
  <si>
    <t>--/A-/A</t>
  </si>
  <si>
    <t>230919HK0000957859</t>
  </si>
  <si>
    <t>HK0000954997</t>
  </si>
  <si>
    <t>香港按揭证券有限公司</t>
  </si>
  <si>
    <t>--/AA+/--</t>
  </si>
  <si>
    <t>Aa3/AA+/--</t>
  </si>
  <si>
    <t>HONG KONG MORTGAGE CORP LTD/TH</t>
  </si>
  <si>
    <t>5.0999999999999996</t>
  </si>
  <si>
    <t>1093Z HK</t>
  </si>
  <si>
    <t>230919HK0000954997</t>
  </si>
  <si>
    <t>US62914VAG14</t>
  </si>
  <si>
    <t>上海蔚来汽车有限公司</t>
  </si>
  <si>
    <t>KY</t>
  </si>
  <si>
    <t>UN</t>
  </si>
  <si>
    <t>NIO INC</t>
  </si>
  <si>
    <t>3.875</t>
  </si>
  <si>
    <t>NIO US</t>
  </si>
  <si>
    <t>230919US62914VAG14</t>
  </si>
  <si>
    <t>US62914VAH96</t>
  </si>
  <si>
    <t>4.625</t>
  </si>
  <si>
    <t>230919US62914VAH96</t>
  </si>
  <si>
    <t>XS2673791815</t>
  </si>
  <si>
    <t>济南市中财金投资集团有限公司</t>
  </si>
  <si>
    <t>ZHENGJIN FINANCIAL INTERNATION</t>
  </si>
  <si>
    <t>JINAN SHIZHONG FINANCE INVESTMENT GROUP CO LTD</t>
  </si>
  <si>
    <t>230919XS2673791815</t>
  </si>
  <si>
    <t>HK0000954393</t>
  </si>
  <si>
    <t>青岛胶州湾发展集团有限公司</t>
  </si>
  <si>
    <t>QINGDAO JIAOZHOU BAY DEVELOPME</t>
  </si>
  <si>
    <t>5.5</t>
  </si>
  <si>
    <t>1064639D CH</t>
  </si>
  <si>
    <t>230919HK0000954393</t>
  </si>
  <si>
    <t>XS2669569324</t>
  </si>
  <si>
    <t>唐山控股发展集团股份有限公司</t>
  </si>
  <si>
    <t>TANGSHAN INTERNATIONAL INVESTM</t>
  </si>
  <si>
    <t>TANGSHAN HOLDING DEVELOPMENT GROUP CO LTD</t>
  </si>
  <si>
    <t>1385053D CH</t>
  </si>
  <si>
    <t>230918XS2669569324</t>
  </si>
  <si>
    <t>SXFXJT 4.95 09/28/26</t>
  </si>
  <si>
    <t>陕西西咸新区沣西发展 4.95 2026-09-28</t>
  </si>
  <si>
    <t>中华（澳门）金融资产交易股份有限公司;香港交易所</t>
  </si>
  <si>
    <t>4.95%</t>
  </si>
  <si>
    <t>西安银行股份有限公司</t>
  </si>
  <si>
    <t>陕西省</t>
  </si>
  <si>
    <t>咸阳市</t>
  </si>
  <si>
    <t>西咸新区</t>
  </si>
  <si>
    <t>GF Securities (Hong Kong) Brokerage Limited;China CITIC Bank International Limited</t>
  </si>
  <si>
    <t>AA</t>
  </si>
  <si>
    <t>Project development and replenishment of working capital</t>
  </si>
  <si>
    <t>SXFXJT</t>
  </si>
  <si>
    <t>Industrial Bank Co., Ltd. Hong Kong Branch;Hua Xia Bank Co., Limited Hong Kong Branch;CNCB (Hong Kong) Capital Limited;China Zheshang Bank Co., Ltd. Hong Kong Branch;Dingxin (Securities) Limited;Alpha International Securities Hong Kong Ltd;Pearl International Securities Limited</t>
  </si>
  <si>
    <t>Pearl International Securities Limited;Industrial Bank Co., Ltd. Hong Kong Branch;Hua Xia Bank Co., Limited Hong Kong Branch;CNCB (Hong Kong) Capital Limited;China Zheshang Bank Co., Ltd. Hong Kong Branch;China CITIC Bank International Limited;GF Securities (Hong Kong) Brokerage Limited;Alpha International Securities Hong Kong Ltd;Dingxin (Securities) Limited</t>
  </si>
  <si>
    <t>CGB 2.4 09/27/25</t>
  </si>
  <si>
    <t>财政部 2.4 2025-09-27</t>
  </si>
  <si>
    <t>A1/A+</t>
  </si>
  <si>
    <t>2.75%区域</t>
  </si>
  <si>
    <t>2.40%</t>
  </si>
  <si>
    <t>Bank of China Limited, Macau Branch;Bank of Communications Co., Ltd. Macau Branch;Industrial and Commercial Bank of China (Macau) Limited</t>
  </si>
  <si>
    <t>The net proceeds from the sale of the Bonds will be used by the Ministry of Finance for general governmental purposes</t>
  </si>
  <si>
    <t>CGB</t>
  </si>
  <si>
    <t>China Galaxy International Securities (Hong Kong) Company Limited;CLSA Securities Limited;Agricultural Bank of China Limited Macau Branch;Luso International Banking Ltd;The Hongkong and Shanghai Banking Corporation Limited;China International Capital Corporation Hong Kong Securities Limited;China CITIC Bank International Limited;China Construction Bank Corporation Macau Branch;Standard Chartered Bank (Hong Kong) Limited;CMB Wing Lung Bank Limited;Nanyang Commercial Bank, Limited</t>
  </si>
  <si>
    <t>Bank of Communications Co., Ltd. Macau Branch;China Galaxy International Securities (Hong Kong) Company Limited;CLSA Securities Limited;Industrial and Commercial Bank of China (Macau) Limited;Agricultural Bank of China Limited Macau Branch;Luso International Banking Ltd;The Hongkong and Shanghai Banking Corporation Limited;China International Capital Corporation Hong Kong Securities Limited;Bank of China Limited, Macau Branch;China CITIC Bank International Limited;China Construction Bank Corporation Macau Branch;Standard Chartered Bank (Hong Kong) Limited;CMB Wing Lung Bank Limited;Nanyang Commercial Bank, Limited</t>
  </si>
  <si>
    <t>CGB 2.68 09/27/28</t>
  </si>
  <si>
    <t>财政部 2.68 2028-09-27</t>
  </si>
  <si>
    <t>3.0%区域</t>
  </si>
  <si>
    <t>2.68%</t>
  </si>
  <si>
    <t>The net proceeds from the sale of the Bonds will be used by 
the Ministry of Finance for general governmental purposes.</t>
  </si>
  <si>
    <t>EXIMCH 6.044625743 09/27/28</t>
  </si>
  <si>
    <t>进出口银行 6.044625743 2028-09-27</t>
  </si>
  <si>
    <t>Agricultural Bank of China Limited Hong Kong Branch;Bank of Communications Co., Ltd. Hong Kong Branch</t>
  </si>
  <si>
    <t>O/N SOFR +70.000</t>
  </si>
  <si>
    <t>Bank of Communications Co., Ltd. Hong Kong Branch;Agricultural Bank of China Limited Hong Kong Branch</t>
  </si>
  <si>
    <t>XZETDZ 6.5 09/27/26</t>
  </si>
  <si>
    <t>徐州经济技术开发区国有资产经营有限责任公司 6.5 2026-09-27</t>
  </si>
  <si>
    <t>6.80%区域</t>
  </si>
  <si>
    <t>6.50%</t>
  </si>
  <si>
    <t>江苏省</t>
  </si>
  <si>
    <t>徐州市</t>
  </si>
  <si>
    <t>徐州经开区</t>
  </si>
  <si>
    <t>Zhongtai International;Soochow Securities Company Limited;Huatai Financial Holdings (Hong Kong) Limited;China Securities (International) Corporate Finance Company Limited</t>
  </si>
  <si>
    <t>基础建设</t>
  </si>
  <si>
    <t>Refinancing outstanding offshore indebtedness in accordance with the NDRC certificate.</t>
  </si>
  <si>
    <t>XZETDZ</t>
  </si>
  <si>
    <t>金胜国际有限公司</t>
  </si>
  <si>
    <t>China Credit International Securities Co., Limited;Shenwan Hongyuan Securities (H.K.) Limited;Industrial Bank Co., Ltd. Hong Kong Branch;Hua Xia Bank Co., Limited Hong Kong Branch;BOCOM International Securities Limited;CNCB (Hong Kong) Capital Limited;China International Capital Corporation Hong Kong Securities Limited;China Galaxy International Securities (Hong Kong) Company Limited;CLSA Securities Limited</t>
  </si>
  <si>
    <t>Shenwan Hongyuan Securities (H.K.) Limited;China Galaxy International Securities (Hong Kong) Company Limited;CLSA Securities Limited;China Credit International Securities Co., Limited;Zhongtai International;Soochow Securities Company Limited;Industrial Bank Co., Ltd. Hong Kong Branch;Hua Xia Bank Co., Limited Hong Kong Branch;BOCOM International Securities Limited;CNCB (Hong Kong) Capital Limited;China International Capital Corporation Hong Kong Securities Limited;Huatai Financial Holdings (Hong Kong) Limited;China Securities (International) Corporate Finance Company Limited</t>
  </si>
  <si>
    <t>PLCONS 3.88 09/27/26</t>
  </si>
  <si>
    <t>江苏平陵建设投资集团有限公司 3.88 2026-09-27</t>
  </si>
  <si>
    <t>3.90%AREA</t>
  </si>
  <si>
    <t>3.86%(+/-2BPS,WPIR)</t>
  </si>
  <si>
    <t>中国邮政储蓄银行股份有限公司常州分行</t>
  </si>
  <si>
    <t>常州市</t>
  </si>
  <si>
    <t>Guosen Securities (HK) Capital Company Limited;Huatai Financial Holdings (Hong Kong) Limited</t>
  </si>
  <si>
    <t>In accordance with the Green Finance Framework</t>
  </si>
  <si>
    <t>PLCONS</t>
  </si>
  <si>
    <t>平陵集团海外有限公司</t>
  </si>
  <si>
    <t>3.88%</t>
  </si>
  <si>
    <t>控制权变更回售：100%</t>
  </si>
  <si>
    <t>Industrial Bank Co., Ltd. Hong Kong Branch;BOCOM International Securities Limited;CNCB (Hong Kong) Capital Limited;China CITIC Bank International Limited;CEB International Capital Corporation Limited;Shanghai Pudong Development Bank Hong Kong Branch;CLSA Securities Limited</t>
  </si>
  <si>
    <t>Industrial Bank Co., Ltd. Hong Kong Branch;BOCOM International Securities Limited;Guosen Securities (HK) Capital Company Limited;CNCB (Hong Kong) Capital Limited;China CITIC Bank International Limited;CEB International Capital Corporation Limited;Huatai Financial Holdings (Hong Kong) Limited;Shanghai Pudong Development Bank Hong Kong Branch;CLSA Securities Limited</t>
  </si>
  <si>
    <t>ZHAPIE 4.2 09/27/26</t>
  </si>
  <si>
    <t>漳州九龙江集团 4.2 2026-09-27</t>
  </si>
  <si>
    <t>4.70%AREA</t>
  </si>
  <si>
    <t>4.20%(#)</t>
  </si>
  <si>
    <t>福建省</t>
  </si>
  <si>
    <t>漳州市</t>
  </si>
  <si>
    <t>Industrial Bank Co., Ltd. Hong Kong Branch;Guotai Junan International</t>
  </si>
  <si>
    <t>医药商业</t>
  </si>
  <si>
    <t>ZHAPIE</t>
  </si>
  <si>
    <t>4.20%</t>
  </si>
  <si>
    <t>CMBC Capital Holdings;GF Securities (Hong Kong) Brokerage Limited;CLSA Securities Limited;SPDB International Capital Limited;China Industrial Securities International Brokerage Limited;Bank of Communications Co., Ltd. Hong Kong Branch;Hua Xia Bank Co., Limited Hong Kong Branch;Luso International Banking Ltd;China International Capital Corporation Hong Kong Securities Limited;CNCB (Hong Kong) Capital Limited;China CITIC Bank International Limited;China Zheshang Bank Co., Ltd. Hong Kong Branch;Huatai Financial Holdings (Hong Kong) Limited;Shanghai Pudong Development Bank Hong Kong Branch;China Securities (International) Corporate Finance Company Limited;CEB International Capital Corporation Limited</t>
  </si>
  <si>
    <t>CMBC Capital Holdings;CEB International Capital Corporation Limited;GF Securities (Hong Kong) Brokerage Limited;CLSA Securities Limited;SPDB International Capital Limited;China Industrial Securities International Brokerage Limited;Bank of Communications Co., Ltd. Hong Kong Branch;Hua Xia Bank Co., Limited Hong Kong Branch;Luso International Banking Ltd;Industrial Bank Co., Ltd. Hong Kong Branch;China International Capital Corporation Hong Kong Securities Limited;CNCB (Hong Kong) Capital Limited;China CITIC Bank International Limited;China Zheshang Bank Co., Ltd. Hong Kong Branch;Huatai Financial Holdings (Hong Kong) Limited;Shanghai Pudong Development Bank Hong Kong Branch;Guotai Junan International;China Securities (International) Corporate Finance Company Limited</t>
  </si>
  <si>
    <t>GSHIAV 3.9 09/27/26</t>
  </si>
  <si>
    <t>公航旅集团 3.9 2026-09-27</t>
  </si>
  <si>
    <t>--/BBB+</t>
  </si>
  <si>
    <t>--/负面</t>
  </si>
  <si>
    <t>4.1%区域</t>
  </si>
  <si>
    <t>4.0%(THE#)</t>
  </si>
  <si>
    <t>中国邮政储蓄银行股份有限公司兰州分行</t>
  </si>
  <si>
    <t>甘肃省</t>
  </si>
  <si>
    <t>兰州市</t>
  </si>
  <si>
    <t>Industrial Bank Co., Ltd. Hong Kong Branch;Hua Xia Bank Co., Limited Hong Kong Branch;TFI Securities and Futures Limited;China International Capital Corporation Hong Kong Securities Limited;ABCI Capital Limited;Haitong International Securities Company Limited</t>
  </si>
  <si>
    <t>GSHIAV</t>
  </si>
  <si>
    <t>4.0%</t>
  </si>
  <si>
    <t>CMBC Capital Holdings;CCB International Capital Limited;CEB International Capital Corporation Limited;Orient Securities (Hong Kong) Limited;CNCB (Hong Kong) Capital Limited;China Zheshang Bank Co., Ltd. Hong Kong Branch;China CITIC Bank International Limited;Shanghai Pudong Development Bank Hong Kong Branch;Guotai Junan International;The Bank of East Asia, Limited</t>
  </si>
  <si>
    <t>CMBC Capital Holdings;TFI Securities and Futures Limited;CCB International Capital Limited;CEB International Capital Corporation Limited;Orient Securities (Hong Kong) Limited;Industrial Bank Co., Ltd. Hong Kong Branch;Hua Xia Bank Co., Limited Hong Kong Branch;CNCB (Hong Kong) Capital Limited;China International Capital Corporation Hong Kong Securities Limited;China Zheshang Bank Co., Ltd. Hong Kong Branch;China CITIC Bank International Limited;Shanghai Pudong Development Bank Hong Kong Branch;ABCI Capital Limited;Guotai Junan International;The Bank of East Asia, Limited;Haitong International Securities Company Limited</t>
  </si>
  <si>
    <t>BCLMHK 3.3 10/20/26</t>
  </si>
  <si>
    <t>交银租赁香港 3.3 2026-10-20</t>
  </si>
  <si>
    <t>A3/A-</t>
  </si>
  <si>
    <t>维好协议</t>
  </si>
  <si>
    <t>上海市</t>
  </si>
  <si>
    <t>China CITIC Bank International Limited</t>
  </si>
  <si>
    <t>3.07Y</t>
  </si>
  <si>
    <t>国有相对控股企业</t>
  </si>
  <si>
    <t>BCLMHK</t>
  </si>
  <si>
    <t>BOCOM LEASING MANAGEMENT HONG KONG CO LTD</t>
  </si>
  <si>
    <t>JNSZFI 7.5 09/20/24</t>
  </si>
  <si>
    <t>济南市中财金投资集团 7.5 2024-09-20</t>
  </si>
  <si>
    <t>7.5%(THENUMBER)</t>
  </si>
  <si>
    <t>济南市</t>
  </si>
  <si>
    <t>市中区</t>
  </si>
  <si>
    <t>Zhongtai International;Shenwan Hongyuan Securities (H.K.) Limited;CNCB (Hong Kong) Capital Limited</t>
  </si>
  <si>
    <t>For general corporate purposes</t>
  </si>
  <si>
    <t>JNSZFI</t>
  </si>
  <si>
    <t>政金金融国际(BVI)有限公司</t>
  </si>
  <si>
    <t>Dongxing Securities (Hong Kong) Company Limited;China Securities (International) Corporate Finance Company Limited;Huatai Financial Holdings (Hong Kong) Limited</t>
  </si>
  <si>
    <t>Zhongtai International;Shenwan Hongyuan Securities (H.K.) Limited;CNCB (Hong Kong) Capital Limited;Huatai Financial Holdings (Hong Kong) Limited;Dongxing Securities (Hong Kong) Company Limited;China Securities (International) Corporate Finance Company Limited</t>
  </si>
  <si>
    <t>QDJZWD 5.5 09/26/26</t>
  </si>
  <si>
    <t>胶州发展 5.5 2026-09-26</t>
  </si>
  <si>
    <t>青岛市</t>
  </si>
  <si>
    <t>胶州市</t>
  </si>
  <si>
    <t>China Galaxy International Securities (Hong Kong) Company Limited;CMB International Capital Limited;Guotai Junan Securities (Hong Kong) Limited;China International Capital Corporation Hong Kong Securities Limited</t>
  </si>
  <si>
    <t>For construction of projects and replenishing working capital</t>
  </si>
  <si>
    <t>QDJZWD</t>
  </si>
  <si>
    <t>Zheshang International Financial Holdings Co., Limited;China Zheshang Bank Co., Ltd. Hong Kong Branch;SunRiver International Securities Group Limited;SPDB International Capital Limited;JA Securities Limited</t>
  </si>
  <si>
    <t>CMB International Capital Limited;Zheshang International Financial Holdings Co., Limited;China International Capital Corporation Hong Kong Securities Limited;China Zheshang Bank Co., Ltd. Hong Kong Branch;China Galaxy International Securities (Hong Kong) Company Limited;Guotai Junan Securities (Hong Kong) Limited;SunRiver International Securities Group Limited;SPDB International Capital Limited;JA Securities Limited</t>
  </si>
  <si>
    <t>TSHOLD 5.5 09/20/26</t>
  </si>
  <si>
    <t>唐山控股发展 5.5 2026-09-20</t>
  </si>
  <si>
    <t>5.50%区域</t>
  </si>
  <si>
    <t>河北省</t>
  </si>
  <si>
    <t>唐山市</t>
  </si>
  <si>
    <t>Huatai Financial Holdings (Hong Kong) Limited;ABC International Holdings Limited</t>
  </si>
  <si>
    <t>Repaying the offshore debt</t>
  </si>
  <si>
    <t>TSHOLD</t>
  </si>
  <si>
    <t>唐山国际投资(香港)有限公司</t>
  </si>
  <si>
    <t>5.50%</t>
  </si>
  <si>
    <t>China Galaxy International Securities (Hong Kong) Company Limited;SPDB International Capital Limited</t>
  </si>
  <si>
    <t>Huatai Financial Holdings (Hong Kong) Limited;China Galaxy International Securities (Hong Kong) Company Limited;SPDB International Capital Limited;ABC International Holdings Limited</t>
  </si>
  <si>
    <t>中国财政部</t>
  </si>
  <si>
    <t>甘肃公航旅</t>
  </si>
  <si>
    <t>漳州九龙江</t>
  </si>
  <si>
    <t>济南中财金投</t>
  </si>
  <si>
    <t>青岛胶州湾</t>
  </si>
  <si>
    <t>港交所;澳交所</t>
  </si>
  <si>
    <t>Sustainable</t>
  </si>
  <si>
    <t>4.7%a</t>
  </si>
  <si>
    <t>3%a</t>
  </si>
  <si>
    <t>MOX</t>
  </si>
  <si>
    <t>Green</t>
  </si>
  <si>
    <t>3.9%a</t>
  </si>
  <si>
    <t>3.86%(+/-2bps)</t>
  </si>
  <si>
    <t>2.75%a</t>
  </si>
  <si>
    <t>2.4%</t>
  </si>
  <si>
    <t>6.8%a</t>
  </si>
  <si>
    <t>6.5%</t>
  </si>
  <si>
    <t>4.1%a</t>
  </si>
  <si>
    <t>4%</t>
  </si>
  <si>
    <t>3.9%</t>
  </si>
  <si>
    <t>66</t>
  </si>
  <si>
    <t>65</t>
  </si>
  <si>
    <t>徐州经开国资</t>
  </si>
  <si>
    <t>江苏平陵建投</t>
  </si>
  <si>
    <t>9月18日一周Charts</t>
  </si>
  <si>
    <t>9月18日一周一级市场总结</t>
  </si>
  <si>
    <t>甘肃公航旅(邮储银行)</t>
  </si>
  <si>
    <t>绿色点心债</t>
  </si>
  <si>
    <t>可持续点心债</t>
  </si>
  <si>
    <t>江苏平陵建投(邮储银行)</t>
  </si>
  <si>
    <t>澳交所点心债</t>
  </si>
  <si>
    <t>XS2696959787</t>
  </si>
  <si>
    <t>进出口银行 6.034495173 2028-09-28</t>
  </si>
  <si>
    <t>XS2649030330</t>
  </si>
  <si>
    <t>西安航天高技术产业发展集团有限公司</t>
  </si>
  <si>
    <t>230922XS2649030330</t>
  </si>
  <si>
    <t>周二，青岛胶州湾定价人民币8亿元3年期点心债，价格5.5%</t>
  </si>
  <si>
    <t>周二，济南中财金投定价6000万美元364天高级债，价格7.5%</t>
  </si>
  <si>
    <t>周三，漳州九龙江（--/--/BBB-）定价人民币21.3亿元3年期可持续点心债，价格4.2%，较IPG收窄50个基点，交通银行担任账簿管理人</t>
  </si>
  <si>
    <t>中国财政部定价双批次离岸债券：
周三，中国财政部（A1/A+/A+）定价人民币10亿元5年期澳交所点心债，价格2.68%，较IPG收窄32个基点，交通银行担任全球协调人
周三，中国财政部（A1/A+/A+）定价人民币40亿元2年期澳交所点心债，价格2.4%，较IPG收窄35个基点，交通银行担任全球协调人</t>
  </si>
  <si>
    <t>周三，江苏平陵建投定价人民币7.3亿元3年期绿色点心债，邮储银行提供备证，价格3.88%，较IPG收窄6个基点，交银国际担任账簿管理人</t>
  </si>
  <si>
    <t>周三，徐州经开国资定价3.9亿美元3年期高级债，价格6.5%，较IPG收窄30个基点，交银国际担任账簿管理人</t>
  </si>
  <si>
    <t>230922XS2696959787</t>
  </si>
  <si>
    <t>XS2697478035</t>
  </si>
  <si>
    <t>230921XS2697478035</t>
  </si>
  <si>
    <t>EXIMCH 6.034495173 09/28/28</t>
  </si>
  <si>
    <t>SOFRIX +70.000</t>
  </si>
  <si>
    <t>XIANST 7.1 10/16/26</t>
  </si>
  <si>
    <t>西安航天高技术产业 7.1 2026-10-16</t>
  </si>
  <si>
    <t>7.1%(THENUMBER)</t>
  </si>
  <si>
    <t>长安银行股份有限公司</t>
  </si>
  <si>
    <t>西安市</t>
  </si>
  <si>
    <t>陕西航天经开区</t>
  </si>
  <si>
    <t>Fosun Hani Securities</t>
  </si>
  <si>
    <t>3.06Y</t>
  </si>
  <si>
    <t>For repayment of existing offshore indebtedness</t>
  </si>
  <si>
    <t>XIANST</t>
  </si>
  <si>
    <t>7.1%</t>
  </si>
  <si>
    <t>Industrial Bank Co., Ltd. Hong Kong Branch;Initial Capital Securities Limited;CNCB (Hong Kong) Capital Limited;China Zheshang Bank Co., Ltd. Hong Kong Branch;Guoyuan Securities Brokerage (Hong Kong) Limited;China Galaxy International Securities (Hong Kong) Company Limited;Wilson Securities Limited</t>
  </si>
  <si>
    <t>Industrial Bank Co., Ltd. Hong Kong Branch;Initial Capital Securities Limited;CNCB (Hong Kong) Capital Limited;China Zheshang Bank Co., Ltd. Hong Kong Branch;Guoyuan Securities Brokerage (Hong Kong) Limited;China Galaxy International Securities (Hong Kong) Company Limited;Wilson Securities Limited;Fosun Hani Securities</t>
  </si>
  <si>
    <t>2.0Y</t>
  </si>
  <si>
    <t>3.0Y</t>
  </si>
  <si>
    <t>361D</t>
  </si>
  <si>
    <t>2.98Y</t>
  </si>
  <si>
    <t>西安航天高技术</t>
  </si>
  <si>
    <t>XI'AN AEROSPACE HIGH-TECH INDU</t>
  </si>
  <si>
    <t>7.1</t>
  </si>
  <si>
    <t>1366541D CH</t>
  </si>
  <si>
    <t>3.78</t>
  </si>
  <si>
    <t>EC</t>
  </si>
  <si>
    <t>CPI 同比</t>
  </si>
  <si>
    <t>AUG F</t>
  </si>
  <si>
    <t>ECCPEMUY Index</t>
  </si>
  <si>
    <t>八月</t>
  </si>
  <si>
    <t>欧元区八月</t>
  </si>
  <si>
    <t>欧元区八月CPI 同比</t>
  </si>
  <si>
    <t>HCOB欧元区制造业PMI</t>
  </si>
  <si>
    <t>SEP P</t>
  </si>
  <si>
    <t>MPMIEZMA Index</t>
  </si>
  <si>
    <t>九月</t>
  </si>
  <si>
    <t>九月HCOB欧元区制造业PMI</t>
  </si>
  <si>
    <t>CPI 月环比</t>
  </si>
  <si>
    <t>ECCPEMUM Index</t>
  </si>
  <si>
    <t>欧元区八月CPI 月环比</t>
  </si>
  <si>
    <t>HCOB欧元区综合PMI</t>
  </si>
  <si>
    <t>MPMIEZCA Index</t>
  </si>
  <si>
    <t>九月HCOB欧元区综合PMI</t>
  </si>
  <si>
    <t>核心CPI同比</t>
  </si>
  <si>
    <t>CPEXEMUY Index</t>
  </si>
  <si>
    <t>欧元区八月核心CPI同比</t>
  </si>
  <si>
    <t>HCOB欧元区服务业PMI</t>
  </si>
  <si>
    <t>MPMIEZSA Index</t>
  </si>
  <si>
    <t>九月HCOB欧元区服务业PMI</t>
  </si>
  <si>
    <t>消费者信心指数</t>
  </si>
  <si>
    <t>EUCCEMU Index</t>
  </si>
  <si>
    <t>欧元区九月</t>
  </si>
  <si>
    <t>欧元区九月消费者信心指数</t>
  </si>
  <si>
    <t>US</t>
  </si>
  <si>
    <t>周度首次申领失业救济人数</t>
  </si>
  <si>
    <t>9/1/2016</t>
  </si>
  <si>
    <t>225k</t>
  </si>
  <si>
    <t>201k</t>
  </si>
  <si>
    <t>220k</t>
  </si>
  <si>
    <t>221k</t>
  </si>
  <si>
    <t>INJCJC Index</t>
  </si>
  <si>
    <t>美国</t>
  </si>
  <si>
    <t>美国周度首次申领失业救济人数</t>
  </si>
  <si>
    <t>FOMC利率决策(上限)</t>
  </si>
  <si>
    <t>9/1/2020</t>
  </si>
  <si>
    <t>FDTR Index</t>
  </si>
  <si>
    <t>美国FOMC利率决策(上限)</t>
  </si>
  <si>
    <t>周度MBA抵押贷款申请指数环比</t>
  </si>
  <si>
    <t>9/1/2015</t>
  </si>
  <si>
    <t>MBAVCHNG Index</t>
  </si>
  <si>
    <t>美国周度MBA抵押贷款申请指数环比</t>
  </si>
  <si>
    <t>标普全球-美国制造业PMI</t>
  </si>
  <si>
    <t>MPMIUSMA Index</t>
  </si>
  <si>
    <t>九月标普全球-美国制造业PMI</t>
  </si>
  <si>
    <t>新宅开工指数</t>
  </si>
  <si>
    <t>AUG</t>
  </si>
  <si>
    <t>1439k</t>
  </si>
  <si>
    <t>1283k</t>
  </si>
  <si>
    <t>1452k</t>
  </si>
  <si>
    <t>1447k</t>
  </si>
  <si>
    <t>NHSPSTOT Index</t>
  </si>
  <si>
    <t>美国八月</t>
  </si>
  <si>
    <t>美国八月新宅开工指数</t>
  </si>
  <si>
    <t>二手房销量年率</t>
  </si>
  <si>
    <t>4.10m</t>
  </si>
  <si>
    <t>4.04m</t>
  </si>
  <si>
    <t>4.07m</t>
  </si>
  <si>
    <t>ETSLTOTL Index</t>
  </si>
  <si>
    <t>美国八月二手房销量年率</t>
  </si>
  <si>
    <t>世界大型企业研究会领先指数环比</t>
  </si>
  <si>
    <t>LEI CHNG Index</t>
  </si>
  <si>
    <t>美国八月世界大型企业研究会领先指数环比</t>
  </si>
  <si>
    <t>CH</t>
  </si>
  <si>
    <t>制造业采购经理指数</t>
  </si>
  <si>
    <t>SEP</t>
  </si>
  <si>
    <t>CPMINDX Index</t>
  </si>
  <si>
    <t>中国九月</t>
  </si>
  <si>
    <t>中国九月制造业采购经理指数</t>
  </si>
  <si>
    <t>非制造业采购经理指数</t>
  </si>
  <si>
    <t>CPMINMAN Index</t>
  </si>
  <si>
    <t>中国九月非制造业采购经理指数</t>
  </si>
  <si>
    <t>欧元区九月CPI 月环比</t>
  </si>
  <si>
    <t>M3货币供应同比</t>
  </si>
  <si>
    <t>ECMAM3YY Index</t>
  </si>
  <si>
    <t>欧元区八月M3货币供应同比</t>
  </si>
  <si>
    <t>CPI预计同比</t>
  </si>
  <si>
    <t>ECCPEST Index</t>
  </si>
  <si>
    <t>欧元区九月CPI预计同比</t>
  </si>
  <si>
    <t>欧元区九月核心CPI同比</t>
  </si>
  <si>
    <t>SEP F</t>
  </si>
  <si>
    <t>9/1/2023</t>
  </si>
  <si>
    <t>215k</t>
  </si>
  <si>
    <t>GDP环比折合年率</t>
  </si>
  <si>
    <t>2Q T</t>
  </si>
  <si>
    <t>GDP CQOQ Index</t>
  </si>
  <si>
    <t>二季度</t>
  </si>
  <si>
    <t>美国二季度</t>
  </si>
  <si>
    <t>美国二季度GDP环比折合年率</t>
  </si>
  <si>
    <t>密歇根大学消费者信心指数</t>
  </si>
  <si>
    <t>CONSSENT Index</t>
  </si>
  <si>
    <t>美国九月</t>
  </si>
  <si>
    <t>美国九月密歇根大学消费者信心指数</t>
  </si>
  <si>
    <t>耐用品订单环比</t>
  </si>
  <si>
    <t>AUG P</t>
  </si>
  <si>
    <t>DGNOCHNG Index</t>
  </si>
  <si>
    <t>美国八月耐用品订单环比</t>
  </si>
  <si>
    <t>世界大型企业研究会消费者信心指数</t>
  </si>
  <si>
    <t>CONCCONF Index</t>
  </si>
  <si>
    <t>美国九月世界大型企业研究会消费者信心指数</t>
  </si>
  <si>
    <t>9/1/2022</t>
  </si>
  <si>
    <t>新建住宅销量年率</t>
  </si>
  <si>
    <t>699k</t>
  </si>
  <si>
    <t>714k</t>
  </si>
  <si>
    <t>NHSLTOT Index</t>
  </si>
  <si>
    <t>美国八月新建住宅销量年率</t>
  </si>
  <si>
    <t>个人收入环比</t>
  </si>
  <si>
    <t>PITLCHNG Index</t>
  </si>
  <si>
    <t>美国八月个人收入环比</t>
  </si>
  <si>
    <t>个人支出环比</t>
  </si>
  <si>
    <t>PCE CRCH Index</t>
  </si>
  <si>
    <t>美国八月个人支出环比</t>
  </si>
  <si>
    <t>MNI芝加哥PMI</t>
  </si>
  <si>
    <t>CHPMINDX Index</t>
  </si>
  <si>
    <t>美国九月MNI芝加哥PMI</t>
  </si>
  <si>
    <t>--/--/A+</t>
  </si>
  <si>
    <t>陕西沣西发展</t>
  </si>
  <si>
    <t>唐山控股</t>
  </si>
  <si>
    <t>西安航天高技术(长安银行)</t>
  </si>
  <si>
    <t>陕西沣西发展(西安银行)</t>
  </si>
  <si>
    <t>周一，唐山控股定价人民币3.85亿元3年期点心债，价格5.5%</t>
  </si>
  <si>
    <t>周四，陕西沣西发展定价人民币10.65亿元3年期点心债，西安银行提供备证，价格4.95%</t>
  </si>
  <si>
    <t>周五，西安航天高技术定价1亿美元3年期信用增强债券，长安银行提供备证，价格7.1%</t>
  </si>
  <si>
    <t>周三，甘肃公航旅（--/BBB+/BBB+）定价人民币18.6亿元3年期绿色点心债（--/--/A+），邮储银行提供备证，价格3.9%，较IPG收窄10个基点</t>
  </si>
  <si>
    <t>ESG indicator</t>
  </si>
  <si>
    <t>23/9/26 6:00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</si>
</sst>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yyyy/m/d;@"/>
    <numFmt numFmtId="165" formatCode="0.000%"/>
    <numFmt numFmtId="166" formatCode="[$-F400]h:mm:ss\ AM/PM"/>
    <numFmt numFmtId="167" formatCode="m/d;@"/>
    <numFmt numFmtId="168" formatCode="0.0%"/>
    <numFmt numFmtId="169" formatCode="[$-409]yy/mm/dd\ h:mm\ AM/PM;@"/>
    <numFmt numFmtId="170" formatCode="yyyy\-mm\-dd;@"/>
  </numFmts>
  <fonts count="62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b/>
      <u/>
      <sz val="9"/>
      <color theme="9" tint="-0.249977111117893"/>
      <name val="Segoe UI"/>
      <family val="2"/>
    </font>
    <font>
      <i/>
      <u/>
      <sz val="18"/>
      <color rgb="FFC69E62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theme="9"/>
      <name val="Microsoft JhengHei UI"/>
      <family val="2"/>
      <scheme val="minor"/>
    </font>
    <font>
      <sz val="36"/>
      <color rgb="FF234473"/>
      <name val="Microsoft JhengHei UI"/>
      <family val="2"/>
      <scheme val="minor"/>
    </font>
    <font>
      <sz val="26"/>
      <color theme="9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sz val="36"/>
      <color theme="8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sz val="14"/>
      <color rgb="FF888AA6"/>
      <name val="Microsoft JhengHei UI"/>
      <family val="2"/>
      <scheme val="minor"/>
    </font>
    <font>
      <sz val="12"/>
      <color rgb="FF888AA6"/>
      <name val="Microsoft JhengHei UI"/>
      <family val="2"/>
      <scheme val="minor"/>
    </font>
    <font>
      <b/>
      <sz val="14"/>
      <color rgb="FFC2B59B"/>
      <name val="Microsoft JhengHei UI"/>
      <family val="2"/>
      <scheme val="minor"/>
    </font>
    <font>
      <sz val="28"/>
      <color rgb="FF0070C0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12"/>
      <color indexed="81"/>
      <name val="Tahoma"/>
      <family val="2"/>
    </font>
    <font>
      <sz val="9"/>
      <color indexed="81"/>
      <name val="Tahoma"/>
      <family val="2"/>
    </font>
    <font>
      <sz val="9"/>
      <name val="Microsoft JhengHei UI"/>
      <family val="3"/>
      <charset val="136"/>
      <scheme val="minor"/>
    </font>
    <font>
      <sz val="11"/>
      <color theme="1"/>
      <name val="Microsoft YaHei"/>
      <family val="2"/>
      <charset val="134"/>
    </font>
    <font>
      <sz val="18"/>
      <color theme="9"/>
      <name val="Microsoft JhengHei UI"/>
      <family val="2"/>
      <scheme val="minor"/>
    </font>
    <font>
      <sz val="14"/>
      <color theme="9"/>
      <name val="Microsoft JhengHei UI"/>
      <family val="2"/>
      <scheme val="minor"/>
    </font>
    <font>
      <sz val="20"/>
      <color rgb="FFC69E62"/>
      <name val="Microsoft JhengHei UI"/>
      <family val="2"/>
      <scheme val="minor"/>
    </font>
    <font>
      <sz val="20"/>
      <color rgb="FF2A7968"/>
      <name val="Microsoft JhengHei UI"/>
      <family val="2"/>
      <scheme val="minor"/>
    </font>
    <font>
      <sz val="20"/>
      <color rgb="FF888AA6"/>
      <name val="Microsoft JhengHei UI"/>
      <family val="2"/>
      <scheme val="minor"/>
    </font>
    <font>
      <sz val="16"/>
      <color rgb="FF0071BA"/>
      <name val="Microsoft JhengHei UI"/>
      <family val="2"/>
      <scheme val="minor"/>
    </font>
    <font>
      <sz val="12"/>
      <color theme="0"/>
      <name val="Microsoft JhengHei UI"/>
      <family val="2"/>
      <scheme val="minor"/>
    </font>
    <font>
      <sz val="16"/>
      <color rgb="FF234473"/>
      <name val="Microsoft JhengHei UI"/>
      <family val="2"/>
      <scheme val="minor"/>
    </font>
    <font>
      <sz val="16"/>
      <color rgb="FF2A7968"/>
      <name val="Microsoft JhengHei UI"/>
      <family val="2"/>
      <scheme val="minor"/>
    </font>
    <font>
      <sz val="16"/>
      <color rgb="FF888AA6"/>
      <name val="Microsoft JhengHei UI"/>
      <family val="2"/>
      <scheme val="minor"/>
    </font>
    <font>
      <sz val="28"/>
      <color rgb="FF234473"/>
      <name val="Microsoft JhengHei UI"/>
      <family val="2"/>
      <scheme val="minor"/>
    </font>
    <font>
      <sz val="16"/>
      <color theme="4" tint="-0.499984740745262"/>
      <name val="Microsoft JhengHei UI"/>
      <family val="2"/>
      <scheme val="minor"/>
    </font>
    <font>
      <sz val="11"/>
      <color theme="0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sz val="22"/>
      <color theme="1"/>
      <name val="Microsoft JhengHei UI"/>
      <family val="2"/>
      <scheme val="minor"/>
    </font>
    <font>
      <sz val="36"/>
      <color theme="1"/>
      <name val="Microsoft JhengHei UI"/>
      <family val="2"/>
      <scheme val="minor"/>
    </font>
    <font>
      <sz val="11"/>
      <color theme="9" tint="-0.249977111117893"/>
      <name val="Microsoft JhengHei UI"/>
      <family val="2"/>
      <scheme val="minor"/>
    </font>
    <font>
      <b/>
      <sz val="9"/>
      <color indexed="81"/>
      <name val="Tahoma"/>
      <family val="2"/>
    </font>
    <font>
      <sz val="36"/>
      <color theme="0"/>
      <name val="Microsoft JhengHei UI"/>
      <family val="2"/>
      <scheme val="minor"/>
    </font>
    <font>
      <sz val="16"/>
      <color rgb="FF008080"/>
      <name val="Microsoft JhengHei UI"/>
      <family val="2"/>
    </font>
    <font>
      <sz val="24"/>
      <color rgb="FF888AA6"/>
      <name val="Microsoft JhengHei UI"/>
      <family val="2"/>
      <scheme val="minor"/>
    </font>
    <font>
      <sz val="12"/>
      <color theme="1"/>
      <name val="Microsoft JhengHei U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C69E62"/>
        <bgColor indexed="64"/>
      </patternFill>
    </fill>
  </fills>
  <borders count="1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234473"/>
      </left>
      <right style="double">
        <color rgb="FF234473"/>
      </right>
      <top/>
      <bottom style="thin">
        <color rgb="FF234473"/>
      </bottom>
      <diagonal/>
    </border>
    <border>
      <left style="double">
        <color rgb="FF234473"/>
      </left>
      <right style="thin">
        <color rgb="FF234473"/>
      </right>
      <top style="thin">
        <color rgb="FF234473"/>
      </top>
      <bottom style="thin">
        <color rgb="FF234473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1" tint="0.59996337778862885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  <border>
      <left style="hair">
        <color theme="1" tint="0.39994506668294322"/>
      </left>
      <right/>
      <top style="hair">
        <color theme="1" tint="0.39994506668294322"/>
      </top>
      <bottom style="hair">
        <color theme="1" tint="0.39994506668294322"/>
      </bottom>
      <diagonal/>
    </border>
    <border>
      <left/>
      <right/>
      <top style="hair">
        <color theme="1" tint="0.39994506668294322"/>
      </top>
      <bottom style="hair">
        <color theme="1" tint="0.39994506668294322"/>
      </bottom>
      <diagonal/>
    </border>
    <border>
      <left/>
      <right/>
      <top style="hair">
        <color theme="1" tint="0.39994506668294322"/>
      </top>
      <bottom style="hair">
        <color theme="1" tint="0.39991454817346722"/>
      </bottom>
      <diagonal/>
    </border>
  </borders>
  <cellStyleXfs count="9">
    <xf numFmtId="0" fontId="0" fillId="0" borderId="0"/>
    <xf numFmtId="0" fontId="4" fillId="2" borderId="1" applyNumberFormat="0" applyFont="0" applyAlignment="0" applyProtection="0"/>
    <xf numFmtId="0" fontId="8" fillId="10" borderId="0">
      <alignment horizontal="center" vertical="center" wrapText="1"/>
    </xf>
    <xf numFmtId="164" fontId="8" fillId="10" borderId="0">
      <alignment horizontal="center" vertical="center"/>
    </xf>
    <xf numFmtId="165" fontId="8" fillId="10" borderId="0">
      <alignment horizontal="center" vertical="center"/>
    </xf>
    <xf numFmtId="0" fontId="7" fillId="11" borderId="0">
      <alignment horizontal="center" vertical="center" wrapText="1"/>
    </xf>
    <xf numFmtId="0" fontId="21" fillId="0" borderId="0"/>
    <xf numFmtId="0" fontId="25" fillId="14" borderId="5" applyNumberFormat="0" applyAlignment="0" applyProtection="0"/>
    <xf numFmtId="0" fontId="28" fillId="14" borderId="6" applyNumberFormat="0" applyAlignment="0" applyProtection="0"/>
  </cellStyleXfs>
  <cellXfs count="161">
    <xf numFmtId="0" fontId="0" fillId="0" borderId="0" xfId="0"/>
    <xf numFmtId="0" fontId="0" fillId="3" borderId="0" xfId="0" applyFill="1"/>
    <xf numFmtId="0" fontId="5" fillId="3" borderId="0" xfId="0" applyFont="1" applyFill="1" applyAlignment="1">
      <alignment vertical="center"/>
    </xf>
    <xf numFmtId="0" fontId="6" fillId="3" borderId="0" xfId="0" applyFont="1" applyFill="1"/>
    <xf numFmtId="0" fontId="9" fillId="3" borderId="0" xfId="0" applyFont="1" applyFill="1" applyAlignment="1">
      <alignment horizontal="left" vertical="center"/>
    </xf>
    <xf numFmtId="0" fontId="10" fillId="3" borderId="0" xfId="0" applyFont="1" applyFill="1" applyAlignment="1">
      <alignment vertical="center"/>
    </xf>
    <xf numFmtId="0" fontId="11" fillId="3" borderId="0" xfId="0" applyFont="1" applyFill="1"/>
    <xf numFmtId="0" fontId="12" fillId="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10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14" fillId="0" borderId="0" xfId="0" applyFont="1"/>
    <xf numFmtId="0" fontId="15" fillId="3" borderId="0" xfId="0" applyFont="1" applyFill="1" applyAlignment="1">
      <alignment vertical="center"/>
    </xf>
    <xf numFmtId="14" fontId="0" fillId="3" borderId="0" xfId="0" applyNumberFormat="1" applyFill="1"/>
    <xf numFmtId="0" fontId="19" fillId="3" borderId="0" xfId="0" applyFont="1" applyFill="1" applyAlignment="1">
      <alignment vertical="center"/>
    </xf>
    <xf numFmtId="167" fontId="20" fillId="6" borderId="3" xfId="0" applyNumberFormat="1" applyFont="1" applyFill="1" applyBorder="1" applyAlignment="1" applyProtection="1">
      <alignment horizontal="center" vertical="center"/>
      <protection locked="0"/>
    </xf>
    <xf numFmtId="0" fontId="18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/>
    <xf numFmtId="0" fontId="12" fillId="3" borderId="0" xfId="0" applyFont="1" applyFill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4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19" fillId="3" borderId="0" xfId="0" applyFont="1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22" fillId="3" borderId="0" xfId="0" applyFont="1" applyFill="1" applyAlignment="1">
      <alignment horizontal="left" vertical="center"/>
    </xf>
    <xf numFmtId="166" fontId="0" fillId="3" borderId="0" xfId="0" applyNumberFormat="1" applyFill="1" applyProtection="1">
      <protection locked="0"/>
    </xf>
    <xf numFmtId="167" fontId="0" fillId="3" borderId="0" xfId="0" applyNumberFormat="1" applyFill="1" applyAlignment="1">
      <alignment horizontal="left"/>
    </xf>
    <xf numFmtId="14" fontId="0" fillId="3" borderId="0" xfId="0" applyNumberFormat="1" applyFill="1" applyProtection="1">
      <protection locked="0"/>
    </xf>
    <xf numFmtId="164" fontId="0" fillId="4" borderId="0" xfId="0" applyNumberFormat="1" applyFill="1" applyAlignment="1">
      <alignment horizontal="left"/>
    </xf>
    <xf numFmtId="164" fontId="0" fillId="13" borderId="0" xfId="0" applyNumberFormat="1" applyFill="1" applyAlignment="1">
      <alignment horizontal="left"/>
    </xf>
    <xf numFmtId="0" fontId="25" fillId="14" borderId="5" xfId="7" applyAlignment="1">
      <alignment horizontal="center" vertical="center"/>
    </xf>
    <xf numFmtId="164" fontId="0" fillId="3" borderId="4" xfId="0" applyNumberFormat="1" applyFill="1" applyBorder="1" applyAlignment="1">
      <alignment vertical="center"/>
    </xf>
    <xf numFmtId="0" fontId="26" fillId="3" borderId="0" xfId="0" applyFont="1" applyFill="1" applyAlignment="1">
      <alignment vertical="center"/>
    </xf>
    <xf numFmtId="0" fontId="27" fillId="3" borderId="0" xfId="0" applyFont="1" applyFill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22" fillId="3" borderId="0" xfId="0" applyFont="1" applyFill="1" applyAlignment="1">
      <alignment vertical="center"/>
    </xf>
    <xf numFmtId="0" fontId="29" fillId="3" borderId="0" xfId="0" applyFont="1" applyFill="1" applyAlignment="1">
      <alignment vertical="center"/>
    </xf>
    <xf numFmtId="0" fontId="32" fillId="4" borderId="2" xfId="0" applyFont="1" applyFill="1" applyBorder="1" applyAlignment="1">
      <alignment horizontal="center" vertical="center" wrapText="1"/>
    </xf>
    <xf numFmtId="0" fontId="30" fillId="3" borderId="7" xfId="0" applyFont="1" applyFill="1" applyBorder="1" applyAlignment="1">
      <alignment vertical="center"/>
    </xf>
    <xf numFmtId="0" fontId="33" fillId="3" borderId="0" xfId="0" applyFont="1" applyFill="1" applyAlignment="1">
      <alignment horizontal="center" vertical="center"/>
    </xf>
    <xf numFmtId="0" fontId="33" fillId="3" borderId="7" xfId="0" applyFont="1" applyFill="1" applyBorder="1" applyAlignment="1">
      <alignment horizontal="center" vertical="center"/>
    </xf>
    <xf numFmtId="0" fontId="23" fillId="3" borderId="0" xfId="0" applyFont="1" applyFill="1" applyProtection="1">
      <protection locked="0"/>
    </xf>
    <xf numFmtId="0" fontId="11" fillId="3" borderId="0" xfId="0" applyFont="1" applyFill="1" applyProtection="1"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16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0" fontId="34" fillId="3" borderId="0" xfId="0" applyFont="1" applyFill="1"/>
    <xf numFmtId="0" fontId="35" fillId="14" borderId="8" xfId="8" applyFont="1" applyBorder="1" applyAlignment="1" applyProtection="1">
      <alignment horizontal="center" vertical="center"/>
      <protection locked="0"/>
    </xf>
    <xf numFmtId="0" fontId="24" fillId="3" borderId="0" xfId="0" applyFont="1" applyFill="1" applyAlignment="1" applyProtection="1">
      <alignment wrapText="1"/>
      <protection locked="0"/>
    </xf>
    <xf numFmtId="0" fontId="24" fillId="3" borderId="0" xfId="0" applyFont="1" applyFill="1" applyAlignment="1" applyProtection="1">
      <alignment vertical="center" wrapText="1"/>
      <protection locked="0"/>
    </xf>
    <xf numFmtId="0" fontId="35" fillId="14" borderId="8" xfId="8" applyFont="1" applyBorder="1" applyAlignment="1" applyProtection="1">
      <alignment horizontal="center" vertical="center" wrapText="1"/>
      <protection locked="0"/>
    </xf>
    <xf numFmtId="0" fontId="30" fillId="3" borderId="0" xfId="0" applyFont="1" applyFill="1" applyAlignment="1">
      <alignment vertical="center"/>
    </xf>
    <xf numFmtId="0" fontId="30" fillId="3" borderId="0" xfId="0" applyFont="1" applyFill="1" applyAlignment="1">
      <alignment horizontal="left" vertical="center"/>
    </xf>
    <xf numFmtId="0" fontId="31" fillId="3" borderId="7" xfId="0" applyFont="1" applyFill="1" applyBorder="1" applyAlignment="1">
      <alignment horizontal="right"/>
    </xf>
    <xf numFmtId="0" fontId="31" fillId="3" borderId="0" xfId="0" applyFont="1" applyFill="1" applyAlignment="1">
      <alignment horizontal="right" vertical="center" wrapText="1"/>
    </xf>
    <xf numFmtId="0" fontId="31" fillId="3" borderId="7" xfId="0" applyFont="1" applyFill="1" applyBorder="1" applyAlignment="1">
      <alignment horizontal="right" vertical="center" wrapText="1"/>
    </xf>
    <xf numFmtId="0" fontId="40" fillId="3" borderId="0" xfId="0" applyFont="1" applyFill="1" applyAlignment="1" applyProtection="1">
      <alignment horizontal="center" wrapText="1"/>
      <protection locked="0"/>
    </xf>
    <xf numFmtId="0" fontId="40" fillId="3" borderId="0" xfId="0" applyFont="1" applyFill="1" applyAlignment="1" applyProtection="1">
      <alignment horizontal="center" vertical="center"/>
      <protection locked="0"/>
    </xf>
    <xf numFmtId="0" fontId="42" fillId="3" borderId="0" xfId="0" applyFont="1" applyFill="1"/>
    <xf numFmtId="0" fontId="43" fillId="3" borderId="0" xfId="0" applyFont="1" applyFill="1"/>
    <xf numFmtId="0" fontId="44" fillId="3" borderId="0" xfId="0" applyFont="1" applyFill="1"/>
    <xf numFmtId="164" fontId="35" fillId="14" borderId="8" xfId="8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5" fillId="3" borderId="0" xfId="0" applyFont="1" applyFill="1" applyAlignment="1">
      <alignment horizontal="center"/>
    </xf>
    <xf numFmtId="164" fontId="0" fillId="0" borderId="0" xfId="0" applyNumberFormat="1"/>
    <xf numFmtId="167" fontId="18" fillId="6" borderId="3" xfId="0" applyNumberFormat="1" applyFont="1" applyFill="1" applyBorder="1" applyAlignment="1" applyProtection="1">
      <alignment horizontal="center" vertical="center"/>
      <protection locked="0"/>
    </xf>
    <xf numFmtId="164" fontId="0" fillId="3" borderId="0" xfId="0" applyNumberFormat="1" applyFill="1"/>
    <xf numFmtId="164" fontId="44" fillId="3" borderId="0" xfId="0" applyNumberFormat="1" applyFont="1" applyFill="1"/>
    <xf numFmtId="164" fontId="45" fillId="3" borderId="0" xfId="0" applyNumberFormat="1" applyFont="1" applyFill="1" applyAlignment="1">
      <alignment horizontal="center"/>
    </xf>
    <xf numFmtId="164" fontId="43" fillId="3" borderId="0" xfId="0" applyNumberFormat="1" applyFont="1" applyFill="1"/>
    <xf numFmtId="0" fontId="46" fillId="5" borderId="2" xfId="0" applyFont="1" applyFill="1" applyBorder="1" applyAlignment="1">
      <alignment horizontal="center" vertical="center" wrapText="1"/>
    </xf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 applyProtection="1">
      <protection locked="0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51" fillId="3" borderId="0" xfId="0" applyFont="1" applyFill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center" vertical="center" wrapText="1"/>
    </xf>
    <xf numFmtId="0" fontId="0" fillId="3" borderId="0" xfId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quotePrefix="1" applyFill="1" applyAlignment="1">
      <alignment vertical="center"/>
    </xf>
    <xf numFmtId="0" fontId="52" fillId="8" borderId="0" xfId="0" applyFont="1" applyFill="1"/>
    <xf numFmtId="0" fontId="1" fillId="0" borderId="0" xfId="0" quotePrefix="1" applyFont="1" applyAlignment="1">
      <alignment horizontal="center" vertical="center" wrapText="1"/>
    </xf>
    <xf numFmtId="0" fontId="0" fillId="0" borderId="0" xfId="8" applyFont="1" applyFill="1" applyBorder="1" applyAlignment="1" applyProtection="1">
      <alignment horizontal="center" vertical="center"/>
      <protection locked="0"/>
    </xf>
    <xf numFmtId="0" fontId="30" fillId="12" borderId="0" xfId="0" applyFont="1" applyFill="1" applyAlignment="1">
      <alignment vertical="center"/>
    </xf>
    <xf numFmtId="164" fontId="30" fillId="12" borderId="0" xfId="0" applyNumberFormat="1" applyFont="1" applyFill="1" applyAlignment="1">
      <alignment vertical="center"/>
    </xf>
    <xf numFmtId="164" fontId="30" fillId="12" borderId="0" xfId="8" applyNumberFormat="1" applyFont="1" applyFill="1" applyBorder="1" applyAlignment="1" applyProtection="1">
      <alignment horizontal="center" vertical="center"/>
      <protection locked="0"/>
    </xf>
    <xf numFmtId="165" fontId="30" fillId="12" borderId="0" xfId="0" applyNumberFormat="1" applyFont="1" applyFill="1" applyAlignment="1">
      <alignment vertical="center"/>
    </xf>
    <xf numFmtId="0" fontId="30" fillId="12" borderId="0" xfId="0" applyFont="1" applyFill="1" applyAlignment="1">
      <alignment vertical="center" wrapText="1"/>
    </xf>
    <xf numFmtId="0" fontId="0" fillId="3" borderId="0" xfId="0" applyFill="1" applyAlignment="1">
      <alignment horizontal="center"/>
    </xf>
    <xf numFmtId="10" fontId="0" fillId="3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0" fontId="54" fillId="3" borderId="0" xfId="0" applyFont="1" applyFill="1" applyAlignment="1">
      <alignment horizontal="center" vertical="center"/>
    </xf>
    <xf numFmtId="0" fontId="55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0" fillId="3" borderId="10" xfId="0" applyFill="1" applyBorder="1"/>
    <xf numFmtId="0" fontId="0" fillId="3" borderId="11" xfId="0" applyFill="1" applyBorder="1"/>
    <xf numFmtId="0" fontId="0" fillId="0" borderId="0" xfId="0" applyAlignment="1" applyProtection="1">
      <alignment wrapText="1"/>
      <protection locked="0"/>
    </xf>
    <xf numFmtId="164" fontId="0" fillId="0" borderId="0" xfId="0" applyNumberFormat="1" applyProtection="1">
      <protection locked="0"/>
    </xf>
    <xf numFmtId="0" fontId="56" fillId="15" borderId="0" xfId="0" applyFon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/>
      <protection locked="0"/>
    </xf>
    <xf numFmtId="0" fontId="0" fillId="3" borderId="0" xfId="0" quotePrefix="1" applyFill="1" applyAlignment="1" applyProtection="1">
      <alignment horizontal="center"/>
      <protection locked="0"/>
    </xf>
    <xf numFmtId="0" fontId="39" fillId="3" borderId="0" xfId="0" quotePrefix="1" applyFont="1" applyFill="1" applyAlignment="1" applyProtection="1">
      <alignment horizontal="center"/>
      <protection locked="0"/>
    </xf>
    <xf numFmtId="164" fontId="0" fillId="3" borderId="0" xfId="0" quotePrefix="1" applyNumberForma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 vertical="center"/>
      <protection locked="0"/>
    </xf>
    <xf numFmtId="10" fontId="0" fillId="3" borderId="0" xfId="0" quotePrefix="1" applyNumberFormat="1" applyFill="1" applyAlignment="1" applyProtection="1">
      <alignment horizontal="center" vertical="center"/>
      <protection locked="0"/>
    </xf>
    <xf numFmtId="10" fontId="0" fillId="3" borderId="0" xfId="0" applyNumberFormat="1" applyFill="1" applyAlignment="1" applyProtection="1">
      <alignment horizontal="center" vertical="center"/>
      <protection locked="0"/>
    </xf>
    <xf numFmtId="169" fontId="0" fillId="0" borderId="0" xfId="0" applyNumberFormat="1"/>
    <xf numFmtId="170" fontId="0" fillId="0" borderId="0" xfId="0" applyNumberFormat="1"/>
    <xf numFmtId="164" fontId="0" fillId="3" borderId="0" xfId="0" applyNumberFormat="1" applyFill="1" applyProtection="1">
      <protection locked="0"/>
    </xf>
    <xf numFmtId="0" fontId="0" fillId="3" borderId="0" xfId="0" applyFill="1" applyAlignment="1" applyProtection="1">
      <alignment wrapText="1"/>
      <protection locked="0"/>
    </xf>
    <xf numFmtId="0" fontId="0" fillId="3" borderId="4" xfId="0" applyFill="1" applyBorder="1" applyAlignment="1">
      <alignment wrapText="1"/>
    </xf>
    <xf numFmtId="0" fontId="10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>
      <alignment horizontal="left" vertical="center"/>
    </xf>
    <xf numFmtId="0" fontId="58" fillId="16" borderId="0" xfId="0" applyFont="1" applyFill="1" applyAlignment="1">
      <alignment horizontal="right" vertical="center"/>
    </xf>
    <xf numFmtId="0" fontId="19" fillId="3" borderId="0" xfId="0" applyFont="1" applyFill="1" applyAlignment="1">
      <alignment horizontal="left" vertical="center"/>
    </xf>
    <xf numFmtId="0" fontId="58" fillId="5" borderId="0" xfId="0" applyFont="1" applyFill="1" applyAlignment="1">
      <alignment horizontal="center" vertical="center"/>
    </xf>
    <xf numFmtId="0" fontId="0" fillId="0" borderId="0" xfId="0" quotePrefix="1" applyProtection="1">
      <protection locked="0"/>
    </xf>
    <xf numFmtId="0" fontId="60" fillId="3" borderId="0" xfId="0" applyFont="1" applyFill="1" applyAlignment="1">
      <alignment horizontal="center" vertical="center"/>
    </xf>
    <xf numFmtId="167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Protection="1">
      <protection locked="0"/>
    </xf>
    <xf numFmtId="0" fontId="61" fillId="3" borderId="0" xfId="0" applyFont="1" applyFill="1" applyAlignment="1">
      <alignment wrapText="1"/>
    </xf>
    <xf numFmtId="0" fontId="61" fillId="3" borderId="0" xfId="0" applyFont="1" applyFill="1" applyAlignment="1">
      <alignment vertical="top"/>
    </xf>
    <xf numFmtId="0" fontId="0" fillId="0" borderId="0" xfId="0" applyFont="1" applyFill="1"/>
    <xf numFmtId="14" fontId="0" fillId="0" borderId="0" xfId="0" applyNumberFormat="1" applyFont="1" applyFill="1"/>
    <xf numFmtId="0" fontId="0" fillId="0" borderId="0" xfId="0" applyFill="1" applyAlignment="1">
      <alignment wrapText="1"/>
    </xf>
    <xf numFmtId="0" fontId="0" fillId="0" borderId="0" xfId="0" applyNumberFormat="1"/>
    <xf numFmtId="0" fontId="53" fillId="0" borderId="0" xfId="0" applyNumberFormat="1" applyFont="1" applyProtection="1">
      <protection locked="0"/>
    </xf>
    <xf numFmtId="0" fontId="0" fillId="3" borderId="0" xfId="0" applyNumberFormat="1" applyFill="1" applyProtection="1">
      <protection locked="0"/>
    </xf>
    <xf numFmtId="0" fontId="0" fillId="0" borderId="0" xfId="0" applyFont="1" applyFill="1" applyAlignment="1">
      <alignment wrapText="1"/>
    </xf>
    <xf numFmtId="14" fontId="0" fillId="0" borderId="0" xfId="0" applyNumberFormat="1" applyFont="1" applyFill="1" applyAlignment="1">
      <alignment wrapText="1"/>
    </xf>
    <xf numFmtId="0" fontId="0" fillId="0" borderId="0" xfId="0" applyNumberFormat="1" applyFont="1" applyFill="1" applyAlignment="1">
      <alignment wrapText="1"/>
    </xf>
    <xf numFmtId="0" fontId="0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  <xf numFmtId="164" fontId="0" fillId="0" borderId="0" xfId="0" applyNumberFormat="1" applyFont="1" applyFill="1" applyAlignment="1">
      <alignment vertical="center"/>
    </xf>
    <xf numFmtId="0" fontId="0" fillId="0" borderId="0" xfId="0" applyNumberFormat="1" applyFont="1" applyFill="1"/>
    <xf numFmtId="14" fontId="0" fillId="0" borderId="0" xfId="0" applyNumberFormat="1" applyFont="1" applyFill="1" applyAlignment="1">
      <alignment vertical="center"/>
    </xf>
    <xf numFmtId="0" fontId="0" fillId="0" borderId="0" xfId="0" applyNumberFormat="1" applyProtection="1">
      <protection locked="0"/>
    </xf>
  </cellXfs>
  <cellStyles count="9">
    <cellStyle name="Calculation" xfId="7" builtinId="22"/>
    <cellStyle name="For Input" xfId="2" xr:uid="{00000000-0005-0000-0000-000001000000}"/>
    <cellStyle name="Formula" xfId="5" xr:uid="{00000000-0005-0000-0000-000002000000}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488"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69" formatCode="[$-409]yy/mm/dd\ h:mm\ AM/P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E1E1E9"/>
        </patternFill>
      </fill>
    </dxf>
    <dxf>
      <fill>
        <patternFill>
          <bgColor rgb="FFE1E1E9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4EBE0"/>
        </patternFill>
      </fill>
    </dxf>
    <dxf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yyyy/m/d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66" formatCode="[$-F400]h:mm:ss\ AM/PM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9" formatCode="m/d/yyyy"/>
      <fill>
        <patternFill patternType="solid">
          <fgColor indexed="64"/>
          <bgColor theme="0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[$-F400]h:mm:ss\ AM/PM"/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7" formatCode="m/d;@"/>
      <alignment horizontal="left" vertical="bottom" textRotation="0" wrapText="0" indent="0" justifyLastLine="0" shrinkToFit="0" readingOrder="0"/>
      <protection locked="0" hidden="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  <name val="Microsoft JhengHei UI"/>
        <family val="2"/>
        <scheme val="minor"/>
      </font>
      <fill>
        <patternFill patternType="solid">
          <fgColor indexed="64"/>
          <bgColor rgb="FF2A7968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numFmt numFmtId="0" formatCode="General"/>
    </dxf>
    <dxf>
      <numFmt numFmtId="0" formatCode="General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numFmt numFmtId="164" formatCode="yyyy/m/d;@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26"/>
        <color theme="9"/>
        <name val="Microsoft JhengHei UI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 U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88AA6"/>
        <name val="Microsoft JhengHei UI"/>
        <family val="2"/>
        <scheme val="minor"/>
      </font>
      <fill>
        <patternFill patternType="solid">
          <fgColor indexed="64"/>
          <bgColor rgb="FFE1E1E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rgb="FFE1E1E9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</dxfs>
  <tableStyles count="14" defaultTableStyle="Qry Load" defaultPivotStyle="PivotStyleLight16">
    <tableStyle name="Blank" pivot="0" count="1" xr9:uid="{00000000-0011-0000-FFFF-FFFF00000000}">
      <tableStyleElement type="wholeTable" dxfId="487"/>
    </tableStyle>
    <tableStyle name="ECON" pivot="0" count="2" xr9:uid="{00000000-0011-0000-FFFF-FFFF01000000}">
      <tableStyleElement type="wholeTable" dxfId="486"/>
      <tableStyleElement type="headerRow" dxfId="485"/>
    </tableStyle>
    <tableStyle name="Named_dd" pivot="0" count="2" xr9:uid="{00000000-0011-0000-FFFF-FFFF02000000}">
      <tableStyleElement type="wholeTable" dxfId="484"/>
      <tableStyleElement type="headerRow" dxfId="483"/>
    </tableStyle>
    <tableStyle name="Qry Load" pivot="0" count="3" xr9:uid="{00000000-0011-0000-FFFF-FFFF05000000}">
      <tableStyleElement type="wholeTable" dxfId="482"/>
      <tableStyleElement type="headerRow" dxfId="481"/>
      <tableStyleElement type="totalRow" dxfId="480"/>
    </tableStyle>
    <tableStyle name="Qry Load 2" pivot="0" count="3" xr9:uid="{00000000-0011-0000-FFFF-FFFF06000000}">
      <tableStyleElement type="wholeTable" dxfId="479"/>
      <tableStyleElement type="headerRow" dxfId="478"/>
      <tableStyleElement type="totalRow" dxfId="477"/>
    </tableStyle>
    <tableStyle name="Qry Load 3" pivot="0" count="3" xr9:uid="{00000000-0011-0000-FFFF-FFFF07000000}">
      <tableStyleElement type="wholeTable" dxfId="476"/>
      <tableStyleElement type="headerRow" dxfId="475"/>
      <tableStyleElement type="totalRow" dxfId="474"/>
    </tableStyle>
    <tableStyle name="Qry Load 3 2" pivot="0" count="3" xr9:uid="{39E27C42-0E7B-4337-87F7-A7AC3E9F7517}">
      <tableStyleElement type="wholeTable" dxfId="473"/>
      <tableStyleElement type="headerRow" dxfId="472"/>
      <tableStyleElement type="totalRow" dxfId="471"/>
    </tableStyle>
    <tableStyle name="Qry Load 4" pivot="0" count="3" xr9:uid="{00000000-0011-0000-FFFF-FFFF08000000}">
      <tableStyleElement type="wholeTable" dxfId="470"/>
      <tableStyleElement type="headerRow" dxfId="469"/>
      <tableStyleElement type="totalRow" dxfId="468"/>
    </tableStyle>
    <tableStyle name="Qry Load 5" pivot="0" count="3" xr9:uid="{00000000-0011-0000-FFFF-FFFF09000000}">
      <tableStyleElement type="wholeTable" dxfId="467"/>
      <tableStyleElement type="headerRow" dxfId="466"/>
      <tableStyleElement type="totalRow" dxfId="465"/>
    </tableStyle>
    <tableStyle name="Qry Load 6" pivot="0" count="3" xr9:uid="{8540037C-F48A-45D6-B06D-3E416FD50039}">
      <tableStyleElement type="wholeTable" dxfId="464"/>
      <tableStyleElement type="headerRow" dxfId="463"/>
      <tableStyleElement type="totalRow" dxfId="462"/>
    </tableStyle>
    <tableStyle name="Qry Source" pivot="0" count="2" xr9:uid="{00000000-0011-0000-FFFF-FFFF0A000000}">
      <tableStyleElement type="wholeTable" dxfId="461"/>
      <tableStyleElement type="headerRow" dxfId="460"/>
    </tableStyle>
    <tableStyle name="Qry Source 2" pivot="0" count="2" xr9:uid="{00000000-0011-0000-FFFF-FFFF0B000000}">
      <tableStyleElement type="wholeTable" dxfId="459"/>
      <tableStyleElement type="headerRow" dxfId="458"/>
    </tableStyle>
    <tableStyle name="review" pivot="0" count="3" xr9:uid="{00000000-0011-0000-FFFF-FFFF0C000000}">
      <tableStyleElement type="wholeTable" dxfId="457"/>
      <tableStyleElement type="headerRow" dxfId="456"/>
      <tableStyleElement type="totalRow" dxfId="455"/>
    </tableStyle>
    <tableStyle name="review 2" pivot="0" count="3" xr9:uid="{7E48D373-8BD3-405C-AC0B-582D578C48DF}">
      <tableStyleElement type="wholeTable" dxfId="454"/>
      <tableStyleElement type="headerRow" dxfId="453"/>
      <tableStyleElement type="totalRow" dxfId="452"/>
    </tableStyle>
  </tableStyles>
  <colors>
    <mruColors>
      <color rgb="FF379E4E"/>
      <color rgb="FF888AA6"/>
      <color rgb="FF234473"/>
      <color rgb="FFC69E62"/>
      <color rgb="FF2A7968"/>
      <color rgb="FFE1E1E9"/>
      <color rgb="FFF4EBE0"/>
      <color rgb="FFEDF9F4"/>
      <color rgb="FF0071BA"/>
      <color rgb="FFC2B5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22972</xdr:colOff>
      <xdr:row>0</xdr:row>
      <xdr:rowOff>89646</xdr:rowOff>
    </xdr:from>
    <xdr:to>
      <xdr:col>5</xdr:col>
      <xdr:colOff>123265</xdr:colOff>
      <xdr:row>2</xdr:row>
      <xdr:rowOff>44824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743325" y="89646"/>
          <a:ext cx="3730999" cy="1636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u="sng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Weekly Steps </a:t>
          </a:r>
          <a:r>
            <a:rPr lang="en-US" sz="16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⚡ </a:t>
          </a:r>
          <a:endParaRPr lang="en-US" sz="1600" u="sng">
            <a:solidFill>
              <a:srgbClr val="888AA6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 1: </a:t>
          </a:r>
          <a:r>
            <a:rPr lang="en-US" sz="160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Set</a:t>
          </a:r>
          <a:r>
            <a:rPr lang="en-US" altLang="zh-CN" sz="1600">
              <a:solidFill>
                <a:srgbClr val="888AA6"/>
              </a:solidFill>
              <a:effectLst/>
            </a:rPr>
            <a:t>【1】</a:t>
          </a:r>
          <a:r>
            <a:rPr lang="en-US" altLang="zh-CN" sz="1600" baseline="0">
              <a:solidFill>
                <a:srgbClr val="888AA6"/>
              </a:solidFill>
              <a:effectLst/>
            </a:rPr>
            <a:t> Paramether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 2: </a:t>
          </a:r>
          <a:r>
            <a:rPr lang="en-US" sz="1600">
              <a:solidFill>
                <a:srgbClr val="888AA6"/>
              </a:solidFill>
              <a:effectLst/>
            </a:rPr>
            <a:t>Refresh</a:t>
          </a:r>
          <a:r>
            <a:rPr lang="en-US" altLang="zh-CN" sz="1600">
              <a:solidFill>
                <a:srgbClr val="888AA6"/>
              </a:solidFill>
              <a:effectLst/>
            </a:rPr>
            <a:t>【2】Folder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 3: </a:t>
          </a:r>
          <a:r>
            <a:rPr lang="en-US" sz="1600">
              <a:solidFill>
                <a:srgbClr val="888AA6"/>
              </a:solidFill>
              <a:effectLst/>
            </a:rPr>
            <a:t>A</a:t>
          </a:r>
          <a:r>
            <a:rPr lang="en-US" altLang="zh-CN" sz="1600">
              <a:solidFill>
                <a:srgbClr val="888AA6"/>
              </a:solidFill>
              <a:effectLst/>
            </a:rPr>
            <a:t>utocopy &amp; Review</a:t>
          </a:r>
          <a:endParaRPr lang="en-US" sz="1600">
            <a:solidFill>
              <a:srgbClr val="888AA6"/>
            </a:solidFill>
            <a:effectLst/>
          </a:endParaRPr>
        </a:p>
      </xdr:txBody>
    </xdr:sp>
    <xdr:clientData fPrintsWithSheet="0"/>
  </xdr:twoCellAnchor>
  <xdr:twoCellAnchor editAs="oneCell">
    <xdr:from>
      <xdr:col>3</xdr:col>
      <xdr:colOff>11206</xdr:colOff>
      <xdr:row>2</xdr:row>
      <xdr:rowOff>134472</xdr:rowOff>
    </xdr:from>
    <xdr:to>
      <xdr:col>5</xdr:col>
      <xdr:colOff>112060</xdr:colOff>
      <xdr:row>7</xdr:row>
      <xdr:rowOff>156883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731559" y="1815354"/>
          <a:ext cx="3731560" cy="14791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本页</a:t>
          </a:r>
          <a:r>
            <a:rPr 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Refresh Folder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【2】Load Download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200" i="1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一般少于</a:t>
          </a:r>
          <a:r>
            <a:rPr lang="en-US" altLang="zh-CN" sz="1200" i="1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3min</a:t>
          </a:r>
          <a:r>
            <a:rPr lang="zh-CN" altLang="en-US" sz="1200" i="1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，超时请</a:t>
          </a:r>
          <a:r>
            <a:rPr lang="en-US" altLang="zh-CN" sz="1200" i="1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Cancel</a:t>
          </a:r>
          <a:r>
            <a:rPr lang="zh-CN" altLang="en-US" sz="1200" i="1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重来</a:t>
          </a:r>
          <a:endParaRPr lang="en-US" sz="1200" i="1">
            <a:solidFill>
              <a:srgbClr val="379E4E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300296</xdr:rowOff>
    </xdr:from>
    <xdr:to>
      <xdr:col>1</xdr:col>
      <xdr:colOff>739744</xdr:colOff>
      <xdr:row>3</xdr:row>
      <xdr:rowOff>693996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1555355"/>
          <a:ext cx="0" cy="1021229"/>
          <a:chOff x="4143376" y="1933575"/>
          <a:chExt cx="1457324" cy="71437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4143376" y="1933575"/>
            <a:ext cx="1457324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8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headers_review</a:t>
            </a: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72012" y="1933575"/>
            <a:ext cx="304800" cy="3048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5</xdr:col>
      <xdr:colOff>7118</xdr:colOff>
      <xdr:row>3</xdr:row>
      <xdr:rowOff>0</xdr:rowOff>
    </xdr:from>
    <xdr:to>
      <xdr:col>6</xdr:col>
      <xdr:colOff>270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937206" y="1882588"/>
          <a:ext cx="1203388" cy="711201"/>
          <a:chOff x="4143374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Issuer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800100</xdr:colOff>
          <xdr:row>2</xdr:row>
          <xdr:rowOff>619125</xdr:rowOff>
        </xdr:from>
        <xdr:to>
          <xdr:col>7</xdr:col>
          <xdr:colOff>1952626</xdr:colOff>
          <xdr:row>3</xdr:row>
          <xdr:rowOff>723900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Autocopy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xdr:oneCellAnchor>
    <xdr:from>
      <xdr:col>44</xdr:col>
      <xdr:colOff>178325</xdr:colOff>
      <xdr:row>3</xdr:row>
      <xdr:rowOff>18934</xdr:rowOff>
    </xdr:from>
    <xdr:ext cx="1460174" cy="695252"/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9470501" y="1901522"/>
          <a:ext cx="1460174" cy="695252"/>
          <a:chOff x="4143375" y="1933575"/>
          <a:chExt cx="1466021" cy="722475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4143375" y="1933575"/>
            <a:ext cx="1466021" cy="722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7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  <a:endParaRPr lang="en-US" sz="1000">
              <a:solidFill>
                <a:schemeClr val="tx1"/>
              </a:solidFill>
            </a:endParaRPr>
          </a:p>
        </xdr:txBody>
      </xdr:sp>
      <xdr:pic>
        <xdr:nvPicPr>
          <xdr:cNvPr id="19" name="Graphic 18" descr="Repeat outline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22315" y="1933575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19</xdr:col>
      <xdr:colOff>18324</xdr:colOff>
      <xdr:row>3</xdr:row>
      <xdr:rowOff>0</xdr:rowOff>
    </xdr:from>
    <xdr:to>
      <xdr:col>19</xdr:col>
      <xdr:colOff>1221712</xdr:colOff>
      <xdr:row>3</xdr:row>
      <xdr:rowOff>711201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8646853" y="1882588"/>
          <a:ext cx="1203388" cy="711201"/>
          <a:chOff x="4143374" y="1933574"/>
          <a:chExt cx="1209675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16</xdr:col>
      <xdr:colOff>22411</xdr:colOff>
      <xdr:row>0</xdr:row>
      <xdr:rowOff>56030</xdr:rowOff>
    </xdr:from>
    <xdr:to>
      <xdr:col>19</xdr:col>
      <xdr:colOff>2005854</xdr:colOff>
      <xdr:row>2</xdr:row>
      <xdr:rowOff>515470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6140823" y="56030"/>
          <a:ext cx="3406590" cy="1714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本页请</a:t>
          </a:r>
          <a:r>
            <a:rPr 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Refresh Folder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【2】Load Download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145676</xdr:colOff>
      <xdr:row>0</xdr:row>
      <xdr:rowOff>119191</xdr:rowOff>
    </xdr:from>
    <xdr:to>
      <xdr:col>38</xdr:col>
      <xdr:colOff>387069</xdr:colOff>
      <xdr:row>10</xdr:row>
      <xdr:rowOff>266541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37259558" y="119191"/>
          <a:ext cx="1589911" cy="4024585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oneCellAnchor>
    <xdr:from>
      <xdr:col>38</xdr:col>
      <xdr:colOff>669471</xdr:colOff>
      <xdr:row>1</xdr:row>
      <xdr:rowOff>19050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5092821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57</xdr:col>
      <xdr:colOff>0</xdr:colOff>
      <xdr:row>1</xdr:row>
      <xdr:rowOff>19050</xdr:rowOff>
    </xdr:from>
    <xdr:ext cx="255270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51635025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44</xdr:col>
      <xdr:colOff>829236</xdr:colOff>
      <xdr:row>1</xdr:row>
      <xdr:rowOff>400049</xdr:rowOff>
    </xdr:from>
    <xdr:ext cx="7026089" cy="48317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42884912" y="1027578"/>
          <a:ext cx="7026089" cy="483177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REVIEW ⬇️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twoCellAnchor editAs="oneCell">
    <xdr:from>
      <xdr:col>3</xdr:col>
      <xdr:colOff>321</xdr:colOff>
      <xdr:row>1</xdr:row>
      <xdr:rowOff>24493</xdr:rowOff>
    </xdr:from>
    <xdr:to>
      <xdr:col>4</xdr:col>
      <xdr:colOff>546623</xdr:colOff>
      <xdr:row>1</xdr:row>
      <xdr:rowOff>917517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534096" y="653143"/>
          <a:ext cx="3619179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 -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Capscreen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zh-CN" sz="16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信用主体及评级列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twoCellAnchor editAs="oneCell">
    <xdr:from>
      <xdr:col>8</xdr:col>
      <xdr:colOff>33614</xdr:colOff>
      <xdr:row>1</xdr:row>
      <xdr:rowOff>22409</xdr:rowOff>
    </xdr:from>
    <xdr:to>
      <xdr:col>10</xdr:col>
      <xdr:colOff>1664184</xdr:colOff>
      <xdr:row>1</xdr:row>
      <xdr:rowOff>918521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905996" y="593909"/>
          <a:ext cx="3216091" cy="8961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hlinkClick xmlns:r="http://schemas.openxmlformats.org/officeDocument/2006/relationships" r:id=""/>
            </a:rPr>
            <a:t>Covalent Capital (covacap.com)</a:t>
          </a:r>
          <a:endParaRPr lang="en-US" sz="1100"/>
        </a:p>
        <a:p>
          <a:r>
            <a:rPr lang="en-US" altLang="zh-CN" sz="1100"/>
            <a:t>【</a:t>
          </a:r>
          <a:r>
            <a:rPr lang="en-US" sz="1100"/>
            <a:t>B</a:t>
          </a:r>
          <a:r>
            <a:rPr lang="en-US" altLang="zh-CN" sz="1100"/>
            <a:t>anks】Bank of Communications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【P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eriod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】Last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7 Days</a:t>
          </a:r>
          <a:endParaRPr lang="en-US" sz="1100">
            <a:effectLst/>
          </a:endParaRPr>
        </a:p>
        <a:p>
          <a:endParaRPr lang="en-US" sz="1100"/>
        </a:p>
      </xdr:txBody>
    </xdr:sp>
    <xdr:clientData fPrintsWithSheet="0"/>
  </xdr:twoCellAnchor>
  <xdr:twoCellAnchor editAs="oneCell">
    <xdr:from>
      <xdr:col>61</xdr:col>
      <xdr:colOff>514351</xdr:colOff>
      <xdr:row>0</xdr:row>
      <xdr:rowOff>0</xdr:rowOff>
    </xdr:from>
    <xdr:to>
      <xdr:col>66</xdr:col>
      <xdr:colOff>133349</xdr:colOff>
      <xdr:row>9</xdr:row>
      <xdr:rowOff>131109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60409792" y="0"/>
          <a:ext cx="4527175" cy="3739403"/>
          <a:chOff x="58083451" y="0"/>
          <a:chExt cx="4543424" cy="3752850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58083451" y="0"/>
            <a:ext cx="4543424" cy="37528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36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✅完成审阅后：</a:t>
            </a:r>
            <a:endParaRPr lang="en-US" sz="36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3600" b="1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Ctrl+Alt+F5</a:t>
            </a:r>
          </a:p>
        </xdr:txBody>
      </xdr: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531125" y="1800225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2</xdr:row>
      <xdr:rowOff>9525</xdr:rowOff>
    </xdr:from>
    <xdr:ext cx="1062610" cy="714376"/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47625" y="1712819"/>
          <a:ext cx="1062610" cy="714376"/>
          <a:chOff x="4143376" y="1933574"/>
          <a:chExt cx="1068457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/>
        </xdr:nvSpPr>
        <xdr:spPr>
          <a:xfrm>
            <a:off x="4143376" y="1933575"/>
            <a:ext cx="1068457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charts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  <xdr:oneCellAnchor>
    <xdr:from>
      <xdr:col>15</xdr:col>
      <xdr:colOff>156880</xdr:colOff>
      <xdr:row>2</xdr:row>
      <xdr:rowOff>20732</xdr:rowOff>
    </xdr:from>
    <xdr:ext cx="1378325" cy="752474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4556439" y="1724026"/>
          <a:ext cx="1378325" cy="752474"/>
          <a:chOff x="4143376" y="1933575"/>
          <a:chExt cx="1385909" cy="75247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4143376" y="1933575"/>
            <a:ext cx="1385909" cy="75247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Graph Weeklydeal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42241" y="1978398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10</xdr:col>
      <xdr:colOff>470647</xdr:colOff>
      <xdr:row>0</xdr:row>
      <xdr:rowOff>33619</xdr:rowOff>
    </xdr:from>
    <xdr:to>
      <xdr:col>14</xdr:col>
      <xdr:colOff>0</xdr:colOff>
      <xdr:row>5</xdr:row>
      <xdr:rowOff>100853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10354235" y="33619"/>
          <a:ext cx="3283324" cy="2342028"/>
          <a:chOff x="9121588" y="33619"/>
          <a:chExt cx="3552265" cy="2342028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9121588" y="33619"/>
            <a:ext cx="3552265" cy="234202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</a:t>
            </a:r>
            <a:r>
              <a:rPr lang="en-US" altLang="zh-CN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trl +Alt + F5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Available</a:t>
            </a:r>
          </a:p>
        </xdr:txBody>
      </xdr:sp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12941" y="1075766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13607</xdr:colOff>
      <xdr:row>0</xdr:row>
      <xdr:rowOff>231321</xdr:rowOff>
    </xdr:from>
    <xdr:to>
      <xdr:col>10</xdr:col>
      <xdr:colOff>296677</xdr:colOff>
      <xdr:row>7</xdr:row>
      <xdr:rowOff>300921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5593786" y="231321"/>
          <a:ext cx="3331070" cy="2328386"/>
          <a:chOff x="9121588" y="33619"/>
          <a:chExt cx="3552265" cy="23420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 txBox="1"/>
        </xdr:nvSpPr>
        <xdr:spPr>
          <a:xfrm>
            <a:off x="9121588" y="33619"/>
            <a:ext cx="3552265" cy="234202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</a:t>
            </a:r>
            <a:r>
              <a:rPr lang="en-US" altLang="zh-CN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trl +Alt + F5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Available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12941" y="1075766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433316</xdr:colOff>
      <xdr:row>0</xdr:row>
      <xdr:rowOff>75032</xdr:rowOff>
    </xdr:from>
    <xdr:to>
      <xdr:col>3</xdr:col>
      <xdr:colOff>1763908</xdr:colOff>
      <xdr:row>1</xdr:row>
      <xdr:rowOff>510887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312339" y="75032"/>
          <a:ext cx="4329184" cy="1206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anually Refresh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u="sng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AFTER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revising Tab REVISED_LIST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Combine multi-tranches issuances into one point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Confirm with Fion for IG Eligibility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accent6"/>
            </a:solidFill>
            <a:effectLst/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4</xdr:col>
      <xdr:colOff>9307087</xdr:colOff>
      <xdr:row>0</xdr:row>
      <xdr:rowOff>57221</xdr:rowOff>
    </xdr:from>
    <xdr:to>
      <xdr:col>5</xdr:col>
      <xdr:colOff>1687973</xdr:colOff>
      <xdr:row>2</xdr:row>
      <xdr:rowOff>516906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6" b="38729"/>
        <a:stretch/>
      </xdr:blipFill>
      <xdr:spPr>
        <a:xfrm>
          <a:off x="15940969" y="57221"/>
          <a:ext cx="1726592" cy="2006097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755277</xdr:colOff>
      <xdr:row>1</xdr:row>
      <xdr:rowOff>81802</xdr:rowOff>
    </xdr:from>
    <xdr:to>
      <xdr:col>12</xdr:col>
      <xdr:colOff>15250</xdr:colOff>
      <xdr:row>5</xdr:row>
      <xdr:rowOff>156881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1806" y="429184"/>
          <a:ext cx="2879473" cy="1419785"/>
        </a:xfrm>
        <a:prstGeom prst="rect">
          <a:avLst/>
        </a:prstGeom>
        <a:ln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62865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25" xr16:uid="{F6F408C1-5F5C-4646-8990-EA8FE33BBFF2}" autoFormatId="16" applyNumberFormats="0" applyBorderFormats="0" applyFontFormats="0" applyPatternFormats="0" applyAlignmentFormats="0" applyWidthHeightFormats="0">
  <queryTableRefresh nextId="3">
    <queryTableFields count="2">
      <queryTableField id="1" name="中资属性" tableColumnId="1"/>
      <queryTableField id="2" name="Sort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6" xr16:uid="{C4096DD0-AB84-4A53-B115-89BF556605B4}" autoFormatId="16" applyNumberFormats="0" applyBorderFormats="0" applyFontFormats="0" applyPatternFormats="0" applyAlignmentFormats="0" applyWidthHeightFormats="0">
  <queryTableRefresh nextId="3">
    <queryTableFields count="2">
      <queryTableField id="1" name="BISL_ROLE" tableColumnId="1"/>
      <queryTableField id="2" name="SortValu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11" xr16:uid="{6C9BC67F-1F4E-4BE4-B12F-A8FD3BE1E55D}" autoFormatId="16" applyNumberFormats="0" applyBorderFormats="0" applyFontFormats="0" applyPatternFormats="0" applyAlignmentFormats="0" applyWidthHeightFormats="0">
  <queryTableRefresh nextId="3">
    <queryTableFields count="2">
      <queryTableField id="1" name="Updator" tableColumnId="1"/>
      <queryTableField id="2" name="Nam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130" xr16:uid="{02401511-D249-4D8A-ADA9-4B5B67AFD70C}" autoFormatId="16" applyNumberFormats="0" applyBorderFormats="0" applyFontFormats="0" applyPatternFormats="0" applyAlignmentFormats="0" applyWidthHeightFormats="0">
  <queryTableRefresh nextId="3">
    <queryTableFields count="2">
      <queryTableField id="1" name="新规角色" tableColumnId="1"/>
      <queryTableField id="2" name="SortValu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134" xr16:uid="{51E4E338-3CAB-48E9-BD5F-A6370EA50F3B}" autoFormatId="16" applyNumberFormats="0" applyBorderFormats="0" applyFontFormats="0" applyPatternFormats="0" applyAlignmentFormats="0" applyWidthHeightFormats="0">
  <queryTableRefresh nextId="2">
    <queryTableFields count="1">
      <queryTableField id="1" name="结构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31" xr16:uid="{A6361912-58D1-4981-A964-B119518F56C6}" autoFormatId="16" applyNumberFormats="0" applyBorderFormats="0" applyFontFormats="0" applyPatternFormats="0" applyAlignmentFormats="0" applyWidthHeightFormats="0">
  <queryTableRefresh nextId="3">
    <queryTableFields count="2">
      <queryTableField id="1" name="板块" tableColumnId="1"/>
      <queryTableField id="2" name="Sort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35" xr16:uid="{881B56DD-C639-469C-AE85-795E9045CC88}" autoFormatId="16" applyNumberFormats="0" applyBorderFormats="0" applyFontFormats="0" applyPatternFormats="0" applyAlignmentFormats="0" applyWidthHeightFormats="0">
  <queryTableRefresh nextId="3">
    <queryTableFields count="2">
      <queryTableField id="1" name="货币" tableColumnId="1"/>
      <queryTableField id="2" name="SortValu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124" xr16:uid="{1E9EFAFB-7E86-4740-B98B-6C2189720EBA}" autoFormatId="16" applyNumberFormats="0" applyBorderFormats="0" applyFontFormats="0" applyPatternFormats="0" applyAlignmentFormats="0" applyWidthHeightFormats="0">
  <queryTableRefresh nextId="3">
    <queryTableFields count="2">
      <queryTableField id="1" name="上市分类" tableColumnId="1"/>
      <queryTableField id="2" name="SortValue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9" xr16:uid="{FE569CA9-74BD-4077-94C4-9DED6F655009}" autoFormatId="16" applyNumberFormats="0" applyBorderFormats="0" applyFontFormats="0" applyPatternFormats="0" applyAlignmentFormats="0" applyWidthHeightFormats="0">
  <queryTableRefresh nextId="2">
    <queryTableFields count="1">
      <queryTableField id="1" name="备证行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28" xr16:uid="{697F403D-4E37-4391-87A2-EF905D37BED0}" autoFormatId="16" applyNumberFormats="0" applyBorderFormats="0" applyFontFormats="0" applyPatternFormats="0" applyAlignmentFormats="0" applyWidthHeightFormats="0">
  <queryTableRefresh nextId="2">
    <queryTableFields count="1">
      <queryTableField id="1" name="地区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0" xr16:uid="{ED8B8622-C6D7-4B20-9F27-3BFDE56DBEDA}" autoFormatId="16" applyNumberFormats="0" applyBorderFormats="0" applyFontFormats="0" applyPatternFormats="0" applyAlignmentFormats="0" applyWidthHeightFormats="0">
  <queryTableRefresh nextId="7">
    <queryTableFields count="2">
      <queryTableField id="5" name="DMI字段" tableColumnId="1"/>
      <queryTableField id="6" name="状态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3" xr16:uid="{40794D8B-4411-4F94-9C32-C58F29E6A954}" autoFormatId="16" applyNumberFormats="0" applyBorderFormats="0" applyFontFormats="0" applyPatternFormats="0" applyAlignmentFormats="0" applyWidthHeightFormats="0">
  <queryTableRefresh nextId="2">
    <queryTableFields count="1">
      <queryTableField id="1" name="ColNow_mCurated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4" xr16:uid="{00000000-0016-0000-0100-000000000000}" autoFormatId="16" applyNumberFormats="0" applyBorderFormats="0" applyFontFormats="0" applyPatternFormats="0" applyAlignmentFormats="0" applyWidthHeightFormats="0">
  <queryTableRefresh nextId="620">
    <queryTableFields count="91">
      <queryTableField id="107" name="Index" tableColumnId="67"/>
      <queryTableField id="1" name="信用主体" tableColumnId="1"/>
      <queryTableField id="9" name="ISIN" tableColumnId="9"/>
      <queryTableField id="12" name="定价日" tableColumnId="12"/>
      <queryTableField id="13" name="穆迪/标普" tableColumnId="13"/>
      <queryTableField id="15" name="债项评级" tableColumnId="15"/>
      <queryTableField id="114" name="主体评级" tableColumnId="68"/>
      <queryTableField id="113" name="发行评级" tableColumnId="66"/>
      <queryTableField id="450" name="英文简称" tableColumnId="23"/>
      <queryTableField id="8" name="债券简称" tableColumnId="8"/>
      <queryTableField id="14" name="主体评级展望" tableColumnId="14"/>
      <queryTableField id="26" name="发行规模(亿)" tableColumnId="26"/>
      <queryTableField id="27" name="货币" tableColumnId="27"/>
      <queryTableField id="28" name="发行期限(年)" tableColumnId="28"/>
      <queryTableField id="587" name="票息_DMI" tableColumnId="18"/>
      <queryTableField id="19" name="兑付日" tableColumnId="19"/>
      <queryTableField id="30" name="发行场所" tableColumnId="30"/>
      <queryTableField id="98" name="IPT_DMI" tableColumnId="20"/>
      <queryTableField id="99" name="FPG_DMI" tableColumnId="21"/>
      <queryTableField id="22" name="收窄幅度(bp)" tableColumnId="22"/>
      <queryTableField id="552" name="发行规则" tableColumnId="82"/>
      <queryTableField id="144" name="发行架构" tableColumnId="62"/>
      <queryTableField id="24" name="SBLC提供者" tableColumnId="24"/>
      <queryTableField id="25" name="偿还顺位" tableColumnId="25"/>
      <queryTableField id="29" name="发行价" tableColumnId="29"/>
      <queryTableField id="31" name="首日涨跌" tableColumnId="31"/>
      <queryTableField id="5" name="省份" tableColumnId="5"/>
      <queryTableField id="6" name="城市" tableColumnId="6"/>
      <queryTableField id="7" name="区县" tableColumnId="7"/>
      <queryTableField id="32" name="认购额(亿)" tableColumnId="32"/>
      <queryTableField id="33" name="认购倍数" tableColumnId="33"/>
      <queryTableField id="34" name="亚洲占比" tableColumnId="34"/>
      <queryTableField id="35" name="基金占比" tableColumnId="35"/>
      <queryTableField id="36" name="联席全球协调人" tableColumnId="36"/>
      <queryTableField id="93" name="发行方式" tableColumnId="72"/>
      <queryTableField id="4" name="细分行业" tableColumnId="4"/>
      <queryTableField id="10" name="主题债券" tableColumnId="10"/>
      <queryTableField id="16" name="债项初始评级" tableColumnId="16"/>
      <queryTableField id="17" name="境内主体评级" tableColumnId="17"/>
      <queryTableField id="3" name="行业" tableColumnId="3"/>
      <queryTableField id="122" name="剩余期限" tableColumnId="70"/>
      <queryTableField id="2" name="公司类型" tableColumnId="2"/>
      <queryTableField id="11" name="评级类型" tableColumnId="11"/>
      <queryTableField id="123" name="投资者账户数" tableColumnId="73"/>
      <queryTableField id="124" name="投资者类型" tableColumnId="74"/>
      <queryTableField id="125" name="投资者分布" tableColumnId="75"/>
      <queryTableField id="126" name="筹款用途" tableColumnId="76"/>
      <queryTableField id="37" name="ticker" tableColumnId="37"/>
      <queryTableField id="38" name="债券最新面值" tableColumnId="38"/>
      <queryTableField id="39" name="债券余额" tableColumnId="39"/>
      <queryTableField id="40" name="起息日期" tableColumnId="40"/>
      <queryTableField id="41" name="行权兑付日" tableColumnId="41"/>
      <queryTableField id="43" name="计息基准" tableColumnId="43"/>
      <queryTableField id="42" name="最新票面利率" tableColumnId="42"/>
      <queryTableField id="44" name="首次付息日" tableColumnId="44"/>
      <queryTableField id="45" name="发行人" tableColumnId="45"/>
      <queryTableField id="47" name="发行起始日" tableColumnId="47"/>
      <queryTableField id="136" name="定价_DMI" tableColumnId="77"/>
      <queryTableField id="46" name="担保人" tableColumnId="46"/>
      <queryTableField id="48" name="上市日期" tableColumnId="48"/>
      <queryTableField id="49" name="特殊条款说明" tableColumnId="49"/>
      <queryTableField id="50" name="牵头经办人" tableColumnId="50"/>
      <queryTableField id="128" name="联席账簿管理人" tableColumnId="78"/>
      <queryTableField id="51" name="是否永续债" tableColumnId="51"/>
      <queryTableField id="52" name="是否存单" tableColumnId="52"/>
      <queryTableField id="53" name="利率类型" tableColumnId="53"/>
      <queryTableField id="54" name="交易状态" tableColumnId="54"/>
      <queryTableField id="55" name="债券类型" tableColumnId="55"/>
      <queryTableField id="56" name="特殊条款" tableColumnId="56"/>
      <queryTableField id="57" name="付息频率" tableColumnId="57"/>
      <queryTableField id="58" name="维好协议提供者" tableColumnId="58"/>
      <queryTableField id="553" name="临时isin" tableColumnId="83"/>
      <queryTableField id="616" name="BISL_ROLE" tableColumnId="90"/>
      <queryTableField id="591" name="DataSource" tableColumnId="88"/>
      <queryTableField id="91" name="地区" tableColumnId="71"/>
      <queryTableField id="618" name="通过分行" tableColumnId="91"/>
      <queryTableField id="614" name="增发判定" tableColumnId="89"/>
      <queryTableField id="550" name="违约日期" tableColumnId="81"/>
      <queryTableField id="576" name="信用主体简称" tableColumnId="85"/>
      <queryTableField id="577" name="板块" tableColumnId="86"/>
      <queryTableField id="589" name="DEBUT_DATE" tableColumnId="87"/>
      <queryTableField id="140" name="注册成立地" tableColumnId="79"/>
      <queryTableField id="507" name="发行人主上市地" tableColumnId="80"/>
      <queryTableField id="100" name="亿美元" tableColumnId="60"/>
      <queryTableField id="105" name="亿元" tableColumnId="64"/>
      <queryTableField id="120" name="亿港币" tableColumnId="69"/>
      <queryTableField id="109" name="IS_FIMTN" tableColumnId="61"/>
      <queryTableField id="574" name="Stats" tableColumnId="84"/>
      <queryTableField id="111" name="补充OMAS updates" tableColumnId="63"/>
      <queryTableField id="112" name="定价息差" tableColumnId="65"/>
      <queryTableField id="59" name="Check" tableColumnId="59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33" xr16:uid="{B2D9610A-2DF8-4D52-9C4A-39A50AFAB38B}" autoFormatId="16" applyNumberFormats="0" applyBorderFormats="0" applyFontFormats="0" applyPatternFormats="0" applyAlignmentFormats="0" applyWidthHeightFormats="0">
  <queryTableRefresh nextId="3">
    <queryTableFields count="1">
      <queryTableField id="2" name="DMI列名更改" tableColumnId="2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34" xr16:uid="{FCE13C74-D69C-46FE-8791-4CF2F506A876}" autoFormatId="16" applyNumberFormats="0" applyBorderFormats="0" applyFontFormats="0" applyPatternFormats="0" applyAlignmentFormats="0" applyWidthHeightFormats="0">
  <queryTableRefresh nextId="3">
    <queryTableFields count="1">
      <queryTableField id="2" name="DMI新增列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96" xr16:uid="{0900184B-E3DC-44B7-A956-4A2B0963C2CD}" autoFormatId="16" applyNumberFormats="0" applyBorderFormats="0" applyFontFormats="0" applyPatternFormats="0" applyAlignmentFormats="0" applyWidthHeightFormats="0">
  <queryTableRefresh nextId="7">
    <queryTableFields count="2">
      <queryTableField id="5" name="Column1" tableColumnId="1"/>
      <queryTableField id="6" name="Column2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90" xr16:uid="{00000000-0016-0000-0200-000002000000}" autoFormatId="16" applyNumberFormats="0" applyBorderFormats="0" applyFontFormats="0" applyPatternFormats="0" applyAlignmentFormats="0" applyWidthHeightFormats="0">
  <queryTableRefresh nextId="3">
    <queryTableFields count="1">
      <queryTableField id="2" name="headers_Curated" tableColumnId="1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42" xr16:uid="{00000000-0016-0000-0200-000003000000}" autoFormatId="16" applyNumberFormats="0" applyBorderFormats="0" applyFontFormats="0" applyPatternFormats="0" applyAlignmentFormats="0" applyWidthHeightFormats="0">
  <queryTableRefresh nextId="129">
    <queryTableFields count="20">
      <queryTableField id="1" name="定价日" tableColumnId="1"/>
      <queryTableField id="2" name="信用主体" tableColumnId="2"/>
      <queryTableField id="55" name="ESG" tableColumnId="15"/>
      <queryTableField id="12" name="IPG" tableColumnId="12"/>
      <queryTableField id="13" name="FPG" tableColumnId="13"/>
      <queryTableField id="14" name="收窄基点" tableColumnId="14"/>
      <queryTableField id="25" name="定价" tableColumnId="25"/>
      <queryTableField id="72" name="增发判定" tableColumnId="31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57" name="FEATURED" tableColumnId="20"/>
      <queryTableField id="73" name="上市" tableColumnId="33"/>
      <queryTableField id="82" name="期限备注" tableColumnId="34"/>
      <queryTableField id="23" name="亿美元" tableColumnId="23"/>
      <queryTableField id="24" name="亿元" tableColumnId="24"/>
      <queryTableField id="84" name="亿港币" tableColumnId="21"/>
      <queryTableField id="35" name="ISIN" tableColumnId="35"/>
      <queryTableField id="49" name="Check" tableColumnId="19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0" xr16:uid="{00000000-0016-0000-0200-000004000000}" autoFormatId="16" applyNumberFormats="0" applyBorderFormats="0" applyFontFormats="0" applyPatternFormats="0" applyAlignmentFormats="0" applyWidthHeightFormats="0">
  <queryTableRefresh nextId="72">
    <queryTableFields count="14">
      <queryTableField id="69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22" name="Project Name" tableColumnId="10"/>
      <queryTableField id="16" name="COVERAGE" tableColumnId="8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30" name="IS_LEAD" tableColumnId="11"/>
      <queryTableField id="31" name="IS_B&amp;D" tableColumnId="13"/>
      <queryTableField id="32" name="是否合名" tableColumnId="14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41" xr16:uid="{00000000-0016-0000-0200-000005000000}" autoFormatId="16" applyNumberFormats="0" applyBorderFormats="0" applyFontFormats="0" applyPatternFormats="0" applyAlignmentFormats="0" applyWidthHeightFormats="0">
  <queryTableRefresh nextId="9">
    <queryTableFields count="4">
      <queryTableField id="1" name="信用主体" tableColumnId="1"/>
      <queryTableField id="3" name="SHORTNAMER" tableColumnId="3"/>
      <queryTableField id="6" name="中资属性" tableColumnId="2"/>
      <queryTableField id="8" name="板块" tableColumnId="4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89" xr16:uid="{03D4F002-6226-4B61-B570-76DCF9165D62}" autoFormatId="16" applyNumberFormats="0" applyBorderFormats="0" applyFontFormats="0" applyPatternFormats="0" applyAlignmentFormats="0" applyWidthHeightFormats="0">
  <queryTableRefresh nextId="3">
    <queryTableFields count="1">
      <queryTableField id="2" name="headers_BOCOM" tableColumnId="1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91" xr16:uid="{AF480407-3CD6-4BC2-9A62-689788C26B00}" autoFormatId="16" applyNumberFormats="0" applyBorderFormats="0" applyFontFormats="0" applyPatternFormats="0" applyAlignmentFormats="0" applyWidthHeightFormats="0">
  <queryTableRefresh nextId="2">
    <queryTableFields count="1">
      <queryTableField id="1" name="headers_Issuer" tableColumnId="1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39" xr16:uid="{C7D04BB6-CEF5-43ED-8A9E-B94932397EA8}" autoFormatId="16" applyNumberFormats="0" applyBorderFormats="0" applyFontFormats="0" applyPatternFormats="0" applyAlignmentFormats="0" applyWidthHeightFormats="0">
  <queryTableRefresh nextId="23">
    <queryTableFields count="11">
      <queryTableField id="20" name="删除及隐藏" tableColumnId="15"/>
      <queryTableField id="1" name="ISIN" tableColumnId="1"/>
      <queryTableField id="2" name="定价日" tableColumnId="2"/>
      <queryTableField id="3" name="信用主体" tableColumnId="3"/>
      <queryTableField id="12" name="发行评级" tableColumnId="12"/>
      <queryTableField id="13" name="主体评级" tableColumnId="13"/>
      <queryTableField id="5" name="结构" tableColumnId="5"/>
      <queryTableField id="4" name="备证行" tableColumnId="4"/>
      <queryTableField id="10" name="港分_ROLE" tableColumnId="10"/>
      <queryTableField id="11" name="澳分_ROLE" tableColumnId="11"/>
      <queryTableField id="14" name="Check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7" xr16:uid="{00000000-0016-0000-0400-000009000000}" autoFormatId="16" applyNumberFormats="0" applyBorderFormats="0" applyFontFormats="0" applyPatternFormats="0" applyAlignmentFormats="0" applyWidthHeightFormats="0">
  <queryTableRefresh nextId="17">
    <queryTableFields count="10">
      <queryTableField id="1" name="定价日" tableColumnId="1"/>
      <queryTableField id="2" name="ISIN" tableColumnId="2"/>
      <queryTableField id="3" name="债券简称" tableColumnId="3"/>
      <queryTableField id="4" name="年期" tableColumnId="4"/>
      <queryTableField id="5" name="亿美元" tableColumnId="5"/>
      <queryTableField id="10" name="货币" tableColumnId="10"/>
      <queryTableField id="12" name="板块" tableColumnId="11"/>
      <queryTableField id="7" name="评级分类" tableColumnId="7"/>
      <queryTableField id="8" name="品种" tableColumnId="8"/>
      <queryTableField id="9" name="按年" tableColumnId="9"/>
    </queryTableFields>
    <queryTableDeletedFields count="1">
      <deletedField name="行业"/>
    </queryTableDeleted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8" xr16:uid="{00000000-0016-0000-0400-000006000000}" autoFormatId="16" applyNumberFormats="0" applyBorderFormats="0" applyFontFormats="0" applyPatternFormats="0" applyAlignmentFormats="0" applyWidthHeightFormats="0">
  <queryTableRefresh nextId="115">
    <queryTableFields count="17">
      <queryTableField id="39" name="Index" tableColumnId="2"/>
      <queryTableField id="33" name="ISIN" tableColumnId="33"/>
      <queryTableField id="1" name="定价日" tableColumnId="1"/>
      <queryTableField id="40" name="信用主体(备证行)" tableColumnId="3"/>
      <queryTableField id="7" name="发行评级" tableColumnId="7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5" name="收窄基点" tableColumnId="15"/>
      <queryTableField id="16" name="结构" tableColumnId="16"/>
      <queryTableField id="17" name="主题" tableColumnId="17"/>
      <queryTableField id="113" name="板块" tableColumnId="4"/>
      <queryTableField id="19" name="地区" tableColumnId="19"/>
      <queryTableField id="38" name="BOCOM_DEAL?" tableColumnId="38"/>
      <queryTableField id="52" name="亿美元" tableColumnId="23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93" xr16:uid="{305A6F1E-0290-4344-AFAD-E6716A21DA85}" autoFormatId="16" applyNumberFormats="0" applyBorderFormats="0" applyFontFormats="0" applyPatternFormats="0" applyAlignmentFormats="0" applyWidthHeightFormats="0">
  <queryTableRefresh nextId="4">
    <queryTableFields count="3">
      <queryTableField id="1" name="Weeknum" tableColumnId="1"/>
      <queryTableField id="2" name="上周亿美元" tableColumnId="2"/>
      <queryTableField id="3" name="上周笔数" tableColumnId="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94" xr16:uid="{928E6DD1-D421-4D46-A71A-9622F4792FF2}" autoFormatId="16" applyNumberFormats="0" applyBorderFormats="0" applyFontFormats="0" applyPatternFormats="0" applyAlignmentFormats="0" applyWidthHeightFormats="0">
  <queryTableRefresh nextId="4">
    <queryTableFields count="3">
      <queryTableField id="1" name="周" tableColumnId="1"/>
      <queryTableField id="2" name="上周亿美元" tableColumnId="2"/>
      <queryTableField id="3" name="上周笔数" tableColumnId="3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adjustColumnWidth="0" connectionId="108" xr16:uid="{07B46A29-4A23-4795-A14B-5C71FC9F049F}" autoFormatId="16" applyNumberFormats="0" applyBorderFormats="0" applyFontFormats="0" applyPatternFormats="0" applyAlignmentFormats="0" applyWidthHeightFormats="0">
  <queryTableRefresh nextId="5">
    <queryTableFields count="4">
      <queryTableField id="1" name="信用主体简称" tableColumnId="1"/>
      <queryTableField id="2" name="板块" tableColumnId="2"/>
      <queryTableField id="3" name="货币" tableColumnId="3"/>
      <queryTableField id="4" name="Writer" tableColumnId="4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20" xr16:uid="{00000000-0016-0000-0500-00000E000000}" autoFormatId="16" applyNumberFormats="0" applyBorderFormats="0" applyFontFormats="0" applyPatternFormats="0" applyAlignmentFormats="0" applyWidthHeightFormats="0">
  <queryTableRefresh nextId="184">
    <queryTableFields count="6">
      <queryTableField id="32" name="Index" tableColumnId="12"/>
      <queryTableField id="182" name="板块" tableColumnId="2"/>
      <queryTableField id="39" name="货币" tableColumnId="19"/>
      <queryTableField id="101" name="信用主体(备证行)" tableColumnId="52"/>
      <queryTableField id="14" name="描述" tableColumnId="8"/>
      <queryTableField id="180" name="Stats描述" tableColumnId="1"/>
    </queryTableFields>
    <queryTableDeletedFields count="11">
      <deletedField name="描述"/>
      <deletedField name="Index"/>
      <deletedField name="信用主体简称"/>
      <deletedField name="BISL_ROLE"/>
      <deletedField name="其他交银_ROLE"/>
      <deletedField name="地区"/>
      <deletedField name="行业"/>
      <deletedField name="主题"/>
      <deletedField name="货币"/>
      <deletedField name="结构"/>
      <deletedField name="增发判定"/>
    </queryTableDeleted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19" xr16:uid="{00000000-0016-0000-0500-00000C000000}" autoFormatId="16" applyNumberFormats="0" applyBorderFormats="0" applyFontFormats="0" applyPatternFormats="0" applyAlignmentFormats="0" applyWidthHeightFormats="0">
  <queryTableRefresh nextId="216">
    <queryTableFields count="6">
      <queryTableField id="22" name="Index" tableColumnId="12"/>
      <queryTableField id="214" name="板块" tableColumnId="2"/>
      <queryTableField id="3" name="货币" tableColumnId="3"/>
      <queryTableField id="74" name="信用主体(备证行)" tableColumnId="52"/>
      <queryTableField id="5" name="描述" tableColumnId="5"/>
      <queryTableField id="213" name="Stats描述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121" xr16:uid="{00000000-0016-0000-0500-00000D000000}" autoFormatId="16" applyNumberFormats="0" applyBorderFormats="0" applyFontFormats="0" applyPatternFormats="0" applyAlignmentFormats="0" applyWidthHeightFormats="0">
  <queryTableRefresh nextId="79">
    <queryTableFields count="6">
      <queryTableField id="72" name="Index" tableColumnId="29"/>
      <queryTableField id="73" name="板块" tableColumnId="30"/>
      <queryTableField id="3" name="货币" tableColumnId="3"/>
      <queryTableField id="74" name="信用主体(备证行)" tableColumnId="31"/>
      <queryTableField id="75" name="描述" tableColumnId="32"/>
      <queryTableField id="76" name="Stats" tableColumnId="33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6" xr16:uid="{00000000-0016-0000-0600-00000F000000}" autoFormatId="16" applyNumberFormats="0" applyBorderFormats="0" applyFontFormats="0" applyPatternFormats="0" applyAlignmentFormats="0" applyWidthHeightFormats="0">
  <queryTableRefresh nextId="26">
    <queryTableFields count="15">
      <queryTableField id="1" name="Date" tableColumnId="1"/>
      <queryTableField id="13" name="Region" tableColumnId="13"/>
      <queryTableField id="3" name="Event" tableColumnId="3"/>
      <queryTableField id="14" name="Period" tableColumnId="1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5" name="Table" tableColumnId="15"/>
      <queryTableField id="22" name="区间" tableColumnId="17"/>
      <queryTableField id="23" name="范围" tableColumnId="18"/>
      <queryTableField id="16" name="上周主要经济数据" tableColumnId="16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3" xr16:uid="{00000000-0016-0000-0700-000010000000}" autoFormatId="16" applyNumberFormats="0" applyBorderFormats="0" applyFontFormats="0" applyPatternFormats="0" applyAlignmentFormats="0" applyWidthHeightFormats="0">
  <queryTableRefresh nextId="17">
    <queryTableFields count="15">
      <queryTableField id="1" name="Date" tableColumnId="1"/>
      <queryTableField id="2" name="Region" tableColumnId="2"/>
      <queryTableField id="3" name="Event" tableColumnId="3"/>
      <queryTableField id="4" name="Period" tableColumnId="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2" name="Table" tableColumnId="12"/>
      <queryTableField id="14" name="区间" tableColumnId="14"/>
      <queryTableField id="15" name="范围" tableColumnId="15"/>
      <queryTableField id="16" name="未来一周主要经济数据" tableColumnId="16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B2758E73-E6A8-4AA0-AEB1-5E34C4BDF0E8}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ISIN" tableColumnId="1"/>
      <queryTableField id="2" name="信用主体(备证行)" tableColumnId="2"/>
      <queryTableField id="3" name="定价日" tableColumnId="3"/>
      <queryTableField id="4" name="发行评级" tableColumnId="4"/>
      <queryTableField id="5" name="货币" tableColumnId="5"/>
      <queryTableField id="6" name="发行规模(亿)" tableColumnId="6"/>
      <queryTableField id="7" name="年期" tableColumnId="7"/>
      <queryTableField id="8" name="票息" tableColumnId="8"/>
      <queryTableField id="9" name="IPG" tableColumnId="9"/>
      <queryTableField id="10" name="收窄基点" tableColumnId="10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3" xr16:uid="{9C2F7955-BCCD-428B-AD7B-252CCB02224B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23"/>
      <queryTableField id="2" name="Column2" tableColumnId="24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1375C33A-0E91-4536-9A0E-D27220AFCB43}" autoFormatId="16" applyNumberFormats="0" applyBorderFormats="0" applyFontFormats="0" applyPatternFormats="0" applyAlignmentFormats="0" applyWidthHeightFormats="0">
  <queryTableRefresh nextId="8">
    <queryTableFields count="1">
      <queryTableField id="1" name="信用主体" tableColumnId="1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8" xr16:uid="{BCA25F3D-5EA7-4438-BD47-A2F505717EAC}" autoFormatId="16" applyNumberFormats="0" applyBorderFormats="0" applyFontFormats="0" applyPatternFormats="0" applyAlignmentFormats="0" applyWidthHeightFormats="0">
  <queryTableRefresh nextId="17">
    <queryTableFields count="10">
      <queryTableField id="2" name="定价日" tableColumnId="2"/>
      <queryTableField id="3" name="ISIN" tableColumnId="3"/>
      <queryTableField id="4" name="债券简称" tableColumnId="4"/>
      <queryTableField id="5" name="年期" tableColumnId="5"/>
      <queryTableField id="6" name="亿美元" tableColumnId="6"/>
      <queryTableField id="7" name="货币" tableColumnId="7"/>
      <queryTableField id="12" name="板块" tableColumnId="1"/>
      <queryTableField id="9" name="评级分类" tableColumnId="9"/>
      <queryTableField id="10" name="品种" tableColumnId="10"/>
      <queryTableField id="11" name="按年" tableColumnId="11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6" xr16:uid="{B8FD89C8-856C-4BC4-965B-5913312DB0D0}" autoFormatId="16" applyNumberFormats="0" applyBorderFormats="0" applyFontFormats="0" applyPatternFormats="0" applyAlignmentFormats="0" applyWidthHeightFormats="0">
  <queryTableRefresh nextId="515">
    <queryTableFields count="73">
      <queryTableField id="1" name="信用主体" tableColumnId="1"/>
      <queryTableField id="384" name="英文简称" tableColumnId="24"/>
      <queryTableField id="9" name="ISIN" tableColumnId="9"/>
      <queryTableField id="12" name="定价日" tableColumnId="12"/>
      <queryTableField id="8" name="债券简称" tableColumnId="8"/>
      <queryTableField id="13" name="穆迪/标普" tableColumnId="13"/>
      <queryTableField id="14" name="主体评级展望" tableColumnId="14"/>
      <queryTableField id="15" name="债项评级" tableColumnId="15"/>
      <queryTableField id="27" name="发行规模(亿)" tableColumnId="27"/>
      <queryTableField id="28" name="货币" tableColumnId="28"/>
      <queryTableField id="29" name="发行期限(年)" tableColumnId="29"/>
      <queryTableField id="504" name="票息_DMI" tableColumnId="18"/>
      <queryTableField id="19" name="兑付日" tableColumnId="19"/>
      <queryTableField id="31" name="发行场所" tableColumnId="31"/>
      <queryTableField id="20" name="IPT_DMI" tableColumnId="20"/>
      <queryTableField id="21" name="FPG_DMI" tableColumnId="21"/>
      <queryTableField id="22" name="收窄幅度(bp)" tableColumnId="22"/>
      <queryTableField id="484" name="发行规则" tableColumnId="71"/>
      <queryTableField id="78" name="发行架构" tableColumnId="69"/>
      <queryTableField id="25" name="SBLC提供者" tableColumnId="25"/>
      <queryTableField id="26" name="偿还顺位" tableColumnId="26"/>
      <queryTableField id="30" name="发行价" tableColumnId="30"/>
      <queryTableField id="32" name="首日涨跌" tableColumnId="32"/>
      <queryTableField id="5" name="省份" tableColumnId="5"/>
      <queryTableField id="6" name="城市" tableColumnId="6"/>
      <queryTableField id="7" name="区县" tableColumnId="7"/>
      <queryTableField id="33" name="认购额(亿)" tableColumnId="33"/>
      <queryTableField id="34" name="认购倍数" tableColumnId="34"/>
      <queryTableField id="35" name="亚洲占比" tableColumnId="35"/>
      <queryTableField id="36" name="基金占比" tableColumnId="36"/>
      <queryTableField id="37" name="联席全球协调人" tableColumnId="37"/>
      <queryTableField id="23" name="发行方式" tableColumnId="23"/>
      <queryTableField id="4" name="细分行业" tableColumnId="4"/>
      <queryTableField id="16" name="债项初始评级" tableColumnId="16"/>
      <queryTableField id="17" name="境内主体评级" tableColumnId="17"/>
      <queryTableField id="10" name="主题债券" tableColumnId="10"/>
      <queryTableField id="3" name="行业" tableColumnId="3"/>
      <queryTableField id="62" name="剩余期限" tableColumnId="62"/>
      <queryTableField id="2" name="公司类型" tableColumnId="2"/>
      <queryTableField id="11" name="评级类型" tableColumnId="11"/>
      <queryTableField id="63" name="投资者账户数" tableColumnId="63"/>
      <queryTableField id="64" name="投资者类型" tableColumnId="64"/>
      <queryTableField id="65" name="投资者分布" tableColumnId="65"/>
      <queryTableField id="66" name="筹款用途" tableColumnId="66"/>
      <queryTableField id="38" name="ticker" tableColumnId="38"/>
      <queryTableField id="39" name="债券最新面值" tableColumnId="39"/>
      <queryTableField id="40" name="债券余额" tableColumnId="40"/>
      <queryTableField id="41" name="起息日期" tableColumnId="41"/>
      <queryTableField id="42" name="行权兑付日" tableColumnId="42"/>
      <queryTableField id="43" name="最新票面利率" tableColumnId="43"/>
      <queryTableField id="44" name="计息基准" tableColumnId="44"/>
      <queryTableField id="45" name="首次付息日" tableColumnId="45"/>
      <queryTableField id="46" name="发行人" tableColumnId="46"/>
      <queryTableField id="47" name="担保人" tableColumnId="47"/>
      <queryTableField id="48" name="发行起始日" tableColumnId="48"/>
      <queryTableField id="67" name="定价_DMI" tableColumnId="67"/>
      <queryTableField id="49" name="上市日期" tableColumnId="49"/>
      <queryTableField id="50" name="特殊条款说明" tableColumnId="50"/>
      <queryTableField id="51" name="牵头经办人" tableColumnId="51"/>
      <queryTableField id="68" name="联席账簿管理人" tableColumnId="68"/>
      <queryTableField id="52" name="是否永续债" tableColumnId="52"/>
      <queryTableField id="53" name="是否存单" tableColumnId="53"/>
      <queryTableField id="54" name="利率类型" tableColumnId="54"/>
      <queryTableField id="55" name="交易状态" tableColumnId="55"/>
      <queryTableField id="56" name="债券类型" tableColumnId="56"/>
      <queryTableField id="57" name="特殊条款" tableColumnId="57"/>
      <queryTableField id="58" name="付息频率" tableColumnId="58"/>
      <queryTableField id="59" name="维好协议提供者" tableColumnId="59"/>
      <queryTableField id="485" name="临时isin" tableColumnId="72"/>
      <queryTableField id="510" name="DataSource" tableColumnId="73"/>
      <queryTableField id="60" name="地区" tableColumnId="60"/>
      <queryTableField id="482" name="违约日期" tableColumnId="70"/>
      <queryTableField id="61" name="Check" tableColumnId="6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B373777-6D0E-4373-8161-40D12EDDEF4D}" autoFormatId="16" applyNumberFormats="0" applyBorderFormats="0" applyFontFormats="0" applyPatternFormats="0" applyAlignmentFormats="0" applyWidthHeightFormats="0">
  <queryTableRefresh nextId="67">
    <queryTableFields count="26">
      <queryTableField id="1" name="Index" tableColumnId="1"/>
      <queryTableField id="2" name="定价日" tableColumnId="2"/>
      <queryTableField id="3" name="ISIN" tableColumnId="3"/>
      <queryTableField id="19" name="信用主体" tableColumnId="14"/>
      <queryTableField id="4" name="补充OMAS updates" tableColumnId="4"/>
      <queryTableField id="5" name="发行评级" tableColumnId="5"/>
      <queryTableField id="47" name="注册成立地" tableColumnId="6"/>
      <queryTableField id="15" name="发行人主上市地" tableColumnId="13"/>
      <queryTableField id="7" name="主体评级" tableColumnId="7"/>
      <queryTableField id="8" name="定价息差" tableColumnId="8"/>
      <queryTableField id="9" name="浮息息差" tableColumnId="9"/>
      <queryTableField id="43" name="计息基准" tableColumnId="11"/>
      <queryTableField id="21" name="发行人" tableColumnId="16"/>
      <queryTableField id="22" name="担保人" tableColumnId="17"/>
      <queryTableField id="23" name="维好协议提供者" tableColumnId="18"/>
      <queryTableField id="24" name="起息日期" tableColumnId="19"/>
      <queryTableField id="25" name="兑付日" tableColumnId="20"/>
      <queryTableField id="26" name="行权兑付日" tableColumnId="21"/>
      <queryTableField id="27" name="票息" tableColumnId="22"/>
      <queryTableField id="28" name="货币" tableColumnId="23"/>
      <queryTableField id="44" name="发行价" tableColumnId="12"/>
      <queryTableField id="29" name="发行规模(亿)" tableColumnId="24"/>
      <queryTableField id="52" name="Parent company tiker" tableColumnId="27"/>
      <queryTableField id="56" name="评级" tableColumnId="31"/>
      <queryTableField id="65" name="ESG indicator" tableColumnId="15"/>
      <queryTableField id="10" name="Check" tableColumnId="10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7" xr16:uid="{F411338F-7C60-4E47-A1F5-A5A87D4E0DE3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 tableColumnId="1"/>
      <queryTableField id="2" name="ISIN" tableColumnId="2"/>
      <queryTableField id="3" name="项目名称（集团全称）" tableColumnId="3"/>
      <queryTableField id="4" name="台账序号" tableColumnId="4"/>
      <queryTableField id="5" name="担任角色" tableColumnId="5"/>
      <queryTableField id="6" name="新规角色" tableColumnId="6"/>
      <queryTableField id="7" name="COVERAGE" tableColumnId="7"/>
      <queryTableField id="8" name="项目定价日" tableColumnId="8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5" xr16:uid="{9A83D6E5-8028-451F-81EB-6106800FC1B7}" autoFormatId="16" applyNumberFormats="0" applyBorderFormats="0" applyFontFormats="0" applyPatternFormats="0" applyAlignmentFormats="0" applyWidthHeightFormats="0">
  <queryTableRefresh nextId="121">
    <queryTableFields count="51">
      <queryTableField id="1" name="Index" tableColumnId="1"/>
      <queryTableField id="70" name="删除及隐藏" tableColumnId="50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57" name="注册成立地" tableColumnId="45"/>
      <queryTableField id="59" name="发行人主上市地" tableColumnId="46"/>
      <queryTableField id="32" name="通过分行" tableColumnId="32"/>
      <queryTableField id="45" name="发行人" tableColumnId="42"/>
      <queryTableField id="46" name="担保人" tableColumnId="43"/>
      <queryTableField id="47" name="维好协议提供者" tableColumnId="44"/>
      <queryTableField id="28" name="备证行" tableColumnId="28"/>
      <queryTableField id="29" name="ESG" tableColumnId="29"/>
      <queryTableField id="30" name="FEATURED" tableColumnId="30"/>
      <queryTableField id="31" name="亮点" tableColumnId="31"/>
      <queryTableField id="33" name="期限备注" tableColumnId="33"/>
      <queryTableField id="34" name="SPECIALs" tableColumnId="34"/>
      <queryTableField id="35" name="OTHER_ISIN" tableColumnId="35"/>
      <queryTableField id="63" name="Stats" tableColumnId="47"/>
      <queryTableField id="65" name="筹款用途" tableColumnId="48"/>
      <queryTableField id="66" name="发行方式" tableColumnId="49"/>
      <queryTableField id="71" name="DataSource" tableColumnId="51"/>
      <queryTableField id="36" name="Updator" tableColumnId="36"/>
      <queryTableField id="37" name="Timestamp" tableColumnId="37"/>
      <queryTableField id="38" name="Check" tableColumnId="38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4" xr16:uid="{00000000-0016-0000-0400-00000A000000}" autoFormatId="16" applyNumberFormats="0" applyBorderFormats="0" applyFontFormats="0" applyPatternFormats="0" applyAlignmentFormats="0" applyWidthHeightFormats="0">
  <queryTableRefresh nextId="106">
    <queryTableFields count="21">
      <queryTableField id="86" name="Index" tableColumnId="4"/>
      <queryTableField id="7" name="信用主体" tableColumnId="7"/>
      <queryTableField id="87" name="信用主体简称" tableColumnId="5"/>
      <queryTableField id="12" name="中资属性" tableColumnId="2"/>
      <queryTableField id="22" name="板块" tableColumnId="3"/>
      <queryTableField id="88" name="细分行业" tableColumnId="6"/>
      <queryTableField id="89" name="行业二级" tableColumnId="8"/>
      <queryTableField id="90" name="地区" tableColumnId="9"/>
      <queryTableField id="91" name="城市" tableColumnId="10"/>
      <queryTableField id="92" name="区县" tableColumnId="11"/>
      <queryTableField id="93" name="平台级别" tableColumnId="12"/>
      <queryTableField id="94" name="系" tableColumnId="13"/>
      <queryTableField id="95" name="首次违约日" tableColumnId="14"/>
      <queryTableField id="96" name="DEBUT_DATE" tableColumnId="15"/>
      <queryTableField id="97" name="曾用名" tableColumnId="16"/>
      <queryTableField id="98" name="主体备注" tableColumnId="17"/>
      <queryTableField id="99" name="行业" tableColumnId="18"/>
      <queryTableField id="100" name="上市类型" tableColumnId="19"/>
      <queryTableField id="101" name="公司类型" tableColumnId="20"/>
      <queryTableField id="102" name="Updator" tableColumnId="21"/>
      <queryTableField id="103" name="Timestamp" tableColumnId="22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13" xr16:uid="{00000000-0016-0000-0400-000008000000}" autoFormatId="16" applyNumberFormats="0" applyBorderFormats="0" applyFontFormats="0" applyPatternFormats="0" applyAlignmentFormats="0" applyWidthHeightFormats="0">
  <queryTableRefresh nextId="59">
    <queryTableFields count="19">
      <queryTableField id="33" name="Index" tableColumnId="6"/>
      <queryTableField id="2" name="ISIN" tableColumnId="2"/>
      <queryTableField id="3" name="定价日" tableColumnId="3"/>
      <queryTableField id="4" name="信用主体" tableColumnId="4"/>
      <queryTableField id="5" name="BISL_ROLE" tableColumnId="5"/>
      <queryTableField id="14" name="IS_LEAD" tableColumnId="12"/>
      <queryTableField id="15" name="IS_B&amp;D" tableColumnId="14"/>
      <queryTableField id="16" name="是否合名" tableColumnId="15"/>
      <queryTableField id="10" name="新规角色" tableColumnId="10"/>
      <queryTableField id="11" name="COVERAGE" tableColumnId="11"/>
      <queryTableField id="8" name="PROJECT_CODE" tableColumnId="8"/>
      <queryTableField id="9" name="期数" tableColumnId="9"/>
      <queryTableField id="22" name="台账序号" tableColumnId="18"/>
      <queryTableField id="34" name="多笔" tableColumnId="7"/>
      <queryTableField id="35" name="多币种" tableColumnId="13"/>
      <queryTableField id="36" name="多品种" tableColumnId="16"/>
      <queryTableField id="1" name="Check" tableColumnId="1"/>
      <queryTableField id="56" name="PRJ对账号" tableColumnId="17"/>
      <queryTableField id="58" name="FolderPath" tableColumnId="19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行业" displayName="行业" ref="E19:E25" totalsRowShown="0">
  <autoFilter ref="E19:E25" xr:uid="{00000000-0009-0000-0100-000006000000}">
    <filterColumn colId="0" hiddenButton="1"/>
  </autoFilter>
  <tableColumns count="1">
    <tableColumn id="1" xr3:uid="{00000000-0010-0000-0000-000001000000}" name="行业"/>
  </tableColumns>
  <tableStyleInfo name="Qry Sourc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E14:E17" totalsRowShown="0">
  <autoFilter ref="E14:E17" xr:uid="{00000000-0009-0000-0100-000005000000}">
    <filterColumn colId="0" hiddenButton="1"/>
  </autoFilter>
  <tableColumns count="1">
    <tableColumn id="1" xr3:uid="{00000000-0010-0000-0200-000001000000}" name="评级分类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E33:E37" totalsRowShown="0">
  <autoFilter ref="E33:E37" xr:uid="{00000000-0009-0000-0100-00001D000000}">
    <filterColumn colId="0" hiddenButton="1"/>
  </autoFilter>
  <tableColumns count="1">
    <tableColumn id="1" xr3:uid="{00000000-0010-0000-0F00-000001000000}" name="COVERAGE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H14:I20" tableType="queryTable" totalsRowShown="0">
  <autoFilter ref="H14:I20" xr:uid="{468C1FBA-82A3-4DD0-AF71-D0CA0ACFFFD2}">
    <filterColumn colId="0" hiddenButton="1"/>
  </autoFilter>
  <tableColumns count="2">
    <tableColumn id="1" xr3:uid="{E46ED5D9-5689-449D-A1E6-5A3A303F856D}" uniqueName="1" name="中资属性" queryTableFieldId="1" dataDxfId="55"/>
    <tableColumn id="2" xr3:uid="{E93A5C7A-B5A8-4188-9788-24754CAEF09E}" uniqueName="2" name="SortValue" queryTableFieldId="2"/>
  </tableColumns>
  <tableStyleInfo name="Named_d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H29:I35" tableType="queryTable" totalsRowShown="0">
  <autoFilter ref="H29:I35" xr:uid="{FF208760-EA58-4FEC-8BFC-A2D10CC56FD3}">
    <filterColumn colId="0" hiddenButton="1"/>
  </autoFilter>
  <tableColumns count="2">
    <tableColumn id="1" xr3:uid="{E8A08C19-4FDD-411B-A6E1-3AEE07FBDDD9}" uniqueName="1" name="BISL_ROLE" queryTableFieldId="1" dataDxfId="56"/>
    <tableColumn id="2" xr3:uid="{B911249C-31C6-41A0-80D4-BBD6898CECAB}" uniqueName="2" name="SortValue" queryTableFieldId="2"/>
  </tableColumns>
  <tableStyleInfo name="Named_d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Updator" displayName="Updator" ref="H6:I11" tableType="queryTable" totalsRowShown="0">
  <autoFilter ref="H6:I11" xr:uid="{999A9F35-E4E0-4D85-AD86-43F048CB5B5A}">
    <filterColumn colId="0" hiddenButton="1"/>
  </autoFilter>
  <tableColumns count="2">
    <tableColumn id="1" xr3:uid="{2AA3E575-2017-4E83-9753-495BF623DBCA}" uniqueName="1" name="Updator" queryTableFieldId="1" dataDxfId="57"/>
    <tableColumn id="2" xr3:uid="{0219E8DB-E4B8-4848-A5DB-8CDC9DBDA325}" uniqueName="2" name="Name" queryTableFieldId="2"/>
  </tableColumns>
  <tableStyleInfo name="Named_d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H59:I65" tableType="queryTable" totalsRowShown="0">
  <autoFilter ref="H59:I65" xr:uid="{E5A823B0-99ED-4119-B539-A98E411D1243}">
    <filterColumn colId="0" hiddenButton="1"/>
  </autoFilter>
  <tableColumns count="2">
    <tableColumn id="1" xr3:uid="{13497FA3-5E2B-4299-AA74-AB8C753D2866}" uniqueName="1" name="新规角色" queryTableFieldId="1" dataDxfId="58"/>
    <tableColumn id="2" xr3:uid="{48DB0258-5155-48AF-8825-EE1050573BFC}" uniqueName="2" name="SortValue" queryTableFieldId="2"/>
  </tableColumns>
  <tableStyleInfo name="Named_d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C94:C103" tableType="queryTable" totalsRowShown="0">
  <autoFilter ref="C94:C103" xr:uid="{C59B98D9-DE6D-4FBE-945C-51BABF760B41}">
    <filterColumn colId="0" hiddenButton="1"/>
  </autoFilter>
  <tableColumns count="1">
    <tableColumn id="1" xr3:uid="{0B5F8960-333E-4BB5-B169-91B90A7CD709}" uniqueName="1" name="结构" queryTableFieldId="1" dataDxfId="59"/>
  </tableColumns>
  <tableStyleInfo name="Named_dd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H22:I27" tableType="queryTable" totalsRowShown="0">
  <autoFilter ref="H22:I27" xr:uid="{26FE236B-2A97-45BE-82BB-C1AD85E2DB46}">
    <filterColumn colId="0" hiddenButton="1"/>
    <filterColumn colId="1" hiddenButton="1"/>
  </autoFilter>
  <tableColumns count="2">
    <tableColumn id="1" xr3:uid="{DE820937-D9CF-434A-8A46-AEA8816786C6}" uniqueName="1" name="板块" queryTableFieldId="1" dataDxfId="60"/>
    <tableColumn id="2" xr3:uid="{0349388C-4B60-43A7-B72C-E63E6C570115}" uniqueName="2" name="SortValue" queryTableFieldId="2"/>
  </tableColumns>
  <tableStyleInfo name="Named_dd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8038FA-F5FD-4B93-A069-021973B2B269}" name="货币" displayName="货币" ref="H37:I48" tableType="queryTable" totalsRowShown="0">
  <autoFilter ref="H37:I48" xr:uid="{AF8038FA-F5FD-4B93-A069-021973B2B269}"/>
  <tableColumns count="2">
    <tableColumn id="1" xr3:uid="{DD06F972-EA09-468A-B735-0CEFD18E493E}" uniqueName="1" name="货币" queryTableFieldId="1" dataDxfId="61"/>
    <tableColumn id="2" xr3:uid="{6DB657FB-E1F1-4EA3-83FA-7AC2169895B1}" uniqueName="2" name="SortValue" queryTableFieldId="2" dataDxfId="451"/>
  </tableColumns>
  <tableStyleInfo name="Named_dd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03B9A1-E294-40E5-AD4D-4E9927CD4CAF}" name="上市分类" displayName="上市分类" ref="H50:I57" tableType="queryTable" totalsRowShown="0">
  <autoFilter ref="H50:I57" xr:uid="{6603B9A1-E294-40E5-AD4D-4E9927CD4CAF}"/>
  <tableColumns count="2">
    <tableColumn id="1" xr3:uid="{369F5811-C952-4951-A1BB-EF52B7DFEE11}" uniqueName="1" name="上市分类" queryTableFieldId="1" dataDxfId="62"/>
    <tableColumn id="2" xr3:uid="{C1D12E41-5DFD-4B2B-90E5-92838B701E0D}" uniqueName="2" name="SortValue" queryTableFieldId="2" dataDxfId="450"/>
  </tableColumns>
  <tableStyleInfo name="Named_dd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131EFEA-EDB6-4A52-9DED-ECD123312D50}" name="BOCOMJLM" displayName="BOCOMJLM" ref="E6:F12" totalsRowShown="0">
  <autoFilter ref="E6:F12" xr:uid="{F131EFEA-EDB6-4A52-9DED-ECD123312D50}"/>
  <tableColumns count="2">
    <tableColumn id="2" xr3:uid="{384BB053-CFF0-4AED-A763-F8A27CA9F7F0}" name="Find" dataDxfId="449"/>
    <tableColumn id="1" xr3:uid="{FFDAFF75-50D1-41BB-9E49-2BB8B082E04A}" name="Replace"/>
  </tableColumns>
  <tableStyleInfo name="Qry Sourc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0F1ACF6-AC31-4AE6-AB6D-853EA607B817}" name="备证行" displayName="备证行" ref="C41:C92" tableType="queryTable" totalsRowShown="0">
  <autoFilter ref="C41:C92" xr:uid="{3D15E97E-A96B-46C8-8F14-CDD4B9B5EBE7}"/>
  <tableColumns count="1">
    <tableColumn id="1" xr3:uid="{31D67C13-2CDE-467D-9B70-F948A089647C}" uniqueName="1" name="备证行" queryTableFieldId="1" dataDxfId="63"/>
  </tableColumns>
  <tableStyleInfo name="Named_dd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E23D9CFA-6FA6-43F5-B098-1B3A4EF5142B}" name="地区" displayName="地区" ref="C6:C39" tableType="queryTable" totalsRowShown="0">
  <autoFilter ref="C6:C39" xr:uid="{674F3B76-C03B-4E27-8476-5372BCDF0398}"/>
  <tableColumns count="1">
    <tableColumn id="1" xr3:uid="{C598F51B-4DEA-4A6F-AB97-273D8E4586FB}" uniqueName="1" name="地区" queryTableFieldId="1" dataDxfId="64"/>
  </tableColumns>
  <tableStyleInfo name="Named_dd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8060796-9C62-4D21-B35E-0DCFF0648717}" name="主题债券" displayName="主题债券" ref="E27:E31" totalsRowShown="0">
  <autoFilter ref="E27:E31" xr:uid="{02AFDD4E-9B19-4DE4-9736-83F212D02843}"/>
  <tableColumns count="1">
    <tableColumn id="1" xr3:uid="{55A04602-E1D4-4BD9-B7E1-BD61B318931F}" name="主题债券"/>
  </tableColumns>
  <tableStyleInfo name="Qry Sourc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B3BDBFA-9693-4861-BDCC-46A584F1F674}" name="DMIHeaders" displayName="DMIHeaders" ref="L6:M75" tableType="queryTable" totalsRowShown="0">
  <autoFilter ref="L6:M75" xr:uid="{BB3BDBFA-9693-4861-BDCC-46A584F1F674}"/>
  <tableColumns count="2">
    <tableColumn id="1" xr3:uid="{8E061D3E-00CA-4D54-AE0C-5418C3F844F3}" uniqueName="1" name="DMI字段" queryTableFieldId="5"/>
    <tableColumn id="2" xr3:uid="{7927E5F6-6540-4E6C-9666-3516583E806C}" uniqueName="2" name="状态" queryTableFieldId="6"/>
  </tableColumns>
  <tableStyleInfo name="Qry Sourc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223A821B-A7CE-4CE1-9059-EF3DCD96774B}" name="DMIRenamed" displayName="DMIRenamed" ref="Q6:R10" totalsRowShown="0">
  <autoFilter ref="Q6:R10" xr:uid="{223A821B-A7CE-4CE1-9059-EF3DCD96774B}"/>
  <tableColumns count="2">
    <tableColumn id="1" xr3:uid="{DCD07F32-F8EC-4FA2-83F4-F2C221A98578}" name="DMIRenamed"/>
    <tableColumn id="2" xr3:uid="{61D0B1D6-2684-4EEA-A570-F5DCD5F794F2}" name="Column1">
      <calculatedColumnFormula>DMIRenamed[[#This Row],[DMIRenamed]]&amp;"_DMI"</calculatedColumnFormula>
    </tableColumn>
  </tableColumns>
  <tableStyleInfo name="Qry Sourc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7EDE75D-B77F-479E-AE38-E240ED6FF7A1}" name="ColNow_mCurated" displayName="ColNow_mCurated" ref="O6:O57" tableType="queryTable" totalsRowShown="0">
  <autoFilter ref="O6:O57" xr:uid="{67EDE75D-B77F-479E-AE38-E240ED6FF7A1}"/>
  <tableColumns count="1">
    <tableColumn id="1" xr3:uid="{570EC7CC-3877-428E-B59C-EA2EA4EFCDAE}" uniqueName="1" name="ColNow_mCurated" queryTableFieldId="1"/>
  </tableColumns>
  <tableStyleInfo name="Qry Sourc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2000000}" name="tbl_dt" displayName="tbl_dt" ref="K1:K2" totalsRowShown="0" headerRowDxfId="448" dataDxfId="447">
  <autoFilter ref="K1:K2" xr:uid="{00000000-0009-0000-0100-00001C000000}">
    <filterColumn colId="0" hiddenButton="1"/>
  </autoFilter>
  <tableColumns count="1">
    <tableColumn id="1" xr3:uid="{00000000-0010-0000-1200-000001000000}" name="Updator" dataDxfId="446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4000000}" name="DLDconso" displayName="DLDconso" ref="D10:CP21" tableType="queryTable" totalsRowShown="0">
  <autoFilter ref="D10:CP21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4" hiddenButton="1"/>
    <filterColumn colId="81" hiddenButton="1"/>
    <filterColumn colId="83" hiddenButton="1"/>
    <filterColumn colId="84" hiddenButton="1"/>
    <filterColumn colId="85" hiddenButton="1"/>
    <filterColumn colId="86" hiddenButton="1"/>
    <filterColumn colId="88" hiddenButton="1"/>
    <filterColumn colId="89" hiddenButton="1"/>
    <filterColumn colId="90" hiddenButton="1"/>
  </autoFilter>
  <tableColumns count="91">
    <tableColumn id="67" xr3:uid="{89571AE0-3879-457F-B318-34D498859252}" uniqueName="67" name="Index" queryTableFieldId="107" dataDxfId="205"/>
    <tableColumn id="1" xr3:uid="{00000000-0010-0000-1400-000001000000}" uniqueName="1" name="信用主体" queryTableFieldId="1" dataDxfId="204"/>
    <tableColumn id="9" xr3:uid="{00000000-0010-0000-1400-000009000000}" uniqueName="9" name="ISIN" queryTableFieldId="9" dataDxfId="203"/>
    <tableColumn id="12" xr3:uid="{00000000-0010-0000-1400-00000C000000}" uniqueName="12" name="定价日" queryTableFieldId="12" dataDxfId="202"/>
    <tableColumn id="13" xr3:uid="{00000000-0010-0000-1400-00000D000000}" uniqueName="13" name="穆迪/标普" queryTableFieldId="13" dataDxfId="201"/>
    <tableColumn id="15" xr3:uid="{00000000-0010-0000-1400-00000F000000}" uniqueName="15" name="债项评级" queryTableFieldId="15" dataDxfId="200"/>
    <tableColumn id="68" xr3:uid="{3FAE810C-DBB1-4EA1-887E-C959C6AEE507}" uniqueName="68" name="主体评级" queryTableFieldId="114" dataDxfId="199"/>
    <tableColumn id="66" xr3:uid="{835384CB-5EA1-4AA5-80C7-6E7A7E31992D}" uniqueName="66" name="发行评级" queryTableFieldId="113" dataDxfId="198"/>
    <tableColumn id="23" xr3:uid="{B5A6303E-E7C0-43D0-A6BB-6FDABEE4ABD9}" uniqueName="23" name="英文简称" queryTableFieldId="450" dataDxfId="197"/>
    <tableColumn id="8" xr3:uid="{00000000-0010-0000-1400-000008000000}" uniqueName="8" name="债券简称" queryTableFieldId="8" dataDxfId="196"/>
    <tableColumn id="14" xr3:uid="{00000000-0010-0000-1400-00000E000000}" uniqueName="14" name="主体评级展望" queryTableFieldId="14" dataDxfId="195"/>
    <tableColumn id="26" xr3:uid="{00000000-0010-0000-1400-00001A000000}" uniqueName="26" name="发行规模(亿)" queryTableFieldId="26" dataDxfId="194"/>
    <tableColumn id="27" xr3:uid="{00000000-0010-0000-1400-00001B000000}" uniqueName="27" name="货币" queryTableFieldId="27" dataDxfId="193"/>
    <tableColumn id="28" xr3:uid="{00000000-0010-0000-1400-00001C000000}" uniqueName="28" name="发行期限(年)" queryTableFieldId="28" dataDxfId="192"/>
    <tableColumn id="18" xr3:uid="{AE2E760D-01E7-4A99-A03D-0E14B2E5A35B}" uniqueName="18" name="票息_DMI" queryTableFieldId="587" dataDxfId="191"/>
    <tableColumn id="19" xr3:uid="{00000000-0010-0000-1400-000013000000}" uniqueName="19" name="兑付日" queryTableFieldId="19" dataDxfId="190"/>
    <tableColumn id="30" xr3:uid="{00000000-0010-0000-1400-00001E000000}" uniqueName="30" name="发行场所" queryTableFieldId="30" dataDxfId="189"/>
    <tableColumn id="20" xr3:uid="{2E21E1F0-B3C8-4D63-81C1-4DEA5849D935}" uniqueName="20" name="IPT_DMI" queryTableFieldId="98" dataDxfId="188"/>
    <tableColumn id="21" xr3:uid="{721CAAAA-9532-4A2C-AF68-00307121AC06}" uniqueName="21" name="FPG_DMI" queryTableFieldId="99" dataDxfId="187"/>
    <tableColumn id="22" xr3:uid="{00000000-0010-0000-1400-000016000000}" uniqueName="22" name="收窄幅度(bp)" queryTableFieldId="22" dataDxfId="186"/>
    <tableColumn id="82" xr3:uid="{8C16BF61-CC83-4336-BE5B-8B8A13B0CA9C}" uniqueName="82" name="发行规则" queryTableFieldId="552" dataDxfId="185"/>
    <tableColumn id="62" xr3:uid="{9E4808FC-4C9C-428D-82BA-2929B856B8D6}" uniqueName="62" name="发行架构" queryTableFieldId="144" dataDxfId="184"/>
    <tableColumn id="24" xr3:uid="{00000000-0010-0000-1400-000018000000}" uniqueName="24" name="SBLC提供者" queryTableFieldId="24" dataDxfId="183"/>
    <tableColumn id="25" xr3:uid="{00000000-0010-0000-1400-000019000000}" uniqueName="25" name="偿还顺位" queryTableFieldId="25" dataDxfId="182"/>
    <tableColumn id="29" xr3:uid="{00000000-0010-0000-1400-00001D000000}" uniqueName="29" name="发行价" queryTableFieldId="29" dataDxfId="181"/>
    <tableColumn id="31" xr3:uid="{00000000-0010-0000-1400-00001F000000}" uniqueName="31" name="首日涨跌" queryTableFieldId="31" dataDxfId="180"/>
    <tableColumn id="5" xr3:uid="{00000000-0010-0000-1400-000005000000}" uniqueName="5" name="省份" queryTableFieldId="5" dataDxfId="179"/>
    <tableColumn id="6" xr3:uid="{00000000-0010-0000-1400-000006000000}" uniqueName="6" name="城市" queryTableFieldId="6" dataDxfId="178"/>
    <tableColumn id="7" xr3:uid="{00000000-0010-0000-1400-000007000000}" uniqueName="7" name="区县" queryTableFieldId="7" dataDxfId="177"/>
    <tableColumn id="32" xr3:uid="{00000000-0010-0000-1400-000020000000}" uniqueName="32" name="认购额(亿)" queryTableFieldId="32" dataDxfId="176"/>
    <tableColumn id="33" xr3:uid="{00000000-0010-0000-1400-000021000000}" uniqueName="33" name="认购倍数" queryTableFieldId="33" dataDxfId="175"/>
    <tableColumn id="34" xr3:uid="{00000000-0010-0000-1400-000022000000}" uniqueName="34" name="亚洲占比" queryTableFieldId="34" dataDxfId="174"/>
    <tableColumn id="35" xr3:uid="{00000000-0010-0000-1400-000023000000}" uniqueName="35" name="基金占比" queryTableFieldId="35" dataDxfId="173"/>
    <tableColumn id="36" xr3:uid="{00000000-0010-0000-1400-000024000000}" uniqueName="36" name="联席全球协调人" queryTableFieldId="36" dataDxfId="172"/>
    <tableColumn id="72" xr3:uid="{00000000-0010-0000-1400-000048000000}" uniqueName="72" name="发行方式" queryTableFieldId="93" dataDxfId="171"/>
    <tableColumn id="4" xr3:uid="{00000000-0010-0000-1400-000004000000}" uniqueName="4" name="细分行业" queryTableFieldId="4" dataDxfId="170"/>
    <tableColumn id="10" xr3:uid="{00000000-0010-0000-1400-00000A000000}" uniqueName="10" name="主题债券" queryTableFieldId="10" dataDxfId="169"/>
    <tableColumn id="16" xr3:uid="{00000000-0010-0000-1400-000010000000}" uniqueName="16" name="债项初始评级" queryTableFieldId="16" dataDxfId="168"/>
    <tableColumn id="17" xr3:uid="{00000000-0010-0000-1400-000011000000}" uniqueName="17" name="境内主体评级" queryTableFieldId="17" dataDxfId="167"/>
    <tableColumn id="3" xr3:uid="{00000000-0010-0000-1400-000003000000}" uniqueName="3" name="行业" queryTableFieldId="3" dataDxfId="166"/>
    <tableColumn id="70" xr3:uid="{D4D745FA-E2EC-49A7-8DD6-A7E0C561075E}" uniqueName="70" name="剩余期限" queryTableFieldId="122" dataDxfId="165"/>
    <tableColumn id="2" xr3:uid="{00000000-0010-0000-1400-000002000000}" uniqueName="2" name="公司类型" queryTableFieldId="2" dataDxfId="164"/>
    <tableColumn id="11" xr3:uid="{00000000-0010-0000-1400-00000B000000}" uniqueName="11" name="评级类型" queryTableFieldId="11" dataDxfId="163"/>
    <tableColumn id="73" xr3:uid="{EC155D5D-7034-4D98-AE8E-9FD72DE0014F}" uniqueName="73" name="投资者账户数" queryTableFieldId="123" dataDxfId="162"/>
    <tableColumn id="74" xr3:uid="{F3AEB759-21B8-4CF1-A6A6-D6587E7B0569}" uniqueName="74" name="投资者类型" queryTableFieldId="124" dataDxfId="161"/>
    <tableColumn id="75" xr3:uid="{8379EAC2-F6FB-4868-9327-F4926D5314B2}" uniqueName="75" name="投资者分布" queryTableFieldId="125" dataDxfId="160"/>
    <tableColumn id="76" xr3:uid="{99F5C9BF-819A-4B74-90A6-3D912D600F26}" uniqueName="76" name="筹款用途" queryTableFieldId="126" dataDxfId="159"/>
    <tableColumn id="37" xr3:uid="{00000000-0010-0000-1400-000025000000}" uniqueName="37" name="ticker" queryTableFieldId="37" dataDxfId="158"/>
    <tableColumn id="38" xr3:uid="{00000000-0010-0000-1400-000026000000}" uniqueName="38" name="债券最新面值" queryTableFieldId="38" dataDxfId="157"/>
    <tableColumn id="39" xr3:uid="{00000000-0010-0000-1400-000027000000}" uniqueName="39" name="债券余额" queryTableFieldId="39" dataDxfId="156"/>
    <tableColumn id="40" xr3:uid="{00000000-0010-0000-1400-000028000000}" uniqueName="40" name="起息日期" queryTableFieldId="40" dataDxfId="155"/>
    <tableColumn id="41" xr3:uid="{00000000-0010-0000-1400-000029000000}" uniqueName="41" name="行权兑付日" queryTableFieldId="41" dataDxfId="154"/>
    <tableColumn id="43" xr3:uid="{00000000-0010-0000-1400-00002B000000}" uniqueName="43" name="计息基准" queryTableFieldId="43" dataDxfId="153"/>
    <tableColumn id="42" xr3:uid="{00000000-0010-0000-1400-00002A000000}" uniqueName="42" name="最新票面利率" queryTableFieldId="42" dataDxfId="152"/>
    <tableColumn id="44" xr3:uid="{00000000-0010-0000-1400-00002C000000}" uniqueName="44" name="首次付息日" queryTableFieldId="44" dataDxfId="151"/>
    <tableColumn id="45" xr3:uid="{00000000-0010-0000-1400-00002D000000}" uniqueName="45" name="发行人" queryTableFieldId="45" dataDxfId="150"/>
    <tableColumn id="47" xr3:uid="{00000000-0010-0000-1400-00002F000000}" uniqueName="47" name="发行起始日" queryTableFieldId="47" dataDxfId="149"/>
    <tableColumn id="77" xr3:uid="{96AB1C8E-595F-43D9-A802-E2A6579CD92F}" uniqueName="77" name="定价_DMI" queryTableFieldId="136" dataDxfId="148"/>
    <tableColumn id="46" xr3:uid="{00000000-0010-0000-1400-00002E000000}" uniqueName="46" name="担保人" queryTableFieldId="46" dataDxfId="147"/>
    <tableColumn id="48" xr3:uid="{00000000-0010-0000-1400-000030000000}" uniqueName="48" name="上市日期" queryTableFieldId="48" dataDxfId="146"/>
    <tableColumn id="49" xr3:uid="{00000000-0010-0000-1400-000031000000}" uniqueName="49" name="特殊条款说明" queryTableFieldId="49" dataDxfId="145"/>
    <tableColumn id="50" xr3:uid="{00000000-0010-0000-1400-000032000000}" uniqueName="50" name="牵头经办人" queryTableFieldId="50" dataDxfId="144"/>
    <tableColumn id="78" xr3:uid="{A0CF3BD1-5FCF-4795-AF10-20DDD23A6110}" uniqueName="78" name="联席账簿管理人" queryTableFieldId="128" dataDxfId="143"/>
    <tableColumn id="51" xr3:uid="{00000000-0010-0000-1400-000033000000}" uniqueName="51" name="是否永续债" queryTableFieldId="51" dataDxfId="142"/>
    <tableColumn id="52" xr3:uid="{00000000-0010-0000-1400-000034000000}" uniqueName="52" name="是否存单" queryTableFieldId="52" dataDxfId="141"/>
    <tableColumn id="53" xr3:uid="{00000000-0010-0000-1400-000035000000}" uniqueName="53" name="利率类型" queryTableFieldId="53" dataDxfId="140"/>
    <tableColumn id="54" xr3:uid="{00000000-0010-0000-1400-000036000000}" uniqueName="54" name="交易状态" queryTableFieldId="54" dataDxfId="139"/>
    <tableColumn id="55" xr3:uid="{00000000-0010-0000-1400-000037000000}" uniqueName="55" name="债券类型" queryTableFieldId="55" dataDxfId="138"/>
    <tableColumn id="56" xr3:uid="{00000000-0010-0000-1400-000038000000}" uniqueName="56" name="特殊条款" queryTableFieldId="56" dataDxfId="137"/>
    <tableColumn id="57" xr3:uid="{00000000-0010-0000-1400-000039000000}" uniqueName="57" name="付息频率" queryTableFieldId="57" dataDxfId="136"/>
    <tableColumn id="58" xr3:uid="{00000000-0010-0000-1400-00003A000000}" uniqueName="58" name="维好协议提供者" queryTableFieldId="58" dataDxfId="135"/>
    <tableColumn id="83" xr3:uid="{E0D8BE77-661B-4FA3-A3EB-364390317F31}" uniqueName="83" name="临时isin" queryTableFieldId="553" dataDxfId="134"/>
    <tableColumn id="90" xr3:uid="{7F696835-EE38-431A-A283-647A07ECC4C3}" uniqueName="90" name="BISL_ROLE" queryTableFieldId="616" dataDxfId="133"/>
    <tableColumn id="88" xr3:uid="{A85513D1-22EA-42F5-ADC2-5073B6878BBC}" uniqueName="88" name="DataSource" queryTableFieldId="591" dataDxfId="132"/>
    <tableColumn id="71" xr3:uid="{00000000-0010-0000-1400-000047000000}" uniqueName="71" name="地区" queryTableFieldId="91" dataDxfId="131"/>
    <tableColumn id="91" xr3:uid="{86C64630-FF6E-43F3-BDE4-846881E2BC9C}" uniqueName="91" name="通过分行" queryTableFieldId="618" dataDxfId="130"/>
    <tableColumn id="89" xr3:uid="{2863D817-E5A8-41B1-9015-FAD5D513678E}" uniqueName="89" name="增发判定" queryTableFieldId="614" dataDxfId="129"/>
    <tableColumn id="81" xr3:uid="{9A692B81-7755-46AF-B5A0-027C8CDE2E57}" uniqueName="81" name="违约日期" queryTableFieldId="550" dataDxfId="128"/>
    <tableColumn id="85" xr3:uid="{95E17553-A5B1-47F2-B9DA-EE0FC32D5766}" uniqueName="85" name="信用主体简称" queryTableFieldId="576" dataDxfId="127"/>
    <tableColumn id="86" xr3:uid="{F79DD9BB-65C7-4397-82CC-EFE1C4785655}" uniqueName="86" name="板块" queryTableFieldId="577" dataDxfId="126"/>
    <tableColumn id="87" xr3:uid="{4D250DE6-0573-4A49-8EF3-9356EAB28656}" uniqueName="87" name="DEBUT_DATE" queryTableFieldId="589" dataDxfId="125"/>
    <tableColumn id="79" xr3:uid="{4D5A05D7-BD47-4CF2-BA37-25E4CD582264}" uniqueName="79" name="注册成立地" queryTableFieldId="140" dataDxfId="124"/>
    <tableColumn id="80" xr3:uid="{7D0B3F21-10BB-4E32-89D1-69E4FA31A948}" uniqueName="80" name="发行人主上市地" queryTableFieldId="507" dataDxfId="123"/>
    <tableColumn id="60" xr3:uid="{FFDB6495-96BB-4A1F-8A95-F7E651B4C829}" uniqueName="60" name="亿美元" queryTableFieldId="100" dataDxfId="122"/>
    <tableColumn id="64" xr3:uid="{8A4D7B30-87EA-4608-AF0A-57BD31C54E25}" uniqueName="64" name="亿元" queryTableFieldId="105" dataDxfId="121"/>
    <tableColumn id="69" xr3:uid="{CF2B540E-0281-473E-8195-E64D9272102B}" uniqueName="69" name="亿港币" queryTableFieldId="120" dataDxfId="120"/>
    <tableColumn id="61" xr3:uid="{C8615552-A40D-44A0-968D-B22B635B4874}" uniqueName="61" name="IS_FIMTN" queryTableFieldId="109" dataDxfId="119"/>
    <tableColumn id="84" xr3:uid="{0F0FD982-24BE-47E3-AB97-24573D35A9F5}" uniqueName="84" name="Stats" queryTableFieldId="574" dataDxfId="118"/>
    <tableColumn id="63" xr3:uid="{222E9603-970D-4782-9F61-BA306470C980}" uniqueName="63" name="补充OMAS updates" queryTableFieldId="111" dataDxfId="117"/>
    <tableColumn id="65" xr3:uid="{80765AA5-3F0E-470B-9194-548C15E96FE2}" uniqueName="65" name="定价息差" queryTableFieldId="112" dataDxfId="116"/>
    <tableColumn id="59" xr3:uid="{00000000-0010-0000-1400-00003B000000}" uniqueName="59" name="Check" queryTableFieldId="59" dataDxfId="115"/>
  </tableColumns>
  <tableStyleInfo name="Qry Load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1B45695-E23F-4488-86FF-EB9FF19D0D29}" name="DMI列名更改_2" displayName="DMI列名更改_2" ref="A20:A22" tableType="queryTable" totalsRowShown="0">
  <autoFilter ref="A20:A22" xr:uid="{01B45695-E23F-4488-86FF-EB9FF19D0D29}">
    <filterColumn colId="0" hiddenButton="1"/>
  </autoFilter>
  <tableColumns count="1">
    <tableColumn id="2" xr3:uid="{DFAF3CC5-F455-4853-8EC1-D311FB3CA37A}" uniqueName="2" name="DMI列名更改" queryTableFieldId="2" dataDxfId="445"/>
  </tableColumns>
  <tableStyleInfo name="Qry Load 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CC4E3B3E-DF33-41C3-95A7-8A54E29E2305}" name="DMI新增列_2" displayName="DMI新增列_2" ref="A16:A18" tableType="queryTable" totalsRowShown="0">
  <autoFilter ref="A16:A18" xr:uid="{CC4E3B3E-DF33-41C3-95A7-8A54E29E2305}">
    <filterColumn colId="0" hiddenButton="1"/>
  </autoFilter>
  <tableColumns count="1">
    <tableColumn id="2" xr3:uid="{E47B8A04-A7A3-447E-9A93-6C98C57C7BFA}" uniqueName="2" name="DMI新增列" queryTableFieldId="2" dataDxfId="444"/>
  </tableColumns>
  <tableStyleInfo name="Qry Load 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11F37B5-1EA6-4C0E-AA91-32EAFC288924}" name="LoadStatus" displayName="LoadStatus" ref="A10:B14" tableType="queryTable" totalsRowShown="0">
  <autoFilter ref="A10:B14" xr:uid="{0820282B-C3EB-444E-9D93-FACE953083CE}">
    <filterColumn colId="0" hiddenButton="1"/>
    <filterColumn colId="1" hiddenButton="1"/>
  </autoFilter>
  <tableColumns count="2">
    <tableColumn id="1" xr3:uid="{7D3F7F2E-FC88-4EA9-AF19-6CEF263390BF}" uniqueName="1" name="Column1" queryTableFieldId="5" dataDxfId="443"/>
    <tableColumn id="2" xr3:uid="{138B49F4-9952-459B-814F-11AD4D62172B}" uniqueName="2" name="Column2" queryTableFieldId="6" dataDxfId="54"/>
  </tableColumns>
  <tableStyleInfo name="Qry Load 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6000000}" name="headers_Curated" displayName="headers_Curated" ref="A5:A25" tableType="queryTable" totalsRowShown="0">
  <autoFilter ref="A5:A25" xr:uid="{00000000-0009-0000-0100-000028000000}"/>
  <tableColumns count="1">
    <tableColumn id="1" xr3:uid="{174EE17E-5D50-49B8-B7C8-24257CE45476}" uniqueName="1" name="headers_Curated" queryTableFieldId="2"/>
  </tableColumns>
  <tableStyleInfo name="Qry Source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S5:AL16" tableType="queryTable" totalsRowShown="0">
  <autoFilter ref="S5:AL16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700-000001000000}" uniqueName="1" name="定价日" queryTableFieldId="1" dataDxfId="114"/>
    <tableColumn id="2" xr3:uid="{00000000-0010-0000-1700-000002000000}" uniqueName="2" name="信用主体" queryTableFieldId="2" dataDxfId="113"/>
    <tableColumn id="15" xr3:uid="{E24E777A-D49C-4B3E-93AA-DFAEBA57F42B}" uniqueName="15" name="ESG" queryTableFieldId="55" dataDxfId="112"/>
    <tableColumn id="12" xr3:uid="{00000000-0010-0000-1700-00000C000000}" uniqueName="12" name="IPG" queryTableFieldId="12" dataDxfId="111"/>
    <tableColumn id="13" xr3:uid="{00000000-0010-0000-1700-00000D000000}" uniqueName="13" name="FPG" queryTableFieldId="13" dataDxfId="110"/>
    <tableColumn id="14" xr3:uid="{00000000-0010-0000-1700-00000E000000}" uniqueName="14" name="收窄基点" queryTableFieldId="14" dataDxfId="109"/>
    <tableColumn id="25" xr3:uid="{00000000-0010-0000-1700-000019000000}" uniqueName="25" name="定价" queryTableFieldId="25" dataDxfId="108"/>
    <tableColumn id="31" xr3:uid="{FFCE47EB-D5CF-4D34-81FA-065EDA65F5D5}" uniqueName="31" name="增发判定" queryTableFieldId="72" dataDxfId="107"/>
    <tableColumn id="8" xr3:uid="{00000000-0010-0000-1700-000008000000}" uniqueName="8" name="货币" queryTableFieldId="8" dataDxfId="106"/>
    <tableColumn id="9" xr3:uid="{00000000-0010-0000-1700-000009000000}" uniqueName="9" name="发行规模(亿)" queryTableFieldId="9" dataDxfId="105"/>
    <tableColumn id="5" xr3:uid="{A465A109-439B-46CC-B8D9-8536815366D7}" uniqueName="5" name="年期" queryTableFieldId="52" dataDxfId="104"/>
    <tableColumn id="11" xr3:uid="{00000000-0010-0000-1700-00000B000000}" uniqueName="11" name="票息" queryTableFieldId="11" dataDxfId="103"/>
    <tableColumn id="20" xr3:uid="{7E19D719-1D4A-42E1-9F7A-3CD7D5DA6A44}" uniqueName="20" name="FEATURED" queryTableFieldId="57" dataDxfId="102"/>
    <tableColumn id="33" xr3:uid="{F7F8C15B-103F-4121-B909-0AA998B5A268}" uniqueName="33" name="上市" queryTableFieldId="73" dataDxfId="101"/>
    <tableColumn id="34" xr3:uid="{54CE4E1B-194A-4B7A-8136-018BFA61D12B}" uniqueName="34" name="期限备注" queryTableFieldId="82" dataDxfId="100"/>
    <tableColumn id="23" xr3:uid="{00000000-0010-0000-1700-000017000000}" uniqueName="23" name="亿美元" queryTableFieldId="23" dataDxfId="99"/>
    <tableColumn id="24" xr3:uid="{00000000-0010-0000-1700-000018000000}" uniqueName="24" name="亿元" queryTableFieldId="24" dataDxfId="98"/>
    <tableColumn id="21" xr3:uid="{02205151-A1BC-4641-96CA-0A9C736A8B39}" uniqueName="21" name="亿港币" queryTableFieldId="84" dataDxfId="97"/>
    <tableColumn id="35" xr3:uid="{00000000-0010-0000-1700-000023000000}" uniqueName="35" name="ISIN" queryTableFieldId="35" dataDxfId="96"/>
    <tableColumn id="19" xr3:uid="{00000000-0010-0000-1700-000013000000}" uniqueName="19" name="Check" queryTableFieldId="49" dataDxfId="95"/>
  </tableColumns>
  <tableStyleInfo name="Qry Load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R5:BE7" tableType="queryTable" totalsRowShown="0">
  <autoFilter ref="AR5:BE7" xr:uid="{00000000-0009-0000-0100-000013000000}"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4" xr3:uid="{01FA5C76-E4A2-4330-BE15-F2BBFE12C458}" uniqueName="4" name="信用主体" queryTableFieldId="69"/>
    <tableColumn id="1" xr3:uid="{00000000-0010-0000-1800-000001000000}" uniqueName="1" name="Check" queryTableFieldId="1" dataDxfId="94"/>
    <tableColumn id="2" xr3:uid="{00000000-0010-0000-1800-000002000000}" uniqueName="2" name="ISIN" queryTableFieldId="2" dataDxfId="93"/>
    <tableColumn id="3" xr3:uid="{00000000-0010-0000-1800-000003000000}" uniqueName="3" name="定价日" queryTableFieldId="3" dataDxfId="92"/>
    <tableColumn id="18" xr3:uid="{CE8319FC-590C-4EDF-A68D-FBC91063B4F2}" uniqueName="18" name="台账序号" queryTableFieldId="38" dataDxfId="91"/>
    <tableColumn id="10" xr3:uid="{00000000-0010-0000-1800-00000A000000}" uniqueName="10" name="Project Name" queryTableFieldId="22" dataDxfId="90"/>
    <tableColumn id="8" xr3:uid="{00000000-0010-0000-1800-000008000000}" uniqueName="8" name="COVERAGE" queryTableFieldId="16" dataDxfId="89"/>
    <tableColumn id="12" xr3:uid="{00000000-0010-0000-1800-00000C000000}" uniqueName="12" name="新规角色" queryTableFieldId="12" dataDxfId="88"/>
    <tableColumn id="9" xr3:uid="{00000000-0010-0000-1800-000009000000}" uniqueName="9" name="PROJECT_CODE" queryTableFieldId="17" dataDxfId="87"/>
    <tableColumn id="15" xr3:uid="{00000000-0010-0000-1800-00000F000000}" uniqueName="15" name="期数" queryTableFieldId="15" dataDxfId="86"/>
    <tableColumn id="5" xr3:uid="{00000000-0010-0000-1800-000005000000}" uniqueName="5" name="BISL_ROLE" queryTableFieldId="5" dataDxfId="85"/>
    <tableColumn id="11" xr3:uid="{00000000-0010-0000-1800-00000B000000}" uniqueName="11" name="IS_LEAD" queryTableFieldId="30" dataDxfId="84"/>
    <tableColumn id="13" xr3:uid="{00000000-0010-0000-1800-00000D000000}" uniqueName="13" name="IS_B&amp;D" queryTableFieldId="31" dataDxfId="83"/>
    <tableColumn id="14" xr3:uid="{00000000-0010-0000-1800-00000E000000}" uniqueName="14" name="是否合名" queryTableFieldId="32" dataDxfId="82"/>
  </tableColumns>
  <tableStyleInfo name="Qry Load 4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AR11:AU12" tableType="queryTable" insertRow="1" totalsRowShown="0">
  <autoFilter ref="AR11:AU12" xr:uid="{00000000-0009-0000-0100-00000F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900-000001000000}" uniqueName="1" name="信用主体" queryTableFieldId="1" dataDxfId="67"/>
    <tableColumn id="3" xr3:uid="{00000000-0010-0000-1900-000003000000}" uniqueName="3" name="SHORTNAMER" queryTableFieldId="3"/>
    <tableColumn id="2" xr3:uid="{067E2B2D-938B-409B-BBB9-BD65FC38D959}" uniqueName="2" name="中资属性" queryTableFieldId="6" dataDxfId="66"/>
    <tableColumn id="4" xr3:uid="{5D8C0826-4749-4B80-BE52-B2AE7B522193}" uniqueName="4" name="板块" queryTableFieldId="8" dataDxfId="65"/>
  </tableColumns>
  <tableStyleInfo name="review 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B6CCFE2C-8D37-4289-B0A6-5D11A030F5A4}" name="headers_BOCOM" displayName="headers_BOCOM" ref="C5:C19" tableType="queryTable" totalsRowShown="0">
  <autoFilter ref="C5:C19" xr:uid="{B6CCFE2C-8D37-4289-B0A6-5D11A030F5A4}"/>
  <tableColumns count="1">
    <tableColumn id="1" xr3:uid="{0999779C-4DED-46B7-AD60-4677DC2F5325}" uniqueName="1" name="headers_BOCOM" queryTableFieldId="2"/>
  </tableColumns>
  <tableStyleInfo name="Qry Source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A4664E00-7824-4E38-BECA-4C1F971C81AB}" name="headers_Issuer" displayName="headers_Issuer" ref="B5:B16" tableType="queryTable" totalsRowShown="0">
  <autoFilter ref="B5:B16" xr:uid="{A4664E00-7824-4E38-BECA-4C1F971C81AB}">
    <filterColumn colId="0" hiddenButton="1"/>
  </autoFilter>
  <tableColumns count="1">
    <tableColumn id="1" xr3:uid="{F52BE084-9BDA-4E5F-BA90-2C3EC414D211}" uniqueName="1" name="headers_Issuer" queryTableFieldId="1" dataDxfId="442"/>
  </tableColumns>
  <tableStyleInfo name="Qry Source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08AC99E-9D85-40A8-B69C-18DF34FA2CB9}" name="ForReview_Issuer" displayName="ForReview_Issuer" ref="E5:O16" tableType="queryTable" totalsRowShown="0">
  <autoFilter ref="E5:O16" xr:uid="{E08AC99E-9D85-40A8-B69C-18DF34FA2CB9}"/>
  <tableColumns count="11">
    <tableColumn id="15" xr3:uid="{310DD8FA-019E-471D-A6C2-33190693E7AB}" uniqueName="15" name="删除及隐藏" queryTableFieldId="20" dataDxfId="34"/>
    <tableColumn id="1" xr3:uid="{4CAAB213-A5BF-422F-B6AF-3B594EB1C872}" uniqueName="1" name="ISIN" queryTableFieldId="1" dataDxfId="33"/>
    <tableColumn id="2" xr3:uid="{ECFCF490-6D05-417B-B004-635CEFE3638A}" uniqueName="2" name="定价日" queryTableFieldId="2" dataDxfId="32"/>
    <tableColumn id="3" xr3:uid="{334D16D1-0C1B-4E66-944C-92E929211566}" uniqueName="3" name="信用主体" queryTableFieldId="3" dataDxfId="31"/>
    <tableColumn id="12" xr3:uid="{D5AF083B-2DBE-4813-9839-0678D7B4A2AE}" uniqueName="12" name="发行评级" queryTableFieldId="12" dataDxfId="30"/>
    <tableColumn id="13" xr3:uid="{8D717083-7664-43FE-B75D-25CF673B6C4F}" uniqueName="13" name="主体评级" queryTableFieldId="13" dataDxfId="29"/>
    <tableColumn id="5" xr3:uid="{DA0DC512-E441-4A7D-A03D-26D21A40DDC8}" uniqueName="5" name="结构" queryTableFieldId="5" dataDxfId="28"/>
    <tableColumn id="4" xr3:uid="{9BCDB2D2-5250-483E-BBD3-71688F9A057A}" uniqueName="4" name="备证行" queryTableFieldId="4" dataDxfId="27"/>
    <tableColumn id="10" xr3:uid="{1ED45D6F-10C1-4C84-82DC-5A0C18EACE01}" uniqueName="10" name="港分_ROLE" queryTableFieldId="10" dataDxfId="26"/>
    <tableColumn id="11" xr3:uid="{AF670E09-5B00-45D6-926C-EA8233698623}" uniqueName="11" name="澳分_ROLE" queryTableFieldId="11" dataDxfId="25"/>
    <tableColumn id="14" xr3:uid="{6C693FDE-83D3-4FA5-A040-89A6FF4B8B11}" uniqueName="14" name="Check" queryTableFieldId="14" dataDxfId="24"/>
  </tableColumns>
  <tableStyleInfo name="Qry Load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P3:AI26" totalsRowShown="0" headerRowDxfId="441" dataDxfId="440">
  <autoFilter ref="P3:AI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A00-000001000000}" name="定价日" dataDxfId="439"/>
    <tableColumn id="2" xr3:uid="{00000000-0010-0000-1A00-000002000000}" name="信用主体" dataDxfId="438"/>
    <tableColumn id="3" xr3:uid="{00000000-0010-0000-1A00-000003000000}" name="ESG" dataDxfId="437"/>
    <tableColumn id="4" xr3:uid="{00000000-0010-0000-1A00-000004000000}" name="IPG" dataDxfId="436"/>
    <tableColumn id="6" xr3:uid="{00000000-0010-0000-1A00-000006000000}" name="FPG" dataDxfId="435"/>
    <tableColumn id="16" xr3:uid="{00000000-0010-0000-1A00-000010000000}" name="收窄基点" dataDxfId="434"/>
    <tableColumn id="11" xr3:uid="{00000000-0010-0000-1A00-00000B000000}" name="定价" dataDxfId="433"/>
    <tableColumn id="12" xr3:uid="{00000000-0010-0000-1A00-00000C000000}" name="增发判定" dataDxfId="432"/>
    <tableColumn id="13" xr3:uid="{00000000-0010-0000-1A00-00000D000000}" name="货币" dataDxfId="431"/>
    <tableColumn id="14" xr3:uid="{00000000-0010-0000-1A00-00000E000000}" name="发行规模(亿)" dataDxfId="430"/>
    <tableColumn id="19" xr3:uid="{00000000-0010-0000-1A00-000013000000}" name="年期" dataDxfId="429"/>
    <tableColumn id="5" xr3:uid="{00000000-0010-0000-1A00-000005000000}" name="票息" dataDxfId="428"/>
    <tableColumn id="7" xr3:uid="{00000000-0010-0000-1A00-000007000000}" name="FEATURED" dataDxfId="427"/>
    <tableColumn id="8" xr3:uid="{00000000-0010-0000-1A00-000008000000}" name="上市" dataDxfId="426"/>
    <tableColumn id="9" xr3:uid="{00000000-0010-0000-1A00-000009000000}" name="期限备注" dataDxfId="425"/>
    <tableColumn id="10" xr3:uid="{00000000-0010-0000-1A00-00000A000000}" name="亿美元" dataDxfId="424"/>
    <tableColumn id="17" xr3:uid="{00000000-0010-0000-1A00-000011000000}" name="亿元" dataDxfId="423"/>
    <tableColumn id="18" xr3:uid="{00000000-0010-0000-1A00-000012000000}" name="亿港币" dataDxfId="422"/>
    <tableColumn id="15" xr3:uid="{00000000-0010-0000-1A00-00000F000000}" name="ISIN" dataDxfId="421"/>
    <tableColumn id="20" xr3:uid="{00000000-0010-0000-1A00-000014000000}" name="Check" dataDxfId="420"/>
  </tableColumns>
  <tableStyleInfo name="review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N3:BA12" totalsRowShown="0" headerRowDxfId="419" dataDxfId="418">
  <tableColumns count="14">
    <tableColumn id="1" xr3:uid="{00000000-0010-0000-1B00-000001000000}" name="信用主体" dataDxfId="417"/>
    <tableColumn id="2" xr3:uid="{00000000-0010-0000-1B00-000002000000}" name="Check" dataDxfId="416"/>
    <tableColumn id="3" xr3:uid="{00000000-0010-0000-1B00-000003000000}" name="ISIN" dataDxfId="415"/>
    <tableColumn id="4" xr3:uid="{00000000-0010-0000-1B00-000004000000}" name="定价日" dataDxfId="414"/>
    <tableColumn id="5" xr3:uid="{00000000-0010-0000-1B00-000005000000}" name="台账序号" dataDxfId="413"/>
    <tableColumn id="6" xr3:uid="{00000000-0010-0000-1B00-000006000000}" name="Project Name" dataDxfId="412"/>
    <tableColumn id="7" xr3:uid="{00000000-0010-0000-1B00-000007000000}" name="COVERAGE" dataDxfId="411"/>
    <tableColumn id="8" xr3:uid="{00000000-0010-0000-1B00-000008000000}" name="新规角色" dataDxfId="410"/>
    <tableColumn id="9" xr3:uid="{00000000-0010-0000-1B00-000009000000}" name="PROJECT_CODE" dataDxfId="409"/>
    <tableColumn id="10" xr3:uid="{00000000-0010-0000-1B00-00000A000000}" name="期数" dataDxfId="408"/>
    <tableColumn id="11" xr3:uid="{00000000-0010-0000-1B00-00000B000000}" name="BISL_ROLE" dataDxfId="407"/>
    <tableColumn id="12" xr3:uid="{00000000-0010-0000-1B00-00000C000000}" name="IS_LEAD" dataDxfId="406"/>
    <tableColumn id="13" xr3:uid="{00000000-0010-0000-1B00-00000D000000}" name="IS_B&amp;D" dataDxfId="405"/>
    <tableColumn id="14" xr3:uid="{00000000-0010-0000-1B00-00000E000000}" name="是否合名" dataDxfId="404"/>
  </tableColumns>
  <tableStyleInfo name="review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BF3:BI10" totalsRowShown="0" headerRowDxfId="403" dataDxfId="402">
  <autoFilter ref="BF3:BI10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C00-000001000000}" name="信用主体" dataDxfId="401"/>
    <tableColumn id="2" xr3:uid="{00000000-0010-0000-1C00-000002000000}" name="SHORTNAMER" dataDxfId="400"/>
    <tableColumn id="3" xr3:uid="{00000000-0010-0000-1C00-000003000000}" name="中资属性" dataDxfId="399"/>
    <tableColumn id="4" xr3:uid="{00000000-0010-0000-1C00-000004000000}" name="板块" dataDxfId="398"/>
  </tableColumns>
  <tableStyleInfo name="review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3CD73576-685A-4463-B286-BA93583F7EAD}" name="tbl_review_issuer" displayName="tbl_review_issuer" ref="A3:K26" totalsRowShown="0">
  <autoFilter ref="A3:K26" xr:uid="{3CD73576-685A-4463-B286-BA93583F7E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C16043-789C-4F7D-9D81-D08D0981C8C3}" name="删除及隐藏"/>
    <tableColumn id="2" xr3:uid="{5DF5922F-38A2-44C1-98E0-90E2E7024D46}" name="ISIN"/>
    <tableColumn id="3" xr3:uid="{984F61F3-4E94-429C-8B44-253EB4A0716B}" name="定价日" dataDxfId="397"/>
    <tableColumn id="4" xr3:uid="{0C203217-F646-4D3C-BCC1-CB5D146D778A}" name="信用主体" dataDxfId="396"/>
    <tableColumn id="5" xr3:uid="{A25FD1AD-D56B-41F1-9188-7F9B7192E7CD}" name="发行评级"/>
    <tableColumn id="6" xr3:uid="{E4402E1D-73C9-4309-AA03-6790C79E9C4A}" name="主体评级"/>
    <tableColumn id="7" xr3:uid="{438D915C-BCA4-413D-9D3A-2F68849D62D9}" name="结构"/>
    <tableColumn id="8" xr3:uid="{131FD3AA-723E-4814-A969-A0CDE88231D0}" name="备证行"/>
    <tableColumn id="9" xr3:uid="{EDFD0AF3-9830-4F1A-BE5B-3C4538942E92}" name="港分_ROLE"/>
    <tableColumn id="10" xr3:uid="{0BC785CC-7440-4220-B5AC-1EA2332E7538}" name="澳分_ROLE"/>
    <tableColumn id="11" xr3:uid="{D6147797-2EB0-4425-B684-3B2CB4B11431}" name="Check"/>
  </tableColumns>
  <tableStyleInfo name="review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0000000}" name="charts" displayName="charts" ref="A8:J22" tableType="queryTable" totalsRowShown="0">
  <autoFilter ref="A8:J22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000-000001000000}" uniqueName="1" name="定价日" queryTableFieldId="1" dataDxfId="23"/>
    <tableColumn id="2" xr3:uid="{00000000-0010-0000-2000-000002000000}" uniqueName="2" name="ISIN" queryTableFieldId="2" dataDxfId="22"/>
    <tableColumn id="3" xr3:uid="{00000000-0010-0000-2000-000003000000}" uniqueName="3" name="债券简称" queryTableFieldId="3"/>
    <tableColumn id="4" xr3:uid="{00000000-0010-0000-2000-000004000000}" uniqueName="4" name="年期" queryTableFieldId="4" dataDxfId="21"/>
    <tableColumn id="5" xr3:uid="{00000000-0010-0000-2000-000005000000}" uniqueName="5" name="亿美元" queryTableFieldId="5" dataDxfId="20"/>
    <tableColumn id="10" xr3:uid="{4DD127ED-3CFA-482D-824F-8996B3B2FF61}" uniqueName="10" name="货币" queryTableFieldId="10"/>
    <tableColumn id="11" xr3:uid="{736609AE-728A-49BC-8EC6-3BE5EAB61E97}" uniqueName="11" name="板块" queryTableFieldId="12"/>
    <tableColumn id="7" xr3:uid="{00000000-0010-0000-2000-000007000000}" uniqueName="7" name="评级分类" queryTableFieldId="7"/>
    <tableColumn id="8" xr3:uid="{00000000-0010-0000-2000-000008000000}" uniqueName="8" name="品种" queryTableFieldId="8"/>
    <tableColumn id="9" xr3:uid="{00000000-0010-0000-2000-000009000000}" uniqueName="9" name="按年" queryTableFieldId="9"/>
  </tableColumns>
  <tableStyleInfo name="Qry Load 3 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D000000}" name="Table_graph_weeklydeal" displayName="Table_graph_weeklydeal" ref="P8:AF19" tableType="queryTable" totalsRowShown="0">
  <autoFilter ref="P8:AF1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2" xr3:uid="{00000000-0010-0000-1D00-000002000000}" uniqueName="2" name="Index" queryTableFieldId="39" dataDxfId="40"/>
    <tableColumn id="33" xr3:uid="{00000000-0010-0000-1D00-000021000000}" uniqueName="33" name="ISIN" queryTableFieldId="33" dataDxfId="39"/>
    <tableColumn id="1" xr3:uid="{00000000-0010-0000-1D00-000001000000}" uniqueName="1" name="定价日" queryTableFieldId="1" dataDxfId="38"/>
    <tableColumn id="3" xr3:uid="{00000000-0010-0000-1D00-000003000000}" uniqueName="3" name="信用主体(备证行)" queryTableFieldId="40"/>
    <tableColumn id="7" xr3:uid="{00000000-0010-0000-1D00-000007000000}" uniqueName="7" name="发行评级" queryTableFieldId="7"/>
    <tableColumn id="9" xr3:uid="{00000000-0010-0000-1D00-000009000000}" uniqueName="9" name="货币" queryTableFieldId="9"/>
    <tableColumn id="10" xr3:uid="{00000000-0010-0000-1D00-00000A000000}" uniqueName="10" name="发行规模(亿)" queryTableFieldId="10" dataDxfId="37"/>
    <tableColumn id="11" xr3:uid="{00000000-0010-0000-1D00-00000B000000}" uniqueName="11" name="年期" queryTableFieldId="11"/>
    <tableColumn id="12" xr3:uid="{00000000-0010-0000-1D00-00000C000000}" uniqueName="12" name="票息" queryTableFieldId="12"/>
    <tableColumn id="13" xr3:uid="{00000000-0010-0000-1D00-00000D000000}" uniqueName="13" name="IPG" queryTableFieldId="13"/>
    <tableColumn id="15" xr3:uid="{00000000-0010-0000-1D00-00000F000000}" uniqueName="15" name="收窄基点" queryTableFieldId="15" dataDxfId="36"/>
    <tableColumn id="16" xr3:uid="{00000000-0010-0000-1D00-000010000000}" uniqueName="16" name="结构" queryTableFieldId="16"/>
    <tableColumn id="17" xr3:uid="{00000000-0010-0000-1D00-000011000000}" uniqueName="17" name="主题" queryTableFieldId="17"/>
    <tableColumn id="4" xr3:uid="{FA4F2C95-A39F-499C-B714-9F3BFC490D1F}" uniqueName="4" name="板块" queryTableFieldId="113"/>
    <tableColumn id="19" xr3:uid="{00000000-0010-0000-1D00-000013000000}" uniqueName="19" name="地区" queryTableFieldId="19"/>
    <tableColumn id="38" xr3:uid="{00000000-0010-0000-1D00-000026000000}" uniqueName="38" name="BOCOM_DEAL?" queryTableFieldId="38"/>
    <tableColumn id="23" xr3:uid="{00000000-0010-0000-1D00-000017000000}" uniqueName="23" name="亿美元" queryTableFieldId="52" dataDxfId="35"/>
  </tableColumns>
  <tableStyleInfo name="Qry Load 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98AD96D-7863-4558-8788-4248543E0DAC}" name="LastCharts" displayName="LastCharts" ref="L8:N9" tableType="queryTable" totalsRowShown="0">
  <autoFilter ref="L8:N9" xr:uid="{DFAF64BA-0806-4F02-8458-2F8481FBC27C}">
    <filterColumn colId="0" hiddenButton="1"/>
    <filterColumn colId="1" hiddenButton="1"/>
    <filterColumn colId="2" hiddenButton="1"/>
  </autoFilter>
  <tableColumns count="3">
    <tableColumn id="1" xr3:uid="{E945E58F-07A9-49F2-A732-F8DA4CC54BBC}" uniqueName="1" name="Weeknum" queryTableFieldId="1"/>
    <tableColumn id="2" xr3:uid="{857E8300-5E00-451D-A87A-FEB801CB337D}" uniqueName="2" name="上周亿美元" queryTableFieldId="2"/>
    <tableColumn id="3" xr3:uid="{53E88003-C23C-428B-99EE-7DB1B6538F3A}" uniqueName="3" name="上周笔数" queryTableFieldId="3"/>
  </tableColumns>
  <tableStyleInfo name="Qry Load 3 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7CE3B67-DD65-448A-AF02-EEB27346519F}" name="LastNIM" displayName="LastNIM" ref="L12:N13" tableType="queryTable" totalsRowShown="0">
  <autoFilter ref="L12:N13" xr:uid="{C37A86CE-2EAA-41E0-AA0E-87ADB5B8B502}">
    <filterColumn colId="0" hiddenButton="1"/>
    <filterColumn colId="1" hiddenButton="1"/>
    <filterColumn colId="2" hiddenButton="1"/>
  </autoFilter>
  <tableColumns count="3">
    <tableColumn id="1" xr3:uid="{D74458EA-1B01-4042-BF1D-3A0FEE3308FD}" uniqueName="1" name="周" queryTableFieldId="1" dataDxfId="395"/>
    <tableColumn id="2" xr3:uid="{47FE5343-0DFD-4CFF-B705-96BEB1393CEC}" uniqueName="2" name="上周亿美元" queryTableFieldId="2" dataDxfId="394"/>
    <tableColumn id="3" xr3:uid="{53E645CE-2F6A-4C47-9C37-6B361745E8FA}" uniqueName="3" name="上周笔数" queryTableFieldId="3" dataDxfId="393"/>
  </tableColumns>
  <tableStyleInfo name="Qry Load 5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62E14E-12FC-48C0-95EB-84A744987471}" name="SmartWriter" displayName="SmartWriter" ref="A6:D16" tableType="queryTable" totalsRowShown="0">
  <autoFilter ref="A6:D16" xr:uid="{808E568B-1200-457F-813E-717EE636BF7C}"/>
  <tableColumns count="4">
    <tableColumn id="1" xr3:uid="{3133AD58-D64F-445E-A0E3-8B36A2E4C89B}" uniqueName="1" name="信用主体简称" queryTableFieldId="1"/>
    <tableColumn id="2" xr3:uid="{38E483B3-A458-4148-BCAA-8CE932CA4FBA}" uniqueName="2" name="板块" queryTableFieldId="2" dataDxfId="2"/>
    <tableColumn id="3" xr3:uid="{5E891849-9559-434F-82D1-4DE41887D454}" uniqueName="3" name="货币" queryTableFieldId="3" dataDxfId="1"/>
    <tableColumn id="4" xr3:uid="{9D21F886-4318-4A17-8974-1FEAF278DF3A}" uniqueName="4" name="Writer" queryTableFieldId="4" dataDxfId="0"/>
  </tableColumns>
  <tableStyleInfo name="Qry Load 5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5000000}" name="writer_fi" displayName="writer_fi" ref="A4:F5" tableType="queryTable" insertRow="1" totalsRowShown="0" headerRowDxfId="392" dataDxfId="391">
  <autoFilter ref="A4:F5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500-00000C000000}" uniqueName="12" name="Index" queryTableFieldId="32"/>
    <tableColumn id="2" xr3:uid="{DC9FDCD3-4D4A-4186-A5C9-F5B48634CAC0}" uniqueName="2" name="板块" queryTableFieldId="182"/>
    <tableColumn id="19" xr3:uid="{00000000-0010-0000-2500-000013000000}" uniqueName="19" name="货币" queryTableFieldId="39"/>
    <tableColumn id="52" xr3:uid="{AB26975F-D9EA-48BA-ABD9-CE520C3C1B20}" uniqueName="52" name="信用主体(备证行)" queryTableFieldId="101"/>
    <tableColumn id="8" xr3:uid="{00000000-0010-0000-2500-000008000000}" uniqueName="8" name="描述" queryTableFieldId="14"/>
    <tableColumn id="1" xr3:uid="{AAB49F9D-B49B-4DF6-8D13-D7CB4D93209D}" uniqueName="1" name="Stats描述" queryTableFieldId="180" dataDxfId="390"/>
  </tableColumns>
  <tableStyleInfo name="Qry Load 5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writer_CNH" displayName="writer_CNH" ref="A9:F15" tableType="queryTable" totalsRowShown="0" headerRowDxfId="389" dataDxfId="388">
  <autoFilter ref="A9:F15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300-00000C000000}" uniqueName="12" name="Index" queryTableFieldId="22" dataDxfId="387"/>
    <tableColumn id="2" xr3:uid="{6DD35146-7DF1-4CCE-9356-C22B108F4F39}" uniqueName="2" name="板块" queryTableFieldId="214"/>
    <tableColumn id="3" xr3:uid="{00000000-0010-0000-2300-000003000000}" uniqueName="3" name="货币" queryTableFieldId="3" dataDxfId="386"/>
    <tableColumn id="52" xr3:uid="{747DCABA-F2CB-44A1-BB61-12F09EA77A65}" uniqueName="52" name="信用主体(备证行)" queryTableFieldId="74" dataDxfId="385"/>
    <tableColumn id="5" xr3:uid="{00000000-0010-0000-2300-000005000000}" uniqueName="5" name="描述" queryTableFieldId="5" dataDxfId="384"/>
    <tableColumn id="1" xr3:uid="{DCE0C678-7429-4B20-B919-874EAF955EBE}" uniqueName="1" name="Stats描述" queryTableFieldId="213" dataDxfId="383"/>
  </tableColumns>
  <tableStyleInfo name="Qry Load 5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writer_NotCNH" displayName="writer_NotCNH" ref="A20:F21" tableType="queryTable" insertRow="1" totalsRowShown="0" headerRowDxfId="382" dataDxfId="381">
  <autoFilter ref="A20:F21" xr:uid="{00000000-0009-0000-0100-000026000000}">
    <filterColumn colId="2" hiddenButton="1"/>
  </autoFilter>
  <tableColumns count="6">
    <tableColumn id="29" xr3:uid="{4034C07A-FF50-47F9-B7CA-29546EFE076C}" uniqueName="29" name="Index" queryTableFieldId="72"/>
    <tableColumn id="30" xr3:uid="{DBFA98CA-6E72-4D81-8440-EBA25FE54F1E}" uniqueName="30" name="板块" queryTableFieldId="73"/>
    <tableColumn id="3" xr3:uid="{00000000-0010-0000-2400-000003000000}" uniqueName="3" name="货币" queryTableFieldId="3"/>
    <tableColumn id="31" xr3:uid="{80C50101-917E-4DDF-9752-6B53798DF4D8}" uniqueName="31" name="信用主体(备证行)" queryTableFieldId="74"/>
    <tableColumn id="32" xr3:uid="{32A14984-53BA-479F-95AA-96A8A4B3F8FF}" uniqueName="32" name="描述" queryTableFieldId="75"/>
    <tableColumn id="33" xr3:uid="{CDEAB1CD-6BC5-4842-A871-EB242FD7D248}" uniqueName="33" name="Stats" queryTableFieldId="76"/>
  </tableColumns>
  <tableStyleInfo name="Qry Load 5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6000000}" name="ECON" displayName="ECON" ref="A12:O26" tableType="queryTable" totalsRowShown="0">
  <autoFilter ref="A12:O26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ref="A13:O26">
    <sortCondition descending="1" ref="I12:I26"/>
  </sortState>
  <tableColumns count="15">
    <tableColumn id="1" xr3:uid="{00000000-0010-0000-2600-000001000000}" uniqueName="1" name="Date" queryTableFieldId="1" dataDxfId="235"/>
    <tableColumn id="13" xr3:uid="{00000000-0010-0000-2600-00000D000000}" uniqueName="13" name="Region" queryTableFieldId="13" dataDxfId="234"/>
    <tableColumn id="3" xr3:uid="{00000000-0010-0000-2600-000003000000}" uniqueName="3" name="Event" queryTableFieldId="3" dataDxfId="233"/>
    <tableColumn id="14" xr3:uid="{00000000-0010-0000-2600-00000E000000}" uniqueName="14" name="Period" queryTableFieldId="14" dataDxfId="232"/>
    <tableColumn id="5" xr3:uid="{00000000-0010-0000-2600-000005000000}" uniqueName="5" name="Survey" queryTableFieldId="5" dataDxfId="231"/>
    <tableColumn id="6" xr3:uid="{00000000-0010-0000-2600-000006000000}" uniqueName="6" name="Actual" queryTableFieldId="6" dataDxfId="230"/>
    <tableColumn id="7" xr3:uid="{00000000-0010-0000-2600-000007000000}" uniqueName="7" name="Prior" queryTableFieldId="7" dataDxfId="229"/>
    <tableColumn id="8" xr3:uid="{00000000-0010-0000-2600-000008000000}" uniqueName="8" name="Revised" queryTableFieldId="8" dataDxfId="228"/>
    <tableColumn id="9" xr3:uid="{00000000-0010-0000-2600-000009000000}" uniqueName="9" name="Relevance" queryTableFieldId="9" dataDxfId="227"/>
    <tableColumn id="10" xr3:uid="{00000000-0010-0000-2600-00000A000000}" uniqueName="10" name="Ticker" queryTableFieldId="10" dataDxfId="226"/>
    <tableColumn id="11" xr3:uid="{00000000-0010-0000-2600-00000B000000}" uniqueName="11" name="Time" queryTableFieldId="11" dataDxfId="225"/>
    <tableColumn id="15" xr3:uid="{00000000-0010-0000-2600-00000F000000}" uniqueName="15" name="Table" queryTableFieldId="15" dataDxfId="224"/>
    <tableColumn id="17" xr3:uid="{00000000-0010-0000-2600-000011000000}" uniqueName="17" name="区间" queryTableFieldId="22" dataDxfId="223"/>
    <tableColumn id="18" xr3:uid="{00000000-0010-0000-2600-000012000000}" uniqueName="18" name="范围" queryTableFieldId="23" dataDxfId="222"/>
    <tableColumn id="16" xr3:uid="{00000000-0010-0000-2600-000010000000}" uniqueName="16" name="上周主要经济数据" queryTableFieldId="16" dataDxfId="221"/>
  </tableColumns>
  <tableStyleInfo name="Qry Load 5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7000000}" name="input_econ" displayName="input_econ" ref="B2:G8" totalsRowShown="0" headerRowDxfId="380" dataDxfId="379">
  <autoFilter ref="B2:G8" xr:uid="{644E2A09-C7EB-4F82-B548-1142239A8942}"/>
  <sortState ref="B3:G8">
    <sortCondition ref="D2:D8"/>
  </sortState>
  <tableColumns count="6">
    <tableColumn id="6" xr3:uid="{00000000-0010-0000-2700-000006000000}" name="Index" dataDxfId="378"/>
    <tableColumn id="1" xr3:uid="{00000000-0010-0000-2700-000001000000}" name="上周主要经济数据" dataDxfId="377"/>
    <tableColumn id="2" xr3:uid="{00000000-0010-0000-2700-000002000000}" name="发布(HKT) " dataDxfId="376">
      <calculatedColumnFormula>IFERROR(INDEX(ECON[Date],MATCH(input_econ[[#This Row],[上周主要经济数据]],ECON[上周主要经济数据],0)),"")</calculatedColumnFormula>
    </tableColumn>
    <tableColumn id="3" xr3:uid="{00000000-0010-0000-2700-000003000000}" name="前值" dataDxfId="375">
      <calculatedColumnFormula>IFERROR(INDEX(ECON[Prior],MATCH(input_econ[[#This Row],[上周主要经济数据]],ECON[上周主要经济数据],0)),"")</calculatedColumnFormula>
    </tableColumn>
    <tableColumn id="4" xr3:uid="{00000000-0010-0000-2700-000004000000}" name="预期" dataDxfId="374">
      <calculatedColumnFormula>IFERROR(INDEX(ECON[Survey],MATCH(input_econ[[#This Row],[上周主要经济数据]],ECON[上周主要经济数据],0)),"")</calculatedColumnFormula>
    </tableColumn>
    <tableColumn id="5" xr3:uid="{00000000-0010-0000-2700-000005000000}" name="现值" dataDxfId="373">
      <calculatedColumnFormula>IFERROR(INDEX(ECON[Actual],MATCH(input_econ[[#This Row],[上周主要经济数据]],ECON[上周主要经济数据],0)),"")</calculatedColumnFormula>
    </tableColumn>
  </tableColumns>
  <tableStyleInfo name="Qry Load 5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28000000}" name="FUTURE" displayName="FUTURE" ref="A10:O27" tableType="queryTable" totalsRowShown="0" dataDxfId="372">
  <autoFilter ref="A10:O27" xr:uid="{EC380FD7-61D3-49F7-9E43-37885EA54264}"/>
  <sortState ref="A11:O27">
    <sortCondition descending="1" ref="I10:I27"/>
  </sortState>
  <tableColumns count="15">
    <tableColumn id="1" xr3:uid="{00000000-0010-0000-2800-000001000000}" uniqueName="1" name="Date" queryTableFieldId="1" dataDxfId="220"/>
    <tableColumn id="2" xr3:uid="{00000000-0010-0000-2800-000002000000}" uniqueName="2" name="Region" queryTableFieldId="2" dataDxfId="219"/>
    <tableColumn id="3" xr3:uid="{00000000-0010-0000-2800-000003000000}" uniqueName="3" name="Event" queryTableFieldId="3" dataDxfId="218"/>
    <tableColumn id="4" xr3:uid="{00000000-0010-0000-2800-000004000000}" uniqueName="4" name="Period" queryTableFieldId="4" dataDxfId="217"/>
    <tableColumn id="5" xr3:uid="{00000000-0010-0000-2800-000005000000}" uniqueName="5" name="Survey" queryTableFieldId="5" dataDxfId="216"/>
    <tableColumn id="6" xr3:uid="{00000000-0010-0000-2800-000006000000}" uniqueName="6" name="Actual" queryTableFieldId="6" dataDxfId="215"/>
    <tableColumn id="7" xr3:uid="{00000000-0010-0000-2800-000007000000}" uniqueName="7" name="Prior" queryTableFieldId="7" dataDxfId="214"/>
    <tableColumn id="8" xr3:uid="{00000000-0010-0000-2800-000008000000}" uniqueName="8" name="Revised" queryTableFieldId="8" dataDxfId="213"/>
    <tableColumn id="9" xr3:uid="{00000000-0010-0000-2800-000009000000}" uniqueName="9" name="Relevance" queryTableFieldId="9" dataDxfId="212"/>
    <tableColumn id="10" xr3:uid="{00000000-0010-0000-2800-00000A000000}" uniqueName="10" name="Ticker" queryTableFieldId="10" dataDxfId="211"/>
    <tableColumn id="11" xr3:uid="{00000000-0010-0000-2800-00000B000000}" uniqueName="11" name="Time" queryTableFieldId="11" dataDxfId="210"/>
    <tableColumn id="12" xr3:uid="{00000000-0010-0000-2800-00000C000000}" uniqueName="12" name="Table" queryTableFieldId="12" dataDxfId="209"/>
    <tableColumn id="14" xr3:uid="{00000000-0010-0000-2800-00000E000000}" uniqueName="14" name="区间" queryTableFieldId="14" dataDxfId="208"/>
    <tableColumn id="15" xr3:uid="{00000000-0010-0000-2800-00000F000000}" uniqueName="15" name="范围" queryTableFieldId="15" dataDxfId="207"/>
    <tableColumn id="16" xr3:uid="{00000000-0010-0000-2800-000010000000}" uniqueName="16" name="未来一周主要经济数据" queryTableFieldId="16" dataDxfId="206"/>
  </tableColumns>
  <tableStyleInfo name="Qry Load 3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9000000}" name="input_future" displayName="input_future" ref="B2:F8" totalsRowShown="0" headerRowDxfId="371" dataDxfId="370">
  <autoFilter ref="B2:F8" xr:uid="{39A1B0C9-8B1C-4C7A-AB01-A5DC6D5CE22B}"/>
  <sortState ref="B3:F8">
    <sortCondition ref="D2:D8"/>
  </sortState>
  <tableColumns count="5">
    <tableColumn id="6" xr3:uid="{00000000-0010-0000-2900-000006000000}" name="Index" dataDxfId="369"/>
    <tableColumn id="1" xr3:uid="{00000000-0010-0000-2900-000001000000}" name="未来一周主要经济数据" dataDxfId="368"/>
    <tableColumn id="2" xr3:uid="{00000000-0010-0000-2900-000002000000}" name="预计发布(HKT) " dataDxfId="367">
      <calculatedColumnFormula>IFERROR(INDEX(FUTURE[Date],MATCH(input_future[[#This Row],[未来一周主要经济数据]],FUTURE[未来一周主要经济数据],0)),"")</calculatedColumnFormula>
    </tableColumn>
    <tableColumn id="3" xr3:uid="{00000000-0010-0000-2900-000003000000}" name="前值" dataDxfId="366">
      <calculatedColumnFormula>IFERROR(INDEX(FUTURE[Prior],MATCH(input_future[[#This Row],[未来一周主要经济数据]],FUTURE[未来一周主要经济数据],0)),"")</calculatedColumnFormula>
    </tableColumn>
    <tableColumn id="4" xr3:uid="{00000000-0010-0000-2900-000004000000}" name="预期" dataDxfId="365">
      <calculatedColumnFormula>IFERROR(INDEX(FUTURE[Survey],MATCH(input_future[[#This Row],[未来一周主要经济数据]],FUTURE[未来一周主要经济数据],0)),"")</calculatedColumnFormula>
    </tableColumn>
  </tableColumns>
  <tableStyleInfo name="Qry Load 3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23D2C52-55F5-448C-89A1-53E3222370A9}" name="AddTapISIN" displayName="AddTapISIN" ref="B9:K19" tableType="queryTable" totalsRowShown="0">
  <autoFilter ref="B9:K19" xr:uid="{1E0DCCF6-3E4F-4F2D-9397-5B181AA3B12B}"/>
  <tableColumns count="10">
    <tableColumn id="1" xr3:uid="{944BBF55-CDAD-4482-835C-6606A63399BF}" uniqueName="1" name="ISIN" queryTableFieldId="1"/>
    <tableColumn id="2" xr3:uid="{C6B253AE-A074-48AA-9D11-31A1F9FDFEE9}" uniqueName="2" name="信用主体(备证行)" queryTableFieldId="2"/>
    <tableColumn id="3" xr3:uid="{0E800FF3-8913-45D2-A553-6D87DEBAC533}" uniqueName="3" name="定价日" queryTableFieldId="3"/>
    <tableColumn id="4" xr3:uid="{DB0C9169-84A2-4B73-983A-92C3D0F6D0FC}" uniqueName="4" name="发行评级" queryTableFieldId="4"/>
    <tableColumn id="5" xr3:uid="{8DDBCDE9-C0E6-4832-9462-2CE5B93BE983}" uniqueName="5" name="货币" queryTableFieldId="5"/>
    <tableColumn id="6" xr3:uid="{9F2A8A50-7F62-4D70-918D-BF61FF20A8CC}" uniqueName="6" name="发行规模(亿)" queryTableFieldId="6"/>
    <tableColumn id="7" xr3:uid="{06A10C73-69B2-4961-9A33-41CFFC346A0C}" uniqueName="7" name="年期" queryTableFieldId="7"/>
    <tableColumn id="8" xr3:uid="{97097C13-6239-46BF-9AF6-6C7A1653E90D}" uniqueName="8" name="票息" queryTableFieldId="8"/>
    <tableColumn id="9" xr3:uid="{3C209825-4F0A-4A0D-B317-4772AC337D77}" uniqueName="9" name="IPG" queryTableFieldId="9"/>
    <tableColumn id="10" xr3:uid="{D0430D0F-26F4-4704-8333-68B61A791689}" uniqueName="10" name="收窄基点" queryTableFieldId="10" dataDxfId="364"/>
  </tableColumns>
  <tableStyleInfo name="Qry Load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10B7D3-FD5B-45E9-8E3A-378946E76D8A}" name="AddTapInput" displayName="AddTapInput" ref="B22:K23" totalsRowShown="0" dataDxfId="363">
  <autoFilter ref="B22:K23" xr:uid="{EA10B7D3-FD5B-45E9-8E3A-378946E76D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254DFF7-9352-4851-BEC4-261CF8E55BA5}" name="原始ISIN" dataDxfId="362"/>
    <tableColumn id="10" xr3:uid="{C2C4EF50-FD6F-4B1E-A545-2ECC96F9A905}" name="添加增发方式" dataDxfId="361"/>
    <tableColumn id="11" xr3:uid="{79B76218-E0E4-4A89-BE76-301D01940875}" name="增发判定" dataDxfId="360"/>
    <tableColumn id="12" xr3:uid="{EDA4F6FC-E9AF-428D-8455-7CAE58E2C730}" name="增发ISIN" dataDxfId="359"/>
    <tableColumn id="2" xr3:uid="{27B5EFE8-4072-49BD-B6A9-5FF970467B1C}" name="定价日" dataDxfId="358"/>
    <tableColumn id="3" xr3:uid="{AD0350DC-2C22-4D91-9AA2-3F091B8A9FED}" name="发行规模(亿)" dataDxfId="357"/>
    <tableColumn id="4" xr3:uid="{C498A0CC-CED1-41FB-877E-641A32287CEF}" name="IPT" dataDxfId="356"/>
    <tableColumn id="5" xr3:uid="{EDF855A7-BA7A-40AF-8D1C-50F6E2692F36}" name="FPG" dataDxfId="355"/>
    <tableColumn id="6" xr3:uid="{19553095-3CC0-4C17-9C9F-D62F43223F22}" name="BOCOM_JGC" dataDxfId="354"/>
    <tableColumn id="8" xr3:uid="{2ABEAA2D-F8C8-4F6E-BB0B-5ED3A2C55235}" name="BOCOM_JBR" dataDxfId="353"/>
  </tableColumns>
  <tableStyleInfo name="review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3E57BC5-5381-4B21-915A-56BB1155E16E}" name="AddTapLoad" displayName="AddTapLoad" ref="B26:C59" tableType="queryTable" totalsRowShown="0">
  <autoFilter ref="B26:C59" xr:uid="{13E57BC5-5381-4B21-915A-56BB1155E16E}"/>
  <tableColumns count="2">
    <tableColumn id="23" xr3:uid="{2B4F470D-5393-407C-81AA-C0830E8F96A1}" uniqueName="23" name="Column1" queryTableFieldId="1" dataDxfId="352"/>
    <tableColumn id="24" xr3:uid="{EAD53C83-0843-49F8-80DF-27B7042770D9}" uniqueName="24" name="Column2" queryTableFieldId="2" dataDxfId="351"/>
  </tableColumns>
  <tableStyleInfo name="Qry Load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29D391CF-32BA-4286-9797-532B3C31EE21}" name="TapLookup" displayName="TapLookup" ref="B5:D6" totalsRowShown="0" headerRowDxfId="350">
  <autoFilter ref="B5:D6" xr:uid="{29D391CF-32BA-4286-9797-532B3C31EE21}">
    <filterColumn colId="0" hiddenButton="1"/>
    <filterColumn colId="1" hiddenButton="1"/>
    <filterColumn colId="2" hiddenButton="1"/>
  </autoFilter>
  <tableColumns count="3">
    <tableColumn id="1" xr3:uid="{4278FB0A-9B7E-450A-B43F-C75C5EC2AB2D}" name="输入要查询的ISIN" dataDxfId="349"/>
    <tableColumn id="2" xr3:uid="{D1462E68-AD85-4F5B-9217-1461281B8D2F}" name="输入主体关键字" dataDxfId="348"/>
    <tableColumn id="3" xr3:uid="{7082A380-A3A2-4FAF-A950-6756985F63E9}" name="AddToDLD" dataDxfId="347"/>
  </tableColumns>
  <tableStyleInfo name="Qry Load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9658944-B18B-4E71-9C52-B093B798B068}" name="AddNew" displayName="AddNew" ref="B3:C4" totalsRowShown="0" headerRowDxfId="346">
  <autoFilter ref="B3:C4" xr:uid="{24E2BF76-3300-438F-8E58-CCD22086EA5B}"/>
  <tableColumns count="2">
    <tableColumn id="2" xr3:uid="{0B4B4AD7-3A5E-433D-ACCF-42F67840B2E1}" name="输入主体关键字" dataDxfId="345"/>
    <tableColumn id="3" xr3:uid="{16B87CBB-0A54-4266-9A25-E5E43224FB20}" name="AddToDLD" dataDxfId="344"/>
  </tableColumns>
  <tableStyleInfo name="Qry Load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F5CDC6C-D462-4A23-99B9-3EF849AE8549}" name="SearchCredit" displayName="SearchCredit" ref="B6:B16" tableType="queryTable" totalsRowShown="0">
  <autoFilter ref="B6:B16" xr:uid="{1B99FB12-EB99-4FBF-8297-5335B983591E}"/>
  <tableColumns count="1">
    <tableColumn id="1" xr3:uid="{B15C8252-6A97-4BF0-9AA1-24946C7D6B65}" uniqueName="1" name="信用主体" queryTableFieldId="1" dataDxfId="343"/>
  </tableColumns>
  <tableStyleInfo name="Qry Load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6A0EA88-7D78-4831-8F96-0647B86D2714}" name="Table58" displayName="Table58" ref="B24:C38" totalsRowShown="0" headerRowDxfId="342" dataDxfId="341">
  <autoFilter ref="B24:C38" xr:uid="{388A3E41-C0C7-41AE-A48B-DD7590A31971}"/>
  <tableColumns count="2">
    <tableColumn id="1" xr3:uid="{E44BDF86-0634-4A21-B8E8-0190644A6748}" name="债券详情" dataDxfId="340"/>
    <tableColumn id="2" xr3:uid="{14940635-2BDC-46A7-B0FA-93640165F19A}" name="Input" dataDxfId="339"/>
  </tableColumns>
  <tableStyleInfo name="Qry Load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3FA6104-A61E-40D2-A722-F15318FAA617}" name="HeaderR" displayName="HeaderR" ref="K20:L27" totalsRowShown="0">
  <autoFilter ref="K20:L27" xr:uid="{C74644C3-7DB0-4BD4-9713-06C5A1F01697}"/>
  <tableColumns count="2">
    <tableColumn id="1" xr3:uid="{0C29113C-3C8E-4E78-BA4F-DA0453EEFB97}" name="Find"/>
    <tableColumn id="2" xr3:uid="{C65D9644-B552-4CE4-9056-28AAF8D75886}" name="Replace"/>
  </tableColumns>
  <tableStyleInfo name="Qry Source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104A2-68B4-43DE-A626-D8C1F553DB0E}" name="FIMTN" displayName="FIMTN" ref="A5:J8" tableType="queryTable" totalsRowShown="0">
  <autoFilter ref="A5:J8" xr:uid="{6AE104A2-68B4-43DE-A626-D8C1F553DB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2" xr3:uid="{1BDBF4C9-A94A-4461-8D96-48885513318D}" uniqueName="2" name="定价日" queryTableFieldId="2" dataDxfId="236"/>
    <tableColumn id="3" xr3:uid="{A4050823-CF41-4CB7-9327-CCA27CCCD0E4}" uniqueName="3" name="ISIN" queryTableFieldId="3"/>
    <tableColumn id="4" xr3:uid="{9D24D768-6BC8-4791-8E2E-C86E5BF82512}" uniqueName="4" name="债券简称" queryTableFieldId="4"/>
    <tableColumn id="5" xr3:uid="{B89E485D-90FD-42CA-8E06-07E227BFAC56}" uniqueName="5" name="年期" queryTableFieldId="5"/>
    <tableColumn id="6" xr3:uid="{48E5A60E-B3FA-4455-ABB7-055B82F3F12D}" uniqueName="6" name="亿美元" queryTableFieldId="6"/>
    <tableColumn id="7" xr3:uid="{E1A849A5-2B7E-46F5-AA30-62AB73378003}" uniqueName="7" name="货币" queryTableFieldId="7"/>
    <tableColumn id="1" xr3:uid="{21EC3522-50EE-494B-B37E-A2DBB3CAFDF6}" uniqueName="1" name="板块" queryTableFieldId="12"/>
    <tableColumn id="9" xr3:uid="{8518B990-BE3D-498F-99C1-D5BB48BDB6F4}" uniqueName="9" name="评级分类" queryTableFieldId="9"/>
    <tableColumn id="10" xr3:uid="{B1604B6E-D553-4497-BF5C-15D6A76CC790}" uniqueName="10" name="品种" queryTableFieldId="10"/>
    <tableColumn id="11" xr3:uid="{CE10F02A-05E7-45BB-9E38-F4B08F95D57D}" uniqueName="11" name="按年" queryTableFieldId="11"/>
  </tableColumns>
  <tableStyleInfo name="Qry Load 4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60A78EB-B646-4F10-831A-D22B21A96B57}" name="Table_dmi" displayName="Table_dmi" ref="A5:BU19" tableType="queryTable" totalsRowShown="0">
  <autoFilter ref="A5:BU19" xr:uid="{760A78EB-B646-4F10-831A-D22B21A96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70" hiddenButton="1"/>
    <filterColumn colId="72" hiddenButton="1"/>
  </autoFilter>
  <tableColumns count="73">
    <tableColumn id="1" xr3:uid="{65CE1E33-8359-4C0B-9221-1E30F7E1CEF4}" uniqueName="1" name="信用主体" queryTableFieldId="1" dataDxfId="309"/>
    <tableColumn id="24" xr3:uid="{A81CDE9A-F459-467A-95A6-76B9882E80D7}" uniqueName="24" name="英文简称" queryTableFieldId="384" dataDxfId="308"/>
    <tableColumn id="9" xr3:uid="{6CF5A73E-65DE-485F-A790-2A65D986DCCA}" uniqueName="9" name="ISIN" queryTableFieldId="9" dataDxfId="307"/>
    <tableColumn id="12" xr3:uid="{2FAEB098-B99A-49BC-8F9E-60BB22B8B1A8}" uniqueName="12" name="定价日" queryTableFieldId="12" dataDxfId="306"/>
    <tableColumn id="8" xr3:uid="{5ABB02D5-4AA9-47AD-B0BA-BE18B2B3C4DE}" uniqueName="8" name="债券简称" queryTableFieldId="8" dataDxfId="305"/>
    <tableColumn id="13" xr3:uid="{5E4165C1-E3B4-48D3-8D3A-10EB35D470E0}" uniqueName="13" name="穆迪/标普" queryTableFieldId="13" dataDxfId="304"/>
    <tableColumn id="14" xr3:uid="{D0CD7E0A-5738-4057-9BC0-77E832B4C25E}" uniqueName="14" name="主体评级展望" queryTableFieldId="14" dataDxfId="303"/>
    <tableColumn id="15" xr3:uid="{32ECF4B7-EF13-4935-98C6-7E853C1916B9}" uniqueName="15" name="债项评级" queryTableFieldId="15" dataDxfId="302"/>
    <tableColumn id="27" xr3:uid="{00C79F5A-7701-4B0D-8C7E-8C5F683178C5}" uniqueName="27" name="发行规模(亿)" queryTableFieldId="27" dataDxfId="301"/>
    <tableColumn id="28" xr3:uid="{E7406E52-8977-4808-A788-298B36157479}" uniqueName="28" name="货币" queryTableFieldId="28" dataDxfId="300"/>
    <tableColumn id="29" xr3:uid="{697EF4DB-C377-4637-A8D4-B512822D8F0E}" uniqueName="29" name="发行期限(年)" queryTableFieldId="29" dataDxfId="299"/>
    <tableColumn id="18" xr3:uid="{35998095-7833-40E5-863C-D415A0A936DB}" uniqueName="18" name="票息_DMI" queryTableFieldId="504" dataDxfId="298"/>
    <tableColumn id="19" xr3:uid="{4C2677D7-B95D-4CBD-97D0-A324C689DECD}" uniqueName="19" name="兑付日" queryTableFieldId="19" dataDxfId="297"/>
    <tableColumn id="31" xr3:uid="{9394B226-D977-440D-BBB4-696AAAD92014}" uniqueName="31" name="发行场所" queryTableFieldId="31" dataDxfId="296"/>
    <tableColumn id="20" xr3:uid="{140F0A6F-50E8-4D1A-8A9F-8D00CEE04850}" uniqueName="20" name="IPT_DMI" queryTableFieldId="20" dataDxfId="295"/>
    <tableColumn id="21" xr3:uid="{536CD873-CE57-4DE2-A54F-18E33D004325}" uniqueName="21" name="FPG_DMI" queryTableFieldId="21" dataDxfId="294"/>
    <tableColumn id="22" xr3:uid="{82FAF641-AB3E-4935-B71A-3C539F35361C}" uniqueName="22" name="收窄幅度(bp)" queryTableFieldId="22" dataDxfId="293"/>
    <tableColumn id="71" xr3:uid="{E14716B4-D6D5-436D-BD61-6C2392A1635D}" uniqueName="71" name="发行规则" queryTableFieldId="484" dataDxfId="292"/>
    <tableColumn id="69" xr3:uid="{66B79F56-B661-4ED8-8D3C-3F444AAC1C7D}" uniqueName="69" name="发行架构" queryTableFieldId="78" dataDxfId="291"/>
    <tableColumn id="25" xr3:uid="{89B2DB1E-4CFE-4140-9A07-0F1E43F6C9AC}" uniqueName="25" name="SBLC提供者" queryTableFieldId="25" dataDxfId="290"/>
    <tableColumn id="26" xr3:uid="{C94A4441-8480-4C30-99DA-F2FF91A5E801}" uniqueName="26" name="偿还顺位" queryTableFieldId="26" dataDxfId="289"/>
    <tableColumn id="30" xr3:uid="{6BA1C82B-55CF-4344-AFEE-FD6746AB9A6C}" uniqueName="30" name="发行价" queryTableFieldId="30" dataDxfId="288"/>
    <tableColumn id="32" xr3:uid="{A6056AD5-48AD-4001-A74C-ECA77FC26CB2}" uniqueName="32" name="首日涨跌" queryTableFieldId="32" dataDxfId="287"/>
    <tableColumn id="5" xr3:uid="{FFD49085-9527-4367-B0C2-2E8443581C7C}" uniqueName="5" name="省份" queryTableFieldId="5" dataDxfId="286"/>
    <tableColumn id="6" xr3:uid="{851B0F66-A6A0-4EE3-AEC3-02593C4D8B13}" uniqueName="6" name="城市" queryTableFieldId="6" dataDxfId="285"/>
    <tableColumn id="7" xr3:uid="{015C4268-F544-4F8B-A375-27371977DA3A}" uniqueName="7" name="区县" queryTableFieldId="7" dataDxfId="284"/>
    <tableColumn id="33" xr3:uid="{072BF78A-2040-4CCF-95BA-462ACF02A26B}" uniqueName="33" name="认购额(亿)" queryTableFieldId="33" dataDxfId="283"/>
    <tableColumn id="34" xr3:uid="{79315342-FB4B-48FA-9D0E-BB5182F1342A}" uniqueName="34" name="认购倍数" queryTableFieldId="34" dataDxfId="282"/>
    <tableColumn id="35" xr3:uid="{3B7B9C0D-05D5-4554-9DD5-4648FC9FD35A}" uniqueName="35" name="亚洲占比" queryTableFieldId="35" dataDxfId="281"/>
    <tableColumn id="36" xr3:uid="{7E161805-3582-4E8B-AD1E-8D44C6578511}" uniqueName="36" name="基金占比" queryTableFieldId="36" dataDxfId="280"/>
    <tableColumn id="37" xr3:uid="{678B1454-0186-4392-9084-8A4631663D07}" uniqueName="37" name="联席全球协调人" queryTableFieldId="37" dataDxfId="279"/>
    <tableColumn id="23" xr3:uid="{50116619-6391-40C5-AAE1-F0D778876139}" uniqueName="23" name="发行方式" queryTableFieldId="23" dataDxfId="278"/>
    <tableColumn id="4" xr3:uid="{F2F32A9C-87BC-497A-A806-ABCC694FD9DD}" uniqueName="4" name="细分行业" queryTableFieldId="4" dataDxfId="277"/>
    <tableColumn id="16" xr3:uid="{31CB77BA-C75C-4904-BE05-EA3D31CB0E8E}" uniqueName="16" name="债项初始评级" queryTableFieldId="16" dataDxfId="276"/>
    <tableColumn id="17" xr3:uid="{EAB58105-9561-4364-BE64-FA9715A8F45D}" uniqueName="17" name="境内主体评级" queryTableFieldId="17" dataDxfId="275"/>
    <tableColumn id="10" xr3:uid="{43CE6995-65BA-4391-BADA-3C1BCBA73A55}" uniqueName="10" name="主题债券" queryTableFieldId="10" dataDxfId="274"/>
    <tableColumn id="3" xr3:uid="{0D6292F2-14C6-4D00-9C2B-D4771C6FCBEB}" uniqueName="3" name="行业" queryTableFieldId="3" dataDxfId="273"/>
    <tableColumn id="62" xr3:uid="{788704BA-E54A-4436-9FC7-E5EEF473C596}" uniqueName="62" name="剩余期限" queryTableFieldId="62" dataDxfId="272"/>
    <tableColumn id="2" xr3:uid="{D2679A15-B28C-4B9B-90D8-85DA1F060224}" uniqueName="2" name="公司类型" queryTableFieldId="2" dataDxfId="271"/>
    <tableColumn id="11" xr3:uid="{A0E133D3-082C-430A-8830-87B8C99C392A}" uniqueName="11" name="评级类型" queryTableFieldId="11" dataDxfId="270"/>
    <tableColumn id="63" xr3:uid="{EE264CCC-DCFC-4688-9A0B-4A404F87045B}" uniqueName="63" name="投资者账户数" queryTableFieldId="63" dataDxfId="269"/>
    <tableColumn id="64" xr3:uid="{EAE71064-4CB1-4B07-944E-84D6F3C49081}" uniqueName="64" name="投资者类型" queryTableFieldId="64" dataDxfId="268"/>
    <tableColumn id="65" xr3:uid="{E7174B24-DE40-43F6-8633-438CBA936C58}" uniqueName="65" name="投资者分布" queryTableFieldId="65" dataDxfId="267"/>
    <tableColumn id="66" xr3:uid="{CC4128EA-9B08-4BCD-B35C-71CF4AAFA24C}" uniqueName="66" name="筹款用途" queryTableFieldId="66" dataDxfId="266"/>
    <tableColumn id="38" xr3:uid="{975ADB86-B00A-4806-9500-96E93B0E8E67}" uniqueName="38" name="ticker" queryTableFieldId="38" dataDxfId="265"/>
    <tableColumn id="39" xr3:uid="{72AA5BB3-7E54-4DE0-9CE8-13DDE5A6A94C}" uniqueName="39" name="债券最新面值" queryTableFieldId="39" dataDxfId="264"/>
    <tableColumn id="40" xr3:uid="{4EE46BC2-E1CF-462A-A03E-DF0563BE31D9}" uniqueName="40" name="债券余额" queryTableFieldId="40" dataDxfId="263"/>
    <tableColumn id="41" xr3:uid="{4BFB0F89-8CA1-4D0F-9EB3-325F7C449AB2}" uniqueName="41" name="起息日期" queryTableFieldId="41" dataDxfId="262"/>
    <tableColumn id="42" xr3:uid="{2E685F7F-FFBA-484A-A377-6390F6A585BE}" uniqueName="42" name="行权兑付日" queryTableFieldId="42" dataDxfId="261"/>
    <tableColumn id="43" xr3:uid="{7A00E475-6904-4819-BC88-02B7AD3D67B7}" uniqueName="43" name="最新票面利率" queryTableFieldId="43" dataDxfId="260"/>
    <tableColumn id="44" xr3:uid="{0E120977-4EC2-4818-BC4D-6CCE5264355E}" uniqueName="44" name="计息基准" queryTableFieldId="44" dataDxfId="259"/>
    <tableColumn id="45" xr3:uid="{1C61FECB-9E8B-4B0A-A577-E0EADEE6ACB0}" uniqueName="45" name="首次付息日" queryTableFieldId="45" dataDxfId="258"/>
    <tableColumn id="46" xr3:uid="{20F5098B-FF11-4DA0-A626-7DF045DB0FB3}" uniqueName="46" name="发行人" queryTableFieldId="46" dataDxfId="257"/>
    <tableColumn id="47" xr3:uid="{17C9AFD4-5642-48EA-8D06-494AAC11A915}" uniqueName="47" name="担保人" queryTableFieldId="47" dataDxfId="256"/>
    <tableColumn id="48" xr3:uid="{E3D34E72-CB63-4E18-AED9-A3EC74CFDD3C}" uniqueName="48" name="发行起始日" queryTableFieldId="48" dataDxfId="255"/>
    <tableColumn id="67" xr3:uid="{AD599695-8522-46E7-B118-DE2179D8EA71}" uniqueName="67" name="定价_DMI" queryTableFieldId="67" dataDxfId="254"/>
    <tableColumn id="49" xr3:uid="{1682CF98-DB54-47C3-8A44-144BB70D0821}" uniqueName="49" name="上市日期" queryTableFieldId="49" dataDxfId="253"/>
    <tableColumn id="50" xr3:uid="{2215B6A7-05C9-4C6B-8AE1-E60AE330BE07}" uniqueName="50" name="特殊条款说明" queryTableFieldId="50" dataDxfId="252"/>
    <tableColumn id="51" xr3:uid="{E59ECFC4-F0C9-41B1-9733-1AEB70C7437B}" uniqueName="51" name="牵头经办人" queryTableFieldId="51" dataDxfId="251"/>
    <tableColumn id="68" xr3:uid="{DDA77D44-FA04-425D-9DA1-4DAB31A61BB6}" uniqueName="68" name="联席账簿管理人" queryTableFieldId="68" dataDxfId="250"/>
    <tableColumn id="52" xr3:uid="{A98F2AA1-AD8E-4BE7-8B74-C3458DC2EC64}" uniqueName="52" name="是否永续债" queryTableFieldId="52" dataDxfId="249"/>
    <tableColumn id="53" xr3:uid="{74446647-F415-46DC-A41C-CE06D819E843}" uniqueName="53" name="是否存单" queryTableFieldId="53" dataDxfId="248"/>
    <tableColumn id="54" xr3:uid="{D1474CED-58C4-4A46-81D9-D99210D02234}" uniqueName="54" name="利率类型" queryTableFieldId="54" dataDxfId="247"/>
    <tableColumn id="55" xr3:uid="{40CC185A-EE88-4DE1-8A90-03B8F737740F}" uniqueName="55" name="交易状态" queryTableFieldId="55" dataDxfId="246"/>
    <tableColumn id="56" xr3:uid="{6CE7EEB7-7E14-4960-892D-D2B4A752EA7F}" uniqueName="56" name="债券类型" queryTableFieldId="56" dataDxfId="245"/>
    <tableColumn id="57" xr3:uid="{145EA911-7D60-43D2-854F-080D2E91B1E5}" uniqueName="57" name="特殊条款" queryTableFieldId="57" dataDxfId="244"/>
    <tableColumn id="58" xr3:uid="{019381F3-72FB-4C5F-9AB8-FA53CD073BE5}" uniqueName="58" name="付息频率" queryTableFieldId="58" dataDxfId="243"/>
    <tableColumn id="59" xr3:uid="{C8D1AF04-7E6F-4D88-B06F-C8310837A162}" uniqueName="59" name="维好协议提供者" queryTableFieldId="59" dataDxfId="242"/>
    <tableColumn id="72" xr3:uid="{96F46060-893A-4B22-B404-CF1EE29A6D65}" uniqueName="72" name="临时isin" queryTableFieldId="485" dataDxfId="241"/>
    <tableColumn id="73" xr3:uid="{D45A8B32-650E-4461-9DBC-CC40BC94C9C7}" uniqueName="73" name="DataSource" queryTableFieldId="510" dataDxfId="240"/>
    <tableColumn id="60" xr3:uid="{92CFA544-119D-46AF-AD53-05E6F7709CB5}" uniqueName="60" name="地区" queryTableFieldId="60" dataDxfId="239"/>
    <tableColumn id="70" xr3:uid="{FDFE2857-9DAD-4B41-AF70-A4DBA7B07557}" uniqueName="70" name="违约日期" queryTableFieldId="482" dataDxfId="238"/>
    <tableColumn id="61" xr3:uid="{EFAB649D-F0FE-4812-A2D5-2D3BCB496CCA}" uniqueName="61" name="Check" queryTableFieldId="61" dataDxfId="237"/>
  </tableColumns>
  <tableStyleInfo name="review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679C65D-7F6A-4598-8413-1F8EB9AAFBB2}" name="BBGcorp" displayName="BBGcorp" ref="A5:Z26" tableType="queryTable" totalsRowShown="0">
  <autoFilter ref="A5:Z26" xr:uid="{FD7ECA0B-0FF6-411A-8C06-812B258A1B50}">
    <filterColumn colId="0" hiddenButton="1"/>
    <filterColumn colId="1" hiddenButton="1"/>
    <filterColumn colId="2" hiddenButton="1"/>
    <filterColumn colId="4" hiddenButton="1"/>
    <filterColumn colId="5" hiddenButton="1"/>
    <filterColumn colId="8" hiddenButton="1"/>
    <filterColumn colId="9" hiddenButton="1"/>
    <filterColumn colId="10" hiddenButton="1"/>
    <filterColumn colId="25" hiddenButton="1"/>
  </autoFilter>
  <tableColumns count="26">
    <tableColumn id="1" xr3:uid="{708FCF03-69E0-45CA-8914-D229D5C86DFC}" uniqueName="1" name="Index" queryTableFieldId="1" dataDxfId="332"/>
    <tableColumn id="2" xr3:uid="{C3F732B3-45FA-4844-A166-E4D90A2FF4A7}" uniqueName="2" name="定价日" queryTableFieldId="2" dataDxfId="331"/>
    <tableColumn id="3" xr3:uid="{693984F3-D10B-45D9-B70A-607684C923C4}" uniqueName="3" name="ISIN" queryTableFieldId="3" dataDxfId="330"/>
    <tableColumn id="14" xr3:uid="{1FE375EE-64D4-41E4-9AB6-C8F32DFC2099}" uniqueName="14" name="信用主体" queryTableFieldId="19" dataDxfId="329"/>
    <tableColumn id="4" xr3:uid="{B82F24B2-2DE7-431E-BEF8-F7696535CFF8}" uniqueName="4" name="补充OMAS updates" queryTableFieldId="4" dataDxfId="328"/>
    <tableColumn id="5" xr3:uid="{51954C56-B4CD-447B-A9B9-324865237CD6}" uniqueName="5" name="发行评级" queryTableFieldId="5" dataDxfId="327"/>
    <tableColumn id="6" xr3:uid="{F3B3399A-2327-479E-AE8C-3E6E4743B816}" uniqueName="6" name="注册成立地" queryTableFieldId="47" dataDxfId="326"/>
    <tableColumn id="13" xr3:uid="{369EC4CC-5DB7-4BCD-99FE-A3F32004470B}" uniqueName="13" name="发行人主上市地" queryTableFieldId="15" dataDxfId="325"/>
    <tableColumn id="7" xr3:uid="{A5B0308D-B1F8-4208-A561-DF94E20F0BAA}" uniqueName="7" name="主体评级" queryTableFieldId="7" dataDxfId="324"/>
    <tableColumn id="8" xr3:uid="{8DD9D5B0-06FC-4925-B90A-757DFCE21989}" uniqueName="8" name="定价息差" queryTableFieldId="8" dataDxfId="323"/>
    <tableColumn id="9" xr3:uid="{6E3DDE2C-C376-4E7A-80DB-DA717BE2BC0D}" uniqueName="9" name="浮息息差" queryTableFieldId="9" dataDxfId="322"/>
    <tableColumn id="11" xr3:uid="{CD0F207D-A77A-41A9-A460-AA965E39B103}" uniqueName="11" name="计息基准" queryTableFieldId="43" dataDxfId="321"/>
    <tableColumn id="16" xr3:uid="{3E06751F-A27C-4B1E-BD59-92656265A7A9}" uniqueName="16" name="发行人" queryTableFieldId="21" dataDxfId="320"/>
    <tableColumn id="17" xr3:uid="{EFF30CDB-A88C-42BD-A514-B174CC57CC5D}" uniqueName="17" name="担保人" queryTableFieldId="22" dataDxfId="319"/>
    <tableColumn id="18" xr3:uid="{96D1A663-CCB3-44A9-846A-F39B3CA437D8}" uniqueName="18" name="维好协议提供者" queryTableFieldId="23" dataDxfId="318"/>
    <tableColumn id="19" xr3:uid="{87375B86-F24A-452E-B65A-E8B35EB9352A}" uniqueName="19" name="起息日期" queryTableFieldId="24" dataDxfId="317"/>
    <tableColumn id="20" xr3:uid="{8859C58B-3298-479E-A954-938769580176}" uniqueName="20" name="兑付日" queryTableFieldId="25" dataDxfId="316"/>
    <tableColumn id="21" xr3:uid="{0C5CEC34-E95E-4857-8A41-8F7F44631569}" uniqueName="21" name="行权兑付日" queryTableFieldId="26" dataDxfId="315"/>
    <tableColumn id="22" xr3:uid="{A4BE284D-5EF5-47BE-9E18-C5BC347BCC1C}" uniqueName="22" name="票息" queryTableFieldId="27" dataDxfId="314"/>
    <tableColumn id="23" xr3:uid="{B383C507-7740-4FD0-94F7-85A9318DF079}" uniqueName="23" name="货币" queryTableFieldId="28" dataDxfId="313"/>
    <tableColumn id="12" xr3:uid="{C7D9CBDA-E35B-4CC8-9FC8-C46FCB1F0E78}" uniqueName="12" name="发行价" queryTableFieldId="44" dataDxfId="312"/>
    <tableColumn id="24" xr3:uid="{6905DCD5-D9B9-4451-9777-0DA3B8755041}" uniqueName="24" name="发行规模(亿)" queryTableFieldId="29" dataDxfId="311"/>
    <tableColumn id="27" xr3:uid="{85839183-3BC5-465D-B9B3-7CD02D857E19}" uniqueName="27" name="Parent company tiker" queryTableFieldId="52"/>
    <tableColumn id="31" xr3:uid="{C13A231B-7D33-408F-9C44-E55F2E857DA3}" uniqueName="31" name="评级" queryTableFieldId="56"/>
    <tableColumn id="15" xr3:uid="{5EEFECA3-132F-4135-8A0A-E760ACBD6D1C}" uniqueName="15" name="ESG indicator" queryTableFieldId="65"/>
    <tableColumn id="10" xr3:uid="{FB6745CE-81E9-4406-ACE4-86067C25D3F3}" uniqueName="10" name="Check" queryTableFieldId="10" dataDxfId="310"/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8122B9D-D88A-4417-A590-C14D4FEDCC2B}" name="台账23" displayName="台账23" ref="A5:H7" tableType="queryTable" totalsRowShown="0">
  <autoFilter ref="A5:H7" xr:uid="{78CB3706-FAC2-467E-9AB9-E7D9BDB149B1}"/>
  <tableColumns count="8">
    <tableColumn id="1" xr3:uid="{452685CD-B6AF-41B0-9DCA-05BCB9D70F7E}" uniqueName="1" name="Project Name" queryTableFieldId="1"/>
    <tableColumn id="2" xr3:uid="{986CDE42-782A-49E7-91BC-67A8850799D0}" uniqueName="2" name="ISIN" queryTableFieldId="2"/>
    <tableColumn id="3" xr3:uid="{61325DEE-E54D-4931-99A5-C22FE3CF3CB3}" uniqueName="3" name="项目名称（集团全称）" queryTableFieldId="3"/>
    <tableColumn id="4" xr3:uid="{6444732D-9545-4654-97A1-5FB2111E8A94}" uniqueName="4" name="台账序号" queryTableFieldId="4"/>
    <tableColumn id="5" xr3:uid="{0F08114E-4D0F-44F0-ABEC-1B6A077D3B97}" uniqueName="5" name="担任角色" queryTableFieldId="5"/>
    <tableColumn id="6" xr3:uid="{3D2B4DC5-D21C-4000-9D31-864D1C6A7896}" uniqueName="6" name="新规角色" queryTableFieldId="6"/>
    <tableColumn id="7" xr3:uid="{AAF702ED-6B9D-4AB7-B165-E5357C3BC81D}" uniqueName="7" name="COVERAGE" queryTableFieldId="7"/>
    <tableColumn id="8" xr3:uid="{7627D9B7-40E3-4CE4-A8E1-8C41A826F986}" uniqueName="8" name="项目定价日" queryTableFieldId="8"/>
  </tableColumns>
  <tableStyleInfo name="review 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wCurated" displayName="wCurated" ref="A4:AY15" tableType="queryTable" totalsRowShown="0">
  <autoFilter ref="A4:AY15" xr:uid="{BED11331-0A79-433D-AD27-4FE128D28EA4}">
    <filterColumn colId="0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8" hiddenButton="1"/>
    <filterColumn colId="49" hiddenButton="1"/>
    <filterColumn colId="50" hiddenButton="1"/>
  </autoFilter>
  <tableColumns count="51">
    <tableColumn id="1" xr3:uid="{791E5B07-BD81-4C7D-914D-F61E0BD81704}" uniqueName="1" name="Index" queryTableFieldId="1" dataDxfId="53"/>
    <tableColumn id="50" xr3:uid="{56AFA799-4BDB-4EF4-B64C-858A5DD46BD4}" uniqueName="50" name="删除及隐藏" queryTableFieldId="70"/>
    <tableColumn id="2" xr3:uid="{E4F1AA1A-4561-4DCC-BD36-6E0C0BF9681D}" uniqueName="2" name="信用主体" queryTableFieldId="2"/>
    <tableColumn id="3" xr3:uid="{BCA724F0-8962-4CF8-9F27-DFAB5A7EE57F}" uniqueName="3" name="ISIN" queryTableFieldId="3" dataDxfId="52"/>
    <tableColumn id="4" xr3:uid="{7B86C8AE-E7F7-4B8E-A455-4336C7F9D6D4}" uniqueName="4" name="定价日" queryTableFieldId="4" dataDxfId="51"/>
    <tableColumn id="5" xr3:uid="{8479A384-B664-40C5-817C-35D95E248CA9}" uniqueName="5" name="发行评级" queryTableFieldId="5"/>
    <tableColumn id="6" xr3:uid="{560F1DF2-A9DC-4732-81D4-617CC1DDABEC}" uniqueName="6" name="主体评级" queryTableFieldId="6"/>
    <tableColumn id="7" xr3:uid="{78286578-0202-44D4-898F-7BC8053C30D1}" uniqueName="7" name="境内主体评级" queryTableFieldId="7"/>
    <tableColumn id="8" xr3:uid="{11202A1D-7F53-4AFC-889F-FD580FC6F359}" uniqueName="8" name="货币" queryTableFieldId="8"/>
    <tableColumn id="9" xr3:uid="{00F822E0-673A-426E-97E0-C7C03264A9B7}" uniqueName="9" name="发行规模(亿)" queryTableFieldId="9" dataDxfId="50"/>
    <tableColumn id="10" xr3:uid="{A4600EBC-E807-4C67-B01C-5CD1E3909F2C}" uniqueName="10" name="年期" queryTableFieldId="10"/>
    <tableColumn id="11" xr3:uid="{3882855A-6F78-4733-843C-A5CCC8C71BBE}" uniqueName="11" name="票息" queryTableFieldId="11"/>
    <tableColumn id="12" xr3:uid="{AA7813E9-B7C0-4485-97E4-3E4D3C485DA4}" uniqueName="12" name="IPG" queryTableFieldId="12"/>
    <tableColumn id="13" xr3:uid="{6BC3F1E2-AC4E-42E4-8B1C-4FFDBF40A64D}" uniqueName="13" name="FPG" queryTableFieldId="13"/>
    <tableColumn id="14" xr3:uid="{A56676CE-514E-4236-AF6A-12F9A2068657}" uniqueName="14" name="定价" queryTableFieldId="14"/>
    <tableColumn id="15" xr3:uid="{8DC4F8E2-94E1-4CA7-8249-B35B934BB7A7}" uniqueName="15" name="收窄基点" queryTableFieldId="15" dataDxfId="49"/>
    <tableColumn id="16" xr3:uid="{2A30FA30-EA68-445A-B3B2-07A216AE817C}" uniqueName="16" name="定价基准" queryTableFieldId="16"/>
    <tableColumn id="18" xr3:uid="{68B928C8-F110-4275-943D-B563184CF448}" uniqueName="18" name="发行价" queryTableFieldId="39" dataDxfId="48"/>
    <tableColumn id="17" xr3:uid="{0ACF0E03-B0D4-4057-BF46-E322F4936C17}" uniqueName="17" name="结构" queryTableFieldId="17"/>
    <tableColumn id="19" xr3:uid="{979EE12C-AD42-4833-8A99-EC817C6F2D45}" uniqueName="19" name="上市" queryTableFieldId="19"/>
    <tableColumn id="20" xr3:uid="{E6204F0C-29FB-48D4-9E0E-4731335D7A28}" uniqueName="20" name="港分_ROLE" queryTableFieldId="20"/>
    <tableColumn id="21" xr3:uid="{DBF246C1-9F14-46AE-BBC3-92DB6B28A9F5}" uniqueName="21" name="澳分_ROLE" queryTableFieldId="21"/>
    <tableColumn id="22" xr3:uid="{A427B15A-1E3B-4176-8AAF-3C66C694FA16}" uniqueName="22" name="增发判定" queryTableFieldId="22"/>
    <tableColumn id="26" xr3:uid="{D81B8EC4-1E43-4536-91C9-D9443CB5B5E6}" uniqueName="26" name="付息频率" queryTableFieldId="40"/>
    <tableColumn id="27" xr3:uid="{1B4F1862-A915-4343-BD42-60FE8D9C5914}" uniqueName="27" name="起息日期" queryTableFieldId="41" dataDxfId="47"/>
    <tableColumn id="39" xr3:uid="{63B90420-8840-4507-9FE7-AEEA98D3C1EA}" uniqueName="39" name="首次付息日" queryTableFieldId="42" dataDxfId="46"/>
    <tableColumn id="40" xr3:uid="{BD1F8AC9-D7AC-4D02-8E73-E640E429EA37}" uniqueName="40" name="兑付日" queryTableFieldId="43" dataDxfId="45"/>
    <tableColumn id="23" xr3:uid="{32278D46-AAFB-46AC-B876-F0B2F5B3D38C}" uniqueName="23" name="亿美元" queryTableFieldId="23" dataDxfId="44"/>
    <tableColumn id="24" xr3:uid="{1F885E33-0B82-4272-882B-8A2CC2097721}" uniqueName="24" name="亿元" queryTableFieldId="24" dataDxfId="43"/>
    <tableColumn id="25" xr3:uid="{636B29DB-50B6-49B5-9EE5-519500C5F4C5}" uniqueName="25" name="亿港币" queryTableFieldId="25" dataDxfId="42"/>
    <tableColumn id="41" xr3:uid="{88894D22-D148-449D-8AFE-C1E41A6237D0}" uniqueName="41" name="ticker" queryTableFieldId="44"/>
    <tableColumn id="45" xr3:uid="{D35F78CD-33DF-4BE5-B09E-5792350E6F5E}" uniqueName="45" name="注册成立地" queryTableFieldId="57"/>
    <tableColumn id="46" xr3:uid="{8292EA6A-E652-4AD6-980B-A367229A037B}" uniqueName="46" name="发行人主上市地" queryTableFieldId="59"/>
    <tableColumn id="32" xr3:uid="{DF9610CA-17E8-4B49-910E-BA6EB58E92E6}" uniqueName="32" name="通过分行" queryTableFieldId="32"/>
    <tableColumn id="42" xr3:uid="{A2CC7DB9-0BC7-4182-BD08-B5982994B9A6}" uniqueName="42" name="发行人" queryTableFieldId="45"/>
    <tableColumn id="43" xr3:uid="{D8401749-5222-4202-B6A6-652D8A1D8E68}" uniqueName="43" name="担保人" queryTableFieldId="46"/>
    <tableColumn id="44" xr3:uid="{38FFC5B5-8532-438A-9D5B-F9205283973B}" uniqueName="44" name="维好协议提供者" queryTableFieldId="47"/>
    <tableColumn id="28" xr3:uid="{636A1BFB-2DD2-4E7A-8C04-E4AD77737D6B}" uniqueName="28" name="备证行" queryTableFieldId="28"/>
    <tableColumn id="29" xr3:uid="{22C55275-6BA9-4912-9032-F35F16DFEF5E}" uniqueName="29" name="ESG" queryTableFieldId="29"/>
    <tableColumn id="30" xr3:uid="{E89FFB45-1C1B-48CF-9DCC-B98D4629418D}" uniqueName="30" name="FEATURED" queryTableFieldId="30"/>
    <tableColumn id="31" xr3:uid="{C11B3DB5-9721-4EF1-B0A1-D0EB6C66C057}" uniqueName="31" name="亮点" queryTableFieldId="31"/>
    <tableColumn id="33" xr3:uid="{F3F9AA75-29DA-43EE-BB6E-5BA6DF5BB1E3}" uniqueName="33" name="期限备注" queryTableFieldId="33"/>
    <tableColumn id="34" xr3:uid="{4A3208F5-5206-4EA3-95FD-A6BD27F0D520}" uniqueName="34" name="SPECIALs" queryTableFieldId="34"/>
    <tableColumn id="35" xr3:uid="{73AAEBCD-2442-42BC-AB08-3A3863CB5C99}" uniqueName="35" name="OTHER_ISIN" queryTableFieldId="35"/>
    <tableColumn id="47" xr3:uid="{33FE7EE0-D247-4253-A49C-D22E34625FB1}" uniqueName="47" name="Stats" queryTableFieldId="63"/>
    <tableColumn id="48" xr3:uid="{E1E50F04-1EEC-4969-9690-F77BC431406E}" uniqueName="48" name="筹款用途" queryTableFieldId="65"/>
    <tableColumn id="49" xr3:uid="{F1995DCC-88E7-4FCF-A524-C4324C258A84}" uniqueName="49" name="发行方式" queryTableFieldId="66"/>
    <tableColumn id="51" xr3:uid="{220C35B1-5CBF-43F8-8977-7181DB08812C}" uniqueName="51" name="DataSource" queryTableFieldId="71"/>
    <tableColumn id="36" xr3:uid="{61919150-9D6F-4CBE-8719-CA359C7CA25C}" uniqueName="36" name="Updator" queryTableFieldId="36"/>
    <tableColumn id="37" xr3:uid="{CB28926C-FFC9-47EB-9DA3-BF96F8567F5C}" uniqueName="37" name="Timestamp" queryTableFieldId="37"/>
    <tableColumn id="38" xr3:uid="{3EA076FB-AA17-4F08-9B14-AE62CEE4EA94}" uniqueName="38" name="Check" queryTableFieldId="38" dataDxfId="41"/>
  </tableColumns>
  <tableStyleInfo name="Qry Load 3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wCredit" displayName="wCredit" ref="A4:U8" tableType="queryTable" totalsRowShown="0">
  <autoFilter ref="A4:U8" xr:uid="{00000000-0009-0000-0100-00001E000000}">
    <filterColumn colId="1" hiddenButton="1"/>
    <filterColumn colId="3" hiddenButton="1"/>
    <filterColumn colId="4" hiddenButton="1"/>
  </autoFilter>
  <tableColumns count="21">
    <tableColumn id="4" xr3:uid="{EFC2733F-AADA-40F5-9EA2-0CB6AE602BA4}" uniqueName="4" name="Index" queryTableFieldId="86"/>
    <tableColumn id="7" xr3:uid="{00000000-0010-0000-2100-000007000000}" uniqueName="7" name="信用主体" queryTableFieldId="7" dataDxfId="19"/>
    <tableColumn id="5" xr3:uid="{39F42849-71AA-4C63-8C36-A04353710DCF}" uniqueName="5" name="信用主体简称" queryTableFieldId="87" dataDxfId="18"/>
    <tableColumn id="2" xr3:uid="{2E2AEFE9-AB5E-4BE5-BAE0-A95DCF912FA9}" uniqueName="2" name="中资属性" queryTableFieldId="12" dataDxfId="17"/>
    <tableColumn id="3" xr3:uid="{B0A40063-19C6-436A-B9D7-8F869CBB7078}" uniqueName="3" name="板块" queryTableFieldId="22"/>
    <tableColumn id="6" xr3:uid="{83D005C1-76D3-4403-8ECD-760FCF242C84}" uniqueName="6" name="细分行业" queryTableFieldId="88" dataDxfId="16"/>
    <tableColumn id="8" xr3:uid="{BD0AA0AC-68DE-4187-B008-22D2B7C49429}" uniqueName="8" name="行业二级" queryTableFieldId="89" dataDxfId="15"/>
    <tableColumn id="9" xr3:uid="{D0913078-9B10-4118-B419-DEE5380572EF}" uniqueName="9" name="地区" queryTableFieldId="90" dataDxfId="14"/>
    <tableColumn id="10" xr3:uid="{2C667E99-43AC-4257-AA03-6FE008167845}" uniqueName="10" name="城市" queryTableFieldId="91" dataDxfId="13"/>
    <tableColumn id="11" xr3:uid="{8049C5B0-2F5F-4FE0-BB0B-535F0DB21A56}" uniqueName="11" name="区县" queryTableFieldId="92" dataDxfId="12"/>
    <tableColumn id="12" xr3:uid="{59E26CDD-A61F-43E9-BE45-154834134967}" uniqueName="12" name="平台级别" queryTableFieldId="93" dataDxfId="11"/>
    <tableColumn id="13" xr3:uid="{99AFBFFD-DFF2-4B9D-B8BE-08F529C75A5C}" uniqueName="13" name="系" queryTableFieldId="94" dataDxfId="10"/>
    <tableColumn id="14" xr3:uid="{BA4EC7FE-7EED-41E7-AF59-55FB3EC71567}" uniqueName="14" name="首次违约日" queryTableFieldId="95" dataDxfId="9"/>
    <tableColumn id="15" xr3:uid="{D671119D-96FA-4266-A8AF-F4A410D3DF80}" uniqueName="15" name="DEBUT_DATE" queryTableFieldId="96" dataDxfId="8"/>
    <tableColumn id="16" xr3:uid="{686FFAAD-3135-4373-8248-C5FA94D0AE17}" uniqueName="16" name="曾用名" queryTableFieldId="97"/>
    <tableColumn id="17" xr3:uid="{7CA37639-B4E2-4A84-B0A8-F1AB75C57B0E}" uniqueName="17" name="主体备注" queryTableFieldId="98" dataDxfId="7"/>
    <tableColumn id="18" xr3:uid="{47015928-8DEF-4D5E-BBAE-BDD62DB3E65F}" uniqueName="18" name="行业" queryTableFieldId="99" dataDxfId="6"/>
    <tableColumn id="19" xr3:uid="{4966E71E-7EA9-4C05-9DE7-097EFDD0F254}" uniqueName="19" name="上市类型" queryTableFieldId="100" dataDxfId="5"/>
    <tableColumn id="20" xr3:uid="{582162C3-7744-4A2E-9AA3-A7F408E4EFDC}" uniqueName="20" name="公司类型" queryTableFieldId="101" dataDxfId="4"/>
    <tableColumn id="21" xr3:uid="{83C73B11-862A-4645-8324-C417E5771FB9}" uniqueName="21" name="Updator" queryTableFieldId="102"/>
    <tableColumn id="22" xr3:uid="{6E64A281-FA28-4C29-97B4-58431AC0982C}" uniqueName="22" name="Timestamp" queryTableFieldId="103"/>
  </tableColumns>
  <tableStyleInfo name="review 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F000000}" name="wBISL" displayName="wBISL" ref="A5:S7" tableType="queryTable" totalsRowShown="0">
  <autoFilter ref="A5:S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9">
    <tableColumn id="6" xr3:uid="{3411C0CF-976A-4264-975A-7FF83ECA3A4F}" uniqueName="6" name="Index" queryTableFieldId="33" dataDxfId="338"/>
    <tableColumn id="2" xr3:uid="{00000000-0010-0000-1F00-000002000000}" uniqueName="2" name="ISIN" queryTableFieldId="2" dataDxfId="337"/>
    <tableColumn id="3" xr3:uid="{00000000-0010-0000-1F00-000003000000}" uniqueName="3" name="定价日" queryTableFieldId="3" dataDxfId="3"/>
    <tableColumn id="4" xr3:uid="{00000000-0010-0000-1F00-000004000000}" uniqueName="4" name="信用主体" queryTableFieldId="4"/>
    <tableColumn id="5" xr3:uid="{00000000-0010-0000-1F00-000005000000}" uniqueName="5" name="BISL_ROLE" queryTableFieldId="5"/>
    <tableColumn id="12" xr3:uid="{00000000-0010-0000-1F00-00000C000000}" uniqueName="12" name="IS_LEAD" queryTableFieldId="14"/>
    <tableColumn id="14" xr3:uid="{00000000-0010-0000-1F00-00000E000000}" uniqueName="14" name="IS_B&amp;D" queryTableFieldId="15"/>
    <tableColumn id="15" xr3:uid="{00000000-0010-0000-1F00-00000F000000}" uniqueName="15" name="是否合名" queryTableFieldId="16"/>
    <tableColumn id="10" xr3:uid="{00000000-0010-0000-1F00-00000A000000}" uniqueName="10" name="新规角色" queryTableFieldId="10"/>
    <tableColumn id="11" xr3:uid="{00000000-0010-0000-1F00-00000B000000}" uniqueName="11" name="COVERAGE" queryTableFieldId="11"/>
    <tableColumn id="8" xr3:uid="{00000000-0010-0000-1F00-000008000000}" uniqueName="8" name="PROJECT_CODE" queryTableFieldId="8"/>
    <tableColumn id="9" xr3:uid="{00000000-0010-0000-1F00-000009000000}" uniqueName="9" name="期数" queryTableFieldId="9"/>
    <tableColumn id="18" xr3:uid="{BD2A2563-6D0C-4C70-8C7F-DBFEB75BF9F7}" uniqueName="18" name="台账序号" queryTableFieldId="22"/>
    <tableColumn id="7" xr3:uid="{6DE07327-A6E4-4356-AA50-0A878930CEA5}" uniqueName="7" name="多笔" queryTableFieldId="34" dataDxfId="336"/>
    <tableColumn id="13" xr3:uid="{46C7532C-3BEE-4236-939A-E9519058A4F0}" uniqueName="13" name="多币种" queryTableFieldId="35" dataDxfId="335"/>
    <tableColumn id="16" xr3:uid="{A77870FD-F6DE-4CA1-B614-9C21258B5A9A}" uniqueName="16" name="多品种" queryTableFieldId="36" dataDxfId="334"/>
    <tableColumn id="1" xr3:uid="{00000000-0010-0000-1F00-000001000000}" uniqueName="1" name="Check" queryTableFieldId="1" dataDxfId="333"/>
    <tableColumn id="17" xr3:uid="{9E2825BA-C5C6-41D3-8AB9-1E787BE55C19}" uniqueName="17" name="PRJ对账号" queryTableFieldId="56"/>
    <tableColumn id="19" xr3:uid="{8A102DD9-0B8C-4F97-BA55-9B01A84C6980}" uniqueName="19" name="FolderPath" queryTableFieldId="5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6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5.xml"/><Relationship Id="rId11" Type="http://schemas.openxmlformats.org/officeDocument/2006/relationships/table" Target="../tables/table30.xml"/><Relationship Id="rId5" Type="http://schemas.openxmlformats.org/officeDocument/2006/relationships/table" Target="../tables/table24.xml"/><Relationship Id="rId10" Type="http://schemas.openxmlformats.org/officeDocument/2006/relationships/table" Target="../tables/table29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2.xml"/><Relationship Id="rId5" Type="http://schemas.openxmlformats.org/officeDocument/2006/relationships/table" Target="../tables/table41.xml"/><Relationship Id="rId4" Type="http://schemas.openxmlformats.org/officeDocument/2006/relationships/table" Target="../tables/table4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234473"/>
  </sheetPr>
  <dimension ref="A1:R128"/>
  <sheetViews>
    <sheetView topLeftCell="B52" zoomScale="115" zoomScaleNormal="115" workbookViewId="0">
      <selection activeCell="C59" sqref="C59"/>
    </sheetView>
  </sheetViews>
  <sheetFormatPr defaultColWidth="8.21875" defaultRowHeight="18" customHeight="1" outlineLevelRow="1" outlineLevelCol="1" x14ac:dyDescent="0.25"/>
  <cols>
    <col min="1" max="1" width="4.5546875" style="17" hidden="1" customWidth="1" outlineLevel="1"/>
    <col min="2" max="2" width="8.109375" style="16" bestFit="1" customWidth="1" collapsed="1"/>
    <col min="3" max="3" width="17.33203125" style="17" bestFit="1" customWidth="1"/>
    <col min="4" max="4" width="10.44140625" style="10" bestFit="1" customWidth="1"/>
    <col min="5" max="5" width="15" style="10" bestFit="1" customWidth="1"/>
    <col min="6" max="6" width="23.33203125" style="10" bestFit="1" customWidth="1"/>
    <col min="7" max="7" width="8.33203125" style="10" bestFit="1" customWidth="1"/>
    <col min="8" max="8" width="7.88671875" style="10" bestFit="1" customWidth="1"/>
    <col min="9" max="9" width="7.33203125" style="10" bestFit="1" customWidth="1"/>
    <col min="10" max="10" width="10.44140625" style="10" bestFit="1" customWidth="1"/>
    <col min="11" max="11" width="7.44140625" style="10" bestFit="1" customWidth="1"/>
    <col min="12" max="12" width="12.6640625" style="10" bestFit="1" customWidth="1"/>
    <col min="13" max="13" width="16.109375" style="10" bestFit="1" customWidth="1"/>
    <col min="14" max="14" width="13.109375" style="10" bestFit="1" customWidth="1"/>
    <col min="15" max="15" width="17.88671875" style="10" bestFit="1" customWidth="1"/>
    <col min="16" max="16" width="12.77734375" style="10" bestFit="1" customWidth="1"/>
    <col min="17" max="17" width="12.77734375" style="10" customWidth="1"/>
    <col min="18" max="18" width="13.44140625" style="10" bestFit="1" customWidth="1"/>
    <col min="19" max="19" width="13.44140625" style="10" customWidth="1"/>
    <col min="20" max="20" width="10.88671875" style="10" bestFit="1" customWidth="1"/>
    <col min="21" max="21" width="10.6640625" style="10" bestFit="1" customWidth="1"/>
    <col min="22" max="22" width="7.88671875" style="10" bestFit="1" customWidth="1"/>
    <col min="23" max="23" width="7.5546875" style="10" bestFit="1" customWidth="1"/>
    <col min="24" max="24" width="20.44140625" style="10" bestFit="1" customWidth="1"/>
    <col min="25" max="25" width="11.88671875" style="10" bestFit="1" customWidth="1"/>
    <col min="26" max="26" width="10.6640625" style="10" bestFit="1" customWidth="1"/>
    <col min="27" max="27" width="8.88671875" style="10" bestFit="1" customWidth="1"/>
    <col min="28" max="28" width="7.109375" style="10" bestFit="1" customWidth="1"/>
    <col min="29" max="29" width="7.88671875" style="10" bestFit="1" customWidth="1"/>
    <col min="30" max="30" width="23.109375" style="10" bestFit="1" customWidth="1"/>
    <col min="31" max="31" width="7.21875" style="10" bestFit="1" customWidth="1"/>
    <col min="32" max="32" width="15.5546875" style="10" bestFit="1" customWidth="1"/>
    <col min="33" max="33" width="15.5546875" style="10" customWidth="1"/>
    <col min="34" max="34" width="8.109375" style="10" bestFit="1" customWidth="1"/>
    <col min="35" max="35" width="9" style="10" bestFit="1" customWidth="1"/>
    <col min="36" max="36" width="7.109375" style="10" bestFit="1" customWidth="1"/>
    <col min="37" max="37" width="10.6640625" style="10" bestFit="1" customWidth="1"/>
    <col min="38" max="38" width="7.109375" style="10" bestFit="1" customWidth="1"/>
    <col min="39" max="39" width="15.21875" style="10" bestFit="1" customWidth="1"/>
    <col min="40" max="40" width="7.109375" style="10" bestFit="1" customWidth="1"/>
    <col min="41" max="41" width="5.77734375" style="10" bestFit="1" customWidth="1"/>
    <col min="42" max="42" width="7.109375" style="10" bestFit="1" customWidth="1"/>
    <col min="43" max="16384" width="8.21875" style="10"/>
  </cols>
  <sheetData>
    <row r="1" spans="1:18" ht="18" customHeight="1" x14ac:dyDescent="0.25">
      <c r="A1" s="42" t="str">
        <f ca="1" xml:space="preserve"> IF(ISNUMBER(FIND("ktkt2",CELL("filename"))),"Remote",IF(ISNUMBER(FIND("docs.live",CELL("filename"))),"Remote","Global"))</f>
        <v>Global</v>
      </c>
      <c r="B1" s="10"/>
      <c r="C1" s="10"/>
    </row>
    <row r="2" spans="1:18" ht="18" customHeight="1" outlineLevel="1" x14ac:dyDescent="0.25">
      <c r="A2" s="10"/>
      <c r="B2" s="10"/>
      <c r="C2" s="10"/>
    </row>
    <row r="3" spans="1:18" ht="18" customHeight="1" outlineLevel="1" x14ac:dyDescent="0.25">
      <c r="A3" s="8"/>
      <c r="B3" s="10"/>
      <c r="C3" s="10"/>
    </row>
    <row r="4" spans="1:18" ht="18" customHeight="1" outlineLevel="1" x14ac:dyDescent="0.25">
      <c r="B4" s="10"/>
      <c r="C4" s="97" t="s">
        <v>425</v>
      </c>
      <c r="E4" s="97" t="s">
        <v>426</v>
      </c>
      <c r="F4" s="97"/>
      <c r="H4" s="97" t="s">
        <v>413</v>
      </c>
      <c r="L4" s="97" t="s">
        <v>454</v>
      </c>
      <c r="O4" s="97" t="s">
        <v>455</v>
      </c>
      <c r="P4" s="97"/>
      <c r="Q4" s="97" t="s">
        <v>452</v>
      </c>
    </row>
    <row r="5" spans="1:18" ht="18" customHeight="1" outlineLevel="1" x14ac:dyDescent="0.25">
      <c r="A5" s="9"/>
      <c r="C5" s="16"/>
      <c r="D5" s="17"/>
      <c r="H5" s="17"/>
    </row>
    <row r="6" spans="1:18" ht="15" x14ac:dyDescent="0.25">
      <c r="C6" s="95" t="s">
        <v>91</v>
      </c>
      <c r="D6" s="16"/>
      <c r="E6" s="99" t="s">
        <v>423</v>
      </c>
      <c r="F6" s="34" t="s">
        <v>424</v>
      </c>
      <c r="H6" s="34" t="s">
        <v>179</v>
      </c>
      <c r="I6" t="s">
        <v>291</v>
      </c>
      <c r="L6" t="s">
        <v>456</v>
      </c>
      <c r="M6" t="s">
        <v>457</v>
      </c>
      <c r="N6" s="1"/>
      <c r="O6" s="34" t="s">
        <v>453</v>
      </c>
      <c r="P6" s="117"/>
      <c r="Q6" s="34" t="s">
        <v>451</v>
      </c>
      <c r="R6" s="34" t="s">
        <v>327</v>
      </c>
    </row>
    <row r="7" spans="1:18" ht="15" x14ac:dyDescent="0.25">
      <c r="A7" s="14"/>
      <c r="C7" s="95" t="s">
        <v>12</v>
      </c>
      <c r="D7" s="16"/>
      <c r="E7" s="99" t="s">
        <v>249</v>
      </c>
      <c r="F7" s="34" t="s">
        <v>417</v>
      </c>
      <c r="H7" s="34" t="s">
        <v>0</v>
      </c>
      <c r="I7" t="s">
        <v>299</v>
      </c>
      <c r="L7" t="s">
        <v>96</v>
      </c>
      <c r="M7" t="s">
        <v>458</v>
      </c>
      <c r="N7" s="1"/>
      <c r="O7" t="s">
        <v>88</v>
      </c>
      <c r="P7" s="1"/>
      <c r="Q7" t="s">
        <v>122</v>
      </c>
      <c r="R7" t="str">
        <f>DMIRenamed[[#This Row],[DMIRenamed]]&amp;"_DMI"</f>
        <v>票息_DMI</v>
      </c>
    </row>
    <row r="8" spans="1:18" ht="15" x14ac:dyDescent="0.25">
      <c r="C8" s="95" t="s">
        <v>28</v>
      </c>
      <c r="D8" s="16"/>
      <c r="E8" s="99" t="s">
        <v>250</v>
      </c>
      <c r="F8" s="34" t="s">
        <v>419</v>
      </c>
      <c r="H8" s="34" t="s">
        <v>4</v>
      </c>
      <c r="I8" t="s">
        <v>292</v>
      </c>
      <c r="L8" t="s">
        <v>255</v>
      </c>
      <c r="M8" t="s">
        <v>462</v>
      </c>
      <c r="N8" s="1"/>
      <c r="O8" t="s">
        <v>464</v>
      </c>
      <c r="P8" s="1"/>
      <c r="Q8" t="s">
        <v>334</v>
      </c>
      <c r="R8" t="str">
        <f>DMIRenamed[[#This Row],[DMIRenamed]]&amp;"_DMI"</f>
        <v>IPT_DMI</v>
      </c>
    </row>
    <row r="9" spans="1:18" ht="15" x14ac:dyDescent="0.25">
      <c r="A9" s="11"/>
      <c r="C9" s="95" t="s">
        <v>33</v>
      </c>
      <c r="D9" s="16"/>
      <c r="E9" s="99" t="s">
        <v>251</v>
      </c>
      <c r="F9" s="34" t="s">
        <v>418</v>
      </c>
      <c r="H9" s="34" t="s">
        <v>5</v>
      </c>
      <c r="I9" t="s">
        <v>293</v>
      </c>
      <c r="L9" t="s">
        <v>49</v>
      </c>
      <c r="M9" t="s">
        <v>458</v>
      </c>
      <c r="N9" s="1"/>
      <c r="O9" t="s">
        <v>96</v>
      </c>
      <c r="P9" s="1"/>
      <c r="Q9" t="s">
        <v>54</v>
      </c>
      <c r="R9" t="str">
        <f>DMIRenamed[[#This Row],[DMIRenamed]]&amp;"_DMI"</f>
        <v>FPG_DMI</v>
      </c>
    </row>
    <row r="10" spans="1:18" ht="15" x14ac:dyDescent="0.25">
      <c r="C10" s="95" t="s">
        <v>29</v>
      </c>
      <c r="D10" s="16"/>
      <c r="E10" s="99" t="s">
        <v>420</v>
      </c>
      <c r="F10" s="98"/>
      <c r="H10" s="34" t="s">
        <v>6</v>
      </c>
      <c r="I10" t="s">
        <v>294</v>
      </c>
      <c r="L10" t="s">
        <v>50</v>
      </c>
      <c r="M10" t="s">
        <v>458</v>
      </c>
      <c r="N10" s="1"/>
      <c r="O10" t="s">
        <v>49</v>
      </c>
      <c r="P10" s="1"/>
      <c r="Q10" t="s">
        <v>161</v>
      </c>
      <c r="R10" t="str">
        <f>DMIRenamed[[#This Row],[DMIRenamed]]&amp;"_DMI"</f>
        <v>定价_DMI</v>
      </c>
    </row>
    <row r="11" spans="1:18" ht="15" x14ac:dyDescent="0.25">
      <c r="A11" s="12"/>
      <c r="C11" s="95" t="s">
        <v>34</v>
      </c>
      <c r="E11" s="99" t="s">
        <v>421</v>
      </c>
      <c r="F11" s="34"/>
      <c r="H11" s="34" t="s">
        <v>247</v>
      </c>
      <c r="I11" t="s">
        <v>295</v>
      </c>
      <c r="L11" t="s">
        <v>48</v>
      </c>
      <c r="M11" t="s">
        <v>461</v>
      </c>
      <c r="N11" s="1"/>
      <c r="O11" t="s">
        <v>50</v>
      </c>
      <c r="P11" s="1"/>
    </row>
    <row r="12" spans="1:18" ht="15" x14ac:dyDescent="0.25">
      <c r="C12" s="95" t="s">
        <v>9</v>
      </c>
      <c r="E12" s="105" t="s">
        <v>7</v>
      </c>
      <c r="F12" s="105" t="s">
        <v>7</v>
      </c>
      <c r="L12" t="s">
        <v>100</v>
      </c>
      <c r="M12" t="s">
        <v>461</v>
      </c>
      <c r="N12" s="1"/>
      <c r="O12" t="s">
        <v>144</v>
      </c>
      <c r="P12" s="1"/>
    </row>
    <row r="13" spans="1:18" ht="15" x14ac:dyDescent="0.25">
      <c r="A13" s="15"/>
      <c r="C13" s="95" t="s">
        <v>30</v>
      </c>
      <c r="F13" s="100"/>
      <c r="L13" t="s">
        <v>101</v>
      </c>
      <c r="M13" t="s">
        <v>462</v>
      </c>
      <c r="N13" s="1"/>
      <c r="O13" t="s">
        <v>187</v>
      </c>
      <c r="P13" s="1"/>
    </row>
    <row r="14" spans="1:18" ht="15" x14ac:dyDescent="0.25">
      <c r="C14" s="95" t="s">
        <v>32</v>
      </c>
      <c r="E14" s="46" t="s">
        <v>95</v>
      </c>
      <c r="F14" s="100"/>
      <c r="H14" s="34" t="s">
        <v>217</v>
      </c>
      <c r="I14" t="s">
        <v>297</v>
      </c>
      <c r="L14" t="s">
        <v>51</v>
      </c>
      <c r="M14" t="s">
        <v>461</v>
      </c>
      <c r="N14" s="1"/>
      <c r="O14" t="s">
        <v>52</v>
      </c>
      <c r="P14" s="1"/>
    </row>
    <row r="15" spans="1:18" ht="15" x14ac:dyDescent="0.25">
      <c r="A15" s="13"/>
      <c r="C15" s="95" t="s">
        <v>13</v>
      </c>
      <c r="E15" s="46" t="s">
        <v>142</v>
      </c>
      <c r="F15" s="101"/>
      <c r="H15" s="34" t="s">
        <v>204</v>
      </c>
      <c r="I15">
        <v>1</v>
      </c>
      <c r="L15" t="s">
        <v>58</v>
      </c>
      <c r="M15" t="s">
        <v>458</v>
      </c>
      <c r="N15" s="1"/>
      <c r="O15" t="s">
        <v>65</v>
      </c>
      <c r="P15" s="1"/>
    </row>
    <row r="16" spans="1:18" ht="15" x14ac:dyDescent="0.25">
      <c r="C16" s="95" t="s">
        <v>17</v>
      </c>
      <c r="E16" s="46" t="s">
        <v>143</v>
      </c>
      <c r="F16" s="101"/>
      <c r="H16" s="34" t="s">
        <v>205</v>
      </c>
      <c r="I16">
        <v>2</v>
      </c>
      <c r="L16" t="s">
        <v>65</v>
      </c>
      <c r="M16" t="s">
        <v>458</v>
      </c>
      <c r="N16" s="1"/>
      <c r="O16" t="s">
        <v>58</v>
      </c>
      <c r="P16" s="1"/>
    </row>
    <row r="17" spans="1:16" ht="15" x14ac:dyDescent="0.25">
      <c r="A17" s="14"/>
      <c r="C17" s="95" t="s">
        <v>8</v>
      </c>
      <c r="E17" s="46" t="s">
        <v>118</v>
      </c>
      <c r="F17" s="100"/>
      <c r="H17" s="34" t="s">
        <v>206</v>
      </c>
      <c r="I17">
        <v>3</v>
      </c>
      <c r="L17" t="s">
        <v>59</v>
      </c>
      <c r="M17" t="s">
        <v>461</v>
      </c>
      <c r="N17" s="1"/>
      <c r="O17" t="s">
        <v>89</v>
      </c>
      <c r="P17" s="1"/>
    </row>
    <row r="18" spans="1:16" ht="15" x14ac:dyDescent="0.25">
      <c r="C18" s="95" t="s">
        <v>22</v>
      </c>
      <c r="F18" s="100"/>
      <c r="H18" s="34" t="s">
        <v>207</v>
      </c>
      <c r="I18">
        <v>4</v>
      </c>
      <c r="L18" t="s">
        <v>122</v>
      </c>
      <c r="M18" t="s">
        <v>459</v>
      </c>
      <c r="N18" s="1"/>
      <c r="O18" t="s">
        <v>122</v>
      </c>
      <c r="P18" s="1"/>
    </row>
    <row r="19" spans="1:16" ht="15" x14ac:dyDescent="0.25">
      <c r="C19" s="95" t="s">
        <v>16</v>
      </c>
      <c r="E19" s="47" t="s">
        <v>44</v>
      </c>
      <c r="H19" s="34" t="s">
        <v>2</v>
      </c>
      <c r="I19">
        <v>5</v>
      </c>
      <c r="L19" t="s">
        <v>53</v>
      </c>
      <c r="M19" t="s">
        <v>458</v>
      </c>
      <c r="N19" s="1"/>
      <c r="O19" t="s">
        <v>90</v>
      </c>
      <c r="P19" s="1"/>
    </row>
    <row r="20" spans="1:16" ht="15" x14ac:dyDescent="0.25">
      <c r="C20" s="95" t="s">
        <v>20</v>
      </c>
      <c r="E20" s="47" t="s">
        <v>1</v>
      </c>
      <c r="F20" s="102"/>
      <c r="H20" s="34" t="s">
        <v>208</v>
      </c>
      <c r="I20">
        <v>6</v>
      </c>
      <c r="L20" t="s">
        <v>102</v>
      </c>
      <c r="M20" t="s">
        <v>461</v>
      </c>
      <c r="N20" s="1"/>
      <c r="O20" t="s">
        <v>54</v>
      </c>
      <c r="P20" s="1"/>
    </row>
    <row r="21" spans="1:16" ht="15" x14ac:dyDescent="0.25">
      <c r="C21" s="95" t="s">
        <v>10</v>
      </c>
      <c r="E21" s="47" t="s">
        <v>86</v>
      </c>
      <c r="F21" s="102"/>
      <c r="L21" t="s">
        <v>334</v>
      </c>
      <c r="M21" t="s">
        <v>459</v>
      </c>
      <c r="N21" s="1"/>
      <c r="O21" t="s">
        <v>161</v>
      </c>
      <c r="P21" s="1"/>
    </row>
    <row r="22" spans="1:16" ht="15" x14ac:dyDescent="0.25">
      <c r="C22" s="95" t="s">
        <v>26</v>
      </c>
      <c r="E22" s="95" t="s">
        <v>411</v>
      </c>
      <c r="F22" s="102"/>
      <c r="H22" s="34" t="s">
        <v>240</v>
      </c>
      <c r="I22" t="s">
        <v>297</v>
      </c>
      <c r="L22" t="s">
        <v>54</v>
      </c>
      <c r="M22" t="s">
        <v>459</v>
      </c>
      <c r="N22" s="1"/>
      <c r="O22" t="s">
        <v>176</v>
      </c>
      <c r="P22" s="1"/>
    </row>
    <row r="23" spans="1:16" ht="15" x14ac:dyDescent="0.25">
      <c r="C23" s="95" t="s">
        <v>21</v>
      </c>
      <c r="E23" s="95" t="s">
        <v>412</v>
      </c>
      <c r="F23" s="102"/>
      <c r="H23" s="34" t="s">
        <v>241</v>
      </c>
      <c r="I23">
        <v>1</v>
      </c>
      <c r="L23" t="s">
        <v>55</v>
      </c>
      <c r="M23" t="s">
        <v>462</v>
      </c>
      <c r="N23" s="1"/>
      <c r="O23" t="s">
        <v>178</v>
      </c>
      <c r="P23" s="1"/>
    </row>
    <row r="24" spans="1:16" ht="15" x14ac:dyDescent="0.25">
      <c r="C24" s="95" t="s">
        <v>14</v>
      </c>
      <c r="D24" s="16"/>
      <c r="E24" s="47" t="s">
        <v>2</v>
      </c>
      <c r="F24" s="102"/>
      <c r="H24" s="34" t="s">
        <v>278</v>
      </c>
      <c r="I24">
        <v>2</v>
      </c>
      <c r="L24" t="s">
        <v>347</v>
      </c>
      <c r="M24" t="s">
        <v>461</v>
      </c>
      <c r="N24" s="1"/>
      <c r="O24" t="s">
        <v>60</v>
      </c>
      <c r="P24" s="1"/>
    </row>
    <row r="25" spans="1:16" ht="15" x14ac:dyDescent="0.25">
      <c r="C25" s="95" t="s">
        <v>18</v>
      </c>
      <c r="D25" s="16"/>
      <c r="E25" s="47" t="s">
        <v>3</v>
      </c>
      <c r="H25" s="34" t="s">
        <v>279</v>
      </c>
      <c r="I25">
        <v>3</v>
      </c>
      <c r="L25" t="s">
        <v>256</v>
      </c>
      <c r="M25" t="s">
        <v>461</v>
      </c>
      <c r="N25" s="1"/>
      <c r="O25" t="s">
        <v>92</v>
      </c>
      <c r="P25" s="1"/>
    </row>
    <row r="26" spans="1:16" ht="15" x14ac:dyDescent="0.25">
      <c r="C26" s="95" t="s">
        <v>24</v>
      </c>
      <c r="D26" s="16"/>
      <c r="F26" s="102"/>
      <c r="H26" s="34" t="s">
        <v>280</v>
      </c>
      <c r="I26">
        <v>4</v>
      </c>
      <c r="L26" t="s">
        <v>52</v>
      </c>
      <c r="M26" t="s">
        <v>458</v>
      </c>
      <c r="N26" s="1"/>
      <c r="O26" t="s">
        <v>93</v>
      </c>
      <c r="P26" s="1"/>
    </row>
    <row r="27" spans="1:16" ht="15" x14ac:dyDescent="0.25">
      <c r="C27" s="95" t="s">
        <v>27</v>
      </c>
      <c r="D27" s="16"/>
      <c r="E27" s="34" t="s">
        <v>98</v>
      </c>
      <c r="F27" s="102"/>
      <c r="H27" s="34" t="s">
        <v>281</v>
      </c>
      <c r="I27">
        <v>5</v>
      </c>
      <c r="L27" t="s">
        <v>56</v>
      </c>
      <c r="M27" t="s">
        <v>461</v>
      </c>
      <c r="N27" s="1"/>
      <c r="O27" t="s">
        <v>196</v>
      </c>
      <c r="P27" s="1"/>
    </row>
    <row r="28" spans="1:16" ht="15" x14ac:dyDescent="0.25">
      <c r="C28" s="95" t="s">
        <v>11</v>
      </c>
      <c r="D28" s="16"/>
      <c r="E28" s="34" t="s">
        <v>335</v>
      </c>
      <c r="F28" s="102"/>
      <c r="H28" s="24"/>
      <c r="I28" s="24"/>
      <c r="L28" t="s">
        <v>57</v>
      </c>
      <c r="M28" t="s">
        <v>461</v>
      </c>
      <c r="N28" s="1"/>
      <c r="O28" t="s">
        <v>197</v>
      </c>
      <c r="P28" s="1"/>
    </row>
    <row r="29" spans="1:16" ht="15" x14ac:dyDescent="0.25">
      <c r="C29" s="95" t="s">
        <v>19</v>
      </c>
      <c r="D29" s="16"/>
      <c r="E29" s="34" t="s">
        <v>414</v>
      </c>
      <c r="F29" s="102"/>
      <c r="H29" s="34" t="s">
        <v>156</v>
      </c>
      <c r="I29" t="s">
        <v>297</v>
      </c>
      <c r="L29" t="s">
        <v>60</v>
      </c>
      <c r="M29" t="s">
        <v>458</v>
      </c>
      <c r="N29" s="1"/>
      <c r="O29" t="s">
        <v>150</v>
      </c>
      <c r="P29" s="1"/>
    </row>
    <row r="30" spans="1:16" ht="15" x14ac:dyDescent="0.25">
      <c r="C30" s="95" t="s">
        <v>25</v>
      </c>
      <c r="D30" s="16"/>
      <c r="E30" s="34" t="s">
        <v>415</v>
      </c>
      <c r="F30" s="103"/>
      <c r="H30" s="34" t="s">
        <v>224</v>
      </c>
      <c r="I30">
        <v>1</v>
      </c>
      <c r="L30" t="s">
        <v>61</v>
      </c>
      <c r="M30" t="s">
        <v>462</v>
      </c>
      <c r="N30" s="1"/>
      <c r="O30" t="s">
        <v>82</v>
      </c>
      <c r="P30" s="1"/>
    </row>
    <row r="31" spans="1:16" ht="15" x14ac:dyDescent="0.25">
      <c r="C31" s="95" t="s">
        <v>23</v>
      </c>
      <c r="D31" s="16"/>
      <c r="E31" s="34" t="s">
        <v>416</v>
      </c>
      <c r="H31" s="34" t="s">
        <v>159</v>
      </c>
      <c r="I31">
        <v>2</v>
      </c>
      <c r="L31" t="s">
        <v>97</v>
      </c>
      <c r="M31" t="s">
        <v>461</v>
      </c>
      <c r="N31" s="1"/>
      <c r="O31" t="s">
        <v>68</v>
      </c>
      <c r="P31" s="1"/>
    </row>
    <row r="32" spans="1:16" ht="15" x14ac:dyDescent="0.25">
      <c r="C32" s="95" t="s">
        <v>152</v>
      </c>
      <c r="D32" s="16"/>
      <c r="H32" s="34" t="s">
        <v>158</v>
      </c>
      <c r="I32">
        <v>3</v>
      </c>
      <c r="L32" t="s">
        <v>46</v>
      </c>
      <c r="M32" t="s">
        <v>458</v>
      </c>
      <c r="N32" s="1"/>
      <c r="O32" t="s">
        <v>71</v>
      </c>
      <c r="P32" s="1"/>
    </row>
    <row r="33" spans="3:16" ht="15" x14ac:dyDescent="0.25">
      <c r="C33" s="95" t="s">
        <v>15</v>
      </c>
      <c r="D33" s="16"/>
      <c r="E33" s="34" t="s">
        <v>182</v>
      </c>
      <c r="H33" s="34" t="s">
        <v>225</v>
      </c>
      <c r="I33">
        <v>4</v>
      </c>
      <c r="L33" t="s">
        <v>47</v>
      </c>
      <c r="M33" t="s">
        <v>458</v>
      </c>
      <c r="N33" s="1"/>
      <c r="O33" t="s">
        <v>53</v>
      </c>
      <c r="P33" s="1"/>
    </row>
    <row r="34" spans="3:16" ht="15" x14ac:dyDescent="0.25">
      <c r="C34" s="95" t="s">
        <v>35</v>
      </c>
      <c r="D34" s="16"/>
      <c r="E34" s="34" t="s">
        <v>191</v>
      </c>
      <c r="H34" s="34" t="s">
        <v>200</v>
      </c>
      <c r="I34">
        <v>5</v>
      </c>
      <c r="L34" t="s">
        <v>141</v>
      </c>
      <c r="M34" t="s">
        <v>461</v>
      </c>
      <c r="N34" s="1"/>
      <c r="O34" t="s">
        <v>183</v>
      </c>
      <c r="P34" s="1"/>
    </row>
    <row r="35" spans="3:16" ht="15" x14ac:dyDescent="0.25">
      <c r="C35" s="95" t="s">
        <v>151</v>
      </c>
      <c r="D35" s="16"/>
      <c r="E35" s="34" t="s">
        <v>194</v>
      </c>
      <c r="H35" s="34" t="s">
        <v>199</v>
      </c>
      <c r="I35">
        <v>6</v>
      </c>
      <c r="L35" t="s">
        <v>62</v>
      </c>
      <c r="M35" t="s">
        <v>461</v>
      </c>
      <c r="N35" s="1"/>
      <c r="O35" t="s">
        <v>184</v>
      </c>
      <c r="P35" s="1"/>
    </row>
    <row r="36" spans="3:16" ht="15" x14ac:dyDescent="0.25">
      <c r="C36" s="95" t="s">
        <v>31</v>
      </c>
      <c r="D36" s="16"/>
      <c r="E36" s="34" t="s">
        <v>202</v>
      </c>
      <c r="L36" t="s">
        <v>63</v>
      </c>
      <c r="M36" t="s">
        <v>461</v>
      </c>
      <c r="N36" s="1"/>
      <c r="O36" t="s">
        <v>223</v>
      </c>
      <c r="P36" s="1"/>
    </row>
    <row r="37" spans="3:16" ht="15" x14ac:dyDescent="0.25">
      <c r="C37" s="95" t="s">
        <v>153</v>
      </c>
      <c r="D37" s="16"/>
      <c r="E37" s="98" t="s">
        <v>7</v>
      </c>
      <c r="H37" s="34" t="s">
        <v>65</v>
      </c>
      <c r="I37" s="34" t="s">
        <v>297</v>
      </c>
      <c r="L37" t="s">
        <v>64</v>
      </c>
      <c r="M37" t="s">
        <v>461</v>
      </c>
      <c r="N37" s="1"/>
      <c r="O37" t="s">
        <v>67</v>
      </c>
      <c r="P37" s="1"/>
    </row>
    <row r="38" spans="3:16" ht="15" x14ac:dyDescent="0.25">
      <c r="C38" s="95" t="s">
        <v>409</v>
      </c>
      <c r="D38" s="16"/>
      <c r="H38" s="34" t="s">
        <v>87</v>
      </c>
      <c r="I38">
        <v>1</v>
      </c>
      <c r="L38" t="s">
        <v>66</v>
      </c>
      <c r="M38" t="s">
        <v>461</v>
      </c>
      <c r="N38" s="1"/>
      <c r="O38" t="s">
        <v>248</v>
      </c>
      <c r="P38" s="1"/>
    </row>
    <row r="39" spans="3:16" ht="15" x14ac:dyDescent="0.25">
      <c r="C39" s="95" t="s">
        <v>410</v>
      </c>
      <c r="D39" s="16"/>
      <c r="H39" s="34" t="s">
        <v>108</v>
      </c>
      <c r="I39">
        <v>2</v>
      </c>
      <c r="L39" t="s">
        <v>210</v>
      </c>
      <c r="M39" t="s">
        <v>458</v>
      </c>
      <c r="N39" s="1"/>
      <c r="O39" t="s">
        <v>282</v>
      </c>
      <c r="P39" s="1"/>
    </row>
    <row r="40" spans="3:16" ht="15" x14ac:dyDescent="0.25">
      <c r="D40" s="16"/>
      <c r="H40" s="34" t="s">
        <v>111</v>
      </c>
      <c r="I40">
        <v>3</v>
      </c>
      <c r="L40" t="s">
        <v>45</v>
      </c>
      <c r="M40" t="s">
        <v>458</v>
      </c>
      <c r="N40" s="1"/>
      <c r="O40" t="s">
        <v>220</v>
      </c>
      <c r="P40" s="1"/>
    </row>
    <row r="41" spans="3:16" ht="15" x14ac:dyDescent="0.25">
      <c r="C41" s="95" t="s">
        <v>42</v>
      </c>
      <c r="D41" s="16"/>
      <c r="H41" s="34" t="s">
        <v>113</v>
      </c>
      <c r="I41">
        <v>4</v>
      </c>
      <c r="L41" t="s">
        <v>186</v>
      </c>
      <c r="M41" t="s">
        <v>462</v>
      </c>
      <c r="N41" s="1"/>
      <c r="O41" t="s">
        <v>72</v>
      </c>
      <c r="P41" s="1"/>
    </row>
    <row r="42" spans="3:16" ht="15" x14ac:dyDescent="0.25">
      <c r="C42" s="95" t="s">
        <v>356</v>
      </c>
      <c r="D42" s="16"/>
      <c r="H42" s="34" t="s">
        <v>283</v>
      </c>
      <c r="I42">
        <v>5</v>
      </c>
      <c r="L42" t="s">
        <v>98</v>
      </c>
      <c r="M42" t="s">
        <v>461</v>
      </c>
      <c r="N42" s="1"/>
      <c r="O42" t="s">
        <v>73</v>
      </c>
      <c r="P42" s="1"/>
    </row>
    <row r="43" spans="3:16" ht="15" x14ac:dyDescent="0.25">
      <c r="C43" s="95" t="s">
        <v>357</v>
      </c>
      <c r="D43" s="16"/>
      <c r="H43" s="34" t="s">
        <v>300</v>
      </c>
      <c r="I43">
        <v>6</v>
      </c>
      <c r="L43" t="s">
        <v>44</v>
      </c>
      <c r="M43" t="s">
        <v>458</v>
      </c>
      <c r="N43" s="1"/>
      <c r="O43" t="s">
        <v>83</v>
      </c>
      <c r="P43" s="1"/>
    </row>
    <row r="44" spans="3:16" ht="15" x14ac:dyDescent="0.25">
      <c r="C44" s="95" t="s">
        <v>358</v>
      </c>
      <c r="D44" s="16"/>
      <c r="H44" s="34" t="s">
        <v>301</v>
      </c>
      <c r="I44">
        <v>7</v>
      </c>
      <c r="L44" t="s">
        <v>233</v>
      </c>
      <c r="M44" t="s">
        <v>462</v>
      </c>
      <c r="N44" s="1"/>
      <c r="O44" t="s">
        <v>42</v>
      </c>
      <c r="P44" s="1"/>
    </row>
    <row r="45" spans="3:16" ht="15" x14ac:dyDescent="0.25">
      <c r="C45" s="95" t="s">
        <v>352</v>
      </c>
      <c r="D45" s="16"/>
      <c r="H45" s="34" t="s">
        <v>302</v>
      </c>
      <c r="I45">
        <v>8</v>
      </c>
      <c r="L45" t="s">
        <v>43</v>
      </c>
      <c r="M45" t="s">
        <v>458</v>
      </c>
      <c r="N45" s="1"/>
      <c r="O45" t="s">
        <v>148</v>
      </c>
      <c r="P45" s="1"/>
    </row>
    <row r="46" spans="3:16" ht="15" x14ac:dyDescent="0.25">
      <c r="C46" s="95" t="s">
        <v>359</v>
      </c>
      <c r="D46" s="16"/>
      <c r="H46" s="34" t="s">
        <v>303</v>
      </c>
      <c r="I46">
        <v>9</v>
      </c>
      <c r="L46" t="s">
        <v>99</v>
      </c>
      <c r="M46" t="s">
        <v>462</v>
      </c>
      <c r="N46" s="1"/>
      <c r="O46" t="s">
        <v>162</v>
      </c>
      <c r="P46" s="1"/>
    </row>
    <row r="47" spans="3:16" ht="15" x14ac:dyDescent="0.25">
      <c r="C47" s="95" t="s">
        <v>360</v>
      </c>
      <c r="D47" s="16"/>
      <c r="H47" s="34" t="s">
        <v>304</v>
      </c>
      <c r="I47">
        <v>10</v>
      </c>
      <c r="L47" t="s">
        <v>234</v>
      </c>
      <c r="M47" t="s">
        <v>461</v>
      </c>
      <c r="N47" s="1"/>
      <c r="O47" t="s">
        <v>229</v>
      </c>
      <c r="P47" s="1"/>
    </row>
    <row r="48" spans="3:16" ht="15" x14ac:dyDescent="0.25">
      <c r="C48" s="95" t="s">
        <v>361</v>
      </c>
      <c r="D48" s="16"/>
      <c r="H48" s="34" t="s">
        <v>305</v>
      </c>
      <c r="I48">
        <v>11</v>
      </c>
      <c r="L48" t="s">
        <v>235</v>
      </c>
      <c r="M48" t="s">
        <v>461</v>
      </c>
      <c r="N48" s="1"/>
      <c r="O48" t="s">
        <v>222</v>
      </c>
      <c r="P48" s="1"/>
    </row>
    <row r="49" spans="3:16" ht="15" x14ac:dyDescent="0.25">
      <c r="C49" s="95" t="s">
        <v>362</v>
      </c>
      <c r="D49" s="16"/>
      <c r="L49" t="s">
        <v>68</v>
      </c>
      <c r="M49" t="s">
        <v>458</v>
      </c>
      <c r="N49" s="1"/>
      <c r="O49" t="s">
        <v>230</v>
      </c>
      <c r="P49" s="1"/>
    </row>
    <row r="50" spans="3:16" ht="15" x14ac:dyDescent="0.25">
      <c r="C50" s="95" t="s">
        <v>363</v>
      </c>
      <c r="D50" s="16"/>
      <c r="H50" s="34" t="s">
        <v>306</v>
      </c>
      <c r="I50" s="34" t="s">
        <v>297</v>
      </c>
      <c r="L50" t="s">
        <v>236</v>
      </c>
      <c r="M50" t="s">
        <v>461</v>
      </c>
      <c r="N50" s="1"/>
      <c r="O50" t="s">
        <v>231</v>
      </c>
      <c r="P50" s="1"/>
    </row>
    <row r="51" spans="3:16" ht="15" x14ac:dyDescent="0.25">
      <c r="C51" s="95" t="s">
        <v>364</v>
      </c>
      <c r="D51" s="16"/>
      <c r="H51" s="34" t="s">
        <v>284</v>
      </c>
      <c r="I51">
        <v>1</v>
      </c>
      <c r="L51" t="s">
        <v>237</v>
      </c>
      <c r="M51" t="s">
        <v>458</v>
      </c>
      <c r="N51" s="1"/>
      <c r="O51" t="s">
        <v>326</v>
      </c>
      <c r="P51" s="1"/>
    </row>
    <row r="52" spans="3:16" ht="15" x14ac:dyDescent="0.25">
      <c r="C52" s="95" t="s">
        <v>365</v>
      </c>
      <c r="D52" s="16"/>
      <c r="H52" s="34" t="s">
        <v>307</v>
      </c>
      <c r="I52">
        <v>2</v>
      </c>
      <c r="L52" t="s">
        <v>67</v>
      </c>
      <c r="M52" t="s">
        <v>458</v>
      </c>
      <c r="N52" s="1"/>
      <c r="O52" t="s">
        <v>237</v>
      </c>
      <c r="P52" s="1"/>
    </row>
    <row r="53" spans="3:16" ht="15" x14ac:dyDescent="0.25">
      <c r="C53" s="95" t="s">
        <v>366</v>
      </c>
      <c r="D53" s="16"/>
      <c r="H53" s="34" t="s">
        <v>270</v>
      </c>
      <c r="I53">
        <v>3</v>
      </c>
      <c r="L53" t="s">
        <v>103</v>
      </c>
      <c r="M53" t="s">
        <v>462</v>
      </c>
      <c r="N53" s="1"/>
      <c r="O53" t="s">
        <v>210</v>
      </c>
      <c r="P53" s="1"/>
    </row>
    <row r="54" spans="3:16" ht="15" x14ac:dyDescent="0.25">
      <c r="C54" s="95" t="s">
        <v>367</v>
      </c>
      <c r="D54" s="16"/>
      <c r="H54" s="34" t="s">
        <v>2</v>
      </c>
      <c r="I54">
        <v>4</v>
      </c>
      <c r="L54" t="s">
        <v>104</v>
      </c>
      <c r="M54" t="s">
        <v>462</v>
      </c>
      <c r="N54" s="1"/>
      <c r="O54" t="s">
        <v>450</v>
      </c>
      <c r="P54" s="1"/>
    </row>
    <row r="55" spans="3:16" ht="15" x14ac:dyDescent="0.25">
      <c r="C55" s="95" t="s">
        <v>285</v>
      </c>
      <c r="D55" s="16"/>
      <c r="H55" s="34" t="s">
        <v>308</v>
      </c>
      <c r="I55">
        <v>5</v>
      </c>
      <c r="L55" t="s">
        <v>69</v>
      </c>
      <c r="M55" t="s">
        <v>461</v>
      </c>
      <c r="N55" s="1"/>
      <c r="O55" t="s">
        <v>179</v>
      </c>
      <c r="P55" s="1"/>
    </row>
    <row r="56" spans="3:16" ht="15" x14ac:dyDescent="0.25">
      <c r="C56" s="95" t="s">
        <v>368</v>
      </c>
      <c r="D56" s="16"/>
      <c r="H56" s="34" t="s">
        <v>112</v>
      </c>
      <c r="I56">
        <v>6</v>
      </c>
      <c r="L56" t="s">
        <v>105</v>
      </c>
      <c r="M56" t="s">
        <v>462</v>
      </c>
      <c r="N56" s="1"/>
      <c r="O56" t="s">
        <v>232</v>
      </c>
    </row>
    <row r="57" spans="3:16" ht="15" x14ac:dyDescent="0.25">
      <c r="C57" s="95" t="s">
        <v>369</v>
      </c>
      <c r="D57" s="16"/>
      <c r="H57" s="34" t="s">
        <v>7</v>
      </c>
      <c r="I57">
        <v>7</v>
      </c>
      <c r="L57" t="s">
        <v>70</v>
      </c>
      <c r="M57" t="s">
        <v>461</v>
      </c>
      <c r="N57" s="1"/>
      <c r="O57" t="s">
        <v>149</v>
      </c>
    </row>
    <row r="58" spans="3:16" ht="15" x14ac:dyDescent="0.25">
      <c r="C58" s="95" t="s">
        <v>370</v>
      </c>
      <c r="D58" s="16"/>
      <c r="L58" t="s">
        <v>71</v>
      </c>
      <c r="M58" t="s">
        <v>458</v>
      </c>
      <c r="N58" s="1"/>
    </row>
    <row r="59" spans="3:16" ht="15" x14ac:dyDescent="0.25">
      <c r="C59" s="95" t="s">
        <v>371</v>
      </c>
      <c r="D59" s="16"/>
      <c r="H59" s="34" t="s">
        <v>181</v>
      </c>
      <c r="I59" t="s">
        <v>297</v>
      </c>
      <c r="L59" t="s">
        <v>72</v>
      </c>
      <c r="M59" t="s">
        <v>458</v>
      </c>
      <c r="N59" s="1"/>
    </row>
    <row r="60" spans="3:16" ht="15" x14ac:dyDescent="0.25">
      <c r="C60" s="95" t="s">
        <v>372</v>
      </c>
      <c r="D60" s="16"/>
      <c r="H60" s="34" t="s">
        <v>193</v>
      </c>
      <c r="I60">
        <v>1</v>
      </c>
      <c r="L60" t="s">
        <v>73</v>
      </c>
      <c r="M60" t="s">
        <v>458</v>
      </c>
      <c r="N60" s="1"/>
    </row>
    <row r="61" spans="3:16" ht="15" x14ac:dyDescent="0.25">
      <c r="C61" s="95" t="s">
        <v>373</v>
      </c>
      <c r="D61" s="16"/>
      <c r="H61" s="34" t="s">
        <v>190</v>
      </c>
      <c r="I61">
        <v>2</v>
      </c>
      <c r="L61" t="s">
        <v>74</v>
      </c>
      <c r="M61" t="s">
        <v>462</v>
      </c>
      <c r="N61" s="1"/>
    </row>
    <row r="62" spans="3:16" ht="15" x14ac:dyDescent="0.25">
      <c r="C62" s="95" t="s">
        <v>374</v>
      </c>
      <c r="D62" s="16"/>
      <c r="H62" s="34" t="s">
        <v>276</v>
      </c>
      <c r="I62">
        <v>3</v>
      </c>
      <c r="L62" t="s">
        <v>161</v>
      </c>
      <c r="M62" t="s">
        <v>459</v>
      </c>
      <c r="N62" s="1"/>
    </row>
    <row r="63" spans="3:16" ht="15" x14ac:dyDescent="0.25">
      <c r="C63" s="95" t="s">
        <v>375</v>
      </c>
      <c r="D63" s="16"/>
      <c r="H63" s="34" t="s">
        <v>275</v>
      </c>
      <c r="I63">
        <v>4</v>
      </c>
      <c r="L63" t="s">
        <v>75</v>
      </c>
      <c r="M63" t="s">
        <v>462</v>
      </c>
      <c r="N63" s="1"/>
    </row>
    <row r="64" spans="3:16" ht="15" x14ac:dyDescent="0.25">
      <c r="C64" s="95" t="s">
        <v>376</v>
      </c>
      <c r="D64" s="16"/>
      <c r="H64" s="34" t="s">
        <v>201</v>
      </c>
      <c r="I64">
        <v>5</v>
      </c>
      <c r="L64" t="s">
        <v>106</v>
      </c>
      <c r="M64" t="s">
        <v>461</v>
      </c>
      <c r="N64" s="1"/>
    </row>
    <row r="65" spans="3:16" ht="15" x14ac:dyDescent="0.25">
      <c r="C65" s="95" t="s">
        <v>377</v>
      </c>
      <c r="D65" s="16"/>
      <c r="H65" s="34" t="s">
        <v>208</v>
      </c>
      <c r="I65">
        <v>6</v>
      </c>
      <c r="L65" t="s">
        <v>76</v>
      </c>
      <c r="M65" t="s">
        <v>461</v>
      </c>
      <c r="N65" s="1"/>
    </row>
    <row r="66" spans="3:16" ht="15" x14ac:dyDescent="0.25">
      <c r="C66" s="95" t="s">
        <v>349</v>
      </c>
      <c r="D66" s="16"/>
      <c r="L66" t="s">
        <v>238</v>
      </c>
      <c r="M66" t="s">
        <v>461</v>
      </c>
      <c r="N66" s="1"/>
    </row>
    <row r="67" spans="3:16" ht="15" x14ac:dyDescent="0.25">
      <c r="C67" s="95" t="s">
        <v>310</v>
      </c>
      <c r="D67" s="16"/>
      <c r="L67" t="s">
        <v>77</v>
      </c>
      <c r="M67" t="s">
        <v>461</v>
      </c>
      <c r="N67" s="1"/>
    </row>
    <row r="68" spans="3:16" ht="15" x14ac:dyDescent="0.25">
      <c r="C68" s="95" t="s">
        <v>378</v>
      </c>
      <c r="D68" s="16"/>
      <c r="L68" t="s">
        <v>78</v>
      </c>
      <c r="M68" t="s">
        <v>462</v>
      </c>
      <c r="N68" s="1"/>
    </row>
    <row r="69" spans="3:16" ht="15" x14ac:dyDescent="0.25">
      <c r="C69" s="95" t="s">
        <v>379</v>
      </c>
      <c r="D69" s="16"/>
      <c r="L69" t="s">
        <v>79</v>
      </c>
      <c r="M69" t="s">
        <v>461</v>
      </c>
      <c r="N69" s="1"/>
    </row>
    <row r="70" spans="3:16" ht="15" x14ac:dyDescent="0.25">
      <c r="C70" s="95" t="s">
        <v>380</v>
      </c>
      <c r="D70" s="16"/>
      <c r="L70" t="s">
        <v>80</v>
      </c>
      <c r="M70" t="s">
        <v>462</v>
      </c>
      <c r="N70" s="1"/>
    </row>
    <row r="71" spans="3:16" ht="15" x14ac:dyDescent="0.25">
      <c r="C71" s="95" t="s">
        <v>381</v>
      </c>
      <c r="D71" s="16"/>
      <c r="L71" t="s">
        <v>81</v>
      </c>
      <c r="M71" t="s">
        <v>461</v>
      </c>
      <c r="N71" s="1"/>
    </row>
    <row r="72" spans="3:16" ht="15" x14ac:dyDescent="0.25">
      <c r="C72" s="95" t="s">
        <v>382</v>
      </c>
      <c r="D72" s="16"/>
      <c r="H72" s="17"/>
      <c r="L72" t="s">
        <v>107</v>
      </c>
      <c r="M72" t="s">
        <v>462</v>
      </c>
      <c r="N72" s="1"/>
    </row>
    <row r="73" spans="3:16" ht="15" x14ac:dyDescent="0.25">
      <c r="C73" s="95" t="s">
        <v>383</v>
      </c>
      <c r="D73" s="16"/>
      <c r="H73" s="17"/>
      <c r="L73" t="s">
        <v>82</v>
      </c>
      <c r="M73" t="s">
        <v>458</v>
      </c>
      <c r="N73" s="1"/>
    </row>
    <row r="74" spans="3:16" ht="15" x14ac:dyDescent="0.25">
      <c r="C74" s="95" t="s">
        <v>384</v>
      </c>
      <c r="D74" s="16"/>
      <c r="H74" s="17"/>
      <c r="L74" t="s">
        <v>83</v>
      </c>
      <c r="M74" t="s">
        <v>458</v>
      </c>
      <c r="N74" s="1"/>
    </row>
    <row r="75" spans="3:16" ht="15" x14ac:dyDescent="0.25">
      <c r="C75" s="95" t="s">
        <v>385</v>
      </c>
      <c r="D75" s="16"/>
      <c r="H75" s="17"/>
      <c r="L75" t="s">
        <v>348</v>
      </c>
      <c r="M75" t="s">
        <v>460</v>
      </c>
      <c r="N75" s="1"/>
    </row>
    <row r="76" spans="3:16" ht="15" x14ac:dyDescent="0.25">
      <c r="C76" s="95" t="s">
        <v>386</v>
      </c>
      <c r="D76" s="16"/>
      <c r="H76" s="17"/>
      <c r="P76" s="1"/>
    </row>
    <row r="77" spans="3:16" ht="15" x14ac:dyDescent="0.25">
      <c r="C77" s="95" t="s">
        <v>387</v>
      </c>
      <c r="D77" s="16"/>
      <c r="H77" s="17"/>
      <c r="P77" s="1"/>
    </row>
    <row r="78" spans="3:16" ht="15" x14ac:dyDescent="0.25">
      <c r="C78" s="95" t="s">
        <v>388</v>
      </c>
      <c r="D78" s="16"/>
      <c r="H78" s="17"/>
      <c r="P78" s="1"/>
    </row>
    <row r="79" spans="3:16" ht="15" x14ac:dyDescent="0.25">
      <c r="C79" s="95" t="s">
        <v>389</v>
      </c>
      <c r="D79" s="16"/>
      <c r="H79" s="17"/>
      <c r="P79" s="1"/>
    </row>
    <row r="80" spans="3:16" ht="15" x14ac:dyDescent="0.25">
      <c r="C80" s="95" t="s">
        <v>390</v>
      </c>
      <c r="D80" s="16"/>
      <c r="H80" s="17"/>
      <c r="P80" s="1"/>
    </row>
    <row r="81" spans="3:16" ht="15" x14ac:dyDescent="0.25">
      <c r="C81" s="95" t="s">
        <v>391</v>
      </c>
      <c r="D81" s="16"/>
      <c r="H81" s="17"/>
      <c r="P81" s="1"/>
    </row>
    <row r="82" spans="3:16" ht="15" x14ac:dyDescent="0.25">
      <c r="C82" s="95" t="s">
        <v>392</v>
      </c>
      <c r="D82" s="16"/>
      <c r="H82" s="17"/>
      <c r="P82" s="1"/>
    </row>
    <row r="83" spans="3:16" ht="15" x14ac:dyDescent="0.25">
      <c r="C83" s="95" t="s">
        <v>393</v>
      </c>
      <c r="D83" s="16"/>
      <c r="H83" s="17"/>
      <c r="P83" s="1"/>
    </row>
    <row r="84" spans="3:16" ht="15" x14ac:dyDescent="0.25">
      <c r="C84" s="95" t="s">
        <v>394</v>
      </c>
      <c r="D84" s="16"/>
      <c r="H84" s="17"/>
      <c r="P84" s="1"/>
    </row>
    <row r="85" spans="3:16" ht="15" x14ac:dyDescent="0.25">
      <c r="C85" s="95" t="s">
        <v>395</v>
      </c>
      <c r="D85" s="16"/>
      <c r="H85" s="17"/>
      <c r="P85" s="1"/>
    </row>
    <row r="86" spans="3:16" ht="15" x14ac:dyDescent="0.25">
      <c r="C86" s="95" t="s">
        <v>396</v>
      </c>
      <c r="D86" s="16"/>
      <c r="H86" s="17"/>
      <c r="P86" s="1"/>
    </row>
    <row r="87" spans="3:16" ht="15" x14ac:dyDescent="0.25">
      <c r="C87" s="95" t="s">
        <v>397</v>
      </c>
      <c r="D87" s="16"/>
      <c r="H87" s="17"/>
      <c r="P87" s="1"/>
    </row>
    <row r="88" spans="3:16" ht="15" x14ac:dyDescent="0.25">
      <c r="C88" s="95" t="s">
        <v>398</v>
      </c>
      <c r="D88" s="16"/>
      <c r="H88" s="17"/>
      <c r="P88" s="1"/>
    </row>
    <row r="89" spans="3:16" ht="15" x14ac:dyDescent="0.25">
      <c r="C89" s="95" t="s">
        <v>399</v>
      </c>
      <c r="D89" s="16"/>
      <c r="H89" s="17"/>
      <c r="P89" s="1"/>
    </row>
    <row r="90" spans="3:16" ht="15" x14ac:dyDescent="0.25">
      <c r="C90" s="95" t="s">
        <v>400</v>
      </c>
      <c r="D90" s="16"/>
      <c r="H90" s="17"/>
      <c r="P90" s="1"/>
    </row>
    <row r="91" spans="3:16" ht="15" x14ac:dyDescent="0.25">
      <c r="C91" s="95" t="s">
        <v>401</v>
      </c>
      <c r="D91" s="16"/>
      <c r="H91" s="17"/>
      <c r="P91" s="1"/>
    </row>
    <row r="92" spans="3:16" ht="15" x14ac:dyDescent="0.25">
      <c r="C92" s="95" t="s">
        <v>402</v>
      </c>
      <c r="D92" s="16"/>
      <c r="H92" s="17"/>
      <c r="P92" s="1"/>
    </row>
    <row r="93" spans="3:16" ht="15" x14ac:dyDescent="0.25">
      <c r="D93" s="16"/>
      <c r="H93" s="17"/>
      <c r="P93" s="1"/>
    </row>
    <row r="94" spans="3:16" ht="15" x14ac:dyDescent="0.25">
      <c r="C94" s="34" t="s">
        <v>92</v>
      </c>
      <c r="D94" s="16"/>
      <c r="H94" s="17"/>
      <c r="P94" s="1"/>
    </row>
    <row r="95" spans="3:16" ht="15" x14ac:dyDescent="0.25">
      <c r="C95" s="34" t="s">
        <v>114</v>
      </c>
      <c r="D95" s="16"/>
      <c r="H95" s="17"/>
      <c r="P95" s="1"/>
    </row>
    <row r="96" spans="3:16" ht="15" x14ac:dyDescent="0.25">
      <c r="C96" s="34" t="s">
        <v>115</v>
      </c>
      <c r="D96" s="16"/>
      <c r="H96" s="17"/>
      <c r="P96" s="1"/>
    </row>
    <row r="97" spans="3:16" ht="15" x14ac:dyDescent="0.25">
      <c r="C97" s="34" t="s">
        <v>311</v>
      </c>
      <c r="D97" s="16"/>
      <c r="H97" s="17"/>
      <c r="P97" s="1"/>
    </row>
    <row r="98" spans="3:16" ht="15" x14ac:dyDescent="0.25">
      <c r="C98" s="34" t="s">
        <v>116</v>
      </c>
      <c r="D98" s="16"/>
      <c r="H98" s="17"/>
      <c r="P98" s="1"/>
    </row>
    <row r="99" spans="3:16" ht="15" x14ac:dyDescent="0.25">
      <c r="C99" s="34" t="s">
        <v>40</v>
      </c>
      <c r="D99" s="16"/>
      <c r="H99" s="17"/>
      <c r="P99" s="1"/>
    </row>
    <row r="100" spans="3:16" ht="15" x14ac:dyDescent="0.25">
      <c r="C100" s="34" t="s">
        <v>37</v>
      </c>
      <c r="D100" s="16"/>
      <c r="H100" s="17"/>
      <c r="P100" s="1"/>
    </row>
    <row r="101" spans="3:16" ht="15" x14ac:dyDescent="0.25">
      <c r="C101" s="34" t="s">
        <v>277</v>
      </c>
      <c r="D101" s="16"/>
      <c r="H101" s="17"/>
      <c r="P101" s="1"/>
    </row>
    <row r="102" spans="3:16" ht="15" x14ac:dyDescent="0.25">
      <c r="C102" s="34" t="s">
        <v>41</v>
      </c>
      <c r="D102" s="16"/>
      <c r="H102" s="17"/>
      <c r="P102" s="1"/>
    </row>
    <row r="103" spans="3:16" ht="15" x14ac:dyDescent="0.25">
      <c r="C103" s="34" t="s">
        <v>38</v>
      </c>
      <c r="D103" s="16"/>
      <c r="H103" s="17"/>
      <c r="P103" s="1"/>
    </row>
    <row r="104" spans="3:16" ht="15" x14ac:dyDescent="0.25">
      <c r="C104" s="10"/>
      <c r="D104" s="16"/>
      <c r="H104" s="17"/>
      <c r="P104" s="1"/>
    </row>
    <row r="105" spans="3:16" ht="15" x14ac:dyDescent="0.25">
      <c r="D105" s="16"/>
      <c r="H105" s="17"/>
      <c r="P105" s="1"/>
    </row>
    <row r="106" spans="3:16" ht="15" x14ac:dyDescent="0.25">
      <c r="D106" s="16"/>
      <c r="H106" s="17"/>
      <c r="P106" s="1"/>
    </row>
    <row r="107" spans="3:16" ht="15" x14ac:dyDescent="0.25">
      <c r="D107" s="16"/>
      <c r="H107" s="17"/>
      <c r="P107" s="1"/>
    </row>
    <row r="108" spans="3:16" ht="15" x14ac:dyDescent="0.25">
      <c r="D108" s="16"/>
      <c r="H108" s="17"/>
      <c r="P108" s="1"/>
    </row>
    <row r="109" spans="3:16" ht="15" x14ac:dyDescent="0.25">
      <c r="D109" s="16"/>
      <c r="H109" s="17"/>
      <c r="P109" s="1"/>
    </row>
    <row r="110" spans="3:16" ht="15" x14ac:dyDescent="0.25">
      <c r="C110" s="10"/>
      <c r="D110" s="16"/>
      <c r="H110" s="17"/>
      <c r="P110" s="1"/>
    </row>
    <row r="111" spans="3:16" ht="15" x14ac:dyDescent="0.25">
      <c r="C111" s="10"/>
      <c r="D111" s="16"/>
      <c r="H111" s="17"/>
      <c r="P111" s="1"/>
    </row>
    <row r="112" spans="3:16" ht="15" x14ac:dyDescent="0.25">
      <c r="D112" s="16"/>
      <c r="H112" s="17"/>
      <c r="P112" s="1"/>
    </row>
    <row r="113" spans="4:16" ht="15" x14ac:dyDescent="0.25">
      <c r="D113" s="16"/>
      <c r="H113" s="17"/>
      <c r="P113" s="1"/>
    </row>
    <row r="114" spans="4:16" ht="15" x14ac:dyDescent="0.25">
      <c r="D114" s="16"/>
      <c r="H114" s="17"/>
      <c r="P114" s="1"/>
    </row>
    <row r="115" spans="4:16" ht="15" x14ac:dyDescent="0.25">
      <c r="D115" s="16"/>
      <c r="H115" s="17"/>
      <c r="P115" s="1"/>
    </row>
    <row r="116" spans="4:16" ht="15" x14ac:dyDescent="0.25">
      <c r="D116" s="16"/>
      <c r="H116" s="17"/>
      <c r="P116" s="1"/>
    </row>
    <row r="117" spans="4:16" ht="15" x14ac:dyDescent="0.25">
      <c r="D117" s="16"/>
      <c r="H117" s="17"/>
      <c r="P117" s="1"/>
    </row>
    <row r="118" spans="4:16" ht="15" x14ac:dyDescent="0.25">
      <c r="D118" s="16"/>
      <c r="H118" s="17"/>
      <c r="P118" s="1"/>
    </row>
    <row r="119" spans="4:16" ht="15" x14ac:dyDescent="0.25">
      <c r="D119" s="16"/>
      <c r="H119" s="17"/>
      <c r="P119" s="1"/>
    </row>
    <row r="120" spans="4:16" ht="15" x14ac:dyDescent="0.25">
      <c r="H120" s="17"/>
      <c r="P120" s="1"/>
    </row>
    <row r="121" spans="4:16" ht="15" x14ac:dyDescent="0.25">
      <c r="H121" s="17"/>
      <c r="P121" s="1"/>
    </row>
    <row r="122" spans="4:16" ht="15" x14ac:dyDescent="0.25">
      <c r="H122" s="17"/>
      <c r="P122" s="1"/>
    </row>
    <row r="123" spans="4:16" ht="15" x14ac:dyDescent="0.25">
      <c r="H123" s="17"/>
      <c r="P123" s="1"/>
    </row>
    <row r="124" spans="4:16" ht="15" x14ac:dyDescent="0.25">
      <c r="H124" s="17"/>
      <c r="P124" s="1"/>
    </row>
    <row r="125" spans="4:16" ht="18" customHeight="1" x14ac:dyDescent="0.25">
      <c r="H125" s="17"/>
    </row>
    <row r="126" spans="4:16" ht="18" customHeight="1" x14ac:dyDescent="0.25">
      <c r="H126" s="17"/>
    </row>
    <row r="127" spans="4:16" ht="18" customHeight="1" x14ac:dyDescent="0.25">
      <c r="D127" s="16"/>
      <c r="H127" s="17"/>
    </row>
    <row r="128" spans="4:16" ht="18" customHeight="1" x14ac:dyDescent="0.25">
      <c r="D128" s="16"/>
      <c r="H128" s="17"/>
    </row>
  </sheetData>
  <phoneticPr fontId="13" type="noConversion"/>
  <pageMargins left="0.7" right="0.7" top="0.75" bottom="0.75" header="0.3" footer="0.3"/>
  <pageSetup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CY24"/>
  <sheetViews>
    <sheetView zoomScale="85" zoomScaleNormal="85" workbookViewId="0">
      <selection activeCell="M12" sqref="M12"/>
    </sheetView>
  </sheetViews>
  <sheetFormatPr defaultColWidth="8.88671875" defaultRowHeight="18" customHeight="1" outlineLevelCol="1" x14ac:dyDescent="0.25"/>
  <cols>
    <col min="1" max="1" width="19.44140625" style="2" customWidth="1"/>
    <col min="2" max="2" width="14.77734375" style="2" customWidth="1"/>
    <col min="3" max="3" width="9.109375" style="2" customWidth="1"/>
    <col min="4" max="4" width="5.5546875" style="2" bestFit="1" customWidth="1"/>
    <col min="5" max="5" width="36.6640625" style="2" bestFit="1" customWidth="1"/>
    <col min="6" max="6" width="14" style="2" bestFit="1" customWidth="1"/>
    <col min="7" max="7" width="9.33203125" style="2" bestFit="1" customWidth="1"/>
    <col min="8" max="8" width="8.44140625" style="2" bestFit="1" customWidth="1"/>
    <col min="9" max="9" width="7.6640625" style="2" bestFit="1" customWidth="1"/>
    <col min="10" max="10" width="12.109375" style="2" bestFit="1" customWidth="1"/>
    <col min="11" max="11" width="7.6640625" style="2" bestFit="1" customWidth="1"/>
    <col min="12" max="12" width="19.44140625" style="2" bestFit="1" customWidth="1"/>
    <col min="13" max="13" width="49.5546875" style="2" bestFit="1" customWidth="1"/>
    <col min="14" max="14" width="11" style="2" bestFit="1" customWidth="1"/>
    <col min="15" max="15" width="10.5546875" style="2" hidden="1" customWidth="1" outlineLevel="1"/>
    <col min="16" max="16" width="4.77734375" style="2" hidden="1" customWidth="1" outlineLevel="1"/>
    <col min="17" max="17" width="10.5546875" style="2" hidden="1" customWidth="1" outlineLevel="1"/>
    <col min="18" max="18" width="10.44140625" style="2" hidden="1" customWidth="1" outlineLevel="1"/>
    <col min="19" max="19" width="9.44140625" style="2" hidden="1" customWidth="1" outlineLevel="1"/>
    <col min="20" max="20" width="31.6640625" style="2" hidden="1" customWidth="1" outlineLevel="1"/>
    <col min="21" max="21" width="8" style="2" hidden="1" customWidth="1" outlineLevel="1"/>
    <col min="22" max="22" width="9.21875" style="2" hidden="1" customWidth="1" outlineLevel="1"/>
    <col min="23" max="23" width="11.109375" style="2" hidden="1" customWidth="1" outlineLevel="1"/>
    <col min="24" max="24" width="9.44140625" style="2" hidden="1" customWidth="1" outlineLevel="1"/>
    <col min="25" max="25" width="7.77734375" style="2" hidden="1" customWidth="1" outlineLevel="1"/>
    <col min="26" max="26" width="10.21875" style="2" hidden="1" customWidth="1" outlineLevel="1"/>
    <col min="27" max="27" width="15" style="2" hidden="1" customWidth="1" outlineLevel="1"/>
    <col min="28" max="28" width="6.109375" style="2" hidden="1" customWidth="1" outlineLevel="1"/>
    <col min="29" max="29" width="7.77734375" style="2" hidden="1" customWidth="1" outlineLevel="1"/>
    <col min="30" max="31" width="6.109375" style="2" hidden="1" customWidth="1" outlineLevel="1"/>
    <col min="32" max="32" width="4.44140625" style="2" hidden="1" customWidth="1" outlineLevel="1"/>
    <col min="33" max="33" width="8.88671875" style="2" hidden="1" customWidth="1" outlineLevel="1"/>
    <col min="34" max="36" width="7.77734375" style="2" hidden="1" customWidth="1" outlineLevel="1"/>
    <col min="37" max="37" width="66.88671875" style="2" hidden="1" customWidth="1" outlineLevel="1"/>
    <col min="38" max="40" width="7.77734375" style="2" hidden="1" customWidth="1" outlineLevel="1"/>
    <col min="41" max="42" width="11.109375" style="2" hidden="1" customWidth="1" outlineLevel="1"/>
    <col min="43" max="43" width="4.44140625" style="2" hidden="1" customWidth="1" outlineLevel="1"/>
    <col min="44" max="44" width="7.77734375" style="2" hidden="1" customWidth="1" outlineLevel="1"/>
    <col min="45" max="45" width="11.109375" style="2" hidden="1" customWidth="1" outlineLevel="1"/>
    <col min="46" max="46" width="7.77734375" style="2" hidden="1" customWidth="1" outlineLevel="1"/>
    <col min="47" max="47" width="11.109375" style="2" hidden="1" customWidth="1" outlineLevel="1"/>
    <col min="48" max="49" width="9.44140625" style="2" hidden="1" customWidth="1" outlineLevel="1"/>
    <col min="50" max="50" width="22.5546875" style="2" hidden="1" customWidth="1" outlineLevel="1"/>
    <col min="51" max="51" width="7.6640625" style="2" hidden="1" customWidth="1" outlineLevel="1"/>
    <col min="52" max="52" width="11.109375" style="2" hidden="1" customWidth="1" outlineLevel="1"/>
    <col min="53" max="53" width="7.77734375" style="2" hidden="1" customWidth="1" outlineLevel="1"/>
    <col min="54" max="55" width="9.44140625" style="2" hidden="1" customWidth="1" outlineLevel="1"/>
    <col min="56" max="56" width="7.77734375" style="2" hidden="1" customWidth="1" outlineLevel="1"/>
    <col min="57" max="57" width="11.109375" style="2" hidden="1" customWidth="1" outlineLevel="1"/>
    <col min="58" max="58" width="9.44140625" style="2" hidden="1" customWidth="1" outlineLevel="1"/>
    <col min="59" max="59" width="22.5546875" style="2" hidden="1" customWidth="1" outlineLevel="1"/>
    <col min="60" max="60" width="9.44140625" style="2" hidden="1" customWidth="1" outlineLevel="1"/>
    <col min="61" max="61" width="8.77734375" style="2" hidden="1" customWidth="1" outlineLevel="1"/>
    <col min="62" max="62" width="24.77734375" style="2" hidden="1" customWidth="1" outlineLevel="1"/>
    <col min="63" max="63" width="9.44140625" style="2" hidden="1" customWidth="1" outlineLevel="1"/>
    <col min="64" max="64" width="11.109375" style="2" hidden="1" customWidth="1" outlineLevel="1"/>
    <col min="65" max="66" width="80.88671875" style="2" hidden="1" customWidth="1" outlineLevel="1"/>
    <col min="67" max="67" width="9.44140625" style="2" hidden="1" customWidth="1" outlineLevel="1"/>
    <col min="68" max="73" width="7.77734375" style="2" hidden="1" customWidth="1" outlineLevel="1"/>
    <col min="74" max="74" width="12.77734375" style="2" hidden="1" customWidth="1" outlineLevel="1"/>
    <col min="75" max="75" width="8.77734375" style="2" hidden="1" customWidth="1" outlineLevel="1"/>
    <col min="76" max="76" width="11.33203125" style="2" hidden="1" customWidth="1" outlineLevel="1"/>
    <col min="77" max="77" width="12.21875" style="2" hidden="1" customWidth="1" outlineLevel="1"/>
    <col min="78" max="78" width="4.44140625" style="1" hidden="1" customWidth="1" outlineLevel="1"/>
    <col min="79" max="80" width="9.44140625" style="1" hidden="1" customWidth="1" outlineLevel="1"/>
    <col min="81" max="81" width="9.44140625" style="2" hidden="1" customWidth="1" outlineLevel="1"/>
    <col min="82" max="82" width="12.77734375" style="1" hidden="1" customWidth="1" outlineLevel="1"/>
    <col min="83" max="83" width="6.109375" style="2" hidden="1" customWidth="1" outlineLevel="1"/>
    <col min="84" max="84" width="13.5546875" style="2" hidden="1" customWidth="1" outlineLevel="1"/>
    <col min="85" max="85" width="9.44140625" style="2" hidden="1" customWidth="1" outlineLevel="1"/>
    <col min="86" max="86" width="14.44140625" style="2" hidden="1" customWidth="1" outlineLevel="1"/>
    <col min="87" max="87" width="6.109375" style="2" hidden="1" customWidth="1" outlineLevel="1"/>
    <col min="88" max="88" width="5.109375" style="2" hidden="1" customWidth="1" outlineLevel="1"/>
    <col min="89" max="89" width="6.109375" style="1" hidden="1" customWidth="1" outlineLevel="1"/>
    <col min="90" max="90" width="8.88671875" style="1" hidden="1" customWidth="1" outlineLevel="1"/>
    <col min="91" max="91" width="6.88671875" style="1" hidden="1" customWidth="1" outlineLevel="1"/>
    <col min="92" max="92" width="16.77734375" style="1" hidden="1" customWidth="1" outlineLevel="1" collapsed="1"/>
    <col min="93" max="93" width="7.6640625" style="1" bestFit="1" customWidth="1" collapsed="1"/>
    <col min="94" max="94" width="20.109375" style="1" bestFit="1" customWidth="1"/>
    <col min="95" max="97" width="8.88671875" style="1"/>
    <col min="98" max="98" width="13.5546875" style="2" bestFit="1" customWidth="1"/>
    <col min="99" max="99" width="14.44140625" style="2" bestFit="1" customWidth="1"/>
    <col min="100" max="100" width="80.88671875" style="2" bestFit="1" customWidth="1"/>
    <col min="101" max="101" width="7.77734375" style="2" bestFit="1" customWidth="1"/>
    <col min="102" max="103" width="8.88671875" style="1"/>
    <col min="104" max="104" width="6.88671875" style="2" bestFit="1" customWidth="1"/>
    <col min="105" max="105" width="8.88671875" style="2" bestFit="1" customWidth="1"/>
    <col min="106" max="108" width="19.5546875" style="2" bestFit="1" customWidth="1"/>
    <col min="109" max="109" width="8.88671875" style="2" bestFit="1" customWidth="1"/>
    <col min="110" max="110" width="10.5546875" style="2" bestFit="1" customWidth="1"/>
    <col min="111" max="112" width="10.33203125" style="2" bestFit="1" customWidth="1"/>
    <col min="113" max="113" width="10.5546875" style="2" bestFit="1" customWidth="1"/>
    <col min="114" max="114" width="19.5546875" style="2" bestFit="1" customWidth="1"/>
    <col min="115" max="115" width="10.5546875" style="2" bestFit="1" customWidth="1"/>
    <col min="116" max="116" width="10.33203125" style="2" bestFit="1" customWidth="1"/>
    <col min="117" max="118" width="10.5546875" style="2" bestFit="1" customWidth="1"/>
    <col min="119" max="119" width="16.6640625" style="2" bestFit="1" customWidth="1"/>
    <col min="120" max="120" width="7.6640625" style="2" bestFit="1" customWidth="1"/>
    <col min="121" max="122" width="10.44140625" style="2" bestFit="1" customWidth="1"/>
    <col min="123" max="123" width="17.33203125" style="2" bestFit="1" customWidth="1"/>
    <col min="124" max="125" width="10.109375" style="2" bestFit="1" customWidth="1"/>
    <col min="126" max="127" width="12.44140625" style="2" bestFit="1" customWidth="1"/>
    <col min="128" max="128" width="8.6640625" style="2" bestFit="1" customWidth="1"/>
    <col min="129" max="131" width="8.6640625" style="2" customWidth="1"/>
    <col min="132" max="132" width="9.21875" style="2" customWidth="1"/>
    <col min="133" max="133" width="28.6640625" style="2" customWidth="1"/>
    <col min="134" max="134" width="9" style="2" customWidth="1"/>
    <col min="135" max="135" width="11.6640625" style="2" customWidth="1"/>
    <col min="136" max="137" width="9.21875" style="2" customWidth="1"/>
    <col min="138" max="138" width="10.44140625" style="2" customWidth="1"/>
    <col min="139" max="139" width="11.6640625" style="2" customWidth="1"/>
    <col min="140" max="140" width="9.21875" style="2" customWidth="1"/>
    <col min="141" max="141" width="10.44140625" style="2" customWidth="1"/>
    <col min="142" max="142" width="20.109375" style="2" customWidth="1"/>
    <col min="143" max="143" width="37.77734375" style="2" customWidth="1"/>
    <col min="144" max="144" width="43.21875" style="2" customWidth="1"/>
    <col min="145" max="145" width="9.21875" style="2" customWidth="1"/>
    <col min="146" max="146" width="13.77734375" style="2" customWidth="1"/>
    <col min="147" max="147" width="37.109375" style="2" customWidth="1"/>
    <col min="148" max="148" width="10.44140625" style="2" customWidth="1"/>
    <col min="149" max="154" width="9.21875" style="2" customWidth="1"/>
    <col min="155" max="155" width="12.33203125" style="2" bestFit="1" customWidth="1"/>
    <col min="156" max="156" width="11.109375" style="2" customWidth="1"/>
    <col min="157" max="157" width="11.6640625" style="2" bestFit="1" customWidth="1"/>
    <col min="158" max="158" width="11.6640625" style="2" customWidth="1"/>
    <col min="159" max="159" width="4.77734375" style="2" bestFit="1" customWidth="1"/>
    <col min="160" max="160" width="7.44140625" style="2" bestFit="1" customWidth="1"/>
    <col min="161" max="16384" width="8.88671875" style="2"/>
  </cols>
  <sheetData>
    <row r="1" spans="1:103" ht="66" customHeight="1" x14ac:dyDescent="0.25">
      <c r="A1" s="44" t="s">
        <v>215</v>
      </c>
      <c r="B1" s="7"/>
      <c r="K1" s="52" t="s">
        <v>179</v>
      </c>
      <c r="L1" s="144" t="s">
        <v>555</v>
      </c>
      <c r="Q1" s="43">
        <v>44951</v>
      </c>
      <c r="BZ1" s="2"/>
      <c r="CA1" s="2"/>
      <c r="CB1" s="2"/>
      <c r="CD1" s="2"/>
      <c r="CK1" s="2"/>
      <c r="CL1" s="2"/>
      <c r="CM1" s="2"/>
      <c r="CN1" s="2"/>
      <c r="CO1" s="2"/>
      <c r="CP1" s="2"/>
      <c r="CQ1" s="2"/>
      <c r="CR1" s="2"/>
      <c r="CS1" s="2"/>
      <c r="CX1" s="2"/>
      <c r="CY1" s="2"/>
    </row>
    <row r="2" spans="1:103" ht="66" customHeight="1" x14ac:dyDescent="0.25">
      <c r="A2" s="45" t="s">
        <v>110</v>
      </c>
      <c r="K2" s="22" t="s">
        <v>247</v>
      </c>
      <c r="L2" s="145" t="s">
        <v>554</v>
      </c>
      <c r="BZ2" s="2"/>
      <c r="CA2" s="2"/>
      <c r="CB2" s="2"/>
      <c r="CD2" s="2"/>
      <c r="CK2" s="2"/>
      <c r="CL2" s="2"/>
      <c r="CM2" s="2"/>
      <c r="CN2" s="2"/>
      <c r="CO2" s="2"/>
      <c r="CP2" s="2"/>
      <c r="CQ2" s="2"/>
      <c r="CR2" s="2"/>
      <c r="CS2" s="2"/>
      <c r="CX2" s="2"/>
      <c r="CY2" s="2"/>
    </row>
    <row r="3" spans="1:103" ht="23.25" customHeight="1" x14ac:dyDescent="0.3">
      <c r="A3" s="72" t="s">
        <v>272</v>
      </c>
      <c r="B3" s="53"/>
      <c r="C3" s="70"/>
      <c r="I3" s="23"/>
      <c r="BZ3" s="2"/>
      <c r="CA3" s="2"/>
      <c r="CB3" s="2"/>
      <c r="CD3" s="2"/>
      <c r="CK3" s="2"/>
      <c r="CL3" s="2"/>
      <c r="CM3" s="2"/>
      <c r="CN3" s="2"/>
      <c r="CO3" s="2"/>
      <c r="CP3" s="2"/>
      <c r="CQ3" s="2"/>
      <c r="CR3" s="2"/>
      <c r="CS3" s="2"/>
      <c r="CX3" s="2"/>
      <c r="CY3" s="2"/>
    </row>
    <row r="4" spans="1:103" ht="23.25" customHeight="1" x14ac:dyDescent="0.25">
      <c r="A4" s="73" t="s">
        <v>265</v>
      </c>
      <c r="B4" s="54">
        <f>MAX(DLDconso[Index])</f>
        <v>11</v>
      </c>
      <c r="C4" s="70"/>
      <c r="BZ4" s="2"/>
      <c r="CA4" s="2"/>
      <c r="CB4" s="2"/>
      <c r="CD4" s="2"/>
      <c r="CK4" s="2"/>
      <c r="CL4" s="2"/>
      <c r="CM4" s="2"/>
      <c r="CN4" s="2"/>
      <c r="CO4" s="2"/>
      <c r="CP4" s="2"/>
      <c r="CQ4" s="2"/>
      <c r="CR4" s="2"/>
      <c r="CS4" s="2"/>
      <c r="CX4" s="2"/>
      <c r="CY4" s="2"/>
    </row>
    <row r="5" spans="1:103" ht="23.25" customHeight="1" x14ac:dyDescent="0.25">
      <c r="A5" s="73" t="s">
        <v>266</v>
      </c>
      <c r="B5" s="54">
        <f>MAX(BBGcorp[Index])</f>
        <v>21</v>
      </c>
      <c r="C5" s="71">
        <f>$B$5-B$4</f>
        <v>10</v>
      </c>
      <c r="BZ5" s="2"/>
      <c r="CA5" s="2"/>
      <c r="CB5" s="2"/>
      <c r="CD5" s="2"/>
      <c r="CK5" s="2"/>
      <c r="CL5" s="2"/>
      <c r="CM5" s="2"/>
      <c r="CN5" s="2"/>
      <c r="CO5" s="2"/>
      <c r="CP5" s="2"/>
      <c r="CQ5" s="2"/>
      <c r="CR5" s="2"/>
      <c r="CS5" s="2"/>
      <c r="CX5" s="2"/>
      <c r="CY5" s="2"/>
    </row>
    <row r="6" spans="1:103" ht="23.25" customHeight="1" x14ac:dyDescent="0.25">
      <c r="A6" s="74" t="s">
        <v>267</v>
      </c>
      <c r="B6" s="55">
        <f>MAX(台账23[台账序号])</f>
        <v>66</v>
      </c>
      <c r="C6" s="70"/>
      <c r="BZ6" s="2"/>
      <c r="CA6" s="2"/>
      <c r="CB6" s="2"/>
      <c r="CD6" s="2"/>
      <c r="CK6" s="2"/>
      <c r="CL6" s="2"/>
      <c r="CM6" s="2"/>
      <c r="CN6" s="2"/>
      <c r="CO6" s="2"/>
      <c r="CP6" s="2"/>
      <c r="CQ6" s="2"/>
      <c r="CR6" s="2"/>
      <c r="CS6" s="2"/>
      <c r="CX6" s="2"/>
      <c r="CY6" s="2"/>
    </row>
    <row r="7" spans="1:103" ht="23.25" customHeight="1" x14ac:dyDescent="0.25">
      <c r="BZ7" s="2"/>
      <c r="CA7" s="2"/>
      <c r="CB7" s="2"/>
      <c r="CD7" s="2"/>
      <c r="CK7" s="2"/>
      <c r="CL7" s="2"/>
      <c r="CM7" s="2"/>
      <c r="CN7" s="2"/>
      <c r="CO7" s="2"/>
      <c r="CP7" s="2"/>
      <c r="CQ7" s="2"/>
      <c r="CR7" s="2"/>
      <c r="CS7" s="2"/>
      <c r="CX7" s="2"/>
      <c r="CY7" s="2"/>
    </row>
    <row r="8" spans="1:103" ht="14.25" customHeight="1" x14ac:dyDescent="0.25">
      <c r="BZ8" s="2"/>
      <c r="CA8" s="2"/>
      <c r="CB8" s="2"/>
      <c r="CD8" s="2"/>
      <c r="CK8" s="2"/>
      <c r="CL8" s="2"/>
      <c r="CM8" s="2"/>
      <c r="CN8" s="2"/>
      <c r="CO8" s="2"/>
      <c r="CP8" s="2"/>
      <c r="CQ8" s="2"/>
      <c r="CR8" s="2"/>
      <c r="CS8" s="2"/>
      <c r="CX8" s="2"/>
      <c r="CY8" s="2"/>
    </row>
    <row r="9" spans="1:103" ht="11.25" x14ac:dyDescent="0.25">
      <c r="BZ9" s="2"/>
      <c r="CA9" s="2"/>
      <c r="CB9" s="2"/>
      <c r="CD9" s="2"/>
      <c r="CK9" s="2"/>
      <c r="CL9" s="2"/>
      <c r="CM9" s="2"/>
      <c r="CN9" s="2"/>
      <c r="CO9" s="2"/>
      <c r="CP9" s="2"/>
      <c r="CQ9" s="2"/>
      <c r="CR9" s="2"/>
      <c r="CS9" s="2"/>
      <c r="CX9" s="2"/>
      <c r="CY9" s="2"/>
    </row>
    <row r="10" spans="1:103" ht="15" x14ac:dyDescent="0.25">
      <c r="A10" t="s">
        <v>327</v>
      </c>
      <c r="B10" t="s">
        <v>329</v>
      </c>
      <c r="D10" t="s">
        <v>88</v>
      </c>
      <c r="E10" s="34" t="s">
        <v>96</v>
      </c>
      <c r="F10" s="34" t="s">
        <v>49</v>
      </c>
      <c r="G10" s="34" t="s">
        <v>50</v>
      </c>
      <c r="H10" s="34" t="s">
        <v>100</v>
      </c>
      <c r="I10" s="34" t="s">
        <v>51</v>
      </c>
      <c r="J10" t="s">
        <v>187</v>
      </c>
      <c r="K10" t="s">
        <v>144</v>
      </c>
      <c r="L10" t="s">
        <v>255</v>
      </c>
      <c r="M10" s="34" t="s">
        <v>48</v>
      </c>
      <c r="N10" s="34" t="s">
        <v>101</v>
      </c>
      <c r="O10" s="34" t="s">
        <v>58</v>
      </c>
      <c r="P10" s="34" t="s">
        <v>65</v>
      </c>
      <c r="Q10" s="34" t="s">
        <v>59</v>
      </c>
      <c r="R10" t="s">
        <v>440</v>
      </c>
      <c r="S10" s="34" t="s">
        <v>53</v>
      </c>
      <c r="T10" s="34" t="s">
        <v>102</v>
      </c>
      <c r="U10" t="s">
        <v>218</v>
      </c>
      <c r="V10" t="s">
        <v>219</v>
      </c>
      <c r="W10" s="34" t="s">
        <v>55</v>
      </c>
      <c r="X10" t="s">
        <v>347</v>
      </c>
      <c r="Y10" t="s">
        <v>256</v>
      </c>
      <c r="Z10" s="34" t="s">
        <v>56</v>
      </c>
      <c r="AA10" s="34" t="s">
        <v>57</v>
      </c>
      <c r="AB10" s="34" t="s">
        <v>60</v>
      </c>
      <c r="AC10" s="34" t="s">
        <v>61</v>
      </c>
      <c r="AD10" s="34" t="s">
        <v>97</v>
      </c>
      <c r="AE10" s="34" t="s">
        <v>46</v>
      </c>
      <c r="AF10" s="34" t="s">
        <v>47</v>
      </c>
      <c r="AG10" s="34" t="s">
        <v>141</v>
      </c>
      <c r="AH10" s="34" t="s">
        <v>62</v>
      </c>
      <c r="AI10" s="34" t="s">
        <v>63</v>
      </c>
      <c r="AJ10" s="34" t="s">
        <v>64</v>
      </c>
      <c r="AK10" s="34" t="s">
        <v>66</v>
      </c>
      <c r="AL10" t="s">
        <v>210</v>
      </c>
      <c r="AM10" s="34" t="s">
        <v>45</v>
      </c>
      <c r="AN10" s="34" t="s">
        <v>98</v>
      </c>
      <c r="AO10" s="34" t="s">
        <v>186</v>
      </c>
      <c r="AP10" s="34" t="s">
        <v>52</v>
      </c>
      <c r="AQ10" s="34" t="s">
        <v>44</v>
      </c>
      <c r="AR10" t="s">
        <v>233</v>
      </c>
      <c r="AS10" s="34" t="s">
        <v>43</v>
      </c>
      <c r="AT10" s="34" t="s">
        <v>99</v>
      </c>
      <c r="AU10" t="s">
        <v>234</v>
      </c>
      <c r="AV10" t="s">
        <v>235</v>
      </c>
      <c r="AW10" t="s">
        <v>236</v>
      </c>
      <c r="AX10" t="s">
        <v>237</v>
      </c>
      <c r="AY10" s="34" t="s">
        <v>67</v>
      </c>
      <c r="AZ10" s="34" t="s">
        <v>103</v>
      </c>
      <c r="BA10" s="34" t="s">
        <v>104</v>
      </c>
      <c r="BB10" s="34" t="s">
        <v>68</v>
      </c>
      <c r="BC10" s="34" t="s">
        <v>69</v>
      </c>
      <c r="BD10" s="34" t="s">
        <v>70</v>
      </c>
      <c r="BE10" s="34" t="s">
        <v>105</v>
      </c>
      <c r="BF10" s="34" t="s">
        <v>71</v>
      </c>
      <c r="BG10" s="34" t="s">
        <v>72</v>
      </c>
      <c r="BH10" s="34" t="s">
        <v>74</v>
      </c>
      <c r="BI10" t="s">
        <v>239</v>
      </c>
      <c r="BJ10" s="34" t="s">
        <v>73</v>
      </c>
      <c r="BK10" s="34" t="s">
        <v>75</v>
      </c>
      <c r="BL10" s="34" t="s">
        <v>106</v>
      </c>
      <c r="BM10" s="34" t="s">
        <v>76</v>
      </c>
      <c r="BN10" t="s">
        <v>238</v>
      </c>
      <c r="BO10" s="34" t="s">
        <v>77</v>
      </c>
      <c r="BP10" s="34" t="s">
        <v>78</v>
      </c>
      <c r="BQ10" s="34" t="s">
        <v>79</v>
      </c>
      <c r="BR10" s="34" t="s">
        <v>80</v>
      </c>
      <c r="BS10" s="34" t="s">
        <v>81</v>
      </c>
      <c r="BT10" s="34" t="s">
        <v>107</v>
      </c>
      <c r="BU10" s="34" t="s">
        <v>82</v>
      </c>
      <c r="BV10" s="34" t="s">
        <v>83</v>
      </c>
      <c r="BW10" t="s">
        <v>348</v>
      </c>
      <c r="BX10" t="s">
        <v>156</v>
      </c>
      <c r="BY10" t="s">
        <v>450</v>
      </c>
      <c r="BZ10" t="s">
        <v>91</v>
      </c>
      <c r="CA10" t="s">
        <v>220</v>
      </c>
      <c r="CB10" t="s">
        <v>150</v>
      </c>
      <c r="CC10" t="s">
        <v>325</v>
      </c>
      <c r="CD10" t="s">
        <v>119</v>
      </c>
      <c r="CE10" t="s">
        <v>240</v>
      </c>
      <c r="CF10" t="s">
        <v>203</v>
      </c>
      <c r="CG10" t="s">
        <v>248</v>
      </c>
      <c r="CH10" t="s">
        <v>282</v>
      </c>
      <c r="CI10" t="s">
        <v>183</v>
      </c>
      <c r="CJ10" t="s">
        <v>184</v>
      </c>
      <c r="CK10" t="s">
        <v>223</v>
      </c>
      <c r="CL10" t="s">
        <v>185</v>
      </c>
      <c r="CM10" t="s">
        <v>326</v>
      </c>
      <c r="CN10" t="s">
        <v>154</v>
      </c>
      <c r="CO10" t="s">
        <v>121</v>
      </c>
      <c r="CP10" s="34" t="s">
        <v>149</v>
      </c>
      <c r="CQ10" s="2"/>
      <c r="CR10" s="2"/>
      <c r="CS10" s="2"/>
      <c r="CX10" s="2"/>
      <c r="CY10" s="2"/>
    </row>
    <row r="11" spans="1:103" ht="15" x14ac:dyDescent="0.25">
      <c r="A11" t="s">
        <v>179</v>
      </c>
      <c r="B11" s="130" t="s">
        <v>247</v>
      </c>
      <c r="D11" s="146">
        <v>1</v>
      </c>
      <c r="E11" s="155" t="s">
        <v>835</v>
      </c>
      <c r="F11" s="156" t="s">
        <v>834</v>
      </c>
      <c r="G11" s="157">
        <v>45191</v>
      </c>
      <c r="H11" s="157" t="s">
        <v>134</v>
      </c>
      <c r="I11" s="155" t="s">
        <v>134</v>
      </c>
      <c r="J11" s="155" t="s">
        <v>85</v>
      </c>
      <c r="K11" s="158" t="s">
        <v>85</v>
      </c>
      <c r="L11" s="158" t="s">
        <v>848</v>
      </c>
      <c r="M11" s="155" t="s">
        <v>849</v>
      </c>
      <c r="N11" s="155" t="s">
        <v>134</v>
      </c>
      <c r="O11" s="146">
        <v>1</v>
      </c>
      <c r="P11" s="156" t="s">
        <v>87</v>
      </c>
      <c r="Q11" s="155" t="s">
        <v>209</v>
      </c>
      <c r="R11" s="158">
        <v>7.1</v>
      </c>
      <c r="S11" s="159">
        <v>46311</v>
      </c>
      <c r="T11" s="155" t="s">
        <v>269</v>
      </c>
      <c r="U11" s="158" t="s">
        <v>94</v>
      </c>
      <c r="V11" s="146" t="s">
        <v>850</v>
      </c>
      <c r="W11" s="158"/>
      <c r="X11" s="158" t="s">
        <v>211</v>
      </c>
      <c r="Y11" s="158" t="s">
        <v>543</v>
      </c>
      <c r="Z11" s="156" t="s">
        <v>851</v>
      </c>
      <c r="AA11" s="155" t="s">
        <v>135</v>
      </c>
      <c r="AB11" s="158">
        <v>100</v>
      </c>
      <c r="AC11" s="155"/>
      <c r="AD11" s="155" t="s">
        <v>676</v>
      </c>
      <c r="AE11" s="155" t="s">
        <v>852</v>
      </c>
      <c r="AF11" s="155" t="s">
        <v>853</v>
      </c>
      <c r="AG11" s="156"/>
      <c r="AH11" s="155"/>
      <c r="AI11" s="155"/>
      <c r="AJ11" s="155"/>
      <c r="AK11" s="155" t="s">
        <v>854</v>
      </c>
      <c r="AL11" s="158" t="s">
        <v>351</v>
      </c>
      <c r="AM11" s="155" t="s">
        <v>713</v>
      </c>
      <c r="AN11" s="156" t="s">
        <v>94</v>
      </c>
      <c r="AO11" s="155" t="s">
        <v>134</v>
      </c>
      <c r="AP11" s="156" t="s">
        <v>680</v>
      </c>
      <c r="AQ11" s="155" t="s">
        <v>1</v>
      </c>
      <c r="AR11" s="158" t="s">
        <v>855</v>
      </c>
      <c r="AS11" s="155" t="s">
        <v>133</v>
      </c>
      <c r="AT11" s="155" t="s">
        <v>84</v>
      </c>
      <c r="AU11" s="146"/>
      <c r="AV11" s="146" t="s">
        <v>94</v>
      </c>
      <c r="AW11" s="146" t="s">
        <v>94</v>
      </c>
      <c r="AX11" s="146" t="s">
        <v>856</v>
      </c>
      <c r="AY11" s="156" t="s">
        <v>857</v>
      </c>
      <c r="AZ11" s="146">
        <v>1000</v>
      </c>
      <c r="BA11" s="158">
        <v>1</v>
      </c>
      <c r="BB11" s="159">
        <v>45215</v>
      </c>
      <c r="BC11" s="159"/>
      <c r="BD11" s="155" t="s">
        <v>94</v>
      </c>
      <c r="BE11" s="146">
        <v>7.1</v>
      </c>
      <c r="BF11" s="159">
        <v>45398</v>
      </c>
      <c r="BG11" s="155" t="s">
        <v>835</v>
      </c>
      <c r="BH11" s="159">
        <v>45215</v>
      </c>
      <c r="BI11" s="146" t="s">
        <v>858</v>
      </c>
      <c r="BJ11" s="156" t="s">
        <v>94</v>
      </c>
      <c r="BK11" s="159">
        <v>45215</v>
      </c>
      <c r="BL11" s="155" t="s">
        <v>521</v>
      </c>
      <c r="BM11" s="156" t="s">
        <v>859</v>
      </c>
      <c r="BN11" s="146" t="s">
        <v>860</v>
      </c>
      <c r="BO11" s="155" t="s">
        <v>136</v>
      </c>
      <c r="BP11" s="155" t="s">
        <v>136</v>
      </c>
      <c r="BQ11" s="155" t="s">
        <v>137</v>
      </c>
      <c r="BR11" s="155" t="s">
        <v>138</v>
      </c>
      <c r="BS11" s="155" t="s">
        <v>139</v>
      </c>
      <c r="BT11" s="156" t="s">
        <v>94</v>
      </c>
      <c r="BU11" s="155" t="s">
        <v>140</v>
      </c>
      <c r="BV11" s="156" t="s">
        <v>94</v>
      </c>
      <c r="BW11" s="158" t="s">
        <v>94</v>
      </c>
      <c r="BX11" s="149" t="s">
        <v>7</v>
      </c>
      <c r="BY11" s="146" t="s">
        <v>260</v>
      </c>
      <c r="BZ11" s="158" t="s">
        <v>15</v>
      </c>
      <c r="CA11" s="149" t="s">
        <v>94</v>
      </c>
      <c r="CB11" s="149" t="s">
        <v>94</v>
      </c>
      <c r="CC11" s="147"/>
      <c r="CD11" s="158" t="s">
        <v>865</v>
      </c>
      <c r="CE11" s="158" t="s">
        <v>279</v>
      </c>
      <c r="CF11" s="147">
        <v>43896</v>
      </c>
      <c r="CG11" s="158" t="s">
        <v>268</v>
      </c>
      <c r="CH11" s="158" t="s">
        <v>94</v>
      </c>
      <c r="CI11" s="158">
        <v>1</v>
      </c>
      <c r="CJ11" s="158">
        <v>7.3010000000000002</v>
      </c>
      <c r="CK11" s="158">
        <v>7.8209999999999997</v>
      </c>
      <c r="CL11" s="146" t="s">
        <v>7</v>
      </c>
      <c r="CM11" s="158" t="s">
        <v>94</v>
      </c>
      <c r="CN11" s="146"/>
      <c r="CO11" s="158"/>
      <c r="CP11" s="146" t="s">
        <v>836</v>
      </c>
      <c r="CQ11" s="2"/>
      <c r="CR11" s="2"/>
      <c r="CS11" s="2"/>
      <c r="CX11" s="2"/>
      <c r="CY11" s="2"/>
    </row>
    <row r="12" spans="1:103" ht="15" x14ac:dyDescent="0.25">
      <c r="A12" t="s">
        <v>353</v>
      </c>
      <c r="B12" s="131">
        <v>45194</v>
      </c>
      <c r="D12" s="146">
        <v>2</v>
      </c>
      <c r="E12" s="155" t="s">
        <v>564</v>
      </c>
      <c r="F12" s="156" t="s">
        <v>563</v>
      </c>
      <c r="G12" s="157">
        <v>45189</v>
      </c>
      <c r="H12" s="157" t="s">
        <v>134</v>
      </c>
      <c r="I12" s="155" t="s">
        <v>134</v>
      </c>
      <c r="J12" s="155" t="s">
        <v>85</v>
      </c>
      <c r="K12" s="158" t="s">
        <v>85</v>
      </c>
      <c r="L12" s="158" t="s">
        <v>705</v>
      </c>
      <c r="M12" s="155" t="s">
        <v>706</v>
      </c>
      <c r="N12" s="155" t="s">
        <v>134</v>
      </c>
      <c r="O12" s="146">
        <v>3.9</v>
      </c>
      <c r="P12" s="156" t="s">
        <v>87</v>
      </c>
      <c r="Q12" s="155" t="s">
        <v>209</v>
      </c>
      <c r="R12" s="158">
        <v>6.5</v>
      </c>
      <c r="S12" s="159">
        <v>46292</v>
      </c>
      <c r="T12" s="155" t="s">
        <v>523</v>
      </c>
      <c r="U12" s="158" t="s">
        <v>707</v>
      </c>
      <c r="V12" s="146" t="s">
        <v>708</v>
      </c>
      <c r="W12" s="158">
        <v>30</v>
      </c>
      <c r="X12" s="158" t="s">
        <v>211</v>
      </c>
      <c r="Y12" s="158" t="s">
        <v>39</v>
      </c>
      <c r="Z12" s="156" t="s">
        <v>94</v>
      </c>
      <c r="AA12" s="155" t="s">
        <v>135</v>
      </c>
      <c r="AB12" s="158">
        <v>100</v>
      </c>
      <c r="AC12" s="155"/>
      <c r="AD12" s="155" t="s">
        <v>709</v>
      </c>
      <c r="AE12" s="155" t="s">
        <v>710</v>
      </c>
      <c r="AF12" s="155" t="s">
        <v>711</v>
      </c>
      <c r="AG12" s="156"/>
      <c r="AH12" s="155"/>
      <c r="AI12" s="155"/>
      <c r="AJ12" s="155"/>
      <c r="AK12" s="155" t="s">
        <v>712</v>
      </c>
      <c r="AL12" s="158" t="s">
        <v>351</v>
      </c>
      <c r="AM12" s="155" t="s">
        <v>713</v>
      </c>
      <c r="AN12" s="156" t="s">
        <v>94</v>
      </c>
      <c r="AO12" s="155" t="s">
        <v>134</v>
      </c>
      <c r="AP12" s="156" t="s">
        <v>445</v>
      </c>
      <c r="AQ12" s="155" t="s">
        <v>1</v>
      </c>
      <c r="AR12" s="158" t="s">
        <v>862</v>
      </c>
      <c r="AS12" s="155" t="s">
        <v>133</v>
      </c>
      <c r="AT12" s="155" t="s">
        <v>84</v>
      </c>
      <c r="AU12" s="146"/>
      <c r="AV12" s="146" t="s">
        <v>94</v>
      </c>
      <c r="AW12" s="146" t="s">
        <v>94</v>
      </c>
      <c r="AX12" s="146" t="s">
        <v>714</v>
      </c>
      <c r="AY12" s="156" t="s">
        <v>715</v>
      </c>
      <c r="AZ12" s="146">
        <v>1000</v>
      </c>
      <c r="BA12" s="158">
        <v>3.9</v>
      </c>
      <c r="BB12" s="159">
        <v>45196</v>
      </c>
      <c r="BC12" s="159"/>
      <c r="BD12" s="155" t="s">
        <v>94</v>
      </c>
      <c r="BE12" s="146">
        <v>6.5</v>
      </c>
      <c r="BF12" s="159">
        <v>45378</v>
      </c>
      <c r="BG12" s="155" t="s">
        <v>716</v>
      </c>
      <c r="BH12" s="159">
        <v>45196</v>
      </c>
      <c r="BI12" s="146" t="s">
        <v>708</v>
      </c>
      <c r="BJ12" s="156" t="s">
        <v>564</v>
      </c>
      <c r="BK12" s="159">
        <v>45196</v>
      </c>
      <c r="BL12" s="155" t="s">
        <v>547</v>
      </c>
      <c r="BM12" s="156" t="s">
        <v>717</v>
      </c>
      <c r="BN12" s="146" t="s">
        <v>718</v>
      </c>
      <c r="BO12" s="155" t="s">
        <v>136</v>
      </c>
      <c r="BP12" s="155" t="s">
        <v>136</v>
      </c>
      <c r="BQ12" s="155" t="s">
        <v>137</v>
      </c>
      <c r="BR12" s="155" t="s">
        <v>138</v>
      </c>
      <c r="BS12" s="155" t="s">
        <v>139</v>
      </c>
      <c r="BT12" s="156" t="s">
        <v>94</v>
      </c>
      <c r="BU12" s="155" t="s">
        <v>140</v>
      </c>
      <c r="BV12" s="156" t="s">
        <v>94</v>
      </c>
      <c r="BW12" s="158" t="s">
        <v>94</v>
      </c>
      <c r="BX12" s="149" t="s">
        <v>158</v>
      </c>
      <c r="BY12" s="146" t="s">
        <v>260</v>
      </c>
      <c r="BZ12" s="158" t="s">
        <v>17</v>
      </c>
      <c r="CA12" s="149" t="s">
        <v>94</v>
      </c>
      <c r="CB12" s="149" t="s">
        <v>94</v>
      </c>
      <c r="CC12" s="147"/>
      <c r="CD12" s="158" t="s">
        <v>823</v>
      </c>
      <c r="CE12" s="158" t="s">
        <v>279</v>
      </c>
      <c r="CF12" s="147">
        <v>42529</v>
      </c>
      <c r="CG12" s="158" t="s">
        <v>507</v>
      </c>
      <c r="CH12" s="158" t="s">
        <v>94</v>
      </c>
      <c r="CI12" s="158">
        <v>3.9</v>
      </c>
      <c r="CJ12" s="158">
        <v>28.446999999999999</v>
      </c>
      <c r="CK12" s="158">
        <v>30.506</v>
      </c>
      <c r="CL12" s="146" t="s">
        <v>7</v>
      </c>
      <c r="CM12" s="158" t="s">
        <v>94</v>
      </c>
      <c r="CN12" s="146"/>
      <c r="CO12" s="158"/>
      <c r="CP12" s="146" t="s">
        <v>607</v>
      </c>
      <c r="CQ12" s="2"/>
      <c r="CR12" s="2"/>
      <c r="CS12" s="2"/>
      <c r="CX12" s="2"/>
      <c r="CY12" s="2"/>
    </row>
    <row r="13" spans="1:103" ht="15" x14ac:dyDescent="0.25">
      <c r="A13" t="s">
        <v>354</v>
      </c>
      <c r="B13" s="130">
        <v>45195.770085925928</v>
      </c>
      <c r="D13" s="146">
        <v>3</v>
      </c>
      <c r="E13" s="155" t="s">
        <v>596</v>
      </c>
      <c r="F13" s="156" t="s">
        <v>595</v>
      </c>
      <c r="G13" s="157">
        <v>45189</v>
      </c>
      <c r="H13" s="157" t="s">
        <v>747</v>
      </c>
      <c r="I13" s="155" t="s">
        <v>134</v>
      </c>
      <c r="J13" s="155" t="s">
        <v>597</v>
      </c>
      <c r="K13" s="158" t="s">
        <v>85</v>
      </c>
      <c r="L13" s="158" t="s">
        <v>745</v>
      </c>
      <c r="M13" s="155" t="s">
        <v>746</v>
      </c>
      <c r="N13" s="155" t="s">
        <v>748</v>
      </c>
      <c r="O13" s="146">
        <v>18.600000000000001</v>
      </c>
      <c r="P13" s="156" t="s">
        <v>108</v>
      </c>
      <c r="Q13" s="155" t="s">
        <v>209</v>
      </c>
      <c r="R13" s="158">
        <v>3.9</v>
      </c>
      <c r="S13" s="159">
        <v>46292</v>
      </c>
      <c r="T13" s="155" t="s">
        <v>523</v>
      </c>
      <c r="U13" s="158" t="s">
        <v>749</v>
      </c>
      <c r="V13" s="146" t="s">
        <v>750</v>
      </c>
      <c r="W13" s="158">
        <v>10</v>
      </c>
      <c r="X13" s="158" t="s">
        <v>211</v>
      </c>
      <c r="Y13" s="158" t="s">
        <v>543</v>
      </c>
      <c r="Z13" s="156" t="s">
        <v>751</v>
      </c>
      <c r="AA13" s="155" t="s">
        <v>135</v>
      </c>
      <c r="AB13" s="158">
        <v>99.72</v>
      </c>
      <c r="AC13" s="155"/>
      <c r="AD13" s="155" t="s">
        <v>752</v>
      </c>
      <c r="AE13" s="155" t="s">
        <v>753</v>
      </c>
      <c r="AF13" s="155" t="s">
        <v>94</v>
      </c>
      <c r="AG13" s="156"/>
      <c r="AH13" s="155"/>
      <c r="AI13" s="155"/>
      <c r="AJ13" s="155"/>
      <c r="AK13" s="155" t="s">
        <v>754</v>
      </c>
      <c r="AL13" s="158" t="s">
        <v>351</v>
      </c>
      <c r="AM13" s="155" t="s">
        <v>545</v>
      </c>
      <c r="AN13" s="156" t="s">
        <v>335</v>
      </c>
      <c r="AO13" s="155" t="s">
        <v>134</v>
      </c>
      <c r="AP13" s="156" t="s">
        <v>528</v>
      </c>
      <c r="AQ13" s="155" t="s">
        <v>1</v>
      </c>
      <c r="AR13" s="158" t="s">
        <v>862</v>
      </c>
      <c r="AS13" s="155" t="s">
        <v>133</v>
      </c>
      <c r="AT13" s="155" t="s">
        <v>530</v>
      </c>
      <c r="AU13" s="146"/>
      <c r="AV13" s="146" t="s">
        <v>94</v>
      </c>
      <c r="AW13" s="146" t="s">
        <v>94</v>
      </c>
      <c r="AX13" s="146" t="s">
        <v>94</v>
      </c>
      <c r="AY13" s="156" t="s">
        <v>755</v>
      </c>
      <c r="AZ13" s="146">
        <v>10000</v>
      </c>
      <c r="BA13" s="158">
        <v>18.600000000000001</v>
      </c>
      <c r="BB13" s="159">
        <v>45196</v>
      </c>
      <c r="BC13" s="159"/>
      <c r="BD13" s="155" t="s">
        <v>94</v>
      </c>
      <c r="BE13" s="146">
        <v>3.9</v>
      </c>
      <c r="BF13" s="159">
        <v>45378</v>
      </c>
      <c r="BG13" s="155" t="s">
        <v>596</v>
      </c>
      <c r="BH13" s="159">
        <v>45196</v>
      </c>
      <c r="BI13" s="146" t="s">
        <v>756</v>
      </c>
      <c r="BJ13" s="156" t="s">
        <v>94</v>
      </c>
      <c r="BK13" s="159">
        <v>45196</v>
      </c>
      <c r="BL13" s="155" t="s">
        <v>94</v>
      </c>
      <c r="BM13" s="156" t="s">
        <v>757</v>
      </c>
      <c r="BN13" s="146" t="s">
        <v>758</v>
      </c>
      <c r="BO13" s="155" t="s">
        <v>136</v>
      </c>
      <c r="BP13" s="155" t="s">
        <v>136</v>
      </c>
      <c r="BQ13" s="155" t="s">
        <v>137</v>
      </c>
      <c r="BR13" s="155" t="s">
        <v>138</v>
      </c>
      <c r="BS13" s="155" t="s">
        <v>139</v>
      </c>
      <c r="BT13" s="156" t="s">
        <v>94</v>
      </c>
      <c r="BU13" s="155" t="s">
        <v>140</v>
      </c>
      <c r="BV13" s="156" t="s">
        <v>94</v>
      </c>
      <c r="BW13" s="158" t="s">
        <v>94</v>
      </c>
      <c r="BX13" s="149" t="s">
        <v>7</v>
      </c>
      <c r="BY13" s="146" t="s">
        <v>260</v>
      </c>
      <c r="BZ13" s="158" t="s">
        <v>35</v>
      </c>
      <c r="CA13" s="149" t="s">
        <v>94</v>
      </c>
      <c r="CB13" s="149" t="s">
        <v>94</v>
      </c>
      <c r="CC13" s="147"/>
      <c r="CD13" s="158" t="s">
        <v>802</v>
      </c>
      <c r="CE13" s="158" t="s">
        <v>279</v>
      </c>
      <c r="CF13" s="147">
        <v>42684</v>
      </c>
      <c r="CG13" s="158" t="s">
        <v>268</v>
      </c>
      <c r="CH13" s="158" t="s">
        <v>94</v>
      </c>
      <c r="CI13" s="158">
        <v>2.548</v>
      </c>
      <c r="CJ13" s="158">
        <v>18.600000000000001</v>
      </c>
      <c r="CK13" s="158">
        <v>19.957999999999998</v>
      </c>
      <c r="CL13" s="146" t="s">
        <v>7</v>
      </c>
      <c r="CM13" s="158" t="s">
        <v>94</v>
      </c>
      <c r="CN13" s="146"/>
      <c r="CO13" s="158"/>
      <c r="CP13" s="146" t="s">
        <v>601</v>
      </c>
      <c r="CQ13" s="2"/>
      <c r="CR13" s="2"/>
      <c r="CS13" s="2"/>
      <c r="CX13" s="2"/>
      <c r="CY13" s="2"/>
    </row>
    <row r="14" spans="1:103" ht="15" x14ac:dyDescent="0.25">
      <c r="A14" t="s">
        <v>355</v>
      </c>
      <c r="B14" s="130">
        <v>45195.770085949072</v>
      </c>
      <c r="D14" s="146">
        <v>4</v>
      </c>
      <c r="E14" s="155" t="s">
        <v>582</v>
      </c>
      <c r="F14" s="156" t="s">
        <v>581</v>
      </c>
      <c r="G14" s="157">
        <v>45190</v>
      </c>
      <c r="H14" s="157" t="s">
        <v>134</v>
      </c>
      <c r="I14" s="155" t="s">
        <v>134</v>
      </c>
      <c r="J14" s="155" t="s">
        <v>85</v>
      </c>
      <c r="K14" s="158" t="s">
        <v>85</v>
      </c>
      <c r="L14" s="158" t="s">
        <v>671</v>
      </c>
      <c r="M14" s="155" t="s">
        <v>672</v>
      </c>
      <c r="N14" s="155" t="s">
        <v>134</v>
      </c>
      <c r="O14" s="146">
        <v>10.65</v>
      </c>
      <c r="P14" s="156" t="s">
        <v>108</v>
      </c>
      <c r="Q14" s="155" t="s">
        <v>209</v>
      </c>
      <c r="R14" s="158">
        <v>4.95</v>
      </c>
      <c r="S14" s="159">
        <v>46293</v>
      </c>
      <c r="T14" s="155" t="s">
        <v>673</v>
      </c>
      <c r="U14" s="158" t="s">
        <v>94</v>
      </c>
      <c r="V14" s="146" t="s">
        <v>674</v>
      </c>
      <c r="W14" s="158"/>
      <c r="X14" s="158" t="s">
        <v>211</v>
      </c>
      <c r="Y14" s="158" t="s">
        <v>543</v>
      </c>
      <c r="Z14" s="156" t="s">
        <v>675</v>
      </c>
      <c r="AA14" s="155" t="s">
        <v>135</v>
      </c>
      <c r="AB14" s="158">
        <v>100</v>
      </c>
      <c r="AC14" s="155"/>
      <c r="AD14" s="155" t="s">
        <v>676</v>
      </c>
      <c r="AE14" s="155" t="s">
        <v>677</v>
      </c>
      <c r="AF14" s="155" t="s">
        <v>678</v>
      </c>
      <c r="AG14" s="156"/>
      <c r="AH14" s="155"/>
      <c r="AI14" s="155"/>
      <c r="AJ14" s="155"/>
      <c r="AK14" s="155" t="s">
        <v>679</v>
      </c>
      <c r="AL14" s="158" t="s">
        <v>351</v>
      </c>
      <c r="AM14" s="155" t="s">
        <v>520</v>
      </c>
      <c r="AN14" s="156" t="s">
        <v>94</v>
      </c>
      <c r="AO14" s="155" t="s">
        <v>134</v>
      </c>
      <c r="AP14" s="156" t="s">
        <v>680</v>
      </c>
      <c r="AQ14" s="155" t="s">
        <v>1</v>
      </c>
      <c r="AR14" s="158" t="s">
        <v>529</v>
      </c>
      <c r="AS14" s="155" t="s">
        <v>133</v>
      </c>
      <c r="AT14" s="155" t="s">
        <v>84</v>
      </c>
      <c r="AU14" s="146"/>
      <c r="AV14" s="146" t="s">
        <v>94</v>
      </c>
      <c r="AW14" s="146" t="s">
        <v>94</v>
      </c>
      <c r="AX14" s="146" t="s">
        <v>681</v>
      </c>
      <c r="AY14" s="156" t="s">
        <v>682</v>
      </c>
      <c r="AZ14" s="146">
        <v>10000</v>
      </c>
      <c r="BA14" s="158">
        <v>10.65</v>
      </c>
      <c r="BB14" s="159">
        <v>45197</v>
      </c>
      <c r="BC14" s="159"/>
      <c r="BD14" s="155" t="s">
        <v>94</v>
      </c>
      <c r="BE14" s="146">
        <v>4.95</v>
      </c>
      <c r="BF14" s="159">
        <v>45379</v>
      </c>
      <c r="BG14" s="155" t="s">
        <v>582</v>
      </c>
      <c r="BH14" s="159">
        <v>45197</v>
      </c>
      <c r="BI14" s="146" t="s">
        <v>674</v>
      </c>
      <c r="BJ14" s="156" t="s">
        <v>94</v>
      </c>
      <c r="BK14" s="159">
        <v>45197</v>
      </c>
      <c r="BL14" s="155" t="s">
        <v>521</v>
      </c>
      <c r="BM14" s="156" t="s">
        <v>683</v>
      </c>
      <c r="BN14" s="146" t="s">
        <v>684</v>
      </c>
      <c r="BO14" s="155" t="s">
        <v>136</v>
      </c>
      <c r="BP14" s="155" t="s">
        <v>136</v>
      </c>
      <c r="BQ14" s="155" t="s">
        <v>137</v>
      </c>
      <c r="BR14" s="155" t="s">
        <v>138</v>
      </c>
      <c r="BS14" s="155" t="s">
        <v>139</v>
      </c>
      <c r="BT14" s="156" t="s">
        <v>94</v>
      </c>
      <c r="BU14" s="155" t="s">
        <v>140</v>
      </c>
      <c r="BV14" s="156" t="s">
        <v>94</v>
      </c>
      <c r="BW14" s="158" t="s">
        <v>94</v>
      </c>
      <c r="BX14" s="149" t="s">
        <v>7</v>
      </c>
      <c r="BY14" s="146" t="s">
        <v>260</v>
      </c>
      <c r="BZ14" s="158" t="s">
        <v>15</v>
      </c>
      <c r="CA14" s="149" t="s">
        <v>94</v>
      </c>
      <c r="CB14" s="149" t="s">
        <v>94</v>
      </c>
      <c r="CC14" s="147"/>
      <c r="CD14" s="158" t="s">
        <v>990</v>
      </c>
      <c r="CE14" s="158" t="s">
        <v>279</v>
      </c>
      <c r="CF14" s="147">
        <v>45190</v>
      </c>
      <c r="CG14" s="158" t="s">
        <v>268</v>
      </c>
      <c r="CH14" s="158" t="s">
        <v>94</v>
      </c>
      <c r="CI14" s="158">
        <v>1.4590000000000001</v>
      </c>
      <c r="CJ14" s="158">
        <v>10.65</v>
      </c>
      <c r="CK14" s="158">
        <v>11.396000000000001</v>
      </c>
      <c r="CL14" s="146" t="s">
        <v>7</v>
      </c>
      <c r="CM14" s="158" t="s">
        <v>94</v>
      </c>
      <c r="CN14" s="146"/>
      <c r="CO14" s="158"/>
      <c r="CP14" s="146" t="s">
        <v>585</v>
      </c>
      <c r="CQ14" s="2"/>
      <c r="CR14" s="2"/>
      <c r="CS14" s="2"/>
      <c r="CX14" s="2"/>
      <c r="CY14" s="2"/>
    </row>
    <row r="15" spans="1:103" ht="15" x14ac:dyDescent="0.25">
      <c r="D15" s="146">
        <v>5</v>
      </c>
      <c r="E15" s="155" t="s">
        <v>613</v>
      </c>
      <c r="F15" s="156" t="s">
        <v>612</v>
      </c>
      <c r="G15" s="157">
        <v>45189</v>
      </c>
      <c r="H15" s="157" t="s">
        <v>134</v>
      </c>
      <c r="I15" s="155" t="s">
        <v>134</v>
      </c>
      <c r="J15" s="155" t="s">
        <v>614</v>
      </c>
      <c r="K15" s="158" t="s">
        <v>85</v>
      </c>
      <c r="L15" s="158" t="s">
        <v>733</v>
      </c>
      <c r="M15" s="155" t="s">
        <v>734</v>
      </c>
      <c r="N15" s="155" t="s">
        <v>134</v>
      </c>
      <c r="O15" s="146">
        <v>21.3</v>
      </c>
      <c r="P15" s="156" t="s">
        <v>108</v>
      </c>
      <c r="Q15" s="155" t="s">
        <v>209</v>
      </c>
      <c r="R15" s="158">
        <v>4.2</v>
      </c>
      <c r="S15" s="159">
        <v>46292</v>
      </c>
      <c r="T15" s="155" t="s">
        <v>269</v>
      </c>
      <c r="U15" s="158" t="s">
        <v>735</v>
      </c>
      <c r="V15" s="146" t="s">
        <v>736</v>
      </c>
      <c r="W15" s="158">
        <v>50</v>
      </c>
      <c r="X15" s="158" t="s">
        <v>211</v>
      </c>
      <c r="Y15" s="158" t="s">
        <v>524</v>
      </c>
      <c r="Z15" s="156" t="s">
        <v>94</v>
      </c>
      <c r="AA15" s="155" t="s">
        <v>135</v>
      </c>
      <c r="AB15" s="158">
        <v>100</v>
      </c>
      <c r="AC15" s="155"/>
      <c r="AD15" s="155" t="s">
        <v>737</v>
      </c>
      <c r="AE15" s="155" t="s">
        <v>738</v>
      </c>
      <c r="AF15" s="155" t="s">
        <v>94</v>
      </c>
      <c r="AG15" s="156"/>
      <c r="AH15" s="155"/>
      <c r="AI15" s="155"/>
      <c r="AJ15" s="155"/>
      <c r="AK15" s="155" t="s">
        <v>739</v>
      </c>
      <c r="AL15" s="158" t="s">
        <v>351</v>
      </c>
      <c r="AM15" s="155" t="s">
        <v>740</v>
      </c>
      <c r="AN15" s="156" t="s">
        <v>414</v>
      </c>
      <c r="AO15" s="155" t="s">
        <v>134</v>
      </c>
      <c r="AP15" s="156" t="s">
        <v>528</v>
      </c>
      <c r="AQ15" s="155" t="s">
        <v>1</v>
      </c>
      <c r="AR15" s="158" t="s">
        <v>862</v>
      </c>
      <c r="AS15" s="155" t="s">
        <v>133</v>
      </c>
      <c r="AT15" s="155" t="s">
        <v>530</v>
      </c>
      <c r="AU15" s="146"/>
      <c r="AV15" s="146" t="s">
        <v>94</v>
      </c>
      <c r="AW15" s="146" t="s">
        <v>94</v>
      </c>
      <c r="AX15" s="146" t="s">
        <v>94</v>
      </c>
      <c r="AY15" s="156" t="s">
        <v>741</v>
      </c>
      <c r="AZ15" s="146">
        <v>10000</v>
      </c>
      <c r="BA15" s="158">
        <v>21.3</v>
      </c>
      <c r="BB15" s="159">
        <v>45196</v>
      </c>
      <c r="BC15" s="159"/>
      <c r="BD15" s="155" t="s">
        <v>94</v>
      </c>
      <c r="BE15" s="146">
        <v>4.2</v>
      </c>
      <c r="BF15" s="159">
        <v>45378</v>
      </c>
      <c r="BG15" s="155" t="s">
        <v>613</v>
      </c>
      <c r="BH15" s="159">
        <v>45196</v>
      </c>
      <c r="BI15" s="146" t="s">
        <v>742</v>
      </c>
      <c r="BJ15" s="156" t="s">
        <v>94</v>
      </c>
      <c r="BK15" s="159">
        <v>45196</v>
      </c>
      <c r="BL15" s="155" t="s">
        <v>94</v>
      </c>
      <c r="BM15" s="156" t="s">
        <v>743</v>
      </c>
      <c r="BN15" s="146" t="s">
        <v>744</v>
      </c>
      <c r="BO15" s="155" t="s">
        <v>136</v>
      </c>
      <c r="BP15" s="155" t="s">
        <v>136</v>
      </c>
      <c r="BQ15" s="155" t="s">
        <v>137</v>
      </c>
      <c r="BR15" s="155" t="s">
        <v>138</v>
      </c>
      <c r="BS15" s="155" t="s">
        <v>139</v>
      </c>
      <c r="BT15" s="156" t="s">
        <v>94</v>
      </c>
      <c r="BU15" s="155" t="s">
        <v>140</v>
      </c>
      <c r="BV15" s="156" t="s">
        <v>94</v>
      </c>
      <c r="BW15" s="158" t="s">
        <v>94</v>
      </c>
      <c r="BX15" s="149" t="s">
        <v>7</v>
      </c>
      <c r="BY15" s="146" t="s">
        <v>260</v>
      </c>
      <c r="BZ15" s="158" t="s">
        <v>16</v>
      </c>
      <c r="CA15" s="149" t="s">
        <v>94</v>
      </c>
      <c r="CB15" s="149" t="s">
        <v>94</v>
      </c>
      <c r="CC15" s="147"/>
      <c r="CD15" s="158" t="s">
        <v>803</v>
      </c>
      <c r="CE15" s="158" t="s">
        <v>279</v>
      </c>
      <c r="CF15" s="147">
        <v>43711</v>
      </c>
      <c r="CG15" s="158" t="s">
        <v>268</v>
      </c>
      <c r="CH15" s="158" t="s">
        <v>94</v>
      </c>
      <c r="CI15" s="158">
        <v>2.9180000000000001</v>
      </c>
      <c r="CJ15" s="158">
        <v>21.3</v>
      </c>
      <c r="CK15" s="158">
        <v>22.855</v>
      </c>
      <c r="CL15" s="146" t="s">
        <v>7</v>
      </c>
      <c r="CM15" s="158" t="s">
        <v>94</v>
      </c>
      <c r="CN15" s="146"/>
      <c r="CO15" s="158"/>
      <c r="CP15" s="146" t="s">
        <v>617</v>
      </c>
      <c r="CQ15" s="2"/>
      <c r="CR15" s="2"/>
      <c r="CS15" s="2"/>
      <c r="CX15" s="2"/>
      <c r="CY15" s="2"/>
    </row>
    <row r="16" spans="1:103" ht="15" x14ac:dyDescent="0.25">
      <c r="A16" t="s">
        <v>274</v>
      </c>
      <c r="D16" s="146">
        <v>6</v>
      </c>
      <c r="E16" s="155" t="s">
        <v>561</v>
      </c>
      <c r="F16" s="156" t="s">
        <v>560</v>
      </c>
      <c r="G16" s="157">
        <v>45189</v>
      </c>
      <c r="H16" s="157" t="s">
        <v>134</v>
      </c>
      <c r="I16" s="155" t="s">
        <v>134</v>
      </c>
      <c r="J16" s="155" t="s">
        <v>85</v>
      </c>
      <c r="K16" s="158" t="s">
        <v>85</v>
      </c>
      <c r="L16" s="158" t="s">
        <v>719</v>
      </c>
      <c r="M16" s="155" t="s">
        <v>720</v>
      </c>
      <c r="N16" s="155" t="s">
        <v>134</v>
      </c>
      <c r="O16" s="146">
        <v>7.3</v>
      </c>
      <c r="P16" s="156" t="s">
        <v>108</v>
      </c>
      <c r="Q16" s="155" t="s">
        <v>209</v>
      </c>
      <c r="R16" s="158">
        <v>3.88</v>
      </c>
      <c r="S16" s="159">
        <v>46292</v>
      </c>
      <c r="T16" s="155" t="s">
        <v>269</v>
      </c>
      <c r="U16" s="158" t="s">
        <v>721</v>
      </c>
      <c r="V16" s="146" t="s">
        <v>722</v>
      </c>
      <c r="W16" s="158">
        <v>4</v>
      </c>
      <c r="X16" s="158" t="s">
        <v>211</v>
      </c>
      <c r="Y16" s="158" t="s">
        <v>518</v>
      </c>
      <c r="Z16" s="156" t="s">
        <v>723</v>
      </c>
      <c r="AA16" s="155" t="s">
        <v>135</v>
      </c>
      <c r="AB16" s="158">
        <v>100</v>
      </c>
      <c r="AC16" s="155"/>
      <c r="AD16" s="155" t="s">
        <v>709</v>
      </c>
      <c r="AE16" s="155" t="s">
        <v>724</v>
      </c>
      <c r="AF16" s="155" t="s">
        <v>94</v>
      </c>
      <c r="AG16" s="156"/>
      <c r="AH16" s="155"/>
      <c r="AI16" s="155"/>
      <c r="AJ16" s="155"/>
      <c r="AK16" s="155" t="s">
        <v>725</v>
      </c>
      <c r="AL16" s="158" t="s">
        <v>351</v>
      </c>
      <c r="AM16" s="155" t="s">
        <v>544</v>
      </c>
      <c r="AN16" s="156" t="s">
        <v>335</v>
      </c>
      <c r="AO16" s="155" t="s">
        <v>134</v>
      </c>
      <c r="AP16" s="156" t="s">
        <v>94</v>
      </c>
      <c r="AQ16" s="155" t="s">
        <v>86</v>
      </c>
      <c r="AR16" s="158" t="s">
        <v>862</v>
      </c>
      <c r="AS16" s="155" t="s">
        <v>133</v>
      </c>
      <c r="AT16" s="155" t="s">
        <v>84</v>
      </c>
      <c r="AU16" s="146"/>
      <c r="AV16" s="146" t="s">
        <v>94</v>
      </c>
      <c r="AW16" s="146" t="s">
        <v>94</v>
      </c>
      <c r="AX16" s="146" t="s">
        <v>726</v>
      </c>
      <c r="AY16" s="156" t="s">
        <v>727</v>
      </c>
      <c r="AZ16" s="146">
        <v>10000</v>
      </c>
      <c r="BA16" s="158">
        <v>7.3</v>
      </c>
      <c r="BB16" s="159">
        <v>45196</v>
      </c>
      <c r="BC16" s="159"/>
      <c r="BD16" s="155" t="s">
        <v>94</v>
      </c>
      <c r="BE16" s="146">
        <v>3.88</v>
      </c>
      <c r="BF16" s="159">
        <v>45378</v>
      </c>
      <c r="BG16" s="155" t="s">
        <v>728</v>
      </c>
      <c r="BH16" s="159">
        <v>45196</v>
      </c>
      <c r="BI16" s="146" t="s">
        <v>729</v>
      </c>
      <c r="BJ16" s="156" t="s">
        <v>561</v>
      </c>
      <c r="BK16" s="159">
        <v>45196</v>
      </c>
      <c r="BL16" s="155" t="s">
        <v>730</v>
      </c>
      <c r="BM16" s="156" t="s">
        <v>731</v>
      </c>
      <c r="BN16" s="146" t="s">
        <v>732</v>
      </c>
      <c r="BO16" s="155" t="s">
        <v>136</v>
      </c>
      <c r="BP16" s="155" t="s">
        <v>136</v>
      </c>
      <c r="BQ16" s="155" t="s">
        <v>137</v>
      </c>
      <c r="BR16" s="155" t="s">
        <v>138</v>
      </c>
      <c r="BS16" s="155" t="s">
        <v>139</v>
      </c>
      <c r="BT16" s="156" t="s">
        <v>94</v>
      </c>
      <c r="BU16" s="155" t="s">
        <v>140</v>
      </c>
      <c r="BV16" s="156" t="s">
        <v>94</v>
      </c>
      <c r="BW16" s="158" t="s">
        <v>94</v>
      </c>
      <c r="BX16" s="149" t="s">
        <v>158</v>
      </c>
      <c r="BY16" s="146" t="s">
        <v>260</v>
      </c>
      <c r="BZ16" s="158" t="s">
        <v>17</v>
      </c>
      <c r="CA16" s="149" t="s">
        <v>94</v>
      </c>
      <c r="CB16" s="149" t="s">
        <v>94</v>
      </c>
      <c r="CC16" s="147"/>
      <c r="CD16" s="158" t="s">
        <v>824</v>
      </c>
      <c r="CE16" s="158" t="s">
        <v>279</v>
      </c>
      <c r="CF16" s="147">
        <v>45189</v>
      </c>
      <c r="CG16" s="158" t="s">
        <v>507</v>
      </c>
      <c r="CH16" s="158" t="s">
        <v>94</v>
      </c>
      <c r="CI16" s="158">
        <v>1</v>
      </c>
      <c r="CJ16" s="158">
        <v>7.3</v>
      </c>
      <c r="CK16" s="158">
        <v>7.8330000000000002</v>
      </c>
      <c r="CL16" s="146" t="s">
        <v>7</v>
      </c>
      <c r="CM16" s="158" t="s">
        <v>94</v>
      </c>
      <c r="CN16" s="146"/>
      <c r="CO16" s="158"/>
      <c r="CP16" s="146" t="s">
        <v>611</v>
      </c>
      <c r="CQ16" s="2"/>
      <c r="CR16" s="2"/>
      <c r="CS16" s="2"/>
      <c r="CX16" s="2"/>
      <c r="CY16" s="2"/>
    </row>
    <row r="17" spans="1:103" ht="15" x14ac:dyDescent="0.25">
      <c r="A17" t="s">
        <v>999</v>
      </c>
      <c r="B17"/>
      <c r="D17" s="146">
        <v>7</v>
      </c>
      <c r="E17" s="155" t="s">
        <v>619</v>
      </c>
      <c r="F17" s="156" t="s">
        <v>618</v>
      </c>
      <c r="G17" s="157">
        <v>45189</v>
      </c>
      <c r="H17" s="157" t="s">
        <v>687</v>
      </c>
      <c r="I17" s="155" t="s">
        <v>134</v>
      </c>
      <c r="J17" s="155" t="s">
        <v>620</v>
      </c>
      <c r="K17" s="158" t="s">
        <v>85</v>
      </c>
      <c r="L17" s="158" t="s">
        <v>685</v>
      </c>
      <c r="M17" s="155" t="s">
        <v>686</v>
      </c>
      <c r="N17" s="155" t="s">
        <v>522</v>
      </c>
      <c r="O17" s="146">
        <v>40</v>
      </c>
      <c r="P17" s="156" t="s">
        <v>108</v>
      </c>
      <c r="Q17" s="155" t="s">
        <v>538</v>
      </c>
      <c r="R17" s="158">
        <v>2.4</v>
      </c>
      <c r="S17" s="159">
        <v>45927</v>
      </c>
      <c r="T17" s="155" t="s">
        <v>269</v>
      </c>
      <c r="U17" s="158" t="s">
        <v>688</v>
      </c>
      <c r="V17" s="146" t="s">
        <v>689</v>
      </c>
      <c r="W17" s="158">
        <v>35</v>
      </c>
      <c r="X17" s="158" t="s">
        <v>211</v>
      </c>
      <c r="Y17" s="158" t="s">
        <v>524</v>
      </c>
      <c r="Z17" s="156" t="s">
        <v>94</v>
      </c>
      <c r="AA17" s="155" t="s">
        <v>135</v>
      </c>
      <c r="AB17" s="158">
        <v>100</v>
      </c>
      <c r="AC17" s="155"/>
      <c r="AD17" s="155" t="s">
        <v>525</v>
      </c>
      <c r="AE17" s="155" t="s">
        <v>526</v>
      </c>
      <c r="AF17" s="155" t="s">
        <v>94</v>
      </c>
      <c r="AG17" s="156"/>
      <c r="AH17" s="155"/>
      <c r="AI17" s="155"/>
      <c r="AJ17" s="155"/>
      <c r="AK17" s="155" t="s">
        <v>690</v>
      </c>
      <c r="AL17" s="158" t="s">
        <v>351</v>
      </c>
      <c r="AM17" s="155" t="s">
        <v>520</v>
      </c>
      <c r="AN17" s="156" t="s">
        <v>94</v>
      </c>
      <c r="AO17" s="155" t="s">
        <v>134</v>
      </c>
      <c r="AP17" s="156" t="s">
        <v>94</v>
      </c>
      <c r="AQ17" s="155" t="s">
        <v>2</v>
      </c>
      <c r="AR17" s="158" t="s">
        <v>861</v>
      </c>
      <c r="AS17" s="155" t="s">
        <v>539</v>
      </c>
      <c r="AT17" s="155" t="s">
        <v>530</v>
      </c>
      <c r="AU17" s="146"/>
      <c r="AV17" s="146" t="s">
        <v>94</v>
      </c>
      <c r="AW17" s="146" t="s">
        <v>94</v>
      </c>
      <c r="AX17" s="146" t="s">
        <v>691</v>
      </c>
      <c r="AY17" s="156" t="s">
        <v>692</v>
      </c>
      <c r="AZ17" s="146">
        <v>10000</v>
      </c>
      <c r="BA17" s="158">
        <v>40</v>
      </c>
      <c r="BB17" s="159">
        <v>45196</v>
      </c>
      <c r="BC17" s="159"/>
      <c r="BD17" s="155" t="s">
        <v>94</v>
      </c>
      <c r="BE17" s="146">
        <v>2.4</v>
      </c>
      <c r="BF17" s="159">
        <v>45378</v>
      </c>
      <c r="BG17" s="155" t="s">
        <v>619</v>
      </c>
      <c r="BH17" s="159">
        <v>45196</v>
      </c>
      <c r="BI17" s="146" t="s">
        <v>689</v>
      </c>
      <c r="BJ17" s="156" t="s">
        <v>94</v>
      </c>
      <c r="BK17" s="159">
        <v>45196</v>
      </c>
      <c r="BL17" s="155" t="s">
        <v>94</v>
      </c>
      <c r="BM17" s="156" t="s">
        <v>693</v>
      </c>
      <c r="BN17" s="146" t="s">
        <v>694</v>
      </c>
      <c r="BO17" s="155" t="s">
        <v>136</v>
      </c>
      <c r="BP17" s="155" t="s">
        <v>136</v>
      </c>
      <c r="BQ17" s="155" t="s">
        <v>137</v>
      </c>
      <c r="BR17" s="155" t="s">
        <v>138</v>
      </c>
      <c r="BS17" s="155" t="s">
        <v>540</v>
      </c>
      <c r="BT17" s="156" t="s">
        <v>94</v>
      </c>
      <c r="BU17" s="155" t="s">
        <v>140</v>
      </c>
      <c r="BV17" s="156" t="s">
        <v>94</v>
      </c>
      <c r="BW17" s="158" t="s">
        <v>94</v>
      </c>
      <c r="BX17" s="149" t="s">
        <v>7</v>
      </c>
      <c r="BY17" s="146" t="s">
        <v>260</v>
      </c>
      <c r="BZ17" s="158" t="s">
        <v>12</v>
      </c>
      <c r="CA17" s="149" t="s">
        <v>94</v>
      </c>
      <c r="CB17" s="149" t="s">
        <v>94</v>
      </c>
      <c r="CC17" s="147"/>
      <c r="CD17" s="158" t="s">
        <v>801</v>
      </c>
      <c r="CE17" s="158" t="s">
        <v>241</v>
      </c>
      <c r="CF17" s="147">
        <v>34256</v>
      </c>
      <c r="CG17" s="158" t="s">
        <v>268</v>
      </c>
      <c r="CH17" s="158" t="s">
        <v>94</v>
      </c>
      <c r="CI17" s="158">
        <v>5.48</v>
      </c>
      <c r="CJ17" s="158">
        <v>40</v>
      </c>
      <c r="CK17" s="158">
        <v>42.92</v>
      </c>
      <c r="CL17" s="146" t="s">
        <v>7</v>
      </c>
      <c r="CM17" s="158" t="s">
        <v>94</v>
      </c>
      <c r="CN17" s="146"/>
      <c r="CO17" s="158"/>
      <c r="CP17" s="146" t="s">
        <v>623</v>
      </c>
      <c r="CQ17" s="2"/>
      <c r="CR17" s="2"/>
      <c r="CS17" s="2"/>
      <c r="CX17" s="2"/>
      <c r="CY17" s="2"/>
    </row>
    <row r="18" spans="1:103" ht="15" x14ac:dyDescent="0.25">
      <c r="A18" t="s">
        <v>477</v>
      </c>
      <c r="D18" s="146">
        <v>8</v>
      </c>
      <c r="E18" s="155" t="s">
        <v>619</v>
      </c>
      <c r="F18" s="156" t="s">
        <v>624</v>
      </c>
      <c r="G18" s="157">
        <v>45189</v>
      </c>
      <c r="H18" s="157" t="s">
        <v>687</v>
      </c>
      <c r="I18" s="155" t="s">
        <v>134</v>
      </c>
      <c r="J18" s="155" t="s">
        <v>620</v>
      </c>
      <c r="K18" s="158" t="s">
        <v>85</v>
      </c>
      <c r="L18" s="158" t="s">
        <v>695</v>
      </c>
      <c r="M18" s="155" t="s">
        <v>696</v>
      </c>
      <c r="N18" s="155" t="s">
        <v>522</v>
      </c>
      <c r="O18" s="146">
        <v>10</v>
      </c>
      <c r="P18" s="156" t="s">
        <v>108</v>
      </c>
      <c r="Q18" s="155" t="s">
        <v>541</v>
      </c>
      <c r="R18" s="158">
        <v>2.68</v>
      </c>
      <c r="S18" s="159">
        <v>47023</v>
      </c>
      <c r="T18" s="155" t="s">
        <v>269</v>
      </c>
      <c r="U18" s="158" t="s">
        <v>697</v>
      </c>
      <c r="V18" s="146" t="s">
        <v>698</v>
      </c>
      <c r="W18" s="158">
        <v>32</v>
      </c>
      <c r="X18" s="158" t="s">
        <v>211</v>
      </c>
      <c r="Y18" s="158" t="s">
        <v>524</v>
      </c>
      <c r="Z18" s="156" t="s">
        <v>94</v>
      </c>
      <c r="AA18" s="155" t="s">
        <v>135</v>
      </c>
      <c r="AB18" s="158">
        <v>100</v>
      </c>
      <c r="AC18" s="155"/>
      <c r="AD18" s="155" t="s">
        <v>525</v>
      </c>
      <c r="AE18" s="155" t="s">
        <v>526</v>
      </c>
      <c r="AF18" s="155" t="s">
        <v>94</v>
      </c>
      <c r="AG18" s="156"/>
      <c r="AH18" s="155"/>
      <c r="AI18" s="155"/>
      <c r="AJ18" s="155"/>
      <c r="AK18" s="155" t="s">
        <v>690</v>
      </c>
      <c r="AL18" s="158" t="s">
        <v>351</v>
      </c>
      <c r="AM18" s="155" t="s">
        <v>520</v>
      </c>
      <c r="AN18" s="156" t="s">
        <v>94</v>
      </c>
      <c r="AO18" s="155" t="s">
        <v>134</v>
      </c>
      <c r="AP18" s="156" t="s">
        <v>94</v>
      </c>
      <c r="AQ18" s="155" t="s">
        <v>2</v>
      </c>
      <c r="AR18" s="158" t="s">
        <v>542</v>
      </c>
      <c r="AS18" s="155" t="s">
        <v>539</v>
      </c>
      <c r="AT18" s="155" t="s">
        <v>530</v>
      </c>
      <c r="AU18" s="146"/>
      <c r="AV18" s="146" t="s">
        <v>94</v>
      </c>
      <c r="AW18" s="146" t="s">
        <v>94</v>
      </c>
      <c r="AX18" s="146" t="s">
        <v>699</v>
      </c>
      <c r="AY18" s="156" t="s">
        <v>692</v>
      </c>
      <c r="AZ18" s="146">
        <v>10000</v>
      </c>
      <c r="BA18" s="158">
        <v>10</v>
      </c>
      <c r="BB18" s="159">
        <v>45196</v>
      </c>
      <c r="BC18" s="159"/>
      <c r="BD18" s="155" t="s">
        <v>94</v>
      </c>
      <c r="BE18" s="146">
        <v>2.68</v>
      </c>
      <c r="BF18" s="159">
        <v>45378</v>
      </c>
      <c r="BG18" s="155" t="s">
        <v>619</v>
      </c>
      <c r="BH18" s="159">
        <v>45196</v>
      </c>
      <c r="BI18" s="146" t="s">
        <v>698</v>
      </c>
      <c r="BJ18" s="156" t="s">
        <v>94</v>
      </c>
      <c r="BK18" s="159">
        <v>45196</v>
      </c>
      <c r="BL18" s="155" t="s">
        <v>94</v>
      </c>
      <c r="BM18" s="156" t="s">
        <v>693</v>
      </c>
      <c r="BN18" s="146" t="s">
        <v>694</v>
      </c>
      <c r="BO18" s="155" t="s">
        <v>136</v>
      </c>
      <c r="BP18" s="155" t="s">
        <v>136</v>
      </c>
      <c r="BQ18" s="155" t="s">
        <v>137</v>
      </c>
      <c r="BR18" s="155" t="s">
        <v>138</v>
      </c>
      <c r="BS18" s="155" t="s">
        <v>540</v>
      </c>
      <c r="BT18" s="156" t="s">
        <v>94</v>
      </c>
      <c r="BU18" s="155" t="s">
        <v>140</v>
      </c>
      <c r="BV18" s="156" t="s">
        <v>94</v>
      </c>
      <c r="BW18" s="158" t="s">
        <v>94</v>
      </c>
      <c r="BX18" s="149" t="s">
        <v>7</v>
      </c>
      <c r="BY18" s="146" t="s">
        <v>260</v>
      </c>
      <c r="BZ18" s="158" t="s">
        <v>12</v>
      </c>
      <c r="CA18" s="149" t="s">
        <v>94</v>
      </c>
      <c r="CB18" s="149" t="s">
        <v>94</v>
      </c>
      <c r="CC18" s="147"/>
      <c r="CD18" s="158" t="s">
        <v>801</v>
      </c>
      <c r="CE18" s="158" t="s">
        <v>241</v>
      </c>
      <c r="CF18" s="147">
        <v>34256</v>
      </c>
      <c r="CG18" s="158" t="s">
        <v>268</v>
      </c>
      <c r="CH18" s="158" t="s">
        <v>94</v>
      </c>
      <c r="CI18" s="158">
        <v>1.37</v>
      </c>
      <c r="CJ18" s="158">
        <v>10</v>
      </c>
      <c r="CK18" s="158">
        <v>10.73</v>
      </c>
      <c r="CL18" s="146" t="s">
        <v>7</v>
      </c>
      <c r="CM18" s="158" t="s">
        <v>94</v>
      </c>
      <c r="CN18" s="146"/>
      <c r="CO18" s="158"/>
      <c r="CP18" s="146" t="s">
        <v>626</v>
      </c>
      <c r="CQ18" s="2"/>
      <c r="CR18" s="2"/>
      <c r="CS18" s="2"/>
      <c r="CX18" s="2"/>
      <c r="CY18" s="2"/>
    </row>
    <row r="19" spans="1:103" ht="15" x14ac:dyDescent="0.25">
      <c r="D19" s="146">
        <v>9</v>
      </c>
      <c r="E19" s="155" t="s">
        <v>655</v>
      </c>
      <c r="F19" s="156" t="s">
        <v>654</v>
      </c>
      <c r="G19" s="157">
        <v>45188</v>
      </c>
      <c r="H19" s="157" t="s">
        <v>134</v>
      </c>
      <c r="I19" s="155" t="s">
        <v>134</v>
      </c>
      <c r="J19" s="155" t="s">
        <v>85</v>
      </c>
      <c r="K19" s="158" t="s">
        <v>85</v>
      </c>
      <c r="L19" s="158" t="s">
        <v>769</v>
      </c>
      <c r="M19" s="155" t="s">
        <v>770</v>
      </c>
      <c r="N19" s="155" t="s">
        <v>134</v>
      </c>
      <c r="O19" s="146">
        <v>0.6</v>
      </c>
      <c r="P19" s="156" t="s">
        <v>87</v>
      </c>
      <c r="Q19" s="155" t="s">
        <v>546</v>
      </c>
      <c r="R19" s="158">
        <v>7.5</v>
      </c>
      <c r="S19" s="159">
        <v>45555</v>
      </c>
      <c r="T19" s="155" t="s">
        <v>112</v>
      </c>
      <c r="U19" s="158" t="s">
        <v>94</v>
      </c>
      <c r="V19" s="146" t="s">
        <v>771</v>
      </c>
      <c r="W19" s="158"/>
      <c r="X19" s="158" t="s">
        <v>211</v>
      </c>
      <c r="Y19" s="158" t="s">
        <v>39</v>
      </c>
      <c r="Z19" s="156" t="s">
        <v>94</v>
      </c>
      <c r="AA19" s="155" t="s">
        <v>135</v>
      </c>
      <c r="AB19" s="158">
        <v>100</v>
      </c>
      <c r="AC19" s="155"/>
      <c r="AD19" s="155" t="s">
        <v>519</v>
      </c>
      <c r="AE19" s="155" t="s">
        <v>772</v>
      </c>
      <c r="AF19" s="155" t="s">
        <v>773</v>
      </c>
      <c r="AG19" s="156"/>
      <c r="AH19" s="155"/>
      <c r="AI19" s="155"/>
      <c r="AJ19" s="155"/>
      <c r="AK19" s="155" t="s">
        <v>774</v>
      </c>
      <c r="AL19" s="158" t="s">
        <v>351</v>
      </c>
      <c r="AM19" s="155" t="s">
        <v>713</v>
      </c>
      <c r="AN19" s="156" t="s">
        <v>94</v>
      </c>
      <c r="AO19" s="155" t="s">
        <v>134</v>
      </c>
      <c r="AP19" s="156" t="s">
        <v>445</v>
      </c>
      <c r="AQ19" s="155" t="s">
        <v>1</v>
      </c>
      <c r="AR19" s="158" t="s">
        <v>863</v>
      </c>
      <c r="AS19" s="155" t="s">
        <v>133</v>
      </c>
      <c r="AT19" s="155" t="s">
        <v>84</v>
      </c>
      <c r="AU19" s="146"/>
      <c r="AV19" s="146" t="s">
        <v>94</v>
      </c>
      <c r="AW19" s="146" t="s">
        <v>94</v>
      </c>
      <c r="AX19" s="146" t="s">
        <v>775</v>
      </c>
      <c r="AY19" s="156" t="s">
        <v>776</v>
      </c>
      <c r="AZ19" s="146">
        <v>1000</v>
      </c>
      <c r="BA19" s="158">
        <v>0.6</v>
      </c>
      <c r="BB19" s="159">
        <v>45191</v>
      </c>
      <c r="BC19" s="159"/>
      <c r="BD19" s="155" t="s">
        <v>94</v>
      </c>
      <c r="BE19" s="146">
        <v>7.5</v>
      </c>
      <c r="BF19" s="159">
        <v>45373</v>
      </c>
      <c r="BG19" s="155" t="s">
        <v>777</v>
      </c>
      <c r="BH19" s="159">
        <v>45191</v>
      </c>
      <c r="BI19" s="146" t="s">
        <v>482</v>
      </c>
      <c r="BJ19" s="156" t="s">
        <v>655</v>
      </c>
      <c r="BK19" s="159">
        <v>45191</v>
      </c>
      <c r="BL19" s="155" t="s">
        <v>547</v>
      </c>
      <c r="BM19" s="156" t="s">
        <v>778</v>
      </c>
      <c r="BN19" s="146" t="s">
        <v>779</v>
      </c>
      <c r="BO19" s="155" t="s">
        <v>136</v>
      </c>
      <c r="BP19" s="155" t="s">
        <v>136</v>
      </c>
      <c r="BQ19" s="155" t="s">
        <v>137</v>
      </c>
      <c r="BR19" s="155" t="s">
        <v>138</v>
      </c>
      <c r="BS19" s="155" t="s">
        <v>139</v>
      </c>
      <c r="BT19" s="156" t="s">
        <v>94</v>
      </c>
      <c r="BU19" s="155" t="s">
        <v>140</v>
      </c>
      <c r="BV19" s="156" t="s">
        <v>94</v>
      </c>
      <c r="BW19" s="158" t="s">
        <v>94</v>
      </c>
      <c r="BX19" s="149" t="s">
        <v>7</v>
      </c>
      <c r="BY19" s="146" t="s">
        <v>260</v>
      </c>
      <c r="BZ19" s="158" t="s">
        <v>10</v>
      </c>
      <c r="CA19" s="149" t="s">
        <v>94</v>
      </c>
      <c r="CB19" s="149" t="s">
        <v>94</v>
      </c>
      <c r="CC19" s="147"/>
      <c r="CD19" s="158" t="s">
        <v>804</v>
      </c>
      <c r="CE19" s="158" t="s">
        <v>279</v>
      </c>
      <c r="CF19" s="147">
        <v>44750</v>
      </c>
      <c r="CG19" s="158" t="s">
        <v>507</v>
      </c>
      <c r="CH19" s="158" t="s">
        <v>94</v>
      </c>
      <c r="CI19" s="158">
        <v>0.6</v>
      </c>
      <c r="CJ19" s="158">
        <v>4.3819999999999997</v>
      </c>
      <c r="CK19" s="158">
        <v>4.6909999999999998</v>
      </c>
      <c r="CL19" s="146" t="s">
        <v>7</v>
      </c>
      <c r="CM19" s="158" t="s">
        <v>94</v>
      </c>
      <c r="CN19" s="146"/>
      <c r="CO19" s="158"/>
      <c r="CP19" s="146" t="s">
        <v>658</v>
      </c>
      <c r="CQ19" s="2"/>
      <c r="CR19" s="2"/>
      <c r="CS19" s="2"/>
      <c r="CX19" s="2"/>
      <c r="CY19" s="2"/>
    </row>
    <row r="20" spans="1:103" ht="15" x14ac:dyDescent="0.25">
      <c r="A20" t="s">
        <v>273</v>
      </c>
      <c r="D20" s="146">
        <v>10</v>
      </c>
      <c r="E20" s="155" t="s">
        <v>660</v>
      </c>
      <c r="F20" s="156" t="s">
        <v>659</v>
      </c>
      <c r="G20" s="157">
        <v>45188</v>
      </c>
      <c r="H20" s="157" t="s">
        <v>134</v>
      </c>
      <c r="I20" s="155" t="s">
        <v>134</v>
      </c>
      <c r="J20" s="155" t="s">
        <v>85</v>
      </c>
      <c r="K20" s="158" t="s">
        <v>85</v>
      </c>
      <c r="L20" s="158" t="s">
        <v>780</v>
      </c>
      <c r="M20" s="155" t="s">
        <v>781</v>
      </c>
      <c r="N20" s="155" t="s">
        <v>134</v>
      </c>
      <c r="O20" s="146">
        <v>8</v>
      </c>
      <c r="P20" s="156" t="s">
        <v>108</v>
      </c>
      <c r="Q20" s="155" t="s">
        <v>209</v>
      </c>
      <c r="R20" s="158">
        <v>5.5</v>
      </c>
      <c r="S20" s="159">
        <v>46291</v>
      </c>
      <c r="T20" s="155" t="s">
        <v>523</v>
      </c>
      <c r="U20" s="158" t="s">
        <v>94</v>
      </c>
      <c r="V20" s="146" t="s">
        <v>478</v>
      </c>
      <c r="W20" s="158"/>
      <c r="X20" s="158" t="s">
        <v>211</v>
      </c>
      <c r="Y20" s="158" t="s">
        <v>524</v>
      </c>
      <c r="Z20" s="156" t="s">
        <v>94</v>
      </c>
      <c r="AA20" s="155" t="s">
        <v>135</v>
      </c>
      <c r="AB20" s="158">
        <v>100</v>
      </c>
      <c r="AC20" s="155"/>
      <c r="AD20" s="155" t="s">
        <v>519</v>
      </c>
      <c r="AE20" s="155" t="s">
        <v>782</v>
      </c>
      <c r="AF20" s="155" t="s">
        <v>783</v>
      </c>
      <c r="AG20" s="156"/>
      <c r="AH20" s="155"/>
      <c r="AI20" s="155"/>
      <c r="AJ20" s="155"/>
      <c r="AK20" s="155" t="s">
        <v>784</v>
      </c>
      <c r="AL20" s="158" t="s">
        <v>351</v>
      </c>
      <c r="AM20" s="155" t="s">
        <v>520</v>
      </c>
      <c r="AN20" s="156" t="s">
        <v>94</v>
      </c>
      <c r="AO20" s="155" t="s">
        <v>134</v>
      </c>
      <c r="AP20" s="156" t="s">
        <v>445</v>
      </c>
      <c r="AQ20" s="155" t="s">
        <v>1</v>
      </c>
      <c r="AR20" s="158" t="s">
        <v>862</v>
      </c>
      <c r="AS20" s="155" t="s">
        <v>133</v>
      </c>
      <c r="AT20" s="155" t="s">
        <v>84</v>
      </c>
      <c r="AU20" s="146"/>
      <c r="AV20" s="146" t="s">
        <v>94</v>
      </c>
      <c r="AW20" s="146" t="s">
        <v>94</v>
      </c>
      <c r="AX20" s="146" t="s">
        <v>785</v>
      </c>
      <c r="AY20" s="156" t="s">
        <v>786</v>
      </c>
      <c r="AZ20" s="146">
        <v>10000</v>
      </c>
      <c r="BA20" s="158">
        <v>8</v>
      </c>
      <c r="BB20" s="159">
        <v>45195</v>
      </c>
      <c r="BC20" s="159"/>
      <c r="BD20" s="155" t="s">
        <v>94</v>
      </c>
      <c r="BE20" s="146">
        <v>5.5</v>
      </c>
      <c r="BF20" s="159">
        <v>45377</v>
      </c>
      <c r="BG20" s="155" t="s">
        <v>660</v>
      </c>
      <c r="BH20" s="159">
        <v>45195</v>
      </c>
      <c r="BI20" s="146" t="s">
        <v>478</v>
      </c>
      <c r="BJ20" s="156" t="s">
        <v>94</v>
      </c>
      <c r="BK20" s="159">
        <v>45195</v>
      </c>
      <c r="BL20" s="155" t="s">
        <v>547</v>
      </c>
      <c r="BM20" s="156" t="s">
        <v>787</v>
      </c>
      <c r="BN20" s="146" t="s">
        <v>788</v>
      </c>
      <c r="BO20" s="155" t="s">
        <v>136</v>
      </c>
      <c r="BP20" s="155" t="s">
        <v>136</v>
      </c>
      <c r="BQ20" s="155" t="s">
        <v>137</v>
      </c>
      <c r="BR20" s="155" t="s">
        <v>138</v>
      </c>
      <c r="BS20" s="155" t="s">
        <v>139</v>
      </c>
      <c r="BT20" s="156" t="s">
        <v>94</v>
      </c>
      <c r="BU20" s="155" t="s">
        <v>140</v>
      </c>
      <c r="BV20" s="156" t="s">
        <v>94</v>
      </c>
      <c r="BW20" s="158" t="s">
        <v>94</v>
      </c>
      <c r="BX20" s="149" t="s">
        <v>7</v>
      </c>
      <c r="BY20" s="146" t="s">
        <v>260</v>
      </c>
      <c r="BZ20" s="158" t="s">
        <v>10</v>
      </c>
      <c r="CA20" s="149" t="s">
        <v>94</v>
      </c>
      <c r="CB20" s="149" t="s">
        <v>94</v>
      </c>
      <c r="CC20" s="147"/>
      <c r="CD20" s="158" t="s">
        <v>805</v>
      </c>
      <c r="CE20" s="158" t="s">
        <v>279</v>
      </c>
      <c r="CF20" s="147">
        <v>43262</v>
      </c>
      <c r="CG20" s="158" t="s">
        <v>268</v>
      </c>
      <c r="CH20" s="158" t="s">
        <v>94</v>
      </c>
      <c r="CI20" s="158">
        <v>1.0960000000000001</v>
      </c>
      <c r="CJ20" s="158">
        <v>8</v>
      </c>
      <c r="CK20" s="158">
        <v>8.5679999999999996</v>
      </c>
      <c r="CL20" s="146" t="s">
        <v>7</v>
      </c>
      <c r="CM20" s="158" t="s">
        <v>94</v>
      </c>
      <c r="CN20" s="146"/>
      <c r="CO20" s="158"/>
      <c r="CP20" s="146" t="s">
        <v>664</v>
      </c>
      <c r="CQ20" s="2"/>
      <c r="CR20" s="2"/>
      <c r="CS20" s="2"/>
      <c r="CX20" s="2"/>
      <c r="CY20" s="2"/>
    </row>
    <row r="21" spans="1:103" ht="15" x14ac:dyDescent="0.25">
      <c r="A21" t="s">
        <v>999</v>
      </c>
      <c r="D21" s="146">
        <v>11</v>
      </c>
      <c r="E21" s="155" t="s">
        <v>666</v>
      </c>
      <c r="F21" s="156" t="s">
        <v>665</v>
      </c>
      <c r="G21" s="157">
        <v>45187</v>
      </c>
      <c r="H21" s="157" t="s">
        <v>134</v>
      </c>
      <c r="I21" s="155" t="s">
        <v>134</v>
      </c>
      <c r="J21" s="155" t="s">
        <v>85</v>
      </c>
      <c r="K21" s="158" t="s">
        <v>85</v>
      </c>
      <c r="L21" s="158" t="s">
        <v>789</v>
      </c>
      <c r="M21" s="155" t="s">
        <v>790</v>
      </c>
      <c r="N21" s="155" t="s">
        <v>134</v>
      </c>
      <c r="O21" s="146">
        <v>3.85</v>
      </c>
      <c r="P21" s="156" t="s">
        <v>108</v>
      </c>
      <c r="Q21" s="155" t="s">
        <v>209</v>
      </c>
      <c r="R21" s="158">
        <v>5.5</v>
      </c>
      <c r="S21" s="159">
        <v>46285</v>
      </c>
      <c r="T21" s="155" t="s">
        <v>269</v>
      </c>
      <c r="U21" s="158" t="s">
        <v>94</v>
      </c>
      <c r="V21" s="146" t="s">
        <v>791</v>
      </c>
      <c r="W21" s="158"/>
      <c r="X21" s="158" t="s">
        <v>211</v>
      </c>
      <c r="Y21" s="158" t="s">
        <v>39</v>
      </c>
      <c r="Z21" s="156" t="s">
        <v>94</v>
      </c>
      <c r="AA21" s="155" t="s">
        <v>135</v>
      </c>
      <c r="AB21" s="158">
        <v>100</v>
      </c>
      <c r="AC21" s="155"/>
      <c r="AD21" s="155" t="s">
        <v>792</v>
      </c>
      <c r="AE21" s="155" t="s">
        <v>793</v>
      </c>
      <c r="AF21" s="155" t="s">
        <v>94</v>
      </c>
      <c r="AG21" s="156"/>
      <c r="AH21" s="155"/>
      <c r="AI21" s="155"/>
      <c r="AJ21" s="155"/>
      <c r="AK21" s="155" t="s">
        <v>794</v>
      </c>
      <c r="AL21" s="158" t="s">
        <v>351</v>
      </c>
      <c r="AM21" s="155" t="s">
        <v>713</v>
      </c>
      <c r="AN21" s="156" t="s">
        <v>94</v>
      </c>
      <c r="AO21" s="155" t="s">
        <v>134</v>
      </c>
      <c r="AP21" s="156" t="s">
        <v>445</v>
      </c>
      <c r="AQ21" s="155" t="s">
        <v>1</v>
      </c>
      <c r="AR21" s="158" t="s">
        <v>864</v>
      </c>
      <c r="AS21" s="155" t="s">
        <v>133</v>
      </c>
      <c r="AT21" s="155" t="s">
        <v>84</v>
      </c>
      <c r="AU21" s="146"/>
      <c r="AV21" s="146" t="s">
        <v>94</v>
      </c>
      <c r="AW21" s="146" t="s">
        <v>94</v>
      </c>
      <c r="AX21" s="146" t="s">
        <v>795</v>
      </c>
      <c r="AY21" s="156" t="s">
        <v>796</v>
      </c>
      <c r="AZ21" s="146">
        <v>10000</v>
      </c>
      <c r="BA21" s="158">
        <v>3.85</v>
      </c>
      <c r="BB21" s="159">
        <v>45189</v>
      </c>
      <c r="BC21" s="159"/>
      <c r="BD21" s="155" t="s">
        <v>94</v>
      </c>
      <c r="BE21" s="146">
        <v>5.5</v>
      </c>
      <c r="BF21" s="159">
        <v>45371</v>
      </c>
      <c r="BG21" s="155" t="s">
        <v>797</v>
      </c>
      <c r="BH21" s="159">
        <v>45189</v>
      </c>
      <c r="BI21" s="146" t="s">
        <v>798</v>
      </c>
      <c r="BJ21" s="156" t="s">
        <v>666</v>
      </c>
      <c r="BK21" s="159">
        <v>45189</v>
      </c>
      <c r="BL21" s="155" t="s">
        <v>94</v>
      </c>
      <c r="BM21" s="156" t="s">
        <v>799</v>
      </c>
      <c r="BN21" s="146" t="s">
        <v>800</v>
      </c>
      <c r="BO21" s="155" t="s">
        <v>136</v>
      </c>
      <c r="BP21" s="155" t="s">
        <v>136</v>
      </c>
      <c r="BQ21" s="155" t="s">
        <v>137</v>
      </c>
      <c r="BR21" s="155" t="s">
        <v>138</v>
      </c>
      <c r="BS21" s="155" t="s">
        <v>139</v>
      </c>
      <c r="BT21" s="156" t="s">
        <v>94</v>
      </c>
      <c r="BU21" s="155" t="s">
        <v>140</v>
      </c>
      <c r="BV21" s="156" t="s">
        <v>94</v>
      </c>
      <c r="BW21" s="158" t="s">
        <v>94</v>
      </c>
      <c r="BX21" s="149" t="s">
        <v>7</v>
      </c>
      <c r="BY21" s="146" t="s">
        <v>260</v>
      </c>
      <c r="BZ21" s="158" t="s">
        <v>33</v>
      </c>
      <c r="CA21" s="149" t="s">
        <v>94</v>
      </c>
      <c r="CB21" s="149" t="s">
        <v>94</v>
      </c>
      <c r="CC21" s="147"/>
      <c r="CD21" s="158" t="s">
        <v>991</v>
      </c>
      <c r="CE21" s="158" t="s">
        <v>279</v>
      </c>
      <c r="CF21" s="147">
        <v>43446</v>
      </c>
      <c r="CG21" s="158" t="s">
        <v>507</v>
      </c>
      <c r="CH21" s="158" t="s">
        <v>94</v>
      </c>
      <c r="CI21" s="158">
        <v>0.52700000000000002</v>
      </c>
      <c r="CJ21" s="158">
        <v>3.85</v>
      </c>
      <c r="CK21" s="158">
        <v>4.1269999999999998</v>
      </c>
      <c r="CL21" s="146" t="s">
        <v>7</v>
      </c>
      <c r="CM21" s="158" t="s">
        <v>94</v>
      </c>
      <c r="CN21" s="146"/>
      <c r="CO21" s="158"/>
      <c r="CP21" s="146" t="s">
        <v>670</v>
      </c>
      <c r="CQ21" s="2"/>
      <c r="CR21" s="2"/>
      <c r="CS21" s="2"/>
      <c r="CX21" s="2"/>
      <c r="CY21" s="2"/>
    </row>
    <row r="22" spans="1:103" ht="15" x14ac:dyDescent="0.25">
      <c r="A22" t="s">
        <v>328</v>
      </c>
      <c r="CQ22" s="2"/>
      <c r="CR22" s="2"/>
      <c r="CS22" s="2"/>
      <c r="CX22" s="2"/>
      <c r="CY22" s="2"/>
    </row>
    <row r="23" spans="1:103" ht="15" x14ac:dyDescent="0.25">
      <c r="CQ23" s="2"/>
      <c r="CR23" s="2"/>
      <c r="CS23" s="2"/>
      <c r="CX23" s="2"/>
      <c r="CY23" s="2"/>
    </row>
    <row r="24" spans="1:103" ht="15" x14ac:dyDescent="0.25"/>
  </sheetData>
  <phoneticPr fontId="13" type="noConversion"/>
  <conditionalFormatting sqref="C5">
    <cfRule type="iconSet" priority="3">
      <iconSet showValue="0">
        <cfvo type="percent" val="0"/>
        <cfvo type="num" val="-1"/>
        <cfvo type="num" val="0"/>
      </iconSet>
    </cfRule>
  </conditionalFormatting>
  <conditionalFormatting sqref="A17:A18 A21:A22">
    <cfRule type="notContainsText" dxfId="81" priority="2" operator="notContains" text="/">
      <formula>ISERROR(SEARCH("/",A17))</formula>
    </cfRule>
  </conditionalFormatting>
  <conditionalFormatting sqref="A22">
    <cfRule type="notContainsText" dxfId="80" priority="1" operator="notContains" text="DMI">
      <formula>ISERROR(SEARCH("DMI",A22))</formula>
    </cfRule>
  </conditionalFormatting>
  <dataValidations count="1">
    <dataValidation type="list" allowBlank="1" showInputMessage="1" showErrorMessage="1" sqref="K2" xr:uid="{00000000-0002-0000-0100-000002000000}">
      <formula1>dd_updator</formula1>
    </dataValidation>
  </dataValidations>
  <pageMargins left="0.7" right="0.7" top="0.75" bottom="0.75" header="0.3" footer="0.3"/>
  <pageSetup orientation="portrait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DM73"/>
  <sheetViews>
    <sheetView topLeftCell="AC1" zoomScale="85" zoomScaleNormal="100" workbookViewId="0">
      <selection activeCell="AH12" sqref="AH12"/>
    </sheetView>
  </sheetViews>
  <sheetFormatPr defaultColWidth="8.88671875" defaultRowHeight="15.75" customHeight="1" outlineLevelCol="1" x14ac:dyDescent="0.25"/>
  <cols>
    <col min="1" max="1" width="8.88671875" style="3" hidden="1" customWidth="1" outlineLevel="1"/>
    <col min="2" max="2" width="13.44140625" style="3" hidden="1" customWidth="1" outlineLevel="1"/>
    <col min="3" max="3" width="16.6640625" style="3" hidden="1" customWidth="1" outlineLevel="1"/>
    <col min="4" max="4" width="13.109375" style="3" hidden="1" customWidth="1" outlineLevel="1"/>
    <col min="5" max="5" width="10.88671875" style="3" bestFit="1" customWidth="1" collapsed="1"/>
    <col min="6" max="6" width="14.109375" style="3" bestFit="1" customWidth="1"/>
    <col min="7" max="7" width="9.44140625" style="3" bestFit="1" customWidth="1"/>
    <col min="8" max="8" width="36.77734375" style="3" bestFit="1" customWidth="1"/>
    <col min="9" max="9" width="9.21875" style="3" bestFit="1" customWidth="1"/>
    <col min="10" max="10" width="13.88671875" style="3" hidden="1" customWidth="1" outlineLevel="1"/>
    <col min="11" max="11" width="9" style="3" hidden="1" customWidth="1" outlineLevel="1"/>
    <col min="12" max="12" width="7.77734375" style="3" hidden="1" customWidth="1" outlineLevel="1"/>
    <col min="13" max="14" width="11.109375" style="3" hidden="1" customWidth="1" outlineLevel="1"/>
    <col min="15" max="15" width="19.5546875" style="3" hidden="1" customWidth="1" outlineLevel="1"/>
    <col min="16" max="16" width="3.6640625" style="3" customWidth="1" collapsed="1"/>
    <col min="17" max="18" width="3.6640625" style="3" customWidth="1"/>
    <col min="19" max="19" width="9.33203125" style="3" bestFit="1" customWidth="1"/>
    <col min="20" max="20" width="36.6640625" style="3" bestFit="1" customWidth="1"/>
    <col min="21" max="21" width="9.88671875" style="3" bestFit="1" customWidth="1"/>
    <col min="22" max="22" width="6.6640625" style="3" bestFit="1" customWidth="1"/>
    <col min="23" max="23" width="13.33203125" style="3" bestFit="1" customWidth="1" outlineLevel="1"/>
    <col min="24" max="24" width="7.6640625" style="3" customWidth="1" outlineLevel="1"/>
    <col min="25" max="25" width="4.33203125" style="3" customWidth="1" outlineLevel="1"/>
    <col min="26" max="26" width="7.6640625" style="3" customWidth="1" outlineLevel="1"/>
    <col min="27" max="27" width="4.6640625" style="3" customWidth="1" outlineLevel="1"/>
    <col min="28" max="28" width="10.44140625" style="3" customWidth="1" outlineLevel="1"/>
    <col min="29" max="29" width="4.33203125" style="3" customWidth="1" outlineLevel="1"/>
    <col min="30" max="30" width="5.77734375" style="3" bestFit="1" customWidth="1" outlineLevel="1"/>
    <col min="31" max="31" width="9.5546875" style="3" customWidth="1" outlineLevel="1"/>
    <col min="32" max="32" width="11.33203125" style="3" bestFit="1" customWidth="1" outlineLevel="1"/>
    <col min="33" max="33" width="7.6640625" style="3" customWidth="1" outlineLevel="1"/>
    <col min="34" max="34" width="6" style="3" customWidth="1" outlineLevel="1"/>
    <col min="35" max="36" width="7" style="3" bestFit="1" customWidth="1" outlineLevel="1"/>
    <col min="37" max="37" width="14" style="3" bestFit="1" customWidth="1" outlineLevel="1"/>
    <col min="38" max="38" width="20.109375" style="3" bestFit="1" customWidth="1" outlineLevel="1"/>
    <col min="39" max="43" width="2" style="3" customWidth="1"/>
    <col min="44" max="44" width="36.6640625" style="3" bestFit="1" customWidth="1"/>
    <col min="45" max="45" width="19.44140625" style="3" bestFit="1" customWidth="1"/>
    <col min="46" max="46" width="13.33203125" style="3" hidden="1" customWidth="1" outlineLevel="1"/>
    <col min="47" max="47" width="9.33203125" style="3" hidden="1" customWidth="1" outlineLevel="1"/>
    <col min="48" max="48" width="7.6640625" style="3" hidden="1" customWidth="1" outlineLevel="1"/>
    <col min="49" max="49" width="9.88671875" style="3" hidden="1" customWidth="1" outlineLevel="1"/>
    <col min="50" max="50" width="12" style="3" hidden="1" customWidth="1" outlineLevel="1"/>
    <col min="51" max="51" width="7.6640625" style="3" hidden="1" customWidth="1" outlineLevel="1"/>
    <col min="52" max="52" width="13.6640625" style="3" hidden="1" customWidth="1" outlineLevel="1"/>
    <col min="53" max="53" width="4.33203125" style="3" hidden="1" customWidth="1" outlineLevel="1"/>
    <col min="54" max="54" width="9.5546875" style="3" hidden="1" customWidth="1" outlineLevel="1"/>
    <col min="55" max="55" width="7.6640625" style="3" hidden="1" customWidth="1" outlineLevel="1"/>
    <col min="56" max="56" width="7.21875" style="3" bestFit="1" customWidth="1" collapsed="1"/>
    <col min="57" max="58" width="7.6640625" style="3" bestFit="1" customWidth="1"/>
    <col min="59" max="60" width="7.77734375" style="3" bestFit="1" customWidth="1"/>
    <col min="61" max="61" width="7.33203125" style="3" bestFit="1" customWidth="1"/>
    <col min="62" max="62" width="7.77734375" style="3" bestFit="1" customWidth="1"/>
    <col min="63" max="63" width="7.6640625" style="25" bestFit="1" customWidth="1"/>
    <col min="64" max="64" width="7.21875" style="25" bestFit="1" customWidth="1"/>
    <col min="65" max="66" width="7.6640625" style="25" bestFit="1" customWidth="1"/>
    <col min="67" max="67" width="9.21875" style="25" bestFit="1" customWidth="1"/>
    <col min="68" max="69" width="9.44140625" style="25" bestFit="1" customWidth="1"/>
    <col min="70" max="71" width="11.109375" style="25" bestFit="1" customWidth="1"/>
    <col min="72" max="72" width="9.44140625" style="25" bestFit="1" customWidth="1"/>
    <col min="73" max="73" width="9" style="25" bestFit="1" customWidth="1"/>
    <col min="74" max="75" width="9.44140625" style="25" bestFit="1" customWidth="1"/>
    <col min="76" max="76" width="9.21875" style="25" bestFit="1" customWidth="1"/>
    <col min="77" max="77" width="8.77734375" style="25" bestFit="1" customWidth="1"/>
    <col min="78" max="78" width="9.21875" style="25" bestFit="1" customWidth="1"/>
    <col min="79" max="79" width="42.77734375" style="25" bestFit="1" customWidth="1"/>
    <col min="80" max="80" width="9.21875" style="25" bestFit="1" customWidth="1"/>
    <col min="81" max="81" width="9.44140625" style="25" bestFit="1" customWidth="1"/>
    <col min="82" max="82" width="8.77734375" style="25" bestFit="1" customWidth="1"/>
    <col min="83" max="83" width="9.21875" style="25" bestFit="1" customWidth="1"/>
    <col min="84" max="84" width="15.21875" style="25" bestFit="1" customWidth="1"/>
    <col min="85" max="85" width="5.88671875" style="25" bestFit="1" customWidth="1"/>
    <col min="86" max="86" width="10.77734375" style="25" bestFit="1" customWidth="1"/>
    <col min="87" max="87" width="10.88671875" style="25" bestFit="1" customWidth="1"/>
    <col min="88" max="88" width="11.44140625" style="25" bestFit="1" customWidth="1"/>
    <col min="89" max="89" width="13.5546875" style="25" bestFit="1" customWidth="1"/>
    <col min="90" max="90" width="42.77734375" style="25" bestFit="1" customWidth="1"/>
    <col min="91" max="91" width="9.21875" style="25" bestFit="1" customWidth="1"/>
    <col min="92" max="92" width="10.88671875" style="25" bestFit="1" customWidth="1"/>
    <col min="93" max="93" width="11.44140625" style="25" bestFit="1" customWidth="1"/>
    <col min="94" max="94" width="13.5546875" style="25" bestFit="1" customWidth="1"/>
    <col min="95" max="95" width="51.44140625" style="25" bestFit="1" customWidth="1"/>
    <col min="96" max="96" width="9.21875" style="25" bestFit="1" customWidth="1"/>
    <col min="97" max="97" width="51.44140625" style="25" bestFit="1" customWidth="1"/>
    <col min="98" max="98" width="9.21875" style="25" bestFit="1" customWidth="1"/>
    <col min="99" max="99" width="11.6640625" style="25" bestFit="1" customWidth="1"/>
    <col min="100" max="100" width="15.5546875" style="25" bestFit="1" customWidth="1"/>
    <col min="101" max="101" width="9.44140625" style="25" bestFit="1" customWidth="1"/>
    <col min="102" max="102" width="11.6640625" style="25" bestFit="1" customWidth="1"/>
    <col min="103" max="103" width="15.5546875" style="25" bestFit="1" customWidth="1"/>
    <col min="104" max="104" width="9.44140625" style="25" bestFit="1" customWidth="1"/>
    <col min="105" max="105" width="15.44140625" style="25" bestFit="1" customWidth="1"/>
    <col min="106" max="106" width="6.109375" style="25" bestFit="1" customWidth="1"/>
    <col min="107" max="107" width="15.21875" style="25" bestFit="1" customWidth="1"/>
    <col min="108" max="108" width="5.88671875" style="25" bestFit="1" customWidth="1"/>
    <col min="109" max="109" width="13.109375" style="25" bestFit="1" customWidth="1"/>
    <col min="110" max="110" width="5.88671875" style="25" bestFit="1" customWidth="1"/>
    <col min="111" max="111" width="9.6640625" style="25" bestFit="1" customWidth="1"/>
    <col min="112" max="112" width="14" style="25" bestFit="1" customWidth="1"/>
    <col min="113" max="113" width="14.109375" style="25" bestFit="1" customWidth="1"/>
    <col min="114" max="114" width="13.33203125" style="25" bestFit="1" customWidth="1"/>
    <col min="115" max="116" width="8.109375" style="25" customWidth="1"/>
    <col min="117" max="117" width="8.88671875" style="25" bestFit="1" customWidth="1"/>
    <col min="118" max="138" width="8.109375" style="3" customWidth="1"/>
    <col min="139" max="142" width="9" style="3" customWidth="1"/>
    <col min="143" max="143" width="2.88671875" style="3" customWidth="1"/>
    <col min="144" max="144" width="8.109375" style="3" customWidth="1"/>
    <col min="145" max="145" width="9" style="3" customWidth="1"/>
    <col min="146" max="146" width="6.109375" style="3" bestFit="1" customWidth="1"/>
    <col min="147" max="147" width="7.77734375" style="3" bestFit="1" customWidth="1"/>
    <col min="148" max="16384" width="8.88671875" style="3"/>
  </cols>
  <sheetData>
    <row r="1" spans="1:117" s="1" customFormat="1" ht="49.5" customHeight="1" x14ac:dyDescent="0.25">
      <c r="D1" s="5"/>
      <c r="E1" s="36" t="s">
        <v>155</v>
      </c>
      <c r="F1" s="5"/>
      <c r="H1" s="141">
        <f>COUNTA(ForReview_Issuer[#Headers])</f>
        <v>11</v>
      </c>
      <c r="I1" s="115">
        <f>IF(H1&lt;=11,1,IF(H1&gt;13,-5,0))</f>
        <v>1</v>
      </c>
      <c r="T1" s="7"/>
      <c r="U1" s="141">
        <f>COUNTA(ForReview_wCurated[#Headers])</f>
        <v>20</v>
      </c>
      <c r="V1" s="115">
        <f>IF(U1&lt;=20,1,IF(U1&gt;22,-5,0))</f>
        <v>1</v>
      </c>
      <c r="AR1" s="141">
        <f>COUNTA(ForReview_wBOCOM[#Headers])</f>
        <v>14</v>
      </c>
      <c r="AS1" s="115">
        <f>IF(AR1&lt;=14,1,IF(AR1&gt;16,-5,0))</f>
        <v>1</v>
      </c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</row>
    <row r="2" spans="1:117" s="1" customFormat="1" ht="49.5" customHeight="1" x14ac:dyDescent="0.25"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</row>
    <row r="3" spans="1:117" s="1" customFormat="1" ht="49.5" customHeight="1" x14ac:dyDescent="0.25">
      <c r="L3" s="116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</row>
    <row r="4" spans="1:117" ht="61.5" customHeight="1" x14ac:dyDescent="0.25">
      <c r="S4" s="4"/>
      <c r="T4" s="7"/>
      <c r="U4" s="7"/>
      <c r="W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17" ht="15" x14ac:dyDescent="0.25">
      <c r="A5" t="s">
        <v>465</v>
      </c>
      <c r="B5" t="s">
        <v>463</v>
      </c>
      <c r="C5" t="s">
        <v>466</v>
      </c>
      <c r="E5" t="s">
        <v>464</v>
      </c>
      <c r="F5" t="s">
        <v>49</v>
      </c>
      <c r="G5" t="s">
        <v>50</v>
      </c>
      <c r="H5" t="s">
        <v>96</v>
      </c>
      <c r="I5" t="s">
        <v>144</v>
      </c>
      <c r="J5" t="s">
        <v>187</v>
      </c>
      <c r="K5" t="s">
        <v>92</v>
      </c>
      <c r="L5" t="s">
        <v>42</v>
      </c>
      <c r="M5" t="s">
        <v>196</v>
      </c>
      <c r="N5" t="s">
        <v>197</v>
      </c>
      <c r="O5" t="s">
        <v>149</v>
      </c>
      <c r="S5" t="s">
        <v>50</v>
      </c>
      <c r="T5" t="s">
        <v>96</v>
      </c>
      <c r="U5" t="s">
        <v>148</v>
      </c>
      <c r="V5" t="s">
        <v>90</v>
      </c>
      <c r="W5" t="s">
        <v>54</v>
      </c>
      <c r="X5" t="s">
        <v>176</v>
      </c>
      <c r="Y5" t="s">
        <v>161</v>
      </c>
      <c r="Z5" t="s">
        <v>150</v>
      </c>
      <c r="AA5" t="s">
        <v>65</v>
      </c>
      <c r="AB5" t="s">
        <v>58</v>
      </c>
      <c r="AC5" t="s">
        <v>89</v>
      </c>
      <c r="AD5" t="s">
        <v>122</v>
      </c>
      <c r="AE5" t="s">
        <v>162</v>
      </c>
      <c r="AF5" t="s">
        <v>93</v>
      </c>
      <c r="AG5" t="s">
        <v>222</v>
      </c>
      <c r="AH5" t="s">
        <v>183</v>
      </c>
      <c r="AI5" t="s">
        <v>184</v>
      </c>
      <c r="AJ5" t="s">
        <v>223</v>
      </c>
      <c r="AK5" t="s">
        <v>49</v>
      </c>
      <c r="AL5" t="s">
        <v>149</v>
      </c>
      <c r="AR5" t="s">
        <v>96</v>
      </c>
      <c r="AS5" s="81" t="s">
        <v>149</v>
      </c>
      <c r="AT5" s="81" t="s">
        <v>49</v>
      </c>
      <c r="AU5" s="81" t="s">
        <v>50</v>
      </c>
      <c r="AV5" s="82" t="s">
        <v>216</v>
      </c>
      <c r="AW5" s="82" t="s">
        <v>198</v>
      </c>
      <c r="AX5" s="82" t="s">
        <v>182</v>
      </c>
      <c r="AY5" s="81" t="s">
        <v>181</v>
      </c>
      <c r="AZ5" s="82" t="s">
        <v>192</v>
      </c>
      <c r="BA5" s="82" t="s">
        <v>180</v>
      </c>
      <c r="BB5" s="81" t="s">
        <v>156</v>
      </c>
      <c r="BC5" s="82" t="s">
        <v>212</v>
      </c>
      <c r="BD5" s="82" t="s">
        <v>213</v>
      </c>
      <c r="BE5" s="82" t="s">
        <v>214</v>
      </c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</row>
    <row r="6" spans="1:117" ht="15" x14ac:dyDescent="0.25">
      <c r="A6" t="s">
        <v>50</v>
      </c>
      <c r="B6" t="s">
        <v>464</v>
      </c>
      <c r="C6" t="s">
        <v>96</v>
      </c>
      <c r="E6" s="152"/>
      <c r="F6" s="152" t="s">
        <v>581</v>
      </c>
      <c r="G6" s="153">
        <v>45190</v>
      </c>
      <c r="H6" s="154" t="s">
        <v>582</v>
      </c>
      <c r="I6" s="154" t="s">
        <v>85</v>
      </c>
      <c r="J6" s="154" t="s">
        <v>85</v>
      </c>
      <c r="K6" s="152" t="s">
        <v>114</v>
      </c>
      <c r="L6" s="152" t="s">
        <v>378</v>
      </c>
      <c r="M6" s="152" t="s">
        <v>7</v>
      </c>
      <c r="N6" s="152" t="s">
        <v>7</v>
      </c>
      <c r="O6" s="152" t="s">
        <v>585</v>
      </c>
      <c r="S6" s="147">
        <v>45191</v>
      </c>
      <c r="T6" s="158" t="s">
        <v>835</v>
      </c>
      <c r="U6" s="146" t="s">
        <v>7</v>
      </c>
      <c r="V6" s="158" t="s">
        <v>94</v>
      </c>
      <c r="W6" s="158" t="s">
        <v>858</v>
      </c>
      <c r="X6" s="146"/>
      <c r="Y6" s="158" t="s">
        <v>94</v>
      </c>
      <c r="Z6" s="158" t="s">
        <v>94</v>
      </c>
      <c r="AA6" s="146" t="s">
        <v>87</v>
      </c>
      <c r="AB6" s="146">
        <v>1</v>
      </c>
      <c r="AC6" s="146" t="s">
        <v>160</v>
      </c>
      <c r="AD6" s="158" t="s">
        <v>858</v>
      </c>
      <c r="AE6" s="146" t="s">
        <v>7</v>
      </c>
      <c r="AF6" s="146" t="s">
        <v>270</v>
      </c>
      <c r="AG6" s="146" t="s">
        <v>94</v>
      </c>
      <c r="AH6" s="158">
        <v>1</v>
      </c>
      <c r="AI6" s="158">
        <v>7.3010000000000002</v>
      </c>
      <c r="AJ6" s="158">
        <v>7.8209999999999997</v>
      </c>
      <c r="AK6" s="146" t="s">
        <v>834</v>
      </c>
      <c r="AL6" s="146" t="s">
        <v>836</v>
      </c>
      <c r="AR6" t="s">
        <v>564</v>
      </c>
      <c r="AS6" s="82" t="s">
        <v>607</v>
      </c>
      <c r="AT6" s="81" t="s">
        <v>563</v>
      </c>
      <c r="AU6" s="96">
        <v>45189</v>
      </c>
      <c r="AV6" s="82" t="s">
        <v>821</v>
      </c>
      <c r="AW6" s="82" t="s">
        <v>562</v>
      </c>
      <c r="AX6" s="82" t="s">
        <v>202</v>
      </c>
      <c r="AY6" s="82" t="s">
        <v>190</v>
      </c>
      <c r="AZ6" s="82" t="s">
        <v>505</v>
      </c>
      <c r="BA6" s="82" t="s">
        <v>505</v>
      </c>
      <c r="BB6" s="82" t="s">
        <v>158</v>
      </c>
      <c r="BC6" s="82" t="s">
        <v>94</v>
      </c>
      <c r="BD6" s="82" t="s">
        <v>94</v>
      </c>
      <c r="BE6" s="82" t="s">
        <v>7</v>
      </c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</row>
    <row r="7" spans="1:117" ht="15" x14ac:dyDescent="0.25">
      <c r="A7" t="s">
        <v>96</v>
      </c>
      <c r="B7" t="s">
        <v>49</v>
      </c>
      <c r="C7" t="s">
        <v>149</v>
      </c>
      <c r="E7" s="152"/>
      <c r="F7" s="152" t="s">
        <v>834</v>
      </c>
      <c r="G7" s="153">
        <v>45191</v>
      </c>
      <c r="H7" s="154" t="s">
        <v>835</v>
      </c>
      <c r="I7" s="154" t="s">
        <v>85</v>
      </c>
      <c r="J7" s="154" t="s">
        <v>85</v>
      </c>
      <c r="K7" s="152" t="s">
        <v>114</v>
      </c>
      <c r="L7" s="152" t="s">
        <v>387</v>
      </c>
      <c r="M7" s="152" t="s">
        <v>7</v>
      </c>
      <c r="N7" s="152" t="s">
        <v>7</v>
      </c>
      <c r="O7" s="152" t="s">
        <v>836</v>
      </c>
      <c r="S7" s="147">
        <v>45190</v>
      </c>
      <c r="T7" s="158" t="s">
        <v>582</v>
      </c>
      <c r="U7" s="146" t="s">
        <v>7</v>
      </c>
      <c r="V7" s="158" t="s">
        <v>94</v>
      </c>
      <c r="W7" s="158" t="s">
        <v>674</v>
      </c>
      <c r="X7" s="146"/>
      <c r="Y7" s="158" t="s">
        <v>94</v>
      </c>
      <c r="Z7" s="158" t="s">
        <v>94</v>
      </c>
      <c r="AA7" s="146" t="s">
        <v>108</v>
      </c>
      <c r="AB7" s="146">
        <v>10.65</v>
      </c>
      <c r="AC7" s="146" t="s">
        <v>160</v>
      </c>
      <c r="AD7" s="158" t="s">
        <v>674</v>
      </c>
      <c r="AE7" s="146" t="s">
        <v>7</v>
      </c>
      <c r="AF7" s="146" t="s">
        <v>806</v>
      </c>
      <c r="AG7" s="146" t="s">
        <v>94</v>
      </c>
      <c r="AH7" s="158">
        <v>1.4590000000000001</v>
      </c>
      <c r="AI7" s="158">
        <v>10.65</v>
      </c>
      <c r="AJ7" s="158">
        <v>11.396000000000001</v>
      </c>
      <c r="AK7" s="146" t="s">
        <v>581</v>
      </c>
      <c r="AL7" s="146" t="s">
        <v>585</v>
      </c>
      <c r="AR7" t="s">
        <v>561</v>
      </c>
      <c r="AS7" s="82" t="s">
        <v>611</v>
      </c>
      <c r="AT7" s="81" t="s">
        <v>560</v>
      </c>
      <c r="AU7" s="96">
        <v>45189</v>
      </c>
      <c r="AV7" s="82" t="s">
        <v>822</v>
      </c>
      <c r="AW7" s="82" t="s">
        <v>559</v>
      </c>
      <c r="AX7" s="82" t="s">
        <v>202</v>
      </c>
      <c r="AY7" s="82" t="s">
        <v>190</v>
      </c>
      <c r="AZ7" s="82" t="s">
        <v>505</v>
      </c>
      <c r="BA7" s="82" t="s">
        <v>505</v>
      </c>
      <c r="BB7" s="82" t="s">
        <v>158</v>
      </c>
      <c r="BC7" s="82" t="s">
        <v>94</v>
      </c>
      <c r="BD7" s="82" t="s">
        <v>94</v>
      </c>
      <c r="BE7" s="82" t="s">
        <v>7</v>
      </c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</row>
    <row r="8" spans="1:117" ht="15" x14ac:dyDescent="0.25">
      <c r="A8" t="s">
        <v>148</v>
      </c>
      <c r="B8" t="s">
        <v>50</v>
      </c>
      <c r="C8" t="s">
        <v>49</v>
      </c>
      <c r="E8" s="152"/>
      <c r="F8" s="152" t="s">
        <v>595</v>
      </c>
      <c r="G8" s="153">
        <v>45189</v>
      </c>
      <c r="H8" s="154" t="s">
        <v>596</v>
      </c>
      <c r="I8" s="154" t="s">
        <v>85</v>
      </c>
      <c r="J8" s="154" t="s">
        <v>597</v>
      </c>
      <c r="K8" s="152" t="s">
        <v>114</v>
      </c>
      <c r="L8" s="152" t="s">
        <v>360</v>
      </c>
      <c r="M8" s="152" t="s">
        <v>7</v>
      </c>
      <c r="N8" s="152" t="s">
        <v>7</v>
      </c>
      <c r="O8" s="152" t="s">
        <v>601</v>
      </c>
      <c r="S8" s="147">
        <v>45189</v>
      </c>
      <c r="T8" s="158" t="s">
        <v>561</v>
      </c>
      <c r="U8" s="146" t="s">
        <v>811</v>
      </c>
      <c r="V8" s="158" t="s">
        <v>812</v>
      </c>
      <c r="W8" s="158" t="s">
        <v>813</v>
      </c>
      <c r="X8" s="146">
        <v>6</v>
      </c>
      <c r="Y8" s="158" t="s">
        <v>94</v>
      </c>
      <c r="Z8" s="158" t="s">
        <v>94</v>
      </c>
      <c r="AA8" s="146" t="s">
        <v>108</v>
      </c>
      <c r="AB8" s="146">
        <v>7.3</v>
      </c>
      <c r="AC8" s="146" t="s">
        <v>160</v>
      </c>
      <c r="AD8" s="158" t="s">
        <v>729</v>
      </c>
      <c r="AE8" s="146" t="s">
        <v>7</v>
      </c>
      <c r="AF8" s="146" t="s">
        <v>270</v>
      </c>
      <c r="AG8" s="146" t="s">
        <v>94</v>
      </c>
      <c r="AH8" s="158">
        <v>1</v>
      </c>
      <c r="AI8" s="158">
        <v>7.3</v>
      </c>
      <c r="AJ8" s="158">
        <v>7.8330000000000002</v>
      </c>
      <c r="AK8" s="146" t="s">
        <v>560</v>
      </c>
      <c r="AL8" s="146" t="s">
        <v>611</v>
      </c>
      <c r="BA8" s="25"/>
      <c r="BB8" s="25"/>
      <c r="BC8" s="25"/>
      <c r="BD8" s="25"/>
      <c r="BE8" s="25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</row>
    <row r="9" spans="1:117" ht="15" x14ac:dyDescent="0.25">
      <c r="A9" t="s">
        <v>90</v>
      </c>
      <c r="B9" t="s">
        <v>96</v>
      </c>
      <c r="C9" t="s">
        <v>50</v>
      </c>
      <c r="E9" s="152"/>
      <c r="F9" s="152" t="s">
        <v>560</v>
      </c>
      <c r="G9" s="153">
        <v>45189</v>
      </c>
      <c r="H9" s="154" t="s">
        <v>561</v>
      </c>
      <c r="I9" s="154" t="s">
        <v>85</v>
      </c>
      <c r="J9" s="154" t="s">
        <v>85</v>
      </c>
      <c r="K9" s="152" t="s">
        <v>115</v>
      </c>
      <c r="L9" s="152" t="s">
        <v>360</v>
      </c>
      <c r="M9" s="152" t="s">
        <v>7</v>
      </c>
      <c r="N9" s="152" t="s">
        <v>7</v>
      </c>
      <c r="O9" s="152" t="s">
        <v>611</v>
      </c>
      <c r="S9" s="147">
        <v>45189</v>
      </c>
      <c r="T9" s="158" t="s">
        <v>619</v>
      </c>
      <c r="U9" s="146" t="s">
        <v>7</v>
      </c>
      <c r="V9" s="158" t="s">
        <v>809</v>
      </c>
      <c r="W9" s="158" t="s">
        <v>698</v>
      </c>
      <c r="X9" s="146">
        <v>32</v>
      </c>
      <c r="Y9" s="158" t="s">
        <v>94</v>
      </c>
      <c r="Z9" s="158" t="s">
        <v>94</v>
      </c>
      <c r="AA9" s="146" t="s">
        <v>108</v>
      </c>
      <c r="AB9" s="146">
        <v>10</v>
      </c>
      <c r="AC9" s="146" t="s">
        <v>550</v>
      </c>
      <c r="AD9" s="158" t="s">
        <v>698</v>
      </c>
      <c r="AE9" s="146" t="s">
        <v>810</v>
      </c>
      <c r="AF9" s="146" t="s">
        <v>270</v>
      </c>
      <c r="AG9" s="146" t="s">
        <v>94</v>
      </c>
      <c r="AH9" s="158">
        <v>1.37</v>
      </c>
      <c r="AI9" s="158">
        <v>10</v>
      </c>
      <c r="AJ9" s="158">
        <v>10.73</v>
      </c>
      <c r="AK9" s="146" t="s">
        <v>624</v>
      </c>
      <c r="AL9" s="146" t="s">
        <v>626</v>
      </c>
      <c r="BA9" s="25"/>
      <c r="BB9" s="25"/>
      <c r="BC9" s="25"/>
      <c r="BD9" s="25"/>
      <c r="BE9" s="25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</row>
    <row r="10" spans="1:117" ht="15" x14ac:dyDescent="0.25">
      <c r="A10" t="s">
        <v>54</v>
      </c>
      <c r="B10" t="s">
        <v>144</v>
      </c>
      <c r="C10" t="s">
        <v>216</v>
      </c>
      <c r="E10" s="152"/>
      <c r="F10" s="152" t="s">
        <v>654</v>
      </c>
      <c r="G10" s="153">
        <v>45188</v>
      </c>
      <c r="H10" s="154" t="s">
        <v>655</v>
      </c>
      <c r="I10" s="154" t="s">
        <v>85</v>
      </c>
      <c r="J10" s="154" t="s">
        <v>85</v>
      </c>
      <c r="K10" s="152" t="s">
        <v>40</v>
      </c>
      <c r="L10" s="152" t="s">
        <v>94</v>
      </c>
      <c r="M10" s="152" t="s">
        <v>7</v>
      </c>
      <c r="N10" s="152" t="s">
        <v>7</v>
      </c>
      <c r="O10" s="152" t="s">
        <v>658</v>
      </c>
      <c r="S10" s="147">
        <v>45189</v>
      </c>
      <c r="T10" s="158" t="s">
        <v>619</v>
      </c>
      <c r="U10" s="146" t="s">
        <v>7</v>
      </c>
      <c r="V10" s="158" t="s">
        <v>814</v>
      </c>
      <c r="W10" s="158" t="s">
        <v>815</v>
      </c>
      <c r="X10" s="146">
        <v>35</v>
      </c>
      <c r="Y10" s="158" t="s">
        <v>94</v>
      </c>
      <c r="Z10" s="158" t="s">
        <v>94</v>
      </c>
      <c r="AA10" s="146" t="s">
        <v>108</v>
      </c>
      <c r="AB10" s="146">
        <v>40</v>
      </c>
      <c r="AC10" s="146" t="s">
        <v>549</v>
      </c>
      <c r="AD10" s="158" t="s">
        <v>815</v>
      </c>
      <c r="AE10" s="146" t="s">
        <v>810</v>
      </c>
      <c r="AF10" s="146" t="s">
        <v>270</v>
      </c>
      <c r="AG10" s="146" t="s">
        <v>94</v>
      </c>
      <c r="AH10" s="158">
        <v>5.48</v>
      </c>
      <c r="AI10" s="158">
        <v>40</v>
      </c>
      <c r="AJ10" s="158">
        <v>42.92</v>
      </c>
      <c r="AK10" s="146" t="s">
        <v>618</v>
      </c>
      <c r="AL10" s="146" t="s">
        <v>623</v>
      </c>
      <c r="AT10" s="25"/>
      <c r="AU10" s="25"/>
      <c r="AV10" s="25"/>
      <c r="AW10" s="25"/>
      <c r="BA10" s="25"/>
      <c r="BB10" s="25"/>
      <c r="BC10" s="25"/>
      <c r="BD10" s="25"/>
      <c r="BE10" s="25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</row>
    <row r="11" spans="1:117" ht="15" x14ac:dyDescent="0.25">
      <c r="A11" t="s">
        <v>176</v>
      </c>
      <c r="B11" t="s">
        <v>187</v>
      </c>
      <c r="C11" t="s">
        <v>198</v>
      </c>
      <c r="E11" s="152"/>
      <c r="F11" s="152" t="s">
        <v>563</v>
      </c>
      <c r="G11" s="153">
        <v>45189</v>
      </c>
      <c r="H11" s="154" t="s">
        <v>564</v>
      </c>
      <c r="I11" s="154" t="s">
        <v>85</v>
      </c>
      <c r="J11" s="154" t="s">
        <v>85</v>
      </c>
      <c r="K11" s="152" t="s">
        <v>40</v>
      </c>
      <c r="L11" s="152" t="s">
        <v>94</v>
      </c>
      <c r="M11" s="152" t="s">
        <v>7</v>
      </c>
      <c r="N11" s="152" t="s">
        <v>7</v>
      </c>
      <c r="O11" s="152" t="s">
        <v>607</v>
      </c>
      <c r="S11" s="147">
        <v>45189</v>
      </c>
      <c r="T11" s="158" t="s">
        <v>564</v>
      </c>
      <c r="U11" s="146" t="s">
        <v>7</v>
      </c>
      <c r="V11" s="158" t="s">
        <v>816</v>
      </c>
      <c r="W11" s="158" t="s">
        <v>817</v>
      </c>
      <c r="X11" s="146">
        <v>30</v>
      </c>
      <c r="Y11" s="158" t="s">
        <v>94</v>
      </c>
      <c r="Z11" s="158" t="s">
        <v>94</v>
      </c>
      <c r="AA11" s="146" t="s">
        <v>87</v>
      </c>
      <c r="AB11" s="146">
        <v>3.9</v>
      </c>
      <c r="AC11" s="146" t="s">
        <v>160</v>
      </c>
      <c r="AD11" s="158" t="s">
        <v>817</v>
      </c>
      <c r="AE11" s="146" t="s">
        <v>7</v>
      </c>
      <c r="AF11" s="146" t="s">
        <v>284</v>
      </c>
      <c r="AG11" s="146" t="s">
        <v>94</v>
      </c>
      <c r="AH11" s="158">
        <v>3.9</v>
      </c>
      <c r="AI11" s="158">
        <v>28.446999999999999</v>
      </c>
      <c r="AJ11" s="158">
        <v>30.506</v>
      </c>
      <c r="AK11" s="146" t="s">
        <v>563</v>
      </c>
      <c r="AL11" s="146" t="s">
        <v>607</v>
      </c>
      <c r="AR11" t="s">
        <v>96</v>
      </c>
      <c r="AS11" t="s">
        <v>188</v>
      </c>
      <c r="AT11" t="s">
        <v>217</v>
      </c>
      <c r="AU11" t="s">
        <v>240</v>
      </c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35"/>
      <c r="BI11" s="25"/>
      <c r="BJ11" s="25"/>
      <c r="BL11" s="3"/>
      <c r="BN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</row>
    <row r="12" spans="1:117" ht="15" x14ac:dyDescent="0.25">
      <c r="A12" t="s">
        <v>161</v>
      </c>
      <c r="B12" t="s">
        <v>92</v>
      </c>
      <c r="C12" t="s">
        <v>182</v>
      </c>
      <c r="E12" s="152"/>
      <c r="F12" s="152" t="s">
        <v>665</v>
      </c>
      <c r="G12" s="153">
        <v>45187</v>
      </c>
      <c r="H12" s="154" t="s">
        <v>666</v>
      </c>
      <c r="I12" s="154" t="s">
        <v>85</v>
      </c>
      <c r="J12" s="154" t="s">
        <v>85</v>
      </c>
      <c r="K12" s="152" t="s">
        <v>40</v>
      </c>
      <c r="L12" s="152" t="s">
        <v>94</v>
      </c>
      <c r="M12" s="152" t="s">
        <v>7</v>
      </c>
      <c r="N12" s="152" t="s">
        <v>7</v>
      </c>
      <c r="O12" s="152" t="s">
        <v>670</v>
      </c>
      <c r="S12" s="147">
        <v>45189</v>
      </c>
      <c r="T12" s="158" t="s">
        <v>596</v>
      </c>
      <c r="U12" s="146" t="s">
        <v>811</v>
      </c>
      <c r="V12" s="158" t="s">
        <v>818</v>
      </c>
      <c r="W12" s="158" t="s">
        <v>819</v>
      </c>
      <c r="X12" s="146">
        <v>10</v>
      </c>
      <c r="Y12" s="158" t="s">
        <v>94</v>
      </c>
      <c r="Z12" s="158" t="s">
        <v>94</v>
      </c>
      <c r="AA12" s="146" t="s">
        <v>108</v>
      </c>
      <c r="AB12" s="146">
        <v>18.600000000000001</v>
      </c>
      <c r="AC12" s="146" t="s">
        <v>160</v>
      </c>
      <c r="AD12" s="158" t="s">
        <v>820</v>
      </c>
      <c r="AE12" s="146" t="s">
        <v>7</v>
      </c>
      <c r="AF12" s="146" t="s">
        <v>284</v>
      </c>
      <c r="AG12" s="146" t="s">
        <v>94</v>
      </c>
      <c r="AH12" s="158">
        <v>2.548</v>
      </c>
      <c r="AI12" s="158">
        <v>18.600000000000001</v>
      </c>
      <c r="AJ12" s="158">
        <v>19.957999999999998</v>
      </c>
      <c r="AK12" s="146" t="s">
        <v>595</v>
      </c>
      <c r="AL12" s="146" t="s">
        <v>601</v>
      </c>
      <c r="AR12" s="149"/>
      <c r="AS12"/>
      <c r="AT12" s="149"/>
      <c r="AU12" s="149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I12" s="25"/>
      <c r="BJ12" s="25"/>
      <c r="BL12" s="3"/>
      <c r="BN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</row>
    <row r="13" spans="1:117" ht="15" x14ac:dyDescent="0.25">
      <c r="A13" t="s">
        <v>150</v>
      </c>
      <c r="B13" t="s">
        <v>42</v>
      </c>
      <c r="C13" t="s">
        <v>181</v>
      </c>
      <c r="E13" s="152"/>
      <c r="F13" s="152" t="s">
        <v>659</v>
      </c>
      <c r="G13" s="153">
        <v>45188</v>
      </c>
      <c r="H13" s="154" t="s">
        <v>660</v>
      </c>
      <c r="I13" s="154" t="s">
        <v>85</v>
      </c>
      <c r="J13" s="154" t="s">
        <v>85</v>
      </c>
      <c r="K13" s="152" t="s">
        <v>37</v>
      </c>
      <c r="L13" s="152" t="s">
        <v>94</v>
      </c>
      <c r="M13" s="152" t="s">
        <v>7</v>
      </c>
      <c r="N13" s="152" t="s">
        <v>7</v>
      </c>
      <c r="O13" s="152" t="s">
        <v>664</v>
      </c>
      <c r="S13" s="147">
        <v>45189</v>
      </c>
      <c r="T13" s="158" t="s">
        <v>613</v>
      </c>
      <c r="U13" s="146" t="s">
        <v>807</v>
      </c>
      <c r="V13" s="158" t="s">
        <v>808</v>
      </c>
      <c r="W13" s="158" t="s">
        <v>552</v>
      </c>
      <c r="X13" s="146">
        <v>50</v>
      </c>
      <c r="Y13" s="158" t="s">
        <v>94</v>
      </c>
      <c r="Z13" s="158" t="s">
        <v>94</v>
      </c>
      <c r="AA13" s="146" t="s">
        <v>108</v>
      </c>
      <c r="AB13" s="146">
        <v>21.3</v>
      </c>
      <c r="AC13" s="146" t="s">
        <v>160</v>
      </c>
      <c r="AD13" s="158" t="s">
        <v>552</v>
      </c>
      <c r="AE13" s="146" t="s">
        <v>7</v>
      </c>
      <c r="AF13" s="146" t="s">
        <v>270</v>
      </c>
      <c r="AG13" s="146" t="s">
        <v>94</v>
      </c>
      <c r="AH13" s="158">
        <v>2.9180000000000001</v>
      </c>
      <c r="AI13" s="158">
        <v>21.3</v>
      </c>
      <c r="AJ13" s="158">
        <v>22.855</v>
      </c>
      <c r="AK13" s="146" t="s">
        <v>612</v>
      </c>
      <c r="AL13" s="146" t="s">
        <v>617</v>
      </c>
      <c r="AO13" s="25"/>
      <c r="AR13" s="25"/>
      <c r="AS13" s="25"/>
      <c r="AT13" s="25"/>
      <c r="AU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L13" s="3"/>
      <c r="BM13" s="3"/>
      <c r="BN13" s="3"/>
      <c r="BO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</row>
    <row r="14" spans="1:117" ht="15" x14ac:dyDescent="0.25">
      <c r="A14" t="s">
        <v>65</v>
      </c>
      <c r="B14" t="s">
        <v>196</v>
      </c>
      <c r="C14" t="s">
        <v>192</v>
      </c>
      <c r="E14" s="152"/>
      <c r="F14" s="152" t="s">
        <v>612</v>
      </c>
      <c r="G14" s="153">
        <v>45189</v>
      </c>
      <c r="H14" s="154" t="s">
        <v>613</v>
      </c>
      <c r="I14" s="154" t="s">
        <v>85</v>
      </c>
      <c r="J14" s="154" t="s">
        <v>614</v>
      </c>
      <c r="K14" s="152" t="s">
        <v>37</v>
      </c>
      <c r="L14" s="152" t="s">
        <v>94</v>
      </c>
      <c r="M14" s="152" t="s">
        <v>158</v>
      </c>
      <c r="N14" s="152" t="s">
        <v>7</v>
      </c>
      <c r="O14" s="152" t="s">
        <v>617</v>
      </c>
      <c r="S14" s="147">
        <v>45188</v>
      </c>
      <c r="T14" s="158" t="s">
        <v>660</v>
      </c>
      <c r="U14" s="146" t="s">
        <v>7</v>
      </c>
      <c r="V14" s="158" t="s">
        <v>94</v>
      </c>
      <c r="W14" s="158" t="s">
        <v>478</v>
      </c>
      <c r="X14" s="146"/>
      <c r="Y14" s="158" t="s">
        <v>94</v>
      </c>
      <c r="Z14" s="158" t="s">
        <v>94</v>
      </c>
      <c r="AA14" s="146" t="s">
        <v>108</v>
      </c>
      <c r="AB14" s="146">
        <v>8</v>
      </c>
      <c r="AC14" s="146" t="s">
        <v>160</v>
      </c>
      <c r="AD14" s="158" t="s">
        <v>478</v>
      </c>
      <c r="AE14" s="146" t="s">
        <v>7</v>
      </c>
      <c r="AF14" s="146" t="s">
        <v>284</v>
      </c>
      <c r="AG14" s="146" t="s">
        <v>94</v>
      </c>
      <c r="AH14" s="158">
        <v>1.0960000000000001</v>
      </c>
      <c r="AI14" s="158">
        <v>8</v>
      </c>
      <c r="AJ14" s="158">
        <v>8.5679999999999996</v>
      </c>
      <c r="AK14" s="146" t="s">
        <v>659</v>
      </c>
      <c r="AL14" s="146" t="s">
        <v>664</v>
      </c>
      <c r="AP14" s="25"/>
      <c r="AU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L14" s="3"/>
      <c r="BM14" s="3"/>
      <c r="BN14" s="3"/>
      <c r="BO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</row>
    <row r="15" spans="1:117" ht="30" x14ac:dyDescent="0.25">
      <c r="A15" t="s">
        <v>58</v>
      </c>
      <c r="B15" t="s">
        <v>197</v>
      </c>
      <c r="C15" t="s">
        <v>180</v>
      </c>
      <c r="E15" s="152"/>
      <c r="F15" s="152" t="s">
        <v>624</v>
      </c>
      <c r="G15" s="153">
        <v>45189</v>
      </c>
      <c r="H15" s="154" t="s">
        <v>619</v>
      </c>
      <c r="I15" s="154" t="s">
        <v>85</v>
      </c>
      <c r="J15" s="154" t="s">
        <v>620</v>
      </c>
      <c r="K15" s="152" t="s">
        <v>37</v>
      </c>
      <c r="L15" s="152" t="s">
        <v>94</v>
      </c>
      <c r="M15" s="152" t="s">
        <v>7</v>
      </c>
      <c r="N15" s="152" t="s">
        <v>159</v>
      </c>
      <c r="O15" s="152" t="s">
        <v>626</v>
      </c>
      <c r="S15" s="147">
        <v>45188</v>
      </c>
      <c r="T15" s="158" t="s">
        <v>655</v>
      </c>
      <c r="U15" s="146" t="s">
        <v>7</v>
      </c>
      <c r="V15" s="158" t="s">
        <v>94</v>
      </c>
      <c r="W15" s="158" t="s">
        <v>482</v>
      </c>
      <c r="X15" s="146"/>
      <c r="Y15" s="158" t="s">
        <v>94</v>
      </c>
      <c r="Z15" s="158" t="s">
        <v>94</v>
      </c>
      <c r="AA15" s="146" t="s">
        <v>87</v>
      </c>
      <c r="AB15" s="146">
        <v>0.6</v>
      </c>
      <c r="AC15" s="146" t="s">
        <v>551</v>
      </c>
      <c r="AD15" s="158" t="s">
        <v>482</v>
      </c>
      <c r="AE15" s="146" t="s">
        <v>7</v>
      </c>
      <c r="AF15" s="146" t="s">
        <v>112</v>
      </c>
      <c r="AG15" s="146" t="s">
        <v>553</v>
      </c>
      <c r="AH15" s="158">
        <v>0.6</v>
      </c>
      <c r="AI15" s="158">
        <v>4.3819999999999997</v>
      </c>
      <c r="AJ15" s="158">
        <v>4.6909999999999998</v>
      </c>
      <c r="AK15" s="146" t="s">
        <v>654</v>
      </c>
      <c r="AL15" s="146" t="s">
        <v>658</v>
      </c>
      <c r="AQ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L15" s="3"/>
      <c r="BM15" s="3"/>
      <c r="BN15" s="3"/>
      <c r="BO15" s="3"/>
      <c r="BP15" s="3"/>
      <c r="BQ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</row>
    <row r="16" spans="1:117" ht="30" x14ac:dyDescent="0.25">
      <c r="A16" t="s">
        <v>89</v>
      </c>
      <c r="B16" t="s">
        <v>149</v>
      </c>
      <c r="C16" t="s">
        <v>156</v>
      </c>
      <c r="E16" s="152"/>
      <c r="F16" s="152" t="s">
        <v>618</v>
      </c>
      <c r="G16" s="153">
        <v>45189</v>
      </c>
      <c r="H16" s="154" t="s">
        <v>619</v>
      </c>
      <c r="I16" s="154" t="s">
        <v>85</v>
      </c>
      <c r="J16" s="154" t="s">
        <v>620</v>
      </c>
      <c r="K16" s="152" t="s">
        <v>37</v>
      </c>
      <c r="L16" s="152" t="s">
        <v>94</v>
      </c>
      <c r="M16" s="152" t="s">
        <v>7</v>
      </c>
      <c r="N16" s="152" t="s">
        <v>159</v>
      </c>
      <c r="O16" s="152" t="s">
        <v>623</v>
      </c>
      <c r="S16" s="147">
        <v>45187</v>
      </c>
      <c r="T16" s="158" t="s">
        <v>666</v>
      </c>
      <c r="U16" s="146" t="s">
        <v>7</v>
      </c>
      <c r="V16" s="158" t="s">
        <v>94</v>
      </c>
      <c r="W16" s="158" t="s">
        <v>478</v>
      </c>
      <c r="X16" s="146"/>
      <c r="Y16" s="158" t="s">
        <v>94</v>
      </c>
      <c r="Z16" s="158" t="s">
        <v>94</v>
      </c>
      <c r="AA16" s="146" t="s">
        <v>108</v>
      </c>
      <c r="AB16" s="146">
        <v>3.85</v>
      </c>
      <c r="AC16" s="146" t="s">
        <v>160</v>
      </c>
      <c r="AD16" s="158" t="s">
        <v>478</v>
      </c>
      <c r="AE16" s="146" t="s">
        <v>7</v>
      </c>
      <c r="AF16" s="146" t="s">
        <v>270</v>
      </c>
      <c r="AG16" s="146" t="s">
        <v>94</v>
      </c>
      <c r="AH16" s="158">
        <v>0.52700000000000002</v>
      </c>
      <c r="AI16" s="158">
        <v>3.85</v>
      </c>
      <c r="AJ16" s="158">
        <v>4.1269999999999998</v>
      </c>
      <c r="AK16" s="146" t="s">
        <v>665</v>
      </c>
      <c r="AL16" s="146" t="s">
        <v>670</v>
      </c>
      <c r="AO16" s="25"/>
      <c r="AQ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L16" s="3"/>
      <c r="BM16" s="3"/>
      <c r="BN16" s="3"/>
      <c r="BO16" s="3"/>
      <c r="BP16" s="3"/>
      <c r="BQ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</row>
    <row r="17" spans="1:117" ht="15" x14ac:dyDescent="0.25">
      <c r="A17" t="s">
        <v>122</v>
      </c>
      <c r="C17" t="s">
        <v>212</v>
      </c>
      <c r="N17" s="25"/>
      <c r="O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Q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L17" s="3"/>
      <c r="BM17" s="3"/>
      <c r="BN17" s="3"/>
      <c r="BO17" s="3"/>
      <c r="BP17" s="3"/>
      <c r="BQ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</row>
    <row r="18" spans="1:117" ht="15" x14ac:dyDescent="0.25">
      <c r="A18" t="s">
        <v>162</v>
      </c>
      <c r="C18" t="s">
        <v>213</v>
      </c>
      <c r="O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L18" s="3"/>
      <c r="BM18" s="3"/>
      <c r="BN18" s="3"/>
      <c r="BO18" s="3"/>
      <c r="BP18" s="3"/>
      <c r="BQ18" s="3"/>
      <c r="BR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</row>
    <row r="19" spans="1:117" ht="15" x14ac:dyDescent="0.25">
      <c r="A19" t="s">
        <v>93</v>
      </c>
      <c r="C19" t="s">
        <v>214</v>
      </c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U19" s="3"/>
      <c r="BW19" s="3"/>
      <c r="BX19" s="3"/>
      <c r="BY19" s="3"/>
      <c r="BZ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</row>
    <row r="20" spans="1:117" ht="15" x14ac:dyDescent="0.25">
      <c r="A20" t="s">
        <v>222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CD20" s="3"/>
      <c r="CE20" s="3"/>
      <c r="CH20" s="3"/>
      <c r="CI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</row>
    <row r="21" spans="1:117" ht="15" x14ac:dyDescent="0.25">
      <c r="A21" t="s">
        <v>183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CD21" s="3"/>
      <c r="CE21" s="3"/>
      <c r="CH21" s="3"/>
      <c r="CI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</row>
    <row r="22" spans="1:117" ht="15" x14ac:dyDescent="0.25">
      <c r="A22" t="s">
        <v>184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CI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</row>
    <row r="23" spans="1:117" ht="15" x14ac:dyDescent="0.25">
      <c r="A23" t="s">
        <v>223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CI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</row>
    <row r="24" spans="1:117" ht="15" x14ac:dyDescent="0.25">
      <c r="A24" t="s">
        <v>49</v>
      </c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CI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</row>
    <row r="25" spans="1:117" ht="15" x14ac:dyDescent="0.25">
      <c r="A25" t="s">
        <v>149</v>
      </c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CI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</row>
    <row r="26" spans="1:117" ht="13.5" x14ac:dyDescent="0.25"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CI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</row>
    <row r="27" spans="1:117" ht="13.5" x14ac:dyDescent="0.25"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CJ27" s="3"/>
      <c r="CK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</row>
    <row r="28" spans="1:117" ht="13.5" x14ac:dyDescent="0.25"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CJ28" s="3"/>
      <c r="CK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</row>
    <row r="29" spans="1:117" ht="13.5" x14ac:dyDescent="0.25"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CJ29" s="3"/>
      <c r="CK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</row>
    <row r="30" spans="1:117" ht="13.5" x14ac:dyDescent="0.25"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CJ30" s="3"/>
      <c r="CK30" s="3"/>
      <c r="CM30" s="3"/>
      <c r="CN30" s="3"/>
      <c r="CO30" s="3"/>
      <c r="CP30" s="3"/>
      <c r="CQ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</row>
    <row r="31" spans="1:117" ht="13.5" x14ac:dyDescent="0.25"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CJ31" s="3"/>
      <c r="CK31" s="3"/>
      <c r="CM31" s="3"/>
      <c r="CN31" s="3"/>
      <c r="CO31" s="3"/>
      <c r="CP31" s="3"/>
      <c r="CQ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</row>
    <row r="32" spans="1:117" ht="15" x14ac:dyDescent="0.25">
      <c r="J32" s="118" t="s">
        <v>144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CJ32" s="3"/>
      <c r="CK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</row>
    <row r="33" spans="10:117" ht="15" x14ac:dyDescent="0.25">
      <c r="J33" s="118" t="s">
        <v>187</v>
      </c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CJ33" s="3"/>
      <c r="CK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</row>
    <row r="34" spans="10:117" ht="15" x14ac:dyDescent="0.25">
      <c r="J34" s="118" t="s">
        <v>92</v>
      </c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CK34" s="3"/>
      <c r="CL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</row>
    <row r="35" spans="10:117" ht="15" x14ac:dyDescent="0.25">
      <c r="J35" s="118" t="s">
        <v>42</v>
      </c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CK35" s="3"/>
      <c r="CL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</row>
    <row r="36" spans="10:117" ht="15" x14ac:dyDescent="0.25">
      <c r="J36" s="118" t="s">
        <v>196</v>
      </c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CK36" s="3"/>
      <c r="CL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</row>
    <row r="37" spans="10:117" ht="15" x14ac:dyDescent="0.25">
      <c r="J37" s="118" t="s">
        <v>197</v>
      </c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CK37" s="3"/>
      <c r="CL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</row>
    <row r="38" spans="10:117" ht="15" x14ac:dyDescent="0.25">
      <c r="J38" s="119" t="s">
        <v>149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CK38" s="3"/>
      <c r="CL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</row>
    <row r="39" spans="10:117" ht="13.5" x14ac:dyDescent="0.25"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CK39" s="3"/>
      <c r="CL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</row>
    <row r="40" spans="10:117" ht="13.5" x14ac:dyDescent="0.25"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CK40" s="3"/>
      <c r="CL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</row>
    <row r="41" spans="10:117" ht="13.5" x14ac:dyDescent="0.25"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CK41" s="3"/>
      <c r="CL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</row>
    <row r="42" spans="10:117" ht="13.5" x14ac:dyDescent="0.25"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CK42" s="3"/>
      <c r="CL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</row>
    <row r="43" spans="10:117" ht="13.5" x14ac:dyDescent="0.25"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CK43" s="3"/>
      <c r="CL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</row>
    <row r="44" spans="10:117" ht="13.5" x14ac:dyDescent="0.25"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CK44" s="3"/>
      <c r="CL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</row>
    <row r="45" spans="10:117" ht="13.5" x14ac:dyDescent="0.25"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CK45" s="3"/>
      <c r="CL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</row>
    <row r="46" spans="10:117" ht="13.5" x14ac:dyDescent="0.25"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CK46" s="3"/>
      <c r="CL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</row>
    <row r="47" spans="10:117" ht="13.5" x14ac:dyDescent="0.25"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CK47" s="3"/>
      <c r="CL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</row>
    <row r="48" spans="10:117" ht="13.5" x14ac:dyDescent="0.25"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CK48" s="3"/>
      <c r="CL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</row>
    <row r="49" spans="16:117" ht="13.5" x14ac:dyDescent="0.25"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CK49" s="3"/>
      <c r="CL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</row>
    <row r="50" spans="16:117" ht="13.5" x14ac:dyDescent="0.25"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CK50" s="3"/>
      <c r="CL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</row>
    <row r="51" spans="16:117" ht="15.75" customHeight="1" x14ac:dyDescent="0.25"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CK51" s="3"/>
      <c r="CL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</row>
    <row r="52" spans="16:117" ht="15.75" customHeight="1" x14ac:dyDescent="0.25"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CK52" s="3"/>
      <c r="CL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</row>
    <row r="53" spans="16:117" ht="15.75" customHeight="1" x14ac:dyDescent="0.25"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CK53" s="3"/>
      <c r="CL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</row>
    <row r="54" spans="16:117" ht="15.75" customHeight="1" x14ac:dyDescent="0.25"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S54" s="25"/>
      <c r="AT54" s="25"/>
      <c r="AU54" s="25"/>
      <c r="AV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CK54" s="3"/>
      <c r="CL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</row>
    <row r="55" spans="16:117" ht="15.75" customHeight="1" x14ac:dyDescent="0.25"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S55" s="25"/>
      <c r="AT55" s="25"/>
      <c r="AU55" s="25"/>
      <c r="AV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CK55" s="3"/>
      <c r="CL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</row>
    <row r="56" spans="16:117" ht="15.75" customHeight="1" x14ac:dyDescent="0.25"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S56" s="25"/>
      <c r="AT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CK56" s="3"/>
      <c r="CL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</row>
    <row r="57" spans="16:117" ht="15.75" customHeight="1" x14ac:dyDescent="0.25"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T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CK57" s="3"/>
      <c r="CL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</row>
    <row r="58" spans="16:117" ht="15.75" customHeight="1" x14ac:dyDescent="0.25"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Y58" s="25"/>
      <c r="BB58" s="25"/>
      <c r="BC58" s="25"/>
      <c r="BD58" s="25"/>
      <c r="BE58" s="25"/>
      <c r="BF58" s="25"/>
      <c r="BG58" s="25"/>
      <c r="BH58" s="25"/>
      <c r="BI58" s="25"/>
      <c r="BJ58" s="25"/>
      <c r="CK58" s="3"/>
      <c r="CL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</row>
    <row r="59" spans="16:117" ht="13.5" x14ac:dyDescent="0.25"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Y59" s="25"/>
      <c r="BB59" s="25"/>
      <c r="BC59" s="25"/>
      <c r="BD59" s="25"/>
      <c r="BE59" s="25"/>
      <c r="BF59" s="25"/>
      <c r="BG59" s="25"/>
      <c r="BH59" s="25"/>
      <c r="BI59" s="25"/>
      <c r="BJ59" s="25"/>
      <c r="CK59" s="3"/>
      <c r="CL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</row>
    <row r="60" spans="16:117" ht="13.5" x14ac:dyDescent="0.25"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Y60" s="25"/>
      <c r="BB60" s="25"/>
      <c r="BC60" s="25"/>
      <c r="BD60" s="25"/>
      <c r="BE60" s="25"/>
      <c r="BF60" s="25"/>
      <c r="BG60" s="25"/>
      <c r="CK60" s="3"/>
      <c r="CL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</row>
    <row r="61" spans="16:117" ht="13.5" x14ac:dyDescent="0.25"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Y61" s="25"/>
      <c r="BB61" s="25"/>
      <c r="BF61" s="25"/>
      <c r="BG61" s="25"/>
      <c r="CK61" s="3"/>
      <c r="CL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</row>
    <row r="62" spans="16:117" ht="13.5" x14ac:dyDescent="0.25"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Y62" s="25"/>
      <c r="BF62" s="25"/>
      <c r="BG62" s="25"/>
      <c r="CK62" s="3"/>
      <c r="CL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</row>
    <row r="63" spans="16:117" ht="13.5" x14ac:dyDescent="0.25"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BF63" s="25"/>
      <c r="BG63" s="25"/>
      <c r="CK63" s="3"/>
      <c r="CL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</row>
    <row r="64" spans="16:117" ht="13.5" x14ac:dyDescent="0.25"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CK64" s="3"/>
      <c r="CL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</row>
    <row r="65" spans="16:117" ht="13.5" x14ac:dyDescent="0.25">
      <c r="P65" s="25"/>
      <c r="Q65" s="25"/>
      <c r="R65" s="25"/>
      <c r="AM65" s="25"/>
      <c r="AN65" s="25"/>
      <c r="AO65" s="25"/>
      <c r="CK65" s="3"/>
      <c r="CL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</row>
    <row r="66" spans="16:117" ht="13.5" x14ac:dyDescent="0.25">
      <c r="P66" s="25"/>
      <c r="Q66" s="25"/>
      <c r="R66" s="25"/>
      <c r="AM66" s="25"/>
      <c r="AN66" s="25"/>
      <c r="AO66" s="25"/>
      <c r="CK66" s="3"/>
      <c r="CL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</row>
    <row r="67" spans="16:117" ht="13.5" x14ac:dyDescent="0.25"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</row>
    <row r="68" spans="16:117" ht="13.5" x14ac:dyDescent="0.25"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</row>
    <row r="69" spans="16:117" ht="13.5" x14ac:dyDescent="0.25"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</row>
    <row r="70" spans="16:117" ht="13.5" x14ac:dyDescent="0.25"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</row>
    <row r="71" spans="16:117" ht="13.5" x14ac:dyDescent="0.25"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</row>
    <row r="72" spans="16:117" ht="13.5" x14ac:dyDescent="0.25"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</row>
    <row r="73" spans="16:117" ht="13.5" x14ac:dyDescent="0.25"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</row>
  </sheetData>
  <phoneticPr fontId="13" type="noConversion"/>
  <conditionalFormatting sqref="J3:O3">
    <cfRule type="expression" dxfId="79" priority="19">
      <formula>$J$3&lt;&gt;0</formula>
    </cfRule>
  </conditionalFormatting>
  <conditionalFormatting sqref="V1">
    <cfRule type="iconSet" priority="5">
      <iconSet showValue="0">
        <cfvo type="percent" val="0"/>
        <cfvo type="num" val="0"/>
        <cfvo type="num" val="1"/>
      </iconSet>
    </cfRule>
  </conditionalFormatting>
  <conditionalFormatting sqref="I1">
    <cfRule type="iconSet" priority="2">
      <iconSet showValue="0">
        <cfvo type="percent" val="0"/>
        <cfvo type="num" val="0"/>
        <cfvo type="num" val="1"/>
      </iconSet>
    </cfRule>
  </conditionalFormatting>
  <conditionalFormatting sqref="AS1">
    <cfRule type="iconSet" priority="1">
      <iconSet showValue="0">
        <cfvo type="percent" val="0"/>
        <cfvo type="num" val="0"/>
        <cfvo type="num" val="1"/>
      </iconSet>
    </cfRule>
  </conditionalFormatting>
  <dataValidations count="2">
    <dataValidation type="list" allowBlank="1" showInputMessage="1" sqref="E6:E16" xr:uid="{25DE6085-899A-4425-B8F3-71B06B42C46B}">
      <formula1>" --,【删除】,【隐藏】"</formula1>
    </dataValidation>
    <dataValidation type="list" allowBlank="1" showInputMessage="1" sqref="K6:K16" xr:uid="{1B9D6445-5A6C-4D62-8F8A-BAE49E37F858}">
      <formula1>dd_结构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>
                  <from>
                    <xdr:col>6</xdr:col>
                    <xdr:colOff>800100</xdr:colOff>
                    <xdr:row>2</xdr:row>
                    <xdr:rowOff>619125</xdr:rowOff>
                  </from>
                  <to>
                    <xdr:col>7</xdr:col>
                    <xdr:colOff>1952625</xdr:colOff>
                    <xdr:row>3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BI52"/>
  <sheetViews>
    <sheetView zoomScale="85" zoomScaleNormal="85" workbookViewId="0">
      <selection activeCell="Q9" sqref="Q9"/>
    </sheetView>
  </sheetViews>
  <sheetFormatPr defaultColWidth="8.88671875" defaultRowHeight="20.100000000000001" customHeight="1" x14ac:dyDescent="0.25"/>
  <cols>
    <col min="1" max="1" width="12.44140625" style="27" bestFit="1" customWidth="1"/>
    <col min="2" max="2" width="13.33203125" style="27" bestFit="1" customWidth="1"/>
    <col min="3" max="3" width="15.44140625" style="27" bestFit="1" customWidth="1"/>
    <col min="4" max="4" width="35.88671875" style="27" customWidth="1"/>
    <col min="5" max="5" width="9.6640625" style="27" bestFit="1" customWidth="1"/>
    <col min="6" max="6" width="18.109375" style="27" bestFit="1" customWidth="1"/>
    <col min="7" max="7" width="8.88671875" style="27" bestFit="1" customWidth="1"/>
    <col min="8" max="8" width="9" style="27" bestFit="1" customWidth="1"/>
    <col min="9" max="10" width="9.33203125" style="27" bestFit="1" customWidth="1"/>
    <col min="11" max="11" width="19.44140625" style="27" bestFit="1" customWidth="1"/>
    <col min="12" max="15" width="2.21875" style="27" customWidth="1"/>
    <col min="16" max="16" width="17.88671875" style="27" customWidth="1"/>
    <col min="17" max="17" width="36.6640625" style="27" bestFit="1" customWidth="1"/>
    <col min="18" max="18" width="9" style="27" bestFit="1" customWidth="1"/>
    <col min="19" max="19" width="10.44140625" style="27" bestFit="1" customWidth="1"/>
    <col min="20" max="20" width="9" style="27" bestFit="1" customWidth="1"/>
    <col min="21" max="21" width="9" style="1" bestFit="1" customWidth="1"/>
    <col min="22" max="22" width="9" style="27" bestFit="1" customWidth="1"/>
    <col min="23" max="24" width="9" style="1" bestFit="1" customWidth="1"/>
    <col min="25" max="25" width="10.44140625" style="1" bestFit="1" customWidth="1"/>
    <col min="26" max="26" width="4.33203125" style="27" bestFit="1" customWidth="1"/>
    <col min="27" max="27" width="8.5546875" style="27" bestFit="1" customWidth="1"/>
    <col min="28" max="28" width="9.5546875" style="1" bestFit="1" customWidth="1"/>
    <col min="29" max="29" width="15.33203125" style="1" bestFit="1" customWidth="1"/>
    <col min="30" max="30" width="7.6640625" style="27" bestFit="1" customWidth="1"/>
    <col min="31" max="31" width="6.77734375" style="27" bestFit="1" customWidth="1"/>
    <col min="32" max="33" width="7" style="27" bestFit="1" customWidth="1"/>
    <col min="34" max="34" width="13.33203125" style="1" bestFit="1" customWidth="1"/>
    <col min="35" max="35" width="19.44140625" style="1" bestFit="1" customWidth="1"/>
    <col min="36" max="38" width="7.88671875" style="57" customWidth="1"/>
    <col min="39" max="39" width="7.88671875" style="27" customWidth="1"/>
    <col min="40" max="40" width="33.109375" style="27" customWidth="1"/>
    <col min="41" max="41" width="19.33203125" style="27" bestFit="1" customWidth="1"/>
    <col min="42" max="42" width="13.21875" style="27" bestFit="1" customWidth="1"/>
    <col min="43" max="43" width="9.33203125" style="27" bestFit="1" customWidth="1"/>
    <col min="44" max="44" width="7.6640625" style="27" bestFit="1" customWidth="1"/>
    <col min="45" max="46" width="12" style="27" bestFit="1" customWidth="1"/>
    <col min="47" max="47" width="11.5546875" style="27" bestFit="1" customWidth="1"/>
    <col min="48" max="48" width="14.44140625" style="27" customWidth="1"/>
    <col min="49" max="49" width="11.5546875" style="27" bestFit="1" customWidth="1"/>
    <col min="50" max="50" width="10.77734375" style="27" bestFit="1" customWidth="1"/>
    <col min="51" max="52" width="9.33203125" style="27" bestFit="1" customWidth="1"/>
    <col min="53" max="53" width="9.88671875" style="27" customWidth="1"/>
    <col min="54" max="56" width="4.109375" style="57" customWidth="1"/>
    <col min="57" max="57" width="4.109375" style="27" customWidth="1"/>
    <col min="58" max="58" width="31.5546875" style="27" bestFit="1" customWidth="1"/>
    <col min="59" max="59" width="15.6640625" style="27" bestFit="1" customWidth="1"/>
    <col min="60" max="60" width="10.44140625" style="27" customWidth="1"/>
    <col min="61" max="61" width="11.5546875" style="27" customWidth="1"/>
    <col min="62" max="62" width="12.44140625" style="27" bestFit="1" customWidth="1"/>
    <col min="63" max="63" width="10.77734375" style="27" bestFit="1" customWidth="1"/>
    <col min="64" max="64" width="10.33203125" style="27" bestFit="1" customWidth="1"/>
    <col min="65" max="65" width="10.77734375" style="27" bestFit="1" customWidth="1"/>
    <col min="66" max="66" width="13.109375" style="27" bestFit="1" customWidth="1"/>
    <col min="67" max="67" width="12.6640625" style="27" bestFit="1" customWidth="1"/>
    <col min="68" max="68" width="35.77734375" style="27" customWidth="1"/>
    <col min="69" max="69" width="15.6640625" style="27" customWidth="1"/>
    <col min="70" max="70" width="15.21875" style="27" customWidth="1"/>
    <col min="71" max="71" width="15.6640625" style="27" customWidth="1"/>
    <col min="72" max="73" width="15.5546875" style="27" customWidth="1"/>
    <col min="74" max="16384" width="8.88671875" style="27"/>
  </cols>
  <sheetData>
    <row r="1" spans="1:61" s="57" customFormat="1" ht="49.5" x14ac:dyDescent="0.55000000000000004">
      <c r="A1" s="56" t="s">
        <v>467</v>
      </c>
      <c r="C1" s="67" t="s">
        <v>472</v>
      </c>
      <c r="F1" s="66" t="s">
        <v>464</v>
      </c>
      <c r="G1" s="66" t="s">
        <v>92</v>
      </c>
      <c r="H1" s="66" t="s">
        <v>42</v>
      </c>
      <c r="I1" s="134" t="s">
        <v>473</v>
      </c>
      <c r="P1" s="56" t="s">
        <v>438</v>
      </c>
      <c r="Q1" s="67" t="s">
        <v>471</v>
      </c>
      <c r="R1" s="67"/>
      <c r="U1" s="66" t="s">
        <v>148</v>
      </c>
      <c r="V1" s="66" t="s">
        <v>90</v>
      </c>
      <c r="W1" s="66" t="s">
        <v>54</v>
      </c>
      <c r="Z1" s="66" t="s">
        <v>271</v>
      </c>
      <c r="AA1" s="66" t="s">
        <v>92</v>
      </c>
      <c r="AB1" s="66" t="s">
        <v>65</v>
      </c>
      <c r="AN1" s="56" t="s">
        <v>476</v>
      </c>
      <c r="AO1" s="67" t="s">
        <v>469</v>
      </c>
      <c r="AT1" s="66" t="s">
        <v>182</v>
      </c>
      <c r="AU1" s="66" t="s">
        <v>181</v>
      </c>
      <c r="AX1" s="66" t="s">
        <v>156</v>
      </c>
      <c r="AY1" s="66" t="s">
        <v>212</v>
      </c>
      <c r="AZ1" s="66" t="s">
        <v>213</v>
      </c>
      <c r="BA1" s="66" t="s">
        <v>214</v>
      </c>
      <c r="BF1" s="56" t="s">
        <v>468</v>
      </c>
      <c r="BG1" s="68" t="s">
        <v>470</v>
      </c>
      <c r="BH1" s="66" t="s">
        <v>217</v>
      </c>
      <c r="BI1" s="66" t="s">
        <v>240</v>
      </c>
    </row>
    <row r="2" spans="1:61" s="58" customFormat="1" ht="75" customHeight="1" x14ac:dyDescent="0.35">
      <c r="A2" s="135" t="s">
        <v>474</v>
      </c>
      <c r="D2" s="75"/>
      <c r="I2" s="75"/>
      <c r="J2" s="75"/>
      <c r="Q2" s="59"/>
      <c r="R2" s="75" t="s">
        <v>289</v>
      </c>
      <c r="S2" s="75" t="s">
        <v>289</v>
      </c>
      <c r="T2" s="75" t="s">
        <v>289</v>
      </c>
      <c r="U2" s="75" t="s">
        <v>289</v>
      </c>
      <c r="V2" s="75" t="s">
        <v>289</v>
      </c>
      <c r="W2" s="75" t="s">
        <v>289</v>
      </c>
      <c r="X2" s="75"/>
      <c r="Y2" s="76"/>
      <c r="Z2" s="75"/>
      <c r="AJ2" s="57"/>
      <c r="AK2" s="57"/>
      <c r="AL2" s="57"/>
      <c r="AU2" s="75"/>
      <c r="AV2" s="75"/>
      <c r="AW2" s="75"/>
      <c r="AX2" s="75"/>
      <c r="AY2" s="75"/>
      <c r="AZ2" s="75"/>
      <c r="BA2" s="75"/>
      <c r="BB2" s="57"/>
      <c r="BC2" s="57"/>
      <c r="BD2" s="57"/>
      <c r="BG2" s="75" t="s">
        <v>289</v>
      </c>
      <c r="BH2" s="75" t="s">
        <v>289</v>
      </c>
      <c r="BI2" s="75" t="s">
        <v>289</v>
      </c>
    </row>
    <row r="3" spans="1:61" s="61" customFormat="1" ht="33" customHeight="1" x14ac:dyDescent="0.25">
      <c r="A3" s="122" t="s">
        <v>464</v>
      </c>
      <c r="B3" s="60" t="s">
        <v>49</v>
      </c>
      <c r="C3" s="60" t="s">
        <v>50</v>
      </c>
      <c r="D3" s="60" t="s">
        <v>96</v>
      </c>
      <c r="E3" s="60" t="s">
        <v>144</v>
      </c>
      <c r="F3" s="60" t="s">
        <v>187</v>
      </c>
      <c r="G3" s="60" t="s">
        <v>92</v>
      </c>
      <c r="H3" s="60" t="s">
        <v>42</v>
      </c>
      <c r="I3" s="60" t="s">
        <v>196</v>
      </c>
      <c r="J3" s="60" t="s">
        <v>197</v>
      </c>
      <c r="K3" s="60" t="s">
        <v>149</v>
      </c>
      <c r="P3" s="60" t="s">
        <v>50</v>
      </c>
      <c r="Q3" s="60" t="s">
        <v>96</v>
      </c>
      <c r="R3" s="60" t="s">
        <v>148</v>
      </c>
      <c r="S3" s="60" t="s">
        <v>90</v>
      </c>
      <c r="T3" s="60" t="s">
        <v>54</v>
      </c>
      <c r="U3" s="60" t="s">
        <v>176</v>
      </c>
      <c r="V3" s="60" t="s">
        <v>161</v>
      </c>
      <c r="W3" s="60" t="s">
        <v>150</v>
      </c>
      <c r="X3" s="60" t="s">
        <v>65</v>
      </c>
      <c r="Y3" s="60" t="s">
        <v>58</v>
      </c>
      <c r="Z3" s="60" t="s">
        <v>89</v>
      </c>
      <c r="AA3" s="60" t="s">
        <v>122</v>
      </c>
      <c r="AB3" s="60" t="s">
        <v>162</v>
      </c>
      <c r="AC3" s="60" t="s">
        <v>93</v>
      </c>
      <c r="AD3" s="60" t="s">
        <v>222</v>
      </c>
      <c r="AE3" s="60" t="s">
        <v>183</v>
      </c>
      <c r="AF3" s="60" t="s">
        <v>184</v>
      </c>
      <c r="AG3" s="60" t="s">
        <v>223</v>
      </c>
      <c r="AH3" s="60" t="s">
        <v>49</v>
      </c>
      <c r="AI3" s="60" t="s">
        <v>149</v>
      </c>
      <c r="AJ3" s="57"/>
      <c r="AK3" s="57"/>
      <c r="AL3" s="57"/>
      <c r="AN3" s="60" t="s">
        <v>96</v>
      </c>
      <c r="AO3" s="60" t="s">
        <v>149</v>
      </c>
      <c r="AP3" s="60" t="s">
        <v>49</v>
      </c>
      <c r="AQ3" s="60" t="s">
        <v>50</v>
      </c>
      <c r="AR3" s="60" t="s">
        <v>216</v>
      </c>
      <c r="AS3" s="60" t="s">
        <v>198</v>
      </c>
      <c r="AT3" s="60" t="s">
        <v>182</v>
      </c>
      <c r="AU3" s="60" t="s">
        <v>181</v>
      </c>
      <c r="AV3" s="60" t="s">
        <v>192</v>
      </c>
      <c r="AW3" s="60" t="s">
        <v>180</v>
      </c>
      <c r="AX3" s="60" t="s">
        <v>156</v>
      </c>
      <c r="AY3" s="60" t="s">
        <v>212</v>
      </c>
      <c r="AZ3" s="60" t="s">
        <v>213</v>
      </c>
      <c r="BA3" s="60" t="s">
        <v>214</v>
      </c>
      <c r="BB3" s="57"/>
      <c r="BC3" s="57"/>
      <c r="BD3" s="57"/>
      <c r="BF3" s="60" t="s">
        <v>96</v>
      </c>
      <c r="BG3" s="60" t="s">
        <v>188</v>
      </c>
      <c r="BH3" s="60" t="s">
        <v>217</v>
      </c>
      <c r="BI3" s="60" t="s">
        <v>240</v>
      </c>
    </row>
    <row r="4" spans="1:61" ht="21" customHeight="1" x14ac:dyDescent="0.25">
      <c r="A4" s="27" t="s">
        <v>464</v>
      </c>
      <c r="B4" s="27" t="s">
        <v>49</v>
      </c>
      <c r="C4" s="132" t="s">
        <v>50</v>
      </c>
      <c r="D4" s="133" t="s">
        <v>96</v>
      </c>
      <c r="E4" s="27" t="s">
        <v>144</v>
      </c>
      <c r="F4" s="27" t="s">
        <v>187</v>
      </c>
      <c r="G4" s="27" t="s">
        <v>92</v>
      </c>
      <c r="H4" s="27" t="s">
        <v>42</v>
      </c>
      <c r="I4" s="27" t="s">
        <v>196</v>
      </c>
      <c r="J4" s="27" t="s">
        <v>197</v>
      </c>
      <c r="K4" s="27" t="s">
        <v>149</v>
      </c>
      <c r="P4" s="127" t="s">
        <v>50</v>
      </c>
      <c r="Q4" s="127" t="s">
        <v>96</v>
      </c>
      <c r="R4" s="127" t="s">
        <v>148</v>
      </c>
      <c r="S4" s="127" t="s">
        <v>90</v>
      </c>
      <c r="T4" s="127" t="s">
        <v>54</v>
      </c>
      <c r="U4" s="127" t="s">
        <v>176</v>
      </c>
      <c r="V4" s="127" t="s">
        <v>161</v>
      </c>
      <c r="W4" s="127" t="s">
        <v>150</v>
      </c>
      <c r="X4" s="127" t="s">
        <v>65</v>
      </c>
      <c r="Y4" s="127" t="s">
        <v>58</v>
      </c>
      <c r="Z4" s="127" t="s">
        <v>89</v>
      </c>
      <c r="AA4" s="127" t="s">
        <v>122</v>
      </c>
      <c r="AB4" s="127" t="s">
        <v>162</v>
      </c>
      <c r="AC4" s="127" t="s">
        <v>93</v>
      </c>
      <c r="AD4" s="127" t="s">
        <v>222</v>
      </c>
      <c r="AE4" s="127" t="s">
        <v>183</v>
      </c>
      <c r="AF4" s="127" t="s">
        <v>184</v>
      </c>
      <c r="AG4" s="127" t="s">
        <v>223</v>
      </c>
      <c r="AH4" s="127" t="s">
        <v>49</v>
      </c>
      <c r="AI4" s="127" t="s">
        <v>149</v>
      </c>
      <c r="AN4" s="61" t="s">
        <v>96</v>
      </c>
      <c r="AO4" s="61" t="s">
        <v>149</v>
      </c>
      <c r="AP4" s="61" t="s">
        <v>49</v>
      </c>
      <c r="AQ4" s="61" t="s">
        <v>50</v>
      </c>
      <c r="AR4" s="61" t="s">
        <v>216</v>
      </c>
      <c r="AS4" s="61" t="s">
        <v>198</v>
      </c>
      <c r="AT4" s="61" t="s">
        <v>182</v>
      </c>
      <c r="AU4" s="61" t="s">
        <v>181</v>
      </c>
      <c r="AV4" s="61" t="s">
        <v>192</v>
      </c>
      <c r="AW4" s="61" t="s">
        <v>180</v>
      </c>
      <c r="AX4" s="61" t="s">
        <v>156</v>
      </c>
      <c r="AY4" s="61" t="s">
        <v>212</v>
      </c>
      <c r="AZ4" s="61" t="s">
        <v>213</v>
      </c>
      <c r="BA4" s="61" t="s">
        <v>214</v>
      </c>
      <c r="BF4" s="61" t="s">
        <v>96</v>
      </c>
      <c r="BG4" s="61" t="s">
        <v>188</v>
      </c>
      <c r="BH4" s="61" t="s">
        <v>217</v>
      </c>
      <c r="BI4" s="61" t="s">
        <v>240</v>
      </c>
    </row>
    <row r="5" spans="1:61" ht="21" customHeight="1" x14ac:dyDescent="0.3">
      <c r="A5" s="48"/>
      <c r="B5" s="29" t="s">
        <v>581</v>
      </c>
      <c r="C5" s="121">
        <v>45190</v>
      </c>
      <c r="D5" s="120" t="s">
        <v>582</v>
      </c>
      <c r="E5" s="29" t="s">
        <v>85</v>
      </c>
      <c r="F5" s="140" t="s">
        <v>85</v>
      </c>
      <c r="G5" s="29" t="s">
        <v>114</v>
      </c>
      <c r="H5" s="29" t="s">
        <v>378</v>
      </c>
      <c r="I5" s="29" t="s">
        <v>7</v>
      </c>
      <c r="J5" s="29" t="s">
        <v>7</v>
      </c>
      <c r="K5" s="29" t="s">
        <v>585</v>
      </c>
      <c r="P5" s="127">
        <v>45191</v>
      </c>
      <c r="Q5" s="127" t="s">
        <v>835</v>
      </c>
      <c r="R5" s="62" t="s">
        <v>7</v>
      </c>
      <c r="S5" s="62" t="s">
        <v>94</v>
      </c>
      <c r="T5" s="62" t="s">
        <v>858</v>
      </c>
      <c r="U5" s="62"/>
      <c r="V5" s="62" t="s">
        <v>94</v>
      </c>
      <c r="W5" s="128" t="s">
        <v>94</v>
      </c>
      <c r="X5" s="62" t="s">
        <v>87</v>
      </c>
      <c r="Y5" s="63">
        <v>1</v>
      </c>
      <c r="Z5" s="62" t="s">
        <v>160</v>
      </c>
      <c r="AA5" s="62" t="s">
        <v>858</v>
      </c>
      <c r="AB5" s="62" t="s">
        <v>7</v>
      </c>
      <c r="AC5" s="62" t="s">
        <v>270</v>
      </c>
      <c r="AD5" s="62" t="s">
        <v>94</v>
      </c>
      <c r="AE5" s="62">
        <v>1</v>
      </c>
      <c r="AF5" s="62">
        <v>7.3010000000000002</v>
      </c>
      <c r="AG5" s="62">
        <v>7.8209999999999997</v>
      </c>
      <c r="AH5" s="62" t="s">
        <v>834</v>
      </c>
      <c r="AI5" s="62" t="s">
        <v>836</v>
      </c>
      <c r="AN5" s="61" t="s">
        <v>564</v>
      </c>
      <c r="AO5" s="61" t="s">
        <v>607</v>
      </c>
      <c r="AP5" s="123" t="s">
        <v>563</v>
      </c>
      <c r="AQ5" s="123">
        <v>45189</v>
      </c>
      <c r="AR5" s="61" t="s">
        <v>821</v>
      </c>
      <c r="AS5" s="61" t="s">
        <v>562</v>
      </c>
      <c r="AT5" s="61" t="s">
        <v>202</v>
      </c>
      <c r="AU5" s="124" t="s">
        <v>190</v>
      </c>
      <c r="AV5" s="125" t="s">
        <v>562</v>
      </c>
      <c r="AW5" s="125"/>
      <c r="AX5" s="61" t="s">
        <v>158</v>
      </c>
      <c r="AY5" s="126" t="s">
        <v>94</v>
      </c>
      <c r="AZ5" s="124" t="s">
        <v>94</v>
      </c>
      <c r="BA5" s="124" t="s">
        <v>7</v>
      </c>
      <c r="BF5" s="61" t="s">
        <v>564</v>
      </c>
      <c r="BG5" s="61" t="s">
        <v>823</v>
      </c>
      <c r="BH5" s="61" t="s">
        <v>206</v>
      </c>
      <c r="BI5" s="61" t="s">
        <v>279</v>
      </c>
    </row>
    <row r="6" spans="1:61" ht="21" customHeight="1" x14ac:dyDescent="0.3">
      <c r="A6" s="29"/>
      <c r="B6" s="29" t="s">
        <v>834</v>
      </c>
      <c r="C6" s="121">
        <v>45191</v>
      </c>
      <c r="D6" s="120" t="s">
        <v>835</v>
      </c>
      <c r="E6" s="29" t="s">
        <v>85</v>
      </c>
      <c r="F6" s="29" t="s">
        <v>85</v>
      </c>
      <c r="G6" s="29" t="s">
        <v>114</v>
      </c>
      <c r="H6" s="29" t="s">
        <v>387</v>
      </c>
      <c r="I6" s="29" t="s">
        <v>7</v>
      </c>
      <c r="J6" s="29" t="s">
        <v>7</v>
      </c>
      <c r="K6" s="29" t="s">
        <v>836</v>
      </c>
      <c r="P6" s="127">
        <v>45190</v>
      </c>
      <c r="Q6" s="127" t="s">
        <v>582</v>
      </c>
      <c r="R6" s="63" t="s">
        <v>7</v>
      </c>
      <c r="S6" s="63" t="s">
        <v>94</v>
      </c>
      <c r="T6" s="62" t="s">
        <v>674</v>
      </c>
      <c r="U6" s="62"/>
      <c r="V6" s="62" t="s">
        <v>94</v>
      </c>
      <c r="W6" s="129" t="s">
        <v>94</v>
      </c>
      <c r="X6" s="62" t="s">
        <v>108</v>
      </c>
      <c r="Y6" s="63">
        <v>10.65</v>
      </c>
      <c r="Z6" s="62" t="s">
        <v>160</v>
      </c>
      <c r="AA6" s="62" t="s">
        <v>674</v>
      </c>
      <c r="AB6" s="62" t="s">
        <v>7</v>
      </c>
      <c r="AC6" s="62" t="s">
        <v>806</v>
      </c>
      <c r="AD6" s="62" t="s">
        <v>94</v>
      </c>
      <c r="AE6" s="62">
        <v>1.4590000000000001</v>
      </c>
      <c r="AF6" s="62">
        <v>10.65</v>
      </c>
      <c r="AG6" s="62">
        <v>11.396000000000001</v>
      </c>
      <c r="AH6" s="62" t="s">
        <v>581</v>
      </c>
      <c r="AI6" s="62" t="s">
        <v>585</v>
      </c>
      <c r="AN6" s="61" t="s">
        <v>561</v>
      </c>
      <c r="AO6" s="61" t="s">
        <v>611</v>
      </c>
      <c r="AP6" s="123" t="s">
        <v>560</v>
      </c>
      <c r="AQ6" s="123">
        <v>45189</v>
      </c>
      <c r="AR6" s="61" t="s">
        <v>822</v>
      </c>
      <c r="AS6" s="61" t="s">
        <v>559</v>
      </c>
      <c r="AT6" s="61" t="s">
        <v>202</v>
      </c>
      <c r="AU6" s="124" t="s">
        <v>190</v>
      </c>
      <c r="AV6" s="125" t="s">
        <v>559</v>
      </c>
      <c r="AW6" s="125"/>
      <c r="AX6" s="61" t="s">
        <v>158</v>
      </c>
      <c r="AY6" s="123" t="s">
        <v>94</v>
      </c>
      <c r="AZ6" s="124" t="s">
        <v>94</v>
      </c>
      <c r="BA6" s="61" t="s">
        <v>7</v>
      </c>
      <c r="BF6" s="61" t="s">
        <v>582</v>
      </c>
      <c r="BG6" s="61" t="s">
        <v>990</v>
      </c>
      <c r="BH6" s="61" t="s">
        <v>206</v>
      </c>
      <c r="BI6" s="61" t="s">
        <v>279</v>
      </c>
    </row>
    <row r="7" spans="1:61" ht="21" customHeight="1" x14ac:dyDescent="0.3">
      <c r="A7" s="29"/>
      <c r="B7" s="29" t="s">
        <v>595</v>
      </c>
      <c r="C7" s="121">
        <v>45189</v>
      </c>
      <c r="D7" s="120" t="s">
        <v>596</v>
      </c>
      <c r="E7" s="140" t="s">
        <v>989</v>
      </c>
      <c r="F7" s="29" t="s">
        <v>597</v>
      </c>
      <c r="G7" s="29" t="s">
        <v>114</v>
      </c>
      <c r="H7" s="29" t="s">
        <v>360</v>
      </c>
      <c r="I7" s="29" t="s">
        <v>7</v>
      </c>
      <c r="J7" s="29" t="s">
        <v>7</v>
      </c>
      <c r="K7" s="29" t="s">
        <v>601</v>
      </c>
      <c r="P7" s="127">
        <v>45189</v>
      </c>
      <c r="Q7" s="127" t="s">
        <v>561</v>
      </c>
      <c r="R7" s="62" t="s">
        <v>811</v>
      </c>
      <c r="S7" s="63" t="s">
        <v>812</v>
      </c>
      <c r="T7" s="62" t="s">
        <v>813</v>
      </c>
      <c r="U7" s="62">
        <v>6</v>
      </c>
      <c r="V7" s="62" t="s">
        <v>94</v>
      </c>
      <c r="W7" s="129" t="s">
        <v>94</v>
      </c>
      <c r="X7" s="62" t="s">
        <v>108</v>
      </c>
      <c r="Y7" s="63">
        <v>7.3</v>
      </c>
      <c r="Z7" s="62" t="s">
        <v>160</v>
      </c>
      <c r="AA7" s="62" t="s">
        <v>729</v>
      </c>
      <c r="AB7" s="62" t="s">
        <v>7</v>
      </c>
      <c r="AC7" s="62" t="s">
        <v>270</v>
      </c>
      <c r="AD7" s="62" t="s">
        <v>94</v>
      </c>
      <c r="AE7" s="62">
        <v>1</v>
      </c>
      <c r="AF7" s="62">
        <v>7.3</v>
      </c>
      <c r="AG7" s="62">
        <v>7.8330000000000002</v>
      </c>
      <c r="AH7" s="62" t="s">
        <v>560</v>
      </c>
      <c r="AI7" s="62" t="s">
        <v>611</v>
      </c>
      <c r="AN7" s="61"/>
      <c r="AO7" s="61"/>
      <c r="AP7" s="123"/>
      <c r="AQ7" s="123"/>
      <c r="AR7" s="61"/>
      <c r="AS7" s="61"/>
      <c r="AT7" s="61"/>
      <c r="AU7" s="124"/>
      <c r="AV7" s="125"/>
      <c r="AW7" s="124"/>
      <c r="AX7" s="61"/>
      <c r="AY7" s="123"/>
      <c r="AZ7" s="124"/>
      <c r="BA7" s="124"/>
      <c r="BF7" s="61" t="s">
        <v>561</v>
      </c>
      <c r="BG7" s="61" t="s">
        <v>824</v>
      </c>
      <c r="BH7" s="61" t="s">
        <v>206</v>
      </c>
      <c r="BI7" s="61" t="s">
        <v>279</v>
      </c>
    </row>
    <row r="8" spans="1:61" ht="21" customHeight="1" x14ac:dyDescent="0.25">
      <c r="A8" s="29"/>
      <c r="B8" s="29" t="s">
        <v>560</v>
      </c>
      <c r="C8" s="121">
        <v>45189</v>
      </c>
      <c r="D8" s="120" t="s">
        <v>561</v>
      </c>
      <c r="E8" s="29" t="s">
        <v>85</v>
      </c>
      <c r="F8" s="29" t="s">
        <v>85</v>
      </c>
      <c r="G8" s="29" t="s">
        <v>115</v>
      </c>
      <c r="H8" s="29" t="s">
        <v>360</v>
      </c>
      <c r="I8" s="29" t="s">
        <v>7</v>
      </c>
      <c r="J8" s="29" t="s">
        <v>7</v>
      </c>
      <c r="K8" s="29" t="s">
        <v>611</v>
      </c>
      <c r="P8" s="127">
        <v>45189</v>
      </c>
      <c r="Q8" s="127" t="s">
        <v>619</v>
      </c>
      <c r="R8" s="63" t="s">
        <v>7</v>
      </c>
      <c r="S8" s="63" t="s">
        <v>809</v>
      </c>
      <c r="T8" s="62" t="s">
        <v>698</v>
      </c>
      <c r="U8" s="62">
        <v>32</v>
      </c>
      <c r="V8" s="62" t="s">
        <v>94</v>
      </c>
      <c r="W8" s="129" t="s">
        <v>94</v>
      </c>
      <c r="X8" s="62" t="s">
        <v>108</v>
      </c>
      <c r="Y8" s="63">
        <v>10</v>
      </c>
      <c r="Z8" s="62" t="s">
        <v>550</v>
      </c>
      <c r="AA8" s="62" t="s">
        <v>698</v>
      </c>
      <c r="AB8" s="62" t="s">
        <v>810</v>
      </c>
      <c r="AC8" s="62" t="s">
        <v>270</v>
      </c>
      <c r="AD8" s="62" t="s">
        <v>94</v>
      </c>
      <c r="AE8" s="62">
        <v>1.37</v>
      </c>
      <c r="AF8" s="62">
        <v>10</v>
      </c>
      <c r="AG8" s="62">
        <v>10.73</v>
      </c>
      <c r="AH8" s="62" t="s">
        <v>624</v>
      </c>
      <c r="AI8" s="62" t="s">
        <v>626</v>
      </c>
      <c r="AN8" s="61"/>
      <c r="AO8" s="61"/>
      <c r="AP8" s="123"/>
      <c r="AQ8" s="123"/>
      <c r="AR8" s="61"/>
      <c r="AS8" s="61"/>
      <c r="AT8" s="61"/>
      <c r="AU8" s="124"/>
      <c r="AV8" s="124"/>
      <c r="AW8" s="124"/>
      <c r="AX8" s="61"/>
      <c r="AY8" s="126"/>
      <c r="AZ8" s="124"/>
      <c r="BA8" s="61"/>
      <c r="BF8" s="61" t="s">
        <v>666</v>
      </c>
      <c r="BG8" s="61" t="s">
        <v>991</v>
      </c>
      <c r="BH8" s="61" t="s">
        <v>206</v>
      </c>
      <c r="BI8" s="61" t="s">
        <v>279</v>
      </c>
    </row>
    <row r="9" spans="1:61" ht="21" customHeight="1" x14ac:dyDescent="0.25">
      <c r="A9" s="29"/>
      <c r="B9" s="29" t="s">
        <v>654</v>
      </c>
      <c r="C9" s="121">
        <v>45188</v>
      </c>
      <c r="D9" s="120" t="s">
        <v>655</v>
      </c>
      <c r="E9" s="29" t="s">
        <v>85</v>
      </c>
      <c r="F9" s="29" t="s">
        <v>85</v>
      </c>
      <c r="G9" s="29" t="s">
        <v>40</v>
      </c>
      <c r="H9" s="29" t="s">
        <v>94</v>
      </c>
      <c r="I9" s="29" t="s">
        <v>7</v>
      </c>
      <c r="J9" s="29" t="s">
        <v>7</v>
      </c>
      <c r="K9" s="29" t="s">
        <v>658</v>
      </c>
      <c r="P9" s="127">
        <v>45189</v>
      </c>
      <c r="Q9" s="127" t="s">
        <v>619</v>
      </c>
      <c r="R9" s="63" t="s">
        <v>7</v>
      </c>
      <c r="S9" s="63" t="s">
        <v>814</v>
      </c>
      <c r="T9" s="62" t="s">
        <v>815</v>
      </c>
      <c r="U9" s="62">
        <v>35</v>
      </c>
      <c r="V9" s="62" t="s">
        <v>94</v>
      </c>
      <c r="W9" s="62" t="s">
        <v>94</v>
      </c>
      <c r="X9" s="63" t="s">
        <v>108</v>
      </c>
      <c r="Y9" s="63">
        <v>40</v>
      </c>
      <c r="Z9" s="62" t="s">
        <v>549</v>
      </c>
      <c r="AA9" s="62" t="s">
        <v>815</v>
      </c>
      <c r="AB9" s="62" t="s">
        <v>810</v>
      </c>
      <c r="AC9" s="62" t="s">
        <v>270</v>
      </c>
      <c r="AD9" s="62" t="s">
        <v>94</v>
      </c>
      <c r="AE9" s="62">
        <v>5.48</v>
      </c>
      <c r="AF9" s="62">
        <v>40</v>
      </c>
      <c r="AG9" s="62">
        <v>42.92</v>
      </c>
      <c r="AH9" s="62" t="s">
        <v>618</v>
      </c>
      <c r="AI9" s="62" t="s">
        <v>623</v>
      </c>
      <c r="AN9" s="61"/>
      <c r="AO9" s="61"/>
      <c r="AP9" s="123"/>
      <c r="AQ9" s="123"/>
      <c r="AR9" s="61"/>
      <c r="AS9" s="61"/>
      <c r="AT9" s="61"/>
      <c r="AU9" s="124"/>
      <c r="AV9" s="124"/>
      <c r="AW9" s="124"/>
      <c r="AX9" s="61"/>
      <c r="AY9" s="126"/>
      <c r="AZ9" s="124"/>
      <c r="BA9" s="61"/>
      <c r="BF9" s="61"/>
      <c r="BG9" s="61"/>
      <c r="BH9" s="61"/>
      <c r="BI9" s="61"/>
    </row>
    <row r="10" spans="1:61" ht="21" customHeight="1" x14ac:dyDescent="0.25">
      <c r="A10" s="29"/>
      <c r="B10" s="29" t="s">
        <v>563</v>
      </c>
      <c r="C10" s="121">
        <v>45189</v>
      </c>
      <c r="D10" s="120" t="s">
        <v>564</v>
      </c>
      <c r="E10" s="29" t="s">
        <v>85</v>
      </c>
      <c r="F10" s="29" t="s">
        <v>85</v>
      </c>
      <c r="G10" s="29" t="s">
        <v>40</v>
      </c>
      <c r="H10" s="29" t="s">
        <v>94</v>
      </c>
      <c r="I10" s="29" t="s">
        <v>7</v>
      </c>
      <c r="J10" s="29" t="s">
        <v>7</v>
      </c>
      <c r="K10" s="29" t="s">
        <v>607</v>
      </c>
      <c r="P10" s="127">
        <v>45189</v>
      </c>
      <c r="Q10" s="127" t="s">
        <v>564</v>
      </c>
      <c r="R10" s="63" t="s">
        <v>7</v>
      </c>
      <c r="S10" s="63" t="s">
        <v>816</v>
      </c>
      <c r="T10" s="62" t="s">
        <v>817</v>
      </c>
      <c r="U10" s="62">
        <v>30</v>
      </c>
      <c r="V10" s="62" t="s">
        <v>94</v>
      </c>
      <c r="W10" s="64" t="s">
        <v>94</v>
      </c>
      <c r="X10" s="62" t="s">
        <v>87</v>
      </c>
      <c r="Y10" s="63">
        <v>3.9</v>
      </c>
      <c r="Z10" s="62" t="s">
        <v>160</v>
      </c>
      <c r="AA10" s="62" t="s">
        <v>817</v>
      </c>
      <c r="AB10" s="62" t="s">
        <v>7</v>
      </c>
      <c r="AC10" s="62" t="s">
        <v>284</v>
      </c>
      <c r="AD10" s="62" t="s">
        <v>94</v>
      </c>
      <c r="AE10" s="62">
        <v>3.9</v>
      </c>
      <c r="AF10" s="62">
        <v>28.446999999999999</v>
      </c>
      <c r="AG10" s="62">
        <v>30.506</v>
      </c>
      <c r="AH10" s="62" t="s">
        <v>563</v>
      </c>
      <c r="AI10" s="62" t="s">
        <v>607</v>
      </c>
      <c r="AN10" s="61"/>
      <c r="AO10" s="61"/>
      <c r="AP10" s="123"/>
      <c r="AQ10" s="123"/>
      <c r="AR10" s="61"/>
      <c r="AS10" s="61"/>
      <c r="AT10" s="61"/>
      <c r="AU10" s="124"/>
      <c r="AV10" s="61"/>
      <c r="AW10" s="61"/>
      <c r="AX10" s="61"/>
      <c r="AY10" s="126"/>
      <c r="AZ10" s="61"/>
      <c r="BA10" s="61"/>
      <c r="BF10" s="61"/>
      <c r="BG10" s="61"/>
      <c r="BH10" s="61"/>
      <c r="BI10" s="61"/>
    </row>
    <row r="11" spans="1:61" ht="21" customHeight="1" x14ac:dyDescent="0.25">
      <c r="A11" s="29"/>
      <c r="B11" s="29" t="s">
        <v>665</v>
      </c>
      <c r="C11" s="121">
        <v>45187</v>
      </c>
      <c r="D11" s="120" t="s">
        <v>666</v>
      </c>
      <c r="E11" s="29" t="s">
        <v>85</v>
      </c>
      <c r="F11" s="29" t="s">
        <v>85</v>
      </c>
      <c r="G11" s="29" t="s">
        <v>40</v>
      </c>
      <c r="H11" s="29" t="s">
        <v>94</v>
      </c>
      <c r="I11" s="29" t="s">
        <v>7</v>
      </c>
      <c r="J11" s="29" t="s">
        <v>7</v>
      </c>
      <c r="K11" s="29" t="s">
        <v>670</v>
      </c>
      <c r="P11" s="127">
        <v>45189</v>
      </c>
      <c r="Q11" s="127" t="s">
        <v>596</v>
      </c>
      <c r="R11" s="63" t="s">
        <v>811</v>
      </c>
      <c r="S11" s="63" t="s">
        <v>818</v>
      </c>
      <c r="T11" s="62" t="s">
        <v>819</v>
      </c>
      <c r="U11" s="62">
        <v>10</v>
      </c>
      <c r="V11" s="129" t="s">
        <v>94</v>
      </c>
      <c r="W11" s="129" t="s">
        <v>94</v>
      </c>
      <c r="X11" s="62" t="s">
        <v>108</v>
      </c>
      <c r="Y11" s="63">
        <v>18.600000000000001</v>
      </c>
      <c r="Z11" s="62" t="s">
        <v>160</v>
      </c>
      <c r="AA11" s="62" t="s">
        <v>820</v>
      </c>
      <c r="AB11" s="62" t="s">
        <v>7</v>
      </c>
      <c r="AC11" s="62" t="s">
        <v>284</v>
      </c>
      <c r="AD11" s="62" t="s">
        <v>94</v>
      </c>
      <c r="AE11" s="62">
        <v>2.548</v>
      </c>
      <c r="AF11" s="62">
        <v>18.600000000000001</v>
      </c>
      <c r="AG11" s="62">
        <v>19.957999999999998</v>
      </c>
      <c r="AH11" s="62" t="s">
        <v>595</v>
      </c>
      <c r="AI11" s="62" t="s">
        <v>601</v>
      </c>
      <c r="AN11" s="61"/>
      <c r="AO11" s="61"/>
      <c r="AP11" s="123"/>
      <c r="AQ11" s="123"/>
      <c r="AR11" s="61"/>
      <c r="AS11" s="61"/>
      <c r="AT11" s="61"/>
      <c r="AU11" s="124"/>
      <c r="AV11" s="61"/>
      <c r="AW11" s="61"/>
      <c r="AX11" s="61"/>
      <c r="AY11" s="123"/>
      <c r="AZ11" s="61"/>
      <c r="BA11" s="61"/>
    </row>
    <row r="12" spans="1:61" ht="21" customHeight="1" x14ac:dyDescent="0.25">
      <c r="A12" s="29"/>
      <c r="B12" s="29" t="s">
        <v>659</v>
      </c>
      <c r="C12" s="121">
        <v>45188</v>
      </c>
      <c r="D12" s="120" t="s">
        <v>660</v>
      </c>
      <c r="E12" s="29" t="s">
        <v>85</v>
      </c>
      <c r="F12" s="29" t="s">
        <v>85</v>
      </c>
      <c r="G12" s="29" t="s">
        <v>37</v>
      </c>
      <c r="H12" s="29" t="s">
        <v>94</v>
      </c>
      <c r="I12" s="29" t="s">
        <v>7</v>
      </c>
      <c r="J12" s="29" t="s">
        <v>7</v>
      </c>
      <c r="K12" s="29" t="s">
        <v>664</v>
      </c>
      <c r="P12" s="127">
        <v>45189</v>
      </c>
      <c r="Q12" s="127" t="s">
        <v>613</v>
      </c>
      <c r="R12" s="62" t="s">
        <v>807</v>
      </c>
      <c r="S12" s="63" t="s">
        <v>808</v>
      </c>
      <c r="T12" s="62" t="s">
        <v>552</v>
      </c>
      <c r="U12" s="62">
        <v>50</v>
      </c>
      <c r="V12" s="62" t="s">
        <v>94</v>
      </c>
      <c r="W12" s="129" t="s">
        <v>94</v>
      </c>
      <c r="X12" s="62" t="s">
        <v>108</v>
      </c>
      <c r="Y12" s="63">
        <v>21.3</v>
      </c>
      <c r="Z12" s="62" t="s">
        <v>160</v>
      </c>
      <c r="AA12" s="62" t="s">
        <v>552</v>
      </c>
      <c r="AB12" s="62" t="s">
        <v>7</v>
      </c>
      <c r="AC12" s="62" t="s">
        <v>270</v>
      </c>
      <c r="AD12" s="62" t="s">
        <v>94</v>
      </c>
      <c r="AE12" s="62">
        <v>2.9180000000000001</v>
      </c>
      <c r="AF12" s="62">
        <v>21.3</v>
      </c>
      <c r="AG12" s="62">
        <v>22.855</v>
      </c>
      <c r="AH12" s="62" t="s">
        <v>612</v>
      </c>
      <c r="AI12" s="62" t="s">
        <v>617</v>
      </c>
      <c r="AN12" s="61"/>
      <c r="AO12" s="61"/>
      <c r="AP12" s="123"/>
      <c r="AQ12" s="123"/>
      <c r="AR12" s="61"/>
      <c r="AS12" s="61"/>
      <c r="AT12" s="61"/>
      <c r="AU12" s="124"/>
      <c r="AV12" s="61"/>
      <c r="AW12" s="61"/>
      <c r="AX12" s="61"/>
      <c r="AY12" s="123"/>
      <c r="AZ12" s="61"/>
      <c r="BA12" s="61"/>
    </row>
    <row r="13" spans="1:61" ht="21" customHeight="1" x14ac:dyDescent="0.25">
      <c r="A13" s="29"/>
      <c r="B13" s="29" t="s">
        <v>612</v>
      </c>
      <c r="C13" s="121">
        <v>45189</v>
      </c>
      <c r="D13" s="120" t="s">
        <v>613</v>
      </c>
      <c r="E13" s="29" t="s">
        <v>85</v>
      </c>
      <c r="F13" s="29" t="s">
        <v>614</v>
      </c>
      <c r="G13" s="29" t="s">
        <v>37</v>
      </c>
      <c r="H13" s="29" t="s">
        <v>94</v>
      </c>
      <c r="I13" s="29" t="s">
        <v>158</v>
      </c>
      <c r="J13" s="29" t="s">
        <v>7</v>
      </c>
      <c r="K13" s="29" t="s">
        <v>617</v>
      </c>
      <c r="P13" s="127">
        <v>45188</v>
      </c>
      <c r="Q13" s="127" t="s">
        <v>660</v>
      </c>
      <c r="R13" s="62" t="s">
        <v>7</v>
      </c>
      <c r="S13" s="62" t="s">
        <v>94</v>
      </c>
      <c r="T13" s="62" t="s">
        <v>478</v>
      </c>
      <c r="U13" s="62"/>
      <c r="V13" s="62" t="s">
        <v>94</v>
      </c>
      <c r="W13" s="128" t="s">
        <v>94</v>
      </c>
      <c r="X13" s="62" t="s">
        <v>108</v>
      </c>
      <c r="Y13" s="63">
        <v>8</v>
      </c>
      <c r="Z13" s="62" t="s">
        <v>160</v>
      </c>
      <c r="AA13" s="62" t="s">
        <v>478</v>
      </c>
      <c r="AB13" s="62" t="s">
        <v>7</v>
      </c>
      <c r="AC13" s="62" t="s">
        <v>284</v>
      </c>
      <c r="AD13" s="62" t="s">
        <v>94</v>
      </c>
      <c r="AE13" s="62">
        <v>1.0960000000000001</v>
      </c>
      <c r="AF13" s="62">
        <v>8</v>
      </c>
      <c r="AG13" s="62">
        <v>8.5679999999999996</v>
      </c>
      <c r="AH13" s="62" t="s">
        <v>659</v>
      </c>
      <c r="AI13" s="62" t="s">
        <v>664</v>
      </c>
      <c r="AZ13" s="61"/>
      <c r="BA13" s="61"/>
    </row>
    <row r="14" spans="1:61" ht="21" customHeight="1" x14ac:dyDescent="0.25">
      <c r="A14" s="29"/>
      <c r="B14" s="29" t="s">
        <v>624</v>
      </c>
      <c r="C14" s="121">
        <v>45189</v>
      </c>
      <c r="D14" s="120" t="s">
        <v>619</v>
      </c>
      <c r="E14" s="29" t="s">
        <v>85</v>
      </c>
      <c r="F14" s="29" t="s">
        <v>620</v>
      </c>
      <c r="G14" s="29" t="s">
        <v>37</v>
      </c>
      <c r="H14" s="29" t="s">
        <v>94</v>
      </c>
      <c r="I14" s="29" t="s">
        <v>7</v>
      </c>
      <c r="J14" s="29" t="s">
        <v>159</v>
      </c>
      <c r="K14" s="29" t="s">
        <v>626</v>
      </c>
      <c r="P14" s="127">
        <v>45188</v>
      </c>
      <c r="Q14" s="127" t="s">
        <v>655</v>
      </c>
      <c r="R14" s="62" t="s">
        <v>7</v>
      </c>
      <c r="S14" s="62" t="s">
        <v>94</v>
      </c>
      <c r="T14" s="62" t="s">
        <v>482</v>
      </c>
      <c r="U14" s="62"/>
      <c r="V14" s="62" t="s">
        <v>94</v>
      </c>
      <c r="W14" s="62" t="s">
        <v>94</v>
      </c>
      <c r="X14" s="62" t="s">
        <v>87</v>
      </c>
      <c r="Y14" s="63">
        <v>0.6</v>
      </c>
      <c r="Z14" s="62" t="s">
        <v>551</v>
      </c>
      <c r="AA14" s="62" t="s">
        <v>482</v>
      </c>
      <c r="AB14" s="62" t="s">
        <v>7</v>
      </c>
      <c r="AC14" s="62" t="s">
        <v>112</v>
      </c>
      <c r="AD14" s="62" t="s">
        <v>553</v>
      </c>
      <c r="AE14" s="62">
        <v>0.6</v>
      </c>
      <c r="AF14" s="62">
        <v>4.3819999999999997</v>
      </c>
      <c r="AG14" s="62">
        <v>4.6909999999999998</v>
      </c>
      <c r="AH14" s="62" t="s">
        <v>654</v>
      </c>
      <c r="AI14" s="62" t="s">
        <v>658</v>
      </c>
      <c r="BA14" s="61"/>
    </row>
    <row r="15" spans="1:61" ht="21" customHeight="1" x14ac:dyDescent="0.25">
      <c r="A15" s="29"/>
      <c r="B15" s="29" t="s">
        <v>618</v>
      </c>
      <c r="C15" s="121">
        <v>45189</v>
      </c>
      <c r="D15" s="120" t="s">
        <v>619</v>
      </c>
      <c r="E15" s="29" t="s">
        <v>85</v>
      </c>
      <c r="F15" s="29" t="s">
        <v>620</v>
      </c>
      <c r="G15" s="29" t="s">
        <v>37</v>
      </c>
      <c r="H15" s="29" t="s">
        <v>94</v>
      </c>
      <c r="I15" s="29" t="s">
        <v>7</v>
      </c>
      <c r="J15" s="29" t="s">
        <v>159</v>
      </c>
      <c r="K15" s="29" t="s">
        <v>623</v>
      </c>
      <c r="P15" s="127">
        <v>45187</v>
      </c>
      <c r="Q15" s="127" t="s">
        <v>666</v>
      </c>
      <c r="R15" s="62" t="s">
        <v>7</v>
      </c>
      <c r="S15" s="62" t="s">
        <v>94</v>
      </c>
      <c r="T15" s="62" t="s">
        <v>478</v>
      </c>
      <c r="U15" s="62"/>
      <c r="V15" s="62" t="s">
        <v>94</v>
      </c>
      <c r="W15" s="129" t="s">
        <v>94</v>
      </c>
      <c r="X15" s="62" t="s">
        <v>108</v>
      </c>
      <c r="Y15" s="63">
        <v>3.85</v>
      </c>
      <c r="Z15" s="62" t="s">
        <v>160</v>
      </c>
      <c r="AA15" s="62" t="s">
        <v>478</v>
      </c>
      <c r="AB15" s="62" t="s">
        <v>7</v>
      </c>
      <c r="AC15" s="62" t="s">
        <v>270</v>
      </c>
      <c r="AD15" s="62" t="s">
        <v>94</v>
      </c>
      <c r="AE15" s="62">
        <v>0.52700000000000002</v>
      </c>
      <c r="AF15" s="62">
        <v>3.85</v>
      </c>
      <c r="AG15" s="62">
        <v>4.1269999999999998</v>
      </c>
      <c r="AH15" s="62" t="s">
        <v>665</v>
      </c>
      <c r="AI15" s="62" t="s">
        <v>670</v>
      </c>
      <c r="BA15" s="61"/>
    </row>
    <row r="16" spans="1:61" ht="21" customHeight="1" x14ac:dyDescent="0.25">
      <c r="A16" s="29"/>
      <c r="B16" s="29"/>
      <c r="C16" s="121"/>
      <c r="D16" s="120"/>
      <c r="E16" s="29"/>
      <c r="F16" s="29"/>
      <c r="G16" s="29"/>
      <c r="H16" s="29"/>
      <c r="I16" s="29"/>
      <c r="J16" s="29"/>
      <c r="K16" s="29"/>
      <c r="P16" s="127"/>
      <c r="Q16" s="127"/>
      <c r="R16" s="62"/>
      <c r="S16" s="62"/>
      <c r="T16" s="62"/>
      <c r="U16" s="62"/>
      <c r="V16" s="62"/>
      <c r="W16" s="62"/>
      <c r="X16" s="62"/>
      <c r="Y16" s="63"/>
      <c r="Z16" s="62"/>
      <c r="AA16" s="62"/>
      <c r="AB16" s="62"/>
      <c r="AC16" s="62"/>
      <c r="AD16" s="62"/>
      <c r="AE16" s="62"/>
      <c r="AF16" s="62"/>
      <c r="AG16" s="62"/>
      <c r="AH16" s="62"/>
      <c r="AI16" s="62"/>
    </row>
    <row r="17" spans="1:51" ht="21" customHeight="1" x14ac:dyDescent="0.25">
      <c r="A17" s="29"/>
      <c r="B17" s="29"/>
      <c r="C17" s="121"/>
      <c r="D17" s="120"/>
      <c r="E17" s="29"/>
      <c r="F17" s="29"/>
      <c r="G17" s="29"/>
      <c r="H17" s="29"/>
      <c r="I17" s="29"/>
      <c r="J17" s="29"/>
      <c r="K17" s="29"/>
      <c r="P17" s="127"/>
      <c r="Q17" s="127"/>
      <c r="R17" s="62"/>
      <c r="S17" s="62"/>
      <c r="T17" s="62"/>
      <c r="U17" s="62"/>
      <c r="V17" s="62"/>
      <c r="W17" s="62"/>
      <c r="X17" s="62"/>
      <c r="Y17" s="63"/>
      <c r="Z17" s="62"/>
      <c r="AA17" s="62"/>
      <c r="AB17" s="62"/>
      <c r="AC17" s="62"/>
      <c r="AD17" s="62"/>
      <c r="AE17" s="62"/>
      <c r="AF17" s="62"/>
      <c r="AG17" s="62"/>
      <c r="AH17" s="62"/>
      <c r="AI17" s="62"/>
    </row>
    <row r="18" spans="1:51" ht="21" customHeight="1" x14ac:dyDescent="0.25">
      <c r="A18" s="29"/>
      <c r="B18" s="29"/>
      <c r="C18" s="121"/>
      <c r="D18" s="120"/>
      <c r="E18" s="29"/>
      <c r="F18" s="29"/>
      <c r="G18" s="29"/>
      <c r="H18" s="29"/>
      <c r="I18" s="29"/>
      <c r="J18" s="29"/>
      <c r="K18" s="29"/>
      <c r="P18" s="127"/>
      <c r="Q18" s="127"/>
      <c r="R18" s="62"/>
      <c r="S18" s="62"/>
      <c r="T18" s="62"/>
      <c r="U18" s="62"/>
      <c r="V18" s="62"/>
      <c r="W18" s="62"/>
      <c r="X18" s="62"/>
      <c r="Y18" s="63"/>
      <c r="Z18" s="62"/>
      <c r="AA18" s="62"/>
      <c r="AB18" s="62"/>
      <c r="AC18" s="62"/>
      <c r="AD18" s="62"/>
      <c r="AE18" s="62"/>
      <c r="AF18" s="62"/>
      <c r="AG18" s="62"/>
      <c r="AH18" s="62"/>
      <c r="AI18" s="62"/>
    </row>
    <row r="19" spans="1:51" ht="21" customHeight="1" x14ac:dyDescent="0.25">
      <c r="A19" s="29"/>
      <c r="B19" s="29"/>
      <c r="C19" s="121"/>
      <c r="D19" s="120"/>
      <c r="E19" s="29"/>
      <c r="F19" s="29"/>
      <c r="G19" s="29"/>
      <c r="H19" s="29"/>
      <c r="I19" s="29"/>
      <c r="J19" s="29"/>
      <c r="K19" s="29"/>
      <c r="P19" s="127"/>
      <c r="Q19" s="127"/>
      <c r="R19" s="62"/>
      <c r="S19" s="62"/>
      <c r="T19" s="62"/>
      <c r="U19" s="62"/>
      <c r="V19" s="62"/>
      <c r="W19" s="62"/>
      <c r="X19" s="62"/>
      <c r="Y19" s="63"/>
      <c r="Z19" s="62"/>
      <c r="AA19" s="62"/>
      <c r="AB19" s="62"/>
      <c r="AC19" s="62"/>
      <c r="AD19" s="62"/>
      <c r="AE19" s="62"/>
      <c r="AF19" s="62"/>
      <c r="AG19" s="62"/>
      <c r="AH19" s="62"/>
      <c r="AI19" s="62"/>
    </row>
    <row r="20" spans="1:51" ht="21" customHeight="1" x14ac:dyDescent="0.25">
      <c r="A20" s="29"/>
      <c r="B20" s="29"/>
      <c r="C20" s="121"/>
      <c r="D20" s="120"/>
      <c r="E20" s="29"/>
      <c r="F20" s="29"/>
      <c r="G20" s="29"/>
      <c r="H20" s="29"/>
      <c r="I20" s="29"/>
      <c r="J20" s="29"/>
      <c r="K20" s="29"/>
      <c r="P20" s="127"/>
      <c r="Q20" s="127"/>
      <c r="R20" s="62"/>
      <c r="S20" s="62"/>
      <c r="T20" s="62"/>
      <c r="U20" s="62"/>
      <c r="V20" s="62"/>
      <c r="W20" s="62"/>
      <c r="X20" s="62"/>
      <c r="Y20" s="63"/>
      <c r="Z20" s="62"/>
      <c r="AA20" s="62"/>
      <c r="AB20" s="62"/>
      <c r="AC20" s="62"/>
      <c r="AD20" s="62"/>
      <c r="AE20" s="62"/>
      <c r="AF20" s="62"/>
      <c r="AG20" s="62"/>
      <c r="AH20" s="62"/>
      <c r="AI20" s="62"/>
    </row>
    <row r="21" spans="1:51" ht="21" customHeight="1" x14ac:dyDescent="0.25">
      <c r="A21" s="29"/>
      <c r="B21" s="29"/>
      <c r="C21" s="121"/>
      <c r="D21" s="120"/>
      <c r="E21" s="29"/>
      <c r="F21" s="29"/>
      <c r="G21" s="29"/>
      <c r="H21" s="29"/>
      <c r="I21" s="29"/>
      <c r="J21" s="29"/>
      <c r="K21" s="29"/>
      <c r="P21" s="127"/>
      <c r="Q21" s="127"/>
      <c r="R21" s="62"/>
      <c r="S21" s="62"/>
      <c r="T21" s="62"/>
      <c r="U21" s="62"/>
      <c r="V21" s="62"/>
      <c r="W21" s="62"/>
      <c r="X21" s="62"/>
      <c r="Y21" s="63"/>
      <c r="Z21" s="62"/>
      <c r="AA21" s="62"/>
      <c r="AB21" s="62"/>
      <c r="AC21" s="62"/>
      <c r="AD21" s="62"/>
      <c r="AE21" s="62"/>
      <c r="AF21" s="62"/>
      <c r="AG21" s="62"/>
      <c r="AH21" s="62"/>
      <c r="AI21" s="62"/>
    </row>
    <row r="22" spans="1:51" ht="21" customHeight="1" x14ac:dyDescent="0.25">
      <c r="A22" s="29"/>
      <c r="B22" s="29"/>
      <c r="C22" s="121"/>
      <c r="D22" s="120"/>
      <c r="E22" s="29"/>
      <c r="F22" s="29"/>
      <c r="G22" s="29"/>
      <c r="H22" s="29"/>
      <c r="I22" s="29"/>
      <c r="J22" s="29"/>
      <c r="K22" s="29"/>
      <c r="P22" s="127"/>
      <c r="Q22" s="127"/>
      <c r="R22" s="62"/>
      <c r="S22" s="62"/>
      <c r="T22" s="62"/>
      <c r="U22" s="62"/>
      <c r="V22" s="62"/>
      <c r="W22" s="62"/>
      <c r="X22" s="62"/>
      <c r="Y22" s="63"/>
      <c r="Z22" s="62"/>
      <c r="AA22" s="62"/>
      <c r="AB22" s="62"/>
      <c r="AC22" s="62"/>
      <c r="AD22" s="62"/>
      <c r="AE22" s="62"/>
      <c r="AF22" s="62"/>
      <c r="AG22" s="62"/>
      <c r="AH22" s="62"/>
      <c r="AI22" s="62"/>
    </row>
    <row r="23" spans="1:51" ht="21" customHeight="1" x14ac:dyDescent="0.25">
      <c r="A23" s="29"/>
      <c r="B23" s="29"/>
      <c r="C23" s="121"/>
      <c r="D23" s="120"/>
      <c r="E23" s="29"/>
      <c r="F23" s="29"/>
      <c r="G23" s="29"/>
      <c r="H23" s="29"/>
      <c r="I23" s="29"/>
      <c r="J23" s="29"/>
      <c r="K23" s="29"/>
      <c r="P23" s="127"/>
      <c r="Q23" s="127"/>
      <c r="R23" s="62"/>
      <c r="S23" s="62"/>
      <c r="T23" s="62"/>
      <c r="U23" s="62"/>
      <c r="V23" s="62"/>
      <c r="W23" s="62"/>
      <c r="X23" s="62"/>
      <c r="Y23" s="63"/>
      <c r="Z23" s="62"/>
      <c r="AA23" s="62"/>
      <c r="AB23" s="62"/>
      <c r="AC23" s="62"/>
      <c r="AD23" s="62"/>
      <c r="AE23" s="62"/>
      <c r="AF23" s="62"/>
      <c r="AG23" s="62"/>
      <c r="AH23" s="62"/>
      <c r="AI23" s="62"/>
    </row>
    <row r="24" spans="1:51" ht="21" customHeight="1" x14ac:dyDescent="0.25">
      <c r="A24" s="29"/>
      <c r="B24" s="29"/>
      <c r="C24" s="121"/>
      <c r="D24" s="120"/>
      <c r="E24" s="29"/>
      <c r="F24" s="29"/>
      <c r="G24" s="29"/>
      <c r="H24" s="29"/>
      <c r="I24" s="29"/>
      <c r="J24" s="29"/>
      <c r="K24" s="29"/>
      <c r="P24" s="127"/>
      <c r="Q24" s="127"/>
      <c r="R24" s="62"/>
      <c r="S24" s="62"/>
      <c r="T24" s="62"/>
      <c r="U24" s="62"/>
      <c r="V24" s="62"/>
      <c r="W24" s="62"/>
      <c r="X24" s="62"/>
      <c r="Y24" s="63"/>
      <c r="Z24" s="62"/>
      <c r="AA24" s="62"/>
      <c r="AB24" s="62"/>
      <c r="AC24" s="62"/>
      <c r="AD24" s="62"/>
      <c r="AE24" s="62"/>
      <c r="AF24" s="62"/>
      <c r="AG24" s="62"/>
      <c r="AH24" s="62"/>
      <c r="AI24" s="62"/>
    </row>
    <row r="25" spans="1:51" ht="21" customHeight="1" x14ac:dyDescent="0.25">
      <c r="A25" s="29"/>
      <c r="B25" s="29"/>
      <c r="C25" s="121"/>
      <c r="D25" s="120"/>
      <c r="E25" s="29"/>
      <c r="F25" s="29"/>
      <c r="G25" s="29"/>
      <c r="H25" s="29"/>
      <c r="I25" s="29"/>
      <c r="J25" s="29"/>
      <c r="K25" s="29"/>
      <c r="P25" s="127"/>
      <c r="Q25" s="127"/>
      <c r="R25" s="62"/>
      <c r="S25" s="62"/>
      <c r="T25" s="62"/>
      <c r="U25" s="62"/>
      <c r="V25" s="62"/>
      <c r="W25" s="62"/>
      <c r="X25" s="62"/>
      <c r="Y25" s="63"/>
      <c r="Z25" s="62"/>
      <c r="AA25" s="62"/>
      <c r="AB25" s="62"/>
      <c r="AC25" s="62"/>
      <c r="AD25" s="62"/>
      <c r="AE25" s="62"/>
      <c r="AF25" s="62"/>
      <c r="AG25" s="62"/>
      <c r="AH25" s="62"/>
      <c r="AI25" s="62"/>
    </row>
    <row r="26" spans="1:51" ht="21" customHeight="1" x14ac:dyDescent="0.25">
      <c r="A26" s="29"/>
      <c r="B26" s="29"/>
      <c r="C26" s="121"/>
      <c r="D26" s="120"/>
      <c r="E26" s="29"/>
      <c r="F26" s="29"/>
      <c r="G26" s="29"/>
      <c r="H26" s="29"/>
      <c r="I26" s="29"/>
      <c r="J26" s="29"/>
      <c r="K26" s="29"/>
      <c r="P26" s="127"/>
      <c r="Q26" s="127"/>
      <c r="R26" s="62"/>
      <c r="S26" s="62"/>
      <c r="T26" s="62"/>
      <c r="U26" s="62"/>
      <c r="V26" s="62"/>
      <c r="W26" s="62"/>
      <c r="X26" s="62"/>
      <c r="Y26" s="63"/>
      <c r="Z26" s="62"/>
      <c r="AA26" s="62"/>
      <c r="AB26" s="62"/>
      <c r="AC26" s="62"/>
      <c r="AD26" s="62"/>
      <c r="AE26" s="62"/>
      <c r="AF26" s="62"/>
      <c r="AG26" s="62"/>
      <c r="AH26" s="62"/>
      <c r="AI26" s="62"/>
    </row>
    <row r="27" spans="1:51" ht="20.100000000000001" customHeight="1" x14ac:dyDescent="0.25">
      <c r="P27" s="61"/>
      <c r="Q27" s="61"/>
      <c r="R27" s="61"/>
      <c r="S27" s="61"/>
      <c r="T27" s="61"/>
      <c r="V27" s="61"/>
      <c r="Z27" s="61"/>
      <c r="AA27" s="61"/>
      <c r="AD27" s="61"/>
      <c r="AE27" s="61"/>
      <c r="AF27" s="61"/>
      <c r="AG27" s="61"/>
    </row>
    <row r="28" spans="1:51" ht="20.100000000000001" customHeight="1" x14ac:dyDescent="0.25">
      <c r="P28" s="61"/>
      <c r="Q28" s="61"/>
      <c r="R28" s="61"/>
      <c r="S28" s="61"/>
      <c r="T28" s="61"/>
      <c r="V28" s="61"/>
      <c r="Z28" s="61"/>
      <c r="AA28" s="61"/>
      <c r="AD28" s="61"/>
      <c r="AE28" s="61"/>
      <c r="AF28" s="61"/>
      <c r="AG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</row>
    <row r="29" spans="1:51" ht="20.100000000000001" customHeight="1" x14ac:dyDescent="0.25">
      <c r="P29" s="61"/>
      <c r="Q29" s="61"/>
      <c r="R29" s="61"/>
      <c r="S29" s="61"/>
      <c r="T29" s="61"/>
      <c r="V29" s="61"/>
      <c r="Z29" s="61"/>
      <c r="AA29" s="61"/>
      <c r="AD29" s="61"/>
      <c r="AE29" s="61"/>
      <c r="AF29" s="61"/>
      <c r="AG29" s="61"/>
      <c r="AN29" s="61"/>
      <c r="AO29" s="61"/>
      <c r="AP29" s="61"/>
      <c r="AQ29" s="61"/>
      <c r="AR29" s="61"/>
      <c r="AS29" s="61"/>
      <c r="AT29" s="61"/>
      <c r="AU29" s="61"/>
      <c r="AV29" s="61"/>
      <c r="AW29" s="61"/>
      <c r="AX29" s="61"/>
      <c r="AY29" s="61"/>
    </row>
    <row r="30" spans="1:51" ht="20.100000000000001" customHeight="1" x14ac:dyDescent="0.25">
      <c r="P30" s="61"/>
      <c r="Q30" s="61"/>
      <c r="R30" s="61"/>
      <c r="S30" s="61"/>
      <c r="T30" s="61"/>
      <c r="V30" s="61"/>
      <c r="Z30" s="61"/>
      <c r="AA30" s="61"/>
      <c r="AD30" s="61"/>
      <c r="AE30" s="61"/>
      <c r="AF30" s="61"/>
      <c r="AG30" s="61"/>
      <c r="AN30" s="61"/>
      <c r="AO30" s="61"/>
      <c r="AP30" s="61"/>
      <c r="AQ30" s="61"/>
      <c r="AR30" s="61"/>
      <c r="AS30" s="61"/>
      <c r="AT30" s="61"/>
      <c r="AU30" s="61"/>
      <c r="AV30" s="61"/>
      <c r="AW30" s="61"/>
      <c r="AX30" s="61"/>
      <c r="AY30" s="61"/>
    </row>
    <row r="31" spans="1:51" ht="20.100000000000001" customHeight="1" x14ac:dyDescent="0.25">
      <c r="P31" s="61"/>
      <c r="Q31" s="61"/>
      <c r="R31" s="61"/>
      <c r="S31" s="61"/>
      <c r="T31" s="61"/>
      <c r="V31" s="61"/>
      <c r="Z31" s="61"/>
      <c r="AA31" s="61"/>
      <c r="AD31" s="61"/>
      <c r="AE31" s="61"/>
      <c r="AF31" s="61"/>
      <c r="AG31" s="61"/>
      <c r="AN31" s="61"/>
      <c r="AO31" s="61"/>
      <c r="AP31" s="61"/>
      <c r="AQ31" s="61"/>
      <c r="AR31" s="61"/>
      <c r="AS31" s="61"/>
      <c r="AT31" s="61"/>
      <c r="AU31" s="61"/>
      <c r="AV31" s="61"/>
      <c r="AW31" s="61"/>
      <c r="AX31" s="61"/>
      <c r="AY31" s="61"/>
    </row>
    <row r="32" spans="1:51" ht="20.100000000000001" customHeight="1" x14ac:dyDescent="0.25">
      <c r="P32" s="61"/>
      <c r="Q32" s="61"/>
      <c r="R32" s="61"/>
      <c r="S32" s="61"/>
      <c r="T32" s="61"/>
      <c r="V32" s="61"/>
      <c r="Z32" s="61"/>
      <c r="AA32" s="61"/>
      <c r="AD32" s="61"/>
      <c r="AE32" s="61"/>
      <c r="AF32" s="61"/>
      <c r="AG32" s="61"/>
      <c r="AN32" s="61"/>
      <c r="AO32" s="61"/>
      <c r="AP32" s="61"/>
      <c r="AQ32" s="61"/>
      <c r="AR32" s="61"/>
      <c r="AS32" s="61"/>
      <c r="AT32" s="61"/>
      <c r="AU32" s="61"/>
      <c r="AV32" s="61"/>
      <c r="AW32" s="61"/>
      <c r="AX32" s="61"/>
      <c r="AY32" s="61"/>
    </row>
    <row r="33" spans="16:51" ht="20.100000000000001" customHeight="1" x14ac:dyDescent="0.25">
      <c r="P33" s="61"/>
      <c r="Q33" s="61"/>
      <c r="R33" s="61"/>
      <c r="S33" s="61"/>
      <c r="T33" s="61"/>
      <c r="V33" s="61"/>
      <c r="Z33" s="61"/>
      <c r="AA33" s="61"/>
      <c r="AD33" s="61"/>
      <c r="AE33" s="61"/>
      <c r="AF33" s="61"/>
      <c r="AG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</row>
    <row r="34" spans="16:51" ht="20.100000000000001" customHeight="1" x14ac:dyDescent="0.25">
      <c r="P34" s="61"/>
      <c r="Q34" s="61"/>
      <c r="R34" s="61"/>
      <c r="S34" s="61"/>
      <c r="T34" s="61"/>
      <c r="V34" s="61"/>
      <c r="Z34" s="61"/>
      <c r="AA34" s="61"/>
      <c r="AD34" s="61"/>
      <c r="AE34" s="61"/>
      <c r="AF34" s="61"/>
      <c r="AG34" s="61"/>
      <c r="AN34" s="61"/>
      <c r="AO34" s="61"/>
      <c r="AP34" s="61"/>
      <c r="AQ34" s="61"/>
      <c r="AR34" s="61"/>
      <c r="AS34" s="61"/>
      <c r="AT34" s="61"/>
      <c r="AU34" s="61"/>
      <c r="AV34" s="61"/>
      <c r="AW34" s="61"/>
      <c r="AX34" s="61"/>
      <c r="AY34" s="61"/>
    </row>
    <row r="35" spans="16:51" ht="20.100000000000001" customHeight="1" x14ac:dyDescent="0.25">
      <c r="P35" s="62"/>
      <c r="R35" s="39"/>
      <c r="AN35" s="61"/>
      <c r="AO35" s="61"/>
      <c r="AP35" s="61"/>
      <c r="AQ35" s="61"/>
      <c r="AR35" s="61"/>
      <c r="AS35" s="61"/>
      <c r="AT35" s="61"/>
      <c r="AU35" s="61"/>
      <c r="AV35" s="61"/>
      <c r="AW35" s="61"/>
      <c r="AX35" s="61"/>
      <c r="AY35" s="61"/>
    </row>
    <row r="36" spans="16:51" ht="20.100000000000001" customHeight="1" x14ac:dyDescent="0.25">
      <c r="P36" s="62"/>
      <c r="R36" s="39"/>
    </row>
    <row r="37" spans="16:51" ht="20.100000000000001" customHeight="1" x14ac:dyDescent="0.25">
      <c r="R37" s="39"/>
    </row>
    <row r="38" spans="16:51" ht="20.100000000000001" customHeight="1" x14ac:dyDescent="0.25">
      <c r="R38" s="39"/>
    </row>
    <row r="39" spans="16:51" ht="20.100000000000001" customHeight="1" x14ac:dyDescent="0.25">
      <c r="R39" s="39"/>
    </row>
    <row r="40" spans="16:51" ht="20.100000000000001" customHeight="1" x14ac:dyDescent="0.25">
      <c r="R40" s="39"/>
    </row>
    <row r="41" spans="16:51" ht="20.100000000000001" customHeight="1" x14ac:dyDescent="0.25">
      <c r="R41" s="39"/>
    </row>
    <row r="42" spans="16:51" ht="20.100000000000001" customHeight="1" x14ac:dyDescent="0.25">
      <c r="R42" s="39"/>
    </row>
    <row r="43" spans="16:51" ht="20.100000000000001" customHeight="1" x14ac:dyDescent="0.25">
      <c r="R43" s="39"/>
    </row>
    <row r="44" spans="16:51" ht="20.100000000000001" customHeight="1" x14ac:dyDescent="0.25">
      <c r="R44" s="39"/>
    </row>
    <row r="45" spans="16:51" ht="20.100000000000001" customHeight="1" x14ac:dyDescent="0.25">
      <c r="R45" s="39"/>
    </row>
    <row r="46" spans="16:51" ht="20.100000000000001" customHeight="1" x14ac:dyDescent="0.25">
      <c r="R46" s="39"/>
    </row>
    <row r="47" spans="16:51" ht="20.100000000000001" customHeight="1" x14ac:dyDescent="0.25">
      <c r="R47" s="39"/>
    </row>
    <row r="48" spans="16:51" ht="20.100000000000001" customHeight="1" x14ac:dyDescent="0.25">
      <c r="R48" s="39"/>
    </row>
    <row r="49" spans="18:18" ht="20.100000000000001" customHeight="1" x14ac:dyDescent="0.25">
      <c r="R49" s="39"/>
    </row>
    <row r="50" spans="18:18" ht="20.100000000000001" customHeight="1" x14ac:dyDescent="0.25">
      <c r="R50" s="39"/>
    </row>
    <row r="51" spans="18:18" ht="20.100000000000001" customHeight="1" x14ac:dyDescent="0.25">
      <c r="R51" s="39"/>
    </row>
    <row r="52" spans="18:18" ht="20.100000000000001" customHeight="1" x14ac:dyDescent="0.25">
      <c r="R52" s="39"/>
    </row>
  </sheetData>
  <phoneticPr fontId="13" type="noConversion"/>
  <conditionalFormatting sqref="A4:K26 P4:AI26 AN4:BA4 AN5:AR12 AT5:BA12 BF4:BI10">
    <cfRule type="containsText" dxfId="78" priority="6" operator="containsText" text="【">
      <formula>NOT(ISERROR(SEARCH("【",A4)))</formula>
    </cfRule>
  </conditionalFormatting>
  <conditionalFormatting sqref="A4:A26">
    <cfRule type="containsText" dxfId="77" priority="5" operator="containsText" text="【">
      <formula>NOT(ISERROR(SEARCH("【",A4)))</formula>
    </cfRule>
  </conditionalFormatting>
  <conditionalFormatting sqref="D4:J26 R4:W26 AT4:BA12 BG4:BI10">
    <cfRule type="notContainsBlanks" dxfId="76" priority="8">
      <formula>LEN(TRIM(D4))&gt;0</formula>
    </cfRule>
  </conditionalFormatting>
  <conditionalFormatting sqref="A4:K4 P4:AI4 AN4:BA4 BF4:BI4">
    <cfRule type="notContainsBlanks" dxfId="75" priority="4">
      <formula>LEN(TRIM(A4))&gt;0</formula>
    </cfRule>
  </conditionalFormatting>
  <conditionalFormatting sqref="AS5:AS12">
    <cfRule type="containsText" dxfId="74" priority="3" operator="containsText" text="【">
      <formula>NOT(ISERROR(SEARCH("【",AS5)))</formula>
    </cfRule>
  </conditionalFormatting>
  <conditionalFormatting sqref="I1">
    <cfRule type="containsText" dxfId="73" priority="1" operator="containsText" text="【">
      <formula>NOT(ISERROR(SEARCH("【",I1)))</formula>
    </cfRule>
  </conditionalFormatting>
  <conditionalFormatting sqref="I1">
    <cfRule type="notContainsBlanks" dxfId="72" priority="2">
      <formula>LEN(TRIM(I1))&gt;0</formula>
    </cfRule>
  </conditionalFormatting>
  <dataValidations count="17">
    <dataValidation type="list" allowBlank="1" showInputMessage="1" showErrorMessage="1" sqref="BH1 BH4:BH10" xr:uid="{00000000-0002-0000-0300-000002000000}">
      <formula1>dd_中资属性</formula1>
    </dataValidation>
    <dataValidation type="list" allowBlank="1" showInputMessage="1" showErrorMessage="1" sqref="BI1 BI5:BI10" xr:uid="{00000000-0002-0000-0300-000003000000}">
      <formula1>dd_板块</formula1>
    </dataValidation>
    <dataValidation type="list" allowBlank="1" showInputMessage="1" showErrorMessage="1" sqref="AY1 AY4:AY12" xr:uid="{99BFFB53-B38D-40D3-8663-38F15ACF9F54}">
      <formula1>"--,Sole,Left-lead,Lead"</formula1>
    </dataValidation>
    <dataValidation type="list" allowBlank="1" showInputMessage="1" sqref="AZ1 AZ5:AZ12" xr:uid="{CB096AB9-FDB8-4552-9C42-68264AF37713}">
      <formula1>"--,B&amp;D FOP,B&amp;D DvP,Arranger,DM,CCDC"</formula1>
    </dataValidation>
    <dataValidation type="list" allowBlank="1" showInputMessage="1" sqref="BA1 BA5:BA12" xr:uid="{6411A959-20E5-4337-AA9F-75101C5E704D}">
      <formula1>"--,合名"</formula1>
    </dataValidation>
    <dataValidation type="list" allowBlank="1" showInputMessage="1" sqref="AX1 AX5:AX12" xr:uid="{3E454A5F-36EA-4840-AEAE-0DBBC1E9E30B}">
      <formula1>dd_BISL_ROLE</formula1>
    </dataValidation>
    <dataValidation type="list" allowBlank="1" showInputMessage="1" sqref="BI4" xr:uid="{7F58D390-3378-43F6-9007-729FF4991E98}">
      <formula1>dd_板块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V1 S4:S26" xr:uid="{6BE86BC5-A580-4469-A83C-50849458266E}"/>
    <dataValidation allowBlank="1" showInputMessage="1" showErrorMessage="1" promptTitle="FPG Format" prompt="No need to write bp_x000a_Decimal follow BBG_x000a__x000a_3.20%_x000a_3.8%_x000a_T+100_x000a_" sqref="W1 T4:T26" xr:uid="{9DC2CDDF-02A4-46D0-9060-1915C70FB108}"/>
    <dataValidation type="list" allowBlank="1" showInputMessage="1" showErrorMessage="1" sqref="W4:W26 Z1" xr:uid="{9603EDB2-06F0-4BAF-8AE1-2933FEC0AE55}">
      <formula1>$Z$1</formula1>
    </dataValidation>
    <dataValidation type="list" allowBlank="1" showInputMessage="1" showErrorMessage="1" sqref="AT1 AT5:AT12" xr:uid="{9AD15052-9D16-43CA-833E-3464C184A18B}">
      <formula1>dd_coverage</formula1>
    </dataValidation>
    <dataValidation type="list" allowBlank="1" showInputMessage="1" showErrorMessage="1" sqref="AU1 AU5:AU12" xr:uid="{4C13DF36-2ABE-480F-A19C-E364241326EC}">
      <formula1>dd_sfcrole</formula1>
    </dataValidation>
    <dataValidation type="list" allowBlank="1" showInputMessage="1" sqref="AB1 X4:X26" xr:uid="{B7F52B64-A9FC-42A7-8464-E03AF3CC47DD}">
      <formula1>dd_货币</formula1>
    </dataValidation>
    <dataValidation type="list" allowBlank="1" showInputMessage="1" sqref="AA1 G1 G4:G26" xr:uid="{5AA57038-BDF6-4CDB-8A0F-5183238A2768}">
      <formula1>dd_结构</formula1>
    </dataValidation>
    <dataValidation type="list" allowBlank="1" showInputMessage="1" sqref="H1 H4:H26" xr:uid="{AFB12E78-63B6-489C-9938-7EC74A6D9CAB}">
      <formula1>dd_备证行</formula1>
    </dataValidation>
    <dataValidation type="list" allowBlank="1" showInputMessage="1" sqref="U1 R4:R26" xr:uid="{554083BD-88BD-4339-8C84-D02ACA32408B}">
      <formula1>"Green,Blue,Sustainable,SLB,--"</formula1>
    </dataValidation>
    <dataValidation type="list" allowBlank="1" showInputMessage="1" showErrorMessage="1" errorTitle="Clear Cell Value" error="If there is no need to hide or delete anymore" sqref="F1 A4:A26" xr:uid="{00E399D1-FBBE-4EBF-898B-16755D1B6777}">
      <formula1>"【删除】,【隐藏】"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70C0"/>
  </sheetPr>
  <dimension ref="A1:AV54"/>
  <sheetViews>
    <sheetView topLeftCell="S1" zoomScale="85" zoomScaleNormal="85" workbookViewId="0">
      <selection activeCell="S9" sqref="S9"/>
    </sheetView>
  </sheetViews>
  <sheetFormatPr defaultColWidth="8.88671875" defaultRowHeight="15" x14ac:dyDescent="0.25"/>
  <cols>
    <col min="1" max="1" width="9.33203125" style="1" bestFit="1" customWidth="1"/>
    <col min="2" max="2" width="14" style="1" bestFit="1" customWidth="1"/>
    <col min="3" max="3" width="49.5546875" style="1" bestFit="1" customWidth="1"/>
    <col min="4" max="4" width="4.33203125" style="1" bestFit="1" customWidth="1"/>
    <col min="5" max="5" width="6" style="1" bestFit="1" customWidth="1"/>
    <col min="6" max="6" width="4.6640625" style="1" bestFit="1" customWidth="1"/>
    <col min="7" max="7" width="8.33203125" style="1" bestFit="1" customWidth="1"/>
    <col min="8" max="8" width="7.6640625" style="1" bestFit="1" customWidth="1"/>
    <col min="9" max="9" width="6" style="1" bestFit="1" customWidth="1"/>
    <col min="10" max="10" width="5.33203125" style="1" bestFit="1" customWidth="1"/>
    <col min="11" max="11" width="5.88671875" style="1" bestFit="1" customWidth="1"/>
    <col min="12" max="12" width="20.88671875" style="1" bestFit="1" customWidth="1"/>
    <col min="13" max="13" width="9.33203125" style="1" bestFit="1" customWidth="1"/>
    <col min="14" max="14" width="7.6640625" style="1" bestFit="1" customWidth="1"/>
    <col min="15" max="15" width="8.88671875" style="1"/>
    <col min="16" max="16" width="5.5546875" style="1" bestFit="1" customWidth="1"/>
    <col min="17" max="17" width="14" style="1" bestFit="1" customWidth="1"/>
    <col min="18" max="18" width="9.33203125" style="1" bestFit="1" customWidth="1"/>
    <col min="19" max="19" width="20.6640625" style="1" bestFit="1" customWidth="1"/>
    <col min="20" max="20" width="7.6640625" style="1" bestFit="1" customWidth="1"/>
    <col min="21" max="21" width="4.6640625" style="1" bestFit="1" customWidth="1"/>
    <col min="22" max="22" width="10.44140625" style="1" bestFit="1" customWidth="1"/>
    <col min="23" max="23" width="4.33203125" style="1" bestFit="1" customWidth="1"/>
    <col min="24" max="24" width="5.77734375" style="1" bestFit="1" customWidth="1"/>
    <col min="25" max="25" width="6.6640625" style="1" bestFit="1" customWidth="1"/>
    <col min="26" max="26" width="7.6640625" style="1" bestFit="1" customWidth="1"/>
    <col min="27" max="27" width="8.88671875" style="1" bestFit="1" customWidth="1"/>
    <col min="28" max="28" width="11" style="1" bestFit="1" customWidth="1"/>
    <col min="29" max="29" width="8.33203125" style="1" bestFit="1" customWidth="1"/>
    <col min="30" max="30" width="4.33203125" style="1" bestFit="1" customWidth="1"/>
    <col min="31" max="31" width="13.5546875" style="1" bestFit="1" customWidth="1"/>
    <col min="32" max="32" width="6" style="1" bestFit="1" customWidth="1"/>
    <col min="33" max="33" width="7.77734375" style="1" bestFit="1" customWidth="1"/>
    <col min="34" max="34" width="15.109375" style="1" bestFit="1" customWidth="1"/>
    <col min="35" max="35" width="15.33203125" style="1" bestFit="1" customWidth="1"/>
    <col min="36" max="36" width="6.109375" style="1" bestFit="1" customWidth="1"/>
    <col min="37" max="37" width="5.88671875" style="1" bestFit="1" customWidth="1"/>
    <col min="38" max="38" width="9.44140625" style="1" bestFit="1" customWidth="1"/>
    <col min="39" max="39" width="36.77734375" style="1" bestFit="1" customWidth="1"/>
    <col min="40" max="40" width="12.5546875" style="1" bestFit="1" customWidth="1"/>
    <col min="41" max="41" width="9.21875" style="1" bestFit="1" customWidth="1"/>
    <col min="42" max="42" width="7.5546875" style="1" bestFit="1" customWidth="1"/>
    <col min="43" max="43" width="9.21875" style="1" bestFit="1" customWidth="1"/>
    <col min="44" max="44" width="5.88671875" style="1" bestFit="1" customWidth="1"/>
    <col min="45" max="45" width="12" style="1" bestFit="1" customWidth="1"/>
    <col min="46" max="47" width="5.88671875" style="1" bestFit="1" customWidth="1"/>
    <col min="48" max="49" width="5.77734375" style="1" bestFit="1" customWidth="1"/>
    <col min="50" max="50" width="9.21875" style="1" bestFit="1" customWidth="1"/>
    <col min="51" max="51" width="9" style="1" bestFit="1" customWidth="1"/>
    <col min="52" max="54" width="5.88671875" style="1" bestFit="1" customWidth="1"/>
    <col min="55" max="55" width="9.21875" style="1" bestFit="1" customWidth="1"/>
    <col min="56" max="56" width="7.5546875" style="1" bestFit="1" customWidth="1"/>
    <col min="57" max="57" width="7.109375" style="1" bestFit="1" customWidth="1"/>
    <col min="58" max="58" width="7.5546875" style="1" bestFit="1" customWidth="1"/>
    <col min="59" max="59" width="5.88671875" style="1" bestFit="1" customWidth="1"/>
    <col min="60" max="60" width="9.21875" style="1" bestFit="1" customWidth="1"/>
    <col min="61" max="61" width="12.5546875" style="1" bestFit="1" customWidth="1"/>
    <col min="62" max="62" width="5.88671875" style="1" bestFit="1" customWidth="1"/>
    <col min="63" max="63" width="5.77734375" style="1" bestFit="1" customWidth="1"/>
    <col min="64" max="64" width="5.44140625" style="1" bestFit="1" customWidth="1"/>
    <col min="65" max="65" width="11.109375" style="1" bestFit="1" customWidth="1"/>
    <col min="66" max="66" width="12.5546875" style="1" bestFit="1" customWidth="1"/>
    <col min="67" max="67" width="10.33203125" style="1" bestFit="1" customWidth="1"/>
    <col min="68" max="68" width="13.33203125" style="1" bestFit="1" customWidth="1"/>
    <col min="69" max="72" width="9.21875" style="1" bestFit="1" customWidth="1"/>
    <col min="73" max="73" width="11.44140625" style="1" bestFit="1" customWidth="1"/>
    <col min="74" max="74" width="9.21875" style="1" bestFit="1" customWidth="1"/>
    <col min="75" max="75" width="15.21875" style="1" bestFit="1" customWidth="1"/>
    <col min="76" max="76" width="13.5546875" style="1" bestFit="1" customWidth="1"/>
    <col min="77" max="77" width="11.109375" style="1" bestFit="1" customWidth="1"/>
    <col min="78" max="79" width="10.88671875" style="1" bestFit="1" customWidth="1"/>
    <col min="80" max="80" width="9.21875" style="1" bestFit="1" customWidth="1"/>
    <col min="81" max="81" width="8.77734375" style="1" bestFit="1" customWidth="1"/>
    <col min="82" max="82" width="9.21875" style="1" bestFit="1" customWidth="1"/>
    <col min="83" max="83" width="10.109375" style="1" bestFit="1" customWidth="1"/>
    <col min="84" max="84" width="10.33203125" style="1" bestFit="1" customWidth="1"/>
    <col min="85" max="85" width="15.109375" style="1" bestFit="1" customWidth="1"/>
    <col min="86" max="86" width="10.44140625" style="1" bestFit="1" customWidth="1"/>
    <col min="87" max="87" width="5.88671875" style="1" bestFit="1" customWidth="1"/>
    <col min="88" max="88" width="9.21875" style="1" bestFit="1" customWidth="1"/>
    <col min="89" max="89" width="10.44140625" style="1" bestFit="1" customWidth="1"/>
    <col min="90" max="90" width="14.5546875" style="1" bestFit="1" customWidth="1"/>
    <col min="91" max="91" width="16.21875" style="1" bestFit="1" customWidth="1"/>
    <col min="92" max="92" width="17.44140625" style="1" bestFit="1" customWidth="1"/>
    <col min="93" max="93" width="15.44140625" style="1" bestFit="1" customWidth="1"/>
    <col min="94" max="94" width="7.109375" style="1" bestFit="1" customWidth="1"/>
    <col min="95" max="95" width="17.44140625" style="1" bestFit="1" customWidth="1"/>
    <col min="96" max="96" width="15.44140625" style="1" bestFit="1" customWidth="1"/>
    <col min="97" max="97" width="7.109375" style="1" bestFit="1" customWidth="1"/>
    <col min="98" max="98" width="12.77734375" style="1" bestFit="1" customWidth="1"/>
    <col min="99" max="100" width="7.109375" style="1" bestFit="1" customWidth="1"/>
    <col min="101" max="101" width="7.33203125" style="1" bestFit="1" customWidth="1"/>
    <col min="102" max="102" width="9.21875" style="1" bestFit="1" customWidth="1"/>
    <col min="103" max="103" width="15.109375" style="1" bestFit="1" customWidth="1"/>
    <col min="104" max="104" width="17.44140625" style="1" bestFit="1" customWidth="1"/>
    <col min="105" max="105" width="19.109375" style="1" bestFit="1" customWidth="1"/>
    <col min="106" max="106" width="9.21875" style="1" bestFit="1" customWidth="1"/>
    <col min="107" max="107" width="7.109375" style="1" bestFit="1" customWidth="1"/>
    <col min="108" max="108" width="15.33203125" style="1" bestFit="1" customWidth="1"/>
    <col min="109" max="109" width="18.21875" style="1" bestFit="1" customWidth="1"/>
    <col min="110" max="110" width="19.109375" style="1" bestFit="1" customWidth="1"/>
    <col min="111" max="111" width="9.44140625" style="1" bestFit="1" customWidth="1"/>
    <col min="112" max="113" width="7.33203125" style="1" bestFit="1" customWidth="1"/>
    <col min="114" max="114" width="18.109375" style="1" bestFit="1" customWidth="1"/>
    <col min="115" max="115" width="19" style="1" bestFit="1" customWidth="1"/>
    <col min="116" max="116" width="9.44140625" style="1" bestFit="1" customWidth="1"/>
    <col min="117" max="117" width="7.33203125" style="1" bestFit="1" customWidth="1"/>
    <col min="118" max="16384" width="8.88671875" style="1"/>
  </cols>
  <sheetData>
    <row r="1" spans="1:48" ht="91.5" customHeight="1" x14ac:dyDescent="0.25">
      <c r="A1" s="137">
        <f>COUNTA(charts[ISIN])</f>
        <v>14</v>
      </c>
      <c r="B1" s="7" t="s">
        <v>145</v>
      </c>
      <c r="Q1" s="139">
        <f>COUNTA(Table_graph_weeklydeal[Index])</f>
        <v>11</v>
      </c>
      <c r="R1" s="138" t="s">
        <v>475</v>
      </c>
      <c r="S1" s="139">
        <f>ROUND(SUM(Table_graph_weeklydeal[亿美元]),1)</f>
        <v>21.9</v>
      </c>
      <c r="T1" s="138" t="s">
        <v>183</v>
      </c>
      <c r="AV1" s="4"/>
    </row>
    <row r="2" spans="1:48" ht="42" customHeight="1" x14ac:dyDescent="0.25">
      <c r="A2" s="136" t="s">
        <v>189</v>
      </c>
      <c r="Q2" s="138" t="s">
        <v>195</v>
      </c>
    </row>
    <row r="8" spans="1:48" x14ac:dyDescent="0.25">
      <c r="A8" t="s">
        <v>50</v>
      </c>
      <c r="B8" t="s">
        <v>49</v>
      </c>
      <c r="C8" t="s">
        <v>48</v>
      </c>
      <c r="D8" t="s">
        <v>89</v>
      </c>
      <c r="E8" t="s">
        <v>183</v>
      </c>
      <c r="F8" t="s">
        <v>65</v>
      </c>
      <c r="G8" t="s">
        <v>240</v>
      </c>
      <c r="H8" t="s">
        <v>95</v>
      </c>
      <c r="I8" t="s">
        <v>109</v>
      </c>
      <c r="J8" t="s">
        <v>120</v>
      </c>
      <c r="L8" t="s">
        <v>286</v>
      </c>
      <c r="M8" t="s">
        <v>287</v>
      </c>
      <c r="N8" t="s">
        <v>288</v>
      </c>
      <c r="P8" t="s">
        <v>88</v>
      </c>
      <c r="Q8" t="s">
        <v>49</v>
      </c>
      <c r="R8" t="s">
        <v>50</v>
      </c>
      <c r="S8" t="s">
        <v>175</v>
      </c>
      <c r="T8" t="s">
        <v>144</v>
      </c>
      <c r="U8" t="s">
        <v>65</v>
      </c>
      <c r="V8" t="s">
        <v>58</v>
      </c>
      <c r="W8" t="s">
        <v>89</v>
      </c>
      <c r="X8" t="s">
        <v>122</v>
      </c>
      <c r="Y8" t="s">
        <v>90</v>
      </c>
      <c r="Z8" t="s">
        <v>176</v>
      </c>
      <c r="AA8" t="s">
        <v>92</v>
      </c>
      <c r="AB8" t="s">
        <v>36</v>
      </c>
      <c r="AC8" t="s">
        <v>240</v>
      </c>
      <c r="AD8" t="s">
        <v>91</v>
      </c>
      <c r="AE8" t="s">
        <v>157</v>
      </c>
      <c r="AF8" t="s">
        <v>183</v>
      </c>
    </row>
    <row r="9" spans="1:48" x14ac:dyDescent="0.25">
      <c r="A9" s="49">
        <v>45191</v>
      </c>
      <c r="B9" s="149" t="s">
        <v>834</v>
      </c>
      <c r="C9" t="s">
        <v>849</v>
      </c>
      <c r="D9" s="149">
        <v>3</v>
      </c>
      <c r="E9" s="149">
        <v>1</v>
      </c>
      <c r="F9" t="s">
        <v>87</v>
      </c>
      <c r="G9" t="s">
        <v>279</v>
      </c>
      <c r="H9" t="s">
        <v>118</v>
      </c>
      <c r="I9" t="s">
        <v>516</v>
      </c>
      <c r="J9" t="s">
        <v>517</v>
      </c>
      <c r="L9" t="s">
        <v>825</v>
      </c>
      <c r="M9">
        <v>25.085999999999999</v>
      </c>
      <c r="N9">
        <v>15</v>
      </c>
      <c r="P9" s="149">
        <v>11</v>
      </c>
      <c r="Q9" s="149" t="s">
        <v>834</v>
      </c>
      <c r="R9" s="49">
        <v>45191</v>
      </c>
      <c r="S9" t="s">
        <v>992</v>
      </c>
      <c r="T9" t="s">
        <v>85</v>
      </c>
      <c r="U9" t="s">
        <v>87</v>
      </c>
      <c r="V9" s="149">
        <v>1</v>
      </c>
      <c r="W9" t="s">
        <v>160</v>
      </c>
      <c r="X9" t="s">
        <v>858</v>
      </c>
      <c r="Y9" t="s">
        <v>7</v>
      </c>
      <c r="Z9" s="149" t="s">
        <v>7</v>
      </c>
      <c r="AA9" t="s">
        <v>114</v>
      </c>
      <c r="AB9" t="s">
        <v>7</v>
      </c>
      <c r="AC9" t="s">
        <v>279</v>
      </c>
      <c r="AD9" t="s">
        <v>15</v>
      </c>
      <c r="AE9" t="s">
        <v>7</v>
      </c>
      <c r="AF9" s="149">
        <v>1</v>
      </c>
    </row>
    <row r="10" spans="1:48" x14ac:dyDescent="0.25">
      <c r="A10" s="49">
        <v>45191</v>
      </c>
      <c r="B10" s="149" t="s">
        <v>832</v>
      </c>
      <c r="C10" t="s">
        <v>833</v>
      </c>
      <c r="D10" s="149">
        <v>5</v>
      </c>
      <c r="E10" s="149">
        <v>1</v>
      </c>
      <c r="F10" t="s">
        <v>87</v>
      </c>
      <c r="G10" t="s">
        <v>278</v>
      </c>
      <c r="H10" t="s">
        <v>118</v>
      </c>
      <c r="I10" t="s">
        <v>516</v>
      </c>
      <c r="J10" t="s">
        <v>558</v>
      </c>
      <c r="P10" s="149">
        <v>10</v>
      </c>
      <c r="Q10" s="149" t="s">
        <v>581</v>
      </c>
      <c r="R10" s="49">
        <v>45190</v>
      </c>
      <c r="S10" t="s">
        <v>993</v>
      </c>
      <c r="T10" t="s">
        <v>85</v>
      </c>
      <c r="U10" t="s">
        <v>108</v>
      </c>
      <c r="V10" s="149">
        <v>10.65</v>
      </c>
      <c r="W10" t="s">
        <v>160</v>
      </c>
      <c r="X10" t="s">
        <v>674</v>
      </c>
      <c r="Y10" t="s">
        <v>7</v>
      </c>
      <c r="Z10" s="149" t="s">
        <v>7</v>
      </c>
      <c r="AA10" t="s">
        <v>114</v>
      </c>
      <c r="AB10" t="s">
        <v>556</v>
      </c>
      <c r="AC10" t="s">
        <v>279</v>
      </c>
      <c r="AD10" t="s">
        <v>15</v>
      </c>
      <c r="AE10" t="s">
        <v>7</v>
      </c>
      <c r="AF10" s="149">
        <v>1.4590000000000001</v>
      </c>
    </row>
    <row r="11" spans="1:48" x14ac:dyDescent="0.25">
      <c r="A11" s="49">
        <v>45190</v>
      </c>
      <c r="B11" s="149" t="s">
        <v>581</v>
      </c>
      <c r="C11" t="s">
        <v>672</v>
      </c>
      <c r="D11" s="149">
        <v>3</v>
      </c>
      <c r="E11" s="149">
        <v>1.4590000000000001</v>
      </c>
      <c r="F11" t="s">
        <v>108</v>
      </c>
      <c r="G11" t="s">
        <v>279</v>
      </c>
      <c r="H11" t="s">
        <v>118</v>
      </c>
      <c r="I11" t="s">
        <v>556</v>
      </c>
      <c r="J11" t="s">
        <v>517</v>
      </c>
      <c r="P11" s="149">
        <v>9</v>
      </c>
      <c r="Q11" s="149" t="s">
        <v>595</v>
      </c>
      <c r="R11" s="49">
        <v>45189</v>
      </c>
      <c r="S11" t="s">
        <v>827</v>
      </c>
      <c r="T11" t="s">
        <v>989</v>
      </c>
      <c r="U11" t="s">
        <v>108</v>
      </c>
      <c r="V11" s="149">
        <v>18.600000000000001</v>
      </c>
      <c r="W11" t="s">
        <v>160</v>
      </c>
      <c r="X11" t="s">
        <v>820</v>
      </c>
      <c r="Y11" t="s">
        <v>818</v>
      </c>
      <c r="Z11" s="149">
        <v>10</v>
      </c>
      <c r="AA11" t="s">
        <v>114</v>
      </c>
      <c r="AB11" t="s">
        <v>828</v>
      </c>
      <c r="AC11" t="s">
        <v>279</v>
      </c>
      <c r="AD11" t="s">
        <v>35</v>
      </c>
      <c r="AE11" t="s">
        <v>7</v>
      </c>
      <c r="AF11" s="149">
        <v>2.548</v>
      </c>
    </row>
    <row r="12" spans="1:48" x14ac:dyDescent="0.25">
      <c r="A12" s="49">
        <v>45189</v>
      </c>
      <c r="B12" s="149" t="s">
        <v>586</v>
      </c>
      <c r="C12" t="s">
        <v>701</v>
      </c>
      <c r="D12" s="149">
        <v>5</v>
      </c>
      <c r="E12" s="149">
        <v>1</v>
      </c>
      <c r="F12" t="s">
        <v>87</v>
      </c>
      <c r="G12" t="s">
        <v>278</v>
      </c>
      <c r="H12" t="s">
        <v>118</v>
      </c>
      <c r="I12" t="s">
        <v>516</v>
      </c>
      <c r="J12" t="s">
        <v>558</v>
      </c>
      <c r="L12" t="s">
        <v>290</v>
      </c>
      <c r="M12" t="s">
        <v>287</v>
      </c>
      <c r="N12" t="s">
        <v>288</v>
      </c>
      <c r="P12" s="149">
        <v>8</v>
      </c>
      <c r="Q12" s="149" t="s">
        <v>612</v>
      </c>
      <c r="R12" s="49">
        <v>45189</v>
      </c>
      <c r="S12" t="s">
        <v>803</v>
      </c>
      <c r="T12" t="s">
        <v>85</v>
      </c>
      <c r="U12" t="s">
        <v>108</v>
      </c>
      <c r="V12" s="149">
        <v>21.3</v>
      </c>
      <c r="W12" t="s">
        <v>160</v>
      </c>
      <c r="X12" t="s">
        <v>552</v>
      </c>
      <c r="Y12" t="s">
        <v>808</v>
      </c>
      <c r="Z12" s="149">
        <v>50</v>
      </c>
      <c r="AA12" t="s">
        <v>37</v>
      </c>
      <c r="AB12" t="s">
        <v>829</v>
      </c>
      <c r="AC12" t="s">
        <v>279</v>
      </c>
      <c r="AD12" t="s">
        <v>16</v>
      </c>
      <c r="AE12" t="s">
        <v>250</v>
      </c>
      <c r="AF12" s="149">
        <v>2.9180000000000001</v>
      </c>
    </row>
    <row r="13" spans="1:48" x14ac:dyDescent="0.25">
      <c r="A13" s="49">
        <v>45189</v>
      </c>
      <c r="B13" s="149" t="s">
        <v>563</v>
      </c>
      <c r="C13" t="s">
        <v>706</v>
      </c>
      <c r="D13" s="149">
        <v>3</v>
      </c>
      <c r="E13" s="149">
        <v>3.9</v>
      </c>
      <c r="F13" t="s">
        <v>87</v>
      </c>
      <c r="G13" t="s">
        <v>279</v>
      </c>
      <c r="H13" t="s">
        <v>118</v>
      </c>
      <c r="I13" t="s">
        <v>516</v>
      </c>
      <c r="J13" t="s">
        <v>517</v>
      </c>
      <c r="L13" t="s">
        <v>826</v>
      </c>
      <c r="M13">
        <v>24.368000000000002</v>
      </c>
      <c r="N13">
        <v>12</v>
      </c>
      <c r="P13" s="149">
        <v>7</v>
      </c>
      <c r="Q13" s="149" t="s">
        <v>560</v>
      </c>
      <c r="R13" s="49">
        <v>45189</v>
      </c>
      <c r="S13" t="s">
        <v>830</v>
      </c>
      <c r="T13" t="s">
        <v>85</v>
      </c>
      <c r="U13" t="s">
        <v>108</v>
      </c>
      <c r="V13" s="149">
        <v>7.3</v>
      </c>
      <c r="W13" t="s">
        <v>160</v>
      </c>
      <c r="X13" t="s">
        <v>729</v>
      </c>
      <c r="Y13" t="s">
        <v>812</v>
      </c>
      <c r="Z13" s="149">
        <v>6</v>
      </c>
      <c r="AA13" t="s">
        <v>115</v>
      </c>
      <c r="AB13" t="s">
        <v>828</v>
      </c>
      <c r="AC13" t="s">
        <v>279</v>
      </c>
      <c r="AD13" t="s">
        <v>17</v>
      </c>
      <c r="AE13" t="s">
        <v>249</v>
      </c>
      <c r="AF13" s="149">
        <v>1</v>
      </c>
    </row>
    <row r="14" spans="1:48" x14ac:dyDescent="0.25">
      <c r="A14" s="49">
        <v>45189</v>
      </c>
      <c r="B14" s="149" t="s">
        <v>624</v>
      </c>
      <c r="C14" t="s">
        <v>696</v>
      </c>
      <c r="D14" s="149">
        <v>5</v>
      </c>
      <c r="E14" s="149">
        <v>1.37</v>
      </c>
      <c r="F14" t="s">
        <v>108</v>
      </c>
      <c r="G14" t="s">
        <v>241</v>
      </c>
      <c r="H14" t="s">
        <v>118</v>
      </c>
      <c r="I14" t="s">
        <v>556</v>
      </c>
      <c r="J14" t="s">
        <v>558</v>
      </c>
      <c r="P14" s="149">
        <v>6</v>
      </c>
      <c r="Q14" s="149" t="s">
        <v>563</v>
      </c>
      <c r="R14" s="49">
        <v>45189</v>
      </c>
      <c r="S14" t="s">
        <v>823</v>
      </c>
      <c r="T14" t="s">
        <v>85</v>
      </c>
      <c r="U14" t="s">
        <v>87</v>
      </c>
      <c r="V14" s="149">
        <v>3.9</v>
      </c>
      <c r="W14" t="s">
        <v>160</v>
      </c>
      <c r="X14" t="s">
        <v>817</v>
      </c>
      <c r="Y14" t="s">
        <v>816</v>
      </c>
      <c r="Z14" s="149">
        <v>30</v>
      </c>
      <c r="AA14" t="s">
        <v>40</v>
      </c>
      <c r="AB14" t="s">
        <v>7</v>
      </c>
      <c r="AC14" t="s">
        <v>279</v>
      </c>
      <c r="AD14" t="s">
        <v>17</v>
      </c>
      <c r="AE14" t="s">
        <v>249</v>
      </c>
      <c r="AF14" s="149">
        <v>3.9</v>
      </c>
    </row>
    <row r="15" spans="1:48" x14ac:dyDescent="0.25">
      <c r="A15" s="49">
        <v>45189</v>
      </c>
      <c r="B15" s="149" t="s">
        <v>618</v>
      </c>
      <c r="C15" t="s">
        <v>686</v>
      </c>
      <c r="D15" s="149">
        <v>2</v>
      </c>
      <c r="E15" s="149">
        <v>5.48</v>
      </c>
      <c r="F15" t="s">
        <v>108</v>
      </c>
      <c r="G15" t="s">
        <v>241</v>
      </c>
      <c r="H15" t="s">
        <v>118</v>
      </c>
      <c r="I15" t="s">
        <v>556</v>
      </c>
      <c r="J15" t="s">
        <v>517</v>
      </c>
      <c r="P15" s="149">
        <v>5</v>
      </c>
      <c r="Q15" s="149" t="s">
        <v>624</v>
      </c>
      <c r="R15" s="49">
        <v>45189</v>
      </c>
      <c r="S15" t="s">
        <v>801</v>
      </c>
      <c r="T15" t="s">
        <v>85</v>
      </c>
      <c r="U15" t="s">
        <v>108</v>
      </c>
      <c r="V15" s="149">
        <v>10</v>
      </c>
      <c r="W15" t="s">
        <v>550</v>
      </c>
      <c r="X15" t="s">
        <v>698</v>
      </c>
      <c r="Y15" t="s">
        <v>809</v>
      </c>
      <c r="Z15" s="149">
        <v>32</v>
      </c>
      <c r="AA15" t="s">
        <v>37</v>
      </c>
      <c r="AB15" t="s">
        <v>831</v>
      </c>
      <c r="AC15" t="s">
        <v>241</v>
      </c>
      <c r="AD15" t="s">
        <v>12</v>
      </c>
      <c r="AE15" t="s">
        <v>251</v>
      </c>
      <c r="AF15" s="149">
        <v>1.37</v>
      </c>
    </row>
    <row r="16" spans="1:48" x14ac:dyDescent="0.25">
      <c r="A16" s="49">
        <v>45189</v>
      </c>
      <c r="B16" s="149" t="s">
        <v>595</v>
      </c>
      <c r="C16" t="s">
        <v>746</v>
      </c>
      <c r="D16" s="149">
        <v>3</v>
      </c>
      <c r="E16" s="149">
        <v>2.548</v>
      </c>
      <c r="F16" t="s">
        <v>108</v>
      </c>
      <c r="G16" t="s">
        <v>279</v>
      </c>
      <c r="H16" t="s">
        <v>142</v>
      </c>
      <c r="I16" t="s">
        <v>556</v>
      </c>
      <c r="J16" t="s">
        <v>517</v>
      </c>
      <c r="P16" s="149">
        <v>4</v>
      </c>
      <c r="Q16" s="149" t="s">
        <v>618</v>
      </c>
      <c r="R16" s="49">
        <v>45189</v>
      </c>
      <c r="S16" t="s">
        <v>801</v>
      </c>
      <c r="T16" t="s">
        <v>85</v>
      </c>
      <c r="U16" t="s">
        <v>108</v>
      </c>
      <c r="V16" s="149">
        <v>40</v>
      </c>
      <c r="W16" t="s">
        <v>549</v>
      </c>
      <c r="X16" t="s">
        <v>815</v>
      </c>
      <c r="Y16" t="s">
        <v>814</v>
      </c>
      <c r="Z16" s="149">
        <v>35</v>
      </c>
      <c r="AA16" t="s">
        <v>37</v>
      </c>
      <c r="AB16" t="s">
        <v>831</v>
      </c>
      <c r="AC16" t="s">
        <v>241</v>
      </c>
      <c r="AD16" t="s">
        <v>12</v>
      </c>
      <c r="AE16" t="s">
        <v>251</v>
      </c>
      <c r="AF16" s="149">
        <v>5.48</v>
      </c>
    </row>
    <row r="17" spans="1:32" x14ac:dyDescent="0.25">
      <c r="A17" s="49">
        <v>45189</v>
      </c>
      <c r="B17" s="149" t="s">
        <v>612</v>
      </c>
      <c r="C17" t="s">
        <v>734</v>
      </c>
      <c r="D17" s="149">
        <v>3</v>
      </c>
      <c r="E17" s="149">
        <v>2.9180000000000001</v>
      </c>
      <c r="F17" t="s">
        <v>108</v>
      </c>
      <c r="G17" t="s">
        <v>279</v>
      </c>
      <c r="H17" t="s">
        <v>118</v>
      </c>
      <c r="I17" t="s">
        <v>556</v>
      </c>
      <c r="J17" t="s">
        <v>517</v>
      </c>
      <c r="P17" s="149">
        <v>3</v>
      </c>
      <c r="Q17" s="149" t="s">
        <v>659</v>
      </c>
      <c r="R17" s="49">
        <v>45188</v>
      </c>
      <c r="S17" t="s">
        <v>805</v>
      </c>
      <c r="T17" t="s">
        <v>85</v>
      </c>
      <c r="U17" t="s">
        <v>108</v>
      </c>
      <c r="V17" s="149">
        <v>8</v>
      </c>
      <c r="W17" t="s">
        <v>160</v>
      </c>
      <c r="X17" t="s">
        <v>478</v>
      </c>
      <c r="Y17" t="s">
        <v>7</v>
      </c>
      <c r="Z17" s="149" t="s">
        <v>7</v>
      </c>
      <c r="AA17" t="s">
        <v>37</v>
      </c>
      <c r="AB17" t="s">
        <v>556</v>
      </c>
      <c r="AC17" t="s">
        <v>279</v>
      </c>
      <c r="AD17" t="s">
        <v>10</v>
      </c>
      <c r="AE17" t="s">
        <v>7</v>
      </c>
      <c r="AF17" s="149">
        <v>1.0960000000000001</v>
      </c>
    </row>
    <row r="18" spans="1:32" x14ac:dyDescent="0.25">
      <c r="A18" s="49">
        <v>45189</v>
      </c>
      <c r="B18" s="149" t="s">
        <v>560</v>
      </c>
      <c r="C18" t="s">
        <v>720</v>
      </c>
      <c r="D18" s="149">
        <v>3</v>
      </c>
      <c r="E18" s="149">
        <v>1</v>
      </c>
      <c r="F18" t="s">
        <v>108</v>
      </c>
      <c r="G18" t="s">
        <v>279</v>
      </c>
      <c r="H18" t="s">
        <v>118</v>
      </c>
      <c r="I18" t="s">
        <v>556</v>
      </c>
      <c r="J18" t="s">
        <v>517</v>
      </c>
      <c r="P18" s="149">
        <v>2</v>
      </c>
      <c r="Q18" s="149" t="s">
        <v>654</v>
      </c>
      <c r="R18" s="49">
        <v>45188</v>
      </c>
      <c r="S18" t="s">
        <v>804</v>
      </c>
      <c r="T18" t="s">
        <v>85</v>
      </c>
      <c r="U18" t="s">
        <v>87</v>
      </c>
      <c r="V18" s="149">
        <v>0.6</v>
      </c>
      <c r="W18" t="s">
        <v>551</v>
      </c>
      <c r="X18" t="s">
        <v>482</v>
      </c>
      <c r="Y18" t="s">
        <v>7</v>
      </c>
      <c r="Z18" s="149" t="s">
        <v>7</v>
      </c>
      <c r="AA18" t="s">
        <v>40</v>
      </c>
      <c r="AB18" t="s">
        <v>7</v>
      </c>
      <c r="AC18" t="s">
        <v>279</v>
      </c>
      <c r="AD18" t="s">
        <v>10</v>
      </c>
      <c r="AE18" t="s">
        <v>7</v>
      </c>
      <c r="AF18" s="149">
        <v>0.6</v>
      </c>
    </row>
    <row r="19" spans="1:32" x14ac:dyDescent="0.25">
      <c r="A19" s="49">
        <v>45188</v>
      </c>
      <c r="B19" s="149" t="s">
        <v>627</v>
      </c>
      <c r="C19" t="s">
        <v>760</v>
      </c>
      <c r="D19" s="149">
        <v>3</v>
      </c>
      <c r="E19" s="149">
        <v>0.95900000000000007</v>
      </c>
      <c r="F19" t="s">
        <v>108</v>
      </c>
      <c r="G19" t="s">
        <v>278</v>
      </c>
      <c r="H19" t="s">
        <v>118</v>
      </c>
      <c r="I19" t="s">
        <v>556</v>
      </c>
      <c r="J19" t="s">
        <v>517</v>
      </c>
      <c r="P19" s="149">
        <v>1</v>
      </c>
      <c r="Q19" s="149" t="s">
        <v>665</v>
      </c>
      <c r="R19" s="49">
        <v>45187</v>
      </c>
      <c r="S19" t="s">
        <v>991</v>
      </c>
      <c r="T19" t="s">
        <v>85</v>
      </c>
      <c r="U19" t="s">
        <v>108</v>
      </c>
      <c r="V19" s="149">
        <v>3.85</v>
      </c>
      <c r="W19" t="s">
        <v>160</v>
      </c>
      <c r="X19" t="s">
        <v>478</v>
      </c>
      <c r="Y19" t="s">
        <v>7</v>
      </c>
      <c r="Z19" s="149" t="s">
        <v>7</v>
      </c>
      <c r="AA19" t="s">
        <v>40</v>
      </c>
      <c r="AB19" t="s">
        <v>556</v>
      </c>
      <c r="AC19" t="s">
        <v>279</v>
      </c>
      <c r="AD19" t="s">
        <v>33</v>
      </c>
      <c r="AE19" t="s">
        <v>7</v>
      </c>
      <c r="AF19" s="149">
        <v>0.52700000000000002</v>
      </c>
    </row>
    <row r="20" spans="1:32" x14ac:dyDescent="0.25">
      <c r="A20" s="49">
        <v>45188</v>
      </c>
      <c r="B20" s="149" t="s">
        <v>654</v>
      </c>
      <c r="C20" t="s">
        <v>770</v>
      </c>
      <c r="D20" s="149">
        <v>1</v>
      </c>
      <c r="E20" s="149">
        <v>0.6</v>
      </c>
      <c r="F20" t="s">
        <v>87</v>
      </c>
      <c r="G20" t="s">
        <v>279</v>
      </c>
      <c r="H20" t="s">
        <v>118</v>
      </c>
      <c r="I20" t="s">
        <v>516</v>
      </c>
      <c r="J20" t="s">
        <v>557</v>
      </c>
    </row>
    <row r="21" spans="1:32" x14ac:dyDescent="0.25">
      <c r="A21" s="49">
        <v>45188</v>
      </c>
      <c r="B21" s="149" t="s">
        <v>659</v>
      </c>
      <c r="C21" t="s">
        <v>781</v>
      </c>
      <c r="D21" s="149">
        <v>3</v>
      </c>
      <c r="E21" s="149">
        <v>1.0960000000000001</v>
      </c>
      <c r="F21" t="s">
        <v>108</v>
      </c>
      <c r="G21" t="s">
        <v>279</v>
      </c>
      <c r="H21" t="s">
        <v>118</v>
      </c>
      <c r="I21" t="s">
        <v>556</v>
      </c>
      <c r="J21" t="s">
        <v>517</v>
      </c>
    </row>
    <row r="22" spans="1:32" x14ac:dyDescent="0.25">
      <c r="A22" s="49">
        <v>45187</v>
      </c>
      <c r="B22" s="149" t="s">
        <v>665</v>
      </c>
      <c r="C22" t="s">
        <v>790</v>
      </c>
      <c r="D22" s="149">
        <v>3</v>
      </c>
      <c r="E22" s="149">
        <v>0.52700000000000002</v>
      </c>
      <c r="F22" t="s">
        <v>108</v>
      </c>
      <c r="G22" t="s">
        <v>279</v>
      </c>
      <c r="H22" t="s">
        <v>118</v>
      </c>
      <c r="I22" t="s">
        <v>556</v>
      </c>
      <c r="J22" t="s">
        <v>517</v>
      </c>
    </row>
    <row r="54" spans="15:15" x14ac:dyDescent="0.25">
      <c r="O54"/>
    </row>
  </sheetData>
  <phoneticPr fontId="13" type="noConversion"/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50F76-D8DC-4C45-B2AD-D9249E46C226}">
  <sheetPr codeName="Sheet4">
    <tabColor theme="5" tint="-0.249977111117893"/>
  </sheetPr>
  <dimension ref="A1:G16"/>
  <sheetViews>
    <sheetView zoomScale="70" zoomScaleNormal="70" workbookViewId="0">
      <selection activeCell="D16" sqref="D16"/>
    </sheetView>
  </sheetViews>
  <sheetFormatPr defaultRowHeight="15" x14ac:dyDescent="0.25"/>
  <cols>
    <col min="1" max="1" width="25.21875" style="1" customWidth="1"/>
    <col min="2" max="2" width="10.88671875" style="1" customWidth="1"/>
    <col min="3" max="3" width="14.33203125" style="1" customWidth="1"/>
    <col min="4" max="4" width="113.44140625" style="1" customWidth="1"/>
    <col min="5" max="16384" width="8.88671875" style="1"/>
  </cols>
  <sheetData>
    <row r="1" spans="1:7" ht="46.5" x14ac:dyDescent="0.25">
      <c r="A1" s="21" t="s">
        <v>324</v>
      </c>
      <c r="B1" s="7"/>
      <c r="C1" s="7"/>
      <c r="D1" s="7"/>
      <c r="E1" s="6"/>
      <c r="F1" s="6"/>
      <c r="G1" s="6"/>
    </row>
    <row r="6" spans="1:7" x14ac:dyDescent="0.25">
      <c r="A6" t="s">
        <v>119</v>
      </c>
      <c r="B6" t="s">
        <v>240</v>
      </c>
      <c r="C6" t="s">
        <v>65</v>
      </c>
      <c r="D6" t="s">
        <v>323</v>
      </c>
    </row>
    <row r="7" spans="1:7" ht="57" customHeight="1" x14ac:dyDescent="0.25">
      <c r="A7" t="s">
        <v>805</v>
      </c>
      <c r="B7" s="149" t="s">
        <v>279</v>
      </c>
      <c r="C7" s="149" t="s">
        <v>108</v>
      </c>
      <c r="D7" s="48" t="s">
        <v>837</v>
      </c>
    </row>
    <row r="8" spans="1:7" ht="57" customHeight="1" x14ac:dyDescent="0.25">
      <c r="A8" t="s">
        <v>823</v>
      </c>
      <c r="B8" s="149" t="s">
        <v>279</v>
      </c>
      <c r="C8" s="149" t="s">
        <v>87</v>
      </c>
      <c r="D8" s="48" t="s">
        <v>842</v>
      </c>
    </row>
    <row r="9" spans="1:7" ht="57" customHeight="1" x14ac:dyDescent="0.25">
      <c r="A9" t="s">
        <v>991</v>
      </c>
      <c r="B9" s="149" t="s">
        <v>279</v>
      </c>
      <c r="C9" s="149" t="s">
        <v>108</v>
      </c>
      <c r="D9" s="48" t="s">
        <v>994</v>
      </c>
    </row>
    <row r="10" spans="1:7" ht="57" customHeight="1" x14ac:dyDescent="0.25">
      <c r="A10" t="s">
        <v>804</v>
      </c>
      <c r="B10" s="149" t="s">
        <v>279</v>
      </c>
      <c r="C10" s="149" t="s">
        <v>87</v>
      </c>
      <c r="D10" s="48" t="s">
        <v>838</v>
      </c>
    </row>
    <row r="11" spans="1:7" ht="57" customHeight="1" x14ac:dyDescent="0.25">
      <c r="A11" t="s">
        <v>824</v>
      </c>
      <c r="B11" s="149" t="s">
        <v>279</v>
      </c>
      <c r="C11" s="149" t="s">
        <v>108</v>
      </c>
      <c r="D11" s="48" t="s">
        <v>841</v>
      </c>
    </row>
    <row r="12" spans="1:7" ht="57" customHeight="1" x14ac:dyDescent="0.25">
      <c r="A12" t="s">
        <v>990</v>
      </c>
      <c r="B12" s="149" t="s">
        <v>279</v>
      </c>
      <c r="C12" s="149" t="s">
        <v>108</v>
      </c>
      <c r="D12" s="48" t="s">
        <v>995</v>
      </c>
    </row>
    <row r="13" spans="1:7" ht="57" customHeight="1" x14ac:dyDescent="0.25">
      <c r="A13" t="s">
        <v>865</v>
      </c>
      <c r="B13" s="149" t="s">
        <v>279</v>
      </c>
      <c r="C13" s="149" t="s">
        <v>87</v>
      </c>
      <c r="D13" s="48" t="s">
        <v>996</v>
      </c>
    </row>
    <row r="14" spans="1:7" x14ac:dyDescent="0.25">
      <c r="A14" t="s">
        <v>802</v>
      </c>
      <c r="B14" s="149" t="s">
        <v>279</v>
      </c>
      <c r="C14" s="149" t="s">
        <v>108</v>
      </c>
      <c r="D14" s="48" t="s">
        <v>997</v>
      </c>
    </row>
    <row r="15" spans="1:7" x14ac:dyDescent="0.25">
      <c r="A15" t="s">
        <v>803</v>
      </c>
      <c r="B15" s="149" t="s">
        <v>279</v>
      </c>
      <c r="C15" s="149" t="s">
        <v>108</v>
      </c>
      <c r="D15" s="48" t="s">
        <v>839</v>
      </c>
    </row>
    <row r="16" spans="1:7" ht="45" x14ac:dyDescent="0.25">
      <c r="A16" t="s">
        <v>801</v>
      </c>
      <c r="B16" s="149" t="s">
        <v>241</v>
      </c>
      <c r="C16" s="149" t="s">
        <v>108</v>
      </c>
      <c r="D16" s="48" t="s">
        <v>840</v>
      </c>
    </row>
  </sheetData>
  <conditionalFormatting sqref="D7:D16">
    <cfRule type="containsText" dxfId="71" priority="1" operator="containsText" text="担任">
      <formula>NOT(ISERROR(SEARCH("担任",D7)))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234473"/>
  </sheetPr>
  <dimension ref="A1:G21"/>
  <sheetViews>
    <sheetView zoomScale="85" zoomScaleNormal="85" workbookViewId="0">
      <selection activeCell="A9" sqref="A9:F15"/>
    </sheetView>
  </sheetViews>
  <sheetFormatPr defaultColWidth="8.88671875" defaultRowHeight="15" x14ac:dyDescent="0.25"/>
  <cols>
    <col min="1" max="1" width="21.88671875" style="1" bestFit="1" customWidth="1"/>
    <col min="2" max="2" width="11" style="1" bestFit="1" customWidth="1"/>
    <col min="3" max="3" width="23.88671875" style="1" bestFit="1" customWidth="1"/>
    <col min="4" max="4" width="20.6640625" style="1" bestFit="1" customWidth="1"/>
    <col min="5" max="5" width="109" style="1" bestFit="1" customWidth="1"/>
    <col min="6" max="6" width="55.21875" style="1" bestFit="1" customWidth="1"/>
    <col min="7" max="7" width="111.33203125" style="1" customWidth="1"/>
    <col min="8" max="16384" width="8.88671875" style="1"/>
  </cols>
  <sheetData>
    <row r="1" spans="1:7" ht="60.75" customHeight="1" x14ac:dyDescent="0.25">
      <c r="A1" s="21" t="s">
        <v>147</v>
      </c>
      <c r="B1" s="7"/>
      <c r="C1" s="7"/>
      <c r="D1" s="7"/>
      <c r="E1" s="6"/>
      <c r="F1" s="6"/>
      <c r="G1" s="6"/>
    </row>
    <row r="2" spans="1:7" ht="60.75" customHeight="1" x14ac:dyDescent="0.25">
      <c r="A2" s="18"/>
    </row>
    <row r="3" spans="1:7" ht="57" customHeight="1" x14ac:dyDescent="0.25">
      <c r="A3" s="7" t="s">
        <v>86</v>
      </c>
      <c r="E3" s="19"/>
      <c r="F3" s="19"/>
      <c r="G3" s="19"/>
    </row>
    <row r="4" spans="1:7" x14ac:dyDescent="0.25">
      <c r="A4" t="s">
        <v>88</v>
      </c>
      <c r="B4" t="s">
        <v>240</v>
      </c>
      <c r="C4" t="s">
        <v>65</v>
      </c>
      <c r="D4" t="s">
        <v>175</v>
      </c>
      <c r="E4" t="s">
        <v>146</v>
      </c>
      <c r="F4" t="s">
        <v>254</v>
      </c>
    </row>
    <row r="5" spans="1:7" x14ac:dyDescent="0.25">
      <c r="A5"/>
      <c r="B5"/>
      <c r="C5"/>
      <c r="D5"/>
      <c r="E5"/>
      <c r="F5" s="48"/>
    </row>
    <row r="8" spans="1:7" ht="46.5" x14ac:dyDescent="0.25">
      <c r="A8" s="7" t="s">
        <v>108</v>
      </c>
      <c r="E8" s="19"/>
      <c r="F8" s="19"/>
      <c r="G8" s="19"/>
    </row>
    <row r="9" spans="1:7" x14ac:dyDescent="0.25">
      <c r="A9" s="48" t="s">
        <v>88</v>
      </c>
      <c r="B9" t="s">
        <v>240</v>
      </c>
      <c r="C9" s="48" t="s">
        <v>65</v>
      </c>
      <c r="D9" s="48" t="s">
        <v>175</v>
      </c>
      <c r="E9" s="48" t="s">
        <v>146</v>
      </c>
      <c r="F9" s="48" t="s">
        <v>254</v>
      </c>
    </row>
    <row r="10" spans="1:7" x14ac:dyDescent="0.25">
      <c r="A10" s="48">
        <v>14</v>
      </c>
      <c r="B10" t="s">
        <v>279</v>
      </c>
      <c r="C10" s="48" t="s">
        <v>108</v>
      </c>
      <c r="D10" s="48" t="s">
        <v>314</v>
      </c>
      <c r="E10" s="48" t="s">
        <v>317</v>
      </c>
      <c r="F10" s="48" t="s">
        <v>7</v>
      </c>
    </row>
    <row r="11" spans="1:7" x14ac:dyDescent="0.25">
      <c r="A11" s="48">
        <v>12</v>
      </c>
      <c r="B11" t="s">
        <v>241</v>
      </c>
      <c r="C11" s="48" t="s">
        <v>108</v>
      </c>
      <c r="D11" s="48" t="s">
        <v>315</v>
      </c>
      <c r="E11" s="48" t="s">
        <v>318</v>
      </c>
      <c r="F11" s="48" t="s">
        <v>7</v>
      </c>
    </row>
    <row r="12" spans="1:7" x14ac:dyDescent="0.25">
      <c r="A12" s="48">
        <v>8</v>
      </c>
      <c r="B12" t="s">
        <v>241</v>
      </c>
      <c r="C12" s="48" t="s">
        <v>108</v>
      </c>
      <c r="D12" s="48" t="s">
        <v>316</v>
      </c>
      <c r="E12" s="48" t="s">
        <v>319</v>
      </c>
      <c r="F12" s="48" t="s">
        <v>7</v>
      </c>
    </row>
    <row r="13" spans="1:7" x14ac:dyDescent="0.25">
      <c r="A13" s="48">
        <v>7</v>
      </c>
      <c r="B13" t="s">
        <v>241</v>
      </c>
      <c r="C13" s="48" t="s">
        <v>108</v>
      </c>
      <c r="D13" s="48" t="s">
        <v>316</v>
      </c>
      <c r="E13" s="48" t="s">
        <v>320</v>
      </c>
      <c r="F13" s="48" t="s">
        <v>7</v>
      </c>
    </row>
    <row r="14" spans="1:7" x14ac:dyDescent="0.25">
      <c r="A14" s="48">
        <v>6</v>
      </c>
      <c r="B14" t="s">
        <v>241</v>
      </c>
      <c r="C14" s="48" t="s">
        <v>108</v>
      </c>
      <c r="D14" s="48" t="s">
        <v>316</v>
      </c>
      <c r="E14" s="48" t="s">
        <v>321</v>
      </c>
      <c r="F14" s="48" t="s">
        <v>7</v>
      </c>
    </row>
    <row r="15" spans="1:7" x14ac:dyDescent="0.25">
      <c r="A15" s="48">
        <v>3</v>
      </c>
      <c r="B15" t="s">
        <v>279</v>
      </c>
      <c r="C15" s="48" t="s">
        <v>108</v>
      </c>
      <c r="D15" s="48" t="s">
        <v>313</v>
      </c>
      <c r="E15" s="48" t="s">
        <v>322</v>
      </c>
      <c r="F15" s="48" t="s">
        <v>7</v>
      </c>
    </row>
    <row r="19" spans="1:6" ht="46.5" x14ac:dyDescent="0.25">
      <c r="A19" s="7" t="s">
        <v>221</v>
      </c>
    </row>
    <row r="20" spans="1:6" x14ac:dyDescent="0.25">
      <c r="A20" t="s">
        <v>88</v>
      </c>
      <c r="B20" t="s">
        <v>240</v>
      </c>
      <c r="C20" t="s">
        <v>65</v>
      </c>
      <c r="D20" t="s">
        <v>175</v>
      </c>
      <c r="E20" t="s">
        <v>146</v>
      </c>
      <c r="F20" t="s">
        <v>326</v>
      </c>
    </row>
    <row r="21" spans="1:6" x14ac:dyDescent="0.25">
      <c r="A21"/>
      <c r="B21"/>
      <c r="C21"/>
      <c r="D21"/>
      <c r="E21"/>
      <c r="F21"/>
    </row>
  </sheetData>
  <phoneticPr fontId="13" type="noConversion"/>
  <conditionalFormatting sqref="G9:G11 E4:E5 E9:E15">
    <cfRule type="containsText" dxfId="70" priority="11" operator="containsText" text="担任">
      <formula>NOT(ISERROR(SEARCH("担任",E4)))</formula>
    </cfRule>
  </conditionalFormatting>
  <pageMargins left="0.7" right="0.7" top="0.75" bottom="0.75" header="0.3" footer="0.3"/>
  <pageSetup orientation="portrait" r:id="rId1"/>
  <drawing r:id="rId2"/>
  <legacyDrawing r:id="rId3"/>
  <tableParts count="3"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C69E62"/>
  </sheetPr>
  <dimension ref="A1:V53"/>
  <sheetViews>
    <sheetView zoomScale="115" zoomScaleNormal="115" workbookViewId="0">
      <selection activeCell="I7" sqref="I7"/>
    </sheetView>
  </sheetViews>
  <sheetFormatPr defaultColWidth="8.88671875" defaultRowHeight="28.5" customHeight="1" x14ac:dyDescent="0.25"/>
  <cols>
    <col min="1" max="1" width="4.88671875" style="27" bestFit="1" customWidth="1"/>
    <col min="2" max="2" width="6.77734375" style="27" bestFit="1" customWidth="1"/>
    <col min="3" max="3" width="26.44140625" style="27" bestFit="1" customWidth="1"/>
    <col min="4" max="4" width="8.33203125" style="27" bestFit="1" customWidth="1"/>
    <col min="5" max="7" width="6.6640625" style="27" bestFit="1" customWidth="1"/>
    <col min="8" max="8" width="7.33203125" style="27" bestFit="1" customWidth="1"/>
    <col min="9" max="9" width="9.21875" style="27" bestFit="1" customWidth="1"/>
    <col min="10" max="10" width="15.77734375" style="27" hidden="1" customWidth="1"/>
    <col min="11" max="11" width="10.6640625" style="27" hidden="1" customWidth="1"/>
    <col min="12" max="12" width="7.21875" style="27" hidden="1" customWidth="1"/>
    <col min="13" max="13" width="6" style="27" hidden="1" customWidth="1"/>
    <col min="14" max="14" width="11" style="27" hidden="1" customWidth="1"/>
    <col min="15" max="15" width="33.21875" style="27" bestFit="1" customWidth="1" collapsed="1"/>
    <col min="16" max="16" width="6.5546875" style="27" customWidth="1"/>
    <col min="17" max="17" width="6.77734375" style="27" customWidth="1"/>
    <col min="18" max="18" width="28.109375" style="27" bestFit="1" customWidth="1"/>
    <col min="19" max="19" width="12.6640625" style="27" bestFit="1" customWidth="1"/>
    <col min="20" max="22" width="7.6640625" style="27" customWidth="1"/>
    <col min="23" max="23" width="6.109375" style="27" bestFit="1" customWidth="1"/>
    <col min="24" max="24" width="9.44140625" style="27" bestFit="1" customWidth="1"/>
    <col min="25" max="25" width="35.109375" style="27" bestFit="1" customWidth="1"/>
    <col min="26" max="16384" width="8.88671875" style="27"/>
  </cols>
  <sheetData>
    <row r="1" spans="1:22" ht="59.25" customHeight="1" x14ac:dyDescent="0.25">
      <c r="A1" s="33" t="s">
        <v>123</v>
      </c>
      <c r="I1" s="69" t="s">
        <v>163</v>
      </c>
    </row>
    <row r="2" spans="1:22" ht="15" x14ac:dyDescent="0.25">
      <c r="B2" s="28" t="s">
        <v>88</v>
      </c>
      <c r="C2" s="28" t="s">
        <v>163</v>
      </c>
      <c r="D2" s="28" t="s">
        <v>164</v>
      </c>
      <c r="E2" s="28" t="s">
        <v>165</v>
      </c>
      <c r="F2" s="28" t="s">
        <v>166</v>
      </c>
      <c r="G2" s="28" t="s">
        <v>167</v>
      </c>
    </row>
    <row r="3" spans="1:22" ht="15" x14ac:dyDescent="0.25">
      <c r="B3" s="28">
        <v>3</v>
      </c>
      <c r="C3" s="29" t="s">
        <v>876</v>
      </c>
      <c r="D3" s="40">
        <f>IFERROR(INDEX(ECON[Date],MATCH(input_econ[[#This Row],[上周主要经济数据]],ECON[上周主要经济数据],0)),"")</f>
        <v>45188</v>
      </c>
      <c r="E3" s="31">
        <f>IFERROR(INDEX(ECON[Prior],MATCH(input_econ[[#This Row],[上周主要经济数据]],ECON[上周主要经济数据],0)),"")</f>
        <v>5.2999999999999999E-2</v>
      </c>
      <c r="F3" s="31">
        <f>IFERROR(INDEX(ECON[Survey],MATCH(input_econ[[#This Row],[上周主要经济数据]],ECON[上周主要经济数据],0)),"")</f>
        <v>5.2999999999999999E-2</v>
      </c>
      <c r="G3" s="31">
        <f>IFERROR(INDEX(ECON[Actual],MATCH(input_econ[[#This Row],[上周主要经济数据]],ECON[上周主要经济数据],0)),"")</f>
        <v>5.1999999999999998E-2</v>
      </c>
    </row>
    <row r="4" spans="1:22" ht="15" x14ac:dyDescent="0.25">
      <c r="B4" s="28">
        <v>4</v>
      </c>
      <c r="C4" s="29" t="s">
        <v>915</v>
      </c>
      <c r="D4" s="40">
        <f>IFERROR(INDEX(ECON[Date],MATCH(input_econ[[#This Row],[上周主要经济数据]],ECON[上周主要经济数据],0)),"")</f>
        <v>45189</v>
      </c>
      <c r="E4" s="31">
        <f>IFERROR(INDEX(ECON[Prior],MATCH(input_econ[[#This Row],[上周主要经济数据]],ECON[上周主要经济数据],0)),"")</f>
        <v>-8.0000000000000002E-3</v>
      </c>
      <c r="F4" s="31" t="str">
        <f>IFERROR(INDEX(ECON[Survey],MATCH(input_econ[[#This Row],[上周主要经济数据]],ECON[上周主要经济数据],0)),"")</f>
        <v>--</v>
      </c>
      <c r="G4" s="31">
        <f>IFERROR(INDEX(ECON[Actual],MATCH(input_econ[[#This Row],[上周主要经济数据]],ECON[上周主要经济数据],0)),"")</f>
        <v>5.3999999999999999E-2</v>
      </c>
    </row>
    <row r="5" spans="1:22" ht="15" x14ac:dyDescent="0.25">
      <c r="B5" s="28">
        <v>1</v>
      </c>
      <c r="C5" s="29" t="s">
        <v>907</v>
      </c>
      <c r="D5" s="40">
        <f>IFERROR(INDEX(ECON[Date],MATCH(input_econ[[#This Row],[上周主要经济数据]],ECON[上周主要经济数据],0)),"")</f>
        <v>45190</v>
      </c>
      <c r="E5" s="31" t="str">
        <f>IFERROR(INDEX(ECON[Prior],MATCH(input_econ[[#This Row],[上周主要经济数据]],ECON[上周主要经济数据],0)),"")</f>
        <v>220k</v>
      </c>
      <c r="F5" s="31" t="str">
        <f>IFERROR(INDEX(ECON[Survey],MATCH(input_econ[[#This Row],[上周主要经济数据]],ECON[上周主要经济数据],0)),"")</f>
        <v>225k</v>
      </c>
      <c r="G5" s="31" t="str">
        <f>IFERROR(INDEX(ECON[Actual],MATCH(input_econ[[#This Row],[上周主要经济数据]],ECON[上周主要经济数据],0)),"")</f>
        <v>201k</v>
      </c>
    </row>
    <row r="6" spans="1:22" ht="15" x14ac:dyDescent="0.25">
      <c r="B6" s="28">
        <v>2</v>
      </c>
      <c r="C6" s="29" t="s">
        <v>911</v>
      </c>
      <c r="D6" s="40">
        <f>IFERROR(INDEX(ECON[Date],MATCH(input_econ[[#This Row],[上周主要经济数据]],ECON[上周主要经济数据],0)),"")</f>
        <v>45190</v>
      </c>
      <c r="E6" s="31">
        <f>IFERROR(INDEX(ECON[Prior],MATCH(input_econ[[#This Row],[上周主要经济数据]],ECON[上周主要经济数据],0)),"")</f>
        <v>5.5E-2</v>
      </c>
      <c r="F6" s="31">
        <f>IFERROR(INDEX(ECON[Survey],MATCH(input_econ[[#This Row],[上周主要经济数据]],ECON[上周主要经济数据],0)),"")</f>
        <v>5.5E-2</v>
      </c>
      <c r="G6" s="31">
        <f>IFERROR(INDEX(ECON[Actual],MATCH(input_econ[[#This Row],[上周主要经济数据]],ECON[上周主要经济数据],0)),"")</f>
        <v>5.5E-2</v>
      </c>
    </row>
    <row r="7" spans="1:22" ht="15" x14ac:dyDescent="0.25">
      <c r="B7" s="28">
        <v>5</v>
      </c>
      <c r="C7" s="29" t="s">
        <v>881</v>
      </c>
      <c r="D7" s="40">
        <f>IFERROR(INDEX(ECON[Date],MATCH(input_econ[[#This Row],[上周主要经济数据]],ECON[上周主要经济数据],0)),"")</f>
        <v>45191</v>
      </c>
      <c r="E7" s="31">
        <f>IFERROR(INDEX(ECON[Prior],MATCH(input_econ[[#This Row],[上周主要经济数据]],ECON[上周主要经济数据],0)),"")</f>
        <v>43.5</v>
      </c>
      <c r="F7" s="31">
        <f>IFERROR(INDEX(ECON[Survey],MATCH(input_econ[[#This Row],[上周主要经济数据]],ECON[上周主要经济数据],0)),"")</f>
        <v>44</v>
      </c>
      <c r="G7" s="31">
        <f>IFERROR(INDEX(ECON[Actual],MATCH(input_econ[[#This Row],[上周主要经济数据]],ECON[上周主要经济数据],0)),"")</f>
        <v>43.4</v>
      </c>
    </row>
    <row r="8" spans="1:22" ht="15" x14ac:dyDescent="0.25">
      <c r="B8" s="28">
        <v>6</v>
      </c>
      <c r="C8" s="29" t="s">
        <v>918</v>
      </c>
      <c r="D8" s="40">
        <f>IFERROR(INDEX(ECON[Date],MATCH(input_econ[[#This Row],[上周主要经济数据]],ECON[上周主要经济数据],0)),"")</f>
        <v>45191</v>
      </c>
      <c r="E8" s="31">
        <f>IFERROR(INDEX(ECON[Prior],MATCH(input_econ[[#This Row],[上周主要经济数据]],ECON[上周主要经济数据],0)),"")</f>
        <v>47.9</v>
      </c>
      <c r="F8" s="31">
        <f>IFERROR(INDEX(ECON[Survey],MATCH(input_econ[[#This Row],[上周主要经济数据]],ECON[上周主要经济数据],0)),"")</f>
        <v>48.2</v>
      </c>
      <c r="G8" s="31">
        <f>IFERROR(INDEX(ECON[Actual],MATCH(input_econ[[#This Row],[上周主要经济数据]],ECON[上周主要经济数据],0)),"")</f>
        <v>48.9</v>
      </c>
    </row>
    <row r="9" spans="1:22" ht="15" x14ac:dyDescent="0.25">
      <c r="Q9" s="30"/>
      <c r="R9" s="30"/>
      <c r="S9" s="30"/>
      <c r="T9" s="30"/>
      <c r="U9" s="30"/>
      <c r="V9" s="30"/>
    </row>
    <row r="10" spans="1:22" ht="15" x14ac:dyDescent="0.25">
      <c r="Q10" s="30"/>
      <c r="R10" s="30"/>
      <c r="S10" s="30"/>
      <c r="T10" s="30"/>
      <c r="U10" s="30"/>
      <c r="V10" s="30"/>
    </row>
    <row r="11" spans="1:22" ht="15" x14ac:dyDescent="0.25">
      <c r="Q11" s="30"/>
      <c r="R11" s="30"/>
      <c r="S11" s="30"/>
      <c r="T11" s="30"/>
      <c r="U11" s="30"/>
      <c r="V11" s="30"/>
    </row>
    <row r="12" spans="1:22" ht="15" x14ac:dyDescent="0.25">
      <c r="A12" s="28" t="s">
        <v>124</v>
      </c>
      <c r="B12" s="29" t="s">
        <v>168</v>
      </c>
      <c r="C12" s="29" t="s">
        <v>125</v>
      </c>
      <c r="D12" s="29" t="s">
        <v>169</v>
      </c>
      <c r="E12" s="29" t="s">
        <v>126</v>
      </c>
      <c r="F12" s="29" t="s">
        <v>127</v>
      </c>
      <c r="G12" s="29" t="s">
        <v>128</v>
      </c>
      <c r="H12" s="29" t="s">
        <v>129</v>
      </c>
      <c r="I12" s="29" t="s">
        <v>130</v>
      </c>
      <c r="J12" s="29" t="s">
        <v>131</v>
      </c>
      <c r="K12" s="29" t="s">
        <v>132</v>
      </c>
      <c r="L12" s="29" t="s">
        <v>170</v>
      </c>
      <c r="M12" s="29" t="s">
        <v>172</v>
      </c>
      <c r="N12" s="29" t="s">
        <v>173</v>
      </c>
      <c r="O12" s="29" t="s">
        <v>163</v>
      </c>
      <c r="Q12" s="30"/>
      <c r="R12" s="30"/>
      <c r="S12" s="30"/>
      <c r="T12" s="30"/>
      <c r="U12" s="30"/>
      <c r="V12" s="30"/>
    </row>
    <row r="13" spans="1:22" ht="15" x14ac:dyDescent="0.25">
      <c r="A13" s="142">
        <v>45190</v>
      </c>
      <c r="B13" s="29" t="s">
        <v>898</v>
      </c>
      <c r="C13" s="29" t="s">
        <v>899</v>
      </c>
      <c r="D13" s="29" t="s">
        <v>900</v>
      </c>
      <c r="E13" s="150" t="s">
        <v>901</v>
      </c>
      <c r="F13" s="29" t="s">
        <v>902</v>
      </c>
      <c r="G13" s="150" t="s">
        <v>903</v>
      </c>
      <c r="H13" s="29" t="s">
        <v>904</v>
      </c>
      <c r="I13" s="29">
        <v>98</v>
      </c>
      <c r="J13" s="29" t="s">
        <v>905</v>
      </c>
      <c r="K13" s="143">
        <v>0.85416666666666663</v>
      </c>
      <c r="L13" s="29" t="s">
        <v>123</v>
      </c>
      <c r="M13" s="29" t="s">
        <v>94</v>
      </c>
      <c r="N13" s="29" t="s">
        <v>906</v>
      </c>
      <c r="O13" s="29" t="s">
        <v>907</v>
      </c>
      <c r="Q13" s="30"/>
      <c r="R13" s="30"/>
      <c r="S13" s="30"/>
      <c r="T13" s="30"/>
      <c r="U13" s="30"/>
      <c r="V13" s="30"/>
    </row>
    <row r="14" spans="1:22" ht="15" x14ac:dyDescent="0.25">
      <c r="A14" s="142">
        <v>45190</v>
      </c>
      <c r="B14" s="29" t="s">
        <v>898</v>
      </c>
      <c r="C14" s="29" t="s">
        <v>908</v>
      </c>
      <c r="D14" s="29" t="s">
        <v>909</v>
      </c>
      <c r="E14" s="160">
        <v>5.5E-2</v>
      </c>
      <c r="F14" s="29">
        <v>5.5E-2</v>
      </c>
      <c r="G14" s="160">
        <v>5.5E-2</v>
      </c>
      <c r="H14" s="29" t="s">
        <v>7</v>
      </c>
      <c r="I14" s="29">
        <v>98</v>
      </c>
      <c r="J14" s="29" t="s">
        <v>910</v>
      </c>
      <c r="K14" s="143">
        <v>8.3333333333333329E-2</v>
      </c>
      <c r="L14" s="29" t="s">
        <v>123</v>
      </c>
      <c r="M14" s="29" t="s">
        <v>94</v>
      </c>
      <c r="N14" s="29" t="s">
        <v>906</v>
      </c>
      <c r="O14" s="29" t="s">
        <v>911</v>
      </c>
      <c r="Q14" s="30"/>
      <c r="R14" s="30"/>
      <c r="S14" s="30"/>
      <c r="T14" s="30"/>
      <c r="U14" s="30"/>
      <c r="V14" s="30"/>
    </row>
    <row r="15" spans="1:22" ht="15" x14ac:dyDescent="0.25">
      <c r="A15" s="142">
        <v>45188</v>
      </c>
      <c r="B15" s="29" t="s">
        <v>870</v>
      </c>
      <c r="C15" s="29" t="s">
        <v>871</v>
      </c>
      <c r="D15" s="29" t="s">
        <v>872</v>
      </c>
      <c r="E15" s="160">
        <v>5.2999999999999999E-2</v>
      </c>
      <c r="F15" s="29">
        <v>5.1999999999999998E-2</v>
      </c>
      <c r="G15" s="160">
        <v>5.2999999999999999E-2</v>
      </c>
      <c r="H15" s="29" t="s">
        <v>7</v>
      </c>
      <c r="I15" s="29">
        <v>95</v>
      </c>
      <c r="J15" s="29" t="s">
        <v>873</v>
      </c>
      <c r="K15" s="143">
        <v>0.70833333333333337</v>
      </c>
      <c r="L15" s="29" t="s">
        <v>123</v>
      </c>
      <c r="M15" s="29" t="s">
        <v>874</v>
      </c>
      <c r="N15" s="29" t="s">
        <v>875</v>
      </c>
      <c r="O15" s="29" t="s">
        <v>876</v>
      </c>
      <c r="Q15" s="30"/>
      <c r="R15" s="30"/>
      <c r="S15" s="30"/>
      <c r="T15" s="30"/>
      <c r="U15" s="30"/>
      <c r="V15" s="30"/>
    </row>
    <row r="16" spans="1:22" ht="15" x14ac:dyDescent="0.25">
      <c r="A16" s="142">
        <v>45189</v>
      </c>
      <c r="B16" s="29" t="s">
        <v>898</v>
      </c>
      <c r="C16" s="29" t="s">
        <v>912</v>
      </c>
      <c r="D16" s="29" t="s">
        <v>913</v>
      </c>
      <c r="E16" s="160" t="s">
        <v>7</v>
      </c>
      <c r="F16" s="29">
        <v>5.3999999999999999E-2</v>
      </c>
      <c r="G16" s="160">
        <v>-8.0000000000000002E-3</v>
      </c>
      <c r="H16" s="29" t="s">
        <v>7</v>
      </c>
      <c r="I16" s="29">
        <v>91</v>
      </c>
      <c r="J16" s="29" t="s">
        <v>914</v>
      </c>
      <c r="K16" s="143">
        <v>0.79166666666666663</v>
      </c>
      <c r="L16" s="29" t="s">
        <v>123</v>
      </c>
      <c r="M16" s="29" t="s">
        <v>94</v>
      </c>
      <c r="N16" s="29" t="s">
        <v>906</v>
      </c>
      <c r="O16" s="29" t="s">
        <v>915</v>
      </c>
      <c r="Q16" s="30"/>
      <c r="R16" s="30"/>
      <c r="S16" s="30"/>
      <c r="T16" s="30"/>
      <c r="U16" s="30"/>
      <c r="V16" s="30"/>
    </row>
    <row r="17" spans="1:22" ht="15" x14ac:dyDescent="0.25">
      <c r="A17" s="142">
        <v>45191</v>
      </c>
      <c r="B17" s="29" t="s">
        <v>870</v>
      </c>
      <c r="C17" s="29" t="s">
        <v>877</v>
      </c>
      <c r="D17" s="29" t="s">
        <v>878</v>
      </c>
      <c r="E17" s="160">
        <v>44</v>
      </c>
      <c r="F17" s="29">
        <v>43.4</v>
      </c>
      <c r="G17" s="160">
        <v>43.5</v>
      </c>
      <c r="H17" s="29" t="s">
        <v>7</v>
      </c>
      <c r="I17" s="29">
        <v>90</v>
      </c>
      <c r="J17" s="29" t="s">
        <v>879</v>
      </c>
      <c r="K17" s="143">
        <v>0.66666666666666663</v>
      </c>
      <c r="L17" s="29" t="s">
        <v>123</v>
      </c>
      <c r="M17" s="29" t="s">
        <v>880</v>
      </c>
      <c r="N17" s="29" t="s">
        <v>880</v>
      </c>
      <c r="O17" s="29" t="s">
        <v>881</v>
      </c>
      <c r="Q17" s="30"/>
      <c r="R17" s="30"/>
      <c r="S17" s="30"/>
      <c r="T17" s="30"/>
      <c r="U17" s="30"/>
      <c r="V17" s="30"/>
    </row>
    <row r="18" spans="1:22" ht="15" x14ac:dyDescent="0.25">
      <c r="A18" s="142">
        <v>45191</v>
      </c>
      <c r="B18" s="29" t="s">
        <v>898</v>
      </c>
      <c r="C18" s="29" t="s">
        <v>916</v>
      </c>
      <c r="D18" s="29" t="s">
        <v>878</v>
      </c>
      <c r="E18" s="160">
        <v>48.2</v>
      </c>
      <c r="F18" s="29">
        <v>48.9</v>
      </c>
      <c r="G18" s="160">
        <v>47.9</v>
      </c>
      <c r="H18" s="29" t="s">
        <v>7</v>
      </c>
      <c r="I18" s="29">
        <v>90</v>
      </c>
      <c r="J18" s="29" t="s">
        <v>917</v>
      </c>
      <c r="K18" s="143">
        <v>0.90625</v>
      </c>
      <c r="L18" s="29" t="s">
        <v>123</v>
      </c>
      <c r="M18" s="29" t="s">
        <v>880</v>
      </c>
      <c r="N18" s="29" t="s">
        <v>880</v>
      </c>
      <c r="O18" s="29" t="s">
        <v>918</v>
      </c>
    </row>
    <row r="19" spans="1:22" ht="15" x14ac:dyDescent="0.25">
      <c r="A19" s="142">
        <v>45188</v>
      </c>
      <c r="B19" s="29" t="s">
        <v>898</v>
      </c>
      <c r="C19" s="29" t="s">
        <v>919</v>
      </c>
      <c r="D19" s="29" t="s">
        <v>920</v>
      </c>
      <c r="E19" s="160" t="s">
        <v>921</v>
      </c>
      <c r="F19" s="29" t="s">
        <v>922</v>
      </c>
      <c r="G19" s="160" t="s">
        <v>923</v>
      </c>
      <c r="H19" s="29" t="s">
        <v>924</v>
      </c>
      <c r="I19" s="29">
        <v>89</v>
      </c>
      <c r="J19" s="29" t="s">
        <v>925</v>
      </c>
      <c r="K19" s="143">
        <v>0.85416666666666663</v>
      </c>
      <c r="L19" s="29" t="s">
        <v>123</v>
      </c>
      <c r="M19" s="29" t="s">
        <v>874</v>
      </c>
      <c r="N19" s="29" t="s">
        <v>926</v>
      </c>
      <c r="O19" s="29" t="s">
        <v>927</v>
      </c>
      <c r="Q19" s="30"/>
      <c r="R19" s="30"/>
      <c r="S19" s="30"/>
      <c r="T19" s="30"/>
      <c r="U19" s="30"/>
      <c r="V19" s="30"/>
    </row>
    <row r="20" spans="1:22" ht="15" x14ac:dyDescent="0.25">
      <c r="A20" s="142">
        <v>45190</v>
      </c>
      <c r="B20" s="29" t="s">
        <v>898</v>
      </c>
      <c r="C20" s="29" t="s">
        <v>928</v>
      </c>
      <c r="D20" s="29" t="s">
        <v>920</v>
      </c>
      <c r="E20" s="160" t="s">
        <v>929</v>
      </c>
      <c r="F20" s="29" t="s">
        <v>930</v>
      </c>
      <c r="G20" s="160" t="s">
        <v>931</v>
      </c>
      <c r="H20" s="29" t="s">
        <v>7</v>
      </c>
      <c r="I20" s="29">
        <v>86</v>
      </c>
      <c r="J20" s="29" t="s">
        <v>932</v>
      </c>
      <c r="K20" s="143">
        <v>0.91666666666666663</v>
      </c>
      <c r="L20" s="29" t="s">
        <v>123</v>
      </c>
      <c r="M20" s="29" t="s">
        <v>874</v>
      </c>
      <c r="N20" s="29" t="s">
        <v>926</v>
      </c>
      <c r="O20" s="29" t="s">
        <v>933</v>
      </c>
      <c r="V20" s="30"/>
    </row>
    <row r="21" spans="1:22" ht="15" x14ac:dyDescent="0.25">
      <c r="A21" s="142">
        <v>45188</v>
      </c>
      <c r="B21" s="29" t="s">
        <v>870</v>
      </c>
      <c r="C21" s="29" t="s">
        <v>882</v>
      </c>
      <c r="D21" s="29" t="s">
        <v>872</v>
      </c>
      <c r="E21" s="160">
        <v>6.0000000000000001E-3</v>
      </c>
      <c r="F21" s="29">
        <v>5.0000000000000001E-3</v>
      </c>
      <c r="G21" s="160">
        <v>6.0000000000000001E-3</v>
      </c>
      <c r="H21" s="29" t="s">
        <v>7</v>
      </c>
      <c r="I21" s="29">
        <v>85</v>
      </c>
      <c r="J21" s="29" t="s">
        <v>883</v>
      </c>
      <c r="K21" s="143">
        <v>0.70833333333333337</v>
      </c>
      <c r="L21" s="29" t="s">
        <v>123</v>
      </c>
      <c r="M21" s="29" t="s">
        <v>874</v>
      </c>
      <c r="N21" s="29" t="s">
        <v>875</v>
      </c>
      <c r="O21" s="29" t="s">
        <v>884</v>
      </c>
      <c r="V21" s="30"/>
    </row>
    <row r="22" spans="1:22" ht="15" x14ac:dyDescent="0.25">
      <c r="A22" s="142">
        <v>45190</v>
      </c>
      <c r="B22" s="29" t="s">
        <v>898</v>
      </c>
      <c r="C22" s="29" t="s">
        <v>934</v>
      </c>
      <c r="D22" s="29" t="s">
        <v>920</v>
      </c>
      <c r="E22" s="160">
        <v>-5.0000000000000001E-3</v>
      </c>
      <c r="F22" s="29">
        <v>-4.0000000000000001E-3</v>
      </c>
      <c r="G22" s="160">
        <v>-4.0000000000000001E-3</v>
      </c>
      <c r="H22" s="29">
        <v>-3.0000000000000001E-3</v>
      </c>
      <c r="I22" s="29">
        <v>82</v>
      </c>
      <c r="J22" s="29" t="s">
        <v>935</v>
      </c>
      <c r="K22" s="143">
        <v>0.91666666666666663</v>
      </c>
      <c r="L22" s="29" t="s">
        <v>123</v>
      </c>
      <c r="M22" s="29" t="s">
        <v>874</v>
      </c>
      <c r="N22" s="29" t="s">
        <v>926</v>
      </c>
      <c r="O22" s="29" t="s">
        <v>936</v>
      </c>
      <c r="V22" s="30"/>
    </row>
    <row r="23" spans="1:22" ht="15" x14ac:dyDescent="0.25">
      <c r="A23" s="142">
        <v>45191</v>
      </c>
      <c r="B23" s="29" t="s">
        <v>870</v>
      </c>
      <c r="C23" s="29" t="s">
        <v>885</v>
      </c>
      <c r="D23" s="29" t="s">
        <v>878</v>
      </c>
      <c r="E23" s="160">
        <v>46.5</v>
      </c>
      <c r="F23" s="29">
        <v>47.1</v>
      </c>
      <c r="G23" s="160">
        <v>46.7</v>
      </c>
      <c r="H23" s="29" t="s">
        <v>7</v>
      </c>
      <c r="I23" s="29">
        <v>73</v>
      </c>
      <c r="J23" s="29" t="s">
        <v>886</v>
      </c>
      <c r="K23" s="143">
        <v>0.66666666666666663</v>
      </c>
      <c r="L23" s="29" t="s">
        <v>123</v>
      </c>
      <c r="M23" s="29" t="s">
        <v>880</v>
      </c>
      <c r="N23" s="29" t="s">
        <v>880</v>
      </c>
      <c r="O23" s="29" t="s">
        <v>887</v>
      </c>
      <c r="V23" s="30"/>
    </row>
    <row r="24" spans="1:22" ht="15" x14ac:dyDescent="0.25">
      <c r="A24" s="142">
        <v>45188</v>
      </c>
      <c r="B24" s="29" t="s">
        <v>870</v>
      </c>
      <c r="C24" s="29" t="s">
        <v>888</v>
      </c>
      <c r="D24" s="29" t="s">
        <v>872</v>
      </c>
      <c r="E24" s="160">
        <v>5.2999999999999999E-2</v>
      </c>
      <c r="F24" s="29">
        <v>5.2999999999999999E-2</v>
      </c>
      <c r="G24" s="160">
        <v>5.2999999999999999E-2</v>
      </c>
      <c r="H24" s="29" t="s">
        <v>7</v>
      </c>
      <c r="I24" s="29">
        <v>71</v>
      </c>
      <c r="J24" s="29" t="s">
        <v>889</v>
      </c>
      <c r="K24" s="143">
        <v>0.70833333333333337</v>
      </c>
      <c r="L24" s="29" t="s">
        <v>123</v>
      </c>
      <c r="M24" s="29" t="s">
        <v>874</v>
      </c>
      <c r="N24" s="29" t="s">
        <v>875</v>
      </c>
      <c r="O24" s="29" t="s">
        <v>890</v>
      </c>
      <c r="V24" s="30"/>
    </row>
    <row r="25" spans="1:22" ht="15" x14ac:dyDescent="0.25">
      <c r="A25" s="142">
        <v>45191</v>
      </c>
      <c r="B25" s="29" t="s">
        <v>870</v>
      </c>
      <c r="C25" s="29" t="s">
        <v>891</v>
      </c>
      <c r="D25" s="29" t="s">
        <v>878</v>
      </c>
      <c r="E25" s="160">
        <v>47.6</v>
      </c>
      <c r="F25" s="29">
        <v>48.4</v>
      </c>
      <c r="G25" s="160">
        <v>47.9</v>
      </c>
      <c r="H25" s="29" t="s">
        <v>7</v>
      </c>
      <c r="I25" s="29">
        <v>70</v>
      </c>
      <c r="J25" s="29" t="s">
        <v>892</v>
      </c>
      <c r="K25" s="143">
        <v>0.66666666666666663</v>
      </c>
      <c r="L25" s="29" t="s">
        <v>123</v>
      </c>
      <c r="M25" s="29" t="s">
        <v>880</v>
      </c>
      <c r="N25" s="29" t="s">
        <v>880</v>
      </c>
      <c r="O25" s="29" t="s">
        <v>893</v>
      </c>
      <c r="V25" s="30"/>
    </row>
    <row r="26" spans="1:22" ht="15" x14ac:dyDescent="0.25">
      <c r="A26" s="142">
        <v>45190</v>
      </c>
      <c r="B26" s="29" t="s">
        <v>870</v>
      </c>
      <c r="C26" s="29" t="s">
        <v>894</v>
      </c>
      <c r="D26" s="29" t="s">
        <v>878</v>
      </c>
      <c r="E26" s="150">
        <v>-16.5</v>
      </c>
      <c r="F26" s="29">
        <v>-17.8</v>
      </c>
      <c r="G26" s="150">
        <v>-16</v>
      </c>
      <c r="H26" s="29" t="s">
        <v>7</v>
      </c>
      <c r="I26" s="29">
        <v>66</v>
      </c>
      <c r="J26" s="29" t="s">
        <v>895</v>
      </c>
      <c r="K26" s="143">
        <v>0.91666666666666663</v>
      </c>
      <c r="L26" s="29" t="s">
        <v>123</v>
      </c>
      <c r="M26" s="29" t="s">
        <v>880</v>
      </c>
      <c r="N26" s="29" t="s">
        <v>896</v>
      </c>
      <c r="O26" s="29" t="s">
        <v>897</v>
      </c>
      <c r="V26" s="30"/>
    </row>
    <row r="27" spans="1:22" ht="15" x14ac:dyDescent="0.25">
      <c r="V27" s="30"/>
    </row>
    <row r="28" spans="1:22" ht="15" x14ac:dyDescent="0.25"/>
    <row r="29" spans="1:22" ht="15" x14ac:dyDescent="0.25"/>
    <row r="30" spans="1:22" ht="15" x14ac:dyDescent="0.25"/>
    <row r="31" spans="1:22" ht="15" x14ac:dyDescent="0.25"/>
    <row r="32" spans="1:2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</sheetData>
  <phoneticPr fontId="13" type="noConversion"/>
  <conditionalFormatting sqref="I13:I26">
    <cfRule type="dataBar" priority="2">
      <dataBar>
        <cfvo type="num" val="50"/>
        <cfvo type="num" val="100"/>
        <color rgb="FFE1E1E9"/>
      </dataBar>
      <extLst>
        <ext xmlns:x14="http://schemas.microsoft.com/office/spreadsheetml/2009/9/main" uri="{B025F937-C7B1-47D3-B67F-A62EFF666E3E}">
          <x14:id>{9CA240DC-4A4E-42C1-841C-E9EAF55E2755}</x14:id>
        </ext>
      </extLst>
    </cfRule>
  </conditionalFormatting>
  <dataValidations count="1">
    <dataValidation type="list" allowBlank="1" showInputMessage="1" sqref="I1" xr:uid="{247CD28C-E434-4B8B-BA8E-BA3C6FA30DA7}">
      <formula1>dd_econ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240DC-4A4E-42C1-841C-E9EAF55E2755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888AA6"/>
              <x14:negativeFillColor rgb="FFFF0000"/>
              <x14:negativeBorderColor rgb="FFFF0000"/>
              <x14:axisColor rgb="FF000000"/>
            </x14:dataBar>
          </x14:cfRule>
          <xm:sqref>I13:I26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69E62"/>
  </sheetPr>
  <dimension ref="A1:V41"/>
  <sheetViews>
    <sheetView tabSelected="1" zoomScale="85" zoomScaleNormal="85" workbookViewId="0">
      <selection activeCell="J6" sqref="J6"/>
    </sheetView>
  </sheetViews>
  <sheetFormatPr defaultColWidth="8.88671875" defaultRowHeight="15" x14ac:dyDescent="0.25"/>
  <cols>
    <col min="1" max="1" width="9.44140625" style="27" bestFit="1" customWidth="1"/>
    <col min="2" max="2" width="8.33203125" style="27" bestFit="1" customWidth="1"/>
    <col min="3" max="3" width="28.21875" style="27" bestFit="1" customWidth="1"/>
    <col min="4" max="4" width="8.44140625" style="27" bestFit="1" customWidth="1"/>
    <col min="5" max="5" width="8.109375" style="27" bestFit="1" customWidth="1"/>
    <col min="6" max="6" width="7.6640625" style="27" bestFit="1" customWidth="1"/>
    <col min="7" max="7" width="6.77734375" style="27" bestFit="1" customWidth="1"/>
    <col min="8" max="8" width="8.88671875" style="27" bestFit="1" customWidth="1"/>
    <col min="9" max="9" width="10.77734375" style="27" bestFit="1" customWidth="1" collapsed="1"/>
    <col min="10" max="10" width="15.88671875" style="27" bestFit="1" customWidth="1"/>
    <col min="11" max="11" width="10.77734375" style="27" bestFit="1" customWidth="1"/>
    <col min="12" max="12" width="7.33203125" style="27" bestFit="1" customWidth="1"/>
    <col min="13" max="13" width="6.109375" style="27" bestFit="1" customWidth="1"/>
    <col min="14" max="14" width="9.44140625" style="27" bestFit="1" customWidth="1"/>
    <col min="15" max="15" width="35.109375" style="27" bestFit="1" customWidth="1" collapsed="1"/>
    <col min="16" max="16" width="6.5546875" style="27" customWidth="1"/>
    <col min="17" max="17" width="6.77734375" style="27" customWidth="1"/>
    <col min="18" max="18" width="28.109375" style="27" bestFit="1" customWidth="1"/>
    <col min="19" max="19" width="12.6640625" style="27" bestFit="1" customWidth="1"/>
    <col min="20" max="22" width="7.6640625" style="27" customWidth="1"/>
    <col min="23" max="23" width="6.109375" style="27" bestFit="1" customWidth="1"/>
    <col min="24" max="24" width="9.44140625" style="27" bestFit="1" customWidth="1"/>
    <col min="25" max="25" width="35.109375" style="27" bestFit="1" customWidth="1"/>
    <col min="26" max="16384" width="8.88671875" style="27"/>
  </cols>
  <sheetData>
    <row r="1" spans="1:22" ht="59.25" customHeight="1" x14ac:dyDescent="0.25">
      <c r="A1" s="26" t="s">
        <v>171</v>
      </c>
      <c r="H1" s="69" t="s">
        <v>174</v>
      </c>
    </row>
    <row r="2" spans="1:22" x14ac:dyDescent="0.25">
      <c r="B2" s="28" t="s">
        <v>88</v>
      </c>
      <c r="C2" s="28" t="s">
        <v>174</v>
      </c>
      <c r="D2" s="28" t="s">
        <v>177</v>
      </c>
      <c r="E2" s="28" t="s">
        <v>165</v>
      </c>
      <c r="F2" s="28" t="s">
        <v>166</v>
      </c>
      <c r="V2" s="30"/>
    </row>
    <row r="3" spans="1:22" x14ac:dyDescent="0.25">
      <c r="B3" s="28"/>
      <c r="C3" s="27" t="s">
        <v>973</v>
      </c>
      <c r="D3" s="41">
        <f>IFERROR(INDEX(FUTURE[Date],MATCH(input_future[[#This Row],[未来一周主要经济数据]],FUTURE[未来一周主要经济数据],0)),"")</f>
        <v>45195</v>
      </c>
      <c r="E3" s="32">
        <f>IFERROR(INDEX(FUTURE[Prior],MATCH(input_future[[#This Row],[未来一周主要经济数据]],FUTURE[未来一周主要经济数据],0)),"")</f>
        <v>106.1</v>
      </c>
      <c r="F3" s="32">
        <f>IFERROR(INDEX(FUTURE[Survey],MATCH(input_future[[#This Row],[未来一周主要经济数据]],FUTURE[未来一周主要经济数据],0)),"")</f>
        <v>105.5</v>
      </c>
      <c r="V3" s="35"/>
    </row>
    <row r="4" spans="1:22" x14ac:dyDescent="0.25">
      <c r="B4" s="28"/>
      <c r="C4" s="27" t="s">
        <v>970</v>
      </c>
      <c r="D4" s="41">
        <f>IFERROR(INDEX(FUTURE[Date],MATCH(input_future[[#This Row],[未来一周主要经济数据]],FUTURE[未来一周主要经济数据],0)),"")</f>
        <v>45196</v>
      </c>
      <c r="E4" s="32">
        <f>IFERROR(INDEX(FUTURE[Prior],MATCH(input_future[[#This Row],[未来一周主要经济数据]],FUTURE[未来一周主要经济数据],0)),"")</f>
        <v>-5.1999999999999998E-2</v>
      </c>
      <c r="F4" s="32">
        <f>IFERROR(INDEX(FUTURE[Survey],MATCH(input_future[[#This Row],[未来一周主要经济数据]],FUTURE[未来一周主要经济数据],0)),"")</f>
        <v>-5.0000000000000001E-3</v>
      </c>
      <c r="V4" s="35"/>
    </row>
    <row r="5" spans="1:22" x14ac:dyDescent="0.25">
      <c r="B5" s="28"/>
      <c r="C5" s="27" t="s">
        <v>907</v>
      </c>
      <c r="D5" s="41">
        <f>IFERROR(INDEX(FUTURE[Date],MATCH(input_future[[#This Row],[未来一周主要经济数据]],FUTURE[未来一周主要经济数据],0)),"")</f>
        <v>45197</v>
      </c>
      <c r="E5" s="32" t="str">
        <f>IFERROR(INDEX(FUTURE[Prior],MATCH(input_future[[#This Row],[未来一周主要经济数据]],FUTURE[未来一周主要经济数据],0)),"")</f>
        <v>201k</v>
      </c>
      <c r="F5" s="32" t="str">
        <f>IFERROR(INDEX(FUTURE[Survey],MATCH(input_future[[#This Row],[未来一周主要经济数据]],FUTURE[未来一周主要经济数据],0)),"")</f>
        <v>215k</v>
      </c>
      <c r="V5" s="35"/>
    </row>
    <row r="6" spans="1:22" x14ac:dyDescent="0.25">
      <c r="B6" s="28"/>
      <c r="C6" s="27" t="s">
        <v>962</v>
      </c>
      <c r="D6" s="41">
        <f>IFERROR(INDEX(FUTURE[Date],MATCH(input_future[[#This Row],[未来一周主要经济数据]],FUTURE[未来一周主要经济数据],0)),"")</f>
        <v>45197</v>
      </c>
      <c r="E6" s="32">
        <f>IFERROR(INDEX(FUTURE[Prior],MATCH(input_future[[#This Row],[未来一周主要经济数据]],FUTURE[未来一周主要经济数据],0)),"")</f>
        <v>2.1000000000000001E-2</v>
      </c>
      <c r="F6" s="32">
        <f>IFERROR(INDEX(FUTURE[Survey],MATCH(input_future[[#This Row],[未来一周主要经济数据]],FUTURE[未来一周主要经济数据],0)),"")</f>
        <v>2.1999999999999999E-2</v>
      </c>
      <c r="V6" s="35"/>
    </row>
    <row r="7" spans="1:22" x14ac:dyDescent="0.25">
      <c r="B7" s="28"/>
      <c r="C7" s="27" t="s">
        <v>966</v>
      </c>
      <c r="D7" s="41">
        <f>IFERROR(INDEX(FUTURE[Date],MATCH(input_future[[#This Row],[未来一周主要经济数据]],FUTURE[未来一周主要经济数据],0)),"")</f>
        <v>45198</v>
      </c>
      <c r="E7" s="32">
        <f>IFERROR(INDEX(FUTURE[Prior],MATCH(input_future[[#This Row],[未来一周主要经济数据]],FUTURE[未来一周主要经济数据],0)),"")</f>
        <v>67.7</v>
      </c>
      <c r="F7" s="32">
        <f>IFERROR(INDEX(FUTURE[Survey],MATCH(input_future[[#This Row],[未来一周主要经济数据]],FUTURE[未来一周主要经济数据],0)),"")</f>
        <v>67.7</v>
      </c>
      <c r="V7" s="35"/>
    </row>
    <row r="8" spans="1:22" x14ac:dyDescent="0.25">
      <c r="B8" s="28"/>
      <c r="C8" s="27" t="s">
        <v>942</v>
      </c>
      <c r="D8" s="41">
        <f>IFERROR(INDEX(FUTURE[Date],MATCH(input_future[[#This Row],[未来一周主要经济数据]],FUTURE[未来一周主要经济数据],0)),"")</f>
        <v>45199</v>
      </c>
      <c r="E8" s="32">
        <f>IFERROR(INDEX(FUTURE[Prior],MATCH(input_future[[#This Row],[未来一周主要经济数据]],FUTURE[未来一周主要经济数据],0)),"")</f>
        <v>49.7</v>
      </c>
      <c r="F8" s="32">
        <f>IFERROR(INDEX(FUTURE[Survey],MATCH(input_future[[#This Row],[未来一周主要经济数据]],FUTURE[未来一周主要经济数据],0)),"")</f>
        <v>50.2</v>
      </c>
      <c r="V8" s="35"/>
    </row>
    <row r="9" spans="1:22" x14ac:dyDescent="0.25">
      <c r="Q9" s="30"/>
      <c r="R9" s="30"/>
      <c r="S9" s="30"/>
      <c r="T9" s="30"/>
      <c r="U9" s="30"/>
      <c r="V9" s="30"/>
    </row>
    <row r="10" spans="1:22" x14ac:dyDescent="0.25">
      <c r="A10" s="29" t="s">
        <v>124</v>
      </c>
      <c r="B10" s="29" t="s">
        <v>168</v>
      </c>
      <c r="C10" s="29" t="s">
        <v>125</v>
      </c>
      <c r="D10" s="29" t="s">
        <v>169</v>
      </c>
      <c r="E10" s="29" t="s">
        <v>126</v>
      </c>
      <c r="F10" s="29" t="s">
        <v>127</v>
      </c>
      <c r="G10" s="29" t="s">
        <v>128</v>
      </c>
      <c r="H10" s="29" t="s">
        <v>129</v>
      </c>
      <c r="I10" s="29" t="s">
        <v>130</v>
      </c>
      <c r="J10" s="29" t="s">
        <v>131</v>
      </c>
      <c r="K10" s="29" t="s">
        <v>132</v>
      </c>
      <c r="L10" s="29" t="s">
        <v>170</v>
      </c>
      <c r="M10" s="29" t="s">
        <v>172</v>
      </c>
      <c r="N10" s="29" t="s">
        <v>173</v>
      </c>
      <c r="O10" s="29" t="s">
        <v>174</v>
      </c>
      <c r="Q10" s="30"/>
      <c r="R10" s="30"/>
      <c r="S10" s="30"/>
      <c r="T10" s="30"/>
      <c r="U10" s="30"/>
      <c r="V10" s="30"/>
    </row>
    <row r="11" spans="1:22" x14ac:dyDescent="0.25">
      <c r="A11" s="39">
        <v>45197</v>
      </c>
      <c r="B11" s="27" t="s">
        <v>898</v>
      </c>
      <c r="C11" s="27" t="s">
        <v>899</v>
      </c>
      <c r="D11" s="27" t="s">
        <v>955</v>
      </c>
      <c r="E11" s="151" t="s">
        <v>956</v>
      </c>
      <c r="F11" s="27" t="s">
        <v>7</v>
      </c>
      <c r="G11" s="151" t="s">
        <v>902</v>
      </c>
      <c r="H11" s="27" t="s">
        <v>7</v>
      </c>
      <c r="I11" s="27">
        <v>98</v>
      </c>
      <c r="J11" s="27" t="s">
        <v>905</v>
      </c>
      <c r="K11" s="37">
        <v>0.85416666666666663</v>
      </c>
      <c r="L11" s="27" t="s">
        <v>171</v>
      </c>
      <c r="M11" s="27" t="s">
        <v>94</v>
      </c>
      <c r="N11" s="27" t="s">
        <v>906</v>
      </c>
      <c r="O11" s="27" t="s">
        <v>907</v>
      </c>
      <c r="Q11" s="30"/>
      <c r="R11" s="30"/>
      <c r="S11" s="30"/>
      <c r="T11" s="30"/>
      <c r="U11" s="30"/>
      <c r="V11" s="30"/>
    </row>
    <row r="12" spans="1:22" x14ac:dyDescent="0.25">
      <c r="A12" s="39">
        <v>45197</v>
      </c>
      <c r="B12" s="27" t="s">
        <v>898</v>
      </c>
      <c r="C12" s="27" t="s">
        <v>957</v>
      </c>
      <c r="D12" s="27" t="s">
        <v>958</v>
      </c>
      <c r="E12" s="160">
        <v>2.1999999999999999E-2</v>
      </c>
      <c r="F12" s="27" t="s">
        <v>7</v>
      </c>
      <c r="G12" s="160">
        <v>2.1000000000000001E-2</v>
      </c>
      <c r="H12" s="27" t="s">
        <v>7</v>
      </c>
      <c r="I12" s="27">
        <v>96</v>
      </c>
      <c r="J12" s="27" t="s">
        <v>959</v>
      </c>
      <c r="K12" s="37">
        <v>0.85416666666666663</v>
      </c>
      <c r="L12" s="27" t="s">
        <v>171</v>
      </c>
      <c r="M12" s="27" t="s">
        <v>960</v>
      </c>
      <c r="N12" s="27" t="s">
        <v>961</v>
      </c>
      <c r="O12" s="27" t="s">
        <v>962</v>
      </c>
      <c r="Q12" s="30"/>
      <c r="R12" s="30"/>
      <c r="S12" s="30"/>
      <c r="T12" s="30"/>
      <c r="U12" s="30"/>
      <c r="V12" s="30"/>
    </row>
    <row r="13" spans="1:22" x14ac:dyDescent="0.25">
      <c r="A13" s="39">
        <v>45199</v>
      </c>
      <c r="B13" s="27" t="s">
        <v>937</v>
      </c>
      <c r="C13" s="27" t="s">
        <v>938</v>
      </c>
      <c r="D13" s="27" t="s">
        <v>939</v>
      </c>
      <c r="E13" s="160">
        <v>50.2</v>
      </c>
      <c r="F13" s="27" t="s">
        <v>7</v>
      </c>
      <c r="G13" s="160">
        <v>49.7</v>
      </c>
      <c r="H13" s="27" t="s">
        <v>7</v>
      </c>
      <c r="I13" s="27">
        <v>94</v>
      </c>
      <c r="J13" s="27" t="s">
        <v>940</v>
      </c>
      <c r="K13" s="37">
        <v>0.39583333333333331</v>
      </c>
      <c r="L13" s="27" t="s">
        <v>171</v>
      </c>
      <c r="M13" s="27" t="s">
        <v>880</v>
      </c>
      <c r="N13" s="27" t="s">
        <v>941</v>
      </c>
      <c r="O13" s="27" t="s">
        <v>942</v>
      </c>
      <c r="Q13" s="30"/>
      <c r="R13" s="30"/>
      <c r="S13" s="30"/>
      <c r="T13" s="30"/>
      <c r="U13" s="30"/>
      <c r="V13" s="30"/>
    </row>
    <row r="14" spans="1:22" x14ac:dyDescent="0.25">
      <c r="A14" s="39">
        <v>45198</v>
      </c>
      <c r="B14" s="27" t="s">
        <v>898</v>
      </c>
      <c r="C14" s="27" t="s">
        <v>963</v>
      </c>
      <c r="D14" s="27" t="s">
        <v>954</v>
      </c>
      <c r="E14" s="160">
        <v>67.7</v>
      </c>
      <c r="F14" s="27" t="s">
        <v>7</v>
      </c>
      <c r="G14" s="160">
        <v>67.7</v>
      </c>
      <c r="H14" s="27" t="s">
        <v>7</v>
      </c>
      <c r="I14" s="27">
        <v>94</v>
      </c>
      <c r="J14" s="27" t="s">
        <v>964</v>
      </c>
      <c r="K14" s="37">
        <v>0.91666666666666663</v>
      </c>
      <c r="L14" s="27" t="s">
        <v>171</v>
      </c>
      <c r="M14" s="27" t="s">
        <v>880</v>
      </c>
      <c r="N14" s="27" t="s">
        <v>965</v>
      </c>
      <c r="O14" s="27" t="s">
        <v>966</v>
      </c>
      <c r="Q14" s="30"/>
      <c r="R14" s="30"/>
      <c r="S14" s="30"/>
      <c r="T14" s="30"/>
      <c r="U14" s="30"/>
      <c r="V14" s="30"/>
    </row>
    <row r="15" spans="1:22" x14ac:dyDescent="0.25">
      <c r="A15" s="39">
        <v>45196</v>
      </c>
      <c r="B15" s="27" t="s">
        <v>898</v>
      </c>
      <c r="C15" s="27" t="s">
        <v>967</v>
      </c>
      <c r="D15" s="27" t="s">
        <v>968</v>
      </c>
      <c r="E15" s="160">
        <v>-5.0000000000000001E-3</v>
      </c>
      <c r="F15" s="27" t="s">
        <v>7</v>
      </c>
      <c r="G15" s="160">
        <v>-5.1999999999999998E-2</v>
      </c>
      <c r="H15" s="27" t="s">
        <v>7</v>
      </c>
      <c r="I15" s="27">
        <v>92</v>
      </c>
      <c r="J15" s="27" t="s">
        <v>969</v>
      </c>
      <c r="K15" s="37">
        <v>0.85416666666666663</v>
      </c>
      <c r="L15" s="27" t="s">
        <v>171</v>
      </c>
      <c r="M15" s="27" t="s">
        <v>874</v>
      </c>
      <c r="N15" s="27" t="s">
        <v>926</v>
      </c>
      <c r="O15" s="27" t="s">
        <v>970</v>
      </c>
      <c r="Q15" s="30"/>
      <c r="R15" s="30"/>
      <c r="S15" s="30"/>
      <c r="T15" s="30"/>
      <c r="U15" s="30"/>
      <c r="V15" s="30"/>
    </row>
    <row r="16" spans="1:22" x14ac:dyDescent="0.25">
      <c r="A16" s="39">
        <v>45195</v>
      </c>
      <c r="B16" s="27" t="s">
        <v>898</v>
      </c>
      <c r="C16" s="27" t="s">
        <v>971</v>
      </c>
      <c r="D16" s="27" t="s">
        <v>939</v>
      </c>
      <c r="E16" s="160">
        <v>105.5</v>
      </c>
      <c r="F16" s="27" t="s">
        <v>7</v>
      </c>
      <c r="G16" s="160">
        <v>106.1</v>
      </c>
      <c r="H16" s="27" t="s">
        <v>7</v>
      </c>
      <c r="I16" s="27">
        <v>92</v>
      </c>
      <c r="J16" s="27" t="s">
        <v>972</v>
      </c>
      <c r="K16" s="37">
        <v>0.91666666666666663</v>
      </c>
      <c r="L16" s="27" t="s">
        <v>171</v>
      </c>
      <c r="M16" s="27" t="s">
        <v>880</v>
      </c>
      <c r="N16" s="27" t="s">
        <v>965</v>
      </c>
      <c r="O16" s="27" t="s">
        <v>973</v>
      </c>
      <c r="Q16" s="30"/>
      <c r="R16" s="30"/>
      <c r="S16" s="30"/>
      <c r="T16" s="30"/>
      <c r="U16" s="30"/>
      <c r="V16" s="30"/>
    </row>
    <row r="17" spans="1:22" x14ac:dyDescent="0.25">
      <c r="A17" s="39">
        <v>45196</v>
      </c>
      <c r="B17" s="27" t="s">
        <v>898</v>
      </c>
      <c r="C17" s="27" t="s">
        <v>912</v>
      </c>
      <c r="D17" s="27" t="s">
        <v>974</v>
      </c>
      <c r="E17" s="160" t="s">
        <v>7</v>
      </c>
      <c r="F17" s="27" t="s">
        <v>7</v>
      </c>
      <c r="G17" s="160">
        <v>5.3999999999999999E-2</v>
      </c>
      <c r="H17" s="27" t="s">
        <v>7</v>
      </c>
      <c r="I17" s="27">
        <v>91</v>
      </c>
      <c r="J17" s="27" t="s">
        <v>914</v>
      </c>
      <c r="K17" s="37">
        <v>0.79166666666666663</v>
      </c>
      <c r="L17" s="27" t="s">
        <v>171</v>
      </c>
      <c r="M17" s="27" t="s">
        <v>94</v>
      </c>
      <c r="N17" s="27" t="s">
        <v>906</v>
      </c>
      <c r="O17" s="27" t="s">
        <v>915</v>
      </c>
      <c r="Q17" s="30"/>
      <c r="R17" s="30"/>
      <c r="S17" s="30"/>
      <c r="T17" s="30"/>
      <c r="U17" s="30"/>
      <c r="V17" s="30"/>
    </row>
    <row r="18" spans="1:22" x14ac:dyDescent="0.25">
      <c r="A18" s="39">
        <v>45195</v>
      </c>
      <c r="B18" s="27" t="s">
        <v>898</v>
      </c>
      <c r="C18" s="27" t="s">
        <v>975</v>
      </c>
      <c r="D18" s="27" t="s">
        <v>920</v>
      </c>
      <c r="E18" s="160" t="s">
        <v>976</v>
      </c>
      <c r="F18" s="27" t="s">
        <v>7</v>
      </c>
      <c r="G18" s="160" t="s">
        <v>977</v>
      </c>
      <c r="H18" s="27" t="s">
        <v>7</v>
      </c>
      <c r="I18" s="27">
        <v>88</v>
      </c>
      <c r="J18" s="27" t="s">
        <v>978</v>
      </c>
      <c r="K18" s="37">
        <v>0.91666666666666663</v>
      </c>
      <c r="L18" s="27" t="s">
        <v>171</v>
      </c>
      <c r="M18" s="27" t="s">
        <v>874</v>
      </c>
      <c r="N18" s="27" t="s">
        <v>926</v>
      </c>
      <c r="O18" s="27" t="s">
        <v>979</v>
      </c>
    </row>
    <row r="19" spans="1:22" x14ac:dyDescent="0.25">
      <c r="A19" s="39">
        <v>45198</v>
      </c>
      <c r="B19" s="27" t="s">
        <v>870</v>
      </c>
      <c r="C19" s="27" t="s">
        <v>882</v>
      </c>
      <c r="D19" s="27" t="s">
        <v>878</v>
      </c>
      <c r="E19" s="160">
        <v>5.0000000000000001E-3</v>
      </c>
      <c r="F19" s="27" t="s">
        <v>7</v>
      </c>
      <c r="G19" s="160">
        <v>5.0000000000000001E-3</v>
      </c>
      <c r="H19" s="27" t="s">
        <v>7</v>
      </c>
      <c r="I19" s="27">
        <v>85</v>
      </c>
      <c r="J19" s="27" t="s">
        <v>883</v>
      </c>
      <c r="K19" s="37">
        <v>0.70833333333333337</v>
      </c>
      <c r="L19" s="27" t="s">
        <v>171</v>
      </c>
      <c r="M19" s="27" t="s">
        <v>880</v>
      </c>
      <c r="N19" s="27" t="s">
        <v>896</v>
      </c>
      <c r="O19" s="27" t="s">
        <v>946</v>
      </c>
      <c r="Q19" s="30"/>
      <c r="R19" s="30"/>
      <c r="S19" s="30"/>
      <c r="T19" s="30"/>
      <c r="U19" s="30"/>
      <c r="V19" s="30"/>
    </row>
    <row r="20" spans="1:22" x14ac:dyDescent="0.25">
      <c r="A20" s="39">
        <v>45198</v>
      </c>
      <c r="B20" s="27" t="s">
        <v>898</v>
      </c>
      <c r="C20" s="27" t="s">
        <v>980</v>
      </c>
      <c r="D20" s="27" t="s">
        <v>920</v>
      </c>
      <c r="E20" s="160">
        <v>4.0000000000000001E-3</v>
      </c>
      <c r="F20" s="27" t="s">
        <v>7</v>
      </c>
      <c r="G20" s="160">
        <v>2E-3</v>
      </c>
      <c r="H20" s="27" t="s">
        <v>7</v>
      </c>
      <c r="I20" s="27">
        <v>85</v>
      </c>
      <c r="J20" s="27" t="s">
        <v>981</v>
      </c>
      <c r="K20" s="37">
        <v>0.85416666666666663</v>
      </c>
      <c r="L20" s="27" t="s">
        <v>171</v>
      </c>
      <c r="M20" s="27" t="s">
        <v>874</v>
      </c>
      <c r="N20" s="27" t="s">
        <v>926</v>
      </c>
      <c r="O20" s="27" t="s">
        <v>982</v>
      </c>
      <c r="V20" s="30"/>
    </row>
    <row r="21" spans="1:22" x14ac:dyDescent="0.25">
      <c r="A21" s="39">
        <v>45198</v>
      </c>
      <c r="B21" s="27" t="s">
        <v>898</v>
      </c>
      <c r="C21" s="27" t="s">
        <v>983</v>
      </c>
      <c r="D21" s="27" t="s">
        <v>920</v>
      </c>
      <c r="E21" s="160">
        <v>4.0000000000000001E-3</v>
      </c>
      <c r="F21" s="27" t="s">
        <v>7</v>
      </c>
      <c r="G21" s="160">
        <v>8.0000000000000002E-3</v>
      </c>
      <c r="H21" s="27" t="s">
        <v>7</v>
      </c>
      <c r="I21" s="27">
        <v>85</v>
      </c>
      <c r="J21" s="27" t="s">
        <v>984</v>
      </c>
      <c r="K21" s="37">
        <v>0.85416666666666663</v>
      </c>
      <c r="L21" s="27" t="s">
        <v>171</v>
      </c>
      <c r="M21" s="27" t="s">
        <v>874</v>
      </c>
      <c r="N21" s="27" t="s">
        <v>926</v>
      </c>
      <c r="O21" s="27" t="s">
        <v>985</v>
      </c>
      <c r="V21" s="30"/>
    </row>
    <row r="22" spans="1:22" x14ac:dyDescent="0.25">
      <c r="A22" s="39">
        <v>45196</v>
      </c>
      <c r="B22" s="27" t="s">
        <v>870</v>
      </c>
      <c r="C22" s="27" t="s">
        <v>947</v>
      </c>
      <c r="D22" s="27" t="s">
        <v>920</v>
      </c>
      <c r="E22" s="160">
        <v>-1.0999999999999999E-2</v>
      </c>
      <c r="F22" s="27" t="s">
        <v>7</v>
      </c>
      <c r="G22" s="160">
        <v>-4.0000000000000001E-3</v>
      </c>
      <c r="H22" s="27" t="s">
        <v>7</v>
      </c>
      <c r="I22" s="27">
        <v>83</v>
      </c>
      <c r="J22" s="27" t="s">
        <v>948</v>
      </c>
      <c r="K22" s="37">
        <v>0.66666666666666663</v>
      </c>
      <c r="L22" s="27" t="s">
        <v>171</v>
      </c>
      <c r="M22" s="27" t="s">
        <v>874</v>
      </c>
      <c r="N22" s="27" t="s">
        <v>875</v>
      </c>
      <c r="O22" s="27" t="s">
        <v>949</v>
      </c>
      <c r="V22" s="30"/>
    </row>
    <row r="23" spans="1:22" x14ac:dyDescent="0.25">
      <c r="A23" s="39">
        <v>45198</v>
      </c>
      <c r="B23" s="27" t="s">
        <v>898</v>
      </c>
      <c r="C23" s="27" t="s">
        <v>986</v>
      </c>
      <c r="D23" s="27" t="s">
        <v>939</v>
      </c>
      <c r="E23" s="160">
        <v>47.5</v>
      </c>
      <c r="F23" s="27" t="s">
        <v>7</v>
      </c>
      <c r="G23" s="160">
        <v>48.7</v>
      </c>
      <c r="H23" s="27" t="s">
        <v>7</v>
      </c>
      <c r="I23" s="27">
        <v>81</v>
      </c>
      <c r="J23" s="27" t="s">
        <v>987</v>
      </c>
      <c r="K23" s="37">
        <v>0.90625</v>
      </c>
      <c r="L23" s="27" t="s">
        <v>171</v>
      </c>
      <c r="M23" s="27" t="s">
        <v>880</v>
      </c>
      <c r="N23" s="27" t="s">
        <v>965</v>
      </c>
      <c r="O23" s="27" t="s">
        <v>988</v>
      </c>
      <c r="V23" s="30"/>
    </row>
    <row r="24" spans="1:22" x14ac:dyDescent="0.25">
      <c r="A24" s="39">
        <v>45199</v>
      </c>
      <c r="B24" s="27" t="s">
        <v>937</v>
      </c>
      <c r="C24" s="27" t="s">
        <v>943</v>
      </c>
      <c r="D24" s="27" t="s">
        <v>939</v>
      </c>
      <c r="E24" s="160">
        <v>51.5</v>
      </c>
      <c r="F24" s="27" t="s">
        <v>7</v>
      </c>
      <c r="G24" s="160">
        <v>51</v>
      </c>
      <c r="H24" s="27" t="s">
        <v>7</v>
      </c>
      <c r="I24" s="27">
        <v>76</v>
      </c>
      <c r="J24" s="27" t="s">
        <v>944</v>
      </c>
      <c r="K24" s="37">
        <v>0.39583333333333331</v>
      </c>
      <c r="L24" s="27" t="s">
        <v>171</v>
      </c>
      <c r="M24" s="27" t="s">
        <v>880</v>
      </c>
      <c r="N24" s="27" t="s">
        <v>941</v>
      </c>
      <c r="O24" s="27" t="s">
        <v>945</v>
      </c>
      <c r="Q24" s="30"/>
      <c r="R24" s="30"/>
      <c r="S24" s="30"/>
      <c r="T24" s="30"/>
      <c r="U24" s="30"/>
      <c r="V24" s="30"/>
    </row>
    <row r="25" spans="1:22" x14ac:dyDescent="0.25">
      <c r="A25" s="39">
        <v>45198</v>
      </c>
      <c r="B25" s="27" t="s">
        <v>870</v>
      </c>
      <c r="C25" s="27" t="s">
        <v>950</v>
      </c>
      <c r="D25" s="27" t="s">
        <v>939</v>
      </c>
      <c r="E25" s="160">
        <v>4.4999999999999998E-2</v>
      </c>
      <c r="F25" s="27" t="s">
        <v>7</v>
      </c>
      <c r="G25" s="160">
        <v>5.1999999999999998E-2</v>
      </c>
      <c r="H25" s="27" t="s">
        <v>7</v>
      </c>
      <c r="I25" s="27">
        <v>76</v>
      </c>
      <c r="J25" s="27" t="s">
        <v>951</v>
      </c>
      <c r="K25" s="37">
        <v>0.70833333333333337</v>
      </c>
      <c r="L25" s="27" t="s">
        <v>171</v>
      </c>
      <c r="M25" s="27" t="s">
        <v>880</v>
      </c>
      <c r="N25" s="27" t="s">
        <v>896</v>
      </c>
      <c r="O25" s="27" t="s">
        <v>952</v>
      </c>
      <c r="Q25" s="30"/>
      <c r="R25" s="30"/>
      <c r="S25" s="38"/>
      <c r="T25" s="35"/>
      <c r="U25" s="35"/>
      <c r="V25" s="30"/>
    </row>
    <row r="26" spans="1:22" x14ac:dyDescent="0.25">
      <c r="A26" s="39">
        <v>45198</v>
      </c>
      <c r="B26" s="27" t="s">
        <v>870</v>
      </c>
      <c r="C26" s="27" t="s">
        <v>888</v>
      </c>
      <c r="D26" s="27" t="s">
        <v>878</v>
      </c>
      <c r="E26" s="160">
        <v>4.8000000000000001E-2</v>
      </c>
      <c r="F26" s="27" t="s">
        <v>7</v>
      </c>
      <c r="G26" s="160">
        <v>5.2999999999999999E-2</v>
      </c>
      <c r="H26" s="27" t="s">
        <v>7</v>
      </c>
      <c r="I26" s="27">
        <v>71</v>
      </c>
      <c r="J26" s="27" t="s">
        <v>889</v>
      </c>
      <c r="K26" s="37">
        <v>0.70833333333333337</v>
      </c>
      <c r="L26" s="27" t="s">
        <v>171</v>
      </c>
      <c r="M26" s="27" t="s">
        <v>880</v>
      </c>
      <c r="N26" s="27" t="s">
        <v>896</v>
      </c>
      <c r="O26" s="27" t="s">
        <v>953</v>
      </c>
      <c r="Q26" s="30"/>
      <c r="R26" s="30"/>
      <c r="S26" s="38"/>
      <c r="T26" s="35"/>
      <c r="U26" s="35"/>
      <c r="V26" s="30"/>
    </row>
    <row r="27" spans="1:22" x14ac:dyDescent="0.25">
      <c r="A27" s="39">
        <v>45197</v>
      </c>
      <c r="B27" s="27" t="s">
        <v>870</v>
      </c>
      <c r="C27" s="27" t="s">
        <v>894</v>
      </c>
      <c r="D27" s="27" t="s">
        <v>954</v>
      </c>
      <c r="E27" s="151" t="s">
        <v>7</v>
      </c>
      <c r="F27" s="27" t="s">
        <v>7</v>
      </c>
      <c r="G27" s="151">
        <v>-17.8</v>
      </c>
      <c r="H27" s="27" t="s">
        <v>7</v>
      </c>
      <c r="I27" s="27">
        <v>66</v>
      </c>
      <c r="J27" s="27" t="s">
        <v>895</v>
      </c>
      <c r="K27" s="37">
        <v>0.70833333333333337</v>
      </c>
      <c r="L27" s="27" t="s">
        <v>171</v>
      </c>
      <c r="M27" s="27" t="s">
        <v>880</v>
      </c>
      <c r="N27" s="27" t="s">
        <v>896</v>
      </c>
      <c r="O27" s="27" t="s">
        <v>897</v>
      </c>
      <c r="Q27" s="30"/>
      <c r="R27" s="30"/>
      <c r="S27" s="38"/>
      <c r="T27" s="35"/>
      <c r="U27" s="35"/>
      <c r="V27" s="30"/>
    </row>
    <row r="28" spans="1:22" x14ac:dyDescent="0.25">
      <c r="Q28" s="30"/>
      <c r="R28" s="30"/>
      <c r="S28" s="38"/>
      <c r="T28" s="35"/>
      <c r="U28" s="35"/>
    </row>
    <row r="29" spans="1:22" x14ac:dyDescent="0.25">
      <c r="A29" s="39"/>
      <c r="K29" s="37"/>
      <c r="Q29" s="30"/>
      <c r="R29" s="30"/>
      <c r="S29" s="38"/>
      <c r="T29" s="35"/>
      <c r="U29" s="35"/>
    </row>
    <row r="30" spans="1:22" x14ac:dyDescent="0.25">
      <c r="A30" s="39"/>
      <c r="K30" s="37"/>
      <c r="Q30" s="30"/>
      <c r="R30" s="30"/>
      <c r="S30" s="38"/>
      <c r="T30" s="35"/>
      <c r="U30" s="35"/>
    </row>
    <row r="31" spans="1:22" x14ac:dyDescent="0.25">
      <c r="A31" s="39"/>
      <c r="K31" s="37"/>
    </row>
    <row r="32" spans="1:22" x14ac:dyDescent="0.25">
      <c r="A32" s="39"/>
      <c r="K32" s="37"/>
    </row>
    <row r="33" spans="1:11" x14ac:dyDescent="0.25">
      <c r="A33" s="39"/>
      <c r="K33" s="37"/>
    </row>
    <row r="34" spans="1:11" x14ac:dyDescent="0.25">
      <c r="A34" s="39"/>
      <c r="K34" s="37"/>
    </row>
    <row r="35" spans="1:11" x14ac:dyDescent="0.25">
      <c r="A35" s="39"/>
      <c r="K35" s="37"/>
    </row>
    <row r="36" spans="1:11" x14ac:dyDescent="0.25">
      <c r="A36" s="39"/>
      <c r="K36" s="37"/>
    </row>
    <row r="37" spans="1:11" x14ac:dyDescent="0.25">
      <c r="A37" s="39"/>
      <c r="K37" s="37"/>
    </row>
    <row r="38" spans="1:11" x14ac:dyDescent="0.25">
      <c r="A38" s="39"/>
      <c r="K38" s="37"/>
    </row>
    <row r="39" spans="1:11" x14ac:dyDescent="0.25">
      <c r="A39" s="39"/>
      <c r="K39" s="37"/>
    </row>
    <row r="40" spans="1:11" x14ac:dyDescent="0.25">
      <c r="A40" s="39"/>
      <c r="K40" s="37"/>
    </row>
    <row r="41" spans="1:11" x14ac:dyDescent="0.25">
      <c r="A41" s="39"/>
      <c r="K41" s="37"/>
    </row>
  </sheetData>
  <phoneticPr fontId="38" type="noConversion"/>
  <conditionalFormatting sqref="I29:I41 I11:I27">
    <cfRule type="dataBar" priority="2">
      <dataBar>
        <cfvo type="num" val="50"/>
        <cfvo type="num" val="100"/>
        <color rgb="FFF4EBE0"/>
      </dataBar>
      <extLst>
        <ext xmlns:x14="http://schemas.microsoft.com/office/spreadsheetml/2009/9/main" uri="{B025F937-C7B1-47D3-B67F-A62EFF666E3E}">
          <x14:id>{40B6F04A-DD4C-48B9-9DC1-BD707B9C6366}</x14:id>
        </ext>
      </extLst>
    </cfRule>
  </conditionalFormatting>
  <dataValidations count="1">
    <dataValidation type="list" allowBlank="1" showInputMessage="1" sqref="H1" xr:uid="{190CA822-8438-459E-9664-4295D566F166}">
      <formula1>dd_econfuture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B6F04A-DD4C-48B9-9DC1-BD707B9C6366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C69E62"/>
              <x14:negativeFillColor rgb="FFFF0000"/>
              <x14:negativeBorderColor rgb="FFFF0000"/>
              <x14:axisColor rgb="FF000000"/>
            </x14:dataBar>
          </x14:cfRule>
          <xm:sqref>I29:I41 I11:I27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7478-9FEC-4678-AECD-F92BCCAA3D40}">
  <sheetPr codeName="Sheet18">
    <tabColor rgb="FFFFFF00"/>
  </sheetPr>
  <dimension ref="A1:DU59"/>
  <sheetViews>
    <sheetView zoomScale="85" zoomScaleNormal="85" workbookViewId="0">
      <selection activeCell="D10" sqref="D10:D19"/>
    </sheetView>
  </sheetViews>
  <sheetFormatPr defaultRowHeight="15" outlineLevelRow="1" x14ac:dyDescent="0.25"/>
  <cols>
    <col min="1" max="1" width="8.109375" style="1" customWidth="1"/>
    <col min="2" max="2" width="15.77734375" style="1" customWidth="1"/>
    <col min="3" max="3" width="27.77734375" style="1" customWidth="1"/>
    <col min="4" max="4" width="11.109375" style="86" customWidth="1"/>
    <col min="5" max="5" width="12.88671875" style="1" customWidth="1"/>
    <col min="6" max="6" width="14.109375" style="1" customWidth="1"/>
    <col min="7" max="7" width="15.77734375" style="1" customWidth="1"/>
    <col min="8" max="8" width="9.109375" style="1" customWidth="1"/>
    <col min="9" max="9" width="8.77734375" style="1" customWidth="1"/>
    <col min="10" max="10" width="22.6640625" style="1" customWidth="1"/>
    <col min="11" max="11" width="26.44140625" style="1" customWidth="1"/>
    <col min="12" max="13" width="15.77734375" style="1" customWidth="1"/>
    <col min="14" max="14" width="26.109375" style="1" customWidth="1"/>
    <col min="15" max="15" width="9.33203125" style="1" bestFit="1" customWidth="1"/>
    <col min="16" max="16" width="9.44140625" style="1" bestFit="1" customWidth="1"/>
    <col min="17" max="17" width="10.33203125" style="1" bestFit="1" customWidth="1"/>
    <col min="18" max="18" width="10.44140625" style="1" bestFit="1" customWidth="1"/>
    <col min="19" max="20" width="10.44140625" style="1" customWidth="1"/>
    <col min="21" max="21" width="15.77734375" style="1" customWidth="1"/>
    <col min="22" max="22" width="12.6640625" style="1" bestFit="1" customWidth="1"/>
    <col min="23" max="23" width="7.77734375" style="1" customWidth="1"/>
    <col min="24" max="25" width="6.109375" style="1" bestFit="1" customWidth="1"/>
    <col min="26" max="26" width="7.77734375" style="1" bestFit="1" customWidth="1"/>
    <col min="27" max="27" width="6.109375" style="1" bestFit="1" customWidth="1"/>
    <col min="28" max="28" width="12.21875" style="1" bestFit="1" customWidth="1"/>
    <col min="29" max="29" width="5.6640625" style="1" bestFit="1" customWidth="1"/>
    <col min="30" max="30" width="5.88671875" style="1" bestFit="1" customWidth="1"/>
    <col min="31" max="31" width="9.44140625" style="1" bestFit="1" customWidth="1"/>
    <col min="32" max="33" width="11.109375" style="1" bestFit="1" customWidth="1"/>
    <col min="34" max="34" width="7.77734375" style="1" bestFit="1" customWidth="1"/>
    <col min="35" max="35" width="6.109375" style="1" bestFit="1" customWidth="1"/>
    <col min="36" max="36" width="7.77734375" style="1" bestFit="1" customWidth="1"/>
    <col min="37" max="37" width="9.44140625" style="1" bestFit="1" customWidth="1"/>
    <col min="38" max="39" width="6.109375" style="1" bestFit="1" customWidth="1"/>
    <col min="40" max="40" width="5.6640625" style="1" bestFit="1" customWidth="1"/>
    <col min="41" max="41" width="5.88671875" style="1" bestFit="1" customWidth="1"/>
    <col min="42" max="42" width="6.109375" style="1" bestFit="1" customWidth="1"/>
    <col min="43" max="44" width="9.44140625" style="1" bestFit="1" customWidth="1"/>
    <col min="45" max="45" width="7.77734375" style="1" bestFit="1" customWidth="1"/>
    <col min="46" max="47" width="6.109375" style="1" bestFit="1" customWidth="1"/>
    <col min="48" max="48" width="9.44140625" style="1" bestFit="1" customWidth="1"/>
    <col min="49" max="49" width="5.88671875" style="1" bestFit="1" customWidth="1"/>
    <col min="50" max="50" width="10.5546875" style="1" bestFit="1" customWidth="1"/>
    <col min="51" max="51" width="11.33203125" style="1" bestFit="1" customWidth="1"/>
    <col min="52" max="52" width="9.44140625" style="1" bestFit="1" customWidth="1"/>
    <col min="53" max="54" width="11.109375" style="1" bestFit="1" customWidth="1"/>
    <col min="55" max="55" width="14.44140625" style="1" bestFit="1" customWidth="1"/>
    <col min="56" max="56" width="8.33203125" style="1" bestFit="1" customWidth="1"/>
    <col min="57" max="57" width="9.44140625" style="1" bestFit="1" customWidth="1"/>
    <col min="58" max="58" width="15.44140625" style="1" bestFit="1" customWidth="1"/>
    <col min="59" max="59" width="6.109375" style="1" bestFit="1" customWidth="1"/>
    <col min="60" max="60" width="15.88671875" style="1" bestFit="1" customWidth="1"/>
    <col min="61" max="61" width="11.6640625" style="1" bestFit="1" customWidth="1"/>
    <col min="62" max="62" width="6.109375" style="1" bestFit="1" customWidth="1"/>
    <col min="63" max="64" width="9.44140625" style="1" bestFit="1" customWidth="1"/>
    <col min="65" max="65" width="10.21875" style="1" bestFit="1" customWidth="1"/>
    <col min="66" max="66" width="12.6640625" style="1" bestFit="1" customWidth="1"/>
    <col min="67" max="67" width="6.77734375" style="1" bestFit="1" customWidth="1"/>
    <col min="68" max="69" width="12.77734375" style="1" bestFit="1" customWidth="1"/>
    <col min="70" max="70" width="11.33203125" style="1" bestFit="1" customWidth="1"/>
    <col min="71" max="71" width="9.44140625" style="1" bestFit="1" customWidth="1"/>
    <col min="72" max="72" width="9" style="1" bestFit="1" customWidth="1"/>
    <col min="73" max="73" width="9.44140625" style="1" bestFit="1" customWidth="1"/>
    <col min="74" max="75" width="11.109375" style="1" bestFit="1" customWidth="1"/>
    <col min="76" max="76" width="15.33203125" style="1" bestFit="1" customWidth="1"/>
    <col min="77" max="78" width="9.44140625" style="1" bestFit="1" customWidth="1"/>
    <col min="79" max="79" width="6.109375" style="1" bestFit="1" customWidth="1"/>
    <col min="80" max="81" width="7.77734375" style="1" bestFit="1" customWidth="1"/>
    <col min="82" max="82" width="10.5546875" style="1" bestFit="1" customWidth="1"/>
    <col min="83" max="83" width="19.5546875" style="1" bestFit="1" customWidth="1"/>
    <col min="84" max="84" width="23" style="1" bestFit="1" customWidth="1"/>
    <col min="85" max="85" width="11.109375" style="1" bestFit="1" customWidth="1"/>
    <col min="86" max="86" width="12.77734375" style="1" bestFit="1" customWidth="1"/>
    <col min="87" max="87" width="9.44140625" style="1" bestFit="1" customWidth="1"/>
    <col min="88" max="88" width="7.6640625" style="1" bestFit="1" customWidth="1"/>
    <col min="89" max="91" width="6.109375" style="1" bestFit="1" customWidth="1"/>
    <col min="92" max="93" width="9.44140625" style="1" bestFit="1" customWidth="1"/>
    <col min="94" max="94" width="11.109375" style="1" bestFit="1" customWidth="1"/>
    <col min="95" max="95" width="9.44140625" style="1" bestFit="1" customWidth="1"/>
    <col min="96" max="96" width="13.5546875" style="1" bestFit="1" customWidth="1"/>
    <col min="97" max="97" width="6.109375" style="1" bestFit="1" customWidth="1"/>
    <col min="98" max="98" width="9.44140625" style="1" bestFit="1" customWidth="1"/>
    <col min="99" max="100" width="4.44140625" style="1" bestFit="1" customWidth="1"/>
    <col min="101" max="102" width="4.6640625" style="1" bestFit="1" customWidth="1"/>
    <col min="103" max="103" width="7.33203125" style="1" bestFit="1" customWidth="1"/>
    <col min="104" max="105" width="12.77734375" style="1" bestFit="1" customWidth="1"/>
    <col min="106" max="106" width="7.44140625" style="1" bestFit="1" customWidth="1"/>
    <col min="107" max="107" width="14.44140625" style="1" bestFit="1" customWidth="1"/>
    <col min="108" max="108" width="10.33203125" style="1" bestFit="1" customWidth="1"/>
    <col min="109" max="109" width="23" style="1" bestFit="1" customWidth="1"/>
    <col min="110" max="110" width="11.109375" style="1" bestFit="1" customWidth="1"/>
    <col min="111" max="111" width="14.44140625" style="1" bestFit="1" customWidth="1"/>
    <col min="112" max="112" width="7.77734375" style="1" bestFit="1" customWidth="1"/>
    <col min="113" max="113" width="6.109375" style="1" bestFit="1" customWidth="1"/>
    <col min="114" max="115" width="9.44140625" style="1" bestFit="1" customWidth="1"/>
    <col min="116" max="116" width="9.21875" style="1" bestFit="1" customWidth="1"/>
    <col min="117" max="117" width="9.44140625" style="1" bestFit="1" customWidth="1"/>
    <col min="118" max="118" width="12.77734375" style="1" bestFit="1" customWidth="1"/>
    <col min="119" max="119" width="9.33203125" style="1" bestFit="1" customWidth="1"/>
    <col min="120" max="120" width="6.109375" style="1" bestFit="1" customWidth="1"/>
    <col min="121" max="121" width="9.44140625" style="1" bestFit="1" customWidth="1"/>
    <col min="122" max="122" width="19.33203125" style="1" bestFit="1" customWidth="1"/>
    <col min="123" max="123" width="13.77734375" style="1" bestFit="1" customWidth="1"/>
    <col min="124" max="124" width="10.77734375" style="1" bestFit="1" customWidth="1"/>
    <col min="125" max="125" width="18.88671875" style="1" bestFit="1" customWidth="1"/>
    <col min="126" max="126" width="7.77734375" style="1" bestFit="1" customWidth="1"/>
    <col min="127" max="127" width="15.6640625" style="1" bestFit="1" customWidth="1"/>
    <col min="128" max="128" width="9.44140625" style="1" bestFit="1" customWidth="1"/>
    <col min="129" max="129" width="12.77734375" style="1" bestFit="1" customWidth="1"/>
    <col min="130" max="131" width="9.44140625" style="1" bestFit="1" customWidth="1"/>
    <col min="132" max="132" width="6.109375" style="1" bestFit="1" customWidth="1"/>
    <col min="133" max="133" width="12.21875" style="1" bestFit="1" customWidth="1"/>
    <col min="134" max="134" width="7.77734375" style="1" bestFit="1" customWidth="1"/>
    <col min="135" max="135" width="6.109375" style="1" bestFit="1" customWidth="1"/>
    <col min="136" max="136" width="7.77734375" style="1" bestFit="1" customWidth="1"/>
    <col min="137" max="137" width="9.44140625" style="1" bestFit="1" customWidth="1"/>
    <col min="138" max="139" width="6.109375" style="1" bestFit="1" customWidth="1"/>
    <col min="140" max="140" width="5.6640625" style="1" bestFit="1" customWidth="1"/>
    <col min="141" max="141" width="5.88671875" style="1" bestFit="1" customWidth="1"/>
    <col min="142" max="142" width="6.109375" style="1" bestFit="1" customWidth="1"/>
    <col min="143" max="144" width="9.44140625" style="1" bestFit="1" customWidth="1"/>
    <col min="145" max="145" width="7.77734375" style="1" bestFit="1" customWidth="1"/>
    <col min="146" max="147" width="6.109375" style="1" bestFit="1" customWidth="1"/>
    <col min="148" max="148" width="9.44140625" style="1" bestFit="1" customWidth="1"/>
    <col min="149" max="149" width="5.88671875" style="1" bestFit="1" customWidth="1"/>
    <col min="150" max="150" width="10.5546875" style="1" bestFit="1" customWidth="1"/>
    <col min="151" max="151" width="11.33203125" style="1" bestFit="1" customWidth="1"/>
    <col min="152" max="152" width="9.44140625" style="1" bestFit="1" customWidth="1"/>
    <col min="153" max="154" width="11.109375" style="1" bestFit="1" customWidth="1"/>
    <col min="155" max="155" width="14.44140625" style="1" bestFit="1" customWidth="1"/>
    <col min="156" max="156" width="7.77734375" style="1" bestFit="1" customWidth="1"/>
    <col min="157" max="157" width="9.44140625" style="1" bestFit="1" customWidth="1"/>
    <col min="158" max="158" width="15.44140625" style="1" bestFit="1" customWidth="1"/>
    <col min="159" max="159" width="6.109375" style="1" bestFit="1" customWidth="1"/>
    <col min="160" max="160" width="15.88671875" style="1" bestFit="1" customWidth="1"/>
    <col min="161" max="161" width="11.6640625" style="1" bestFit="1" customWidth="1"/>
    <col min="162" max="162" width="6.109375" style="1" bestFit="1" customWidth="1"/>
    <col min="163" max="164" width="9.44140625" style="1" bestFit="1" customWidth="1"/>
    <col min="165" max="165" width="10.21875" style="1" bestFit="1" customWidth="1"/>
    <col min="166" max="166" width="12.6640625" style="1" bestFit="1" customWidth="1"/>
    <col min="167" max="167" width="6.77734375" style="1" bestFit="1" customWidth="1"/>
    <col min="168" max="169" width="12.77734375" style="1" bestFit="1" customWidth="1"/>
    <col min="170" max="170" width="11.33203125" style="1" bestFit="1" customWidth="1"/>
    <col min="171" max="171" width="9.44140625" style="1" bestFit="1" customWidth="1"/>
    <col min="172" max="172" width="9" style="1" bestFit="1" customWidth="1"/>
    <col min="173" max="173" width="9.44140625" style="1" bestFit="1" customWidth="1"/>
    <col min="174" max="175" width="11.109375" style="1" bestFit="1" customWidth="1"/>
    <col min="176" max="176" width="15.33203125" style="1" bestFit="1" customWidth="1"/>
    <col min="177" max="178" width="9.44140625" style="1" bestFit="1" customWidth="1"/>
    <col min="179" max="179" width="6.109375" style="1" bestFit="1" customWidth="1"/>
    <col min="180" max="181" width="7.77734375" style="1" bestFit="1" customWidth="1"/>
    <col min="182" max="182" width="10.5546875" style="1" bestFit="1" customWidth="1"/>
    <col min="183" max="183" width="19.5546875" style="1" bestFit="1" customWidth="1"/>
    <col min="184" max="184" width="23" style="1" bestFit="1" customWidth="1"/>
    <col min="185" max="185" width="11.109375" style="1" bestFit="1" customWidth="1"/>
    <col min="186" max="186" width="12.77734375" style="1" bestFit="1" customWidth="1"/>
    <col min="187" max="187" width="9.44140625" style="1" bestFit="1" customWidth="1"/>
    <col min="188" max="188" width="7.6640625" style="1" bestFit="1" customWidth="1"/>
    <col min="189" max="191" width="6.109375" style="1" bestFit="1" customWidth="1"/>
    <col min="192" max="193" width="9.44140625" style="1" bestFit="1" customWidth="1"/>
    <col min="194" max="194" width="11.109375" style="1" bestFit="1" customWidth="1"/>
    <col min="195" max="195" width="9.44140625" style="1" bestFit="1" customWidth="1"/>
    <col min="196" max="196" width="13.5546875" style="1" bestFit="1" customWidth="1"/>
    <col min="197" max="197" width="6.109375" style="1" bestFit="1" customWidth="1"/>
    <col min="198" max="198" width="9.44140625" style="1" bestFit="1" customWidth="1"/>
    <col min="199" max="200" width="4.44140625" style="1" bestFit="1" customWidth="1"/>
    <col min="201" max="202" width="4.6640625" style="1" bestFit="1" customWidth="1"/>
    <col min="203" max="203" width="7.33203125" style="1" bestFit="1" customWidth="1"/>
    <col min="204" max="205" width="12.77734375" style="1" bestFit="1" customWidth="1"/>
    <col min="206" max="206" width="7.44140625" style="1" bestFit="1" customWidth="1"/>
    <col min="207" max="207" width="14.44140625" style="1" bestFit="1" customWidth="1"/>
    <col min="208" max="208" width="10.33203125" style="1" bestFit="1" customWidth="1"/>
    <col min="209" max="209" width="23" style="1" bestFit="1" customWidth="1"/>
    <col min="210" max="210" width="11.109375" style="1" bestFit="1" customWidth="1"/>
    <col min="211" max="211" width="14.44140625" style="1" bestFit="1" customWidth="1"/>
    <col min="212" max="212" width="7.77734375" style="1" bestFit="1" customWidth="1"/>
    <col min="213" max="213" width="6.109375" style="1" bestFit="1" customWidth="1"/>
    <col min="214" max="215" width="9.44140625" style="1" bestFit="1" customWidth="1"/>
    <col min="216" max="216" width="9.21875" style="1" bestFit="1" customWidth="1"/>
    <col min="217" max="217" width="9.44140625" style="1" bestFit="1" customWidth="1"/>
    <col min="218" max="218" width="12.77734375" style="1" bestFit="1" customWidth="1"/>
    <col min="219" max="219" width="9.33203125" style="1" bestFit="1" customWidth="1"/>
    <col min="220" max="220" width="6.109375" style="1" bestFit="1" customWidth="1"/>
    <col min="221" max="221" width="9.44140625" style="1" bestFit="1" customWidth="1"/>
    <col min="222" max="222" width="19.33203125" style="1" bestFit="1" customWidth="1"/>
    <col min="223" max="223" width="13.77734375" style="1" bestFit="1" customWidth="1"/>
    <col min="224" max="224" width="10.77734375" style="1" bestFit="1" customWidth="1"/>
    <col min="225" max="225" width="18.88671875" style="1" bestFit="1" customWidth="1"/>
    <col min="226" max="16384" width="8.88671875" style="1"/>
  </cols>
  <sheetData>
    <row r="1" spans="1:125" ht="27.75" outlineLevel="1" x14ac:dyDescent="0.45">
      <c r="G1" s="80">
        <v>45167</v>
      </c>
      <c r="H1" s="77"/>
      <c r="I1" s="66" t="s">
        <v>334</v>
      </c>
      <c r="J1" s="66" t="s">
        <v>54</v>
      </c>
      <c r="K1" s="66" t="s">
        <v>66</v>
      </c>
      <c r="L1" s="66" t="s">
        <v>76</v>
      </c>
    </row>
    <row r="2" spans="1:125" ht="36" x14ac:dyDescent="0.55000000000000004">
      <c r="A2" s="94" t="s">
        <v>345</v>
      </c>
      <c r="D2" s="87"/>
      <c r="E2" s="79"/>
      <c r="F2" s="79"/>
      <c r="M2" s="79"/>
      <c r="N2" s="77"/>
      <c r="O2" s="77"/>
      <c r="P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</row>
    <row r="4" spans="1:125" ht="27.75" customHeight="1" x14ac:dyDescent="0.45">
      <c r="B4" s="91" t="s">
        <v>344</v>
      </c>
      <c r="D4" s="87"/>
      <c r="E4" s="79"/>
      <c r="F4" s="79"/>
      <c r="G4" s="79"/>
      <c r="H4" s="79"/>
      <c r="I4" s="79"/>
      <c r="J4" s="79"/>
      <c r="K4" s="79"/>
      <c r="L4" s="79"/>
      <c r="M4" s="79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7"/>
      <c r="BV4" s="77"/>
      <c r="BW4" s="77"/>
      <c r="BX4" s="77"/>
      <c r="BY4" s="77"/>
      <c r="BZ4" s="77"/>
      <c r="CA4" s="77"/>
      <c r="CB4" s="77"/>
      <c r="CC4" s="77"/>
      <c r="CD4" s="77"/>
      <c r="CE4" s="77"/>
      <c r="CF4" s="77"/>
      <c r="CG4" s="77"/>
      <c r="CH4" s="77"/>
      <c r="CI4" s="77"/>
      <c r="CJ4" s="77"/>
      <c r="CK4" s="77"/>
      <c r="CL4" s="77"/>
      <c r="CM4" s="77"/>
      <c r="CN4" s="77"/>
      <c r="CO4" s="77"/>
      <c r="CP4" s="77"/>
      <c r="CQ4" s="77"/>
      <c r="CR4" s="77"/>
      <c r="CS4" s="77"/>
      <c r="CT4" s="77"/>
      <c r="CU4" s="77"/>
      <c r="CV4" s="77"/>
      <c r="CW4" s="77"/>
      <c r="CX4" s="77"/>
      <c r="CY4" s="77"/>
      <c r="CZ4" s="77"/>
      <c r="DA4" s="77"/>
      <c r="DB4" s="77"/>
      <c r="DC4" s="77"/>
      <c r="DD4" s="77"/>
      <c r="DE4" s="77"/>
      <c r="DF4" s="77"/>
      <c r="DG4" s="77"/>
      <c r="DH4" s="77"/>
      <c r="DI4" s="77"/>
      <c r="DJ4" s="77"/>
      <c r="DK4" s="77"/>
      <c r="DL4" s="77"/>
      <c r="DM4" s="77"/>
      <c r="DN4" s="77"/>
      <c r="DO4" s="77"/>
      <c r="DP4" s="77"/>
      <c r="DQ4" s="77"/>
      <c r="DR4" s="77"/>
      <c r="DS4" s="77"/>
      <c r="DT4" s="77"/>
      <c r="DU4" s="77"/>
    </row>
    <row r="5" spans="1:125" ht="27.75" customHeight="1" x14ac:dyDescent="0.45">
      <c r="B5" s="90" t="s">
        <v>336</v>
      </c>
      <c r="C5" s="90" t="s">
        <v>337</v>
      </c>
      <c r="D5" s="90" t="s">
        <v>342</v>
      </c>
      <c r="E5" s="79"/>
      <c r="F5" s="79"/>
      <c r="G5" s="79"/>
      <c r="H5" s="79"/>
      <c r="I5" s="79"/>
      <c r="J5" s="79"/>
      <c r="K5" s="79"/>
      <c r="L5" s="79"/>
      <c r="M5" s="79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7"/>
      <c r="BN5" s="77"/>
      <c r="BO5" s="77"/>
      <c r="BP5" s="77"/>
      <c r="BQ5" s="77"/>
      <c r="BR5" s="77"/>
      <c r="BS5" s="77"/>
      <c r="BT5" s="77"/>
      <c r="BU5" s="77"/>
      <c r="BV5" s="77"/>
      <c r="BW5" s="77"/>
      <c r="BX5" s="77"/>
      <c r="BY5" s="77"/>
      <c r="BZ5" s="77"/>
      <c r="CA5" s="77"/>
      <c r="CB5" s="77"/>
      <c r="CC5" s="77"/>
      <c r="CD5" s="77"/>
      <c r="CE5" s="77"/>
      <c r="CF5" s="77"/>
      <c r="CG5" s="77"/>
      <c r="CH5" s="77"/>
      <c r="CI5" s="77"/>
      <c r="CJ5" s="77"/>
      <c r="CK5" s="77"/>
      <c r="CL5" s="77"/>
      <c r="CM5" s="77"/>
      <c r="CN5" s="77"/>
      <c r="CO5" s="77"/>
      <c r="CP5" s="77"/>
      <c r="CQ5" s="77"/>
      <c r="CR5" s="77"/>
      <c r="CS5" s="77"/>
      <c r="CT5" s="77"/>
      <c r="CU5" s="77"/>
      <c r="CV5" s="77"/>
      <c r="CW5" s="77"/>
      <c r="CX5" s="77"/>
      <c r="CY5" s="77"/>
      <c r="CZ5" s="77"/>
      <c r="DA5" s="77"/>
      <c r="DB5" s="77"/>
      <c r="DC5" s="77"/>
      <c r="DD5" s="77"/>
      <c r="DE5" s="77"/>
      <c r="DF5" s="77"/>
      <c r="DG5" s="77"/>
      <c r="DH5" s="77"/>
      <c r="DI5" s="77"/>
      <c r="DJ5" s="77"/>
      <c r="DK5" s="77"/>
      <c r="DL5" s="77"/>
      <c r="DM5" s="77"/>
      <c r="DN5" s="77"/>
      <c r="DO5" s="77"/>
      <c r="DP5" s="77"/>
      <c r="DQ5" s="77"/>
      <c r="DR5" s="77"/>
      <c r="DS5" s="77"/>
      <c r="DT5" s="77"/>
      <c r="DU5" s="77"/>
    </row>
    <row r="6" spans="1:125" ht="27.75" customHeight="1" x14ac:dyDescent="0.45">
      <c r="B6" s="85"/>
      <c r="C6" s="85" t="s">
        <v>480</v>
      </c>
      <c r="D6" s="85" t="s">
        <v>343</v>
      </c>
      <c r="E6" s="79"/>
      <c r="F6" s="79"/>
      <c r="G6" s="79"/>
      <c r="H6" s="79"/>
      <c r="I6" s="79"/>
      <c r="J6" s="79"/>
      <c r="K6" s="79"/>
      <c r="L6" s="79"/>
      <c r="M6" s="79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7"/>
      <c r="BZ6" s="77"/>
      <c r="CA6" s="77"/>
      <c r="CB6" s="77"/>
      <c r="CC6" s="77"/>
      <c r="CD6" s="77"/>
      <c r="CE6" s="77"/>
      <c r="CF6" s="77"/>
      <c r="CG6" s="77"/>
      <c r="CH6" s="77"/>
      <c r="CI6" s="77"/>
      <c r="CJ6" s="77"/>
      <c r="CK6" s="77"/>
      <c r="CL6" s="77"/>
      <c r="CM6" s="77"/>
      <c r="CN6" s="77"/>
      <c r="CO6" s="77"/>
      <c r="CP6" s="77"/>
      <c r="CQ6" s="77"/>
      <c r="CR6" s="77"/>
      <c r="CS6" s="77"/>
      <c r="CT6" s="77"/>
      <c r="CU6" s="77"/>
      <c r="CV6" s="77"/>
      <c r="CW6" s="77"/>
      <c r="CX6" s="77"/>
      <c r="CY6" s="77"/>
      <c r="CZ6" s="77"/>
      <c r="DA6" s="77"/>
      <c r="DB6" s="77"/>
      <c r="DC6" s="77"/>
      <c r="DD6" s="77"/>
      <c r="DE6" s="77"/>
      <c r="DF6" s="77"/>
      <c r="DG6" s="77"/>
      <c r="DH6" s="77"/>
      <c r="DI6" s="77"/>
      <c r="DJ6" s="77"/>
      <c r="DK6" s="77"/>
      <c r="DL6" s="77"/>
      <c r="DM6" s="77"/>
      <c r="DN6" s="77"/>
      <c r="DO6" s="77"/>
      <c r="DP6" s="77"/>
      <c r="DQ6" s="77"/>
      <c r="DR6" s="77"/>
      <c r="DS6" s="77"/>
      <c r="DT6" s="77"/>
      <c r="DU6" s="77"/>
    </row>
    <row r="8" spans="1:125" ht="27.75" customHeight="1" x14ac:dyDescent="0.45">
      <c r="B8" s="93" t="s">
        <v>340</v>
      </c>
      <c r="C8" s="83"/>
      <c r="D8" s="88"/>
      <c r="E8" s="83"/>
      <c r="F8" s="83"/>
      <c r="G8" s="83"/>
      <c r="H8" s="83"/>
      <c r="I8" s="83"/>
      <c r="J8" s="83"/>
      <c r="K8" s="83"/>
      <c r="L8" s="83"/>
      <c r="M8" s="83"/>
      <c r="N8" s="83"/>
      <c r="O8" s="77"/>
      <c r="P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  <c r="BC8" s="77"/>
      <c r="BD8" s="77"/>
      <c r="BE8" s="77"/>
      <c r="BF8" s="77"/>
      <c r="BG8" s="77"/>
      <c r="BH8" s="77"/>
      <c r="BI8" s="77"/>
      <c r="BJ8" s="77"/>
      <c r="BK8" s="77"/>
      <c r="BL8" s="77"/>
      <c r="BM8" s="77"/>
      <c r="BN8" s="77"/>
      <c r="BO8" s="77"/>
      <c r="BP8" s="77"/>
      <c r="BQ8" s="77"/>
      <c r="BR8" s="77"/>
      <c r="BS8" s="77"/>
      <c r="BT8" s="77"/>
      <c r="BU8" s="77"/>
      <c r="BV8" s="77"/>
      <c r="BW8" s="77"/>
      <c r="BX8" s="77"/>
      <c r="BY8" s="77"/>
      <c r="BZ8" s="77"/>
      <c r="CA8" s="77"/>
      <c r="CB8" s="77"/>
      <c r="CC8" s="77"/>
      <c r="CD8" s="77"/>
      <c r="CE8" s="77"/>
      <c r="CF8" s="77"/>
      <c r="CG8" s="77"/>
      <c r="CH8" s="77"/>
      <c r="CI8" s="77"/>
      <c r="CJ8" s="77"/>
      <c r="CK8" s="77"/>
      <c r="CL8" s="77"/>
      <c r="CM8" s="77"/>
      <c r="CN8" s="77"/>
      <c r="CO8" s="77"/>
      <c r="CP8" s="77"/>
      <c r="CQ8" s="77"/>
      <c r="CR8" s="77"/>
      <c r="CS8" s="77"/>
      <c r="CT8" s="77"/>
      <c r="CU8" s="77"/>
      <c r="CV8" s="77"/>
      <c r="CW8" s="77"/>
      <c r="CX8" s="77"/>
      <c r="CY8" s="77"/>
      <c r="CZ8" s="77"/>
      <c r="DA8" s="77"/>
      <c r="DB8" s="77"/>
      <c r="DC8" s="77"/>
      <c r="DD8" s="77"/>
      <c r="DE8" s="77"/>
      <c r="DF8" s="77"/>
      <c r="DG8" s="77"/>
      <c r="DH8" s="77"/>
      <c r="DI8" s="77"/>
      <c r="DJ8" s="77"/>
      <c r="DK8" s="77"/>
      <c r="DL8" s="77"/>
      <c r="DM8" s="77"/>
      <c r="DN8" s="77"/>
      <c r="DO8" s="77"/>
      <c r="DP8" s="77"/>
      <c r="DQ8" s="77"/>
      <c r="DR8" s="77"/>
      <c r="DS8" s="77"/>
      <c r="DT8" s="77"/>
      <c r="DU8" s="77"/>
    </row>
    <row r="9" spans="1:125" x14ac:dyDescent="0.25">
      <c r="B9" t="s">
        <v>49</v>
      </c>
      <c r="C9" t="s">
        <v>175</v>
      </c>
      <c r="D9" s="84" t="s">
        <v>50</v>
      </c>
      <c r="E9" t="s">
        <v>144</v>
      </c>
      <c r="F9" t="s">
        <v>65</v>
      </c>
      <c r="G9" t="s">
        <v>58</v>
      </c>
      <c r="H9" t="s">
        <v>89</v>
      </c>
      <c r="I9" t="s">
        <v>122</v>
      </c>
      <c r="J9" t="s">
        <v>90</v>
      </c>
      <c r="K9" t="s">
        <v>176</v>
      </c>
    </row>
    <row r="10" spans="1:125" x14ac:dyDescent="0.25">
      <c r="B10" t="s">
        <v>481</v>
      </c>
      <c r="C10" t="s">
        <v>313</v>
      </c>
      <c r="D10" s="84">
        <v>45184</v>
      </c>
      <c r="E10" t="s">
        <v>85</v>
      </c>
      <c r="F10" t="s">
        <v>87</v>
      </c>
      <c r="G10">
        <v>0.9</v>
      </c>
      <c r="H10" t="s">
        <v>160</v>
      </c>
      <c r="I10" t="s">
        <v>482</v>
      </c>
      <c r="J10" t="s">
        <v>483</v>
      </c>
      <c r="K10">
        <v>10</v>
      </c>
    </row>
    <row r="11" spans="1:125" x14ac:dyDescent="0.25">
      <c r="B11" t="s">
        <v>484</v>
      </c>
      <c r="C11" t="s">
        <v>485</v>
      </c>
      <c r="D11">
        <v>45183</v>
      </c>
      <c r="E11" t="s">
        <v>85</v>
      </c>
      <c r="F11" t="s">
        <v>108</v>
      </c>
      <c r="G11">
        <v>2.6</v>
      </c>
      <c r="H11" t="s">
        <v>160</v>
      </c>
      <c r="I11" t="s">
        <v>486</v>
      </c>
      <c r="J11" t="s">
        <v>7</v>
      </c>
      <c r="K11"/>
    </row>
    <row r="12" spans="1:125" x14ac:dyDescent="0.25">
      <c r="B12" t="s">
        <v>487</v>
      </c>
      <c r="C12" t="s">
        <v>488</v>
      </c>
      <c r="D12">
        <v>45177</v>
      </c>
      <c r="E12" t="s">
        <v>85</v>
      </c>
      <c r="F12" t="s">
        <v>108</v>
      </c>
      <c r="G12">
        <v>4.41</v>
      </c>
      <c r="H12" t="s">
        <v>160</v>
      </c>
      <c r="I12" t="s">
        <v>486</v>
      </c>
      <c r="J12" t="s">
        <v>7</v>
      </c>
      <c r="K12" t="s">
        <v>7</v>
      </c>
    </row>
    <row r="13" spans="1:125" x14ac:dyDescent="0.25">
      <c r="B13" t="s">
        <v>489</v>
      </c>
      <c r="C13" t="s">
        <v>313</v>
      </c>
      <c r="D13">
        <v>45167</v>
      </c>
      <c r="E13" t="s">
        <v>85</v>
      </c>
      <c r="F13" t="s">
        <v>108</v>
      </c>
      <c r="G13">
        <v>8.0619999999999994</v>
      </c>
      <c r="H13" t="s">
        <v>160</v>
      </c>
      <c r="I13" t="s">
        <v>478</v>
      </c>
      <c r="J13" t="s">
        <v>490</v>
      </c>
      <c r="K13" t="s">
        <v>443</v>
      </c>
    </row>
    <row r="14" spans="1:125" s="70" customFormat="1" ht="35.25" customHeight="1" x14ac:dyDescent="0.25">
      <c r="B14" t="s">
        <v>491</v>
      </c>
      <c r="C14" t="s">
        <v>492</v>
      </c>
      <c r="D14">
        <v>45132</v>
      </c>
      <c r="E14" t="s">
        <v>85</v>
      </c>
      <c r="F14" t="s">
        <v>87</v>
      </c>
      <c r="G14">
        <v>0.54800000000000004</v>
      </c>
      <c r="H14" t="s">
        <v>493</v>
      </c>
      <c r="I14" t="s">
        <v>494</v>
      </c>
      <c r="J14" t="s">
        <v>7</v>
      </c>
      <c r="K14" t="s">
        <v>7</v>
      </c>
    </row>
    <row r="15" spans="1:125" ht="27.75" x14ac:dyDescent="0.45">
      <c r="B15" t="s">
        <v>495</v>
      </c>
      <c r="C15" t="s">
        <v>496</v>
      </c>
      <c r="D15">
        <v>45083</v>
      </c>
      <c r="E15" t="s">
        <v>85</v>
      </c>
      <c r="F15" t="s">
        <v>87</v>
      </c>
      <c r="G15">
        <v>0.52</v>
      </c>
      <c r="H15" t="s">
        <v>160</v>
      </c>
      <c r="I15" t="s">
        <v>497</v>
      </c>
      <c r="J15" t="s">
        <v>7</v>
      </c>
      <c r="K15" t="s">
        <v>7</v>
      </c>
      <c r="L15" s="78"/>
      <c r="M15" s="78"/>
    </row>
    <row r="16" spans="1:125" x14ac:dyDescent="0.25">
      <c r="B16" t="s">
        <v>498</v>
      </c>
      <c r="C16" t="s">
        <v>492</v>
      </c>
      <c r="D16">
        <v>45070</v>
      </c>
      <c r="E16" t="s">
        <v>85</v>
      </c>
      <c r="F16" t="s">
        <v>87</v>
      </c>
      <c r="G16">
        <v>0.46400000000000002</v>
      </c>
      <c r="H16" t="s">
        <v>160</v>
      </c>
      <c r="I16" t="s">
        <v>494</v>
      </c>
      <c r="J16" t="s">
        <v>7</v>
      </c>
      <c r="K16" t="s">
        <v>7</v>
      </c>
    </row>
    <row r="17" spans="2:13" x14ac:dyDescent="0.25">
      <c r="B17" t="s">
        <v>499</v>
      </c>
      <c r="C17" t="s">
        <v>496</v>
      </c>
      <c r="D17">
        <v>45001</v>
      </c>
      <c r="E17" t="s">
        <v>85</v>
      </c>
      <c r="F17" t="s">
        <v>87</v>
      </c>
      <c r="G17">
        <v>0.47</v>
      </c>
      <c r="H17" t="s">
        <v>160</v>
      </c>
      <c r="I17" t="s">
        <v>500</v>
      </c>
      <c r="J17" t="s">
        <v>7</v>
      </c>
      <c r="K17" t="s">
        <v>7</v>
      </c>
    </row>
    <row r="18" spans="2:13" x14ac:dyDescent="0.25">
      <c r="B18" t="s">
        <v>501</v>
      </c>
      <c r="C18" t="s">
        <v>492</v>
      </c>
      <c r="D18">
        <v>44939</v>
      </c>
      <c r="E18" t="s">
        <v>85</v>
      </c>
      <c r="F18" t="s">
        <v>87</v>
      </c>
      <c r="G18">
        <v>0.25</v>
      </c>
      <c r="H18" t="s">
        <v>502</v>
      </c>
      <c r="I18" t="s">
        <v>494</v>
      </c>
      <c r="J18" t="s">
        <v>7</v>
      </c>
      <c r="K18" t="s">
        <v>7</v>
      </c>
    </row>
    <row r="19" spans="2:13" ht="27.75" x14ac:dyDescent="0.45">
      <c r="B19" t="s">
        <v>503</v>
      </c>
      <c r="C19" t="s">
        <v>504</v>
      </c>
      <c r="D19">
        <v>44938</v>
      </c>
      <c r="E19" t="s">
        <v>85</v>
      </c>
      <c r="F19" t="s">
        <v>87</v>
      </c>
      <c r="G19">
        <v>0.31</v>
      </c>
      <c r="H19" t="s">
        <v>160</v>
      </c>
      <c r="I19" t="s">
        <v>500</v>
      </c>
      <c r="J19" t="s">
        <v>7</v>
      </c>
      <c r="K19" t="s">
        <v>7</v>
      </c>
      <c r="L19" s="79"/>
      <c r="M19" s="79"/>
    </row>
    <row r="21" spans="2:13" ht="27.75" x14ac:dyDescent="0.45">
      <c r="B21" s="92" t="s">
        <v>339</v>
      </c>
      <c r="C21" s="78"/>
      <c r="D21" s="89"/>
      <c r="E21" s="78"/>
      <c r="F21" s="78"/>
      <c r="G21" s="78"/>
      <c r="H21" s="78"/>
      <c r="I21" s="78"/>
      <c r="J21" s="78"/>
      <c r="K21" s="78"/>
    </row>
    <row r="22" spans="2:13" x14ac:dyDescent="0.25">
      <c r="B22" t="s">
        <v>332</v>
      </c>
      <c r="C22" t="s">
        <v>330</v>
      </c>
      <c r="D22" s="84" t="s">
        <v>150</v>
      </c>
      <c r="E22" t="s">
        <v>333</v>
      </c>
      <c r="F22" t="s">
        <v>50</v>
      </c>
      <c r="G22" t="s">
        <v>58</v>
      </c>
      <c r="H22" t="s">
        <v>334</v>
      </c>
      <c r="I22" t="s">
        <v>54</v>
      </c>
      <c r="J22" t="s">
        <v>427</v>
      </c>
      <c r="K22" t="s">
        <v>428</v>
      </c>
    </row>
    <row r="23" spans="2:13" ht="18.75" x14ac:dyDescent="0.25">
      <c r="B23" s="107" t="s">
        <v>441</v>
      </c>
      <c r="C23" s="107" t="s">
        <v>331</v>
      </c>
      <c r="D23" s="108" t="s">
        <v>271</v>
      </c>
      <c r="E23" s="107"/>
      <c r="F23" s="109">
        <v>45177</v>
      </c>
      <c r="G23" s="107">
        <v>1.22</v>
      </c>
      <c r="H23" s="107" t="s">
        <v>312</v>
      </c>
      <c r="I23" s="110">
        <v>6.2E-2</v>
      </c>
      <c r="J23" s="111" t="s">
        <v>251</v>
      </c>
      <c r="K23" s="111" t="s">
        <v>420</v>
      </c>
    </row>
    <row r="25" spans="2:13" ht="27.75" x14ac:dyDescent="0.45">
      <c r="B25" s="93" t="s">
        <v>341</v>
      </c>
      <c r="C25" s="79"/>
      <c r="D25" s="87"/>
      <c r="E25" s="79"/>
      <c r="F25" s="93" t="s">
        <v>346</v>
      </c>
      <c r="G25" s="79"/>
      <c r="H25" s="79"/>
      <c r="I25" s="79"/>
      <c r="J25" s="79"/>
      <c r="K25" s="79"/>
    </row>
    <row r="26" spans="2:13" x14ac:dyDescent="0.25">
      <c r="B26" t="s">
        <v>327</v>
      </c>
      <c r="C26" t="s">
        <v>329</v>
      </c>
    </row>
    <row r="27" spans="2:13" x14ac:dyDescent="0.25">
      <c r="B27" t="s">
        <v>332</v>
      </c>
      <c r="C27" s="48" t="s">
        <v>441</v>
      </c>
    </row>
    <row r="28" spans="2:13" x14ac:dyDescent="0.25">
      <c r="B28" t="s">
        <v>450</v>
      </c>
      <c r="C28" s="48" t="s">
        <v>331</v>
      </c>
    </row>
    <row r="29" spans="2:13" x14ac:dyDescent="0.25">
      <c r="B29" t="s">
        <v>150</v>
      </c>
      <c r="C29" s="48" t="s">
        <v>271</v>
      </c>
    </row>
    <row r="30" spans="2:13" x14ac:dyDescent="0.25">
      <c r="B30" t="s">
        <v>50</v>
      </c>
      <c r="C30" s="48">
        <v>45177</v>
      </c>
    </row>
    <row r="31" spans="2:13" x14ac:dyDescent="0.25">
      <c r="B31" t="s">
        <v>58</v>
      </c>
      <c r="C31" s="48">
        <v>1.22</v>
      </c>
    </row>
    <row r="32" spans="2:13" x14ac:dyDescent="0.25">
      <c r="B32" t="s">
        <v>334</v>
      </c>
      <c r="C32" s="48" t="s">
        <v>309</v>
      </c>
    </row>
    <row r="33" spans="2:3" x14ac:dyDescent="0.25">
      <c r="B33" t="s">
        <v>54</v>
      </c>
      <c r="C33" s="48" t="s">
        <v>338</v>
      </c>
    </row>
    <row r="34" spans="2:3" x14ac:dyDescent="0.25">
      <c r="B34" t="s">
        <v>66</v>
      </c>
      <c r="C34" s="48" t="s">
        <v>418</v>
      </c>
    </row>
    <row r="35" spans="2:3" x14ac:dyDescent="0.25">
      <c r="B35" t="s">
        <v>76</v>
      </c>
      <c r="C35" s="48" t="s">
        <v>422</v>
      </c>
    </row>
    <row r="36" spans="2:3" x14ac:dyDescent="0.25">
      <c r="B36" t="s">
        <v>96</v>
      </c>
      <c r="C36" s="48" t="s">
        <v>444</v>
      </c>
    </row>
    <row r="37" spans="2:3" x14ac:dyDescent="0.25">
      <c r="B37" t="s">
        <v>49</v>
      </c>
      <c r="C37" s="48" t="s">
        <v>441</v>
      </c>
    </row>
    <row r="38" spans="2:3" x14ac:dyDescent="0.25">
      <c r="B38" t="s">
        <v>258</v>
      </c>
      <c r="C38" s="48" t="s">
        <v>85</v>
      </c>
    </row>
    <row r="39" spans="2:3" x14ac:dyDescent="0.25">
      <c r="B39" t="s">
        <v>259</v>
      </c>
      <c r="C39" s="48" t="s">
        <v>85</v>
      </c>
    </row>
    <row r="40" spans="2:3" x14ac:dyDescent="0.25">
      <c r="B40" t="s">
        <v>52</v>
      </c>
      <c r="C40" s="48" t="s">
        <v>445</v>
      </c>
    </row>
    <row r="41" spans="2:3" x14ac:dyDescent="0.25">
      <c r="B41" t="s">
        <v>65</v>
      </c>
      <c r="C41" s="48" t="s">
        <v>87</v>
      </c>
    </row>
    <row r="42" spans="2:3" x14ac:dyDescent="0.25">
      <c r="B42" t="s">
        <v>89</v>
      </c>
      <c r="C42" s="48" t="s">
        <v>160</v>
      </c>
    </row>
    <row r="43" spans="2:3" x14ac:dyDescent="0.25">
      <c r="B43" t="s">
        <v>178</v>
      </c>
      <c r="C43" s="48" t="s">
        <v>117</v>
      </c>
    </row>
    <row r="44" spans="2:3" x14ac:dyDescent="0.25">
      <c r="B44" t="s">
        <v>92</v>
      </c>
      <c r="C44" s="48" t="s">
        <v>37</v>
      </c>
    </row>
    <row r="45" spans="2:3" x14ac:dyDescent="0.25">
      <c r="B45" t="s">
        <v>93</v>
      </c>
      <c r="C45" s="48" t="s">
        <v>284</v>
      </c>
    </row>
    <row r="46" spans="2:3" x14ac:dyDescent="0.25">
      <c r="B46" t="s">
        <v>82</v>
      </c>
      <c r="C46" s="48" t="s">
        <v>140</v>
      </c>
    </row>
    <row r="47" spans="2:3" x14ac:dyDescent="0.25">
      <c r="B47" t="s">
        <v>68</v>
      </c>
      <c r="C47" s="48">
        <v>44811</v>
      </c>
    </row>
    <row r="48" spans="2:3" x14ac:dyDescent="0.25">
      <c r="B48" t="s">
        <v>71</v>
      </c>
      <c r="C48" s="48">
        <v>44992</v>
      </c>
    </row>
    <row r="49" spans="2:3" x14ac:dyDescent="0.25">
      <c r="B49" t="s">
        <v>53</v>
      </c>
      <c r="C49" s="48">
        <v>45907</v>
      </c>
    </row>
    <row r="50" spans="2:3" x14ac:dyDescent="0.25">
      <c r="B50" t="s">
        <v>183</v>
      </c>
      <c r="C50" s="48">
        <v>2</v>
      </c>
    </row>
    <row r="51" spans="2:3" x14ac:dyDescent="0.25">
      <c r="B51" t="s">
        <v>184</v>
      </c>
      <c r="C51" s="48">
        <v>13.8</v>
      </c>
    </row>
    <row r="52" spans="2:3" x14ac:dyDescent="0.25">
      <c r="B52" t="s">
        <v>223</v>
      </c>
      <c r="C52" s="48">
        <v>15.7</v>
      </c>
    </row>
    <row r="53" spans="2:3" x14ac:dyDescent="0.25">
      <c r="B53" t="s">
        <v>67</v>
      </c>
      <c r="C53" s="48" t="s">
        <v>446</v>
      </c>
    </row>
    <row r="54" spans="2:3" x14ac:dyDescent="0.25">
      <c r="B54" t="s">
        <v>248</v>
      </c>
      <c r="C54" s="48" t="s">
        <v>268</v>
      </c>
    </row>
    <row r="55" spans="2:3" ht="45" x14ac:dyDescent="0.25">
      <c r="B55" t="s">
        <v>72</v>
      </c>
      <c r="C55" s="48" t="s">
        <v>447</v>
      </c>
    </row>
    <row r="56" spans="2:3" x14ac:dyDescent="0.25">
      <c r="B56" t="s">
        <v>237</v>
      </c>
      <c r="C56" s="48" t="s">
        <v>449</v>
      </c>
    </row>
    <row r="57" spans="2:3" x14ac:dyDescent="0.25">
      <c r="B57" t="s">
        <v>210</v>
      </c>
      <c r="C57" s="48" t="s">
        <v>351</v>
      </c>
    </row>
    <row r="58" spans="2:3" x14ac:dyDescent="0.25">
      <c r="B58" t="s">
        <v>149</v>
      </c>
      <c r="C58" s="48" t="s">
        <v>448</v>
      </c>
    </row>
    <row r="59" spans="2:3" x14ac:dyDescent="0.25">
      <c r="B59" t="s">
        <v>175</v>
      </c>
      <c r="C59" s="48" t="s">
        <v>442</v>
      </c>
    </row>
  </sheetData>
  <phoneticPr fontId="13" type="noConversion"/>
  <conditionalFormatting sqref="B10:J19">
    <cfRule type="expression" dxfId="69" priority="1">
      <formula>ISNUMBER(FIND(#REF!,"【"))</formula>
    </cfRule>
  </conditionalFormatting>
  <conditionalFormatting sqref="K10:K19">
    <cfRule type="expression" dxfId="68" priority="13">
      <formula>ISNUMBER(FIND(#REF!,"【"))</formula>
    </cfRule>
  </conditionalFormatting>
  <dataValidations count="7">
    <dataValidation type="list" allowBlank="1" showInputMessage="1" showErrorMessage="1" sqref="C23" xr:uid="{11485101-3356-430B-AD53-0DB45BFA4D76}">
      <formula1>"【】,新增记录,拆分记录"</formula1>
    </dataValidation>
    <dataValidation type="list" allowBlank="1" showInputMessage="1" showErrorMessage="1" sqref="D23" xr:uid="{9E151418-74BD-4F61-8B50-0F6F718845A4}">
      <formula1>"【】,增发,增发(临时ISIN)"</formula1>
    </dataValidation>
    <dataValidation allowBlank="1" showInputMessage="1" showErrorMessage="1" promptTitle="FPG Format" prompt="No need to write bp_x000a_Decimal follow BBG_x000a__x000a_3.20%_x000a_3.8%_x000a_T+100_x000a_" sqref="I23 J1" xr:uid="{190CFBF5-CF28-4B5F-91D7-A00D07C649B9}"/>
    <dataValidation allowBlank="1" showInputMessage="1" showErrorMessage="1" promptTitle="IPG Format" prompt="No need to write bp_x000a_Decimal follow BBG_x000a_Use &quot;a&quot; for &quot;area&quot;_x000a__x000a_3.50%a_x000a_4%a_x000a_T+120a_x000a_" sqref="H23 I1" xr:uid="{B8C59A8D-B217-413F-9F9F-510A2F586F44}"/>
    <dataValidation type="list" allowBlank="1" showInputMessage="1" sqref="B23" xr:uid="{630C696C-1BA5-4EF7-B919-569446863386}">
      <formula1>$B$10:$B$19</formula1>
    </dataValidation>
    <dataValidation type="list" allowBlank="1" showInputMessage="1" showErrorMessage="1" sqref="D6" xr:uid="{A25CA704-6B3A-4DBB-8CF3-7C3D9A7D8A35}">
      <formula1>"Y,N"</formula1>
    </dataValidation>
    <dataValidation type="list" allowBlank="1" showInputMessage="1" sqref="K1:L1 J23:K23" xr:uid="{E4237DF5-FA6C-4DC2-9BC1-98EF416DAAF4}">
      <formula1>dd_BOCOMJLM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26188-C25F-4D2F-A703-1EFAE5A9808C}">
  <sheetPr codeName="Sheet19"/>
  <dimension ref="A1:L38"/>
  <sheetViews>
    <sheetView zoomScale="98" zoomScaleNormal="98" workbookViewId="0">
      <selection activeCell="F11" sqref="F11"/>
    </sheetView>
  </sheetViews>
  <sheetFormatPr defaultRowHeight="15" x14ac:dyDescent="0.25"/>
  <cols>
    <col min="1" max="1" width="8.88671875" style="1"/>
    <col min="2" max="2" width="25.88671875" style="1" bestFit="1" customWidth="1"/>
    <col min="3" max="3" width="13.5546875" style="1" bestFit="1" customWidth="1"/>
    <col min="4" max="5" width="12.6640625" style="1" bestFit="1" customWidth="1"/>
    <col min="6" max="6" width="30.44140625" style="1" bestFit="1" customWidth="1"/>
    <col min="7" max="7" width="10" style="1" bestFit="1" customWidth="1"/>
    <col min="8" max="8" width="12.5546875" style="1" bestFit="1" customWidth="1"/>
    <col min="9" max="10" width="8.88671875" style="1"/>
    <col min="11" max="11" width="11.109375" style="1" bestFit="1" customWidth="1"/>
    <col min="12" max="12" width="12.6640625" style="1" bestFit="1" customWidth="1"/>
    <col min="13" max="16384" width="8.88671875" style="1"/>
  </cols>
  <sheetData>
    <row r="1" spans="1:9" ht="34.5" customHeight="1" x14ac:dyDescent="0.25">
      <c r="G1" s="66" t="s">
        <v>42</v>
      </c>
      <c r="H1" s="66" t="s">
        <v>98</v>
      </c>
      <c r="I1" s="114" t="s">
        <v>256</v>
      </c>
    </row>
    <row r="2" spans="1:9" ht="36" x14ac:dyDescent="0.55000000000000004">
      <c r="A2" s="94" t="s">
        <v>403</v>
      </c>
      <c r="E2" s="1" t="s">
        <v>407</v>
      </c>
    </row>
    <row r="3" spans="1:9" ht="15.75" x14ac:dyDescent="0.25">
      <c r="B3" s="90" t="s">
        <v>337</v>
      </c>
      <c r="C3" s="90" t="s">
        <v>342</v>
      </c>
    </row>
    <row r="4" spans="1:9" x14ac:dyDescent="0.25">
      <c r="B4" s="85" t="s">
        <v>429</v>
      </c>
      <c r="C4" s="85" t="s">
        <v>343</v>
      </c>
    </row>
    <row r="6" spans="1:9" x14ac:dyDescent="0.25">
      <c r="B6" t="s">
        <v>96</v>
      </c>
    </row>
    <row r="7" spans="1:9" x14ac:dyDescent="0.25">
      <c r="B7" t="s">
        <v>350</v>
      </c>
    </row>
    <row r="8" spans="1:9" x14ac:dyDescent="0.25">
      <c r="B8" t="s">
        <v>509</v>
      </c>
    </row>
    <row r="9" spans="1:9" x14ac:dyDescent="0.25">
      <c r="B9" t="s">
        <v>437</v>
      </c>
    </row>
    <row r="10" spans="1:9" x14ac:dyDescent="0.25">
      <c r="B10" t="s">
        <v>430</v>
      </c>
    </row>
    <row r="11" spans="1:9" x14ac:dyDescent="0.25">
      <c r="B11" t="s">
        <v>431</v>
      </c>
    </row>
    <row r="12" spans="1:9" x14ac:dyDescent="0.25">
      <c r="B12" t="s">
        <v>432</v>
      </c>
    </row>
    <row r="13" spans="1:9" x14ac:dyDescent="0.25">
      <c r="B13" t="s">
        <v>433</v>
      </c>
    </row>
    <row r="14" spans="1:9" x14ac:dyDescent="0.25">
      <c r="B14" t="s">
        <v>434</v>
      </c>
    </row>
    <row r="15" spans="1:9" x14ac:dyDescent="0.25">
      <c r="B15" t="s">
        <v>435</v>
      </c>
    </row>
    <row r="16" spans="1:9" x14ac:dyDescent="0.25">
      <c r="B16" t="s">
        <v>436</v>
      </c>
    </row>
    <row r="20" spans="2:12" x14ac:dyDescent="0.25">
      <c r="K20" t="s">
        <v>423</v>
      </c>
      <c r="L20" t="s">
        <v>424</v>
      </c>
    </row>
    <row r="21" spans="2:12" x14ac:dyDescent="0.25">
      <c r="K21" t="s">
        <v>404</v>
      </c>
      <c r="L21" s="106" t="s">
        <v>68</v>
      </c>
    </row>
    <row r="22" spans="2:12" x14ac:dyDescent="0.25">
      <c r="K22" t="s">
        <v>405</v>
      </c>
      <c r="L22" s="106" t="s">
        <v>53</v>
      </c>
    </row>
    <row r="23" spans="2:12" x14ac:dyDescent="0.25">
      <c r="K23" t="s">
        <v>427</v>
      </c>
      <c r="L23" t="s">
        <v>66</v>
      </c>
    </row>
    <row r="24" spans="2:12" ht="17.25" customHeight="1" x14ac:dyDescent="0.25">
      <c r="B24" s="1" t="s">
        <v>438</v>
      </c>
      <c r="C24" s="1" t="s">
        <v>406</v>
      </c>
      <c r="K24" t="s">
        <v>428</v>
      </c>
      <c r="L24" t="s">
        <v>76</v>
      </c>
    </row>
    <row r="25" spans="2:12" ht="17.25" customHeight="1" x14ac:dyDescent="0.25">
      <c r="B25" s="104" t="s">
        <v>49</v>
      </c>
      <c r="C25" s="112"/>
      <c r="K25" t="s">
        <v>144</v>
      </c>
      <c r="L25" t="s">
        <v>258</v>
      </c>
    </row>
    <row r="26" spans="2:12" ht="17.25" customHeight="1" x14ac:dyDescent="0.25">
      <c r="B26" s="104" t="s">
        <v>50</v>
      </c>
      <c r="C26" s="112"/>
      <c r="K26" t="s">
        <v>187</v>
      </c>
      <c r="L26" t="s">
        <v>259</v>
      </c>
    </row>
    <row r="27" spans="2:12" ht="17.25" customHeight="1" x14ac:dyDescent="0.25">
      <c r="B27" s="104" t="s">
        <v>59</v>
      </c>
      <c r="C27" s="112"/>
      <c r="K27" t="s">
        <v>122</v>
      </c>
      <c r="L27" t="s">
        <v>440</v>
      </c>
    </row>
    <row r="28" spans="2:12" ht="17.25" customHeight="1" x14ac:dyDescent="0.25">
      <c r="B28" s="104" t="s">
        <v>256</v>
      </c>
      <c r="C28" s="112"/>
    </row>
    <row r="29" spans="2:12" ht="17.25" customHeight="1" x14ac:dyDescent="0.25">
      <c r="B29" s="104" t="s">
        <v>56</v>
      </c>
      <c r="C29" s="112"/>
    </row>
    <row r="30" spans="2:12" ht="17.25" customHeight="1" x14ac:dyDescent="0.25">
      <c r="B30" s="104" t="s">
        <v>427</v>
      </c>
      <c r="C30" s="112" t="s">
        <v>249</v>
      </c>
    </row>
    <row r="31" spans="2:12" ht="17.25" customHeight="1" x14ac:dyDescent="0.25">
      <c r="B31" s="104" t="s">
        <v>428</v>
      </c>
      <c r="C31" s="112" t="s">
        <v>420</v>
      </c>
    </row>
    <row r="32" spans="2:12" ht="17.25" customHeight="1" x14ac:dyDescent="0.25">
      <c r="B32" s="104" t="s">
        <v>144</v>
      </c>
      <c r="C32" s="112"/>
    </row>
    <row r="33" spans="2:3" ht="17.25" customHeight="1" x14ac:dyDescent="0.25">
      <c r="B33" s="104" t="s">
        <v>98</v>
      </c>
      <c r="C33" s="112"/>
    </row>
    <row r="34" spans="2:3" ht="17.25" customHeight="1" x14ac:dyDescent="0.25">
      <c r="B34" s="104" t="s">
        <v>122</v>
      </c>
      <c r="C34" s="113">
        <v>3.2000000000000001E-2</v>
      </c>
    </row>
    <row r="35" spans="2:3" ht="17.25" customHeight="1" x14ac:dyDescent="0.25">
      <c r="B35" s="104" t="s">
        <v>65</v>
      </c>
      <c r="C35" s="112" t="s">
        <v>87</v>
      </c>
    </row>
    <row r="36" spans="2:3" ht="17.25" customHeight="1" x14ac:dyDescent="0.25">
      <c r="B36" s="104" t="s">
        <v>58</v>
      </c>
      <c r="C36" s="112">
        <v>2</v>
      </c>
    </row>
    <row r="37" spans="2:3" ht="17.25" customHeight="1" x14ac:dyDescent="0.25">
      <c r="B37" s="104" t="s">
        <v>334</v>
      </c>
      <c r="C37" s="112" t="s">
        <v>408</v>
      </c>
    </row>
    <row r="38" spans="2:3" ht="17.25" customHeight="1" x14ac:dyDescent="0.25">
      <c r="B38" s="104" t="s">
        <v>54</v>
      </c>
      <c r="C38" s="113">
        <v>3.2000000000000001E-2</v>
      </c>
    </row>
  </sheetData>
  <dataConsolidate/>
  <dataValidations count="9">
    <dataValidation type="list" allowBlank="1" showInputMessage="1" showErrorMessage="1" sqref="C4" xr:uid="{82A1D462-9C76-4555-B0BF-8B839AB53B53}">
      <formula1>"Y,N"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C37" xr:uid="{224C5A74-3C7A-4319-9820-B7286679D5D8}"/>
    <dataValidation allowBlank="1" showInputMessage="1" showErrorMessage="1" promptTitle="FPG Format" prompt="No need to write bp_x000a_Decimal follow BBG_x000a__x000a_3.20%_x000a_3.8%_x000a_T+100_x000a_" sqref="C38" xr:uid="{01874B51-48B7-4307-9E6D-E991437F1709}"/>
    <dataValidation type="list" allowBlank="1" showInputMessage="1" showErrorMessage="1" sqref="C30:C32" xr:uid="{C3D57984-9E1D-4B94-8FA7-966700CBBF66}">
      <formula1>dd_BOCOMJLM</formula1>
    </dataValidation>
    <dataValidation type="list" allowBlank="1" showInputMessage="1" sqref="G1 C29" xr:uid="{D087F5E4-9CC8-498C-B1FE-FF2F0175DCD1}">
      <formula1>dd_备证行</formula1>
    </dataValidation>
    <dataValidation type="list" allowBlank="1" showInputMessage="1" showErrorMessage="1" sqref="C35" xr:uid="{3146B185-9FF8-47E6-8F6A-1CBDCAC4DA4B}">
      <formula1>dd_货币</formula1>
    </dataValidation>
    <dataValidation allowBlank="1" showInputMessage="1" showErrorMessage="1" promptTitle="票息 Format" prompt="请输入百分号_x000a_3.20%_x000a_3.8%_x000a_" sqref="C34" xr:uid="{FDC5EB88-7BA2-4B07-9440-93BAFDFC4895}"/>
    <dataValidation type="list" allowBlank="1" showInputMessage="1" sqref="C33 H1" xr:uid="{D0094802-F748-4D24-9B5C-12B972DD2963}">
      <formula1>dd_主题债券</formula1>
    </dataValidation>
    <dataValidation type="list" allowBlank="1" showInputMessage="1" sqref="C28 I1" xr:uid="{32FC70E4-532F-4461-873F-6C114B161EC9}">
      <formula1>dd_结构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85E74-E8A0-4729-83E3-EFD401F92620}">
  <sheetPr codeName="Sheet11">
    <tabColor rgb="FFE1E1E9"/>
  </sheetPr>
  <dimension ref="A1:J8"/>
  <sheetViews>
    <sheetView workbookViewId="0">
      <selection activeCell="K18" sqref="K18"/>
    </sheetView>
  </sheetViews>
  <sheetFormatPr defaultRowHeight="15" x14ac:dyDescent="0.25"/>
  <cols>
    <col min="1" max="1" width="9.33203125" style="1" bestFit="1" customWidth="1"/>
    <col min="2" max="2" width="13.33203125" style="1" bestFit="1" customWidth="1"/>
    <col min="3" max="3" width="30.44140625" style="1" bestFit="1" customWidth="1"/>
    <col min="4" max="4" width="5.88671875" style="1" bestFit="1" customWidth="1"/>
    <col min="5" max="5" width="7.5546875" style="1" bestFit="1" customWidth="1"/>
    <col min="6" max="6" width="5.88671875" style="1" bestFit="1" customWidth="1"/>
    <col min="7" max="7" width="7.6640625" style="1" bestFit="1" customWidth="1"/>
    <col min="8" max="8" width="9.21875" style="1" bestFit="1" customWidth="1"/>
    <col min="9" max="9" width="6" style="1" bestFit="1" customWidth="1"/>
    <col min="10" max="10" width="5.88671875" style="1" bestFit="1" customWidth="1"/>
    <col min="11" max="11" width="5.88671875" style="1" customWidth="1"/>
    <col min="12" max="12" width="6.109375" style="1" bestFit="1" customWidth="1"/>
    <col min="13" max="16384" width="8.88671875" style="1"/>
  </cols>
  <sheetData>
    <row r="1" spans="1:10" ht="58.5" customHeight="1" x14ac:dyDescent="0.55000000000000004">
      <c r="A1" s="65" t="s">
        <v>252</v>
      </c>
    </row>
    <row r="5" spans="1:10" x14ac:dyDescent="0.25">
      <c r="A5" t="s">
        <v>50</v>
      </c>
      <c r="B5" t="s">
        <v>49</v>
      </c>
      <c r="C5" t="s">
        <v>48</v>
      </c>
      <c r="D5" t="s">
        <v>89</v>
      </c>
      <c r="E5" t="s">
        <v>183</v>
      </c>
      <c r="F5" t="s">
        <v>65</v>
      </c>
      <c r="G5" t="s">
        <v>240</v>
      </c>
      <c r="H5" t="s">
        <v>95</v>
      </c>
      <c r="I5" t="s">
        <v>109</v>
      </c>
      <c r="J5" t="s">
        <v>120</v>
      </c>
    </row>
    <row r="6" spans="1:10" x14ac:dyDescent="0.25">
      <c r="A6" s="49">
        <v>45191</v>
      </c>
      <c r="B6" t="s">
        <v>832</v>
      </c>
      <c r="C6" t="s">
        <v>833</v>
      </c>
      <c r="D6">
        <v>5</v>
      </c>
      <c r="E6">
        <v>1</v>
      </c>
      <c r="F6" t="s">
        <v>87</v>
      </c>
      <c r="G6" t="s">
        <v>278</v>
      </c>
      <c r="H6" t="s">
        <v>118</v>
      </c>
      <c r="I6" t="s">
        <v>516</v>
      </c>
      <c r="J6" t="s">
        <v>558</v>
      </c>
    </row>
    <row r="7" spans="1:10" x14ac:dyDescent="0.25">
      <c r="A7" s="49">
        <v>45189</v>
      </c>
      <c r="B7" t="s">
        <v>586</v>
      </c>
      <c r="C7" t="s">
        <v>701</v>
      </c>
      <c r="D7">
        <v>5</v>
      </c>
      <c r="E7">
        <v>1</v>
      </c>
      <c r="F7" t="s">
        <v>87</v>
      </c>
      <c r="G7" t="s">
        <v>278</v>
      </c>
      <c r="H7" t="s">
        <v>118</v>
      </c>
      <c r="I7" t="s">
        <v>516</v>
      </c>
      <c r="J7" t="s">
        <v>558</v>
      </c>
    </row>
    <row r="8" spans="1:10" x14ac:dyDescent="0.25">
      <c r="A8" s="49">
        <v>45188</v>
      </c>
      <c r="B8" t="s">
        <v>627</v>
      </c>
      <c r="C8" t="s">
        <v>760</v>
      </c>
      <c r="D8">
        <v>3</v>
      </c>
      <c r="E8">
        <v>0.95900000000000007</v>
      </c>
      <c r="F8" t="s">
        <v>108</v>
      </c>
      <c r="G8" t="s">
        <v>278</v>
      </c>
      <c r="H8" t="s">
        <v>118</v>
      </c>
      <c r="I8" t="s">
        <v>556</v>
      </c>
      <c r="J8" t="s">
        <v>517</v>
      </c>
    </row>
  </sheetData>
  <phoneticPr fontId="1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U19"/>
  <sheetViews>
    <sheetView topLeftCell="A4" workbookViewId="0">
      <selection activeCell="E38" sqref="E38"/>
    </sheetView>
  </sheetViews>
  <sheetFormatPr defaultRowHeight="15" x14ac:dyDescent="0.25"/>
  <cols>
    <col min="1" max="1" width="36.6640625" style="1" bestFit="1" customWidth="1"/>
    <col min="2" max="2" width="26.33203125" style="1" bestFit="1" customWidth="1"/>
    <col min="3" max="3" width="14" style="1" bestFit="1" customWidth="1"/>
    <col min="4" max="4" width="9.33203125" style="1" bestFit="1" customWidth="1"/>
    <col min="5" max="5" width="49.5546875" style="1" bestFit="1" customWidth="1"/>
    <col min="6" max="6" width="10" style="1" bestFit="1" customWidth="1"/>
    <col min="7" max="7" width="12.5546875" style="1" bestFit="1" customWidth="1"/>
    <col min="8" max="8" width="9.21875" style="1" bestFit="1" customWidth="1"/>
    <col min="9" max="9" width="12" style="1" bestFit="1" customWidth="1"/>
    <col min="10" max="10" width="5.88671875" style="1" bestFit="1" customWidth="1"/>
    <col min="11" max="11" width="12" style="1" bestFit="1" customWidth="1"/>
    <col min="12" max="12" width="10.21875" style="1" bestFit="1" customWidth="1"/>
    <col min="13" max="13" width="10.33203125" style="1" bestFit="1" customWidth="1"/>
    <col min="14" max="14" width="40.44140625" style="1" bestFit="1" customWidth="1"/>
    <col min="15" max="15" width="10" style="1" bestFit="1" customWidth="1"/>
    <col min="16" max="16" width="18.21875" style="1" bestFit="1" customWidth="1"/>
    <col min="17" max="17" width="12.5546875" style="1" bestFit="1" customWidth="1"/>
    <col min="18" max="18" width="9.21875" style="1" bestFit="1" customWidth="1"/>
    <col min="19" max="19" width="9.5546875" style="1" bestFit="1" customWidth="1"/>
    <col min="20" max="20" width="31.5546875" style="1" bestFit="1" customWidth="1"/>
    <col min="21" max="21" width="14.88671875" style="1" bestFit="1" customWidth="1"/>
    <col min="22" max="22" width="7.5546875" style="1" bestFit="1" customWidth="1"/>
    <col min="23" max="23" width="9.21875" style="1" bestFit="1" customWidth="1"/>
    <col min="24" max="25" width="6" style="1" bestFit="1" customWidth="1"/>
    <col min="26" max="26" width="12.6640625" style="1" bestFit="1" customWidth="1"/>
    <col min="27" max="27" width="10.33203125" style="1" bestFit="1" customWidth="1"/>
    <col min="28" max="30" width="9.21875" style="1" bestFit="1" customWidth="1"/>
    <col min="31" max="31" width="80.88671875" style="1" bestFit="1" customWidth="1"/>
    <col min="32" max="33" width="9.21875" style="1" bestFit="1" customWidth="1"/>
    <col min="34" max="35" width="12.5546875" style="1" bestFit="1" customWidth="1"/>
    <col min="36" max="36" width="9.33203125" style="1" bestFit="1" customWidth="1"/>
    <col min="37" max="37" width="5.88671875" style="1" bestFit="1" customWidth="1"/>
    <col min="38" max="38" width="9.21875" style="1" bestFit="1" customWidth="1"/>
    <col min="39" max="39" width="14.44140625" style="1" bestFit="1" customWidth="1"/>
    <col min="40" max="40" width="9.21875" style="1" bestFit="1" customWidth="1"/>
    <col min="41" max="41" width="12.5546875" style="1" bestFit="1" customWidth="1"/>
    <col min="42" max="43" width="10.88671875" style="1" bestFit="1" customWidth="1"/>
    <col min="44" max="44" width="80.88671875" style="1" bestFit="1" customWidth="1"/>
    <col min="45" max="45" width="8.109375" style="1" bestFit="1" customWidth="1"/>
    <col min="46" max="46" width="12.5546875" style="1" bestFit="1" customWidth="1"/>
    <col min="47" max="47" width="9.21875" style="1" bestFit="1" customWidth="1"/>
    <col min="48" max="48" width="10.33203125" style="1" bestFit="1" customWidth="1"/>
    <col min="49" max="49" width="10.88671875" style="1" bestFit="1" customWidth="1"/>
    <col min="50" max="50" width="12.5546875" style="1" bestFit="1" customWidth="1"/>
    <col min="51" max="51" width="16.21875" style="1" bestFit="1" customWidth="1"/>
    <col min="52" max="52" width="10.88671875" style="1" bestFit="1" customWidth="1"/>
    <col min="53" max="53" width="45.109375" style="1" bestFit="1" customWidth="1"/>
    <col min="54" max="54" width="36.6640625" style="1" bestFit="1" customWidth="1"/>
    <col min="55" max="55" width="10.88671875" style="1" bestFit="1" customWidth="1"/>
    <col min="56" max="56" width="10.21875" style="1" bestFit="1" customWidth="1"/>
    <col min="57" max="57" width="10.33203125" style="1" bestFit="1" customWidth="1"/>
    <col min="58" max="58" width="19" style="1" bestFit="1" customWidth="1"/>
    <col min="59" max="60" width="80.88671875" style="1" bestFit="1" customWidth="1"/>
    <col min="61" max="61" width="10.88671875" style="1" bestFit="1" customWidth="1"/>
    <col min="62" max="67" width="9.21875" style="1" bestFit="1" customWidth="1"/>
    <col min="68" max="68" width="21.33203125" style="1" bestFit="1" customWidth="1"/>
    <col min="69" max="69" width="8.5546875" style="1" bestFit="1" customWidth="1"/>
    <col min="70" max="70" width="12" style="1" bestFit="1" customWidth="1"/>
    <col min="71" max="71" width="5.88671875" style="1" bestFit="1" customWidth="1"/>
    <col min="72" max="72" width="9.21875" style="1" bestFit="1" customWidth="1"/>
    <col min="73" max="73" width="20.109375" style="1" bestFit="1" customWidth="1"/>
    <col min="74" max="74" width="19.44140625" style="1" bestFit="1" customWidth="1"/>
    <col min="75" max="76" width="20.21875" style="1" bestFit="1" customWidth="1"/>
    <col min="77" max="81" width="19.33203125" style="1" bestFit="1" customWidth="1"/>
    <col min="82" max="82" width="6.109375" style="1" bestFit="1" customWidth="1"/>
    <col min="83" max="83" width="19.44140625" style="1" bestFit="1" customWidth="1"/>
    <col min="84" max="16384" width="8.88671875" style="1"/>
  </cols>
  <sheetData>
    <row r="1" spans="1:73" ht="67.5" customHeight="1" x14ac:dyDescent="0.25">
      <c r="A1" s="5" t="s">
        <v>260</v>
      </c>
    </row>
    <row r="5" spans="1:73" x14ac:dyDescent="0.25">
      <c r="A5" t="s">
        <v>96</v>
      </c>
      <c r="B5" t="s">
        <v>255</v>
      </c>
      <c r="C5" t="s">
        <v>49</v>
      </c>
      <c r="D5" t="s">
        <v>50</v>
      </c>
      <c r="E5" t="s">
        <v>48</v>
      </c>
      <c r="F5" t="s">
        <v>100</v>
      </c>
      <c r="G5" t="s">
        <v>101</v>
      </c>
      <c r="H5" t="s">
        <v>51</v>
      </c>
      <c r="I5" t="s">
        <v>58</v>
      </c>
      <c r="J5" t="s">
        <v>65</v>
      </c>
      <c r="K5" t="s">
        <v>59</v>
      </c>
      <c r="L5" t="s">
        <v>440</v>
      </c>
      <c r="M5" t="s">
        <v>53</v>
      </c>
      <c r="N5" t="s">
        <v>102</v>
      </c>
      <c r="O5" t="s">
        <v>218</v>
      </c>
      <c r="P5" t="s">
        <v>219</v>
      </c>
      <c r="Q5" t="s">
        <v>55</v>
      </c>
      <c r="R5" t="s">
        <v>347</v>
      </c>
      <c r="S5" t="s">
        <v>256</v>
      </c>
      <c r="T5" t="s">
        <v>56</v>
      </c>
      <c r="U5" t="s">
        <v>57</v>
      </c>
      <c r="V5" t="s">
        <v>60</v>
      </c>
      <c r="W5" t="s">
        <v>61</v>
      </c>
      <c r="X5" t="s">
        <v>97</v>
      </c>
      <c r="Y5" t="s">
        <v>46</v>
      </c>
      <c r="Z5" t="s">
        <v>47</v>
      </c>
      <c r="AA5" t="s">
        <v>141</v>
      </c>
      <c r="AB5" t="s">
        <v>62</v>
      </c>
      <c r="AC5" t="s">
        <v>63</v>
      </c>
      <c r="AD5" t="s">
        <v>64</v>
      </c>
      <c r="AE5" t="s">
        <v>66</v>
      </c>
      <c r="AF5" t="s">
        <v>210</v>
      </c>
      <c r="AG5" t="s">
        <v>45</v>
      </c>
      <c r="AH5" t="s">
        <v>186</v>
      </c>
      <c r="AI5" t="s">
        <v>52</v>
      </c>
      <c r="AJ5" t="s">
        <v>98</v>
      </c>
      <c r="AK5" t="s">
        <v>44</v>
      </c>
      <c r="AL5" t="s">
        <v>233</v>
      </c>
      <c r="AM5" t="s">
        <v>43</v>
      </c>
      <c r="AN5" t="s">
        <v>99</v>
      </c>
      <c r="AO5" t="s">
        <v>234</v>
      </c>
      <c r="AP5" t="s">
        <v>235</v>
      </c>
      <c r="AQ5" t="s">
        <v>236</v>
      </c>
      <c r="AR5" t="s">
        <v>237</v>
      </c>
      <c r="AS5" t="s">
        <v>67</v>
      </c>
      <c r="AT5" t="s">
        <v>103</v>
      </c>
      <c r="AU5" t="s">
        <v>104</v>
      </c>
      <c r="AV5" t="s">
        <v>68</v>
      </c>
      <c r="AW5" t="s">
        <v>69</v>
      </c>
      <c r="AX5" t="s">
        <v>105</v>
      </c>
      <c r="AY5" t="s">
        <v>70</v>
      </c>
      <c r="AZ5" t="s">
        <v>71</v>
      </c>
      <c r="BA5" t="s">
        <v>72</v>
      </c>
      <c r="BB5" t="s">
        <v>73</v>
      </c>
      <c r="BC5" t="s">
        <v>74</v>
      </c>
      <c r="BD5" t="s">
        <v>239</v>
      </c>
      <c r="BE5" t="s">
        <v>75</v>
      </c>
      <c r="BF5" t="s">
        <v>106</v>
      </c>
      <c r="BG5" t="s">
        <v>76</v>
      </c>
      <c r="BH5" t="s">
        <v>238</v>
      </c>
      <c r="BI5" t="s">
        <v>77</v>
      </c>
      <c r="BJ5" t="s">
        <v>78</v>
      </c>
      <c r="BK5" t="s">
        <v>79</v>
      </c>
      <c r="BL5" t="s">
        <v>80</v>
      </c>
      <c r="BM5" t="s">
        <v>81</v>
      </c>
      <c r="BN5" t="s">
        <v>107</v>
      </c>
      <c r="BO5" t="s">
        <v>82</v>
      </c>
      <c r="BP5" t="s">
        <v>83</v>
      </c>
      <c r="BQ5" t="s">
        <v>348</v>
      </c>
      <c r="BR5" t="s">
        <v>450</v>
      </c>
      <c r="BS5" t="s">
        <v>91</v>
      </c>
      <c r="BT5" t="s">
        <v>325</v>
      </c>
      <c r="BU5" t="s">
        <v>149</v>
      </c>
    </row>
    <row r="6" spans="1:73" x14ac:dyDescent="0.25">
      <c r="A6" s="146" t="s">
        <v>431</v>
      </c>
      <c r="B6" s="146" t="s">
        <v>846</v>
      </c>
      <c r="C6" s="146" t="s">
        <v>832</v>
      </c>
      <c r="D6" s="147">
        <v>45191</v>
      </c>
      <c r="E6" s="146" t="s">
        <v>833</v>
      </c>
      <c r="F6" s="146" t="s">
        <v>534</v>
      </c>
      <c r="G6" s="146" t="s">
        <v>535</v>
      </c>
      <c r="H6" s="146" t="s">
        <v>134</v>
      </c>
      <c r="I6" s="146">
        <v>1</v>
      </c>
      <c r="J6" s="146" t="s">
        <v>87</v>
      </c>
      <c r="K6" s="146" t="s">
        <v>541</v>
      </c>
      <c r="L6" s="146"/>
      <c r="M6" s="147">
        <v>47024</v>
      </c>
      <c r="N6" s="146" t="s">
        <v>112</v>
      </c>
      <c r="O6" s="146" t="s">
        <v>94</v>
      </c>
      <c r="P6" s="146" t="s">
        <v>94</v>
      </c>
      <c r="Q6" s="146"/>
      <c r="R6" s="146" t="s">
        <v>211</v>
      </c>
      <c r="S6" s="146" t="s">
        <v>524</v>
      </c>
      <c r="T6" s="146" t="s">
        <v>94</v>
      </c>
      <c r="U6" s="146" t="s">
        <v>135</v>
      </c>
      <c r="V6" s="146">
        <v>100</v>
      </c>
      <c r="W6" s="146"/>
      <c r="X6" s="146" t="s">
        <v>525</v>
      </c>
      <c r="Y6" s="146" t="s">
        <v>526</v>
      </c>
      <c r="Z6" s="146" t="s">
        <v>94</v>
      </c>
      <c r="AA6" s="146"/>
      <c r="AB6" s="146"/>
      <c r="AC6" s="146"/>
      <c r="AD6" s="146"/>
      <c r="AE6" s="146" t="s">
        <v>94</v>
      </c>
      <c r="AF6" s="146" t="s">
        <v>351</v>
      </c>
      <c r="AG6" s="146" t="s">
        <v>527</v>
      </c>
      <c r="AH6" s="146" t="s">
        <v>134</v>
      </c>
      <c r="AI6" s="146" t="s">
        <v>528</v>
      </c>
      <c r="AJ6" s="146" t="s">
        <v>94</v>
      </c>
      <c r="AK6" s="146" t="s">
        <v>86</v>
      </c>
      <c r="AL6" s="146" t="s">
        <v>542</v>
      </c>
      <c r="AM6" s="146" t="s">
        <v>533</v>
      </c>
      <c r="AN6" s="146" t="s">
        <v>530</v>
      </c>
      <c r="AO6" s="146"/>
      <c r="AP6" s="146" t="s">
        <v>94</v>
      </c>
      <c r="AQ6" s="146" t="s">
        <v>94</v>
      </c>
      <c r="AR6" s="146" t="s">
        <v>94</v>
      </c>
      <c r="AS6" s="146" t="s">
        <v>536</v>
      </c>
      <c r="AT6" s="146">
        <v>1000</v>
      </c>
      <c r="AU6" s="146">
        <v>1</v>
      </c>
      <c r="AV6" s="147">
        <v>45197</v>
      </c>
      <c r="AW6" s="147"/>
      <c r="AX6" s="146">
        <v>6.0345000000000004</v>
      </c>
      <c r="AY6" s="146" t="s">
        <v>847</v>
      </c>
      <c r="AZ6" s="147">
        <v>45288</v>
      </c>
      <c r="BA6" s="146" t="s">
        <v>537</v>
      </c>
      <c r="BB6" s="146" t="s">
        <v>94</v>
      </c>
      <c r="BC6" s="147">
        <v>45197</v>
      </c>
      <c r="BD6" s="146" t="s">
        <v>94</v>
      </c>
      <c r="BE6" s="147">
        <v>45197</v>
      </c>
      <c r="BF6" s="146" t="s">
        <v>94</v>
      </c>
      <c r="BG6" s="146" t="s">
        <v>94</v>
      </c>
      <c r="BH6" s="146" t="s">
        <v>94</v>
      </c>
      <c r="BI6" s="146" t="s">
        <v>136</v>
      </c>
      <c r="BJ6" s="146" t="s">
        <v>136</v>
      </c>
      <c r="BK6" s="146" t="s">
        <v>531</v>
      </c>
      <c r="BL6" s="146" t="s">
        <v>138</v>
      </c>
      <c r="BM6" s="146" t="s">
        <v>139</v>
      </c>
      <c r="BN6" s="146" t="s">
        <v>94</v>
      </c>
      <c r="BO6" s="146" t="s">
        <v>532</v>
      </c>
      <c r="BP6" s="146" t="s">
        <v>94</v>
      </c>
      <c r="BQ6" s="146" t="s">
        <v>94</v>
      </c>
      <c r="BR6" s="146" t="s">
        <v>260</v>
      </c>
      <c r="BS6" s="146" t="s">
        <v>12</v>
      </c>
      <c r="BT6" s="147"/>
      <c r="BU6" s="146" t="s">
        <v>843</v>
      </c>
    </row>
    <row r="7" spans="1:73" x14ac:dyDescent="0.25">
      <c r="A7" s="146" t="s">
        <v>835</v>
      </c>
      <c r="B7" s="146" t="s">
        <v>848</v>
      </c>
      <c r="C7" s="146" t="s">
        <v>834</v>
      </c>
      <c r="D7" s="147">
        <v>45191</v>
      </c>
      <c r="E7" s="146" t="s">
        <v>849</v>
      </c>
      <c r="F7" s="146" t="s">
        <v>134</v>
      </c>
      <c r="G7" s="146" t="s">
        <v>134</v>
      </c>
      <c r="H7" s="146" t="s">
        <v>134</v>
      </c>
      <c r="I7" s="146">
        <v>1</v>
      </c>
      <c r="J7" s="146" t="s">
        <v>87</v>
      </c>
      <c r="K7" s="146" t="s">
        <v>209</v>
      </c>
      <c r="L7" s="146">
        <v>7.1</v>
      </c>
      <c r="M7" s="147">
        <v>46311</v>
      </c>
      <c r="N7" s="146" t="s">
        <v>269</v>
      </c>
      <c r="O7" s="146" t="s">
        <v>94</v>
      </c>
      <c r="P7" s="146" t="s">
        <v>850</v>
      </c>
      <c r="Q7" s="146"/>
      <c r="R7" s="146" t="s">
        <v>211</v>
      </c>
      <c r="S7" s="146" t="s">
        <v>543</v>
      </c>
      <c r="T7" s="146" t="s">
        <v>851</v>
      </c>
      <c r="U7" s="146" t="s">
        <v>135</v>
      </c>
      <c r="V7" s="146">
        <v>100</v>
      </c>
      <c r="W7" s="146"/>
      <c r="X7" s="146" t="s">
        <v>676</v>
      </c>
      <c r="Y7" s="146" t="s">
        <v>852</v>
      </c>
      <c r="Z7" s="146" t="s">
        <v>853</v>
      </c>
      <c r="AA7" s="146"/>
      <c r="AB7" s="146"/>
      <c r="AC7" s="146"/>
      <c r="AD7" s="146"/>
      <c r="AE7" s="146" t="s">
        <v>854</v>
      </c>
      <c r="AF7" s="146" t="s">
        <v>351</v>
      </c>
      <c r="AG7" s="146" t="s">
        <v>713</v>
      </c>
      <c r="AH7" s="146" t="s">
        <v>134</v>
      </c>
      <c r="AI7" s="146" t="s">
        <v>680</v>
      </c>
      <c r="AJ7" s="146" t="s">
        <v>94</v>
      </c>
      <c r="AK7" s="146" t="s">
        <v>1</v>
      </c>
      <c r="AL7" s="146" t="s">
        <v>855</v>
      </c>
      <c r="AM7" s="146" t="s">
        <v>133</v>
      </c>
      <c r="AN7" s="146" t="s">
        <v>84</v>
      </c>
      <c r="AO7" s="146"/>
      <c r="AP7" s="146" t="s">
        <v>94</v>
      </c>
      <c r="AQ7" s="146" t="s">
        <v>94</v>
      </c>
      <c r="AR7" s="146" t="s">
        <v>856</v>
      </c>
      <c r="AS7" s="146" t="s">
        <v>857</v>
      </c>
      <c r="AT7" s="146">
        <v>1000</v>
      </c>
      <c r="AU7" s="146">
        <v>1</v>
      </c>
      <c r="AV7" s="147">
        <v>45215</v>
      </c>
      <c r="AW7" s="147"/>
      <c r="AX7" s="146">
        <v>7.1</v>
      </c>
      <c r="AY7" s="146" t="s">
        <v>94</v>
      </c>
      <c r="AZ7" s="147">
        <v>45398</v>
      </c>
      <c r="BA7" s="146" t="s">
        <v>835</v>
      </c>
      <c r="BB7" s="146" t="s">
        <v>94</v>
      </c>
      <c r="BC7" s="147">
        <v>45215</v>
      </c>
      <c r="BD7" s="146" t="s">
        <v>858</v>
      </c>
      <c r="BE7" s="147">
        <v>45215</v>
      </c>
      <c r="BF7" s="146" t="s">
        <v>521</v>
      </c>
      <c r="BG7" s="146" t="s">
        <v>859</v>
      </c>
      <c r="BH7" s="146" t="s">
        <v>860</v>
      </c>
      <c r="BI7" s="146" t="s">
        <v>136</v>
      </c>
      <c r="BJ7" s="146" t="s">
        <v>136</v>
      </c>
      <c r="BK7" s="146" t="s">
        <v>137</v>
      </c>
      <c r="BL7" s="146" t="s">
        <v>138</v>
      </c>
      <c r="BM7" s="146" t="s">
        <v>139</v>
      </c>
      <c r="BN7" s="146" t="s">
        <v>94</v>
      </c>
      <c r="BO7" s="146" t="s">
        <v>140</v>
      </c>
      <c r="BP7" s="146" t="s">
        <v>94</v>
      </c>
      <c r="BQ7" s="146" t="s">
        <v>94</v>
      </c>
      <c r="BR7" s="146" t="s">
        <v>260</v>
      </c>
      <c r="BS7" s="146" t="s">
        <v>15</v>
      </c>
      <c r="BT7" s="147"/>
      <c r="BU7" s="146" t="s">
        <v>836</v>
      </c>
    </row>
    <row r="8" spans="1:73" x14ac:dyDescent="0.25">
      <c r="A8" s="146" t="s">
        <v>582</v>
      </c>
      <c r="B8" s="146" t="s">
        <v>671</v>
      </c>
      <c r="C8" s="146" t="s">
        <v>581</v>
      </c>
      <c r="D8" s="147">
        <v>45190</v>
      </c>
      <c r="E8" s="146" t="s">
        <v>672</v>
      </c>
      <c r="F8" s="146" t="s">
        <v>134</v>
      </c>
      <c r="G8" s="146" t="s">
        <v>134</v>
      </c>
      <c r="H8" s="146" t="s">
        <v>134</v>
      </c>
      <c r="I8" s="146">
        <v>10.65</v>
      </c>
      <c r="J8" s="146" t="s">
        <v>108</v>
      </c>
      <c r="K8" s="146" t="s">
        <v>209</v>
      </c>
      <c r="L8" s="146">
        <v>4.95</v>
      </c>
      <c r="M8" s="147">
        <v>46293</v>
      </c>
      <c r="N8" s="146" t="s">
        <v>673</v>
      </c>
      <c r="O8" s="146" t="s">
        <v>94</v>
      </c>
      <c r="P8" s="146" t="s">
        <v>674</v>
      </c>
      <c r="Q8" s="146"/>
      <c r="R8" s="146" t="s">
        <v>211</v>
      </c>
      <c r="S8" s="146" t="s">
        <v>543</v>
      </c>
      <c r="T8" s="146" t="s">
        <v>675</v>
      </c>
      <c r="U8" s="146" t="s">
        <v>135</v>
      </c>
      <c r="V8" s="146">
        <v>100</v>
      </c>
      <c r="W8" s="146"/>
      <c r="X8" s="146" t="s">
        <v>676</v>
      </c>
      <c r="Y8" s="146" t="s">
        <v>677</v>
      </c>
      <c r="Z8" s="146" t="s">
        <v>678</v>
      </c>
      <c r="AA8" s="146"/>
      <c r="AB8" s="146"/>
      <c r="AC8" s="146"/>
      <c r="AD8" s="146"/>
      <c r="AE8" s="146" t="s">
        <v>679</v>
      </c>
      <c r="AF8" s="146" t="s">
        <v>351</v>
      </c>
      <c r="AG8" s="146" t="s">
        <v>520</v>
      </c>
      <c r="AH8" s="146" t="s">
        <v>134</v>
      </c>
      <c r="AI8" s="146" t="s">
        <v>680</v>
      </c>
      <c r="AJ8" s="146" t="s">
        <v>94</v>
      </c>
      <c r="AK8" s="146" t="s">
        <v>1</v>
      </c>
      <c r="AL8" s="146" t="s">
        <v>529</v>
      </c>
      <c r="AM8" s="146" t="s">
        <v>133</v>
      </c>
      <c r="AN8" s="146" t="s">
        <v>84</v>
      </c>
      <c r="AO8" s="146"/>
      <c r="AP8" s="146" t="s">
        <v>94</v>
      </c>
      <c r="AQ8" s="146" t="s">
        <v>94</v>
      </c>
      <c r="AR8" s="146" t="s">
        <v>681</v>
      </c>
      <c r="AS8" s="146" t="s">
        <v>682</v>
      </c>
      <c r="AT8" s="146">
        <v>10000</v>
      </c>
      <c r="AU8" s="146">
        <v>10.65</v>
      </c>
      <c r="AV8" s="147">
        <v>45197</v>
      </c>
      <c r="AW8" s="147"/>
      <c r="AX8" s="146">
        <v>4.95</v>
      </c>
      <c r="AY8" s="146" t="s">
        <v>94</v>
      </c>
      <c r="AZ8" s="147">
        <v>45379</v>
      </c>
      <c r="BA8" s="146" t="s">
        <v>582</v>
      </c>
      <c r="BB8" s="146" t="s">
        <v>94</v>
      </c>
      <c r="BC8" s="147">
        <v>45197</v>
      </c>
      <c r="BD8" s="146" t="s">
        <v>674</v>
      </c>
      <c r="BE8" s="147">
        <v>45197</v>
      </c>
      <c r="BF8" s="146" t="s">
        <v>521</v>
      </c>
      <c r="BG8" s="146" t="s">
        <v>683</v>
      </c>
      <c r="BH8" s="146" t="s">
        <v>684</v>
      </c>
      <c r="BI8" s="146" t="s">
        <v>136</v>
      </c>
      <c r="BJ8" s="146" t="s">
        <v>136</v>
      </c>
      <c r="BK8" s="146" t="s">
        <v>137</v>
      </c>
      <c r="BL8" s="146" t="s">
        <v>138</v>
      </c>
      <c r="BM8" s="146" t="s">
        <v>139</v>
      </c>
      <c r="BN8" s="146" t="s">
        <v>94</v>
      </c>
      <c r="BO8" s="146" t="s">
        <v>140</v>
      </c>
      <c r="BP8" s="146" t="s">
        <v>94</v>
      </c>
      <c r="BQ8" s="146" t="s">
        <v>94</v>
      </c>
      <c r="BR8" s="146" t="s">
        <v>260</v>
      </c>
      <c r="BS8" s="146" t="s">
        <v>15</v>
      </c>
      <c r="BT8" s="147"/>
      <c r="BU8" s="146" t="s">
        <v>585</v>
      </c>
    </row>
    <row r="9" spans="1:73" x14ac:dyDescent="0.25">
      <c r="A9" s="146" t="s">
        <v>619</v>
      </c>
      <c r="B9" s="146" t="s">
        <v>685</v>
      </c>
      <c r="C9" s="146" t="s">
        <v>618</v>
      </c>
      <c r="D9" s="147">
        <v>45189</v>
      </c>
      <c r="E9" s="146" t="s">
        <v>686</v>
      </c>
      <c r="F9" s="146" t="s">
        <v>687</v>
      </c>
      <c r="G9" s="146" t="s">
        <v>522</v>
      </c>
      <c r="H9" s="146" t="s">
        <v>134</v>
      </c>
      <c r="I9" s="146">
        <v>40</v>
      </c>
      <c r="J9" s="146" t="s">
        <v>108</v>
      </c>
      <c r="K9" s="146" t="s">
        <v>538</v>
      </c>
      <c r="L9" s="146">
        <v>2.4</v>
      </c>
      <c r="M9" s="147">
        <v>45927</v>
      </c>
      <c r="N9" s="146" t="s">
        <v>269</v>
      </c>
      <c r="O9" s="146" t="s">
        <v>688</v>
      </c>
      <c r="P9" s="146" t="s">
        <v>689</v>
      </c>
      <c r="Q9" s="146">
        <v>35</v>
      </c>
      <c r="R9" s="146" t="s">
        <v>211</v>
      </c>
      <c r="S9" s="146" t="s">
        <v>524</v>
      </c>
      <c r="T9" s="146" t="s">
        <v>94</v>
      </c>
      <c r="U9" s="146" t="s">
        <v>135</v>
      </c>
      <c r="V9" s="146">
        <v>100</v>
      </c>
      <c r="W9" s="146"/>
      <c r="X9" s="146" t="s">
        <v>525</v>
      </c>
      <c r="Y9" s="146" t="s">
        <v>526</v>
      </c>
      <c r="Z9" s="146" t="s">
        <v>94</v>
      </c>
      <c r="AA9" s="146"/>
      <c r="AB9" s="146"/>
      <c r="AC9" s="146"/>
      <c r="AD9" s="146"/>
      <c r="AE9" s="146" t="s">
        <v>690</v>
      </c>
      <c r="AF9" s="146" t="s">
        <v>351</v>
      </c>
      <c r="AG9" s="146" t="s">
        <v>520</v>
      </c>
      <c r="AH9" s="146" t="s">
        <v>134</v>
      </c>
      <c r="AI9" s="146" t="s">
        <v>94</v>
      </c>
      <c r="AJ9" s="146" t="s">
        <v>94</v>
      </c>
      <c r="AK9" s="146" t="s">
        <v>2</v>
      </c>
      <c r="AL9" s="146" t="s">
        <v>861</v>
      </c>
      <c r="AM9" s="146" t="s">
        <v>539</v>
      </c>
      <c r="AN9" s="146" t="s">
        <v>530</v>
      </c>
      <c r="AO9" s="146"/>
      <c r="AP9" s="146" t="s">
        <v>94</v>
      </c>
      <c r="AQ9" s="146" t="s">
        <v>94</v>
      </c>
      <c r="AR9" s="146" t="s">
        <v>691</v>
      </c>
      <c r="AS9" s="146" t="s">
        <v>692</v>
      </c>
      <c r="AT9" s="146">
        <v>10000</v>
      </c>
      <c r="AU9" s="146">
        <v>40</v>
      </c>
      <c r="AV9" s="147">
        <v>45196</v>
      </c>
      <c r="AW9" s="147"/>
      <c r="AX9" s="146">
        <v>2.4</v>
      </c>
      <c r="AY9" s="146" t="s">
        <v>94</v>
      </c>
      <c r="AZ9" s="147">
        <v>45378</v>
      </c>
      <c r="BA9" s="146" t="s">
        <v>619</v>
      </c>
      <c r="BB9" s="146" t="s">
        <v>94</v>
      </c>
      <c r="BC9" s="147">
        <v>45196</v>
      </c>
      <c r="BD9" s="146" t="s">
        <v>689</v>
      </c>
      <c r="BE9" s="147">
        <v>45196</v>
      </c>
      <c r="BF9" s="146" t="s">
        <v>94</v>
      </c>
      <c r="BG9" s="146" t="s">
        <v>693</v>
      </c>
      <c r="BH9" s="146" t="s">
        <v>694</v>
      </c>
      <c r="BI9" s="146" t="s">
        <v>136</v>
      </c>
      <c r="BJ9" s="146" t="s">
        <v>136</v>
      </c>
      <c r="BK9" s="146" t="s">
        <v>137</v>
      </c>
      <c r="BL9" s="146" t="s">
        <v>138</v>
      </c>
      <c r="BM9" s="146" t="s">
        <v>540</v>
      </c>
      <c r="BN9" s="146" t="s">
        <v>94</v>
      </c>
      <c r="BO9" s="146" t="s">
        <v>140</v>
      </c>
      <c r="BP9" s="146" t="s">
        <v>94</v>
      </c>
      <c r="BQ9" s="146" t="s">
        <v>94</v>
      </c>
      <c r="BR9" s="146" t="s">
        <v>260</v>
      </c>
      <c r="BS9" s="146" t="s">
        <v>12</v>
      </c>
      <c r="BT9" s="147"/>
      <c r="BU9" s="146" t="s">
        <v>623</v>
      </c>
    </row>
    <row r="10" spans="1:73" x14ac:dyDescent="0.25">
      <c r="A10" s="146" t="s">
        <v>619</v>
      </c>
      <c r="B10" s="146" t="s">
        <v>695</v>
      </c>
      <c r="C10" s="146" t="s">
        <v>624</v>
      </c>
      <c r="D10" s="147">
        <v>45189</v>
      </c>
      <c r="E10" s="146" t="s">
        <v>696</v>
      </c>
      <c r="F10" s="146" t="s">
        <v>687</v>
      </c>
      <c r="G10" s="146" t="s">
        <v>522</v>
      </c>
      <c r="H10" s="146" t="s">
        <v>134</v>
      </c>
      <c r="I10" s="146">
        <v>10</v>
      </c>
      <c r="J10" s="146" t="s">
        <v>108</v>
      </c>
      <c r="K10" s="146" t="s">
        <v>541</v>
      </c>
      <c r="L10" s="146">
        <v>2.68</v>
      </c>
      <c r="M10" s="147">
        <v>47023</v>
      </c>
      <c r="N10" s="146" t="s">
        <v>269</v>
      </c>
      <c r="O10" s="146" t="s">
        <v>697</v>
      </c>
      <c r="P10" s="146" t="s">
        <v>698</v>
      </c>
      <c r="Q10" s="146">
        <v>32</v>
      </c>
      <c r="R10" s="146" t="s">
        <v>211</v>
      </c>
      <c r="S10" s="146" t="s">
        <v>524</v>
      </c>
      <c r="T10" s="146" t="s">
        <v>94</v>
      </c>
      <c r="U10" s="146" t="s">
        <v>135</v>
      </c>
      <c r="V10" s="146">
        <v>100</v>
      </c>
      <c r="W10" s="146"/>
      <c r="X10" s="146" t="s">
        <v>525</v>
      </c>
      <c r="Y10" s="146" t="s">
        <v>526</v>
      </c>
      <c r="Z10" s="146" t="s">
        <v>94</v>
      </c>
      <c r="AA10" s="146"/>
      <c r="AB10" s="146"/>
      <c r="AC10" s="146"/>
      <c r="AD10" s="146"/>
      <c r="AE10" s="146" t="s">
        <v>690</v>
      </c>
      <c r="AF10" s="146" t="s">
        <v>351</v>
      </c>
      <c r="AG10" s="146" t="s">
        <v>520</v>
      </c>
      <c r="AH10" s="146" t="s">
        <v>134</v>
      </c>
      <c r="AI10" s="146" t="s">
        <v>94</v>
      </c>
      <c r="AJ10" s="146" t="s">
        <v>94</v>
      </c>
      <c r="AK10" s="146" t="s">
        <v>2</v>
      </c>
      <c r="AL10" s="146" t="s">
        <v>542</v>
      </c>
      <c r="AM10" s="146" t="s">
        <v>539</v>
      </c>
      <c r="AN10" s="146" t="s">
        <v>530</v>
      </c>
      <c r="AO10" s="146"/>
      <c r="AP10" s="146" t="s">
        <v>94</v>
      </c>
      <c r="AQ10" s="146" t="s">
        <v>94</v>
      </c>
      <c r="AR10" s="146" t="s">
        <v>699</v>
      </c>
      <c r="AS10" s="146" t="s">
        <v>692</v>
      </c>
      <c r="AT10" s="146">
        <v>10000</v>
      </c>
      <c r="AU10" s="146">
        <v>10</v>
      </c>
      <c r="AV10" s="147">
        <v>45196</v>
      </c>
      <c r="AW10" s="147"/>
      <c r="AX10" s="146">
        <v>2.68</v>
      </c>
      <c r="AY10" s="146" t="s">
        <v>94</v>
      </c>
      <c r="AZ10" s="147">
        <v>45378</v>
      </c>
      <c r="BA10" s="146" t="s">
        <v>619</v>
      </c>
      <c r="BB10" s="146" t="s">
        <v>94</v>
      </c>
      <c r="BC10" s="147">
        <v>45196</v>
      </c>
      <c r="BD10" s="146" t="s">
        <v>698</v>
      </c>
      <c r="BE10" s="147">
        <v>45196</v>
      </c>
      <c r="BF10" s="146" t="s">
        <v>94</v>
      </c>
      <c r="BG10" s="146" t="s">
        <v>693</v>
      </c>
      <c r="BH10" s="146" t="s">
        <v>694</v>
      </c>
      <c r="BI10" s="146" t="s">
        <v>136</v>
      </c>
      <c r="BJ10" s="146" t="s">
        <v>136</v>
      </c>
      <c r="BK10" s="146" t="s">
        <v>137</v>
      </c>
      <c r="BL10" s="146" t="s">
        <v>138</v>
      </c>
      <c r="BM10" s="146" t="s">
        <v>540</v>
      </c>
      <c r="BN10" s="146" t="s">
        <v>94</v>
      </c>
      <c r="BO10" s="146" t="s">
        <v>140</v>
      </c>
      <c r="BP10" s="146" t="s">
        <v>94</v>
      </c>
      <c r="BQ10" s="146" t="s">
        <v>94</v>
      </c>
      <c r="BR10" s="146" t="s">
        <v>260</v>
      </c>
      <c r="BS10" s="146" t="s">
        <v>12</v>
      </c>
      <c r="BT10" s="147"/>
      <c r="BU10" s="146" t="s">
        <v>626</v>
      </c>
    </row>
    <row r="11" spans="1:73" x14ac:dyDescent="0.25">
      <c r="A11" s="146" t="s">
        <v>431</v>
      </c>
      <c r="B11" s="146" t="s">
        <v>700</v>
      </c>
      <c r="C11" s="146" t="s">
        <v>586</v>
      </c>
      <c r="D11" s="147">
        <v>45189</v>
      </c>
      <c r="E11" s="146" t="s">
        <v>701</v>
      </c>
      <c r="F11" s="146" t="s">
        <v>534</v>
      </c>
      <c r="G11" s="146" t="s">
        <v>535</v>
      </c>
      <c r="H11" s="146" t="s">
        <v>134</v>
      </c>
      <c r="I11" s="146">
        <v>1</v>
      </c>
      <c r="J11" s="146" t="s">
        <v>87</v>
      </c>
      <c r="K11" s="146" t="s">
        <v>541</v>
      </c>
      <c r="L11" s="146"/>
      <c r="M11" s="147">
        <v>47023</v>
      </c>
      <c r="N11" s="146" t="s">
        <v>112</v>
      </c>
      <c r="O11" s="146" t="s">
        <v>94</v>
      </c>
      <c r="P11" s="146" t="s">
        <v>94</v>
      </c>
      <c r="Q11" s="146"/>
      <c r="R11" s="146" t="s">
        <v>94</v>
      </c>
      <c r="S11" s="146" t="s">
        <v>524</v>
      </c>
      <c r="T11" s="146" t="s">
        <v>94</v>
      </c>
      <c r="U11" s="146" t="s">
        <v>135</v>
      </c>
      <c r="V11" s="146">
        <v>100</v>
      </c>
      <c r="W11" s="146"/>
      <c r="X11" s="146" t="s">
        <v>525</v>
      </c>
      <c r="Y11" s="146" t="s">
        <v>526</v>
      </c>
      <c r="Z11" s="146" t="s">
        <v>94</v>
      </c>
      <c r="AA11" s="146"/>
      <c r="AB11" s="146"/>
      <c r="AC11" s="146"/>
      <c r="AD11" s="146"/>
      <c r="AE11" s="146" t="s">
        <v>702</v>
      </c>
      <c r="AF11" s="146" t="s">
        <v>351</v>
      </c>
      <c r="AG11" s="146" t="s">
        <v>527</v>
      </c>
      <c r="AH11" s="146" t="s">
        <v>134</v>
      </c>
      <c r="AI11" s="146" t="s">
        <v>528</v>
      </c>
      <c r="AJ11" s="146" t="s">
        <v>94</v>
      </c>
      <c r="AK11" s="146" t="s">
        <v>86</v>
      </c>
      <c r="AL11" s="146" t="s">
        <v>542</v>
      </c>
      <c r="AM11" s="146" t="s">
        <v>533</v>
      </c>
      <c r="AN11" s="146" t="s">
        <v>530</v>
      </c>
      <c r="AO11" s="146"/>
      <c r="AP11" s="146" t="s">
        <v>94</v>
      </c>
      <c r="AQ11" s="146" t="s">
        <v>94</v>
      </c>
      <c r="AR11" s="146" t="s">
        <v>94</v>
      </c>
      <c r="AS11" s="146" t="s">
        <v>536</v>
      </c>
      <c r="AT11" s="146">
        <v>1000</v>
      </c>
      <c r="AU11" s="146">
        <v>1</v>
      </c>
      <c r="AV11" s="147">
        <v>45196</v>
      </c>
      <c r="AW11" s="147"/>
      <c r="AX11" s="146">
        <v>6.0446</v>
      </c>
      <c r="AY11" s="146" t="s">
        <v>703</v>
      </c>
      <c r="AZ11" s="147">
        <v>45287</v>
      </c>
      <c r="BA11" s="146" t="s">
        <v>537</v>
      </c>
      <c r="BB11" s="146" t="s">
        <v>94</v>
      </c>
      <c r="BC11" s="147">
        <v>45196</v>
      </c>
      <c r="BD11" s="146" t="s">
        <v>94</v>
      </c>
      <c r="BE11" s="147">
        <v>45196</v>
      </c>
      <c r="BF11" s="146" t="s">
        <v>94</v>
      </c>
      <c r="BG11" s="146" t="s">
        <v>94</v>
      </c>
      <c r="BH11" s="146" t="s">
        <v>704</v>
      </c>
      <c r="BI11" s="146" t="s">
        <v>136</v>
      </c>
      <c r="BJ11" s="146" t="s">
        <v>136</v>
      </c>
      <c r="BK11" s="146" t="s">
        <v>531</v>
      </c>
      <c r="BL11" s="146" t="s">
        <v>138</v>
      </c>
      <c r="BM11" s="146" t="s">
        <v>139</v>
      </c>
      <c r="BN11" s="146" t="s">
        <v>94</v>
      </c>
      <c r="BO11" s="146" t="s">
        <v>532</v>
      </c>
      <c r="BP11" s="146" t="s">
        <v>94</v>
      </c>
      <c r="BQ11" s="146" t="s">
        <v>94</v>
      </c>
      <c r="BR11" s="146" t="s">
        <v>260</v>
      </c>
      <c r="BS11" s="146" t="s">
        <v>12</v>
      </c>
      <c r="BT11" s="147"/>
      <c r="BU11" s="146" t="s">
        <v>591</v>
      </c>
    </row>
    <row r="12" spans="1:73" x14ac:dyDescent="0.25">
      <c r="A12" s="146" t="s">
        <v>564</v>
      </c>
      <c r="B12" s="146" t="s">
        <v>705</v>
      </c>
      <c r="C12" s="146" t="s">
        <v>563</v>
      </c>
      <c r="D12" s="147">
        <v>45189</v>
      </c>
      <c r="E12" s="146" t="s">
        <v>706</v>
      </c>
      <c r="F12" s="146" t="s">
        <v>134</v>
      </c>
      <c r="G12" s="146" t="s">
        <v>134</v>
      </c>
      <c r="H12" s="146" t="s">
        <v>134</v>
      </c>
      <c r="I12" s="146">
        <v>3.9</v>
      </c>
      <c r="J12" s="146" t="s">
        <v>87</v>
      </c>
      <c r="K12" s="146" t="s">
        <v>209</v>
      </c>
      <c r="L12" s="146">
        <v>6.5</v>
      </c>
      <c r="M12" s="147">
        <v>46292</v>
      </c>
      <c r="N12" s="146" t="s">
        <v>523</v>
      </c>
      <c r="O12" s="146" t="s">
        <v>707</v>
      </c>
      <c r="P12" s="146" t="s">
        <v>708</v>
      </c>
      <c r="Q12" s="146">
        <v>30</v>
      </c>
      <c r="R12" s="146" t="s">
        <v>211</v>
      </c>
      <c r="S12" s="146" t="s">
        <v>39</v>
      </c>
      <c r="T12" s="146" t="s">
        <v>94</v>
      </c>
      <c r="U12" s="146" t="s">
        <v>135</v>
      </c>
      <c r="V12" s="146">
        <v>100</v>
      </c>
      <c r="W12" s="146"/>
      <c r="X12" s="146" t="s">
        <v>709</v>
      </c>
      <c r="Y12" s="146" t="s">
        <v>710</v>
      </c>
      <c r="Z12" s="146" t="s">
        <v>711</v>
      </c>
      <c r="AA12" s="146"/>
      <c r="AB12" s="146"/>
      <c r="AC12" s="146"/>
      <c r="AD12" s="146"/>
      <c r="AE12" s="146" t="s">
        <v>712</v>
      </c>
      <c r="AF12" s="146" t="s">
        <v>351</v>
      </c>
      <c r="AG12" s="146" t="s">
        <v>713</v>
      </c>
      <c r="AH12" s="146" t="s">
        <v>134</v>
      </c>
      <c r="AI12" s="146" t="s">
        <v>445</v>
      </c>
      <c r="AJ12" s="146" t="s">
        <v>94</v>
      </c>
      <c r="AK12" s="146" t="s">
        <v>1</v>
      </c>
      <c r="AL12" s="146" t="s">
        <v>862</v>
      </c>
      <c r="AM12" s="146" t="s">
        <v>133</v>
      </c>
      <c r="AN12" s="146" t="s">
        <v>84</v>
      </c>
      <c r="AO12" s="146"/>
      <c r="AP12" s="146" t="s">
        <v>94</v>
      </c>
      <c r="AQ12" s="146" t="s">
        <v>94</v>
      </c>
      <c r="AR12" s="146" t="s">
        <v>714</v>
      </c>
      <c r="AS12" s="146" t="s">
        <v>715</v>
      </c>
      <c r="AT12" s="146">
        <v>1000</v>
      </c>
      <c r="AU12" s="146">
        <v>3.9</v>
      </c>
      <c r="AV12" s="147">
        <v>45196</v>
      </c>
      <c r="AW12" s="147"/>
      <c r="AX12" s="146">
        <v>6.5</v>
      </c>
      <c r="AY12" s="146" t="s">
        <v>94</v>
      </c>
      <c r="AZ12" s="147">
        <v>45378</v>
      </c>
      <c r="BA12" s="146" t="s">
        <v>716</v>
      </c>
      <c r="BB12" s="146" t="s">
        <v>564</v>
      </c>
      <c r="BC12" s="147">
        <v>45196</v>
      </c>
      <c r="BD12" s="146" t="s">
        <v>708</v>
      </c>
      <c r="BE12" s="147">
        <v>45196</v>
      </c>
      <c r="BF12" s="146" t="s">
        <v>547</v>
      </c>
      <c r="BG12" s="146" t="s">
        <v>717</v>
      </c>
      <c r="BH12" s="146" t="s">
        <v>718</v>
      </c>
      <c r="BI12" s="146" t="s">
        <v>136</v>
      </c>
      <c r="BJ12" s="146" t="s">
        <v>136</v>
      </c>
      <c r="BK12" s="146" t="s">
        <v>137</v>
      </c>
      <c r="BL12" s="146" t="s">
        <v>138</v>
      </c>
      <c r="BM12" s="146" t="s">
        <v>139</v>
      </c>
      <c r="BN12" s="146" t="s">
        <v>94</v>
      </c>
      <c r="BO12" s="146" t="s">
        <v>140</v>
      </c>
      <c r="BP12" s="146" t="s">
        <v>94</v>
      </c>
      <c r="BQ12" s="146" t="s">
        <v>94</v>
      </c>
      <c r="BR12" s="146" t="s">
        <v>260</v>
      </c>
      <c r="BS12" s="146" t="s">
        <v>17</v>
      </c>
      <c r="BT12" s="147"/>
      <c r="BU12" s="146" t="s">
        <v>607</v>
      </c>
    </row>
    <row r="13" spans="1:73" x14ac:dyDescent="0.25">
      <c r="A13" s="146" t="s">
        <v>561</v>
      </c>
      <c r="B13" s="146" t="s">
        <v>719</v>
      </c>
      <c r="C13" s="146" t="s">
        <v>560</v>
      </c>
      <c r="D13" s="147">
        <v>45189</v>
      </c>
      <c r="E13" s="146" t="s">
        <v>720</v>
      </c>
      <c r="F13" s="146" t="s">
        <v>134</v>
      </c>
      <c r="G13" s="146" t="s">
        <v>134</v>
      </c>
      <c r="H13" s="146" t="s">
        <v>134</v>
      </c>
      <c r="I13" s="146">
        <v>7.3</v>
      </c>
      <c r="J13" s="146" t="s">
        <v>108</v>
      </c>
      <c r="K13" s="146" t="s">
        <v>209</v>
      </c>
      <c r="L13" s="146">
        <v>3.88</v>
      </c>
      <c r="M13" s="147">
        <v>46292</v>
      </c>
      <c r="N13" s="146" t="s">
        <v>269</v>
      </c>
      <c r="O13" s="146" t="s">
        <v>721</v>
      </c>
      <c r="P13" s="146" t="s">
        <v>722</v>
      </c>
      <c r="Q13" s="146">
        <v>4</v>
      </c>
      <c r="R13" s="146" t="s">
        <v>211</v>
      </c>
      <c r="S13" s="146" t="s">
        <v>518</v>
      </c>
      <c r="T13" s="146" t="s">
        <v>723</v>
      </c>
      <c r="U13" s="146" t="s">
        <v>135</v>
      </c>
      <c r="V13" s="146">
        <v>100</v>
      </c>
      <c r="W13" s="146"/>
      <c r="X13" s="146" t="s">
        <v>709</v>
      </c>
      <c r="Y13" s="146" t="s">
        <v>724</v>
      </c>
      <c r="Z13" s="146" t="s">
        <v>94</v>
      </c>
      <c r="AA13" s="146"/>
      <c r="AB13" s="146"/>
      <c r="AC13" s="146"/>
      <c r="AD13" s="146"/>
      <c r="AE13" s="146" t="s">
        <v>725</v>
      </c>
      <c r="AF13" s="146" t="s">
        <v>351</v>
      </c>
      <c r="AG13" s="146" t="s">
        <v>544</v>
      </c>
      <c r="AH13" s="146" t="s">
        <v>134</v>
      </c>
      <c r="AI13" s="146" t="s">
        <v>94</v>
      </c>
      <c r="AJ13" s="146" t="s">
        <v>335</v>
      </c>
      <c r="AK13" s="146" t="s">
        <v>86</v>
      </c>
      <c r="AL13" s="146" t="s">
        <v>862</v>
      </c>
      <c r="AM13" s="146" t="s">
        <v>133</v>
      </c>
      <c r="AN13" s="146" t="s">
        <v>84</v>
      </c>
      <c r="AO13" s="146"/>
      <c r="AP13" s="146" t="s">
        <v>94</v>
      </c>
      <c r="AQ13" s="146" t="s">
        <v>94</v>
      </c>
      <c r="AR13" s="146" t="s">
        <v>726</v>
      </c>
      <c r="AS13" s="146" t="s">
        <v>727</v>
      </c>
      <c r="AT13" s="146">
        <v>10000</v>
      </c>
      <c r="AU13" s="146">
        <v>7.3</v>
      </c>
      <c r="AV13" s="147">
        <v>45196</v>
      </c>
      <c r="AW13" s="147"/>
      <c r="AX13" s="146">
        <v>3.88</v>
      </c>
      <c r="AY13" s="146" t="s">
        <v>94</v>
      </c>
      <c r="AZ13" s="147">
        <v>45378</v>
      </c>
      <c r="BA13" s="146" t="s">
        <v>728</v>
      </c>
      <c r="BB13" s="146" t="s">
        <v>561</v>
      </c>
      <c r="BC13" s="147">
        <v>45196</v>
      </c>
      <c r="BD13" s="146" t="s">
        <v>729</v>
      </c>
      <c r="BE13" s="147">
        <v>45196</v>
      </c>
      <c r="BF13" s="146" t="s">
        <v>730</v>
      </c>
      <c r="BG13" s="146" t="s">
        <v>731</v>
      </c>
      <c r="BH13" s="146" t="s">
        <v>732</v>
      </c>
      <c r="BI13" s="146" t="s">
        <v>136</v>
      </c>
      <c r="BJ13" s="146" t="s">
        <v>136</v>
      </c>
      <c r="BK13" s="146" t="s">
        <v>137</v>
      </c>
      <c r="BL13" s="146" t="s">
        <v>138</v>
      </c>
      <c r="BM13" s="146" t="s">
        <v>139</v>
      </c>
      <c r="BN13" s="146" t="s">
        <v>94</v>
      </c>
      <c r="BO13" s="146" t="s">
        <v>140</v>
      </c>
      <c r="BP13" s="146" t="s">
        <v>94</v>
      </c>
      <c r="BQ13" s="146" t="s">
        <v>94</v>
      </c>
      <c r="BR13" s="146" t="s">
        <v>260</v>
      </c>
      <c r="BS13" s="146" t="s">
        <v>17</v>
      </c>
      <c r="BT13" s="147"/>
      <c r="BU13" s="146" t="s">
        <v>611</v>
      </c>
    </row>
    <row r="14" spans="1:73" x14ac:dyDescent="0.25">
      <c r="A14" s="146" t="s">
        <v>613</v>
      </c>
      <c r="B14" s="146" t="s">
        <v>733</v>
      </c>
      <c r="C14" s="146" t="s">
        <v>612</v>
      </c>
      <c r="D14" s="147">
        <v>45189</v>
      </c>
      <c r="E14" s="146" t="s">
        <v>734</v>
      </c>
      <c r="F14" s="146" t="s">
        <v>134</v>
      </c>
      <c r="G14" s="146" t="s">
        <v>134</v>
      </c>
      <c r="H14" s="146" t="s">
        <v>134</v>
      </c>
      <c r="I14" s="146">
        <v>21.3</v>
      </c>
      <c r="J14" s="146" t="s">
        <v>108</v>
      </c>
      <c r="K14" s="146" t="s">
        <v>209</v>
      </c>
      <c r="L14" s="146">
        <v>4.2</v>
      </c>
      <c r="M14" s="147">
        <v>46292</v>
      </c>
      <c r="N14" s="146" t="s">
        <v>269</v>
      </c>
      <c r="O14" s="146" t="s">
        <v>735</v>
      </c>
      <c r="P14" s="146" t="s">
        <v>736</v>
      </c>
      <c r="Q14" s="146">
        <v>50</v>
      </c>
      <c r="R14" s="146" t="s">
        <v>211</v>
      </c>
      <c r="S14" s="146" t="s">
        <v>524</v>
      </c>
      <c r="T14" s="146" t="s">
        <v>94</v>
      </c>
      <c r="U14" s="146" t="s">
        <v>135</v>
      </c>
      <c r="V14" s="146">
        <v>100</v>
      </c>
      <c r="W14" s="146"/>
      <c r="X14" s="146" t="s">
        <v>737</v>
      </c>
      <c r="Y14" s="146" t="s">
        <v>738</v>
      </c>
      <c r="Z14" s="146" t="s">
        <v>94</v>
      </c>
      <c r="AA14" s="146"/>
      <c r="AB14" s="146"/>
      <c r="AC14" s="146"/>
      <c r="AD14" s="146"/>
      <c r="AE14" s="146" t="s">
        <v>739</v>
      </c>
      <c r="AF14" s="146" t="s">
        <v>351</v>
      </c>
      <c r="AG14" s="146" t="s">
        <v>740</v>
      </c>
      <c r="AH14" s="146" t="s">
        <v>134</v>
      </c>
      <c r="AI14" s="146" t="s">
        <v>528</v>
      </c>
      <c r="AJ14" s="146" t="s">
        <v>414</v>
      </c>
      <c r="AK14" s="146" t="s">
        <v>1</v>
      </c>
      <c r="AL14" s="146" t="s">
        <v>862</v>
      </c>
      <c r="AM14" s="146" t="s">
        <v>133</v>
      </c>
      <c r="AN14" s="146" t="s">
        <v>530</v>
      </c>
      <c r="AO14" s="146"/>
      <c r="AP14" s="146" t="s">
        <v>94</v>
      </c>
      <c r="AQ14" s="146" t="s">
        <v>94</v>
      </c>
      <c r="AR14" s="146" t="s">
        <v>94</v>
      </c>
      <c r="AS14" s="146" t="s">
        <v>741</v>
      </c>
      <c r="AT14" s="146">
        <v>10000</v>
      </c>
      <c r="AU14" s="146">
        <v>21.3</v>
      </c>
      <c r="AV14" s="147">
        <v>45196</v>
      </c>
      <c r="AW14" s="147"/>
      <c r="AX14" s="146">
        <v>4.2</v>
      </c>
      <c r="AY14" s="146" t="s">
        <v>94</v>
      </c>
      <c r="AZ14" s="147">
        <v>45378</v>
      </c>
      <c r="BA14" s="146" t="s">
        <v>613</v>
      </c>
      <c r="BB14" s="146" t="s">
        <v>94</v>
      </c>
      <c r="BC14" s="147">
        <v>45196</v>
      </c>
      <c r="BD14" s="146" t="s">
        <v>742</v>
      </c>
      <c r="BE14" s="147">
        <v>45196</v>
      </c>
      <c r="BF14" s="146" t="s">
        <v>94</v>
      </c>
      <c r="BG14" s="146" t="s">
        <v>743</v>
      </c>
      <c r="BH14" s="146" t="s">
        <v>744</v>
      </c>
      <c r="BI14" s="146" t="s">
        <v>136</v>
      </c>
      <c r="BJ14" s="146" t="s">
        <v>136</v>
      </c>
      <c r="BK14" s="146" t="s">
        <v>137</v>
      </c>
      <c r="BL14" s="146" t="s">
        <v>138</v>
      </c>
      <c r="BM14" s="146" t="s">
        <v>139</v>
      </c>
      <c r="BN14" s="146" t="s">
        <v>94</v>
      </c>
      <c r="BO14" s="146" t="s">
        <v>140</v>
      </c>
      <c r="BP14" s="146" t="s">
        <v>94</v>
      </c>
      <c r="BQ14" s="146" t="s">
        <v>94</v>
      </c>
      <c r="BR14" s="146" t="s">
        <v>260</v>
      </c>
      <c r="BS14" s="146" t="s">
        <v>16</v>
      </c>
      <c r="BT14" s="147"/>
      <c r="BU14" s="146" t="s">
        <v>617</v>
      </c>
    </row>
    <row r="15" spans="1:73" x14ac:dyDescent="0.25">
      <c r="A15" s="146" t="s">
        <v>596</v>
      </c>
      <c r="B15" s="146" t="s">
        <v>745</v>
      </c>
      <c r="C15" s="146" t="s">
        <v>595</v>
      </c>
      <c r="D15" s="147">
        <v>45189</v>
      </c>
      <c r="E15" s="146" t="s">
        <v>746</v>
      </c>
      <c r="F15" s="146" t="s">
        <v>747</v>
      </c>
      <c r="G15" s="146" t="s">
        <v>748</v>
      </c>
      <c r="H15" s="146" t="s">
        <v>134</v>
      </c>
      <c r="I15" s="146">
        <v>18.600000000000001</v>
      </c>
      <c r="J15" s="146" t="s">
        <v>108</v>
      </c>
      <c r="K15" s="146" t="s">
        <v>209</v>
      </c>
      <c r="L15" s="146">
        <v>3.9</v>
      </c>
      <c r="M15" s="147">
        <v>46292</v>
      </c>
      <c r="N15" s="146" t="s">
        <v>523</v>
      </c>
      <c r="O15" s="146" t="s">
        <v>749</v>
      </c>
      <c r="P15" s="146" t="s">
        <v>750</v>
      </c>
      <c r="Q15" s="146">
        <v>10</v>
      </c>
      <c r="R15" s="146" t="s">
        <v>211</v>
      </c>
      <c r="S15" s="146" t="s">
        <v>543</v>
      </c>
      <c r="T15" s="146" t="s">
        <v>751</v>
      </c>
      <c r="U15" s="146" t="s">
        <v>135</v>
      </c>
      <c r="V15" s="146">
        <v>99.72</v>
      </c>
      <c r="W15" s="146"/>
      <c r="X15" s="146" t="s">
        <v>752</v>
      </c>
      <c r="Y15" s="146" t="s">
        <v>753</v>
      </c>
      <c r="Z15" s="146" t="s">
        <v>94</v>
      </c>
      <c r="AA15" s="146"/>
      <c r="AB15" s="146"/>
      <c r="AC15" s="146"/>
      <c r="AD15" s="146"/>
      <c r="AE15" s="146" t="s">
        <v>754</v>
      </c>
      <c r="AF15" s="146" t="s">
        <v>351</v>
      </c>
      <c r="AG15" s="146" t="s">
        <v>545</v>
      </c>
      <c r="AH15" s="146" t="s">
        <v>134</v>
      </c>
      <c r="AI15" s="146" t="s">
        <v>528</v>
      </c>
      <c r="AJ15" s="146" t="s">
        <v>335</v>
      </c>
      <c r="AK15" s="146" t="s">
        <v>1</v>
      </c>
      <c r="AL15" s="146" t="s">
        <v>862</v>
      </c>
      <c r="AM15" s="146" t="s">
        <v>133</v>
      </c>
      <c r="AN15" s="146" t="s">
        <v>530</v>
      </c>
      <c r="AO15" s="146"/>
      <c r="AP15" s="146" t="s">
        <v>94</v>
      </c>
      <c r="AQ15" s="146" t="s">
        <v>94</v>
      </c>
      <c r="AR15" s="146" t="s">
        <v>94</v>
      </c>
      <c r="AS15" s="146" t="s">
        <v>755</v>
      </c>
      <c r="AT15" s="146">
        <v>10000</v>
      </c>
      <c r="AU15" s="146">
        <v>18.600000000000001</v>
      </c>
      <c r="AV15" s="147">
        <v>45196</v>
      </c>
      <c r="AW15" s="147"/>
      <c r="AX15" s="146">
        <v>3.9</v>
      </c>
      <c r="AY15" s="146" t="s">
        <v>94</v>
      </c>
      <c r="AZ15" s="147">
        <v>45378</v>
      </c>
      <c r="BA15" s="146" t="s">
        <v>596</v>
      </c>
      <c r="BB15" s="146" t="s">
        <v>94</v>
      </c>
      <c r="BC15" s="147">
        <v>45196</v>
      </c>
      <c r="BD15" s="146" t="s">
        <v>756</v>
      </c>
      <c r="BE15" s="147">
        <v>45196</v>
      </c>
      <c r="BF15" s="146" t="s">
        <v>94</v>
      </c>
      <c r="BG15" s="146" t="s">
        <v>757</v>
      </c>
      <c r="BH15" s="146" t="s">
        <v>758</v>
      </c>
      <c r="BI15" s="146" t="s">
        <v>136</v>
      </c>
      <c r="BJ15" s="146" t="s">
        <v>136</v>
      </c>
      <c r="BK15" s="146" t="s">
        <v>137</v>
      </c>
      <c r="BL15" s="146" t="s">
        <v>138</v>
      </c>
      <c r="BM15" s="146" t="s">
        <v>139</v>
      </c>
      <c r="BN15" s="146" t="s">
        <v>94</v>
      </c>
      <c r="BO15" s="146" t="s">
        <v>140</v>
      </c>
      <c r="BP15" s="146" t="s">
        <v>94</v>
      </c>
      <c r="BQ15" s="146" t="s">
        <v>94</v>
      </c>
      <c r="BR15" s="146" t="s">
        <v>260</v>
      </c>
      <c r="BS15" s="146" t="s">
        <v>35</v>
      </c>
      <c r="BT15" s="147"/>
      <c r="BU15" s="146" t="s">
        <v>601</v>
      </c>
    </row>
    <row r="16" spans="1:73" x14ac:dyDescent="0.25">
      <c r="A16" s="146" t="s">
        <v>628</v>
      </c>
      <c r="B16" s="146" t="s">
        <v>759</v>
      </c>
      <c r="C16" s="146" t="s">
        <v>627</v>
      </c>
      <c r="D16" s="147">
        <v>45188</v>
      </c>
      <c r="E16" s="146" t="s">
        <v>760</v>
      </c>
      <c r="F16" s="146" t="s">
        <v>761</v>
      </c>
      <c r="G16" s="146" t="s">
        <v>522</v>
      </c>
      <c r="H16" s="146" t="s">
        <v>134</v>
      </c>
      <c r="I16" s="146">
        <v>7</v>
      </c>
      <c r="J16" s="146" t="s">
        <v>108</v>
      </c>
      <c r="K16" s="146" t="s">
        <v>209</v>
      </c>
      <c r="L16" s="146">
        <v>3.3</v>
      </c>
      <c r="M16" s="147">
        <v>46315</v>
      </c>
      <c r="N16" s="146" t="s">
        <v>112</v>
      </c>
      <c r="O16" s="146" t="s">
        <v>94</v>
      </c>
      <c r="P16" s="146" t="s">
        <v>94</v>
      </c>
      <c r="Q16" s="146"/>
      <c r="R16" s="146" t="s">
        <v>211</v>
      </c>
      <c r="S16" s="146" t="s">
        <v>762</v>
      </c>
      <c r="T16" s="146" t="s">
        <v>94</v>
      </c>
      <c r="U16" s="146" t="s">
        <v>135</v>
      </c>
      <c r="V16" s="146"/>
      <c r="W16" s="146"/>
      <c r="X16" s="146" t="s">
        <v>763</v>
      </c>
      <c r="Y16" s="146" t="s">
        <v>94</v>
      </c>
      <c r="Z16" s="146" t="s">
        <v>94</v>
      </c>
      <c r="AA16" s="146"/>
      <c r="AB16" s="146"/>
      <c r="AC16" s="146"/>
      <c r="AD16" s="146"/>
      <c r="AE16" s="146" t="s">
        <v>764</v>
      </c>
      <c r="AF16" s="146" t="s">
        <v>351</v>
      </c>
      <c r="AG16" s="146" t="s">
        <v>544</v>
      </c>
      <c r="AH16" s="146" t="s">
        <v>134</v>
      </c>
      <c r="AI16" s="146" t="s">
        <v>94</v>
      </c>
      <c r="AJ16" s="146" t="s">
        <v>94</v>
      </c>
      <c r="AK16" s="146" t="s">
        <v>86</v>
      </c>
      <c r="AL16" s="146" t="s">
        <v>765</v>
      </c>
      <c r="AM16" s="146" t="s">
        <v>766</v>
      </c>
      <c r="AN16" s="146" t="s">
        <v>530</v>
      </c>
      <c r="AO16" s="146"/>
      <c r="AP16" s="146" t="s">
        <v>94</v>
      </c>
      <c r="AQ16" s="146" t="s">
        <v>94</v>
      </c>
      <c r="AR16" s="146" t="s">
        <v>94</v>
      </c>
      <c r="AS16" s="146" t="s">
        <v>767</v>
      </c>
      <c r="AT16" s="146">
        <v>1000000</v>
      </c>
      <c r="AU16" s="146">
        <v>7</v>
      </c>
      <c r="AV16" s="147">
        <v>45219</v>
      </c>
      <c r="AW16" s="147"/>
      <c r="AX16" s="146">
        <v>3.3</v>
      </c>
      <c r="AY16" s="146" t="s">
        <v>94</v>
      </c>
      <c r="AZ16" s="147">
        <v>45585</v>
      </c>
      <c r="BA16" s="146" t="s">
        <v>768</v>
      </c>
      <c r="BB16" s="146" t="s">
        <v>94</v>
      </c>
      <c r="BC16" s="147">
        <v>45219</v>
      </c>
      <c r="BD16" s="146" t="s">
        <v>94</v>
      </c>
      <c r="BE16" s="147">
        <v>45219</v>
      </c>
      <c r="BF16" s="146" t="s">
        <v>94</v>
      </c>
      <c r="BG16" s="146" t="s">
        <v>94</v>
      </c>
      <c r="BH16" s="146" t="s">
        <v>764</v>
      </c>
      <c r="BI16" s="146" t="s">
        <v>136</v>
      </c>
      <c r="BJ16" s="146" t="s">
        <v>136</v>
      </c>
      <c r="BK16" s="146" t="s">
        <v>137</v>
      </c>
      <c r="BL16" s="146" t="s">
        <v>138</v>
      </c>
      <c r="BM16" s="146" t="s">
        <v>139</v>
      </c>
      <c r="BN16" s="146" t="s">
        <v>94</v>
      </c>
      <c r="BO16" s="146" t="s">
        <v>548</v>
      </c>
      <c r="BP16" s="146" t="s">
        <v>628</v>
      </c>
      <c r="BQ16" s="146" t="s">
        <v>94</v>
      </c>
      <c r="BR16" s="146" t="s">
        <v>260</v>
      </c>
      <c r="BS16" s="146" t="s">
        <v>13</v>
      </c>
      <c r="BT16" s="147"/>
      <c r="BU16" s="146" t="s">
        <v>634</v>
      </c>
    </row>
    <row r="17" spans="1:73" x14ac:dyDescent="0.25">
      <c r="A17" s="146" t="s">
        <v>655</v>
      </c>
      <c r="B17" s="146" t="s">
        <v>769</v>
      </c>
      <c r="C17" s="146" t="s">
        <v>654</v>
      </c>
      <c r="D17" s="147">
        <v>45188</v>
      </c>
      <c r="E17" s="146" t="s">
        <v>770</v>
      </c>
      <c r="F17" s="146" t="s">
        <v>134</v>
      </c>
      <c r="G17" s="146" t="s">
        <v>134</v>
      </c>
      <c r="H17" s="146" t="s">
        <v>134</v>
      </c>
      <c r="I17" s="146">
        <v>0.6</v>
      </c>
      <c r="J17" s="146" t="s">
        <v>87</v>
      </c>
      <c r="K17" s="146" t="s">
        <v>546</v>
      </c>
      <c r="L17" s="146">
        <v>7.5</v>
      </c>
      <c r="M17" s="147">
        <v>45555</v>
      </c>
      <c r="N17" s="146" t="s">
        <v>112</v>
      </c>
      <c r="O17" s="146" t="s">
        <v>94</v>
      </c>
      <c r="P17" s="146" t="s">
        <v>771</v>
      </c>
      <c r="Q17" s="146"/>
      <c r="R17" s="146" t="s">
        <v>211</v>
      </c>
      <c r="S17" s="146" t="s">
        <v>39</v>
      </c>
      <c r="T17" s="146" t="s">
        <v>94</v>
      </c>
      <c r="U17" s="146" t="s">
        <v>135</v>
      </c>
      <c r="V17" s="146">
        <v>100</v>
      </c>
      <c r="W17" s="146"/>
      <c r="X17" s="146" t="s">
        <v>519</v>
      </c>
      <c r="Y17" s="146" t="s">
        <v>772</v>
      </c>
      <c r="Z17" s="146" t="s">
        <v>773</v>
      </c>
      <c r="AA17" s="146"/>
      <c r="AB17" s="146"/>
      <c r="AC17" s="146"/>
      <c r="AD17" s="146"/>
      <c r="AE17" s="146" t="s">
        <v>774</v>
      </c>
      <c r="AF17" s="146" t="s">
        <v>351</v>
      </c>
      <c r="AG17" s="146" t="s">
        <v>713</v>
      </c>
      <c r="AH17" s="146" t="s">
        <v>134</v>
      </c>
      <c r="AI17" s="146" t="s">
        <v>445</v>
      </c>
      <c r="AJ17" s="146" t="s">
        <v>94</v>
      </c>
      <c r="AK17" s="146" t="s">
        <v>1</v>
      </c>
      <c r="AL17" s="146" t="s">
        <v>863</v>
      </c>
      <c r="AM17" s="146" t="s">
        <v>133</v>
      </c>
      <c r="AN17" s="146" t="s">
        <v>84</v>
      </c>
      <c r="AO17" s="146"/>
      <c r="AP17" s="146" t="s">
        <v>94</v>
      </c>
      <c r="AQ17" s="146" t="s">
        <v>94</v>
      </c>
      <c r="AR17" s="146" t="s">
        <v>775</v>
      </c>
      <c r="AS17" s="146" t="s">
        <v>776</v>
      </c>
      <c r="AT17" s="146">
        <v>1000</v>
      </c>
      <c r="AU17" s="146">
        <v>0.6</v>
      </c>
      <c r="AV17" s="147">
        <v>45191</v>
      </c>
      <c r="AW17" s="147"/>
      <c r="AX17" s="146">
        <v>7.5</v>
      </c>
      <c r="AY17" s="146" t="s">
        <v>94</v>
      </c>
      <c r="AZ17" s="147">
        <v>45373</v>
      </c>
      <c r="BA17" s="146" t="s">
        <v>777</v>
      </c>
      <c r="BB17" s="146" t="s">
        <v>655</v>
      </c>
      <c r="BC17" s="147">
        <v>45191</v>
      </c>
      <c r="BD17" s="146" t="s">
        <v>482</v>
      </c>
      <c r="BE17" s="147">
        <v>45191</v>
      </c>
      <c r="BF17" s="146" t="s">
        <v>547</v>
      </c>
      <c r="BG17" s="146" t="s">
        <v>778</v>
      </c>
      <c r="BH17" s="146" t="s">
        <v>779</v>
      </c>
      <c r="BI17" s="146" t="s">
        <v>136</v>
      </c>
      <c r="BJ17" s="146" t="s">
        <v>136</v>
      </c>
      <c r="BK17" s="146" t="s">
        <v>137</v>
      </c>
      <c r="BL17" s="146" t="s">
        <v>138</v>
      </c>
      <c r="BM17" s="146" t="s">
        <v>139</v>
      </c>
      <c r="BN17" s="146" t="s">
        <v>94</v>
      </c>
      <c r="BO17" s="146" t="s">
        <v>140</v>
      </c>
      <c r="BP17" s="146" t="s">
        <v>94</v>
      </c>
      <c r="BQ17" s="146" t="s">
        <v>94</v>
      </c>
      <c r="BR17" s="146" t="s">
        <v>260</v>
      </c>
      <c r="BS17" s="146" t="s">
        <v>10</v>
      </c>
      <c r="BT17" s="147"/>
      <c r="BU17" s="146" t="s">
        <v>658</v>
      </c>
    </row>
    <row r="18" spans="1:73" x14ac:dyDescent="0.25">
      <c r="A18" s="146" t="s">
        <v>660</v>
      </c>
      <c r="B18" s="146" t="s">
        <v>780</v>
      </c>
      <c r="C18" s="146" t="s">
        <v>659</v>
      </c>
      <c r="D18" s="147">
        <v>45188</v>
      </c>
      <c r="E18" s="146" t="s">
        <v>781</v>
      </c>
      <c r="F18" s="146" t="s">
        <v>134</v>
      </c>
      <c r="G18" s="146" t="s">
        <v>134</v>
      </c>
      <c r="H18" s="146" t="s">
        <v>134</v>
      </c>
      <c r="I18" s="146">
        <v>8</v>
      </c>
      <c r="J18" s="146" t="s">
        <v>108</v>
      </c>
      <c r="K18" s="146" t="s">
        <v>209</v>
      </c>
      <c r="L18" s="146">
        <v>5.5</v>
      </c>
      <c r="M18" s="147">
        <v>46291</v>
      </c>
      <c r="N18" s="146" t="s">
        <v>523</v>
      </c>
      <c r="O18" s="146" t="s">
        <v>94</v>
      </c>
      <c r="P18" s="146" t="s">
        <v>478</v>
      </c>
      <c r="Q18" s="146"/>
      <c r="R18" s="146" t="s">
        <v>211</v>
      </c>
      <c r="S18" s="146" t="s">
        <v>524</v>
      </c>
      <c r="T18" s="146" t="s">
        <v>94</v>
      </c>
      <c r="U18" s="146" t="s">
        <v>135</v>
      </c>
      <c r="V18" s="146">
        <v>100</v>
      </c>
      <c r="W18" s="146"/>
      <c r="X18" s="146" t="s">
        <v>519</v>
      </c>
      <c r="Y18" s="146" t="s">
        <v>782</v>
      </c>
      <c r="Z18" s="146" t="s">
        <v>783</v>
      </c>
      <c r="AA18" s="146"/>
      <c r="AB18" s="146"/>
      <c r="AC18" s="146"/>
      <c r="AD18" s="146"/>
      <c r="AE18" s="146" t="s">
        <v>784</v>
      </c>
      <c r="AF18" s="146" t="s">
        <v>351</v>
      </c>
      <c r="AG18" s="146" t="s">
        <v>520</v>
      </c>
      <c r="AH18" s="146" t="s">
        <v>134</v>
      </c>
      <c r="AI18" s="146" t="s">
        <v>445</v>
      </c>
      <c r="AJ18" s="146" t="s">
        <v>94</v>
      </c>
      <c r="AK18" s="146" t="s">
        <v>1</v>
      </c>
      <c r="AL18" s="146" t="s">
        <v>862</v>
      </c>
      <c r="AM18" s="146" t="s">
        <v>133</v>
      </c>
      <c r="AN18" s="146" t="s">
        <v>84</v>
      </c>
      <c r="AO18" s="146"/>
      <c r="AP18" s="146" t="s">
        <v>94</v>
      </c>
      <c r="AQ18" s="146" t="s">
        <v>94</v>
      </c>
      <c r="AR18" s="146" t="s">
        <v>785</v>
      </c>
      <c r="AS18" s="146" t="s">
        <v>786</v>
      </c>
      <c r="AT18" s="146">
        <v>10000</v>
      </c>
      <c r="AU18" s="146">
        <v>8</v>
      </c>
      <c r="AV18" s="147">
        <v>45195</v>
      </c>
      <c r="AW18" s="147"/>
      <c r="AX18" s="146">
        <v>5.5</v>
      </c>
      <c r="AY18" s="146" t="s">
        <v>94</v>
      </c>
      <c r="AZ18" s="147">
        <v>45377</v>
      </c>
      <c r="BA18" s="146" t="s">
        <v>660</v>
      </c>
      <c r="BB18" s="146" t="s">
        <v>94</v>
      </c>
      <c r="BC18" s="147">
        <v>45195</v>
      </c>
      <c r="BD18" s="146" t="s">
        <v>478</v>
      </c>
      <c r="BE18" s="147">
        <v>45195</v>
      </c>
      <c r="BF18" s="146" t="s">
        <v>547</v>
      </c>
      <c r="BG18" s="146" t="s">
        <v>787</v>
      </c>
      <c r="BH18" s="146" t="s">
        <v>788</v>
      </c>
      <c r="BI18" s="146" t="s">
        <v>136</v>
      </c>
      <c r="BJ18" s="146" t="s">
        <v>136</v>
      </c>
      <c r="BK18" s="146" t="s">
        <v>137</v>
      </c>
      <c r="BL18" s="146" t="s">
        <v>138</v>
      </c>
      <c r="BM18" s="146" t="s">
        <v>139</v>
      </c>
      <c r="BN18" s="146" t="s">
        <v>94</v>
      </c>
      <c r="BO18" s="146" t="s">
        <v>140</v>
      </c>
      <c r="BP18" s="146" t="s">
        <v>94</v>
      </c>
      <c r="BQ18" s="146" t="s">
        <v>94</v>
      </c>
      <c r="BR18" s="146" t="s">
        <v>260</v>
      </c>
      <c r="BS18" s="146" t="s">
        <v>10</v>
      </c>
      <c r="BT18" s="147"/>
      <c r="BU18" s="146" t="s">
        <v>664</v>
      </c>
    </row>
    <row r="19" spans="1:73" x14ac:dyDescent="0.25">
      <c r="A19" s="146" t="s">
        <v>666</v>
      </c>
      <c r="B19" s="146" t="s">
        <v>789</v>
      </c>
      <c r="C19" s="146" t="s">
        <v>665</v>
      </c>
      <c r="D19" s="147">
        <v>45187</v>
      </c>
      <c r="E19" s="146" t="s">
        <v>790</v>
      </c>
      <c r="F19" s="146" t="s">
        <v>134</v>
      </c>
      <c r="G19" s="146" t="s">
        <v>134</v>
      </c>
      <c r="H19" s="146" t="s">
        <v>134</v>
      </c>
      <c r="I19" s="146">
        <v>3.85</v>
      </c>
      <c r="J19" s="146" t="s">
        <v>108</v>
      </c>
      <c r="K19" s="146" t="s">
        <v>209</v>
      </c>
      <c r="L19" s="146">
        <v>5.5</v>
      </c>
      <c r="M19" s="147">
        <v>46285</v>
      </c>
      <c r="N19" s="146" t="s">
        <v>269</v>
      </c>
      <c r="O19" s="146" t="s">
        <v>94</v>
      </c>
      <c r="P19" s="146" t="s">
        <v>791</v>
      </c>
      <c r="Q19" s="146"/>
      <c r="R19" s="146" t="s">
        <v>211</v>
      </c>
      <c r="S19" s="146" t="s">
        <v>39</v>
      </c>
      <c r="T19" s="146" t="s">
        <v>94</v>
      </c>
      <c r="U19" s="146" t="s">
        <v>135</v>
      </c>
      <c r="V19" s="146">
        <v>100</v>
      </c>
      <c r="W19" s="146"/>
      <c r="X19" s="146" t="s">
        <v>792</v>
      </c>
      <c r="Y19" s="146" t="s">
        <v>793</v>
      </c>
      <c r="Z19" s="146" t="s">
        <v>94</v>
      </c>
      <c r="AA19" s="146"/>
      <c r="AB19" s="146"/>
      <c r="AC19" s="146"/>
      <c r="AD19" s="146"/>
      <c r="AE19" s="146" t="s">
        <v>794</v>
      </c>
      <c r="AF19" s="146" t="s">
        <v>351</v>
      </c>
      <c r="AG19" s="146" t="s">
        <v>713</v>
      </c>
      <c r="AH19" s="146" t="s">
        <v>134</v>
      </c>
      <c r="AI19" s="146" t="s">
        <v>445</v>
      </c>
      <c r="AJ19" s="146" t="s">
        <v>94</v>
      </c>
      <c r="AK19" s="146" t="s">
        <v>1</v>
      </c>
      <c r="AL19" s="146" t="s">
        <v>864</v>
      </c>
      <c r="AM19" s="146" t="s">
        <v>133</v>
      </c>
      <c r="AN19" s="146" t="s">
        <v>84</v>
      </c>
      <c r="AO19" s="146"/>
      <c r="AP19" s="146" t="s">
        <v>94</v>
      </c>
      <c r="AQ19" s="146" t="s">
        <v>94</v>
      </c>
      <c r="AR19" s="146" t="s">
        <v>795</v>
      </c>
      <c r="AS19" s="146" t="s">
        <v>796</v>
      </c>
      <c r="AT19" s="146">
        <v>10000</v>
      </c>
      <c r="AU19" s="146">
        <v>3.85</v>
      </c>
      <c r="AV19" s="147">
        <v>45189</v>
      </c>
      <c r="AW19" s="147"/>
      <c r="AX19" s="146">
        <v>5.5</v>
      </c>
      <c r="AY19" s="146" t="s">
        <v>94</v>
      </c>
      <c r="AZ19" s="147">
        <v>45371</v>
      </c>
      <c r="BA19" s="146" t="s">
        <v>797</v>
      </c>
      <c r="BB19" s="146" t="s">
        <v>666</v>
      </c>
      <c r="BC19" s="147">
        <v>45189</v>
      </c>
      <c r="BD19" s="146" t="s">
        <v>798</v>
      </c>
      <c r="BE19" s="147">
        <v>45189</v>
      </c>
      <c r="BF19" s="146" t="s">
        <v>94</v>
      </c>
      <c r="BG19" s="146" t="s">
        <v>799</v>
      </c>
      <c r="BH19" s="146" t="s">
        <v>800</v>
      </c>
      <c r="BI19" s="146" t="s">
        <v>136</v>
      </c>
      <c r="BJ19" s="146" t="s">
        <v>136</v>
      </c>
      <c r="BK19" s="146" t="s">
        <v>137</v>
      </c>
      <c r="BL19" s="146" t="s">
        <v>138</v>
      </c>
      <c r="BM19" s="146" t="s">
        <v>139</v>
      </c>
      <c r="BN19" s="146" t="s">
        <v>94</v>
      </c>
      <c r="BO19" s="146" t="s">
        <v>140</v>
      </c>
      <c r="BP19" s="146" t="s">
        <v>94</v>
      </c>
      <c r="BQ19" s="146" t="s">
        <v>94</v>
      </c>
      <c r="BR19" s="146" t="s">
        <v>260</v>
      </c>
      <c r="BS19" s="146" t="s">
        <v>33</v>
      </c>
      <c r="BT19" s="147"/>
      <c r="BU19" s="146" t="s">
        <v>670</v>
      </c>
    </row>
  </sheetData>
  <phoneticPr fontId="38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Z26"/>
  <sheetViews>
    <sheetView topLeftCell="P1" workbookViewId="0">
      <selection activeCell="X13" sqref="X13"/>
    </sheetView>
  </sheetViews>
  <sheetFormatPr defaultRowHeight="15" x14ac:dyDescent="0.25"/>
  <cols>
    <col min="1" max="1" width="7.109375" style="1" bestFit="1" customWidth="1"/>
    <col min="2" max="2" width="9.33203125" style="1" bestFit="1" customWidth="1"/>
    <col min="3" max="3" width="14" style="1" bestFit="1" customWidth="1"/>
    <col min="4" max="4" width="36.6640625" style="1" bestFit="1" customWidth="1"/>
    <col min="5" max="5" width="18.21875" style="1" bestFit="1" customWidth="1"/>
    <col min="6" max="6" width="9.21875" style="1" bestFit="1" customWidth="1"/>
    <col min="7" max="7" width="10.88671875" style="1" bestFit="1" customWidth="1"/>
    <col min="8" max="8" width="14.21875" style="1" bestFit="1" customWidth="1"/>
    <col min="9" max="9" width="12.109375" style="1" bestFit="1" customWidth="1"/>
    <col min="10" max="12" width="9.21875" style="1" bestFit="1" customWidth="1"/>
    <col min="13" max="13" width="33.109375" style="1" bestFit="1" customWidth="1"/>
    <col min="14" max="14" width="80.88671875" style="1" bestFit="1" customWidth="1"/>
    <col min="15" max="15" width="32" style="1" bestFit="1" customWidth="1"/>
    <col min="16" max="17" width="10.33203125" style="1" bestFit="1" customWidth="1"/>
    <col min="18" max="18" width="10.88671875" style="1" bestFit="1" customWidth="1"/>
    <col min="19" max="19" width="18.5546875" style="1" bestFit="1" customWidth="1"/>
    <col min="20" max="20" width="5.88671875" style="1" bestFit="1" customWidth="1"/>
    <col min="21" max="21" width="7.5546875" style="1" bestFit="1" customWidth="1"/>
    <col min="22" max="22" width="12" style="1" bestFit="1" customWidth="1"/>
    <col min="23" max="23" width="20" style="1" bestFit="1" customWidth="1"/>
    <col min="24" max="24" width="12.6640625" style="1" bestFit="1" customWidth="1"/>
    <col min="25" max="25" width="13.33203125" style="1" bestFit="1" customWidth="1"/>
    <col min="26" max="26" width="20.109375" style="1" bestFit="1" customWidth="1"/>
    <col min="27" max="27" width="20.21875" style="1" bestFit="1" customWidth="1"/>
    <col min="28" max="28" width="12.77734375" style="1" bestFit="1" customWidth="1"/>
    <col min="29" max="29" width="11.44140625" style="1" bestFit="1" customWidth="1"/>
    <col min="30" max="30" width="14.33203125" style="1" bestFit="1" customWidth="1"/>
    <col min="31" max="31" width="12.6640625" style="1" bestFit="1" customWidth="1"/>
    <col min="32" max="32" width="20.109375" style="1" bestFit="1" customWidth="1"/>
    <col min="33" max="33" width="21" style="1" bestFit="1" customWidth="1"/>
    <col min="34" max="34" width="12.21875" style="1" bestFit="1" customWidth="1"/>
    <col min="35" max="35" width="9.5546875" style="1" bestFit="1" customWidth="1"/>
    <col min="36" max="36" width="11.6640625" style="1" bestFit="1" customWidth="1"/>
    <col min="37" max="37" width="21" style="1" customWidth="1"/>
    <col min="38" max="38" width="11.6640625" style="1" customWidth="1"/>
    <col min="39" max="16384" width="8.88671875" style="1"/>
  </cols>
  <sheetData>
    <row r="1" spans="1:26" ht="67.5" customHeight="1" x14ac:dyDescent="0.25">
      <c r="A1" s="50" t="s">
        <v>439</v>
      </c>
    </row>
    <row r="5" spans="1:26" x14ac:dyDescent="0.25">
      <c r="A5" t="s">
        <v>88</v>
      </c>
      <c r="B5" t="s">
        <v>50</v>
      </c>
      <c r="C5" t="s">
        <v>49</v>
      </c>
      <c r="D5" t="s">
        <v>96</v>
      </c>
      <c r="E5" t="s">
        <v>154</v>
      </c>
      <c r="F5" t="s">
        <v>144</v>
      </c>
      <c r="G5" t="s">
        <v>248</v>
      </c>
      <c r="H5" t="s">
        <v>282</v>
      </c>
      <c r="I5" t="s">
        <v>187</v>
      </c>
      <c r="J5" t="s">
        <v>121</v>
      </c>
      <c r="K5" t="s">
        <v>257</v>
      </c>
      <c r="L5" t="s">
        <v>70</v>
      </c>
      <c r="M5" t="s">
        <v>72</v>
      </c>
      <c r="N5" t="s">
        <v>73</v>
      </c>
      <c r="O5" t="s">
        <v>83</v>
      </c>
      <c r="P5" t="s">
        <v>68</v>
      </c>
      <c r="Q5" t="s">
        <v>53</v>
      </c>
      <c r="R5" t="s">
        <v>69</v>
      </c>
      <c r="S5" t="s">
        <v>122</v>
      </c>
      <c r="T5" t="s">
        <v>65</v>
      </c>
      <c r="U5" t="s">
        <v>60</v>
      </c>
      <c r="V5" t="s">
        <v>58</v>
      </c>
      <c r="W5" t="s">
        <v>565</v>
      </c>
      <c r="X5" t="s">
        <v>566</v>
      </c>
      <c r="Y5" t="s">
        <v>998</v>
      </c>
      <c r="Z5" t="s">
        <v>149</v>
      </c>
    </row>
    <row r="6" spans="1:26" x14ac:dyDescent="0.25">
      <c r="A6" s="146">
        <v>1</v>
      </c>
      <c r="B6" s="147">
        <v>45191</v>
      </c>
      <c r="C6" s="146" t="s">
        <v>832</v>
      </c>
      <c r="D6" s="146" t="s">
        <v>431</v>
      </c>
      <c r="E6" s="148"/>
      <c r="F6" s="146" t="s">
        <v>85</v>
      </c>
      <c r="G6" s="146" t="s">
        <v>268</v>
      </c>
      <c r="H6" s="146" t="s">
        <v>94</v>
      </c>
      <c r="I6" s="146" t="s">
        <v>508</v>
      </c>
      <c r="J6" s="146"/>
      <c r="K6" s="146"/>
      <c r="L6" s="146" t="s">
        <v>94</v>
      </c>
      <c r="M6" s="146" t="s">
        <v>587</v>
      </c>
      <c r="N6" s="146" t="s">
        <v>94</v>
      </c>
      <c r="O6" s="146" t="s">
        <v>94</v>
      </c>
      <c r="P6" s="147">
        <v>45197</v>
      </c>
      <c r="Q6" s="147">
        <v>47024</v>
      </c>
      <c r="R6" s="147"/>
      <c r="S6" s="146" t="s">
        <v>588</v>
      </c>
      <c r="T6" s="146" t="s">
        <v>87</v>
      </c>
      <c r="U6" s="146">
        <v>100</v>
      </c>
      <c r="V6" s="146">
        <v>1</v>
      </c>
      <c r="W6" t="s">
        <v>589</v>
      </c>
      <c r="X6" t="s">
        <v>590</v>
      </c>
      <c r="Y6" t="s">
        <v>94</v>
      </c>
      <c r="Z6" s="146" t="s">
        <v>843</v>
      </c>
    </row>
    <row r="7" spans="1:26" x14ac:dyDescent="0.25">
      <c r="A7" s="146">
        <v>2</v>
      </c>
      <c r="B7" s="147">
        <v>45191</v>
      </c>
      <c r="C7" s="146" t="s">
        <v>834</v>
      </c>
      <c r="D7" s="146" t="s">
        <v>835</v>
      </c>
      <c r="E7" s="148"/>
      <c r="F7" s="146" t="s">
        <v>85</v>
      </c>
      <c r="G7" s="146" t="s">
        <v>268</v>
      </c>
      <c r="H7" s="146" t="s">
        <v>94</v>
      </c>
      <c r="I7" s="146" t="s">
        <v>85</v>
      </c>
      <c r="J7" s="146"/>
      <c r="K7" s="146"/>
      <c r="L7" s="146" t="s">
        <v>94</v>
      </c>
      <c r="M7" s="146" t="s">
        <v>866</v>
      </c>
      <c r="N7" s="146" t="s">
        <v>94</v>
      </c>
      <c r="O7" s="146" t="s">
        <v>94</v>
      </c>
      <c r="P7" s="147">
        <v>45215</v>
      </c>
      <c r="Q7" s="147">
        <v>46311</v>
      </c>
      <c r="R7" s="147"/>
      <c r="S7" s="146" t="s">
        <v>867</v>
      </c>
      <c r="T7" s="146" t="s">
        <v>87</v>
      </c>
      <c r="U7" s="146">
        <v>100</v>
      </c>
      <c r="V7" s="146">
        <v>1</v>
      </c>
      <c r="W7" t="s">
        <v>868</v>
      </c>
      <c r="X7" t="s">
        <v>85</v>
      </c>
      <c r="Y7" t="s">
        <v>94</v>
      </c>
      <c r="Z7" s="146" t="s">
        <v>836</v>
      </c>
    </row>
    <row r="8" spans="1:26" x14ac:dyDescent="0.25">
      <c r="A8" s="146">
        <v>3</v>
      </c>
      <c r="B8" s="147">
        <v>45190</v>
      </c>
      <c r="C8" s="146" t="s">
        <v>844</v>
      </c>
      <c r="D8" s="146" t="s">
        <v>576</v>
      </c>
      <c r="E8" s="148"/>
      <c r="F8" s="146" t="s">
        <v>85</v>
      </c>
      <c r="G8" s="146" t="s">
        <v>507</v>
      </c>
      <c r="H8" s="146" t="s">
        <v>94</v>
      </c>
      <c r="I8" s="146" t="s">
        <v>510</v>
      </c>
      <c r="J8" s="146"/>
      <c r="K8" s="146"/>
      <c r="L8" s="146" t="s">
        <v>94</v>
      </c>
      <c r="M8" s="146" t="s">
        <v>577</v>
      </c>
      <c r="N8" s="146" t="s">
        <v>578</v>
      </c>
      <c r="O8" s="146" t="s">
        <v>94</v>
      </c>
      <c r="P8" s="147">
        <v>45197</v>
      </c>
      <c r="Q8" s="147">
        <v>45559</v>
      </c>
      <c r="R8" s="147"/>
      <c r="S8" s="146" t="s">
        <v>869</v>
      </c>
      <c r="T8" s="146" t="s">
        <v>108</v>
      </c>
      <c r="U8" s="146">
        <v>100</v>
      </c>
      <c r="V8" s="146">
        <v>4</v>
      </c>
      <c r="W8" t="s">
        <v>579</v>
      </c>
      <c r="X8" t="s">
        <v>580</v>
      </c>
      <c r="Y8" t="s">
        <v>94</v>
      </c>
      <c r="Z8" s="146" t="s">
        <v>845</v>
      </c>
    </row>
    <row r="9" spans="1:26" x14ac:dyDescent="0.25">
      <c r="A9" s="146">
        <v>4</v>
      </c>
      <c r="B9" s="147">
        <v>45190</v>
      </c>
      <c r="C9" s="146" t="s">
        <v>567</v>
      </c>
      <c r="D9" s="146" t="s">
        <v>511</v>
      </c>
      <c r="E9" s="148"/>
      <c r="F9" s="146" t="s">
        <v>85</v>
      </c>
      <c r="G9" s="146" t="s">
        <v>506</v>
      </c>
      <c r="H9" s="146" t="s">
        <v>506</v>
      </c>
      <c r="I9" s="146" t="s">
        <v>512</v>
      </c>
      <c r="J9" s="146"/>
      <c r="K9" s="146"/>
      <c r="L9" s="146" t="s">
        <v>94</v>
      </c>
      <c r="M9" s="146" t="s">
        <v>568</v>
      </c>
      <c r="N9" s="146" t="s">
        <v>94</v>
      </c>
      <c r="O9" s="146" t="s">
        <v>94</v>
      </c>
      <c r="P9" s="147">
        <v>45198</v>
      </c>
      <c r="Q9" s="147">
        <v>45929</v>
      </c>
      <c r="R9" s="147"/>
      <c r="S9" s="146" t="s">
        <v>569</v>
      </c>
      <c r="T9" s="146" t="s">
        <v>111</v>
      </c>
      <c r="U9" s="146">
        <v>100</v>
      </c>
      <c r="V9" s="146">
        <v>2</v>
      </c>
      <c r="W9" t="s">
        <v>570</v>
      </c>
      <c r="X9" t="s">
        <v>571</v>
      </c>
      <c r="Y9" t="s">
        <v>94</v>
      </c>
      <c r="Z9" s="146" t="s">
        <v>572</v>
      </c>
    </row>
    <row r="10" spans="1:26" x14ac:dyDescent="0.25">
      <c r="A10" s="146">
        <v>5</v>
      </c>
      <c r="B10" s="147">
        <v>45190</v>
      </c>
      <c r="C10" s="146" t="s">
        <v>573</v>
      </c>
      <c r="D10" s="146" t="s">
        <v>511</v>
      </c>
      <c r="E10" s="148"/>
      <c r="F10" s="146" t="s">
        <v>85</v>
      </c>
      <c r="G10" s="146" t="s">
        <v>506</v>
      </c>
      <c r="H10" s="146" t="s">
        <v>506</v>
      </c>
      <c r="I10" s="146" t="s">
        <v>512</v>
      </c>
      <c r="J10" s="146"/>
      <c r="K10" s="146"/>
      <c r="L10" s="146" t="s">
        <v>94</v>
      </c>
      <c r="M10" s="146" t="s">
        <v>568</v>
      </c>
      <c r="N10" s="146" t="s">
        <v>94</v>
      </c>
      <c r="O10" s="146" t="s">
        <v>94</v>
      </c>
      <c r="P10" s="147">
        <v>45198</v>
      </c>
      <c r="Q10" s="147">
        <v>45929</v>
      </c>
      <c r="R10" s="147"/>
      <c r="S10" s="146" t="s">
        <v>574</v>
      </c>
      <c r="T10" s="146" t="s">
        <v>111</v>
      </c>
      <c r="U10" s="146">
        <v>100</v>
      </c>
      <c r="V10" s="146">
        <v>5</v>
      </c>
      <c r="W10" t="s">
        <v>570</v>
      </c>
      <c r="X10" t="s">
        <v>571</v>
      </c>
      <c r="Y10" t="s">
        <v>94</v>
      </c>
      <c r="Z10" s="146" t="s">
        <v>575</v>
      </c>
    </row>
    <row r="11" spans="1:26" x14ac:dyDescent="0.25">
      <c r="A11" s="146">
        <v>6</v>
      </c>
      <c r="B11" s="147">
        <v>45190</v>
      </c>
      <c r="C11" s="146" t="s">
        <v>581</v>
      </c>
      <c r="D11" s="146" t="s">
        <v>582</v>
      </c>
      <c r="E11" s="148"/>
      <c r="F11" s="146" t="s">
        <v>85</v>
      </c>
      <c r="G11" s="146" t="s">
        <v>268</v>
      </c>
      <c r="H11" s="146" t="s">
        <v>94</v>
      </c>
      <c r="I11" s="146" t="s">
        <v>85</v>
      </c>
      <c r="J11" s="146"/>
      <c r="K11" s="146"/>
      <c r="L11" s="146" t="s">
        <v>94</v>
      </c>
      <c r="M11" s="146" t="s">
        <v>583</v>
      </c>
      <c r="N11" s="146" t="s">
        <v>94</v>
      </c>
      <c r="O11" s="146" t="s">
        <v>94</v>
      </c>
      <c r="P11" s="147">
        <v>45197</v>
      </c>
      <c r="Q11" s="147">
        <v>46293</v>
      </c>
      <c r="R11" s="147"/>
      <c r="S11" s="146" t="s">
        <v>584</v>
      </c>
      <c r="T11" s="146" t="s">
        <v>108</v>
      </c>
      <c r="U11" s="146" t="s">
        <v>94</v>
      </c>
      <c r="V11" s="146">
        <v>10.65</v>
      </c>
      <c r="W11" t="s">
        <v>94</v>
      </c>
      <c r="X11" t="s">
        <v>94</v>
      </c>
      <c r="Y11" t="s">
        <v>94</v>
      </c>
      <c r="Z11" s="146" t="s">
        <v>585</v>
      </c>
    </row>
    <row r="12" spans="1:26" x14ac:dyDescent="0.25">
      <c r="A12" s="146">
        <v>7</v>
      </c>
      <c r="B12" s="147">
        <v>45189</v>
      </c>
      <c r="C12" s="146" t="s">
        <v>586</v>
      </c>
      <c r="D12" s="146" t="s">
        <v>431</v>
      </c>
      <c r="E12" s="148"/>
      <c r="F12" s="146" t="s">
        <v>85</v>
      </c>
      <c r="G12" s="146" t="s">
        <v>268</v>
      </c>
      <c r="H12" s="146" t="s">
        <v>94</v>
      </c>
      <c r="I12" s="146" t="s">
        <v>508</v>
      </c>
      <c r="J12" s="146"/>
      <c r="K12" s="146"/>
      <c r="L12" s="146" t="s">
        <v>94</v>
      </c>
      <c r="M12" s="146" t="s">
        <v>587</v>
      </c>
      <c r="N12" s="146" t="s">
        <v>94</v>
      </c>
      <c r="O12" s="146" t="s">
        <v>94</v>
      </c>
      <c r="P12" s="147">
        <v>45196</v>
      </c>
      <c r="Q12" s="147">
        <v>47023</v>
      </c>
      <c r="R12" s="147"/>
      <c r="S12" s="146" t="s">
        <v>588</v>
      </c>
      <c r="T12" s="146" t="s">
        <v>87</v>
      </c>
      <c r="U12" s="146">
        <v>100</v>
      </c>
      <c r="V12" s="146">
        <v>1</v>
      </c>
      <c r="W12" t="s">
        <v>589</v>
      </c>
      <c r="X12" t="s">
        <v>590</v>
      </c>
      <c r="Y12" t="s">
        <v>94</v>
      </c>
      <c r="Z12" s="146" t="s">
        <v>591</v>
      </c>
    </row>
    <row r="13" spans="1:26" x14ac:dyDescent="0.25">
      <c r="A13" s="146">
        <v>8</v>
      </c>
      <c r="B13" s="147">
        <v>45189</v>
      </c>
      <c r="C13" s="146" t="s">
        <v>592</v>
      </c>
      <c r="D13" s="146" t="s">
        <v>576</v>
      </c>
      <c r="E13" s="148"/>
      <c r="F13" s="146" t="s">
        <v>85</v>
      </c>
      <c r="G13" s="146" t="s">
        <v>507</v>
      </c>
      <c r="H13" s="146" t="s">
        <v>94</v>
      </c>
      <c r="I13" s="146" t="s">
        <v>510</v>
      </c>
      <c r="J13" s="146"/>
      <c r="K13" s="146"/>
      <c r="L13" s="146" t="s">
        <v>94</v>
      </c>
      <c r="M13" s="146" t="s">
        <v>577</v>
      </c>
      <c r="N13" s="146" t="s">
        <v>578</v>
      </c>
      <c r="O13" s="146" t="s">
        <v>94</v>
      </c>
      <c r="P13" s="147">
        <v>45196</v>
      </c>
      <c r="Q13" s="147">
        <v>45377</v>
      </c>
      <c r="R13" s="147"/>
      <c r="S13" s="146" t="s">
        <v>593</v>
      </c>
      <c r="T13" s="146" t="s">
        <v>87</v>
      </c>
      <c r="U13" s="146">
        <v>99.879000000000005</v>
      </c>
      <c r="V13" s="146">
        <v>0.6</v>
      </c>
      <c r="W13" t="s">
        <v>579</v>
      </c>
      <c r="X13" t="s">
        <v>580</v>
      </c>
      <c r="Y13" t="s">
        <v>94</v>
      </c>
      <c r="Z13" s="146" t="s">
        <v>594</v>
      </c>
    </row>
    <row r="14" spans="1:26" x14ac:dyDescent="0.25">
      <c r="A14" s="146">
        <v>9</v>
      </c>
      <c r="B14" s="147">
        <v>45189</v>
      </c>
      <c r="C14" s="146" t="s">
        <v>595</v>
      </c>
      <c r="D14" s="146" t="s">
        <v>596</v>
      </c>
      <c r="E14" s="148"/>
      <c r="F14" s="146" t="s">
        <v>85</v>
      </c>
      <c r="G14" s="146" t="s">
        <v>268</v>
      </c>
      <c r="H14" s="146" t="s">
        <v>94</v>
      </c>
      <c r="I14" s="146" t="s">
        <v>597</v>
      </c>
      <c r="J14" s="146"/>
      <c r="K14" s="146"/>
      <c r="L14" s="146" t="s">
        <v>94</v>
      </c>
      <c r="M14" s="146" t="s">
        <v>598</v>
      </c>
      <c r="N14" s="146" t="s">
        <v>94</v>
      </c>
      <c r="O14" s="146" t="s">
        <v>94</v>
      </c>
      <c r="P14" s="147">
        <v>45196</v>
      </c>
      <c r="Q14" s="147">
        <v>46292</v>
      </c>
      <c r="R14" s="147"/>
      <c r="S14" s="146" t="s">
        <v>599</v>
      </c>
      <c r="T14" s="146" t="s">
        <v>108</v>
      </c>
      <c r="U14" s="146">
        <v>99.72</v>
      </c>
      <c r="V14" s="146">
        <v>18.600000000000001</v>
      </c>
      <c r="W14" t="s">
        <v>600</v>
      </c>
      <c r="X14" t="s">
        <v>597</v>
      </c>
      <c r="Y14" t="s">
        <v>811</v>
      </c>
      <c r="Z14" s="146" t="s">
        <v>601</v>
      </c>
    </row>
    <row r="15" spans="1:26" x14ac:dyDescent="0.25">
      <c r="A15" s="146">
        <v>10</v>
      </c>
      <c r="B15" s="147">
        <v>45189</v>
      </c>
      <c r="C15" s="146" t="s">
        <v>563</v>
      </c>
      <c r="D15" s="146" t="s">
        <v>564</v>
      </c>
      <c r="E15" s="148"/>
      <c r="F15" s="146" t="s">
        <v>85</v>
      </c>
      <c r="G15" s="146" t="s">
        <v>507</v>
      </c>
      <c r="H15" s="146" t="s">
        <v>94</v>
      </c>
      <c r="I15" s="146" t="s">
        <v>85</v>
      </c>
      <c r="J15" s="146"/>
      <c r="K15" s="146"/>
      <c r="L15" s="146" t="s">
        <v>94</v>
      </c>
      <c r="M15" s="146" t="s">
        <v>602</v>
      </c>
      <c r="N15" s="146" t="s">
        <v>603</v>
      </c>
      <c r="O15" s="146" t="s">
        <v>94</v>
      </c>
      <c r="P15" s="147">
        <v>45196</v>
      </c>
      <c r="Q15" s="147">
        <v>46292</v>
      </c>
      <c r="R15" s="147"/>
      <c r="S15" s="146" t="s">
        <v>604</v>
      </c>
      <c r="T15" s="146" t="s">
        <v>87</v>
      </c>
      <c r="U15" s="146">
        <v>100</v>
      </c>
      <c r="V15" s="146">
        <v>3.9</v>
      </c>
      <c r="W15" t="s">
        <v>605</v>
      </c>
      <c r="X15" t="s">
        <v>606</v>
      </c>
      <c r="Y15" t="s">
        <v>94</v>
      </c>
      <c r="Z15" s="146" t="s">
        <v>607</v>
      </c>
    </row>
    <row r="16" spans="1:26" x14ac:dyDescent="0.25">
      <c r="A16" s="146">
        <v>11</v>
      </c>
      <c r="B16" s="147">
        <v>45189</v>
      </c>
      <c r="C16" s="146" t="s">
        <v>560</v>
      </c>
      <c r="D16" s="146" t="s">
        <v>561</v>
      </c>
      <c r="E16" s="148"/>
      <c r="F16" s="146" t="s">
        <v>85</v>
      </c>
      <c r="G16" s="146" t="s">
        <v>507</v>
      </c>
      <c r="H16" s="146" t="s">
        <v>94</v>
      </c>
      <c r="I16" s="146" t="s">
        <v>85</v>
      </c>
      <c r="J16" s="146"/>
      <c r="K16" s="146"/>
      <c r="L16" s="146" t="s">
        <v>94</v>
      </c>
      <c r="M16" s="146" t="s">
        <v>608</v>
      </c>
      <c r="N16" s="146" t="s">
        <v>609</v>
      </c>
      <c r="O16" s="146" t="s">
        <v>94</v>
      </c>
      <c r="P16" s="147">
        <v>45196</v>
      </c>
      <c r="Q16" s="147">
        <v>46292</v>
      </c>
      <c r="R16" s="147"/>
      <c r="S16" s="146" t="s">
        <v>610</v>
      </c>
      <c r="T16" s="146" t="s">
        <v>108</v>
      </c>
      <c r="U16" s="146" t="s">
        <v>94</v>
      </c>
      <c r="V16" s="146">
        <v>7.3</v>
      </c>
      <c r="W16" t="s">
        <v>94</v>
      </c>
      <c r="X16" t="s">
        <v>94</v>
      </c>
      <c r="Y16" t="s">
        <v>811</v>
      </c>
      <c r="Z16" s="146" t="s">
        <v>611</v>
      </c>
    </row>
    <row r="17" spans="1:26" x14ac:dyDescent="0.25">
      <c r="A17" s="146">
        <v>12</v>
      </c>
      <c r="B17" s="147">
        <v>45189</v>
      </c>
      <c r="C17" s="146" t="s">
        <v>612</v>
      </c>
      <c r="D17" s="146" t="s">
        <v>613</v>
      </c>
      <c r="E17" s="148"/>
      <c r="F17" s="146" t="s">
        <v>85</v>
      </c>
      <c r="G17" s="146" t="s">
        <v>268</v>
      </c>
      <c r="H17" s="146" t="s">
        <v>94</v>
      </c>
      <c r="I17" s="146" t="s">
        <v>614</v>
      </c>
      <c r="J17" s="146"/>
      <c r="K17" s="146"/>
      <c r="L17" s="146" t="s">
        <v>94</v>
      </c>
      <c r="M17" s="146" t="s">
        <v>615</v>
      </c>
      <c r="N17" s="146" t="s">
        <v>94</v>
      </c>
      <c r="O17" s="146" t="s">
        <v>94</v>
      </c>
      <c r="P17" s="147">
        <v>45196</v>
      </c>
      <c r="Q17" s="147">
        <v>46292</v>
      </c>
      <c r="R17" s="147"/>
      <c r="S17" s="146" t="s">
        <v>515</v>
      </c>
      <c r="T17" s="146" t="s">
        <v>108</v>
      </c>
      <c r="U17" s="146">
        <v>100</v>
      </c>
      <c r="V17" s="146">
        <v>21.3</v>
      </c>
      <c r="W17" t="s">
        <v>616</v>
      </c>
      <c r="X17" t="s">
        <v>614</v>
      </c>
      <c r="Y17" t="s">
        <v>807</v>
      </c>
      <c r="Z17" s="146" t="s">
        <v>617</v>
      </c>
    </row>
    <row r="18" spans="1:26" x14ac:dyDescent="0.25">
      <c r="A18" s="146">
        <v>13</v>
      </c>
      <c r="B18" s="147">
        <v>45189</v>
      </c>
      <c r="C18" s="146" t="s">
        <v>618</v>
      </c>
      <c r="D18" s="146" t="s">
        <v>619</v>
      </c>
      <c r="E18" s="148"/>
      <c r="F18" s="146" t="s">
        <v>85</v>
      </c>
      <c r="G18" s="146" t="s">
        <v>268</v>
      </c>
      <c r="H18" s="146" t="s">
        <v>94</v>
      </c>
      <c r="I18" s="146" t="s">
        <v>620</v>
      </c>
      <c r="J18" s="146"/>
      <c r="K18" s="146"/>
      <c r="L18" s="146" t="s">
        <v>94</v>
      </c>
      <c r="M18" s="146" t="s">
        <v>621</v>
      </c>
      <c r="N18" s="146" t="s">
        <v>94</v>
      </c>
      <c r="O18" s="146" t="s">
        <v>94</v>
      </c>
      <c r="P18" s="147">
        <v>45196</v>
      </c>
      <c r="Q18" s="147">
        <v>45927</v>
      </c>
      <c r="R18" s="147"/>
      <c r="S18" s="146" t="s">
        <v>622</v>
      </c>
      <c r="T18" s="146" t="s">
        <v>108</v>
      </c>
      <c r="U18" s="146">
        <v>100</v>
      </c>
      <c r="V18" s="146">
        <v>40</v>
      </c>
      <c r="W18" t="s">
        <v>94</v>
      </c>
      <c r="X18" t="s">
        <v>94</v>
      </c>
      <c r="Y18" t="s">
        <v>94</v>
      </c>
      <c r="Z18" s="146" t="s">
        <v>623</v>
      </c>
    </row>
    <row r="19" spans="1:26" x14ac:dyDescent="0.25">
      <c r="A19" s="146">
        <v>14</v>
      </c>
      <c r="B19" s="147">
        <v>45189</v>
      </c>
      <c r="C19" s="146" t="s">
        <v>624</v>
      </c>
      <c r="D19" s="146" t="s">
        <v>619</v>
      </c>
      <c r="E19" s="148"/>
      <c r="F19" s="146" t="s">
        <v>85</v>
      </c>
      <c r="G19" s="146" t="s">
        <v>268</v>
      </c>
      <c r="H19" s="146" t="s">
        <v>94</v>
      </c>
      <c r="I19" s="146" t="s">
        <v>620</v>
      </c>
      <c r="J19" s="146"/>
      <c r="K19" s="146"/>
      <c r="L19" s="146" t="s">
        <v>94</v>
      </c>
      <c r="M19" s="146" t="s">
        <v>621</v>
      </c>
      <c r="N19" s="146" t="s">
        <v>94</v>
      </c>
      <c r="O19" s="146" t="s">
        <v>94</v>
      </c>
      <c r="P19" s="147">
        <v>45196</v>
      </c>
      <c r="Q19" s="147">
        <v>47023</v>
      </c>
      <c r="R19" s="147"/>
      <c r="S19" s="146" t="s">
        <v>625</v>
      </c>
      <c r="T19" s="146" t="s">
        <v>108</v>
      </c>
      <c r="U19" s="146">
        <v>100</v>
      </c>
      <c r="V19" s="146">
        <v>10</v>
      </c>
      <c r="W19" t="s">
        <v>94</v>
      </c>
      <c r="X19" t="s">
        <v>94</v>
      </c>
      <c r="Y19" t="s">
        <v>94</v>
      </c>
      <c r="Z19" s="146" t="s">
        <v>626</v>
      </c>
    </row>
    <row r="20" spans="1:26" x14ac:dyDescent="0.25">
      <c r="A20" s="146">
        <v>15</v>
      </c>
      <c r="B20" s="147">
        <v>45188</v>
      </c>
      <c r="C20" s="146" t="s">
        <v>627</v>
      </c>
      <c r="D20" s="146" t="s">
        <v>628</v>
      </c>
      <c r="E20" s="148"/>
      <c r="F20" s="146" t="s">
        <v>85</v>
      </c>
      <c r="G20" s="146" t="s">
        <v>506</v>
      </c>
      <c r="H20" s="146" t="s">
        <v>94</v>
      </c>
      <c r="I20" s="146" t="s">
        <v>629</v>
      </c>
      <c r="J20" s="146"/>
      <c r="K20" s="146"/>
      <c r="L20" s="146" t="s">
        <v>94</v>
      </c>
      <c r="M20" s="146" t="s">
        <v>630</v>
      </c>
      <c r="N20" s="146" t="s">
        <v>94</v>
      </c>
      <c r="O20" s="146" t="s">
        <v>631</v>
      </c>
      <c r="P20" s="147">
        <v>45219</v>
      </c>
      <c r="Q20" s="147">
        <v>46315</v>
      </c>
      <c r="R20" s="147"/>
      <c r="S20" s="146" t="s">
        <v>513</v>
      </c>
      <c r="T20" s="146" t="s">
        <v>108</v>
      </c>
      <c r="U20" s="146" t="s">
        <v>94</v>
      </c>
      <c r="V20" s="146">
        <v>7</v>
      </c>
      <c r="W20" t="s">
        <v>632</v>
      </c>
      <c r="X20" t="s">
        <v>633</v>
      </c>
      <c r="Y20" t="s">
        <v>94</v>
      </c>
      <c r="Z20" s="146" t="s">
        <v>634</v>
      </c>
    </row>
    <row r="21" spans="1:26" x14ac:dyDescent="0.25">
      <c r="A21" s="146">
        <v>16</v>
      </c>
      <c r="B21" s="147">
        <v>45188</v>
      </c>
      <c r="C21" s="146" t="s">
        <v>635</v>
      </c>
      <c r="D21" s="146" t="s">
        <v>636</v>
      </c>
      <c r="E21" s="148"/>
      <c r="F21" s="146" t="s">
        <v>637</v>
      </c>
      <c r="G21" s="146" t="s">
        <v>506</v>
      </c>
      <c r="H21" s="146" t="s">
        <v>94</v>
      </c>
      <c r="I21" s="146" t="s">
        <v>638</v>
      </c>
      <c r="J21" s="146"/>
      <c r="K21" s="146"/>
      <c r="L21" s="146" t="s">
        <v>94</v>
      </c>
      <c r="M21" s="146" t="s">
        <v>639</v>
      </c>
      <c r="N21" s="146" t="s">
        <v>94</v>
      </c>
      <c r="O21" s="146" t="s">
        <v>94</v>
      </c>
      <c r="P21" s="147">
        <v>45195</v>
      </c>
      <c r="Q21" s="147">
        <v>45561</v>
      </c>
      <c r="R21" s="147"/>
      <c r="S21" s="146" t="s">
        <v>640</v>
      </c>
      <c r="T21" s="146" t="s">
        <v>111</v>
      </c>
      <c r="U21" s="146">
        <v>100</v>
      </c>
      <c r="V21" s="146">
        <v>5</v>
      </c>
      <c r="W21" t="s">
        <v>641</v>
      </c>
      <c r="X21" t="s">
        <v>637</v>
      </c>
      <c r="Y21" t="s">
        <v>94</v>
      </c>
      <c r="Z21" s="146" t="s">
        <v>642</v>
      </c>
    </row>
    <row r="22" spans="1:26" x14ac:dyDescent="0.25">
      <c r="A22" s="146">
        <v>17</v>
      </c>
      <c r="B22" s="147">
        <v>45188</v>
      </c>
      <c r="C22" s="146" t="s">
        <v>643</v>
      </c>
      <c r="D22" s="146" t="s">
        <v>644</v>
      </c>
      <c r="E22" s="148"/>
      <c r="F22" s="146" t="s">
        <v>85</v>
      </c>
      <c r="G22" s="146" t="s">
        <v>645</v>
      </c>
      <c r="H22" s="146" t="s">
        <v>646</v>
      </c>
      <c r="I22" s="146" t="s">
        <v>85</v>
      </c>
      <c r="J22" s="146"/>
      <c r="K22" s="146"/>
      <c r="L22" s="146" t="s">
        <v>94</v>
      </c>
      <c r="M22" s="146" t="s">
        <v>647</v>
      </c>
      <c r="N22" s="146" t="s">
        <v>94</v>
      </c>
      <c r="O22" s="146" t="s">
        <v>94</v>
      </c>
      <c r="P22" s="147">
        <v>45191</v>
      </c>
      <c r="Q22" s="147">
        <v>47406</v>
      </c>
      <c r="R22" s="147"/>
      <c r="S22" s="146" t="s">
        <v>648</v>
      </c>
      <c r="T22" s="146" t="s">
        <v>87</v>
      </c>
      <c r="U22" s="146" t="s">
        <v>94</v>
      </c>
      <c r="V22" s="146">
        <v>5</v>
      </c>
      <c r="W22" t="s">
        <v>649</v>
      </c>
      <c r="X22" t="s">
        <v>85</v>
      </c>
      <c r="Y22" t="s">
        <v>94</v>
      </c>
      <c r="Z22" s="146" t="s">
        <v>650</v>
      </c>
    </row>
    <row r="23" spans="1:26" x14ac:dyDescent="0.25">
      <c r="A23" s="146">
        <v>18</v>
      </c>
      <c r="B23" s="147">
        <v>45188</v>
      </c>
      <c r="C23" s="146" t="s">
        <v>651</v>
      </c>
      <c r="D23" s="146" t="s">
        <v>644</v>
      </c>
      <c r="E23" s="148"/>
      <c r="F23" s="146" t="s">
        <v>85</v>
      </c>
      <c r="G23" s="146" t="s">
        <v>645</v>
      </c>
      <c r="H23" s="146" t="s">
        <v>646</v>
      </c>
      <c r="I23" s="146" t="s">
        <v>85</v>
      </c>
      <c r="J23" s="146"/>
      <c r="K23" s="146"/>
      <c r="L23" s="146" t="s">
        <v>94</v>
      </c>
      <c r="M23" s="146" t="s">
        <v>647</v>
      </c>
      <c r="N23" s="146" t="s">
        <v>94</v>
      </c>
      <c r="O23" s="146" t="s">
        <v>94</v>
      </c>
      <c r="P23" s="147">
        <v>45191</v>
      </c>
      <c r="Q23" s="147">
        <v>47771</v>
      </c>
      <c r="R23" s="147"/>
      <c r="S23" s="146" t="s">
        <v>652</v>
      </c>
      <c r="T23" s="146" t="s">
        <v>87</v>
      </c>
      <c r="U23" s="146" t="s">
        <v>94</v>
      </c>
      <c r="V23" s="146">
        <v>5</v>
      </c>
      <c r="W23" t="s">
        <v>649</v>
      </c>
      <c r="X23" t="s">
        <v>85</v>
      </c>
      <c r="Y23" t="s">
        <v>94</v>
      </c>
      <c r="Z23" s="146" t="s">
        <v>653</v>
      </c>
    </row>
    <row r="24" spans="1:26" x14ac:dyDescent="0.25">
      <c r="A24" s="146">
        <v>19</v>
      </c>
      <c r="B24" s="147">
        <v>45188</v>
      </c>
      <c r="C24" s="146" t="s">
        <v>654</v>
      </c>
      <c r="D24" s="146" t="s">
        <v>655</v>
      </c>
      <c r="E24" s="148"/>
      <c r="F24" s="146" t="s">
        <v>85</v>
      </c>
      <c r="G24" s="146" t="s">
        <v>507</v>
      </c>
      <c r="H24" s="146" t="s">
        <v>94</v>
      </c>
      <c r="I24" s="146" t="s">
        <v>85</v>
      </c>
      <c r="J24" s="146"/>
      <c r="K24" s="146"/>
      <c r="L24" s="146" t="s">
        <v>94</v>
      </c>
      <c r="M24" s="146" t="s">
        <v>656</v>
      </c>
      <c r="N24" s="146" t="s">
        <v>657</v>
      </c>
      <c r="O24" s="146" t="s">
        <v>94</v>
      </c>
      <c r="P24" s="147">
        <v>45191</v>
      </c>
      <c r="Q24" s="147">
        <v>45555</v>
      </c>
      <c r="R24" s="147"/>
      <c r="S24" s="146" t="s">
        <v>514</v>
      </c>
      <c r="T24" s="146" t="s">
        <v>87</v>
      </c>
      <c r="U24" s="146">
        <v>100</v>
      </c>
      <c r="V24" s="146">
        <v>0.6</v>
      </c>
      <c r="W24" t="s">
        <v>94</v>
      </c>
      <c r="X24" t="s">
        <v>94</v>
      </c>
      <c r="Y24" t="s">
        <v>94</v>
      </c>
      <c r="Z24" s="146" t="s">
        <v>658</v>
      </c>
    </row>
    <row r="25" spans="1:26" x14ac:dyDescent="0.25">
      <c r="A25" s="146">
        <v>20</v>
      </c>
      <c r="B25" s="147">
        <v>45188</v>
      </c>
      <c r="C25" s="146" t="s">
        <v>659</v>
      </c>
      <c r="D25" s="146" t="s">
        <v>660</v>
      </c>
      <c r="E25" s="148"/>
      <c r="F25" s="146" t="s">
        <v>85</v>
      </c>
      <c r="G25" s="146" t="s">
        <v>268</v>
      </c>
      <c r="H25" s="146" t="s">
        <v>94</v>
      </c>
      <c r="I25" s="146" t="s">
        <v>85</v>
      </c>
      <c r="J25" s="146"/>
      <c r="K25" s="146"/>
      <c r="L25" s="146" t="s">
        <v>94</v>
      </c>
      <c r="M25" s="146" t="s">
        <v>661</v>
      </c>
      <c r="N25" s="146" t="s">
        <v>94</v>
      </c>
      <c r="O25" s="146" t="s">
        <v>94</v>
      </c>
      <c r="P25" s="147">
        <v>45195</v>
      </c>
      <c r="Q25" s="147">
        <v>46291</v>
      </c>
      <c r="R25" s="147"/>
      <c r="S25" s="146" t="s">
        <v>662</v>
      </c>
      <c r="T25" s="146" t="s">
        <v>108</v>
      </c>
      <c r="U25" s="146">
        <v>100</v>
      </c>
      <c r="V25" s="146">
        <v>8</v>
      </c>
      <c r="W25" t="s">
        <v>663</v>
      </c>
      <c r="X25" t="s">
        <v>606</v>
      </c>
      <c r="Y25" t="s">
        <v>94</v>
      </c>
      <c r="Z25" s="146" t="s">
        <v>664</v>
      </c>
    </row>
    <row r="26" spans="1:26" x14ac:dyDescent="0.25">
      <c r="A26" s="146">
        <v>21</v>
      </c>
      <c r="B26" s="147">
        <v>45187</v>
      </c>
      <c r="C26" s="146" t="s">
        <v>665</v>
      </c>
      <c r="D26" s="146" t="s">
        <v>666</v>
      </c>
      <c r="E26" s="148"/>
      <c r="F26" s="146" t="s">
        <v>85</v>
      </c>
      <c r="G26" s="146" t="s">
        <v>507</v>
      </c>
      <c r="H26" s="146" t="s">
        <v>94</v>
      </c>
      <c r="I26" s="146" t="s">
        <v>85</v>
      </c>
      <c r="J26" s="146"/>
      <c r="K26" s="146"/>
      <c r="L26" s="146" t="s">
        <v>94</v>
      </c>
      <c r="M26" s="146" t="s">
        <v>667</v>
      </c>
      <c r="N26" s="146" t="s">
        <v>668</v>
      </c>
      <c r="O26" s="146" t="s">
        <v>94</v>
      </c>
      <c r="P26" s="147">
        <v>45189</v>
      </c>
      <c r="Q26" s="147">
        <v>46285</v>
      </c>
      <c r="R26" s="147"/>
      <c r="S26" s="146" t="s">
        <v>662</v>
      </c>
      <c r="T26" s="146" t="s">
        <v>108</v>
      </c>
      <c r="U26" s="146" t="s">
        <v>94</v>
      </c>
      <c r="V26" s="146">
        <v>3.85</v>
      </c>
      <c r="W26" t="s">
        <v>669</v>
      </c>
      <c r="X26" t="s">
        <v>85</v>
      </c>
      <c r="Y26" t="s">
        <v>94</v>
      </c>
      <c r="Z26" s="146" t="s">
        <v>670</v>
      </c>
    </row>
  </sheetData>
  <phoneticPr fontId="38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D57B4-6EF1-40A2-95CC-36C330DDF6AE}">
  <sheetPr codeName="Sheet16"/>
  <dimension ref="A1:H7"/>
  <sheetViews>
    <sheetView workbookViewId="0">
      <selection activeCell="E20" sqref="E20"/>
    </sheetView>
  </sheetViews>
  <sheetFormatPr defaultRowHeight="15" x14ac:dyDescent="0.25"/>
  <cols>
    <col min="1" max="1" width="13.5546875" style="1" bestFit="1" customWidth="1"/>
    <col min="2" max="2" width="13.33203125" style="1" bestFit="1" customWidth="1"/>
    <col min="3" max="3" width="36.6640625" style="1" bestFit="1" customWidth="1"/>
    <col min="4" max="6" width="9.21875" style="1" bestFit="1" customWidth="1"/>
    <col min="7" max="7" width="11.44140625" style="1" bestFit="1" customWidth="1"/>
    <col min="8" max="8" width="10.88671875" style="1" bestFit="1" customWidth="1"/>
    <col min="9" max="16384" width="8.88671875" style="1"/>
  </cols>
  <sheetData>
    <row r="1" spans="1:8" ht="67.5" customHeight="1" x14ac:dyDescent="0.25">
      <c r="A1" s="51" t="s">
        <v>264</v>
      </c>
    </row>
    <row r="5" spans="1:8" x14ac:dyDescent="0.25">
      <c r="A5" t="s">
        <v>198</v>
      </c>
      <c r="B5" t="s">
        <v>49</v>
      </c>
      <c r="C5" t="s">
        <v>261</v>
      </c>
      <c r="D5" t="s">
        <v>216</v>
      </c>
      <c r="E5" t="s">
        <v>262</v>
      </c>
      <c r="F5" t="s">
        <v>181</v>
      </c>
      <c r="G5" t="s">
        <v>182</v>
      </c>
      <c r="H5" t="s">
        <v>263</v>
      </c>
    </row>
    <row r="6" spans="1:8" x14ac:dyDescent="0.25">
      <c r="A6" t="s">
        <v>559</v>
      </c>
      <c r="B6" t="s">
        <v>560</v>
      </c>
      <c r="C6" t="s">
        <v>561</v>
      </c>
      <c r="D6">
        <v>65</v>
      </c>
      <c r="E6" t="s">
        <v>158</v>
      </c>
      <c r="F6" t="s">
        <v>190</v>
      </c>
      <c r="G6" t="s">
        <v>202</v>
      </c>
      <c r="H6">
        <v>45189</v>
      </c>
    </row>
    <row r="7" spans="1:8" x14ac:dyDescent="0.25">
      <c r="A7" t="s">
        <v>562</v>
      </c>
      <c r="B7" t="s">
        <v>563</v>
      </c>
      <c r="C7" t="s">
        <v>564</v>
      </c>
      <c r="D7">
        <v>66</v>
      </c>
      <c r="E7" t="s">
        <v>158</v>
      </c>
      <c r="F7" t="s">
        <v>190</v>
      </c>
      <c r="G7" t="s">
        <v>202</v>
      </c>
      <c r="H7">
        <v>45189</v>
      </c>
    </row>
  </sheetData>
  <phoneticPr fontId="38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L15"/>
  <sheetViews>
    <sheetView topLeftCell="AQ1" workbookViewId="0">
      <selection activeCell="AW7" sqref="AW7"/>
    </sheetView>
  </sheetViews>
  <sheetFormatPr defaultRowHeight="15" x14ac:dyDescent="0.25"/>
  <cols>
    <col min="1" max="1" width="7.109375" style="1" bestFit="1" customWidth="1"/>
    <col min="2" max="2" width="10.88671875" style="1" bestFit="1" customWidth="1"/>
    <col min="3" max="3" width="36.6640625" style="1" bestFit="1" customWidth="1"/>
    <col min="4" max="4" width="14" style="1" bestFit="1" customWidth="1"/>
    <col min="5" max="5" width="9.33203125" style="1" bestFit="1" customWidth="1"/>
    <col min="6" max="6" width="9.21875" style="1" bestFit="1" customWidth="1"/>
    <col min="7" max="7" width="12.109375" style="1" bestFit="1" customWidth="1"/>
    <col min="8" max="8" width="12.5546875" style="1" bestFit="1" customWidth="1"/>
    <col min="9" max="9" width="5.88671875" style="1" bestFit="1" customWidth="1"/>
    <col min="10" max="10" width="12" style="1" bestFit="1" customWidth="1"/>
    <col min="11" max="12" width="5.88671875" style="1" bestFit="1" customWidth="1"/>
    <col min="13" max="13" width="6.6640625" style="1" bestFit="1" customWidth="1"/>
    <col min="14" max="14" width="13.33203125" style="1" bestFit="1" customWidth="1"/>
    <col min="15" max="15" width="5.88671875" style="1" bestFit="1" customWidth="1"/>
    <col min="16" max="17" width="9.21875" style="1" bestFit="1" customWidth="1"/>
    <col min="18" max="18" width="7.5546875" style="1" bestFit="1" customWidth="1"/>
    <col min="19" max="19" width="8.88671875" style="1" bestFit="1" customWidth="1"/>
    <col min="20" max="20" width="11.33203125" style="1" bestFit="1" customWidth="1"/>
    <col min="21" max="22" width="10.88671875" style="1" bestFit="1" customWidth="1"/>
    <col min="23" max="24" width="9.21875" style="1" bestFit="1" customWidth="1"/>
    <col min="25" max="25" width="10.33203125" style="1" bestFit="1" customWidth="1"/>
    <col min="26" max="26" width="10.88671875" style="1" bestFit="1" customWidth="1"/>
    <col min="27" max="27" width="10.33203125" style="1" bestFit="1" customWidth="1"/>
    <col min="28" max="28" width="7.5546875" style="1" bestFit="1" customWidth="1"/>
    <col min="29" max="29" width="7" style="1" bestFit="1" customWidth="1"/>
    <col min="30" max="30" width="7.5546875" style="1" bestFit="1" customWidth="1"/>
    <col min="31" max="31" width="8.109375" style="1" bestFit="1" customWidth="1"/>
    <col min="32" max="32" width="10.88671875" style="1" bestFit="1" customWidth="1"/>
    <col min="33" max="33" width="14.21875" style="1" bestFit="1" customWidth="1"/>
    <col min="34" max="34" width="9.21875" style="1" bestFit="1" customWidth="1"/>
    <col min="35" max="35" width="29.88671875" style="1" bestFit="1" customWidth="1"/>
    <col min="36" max="36" width="36.6640625" style="1" bestFit="1" customWidth="1"/>
    <col min="37" max="37" width="14.21875" style="1" bestFit="1" customWidth="1"/>
    <col min="38" max="38" width="7.6640625" style="1" bestFit="1" customWidth="1"/>
    <col min="39" max="39" width="9.88671875" style="1" bestFit="1" customWidth="1"/>
    <col min="40" max="40" width="11.109375" style="1" bestFit="1" customWidth="1"/>
    <col min="41" max="41" width="5.88671875" style="1" bestFit="1" customWidth="1"/>
    <col min="42" max="42" width="9.21875" style="1" bestFit="1" customWidth="1"/>
    <col min="43" max="43" width="10" style="1" bestFit="1" customWidth="1"/>
    <col min="44" max="44" width="12.44140625" style="1" bestFit="1" customWidth="1"/>
    <col min="45" max="45" width="6.5546875" style="1" bestFit="1" customWidth="1"/>
    <col min="46" max="46" width="80.88671875" style="1" bestFit="1" customWidth="1"/>
    <col min="47" max="47" width="9.21875" style="1" bestFit="1" customWidth="1"/>
    <col min="48" max="48" width="12" style="1" bestFit="1" customWidth="1"/>
    <col min="49" max="49" width="9.33203125" style="1" bestFit="1" customWidth="1"/>
    <col min="50" max="50" width="11.5546875" style="1" bestFit="1" customWidth="1"/>
    <col min="51" max="51" width="20.109375" style="1" bestFit="1" customWidth="1"/>
    <col min="52" max="52" width="20.109375" style="1" customWidth="1"/>
    <col min="53" max="53" width="11.5546875" style="1" bestFit="1" customWidth="1"/>
    <col min="54" max="55" width="17.33203125" style="1" bestFit="1" customWidth="1"/>
    <col min="56" max="56" width="9.21875" style="1" bestFit="1" customWidth="1"/>
    <col min="57" max="57" width="15.21875" style="1" bestFit="1" customWidth="1"/>
    <col min="58" max="58" width="13.44140625" style="1" bestFit="1" customWidth="1"/>
    <col min="59" max="59" width="11.109375" style="1" bestFit="1" customWidth="1"/>
    <col min="60" max="61" width="10.88671875" style="1" bestFit="1" customWidth="1"/>
    <col min="62" max="62" width="9.21875" style="1" bestFit="1" customWidth="1"/>
    <col min="63" max="63" width="8.77734375" style="1" bestFit="1" customWidth="1"/>
    <col min="64" max="64" width="9.21875" style="1" bestFit="1" customWidth="1"/>
    <col min="65" max="65" width="14.6640625" style="1" bestFit="1" customWidth="1"/>
    <col min="66" max="66" width="9.21875" style="1" bestFit="1" customWidth="1"/>
    <col min="67" max="67" width="8.5546875" style="1" bestFit="1" customWidth="1"/>
    <col min="68" max="68" width="9.33203125" style="1" bestFit="1" customWidth="1"/>
    <col min="69" max="69" width="9.21875" style="1" bestFit="1" customWidth="1"/>
    <col min="70" max="70" width="10.109375" style="1" bestFit="1" customWidth="1"/>
    <col min="71" max="71" width="10.33203125" style="1" bestFit="1" customWidth="1"/>
    <col min="72" max="72" width="15.109375" style="1" bestFit="1" customWidth="1"/>
    <col min="73" max="73" width="10.33203125" style="1" bestFit="1" customWidth="1"/>
    <col min="74" max="74" width="5.88671875" style="1" bestFit="1" customWidth="1"/>
    <col min="75" max="75" width="9.21875" style="1" bestFit="1" customWidth="1"/>
    <col min="76" max="76" width="10.33203125" style="1" bestFit="1" customWidth="1"/>
    <col min="77" max="77" width="14.44140625" style="1" bestFit="1" customWidth="1"/>
    <col min="78" max="78" width="16.109375" style="1" bestFit="1" customWidth="1"/>
    <col min="79" max="79" width="20.6640625" style="1" bestFit="1" customWidth="1"/>
    <col min="80" max="80" width="18.88671875" style="1" bestFit="1" customWidth="1"/>
    <col min="81" max="81" width="27.109375" style="1" bestFit="1" customWidth="1"/>
    <col min="82" max="16384" width="8.88671875" style="1"/>
  </cols>
  <sheetData>
    <row r="1" spans="1:64" ht="39.75" customHeight="1" x14ac:dyDescent="0.25"/>
    <row r="2" spans="1:64" ht="39.75" customHeight="1" x14ac:dyDescent="0.25"/>
    <row r="3" spans="1:64" ht="39.75" customHeight="1" x14ac:dyDescent="0.25"/>
    <row r="4" spans="1:64" x14ac:dyDescent="0.25">
      <c r="A4" t="s">
        <v>88</v>
      </c>
      <c r="B4" t="s">
        <v>464</v>
      </c>
      <c r="C4" t="s">
        <v>96</v>
      </c>
      <c r="D4" t="s">
        <v>49</v>
      </c>
      <c r="E4" t="s">
        <v>50</v>
      </c>
      <c r="F4" t="s">
        <v>144</v>
      </c>
      <c r="G4" t="s">
        <v>187</v>
      </c>
      <c r="H4" t="s">
        <v>52</v>
      </c>
      <c r="I4" t="s">
        <v>65</v>
      </c>
      <c r="J4" t="s">
        <v>58</v>
      </c>
      <c r="K4" t="s">
        <v>89</v>
      </c>
      <c r="L4" t="s">
        <v>122</v>
      </c>
      <c r="M4" t="s">
        <v>90</v>
      </c>
      <c r="N4" t="s">
        <v>54</v>
      </c>
      <c r="O4" t="s">
        <v>161</v>
      </c>
      <c r="P4" t="s">
        <v>176</v>
      </c>
      <c r="Q4" t="s">
        <v>178</v>
      </c>
      <c r="R4" t="s">
        <v>60</v>
      </c>
      <c r="S4" t="s">
        <v>92</v>
      </c>
      <c r="T4" t="s">
        <v>93</v>
      </c>
      <c r="U4" t="s">
        <v>196</v>
      </c>
      <c r="V4" t="s">
        <v>197</v>
      </c>
      <c r="W4" t="s">
        <v>150</v>
      </c>
      <c r="X4" t="s">
        <v>82</v>
      </c>
      <c r="Y4" t="s">
        <v>68</v>
      </c>
      <c r="Z4" t="s">
        <v>71</v>
      </c>
      <c r="AA4" t="s">
        <v>53</v>
      </c>
      <c r="AB4" t="s">
        <v>183</v>
      </c>
      <c r="AC4" t="s">
        <v>184</v>
      </c>
      <c r="AD4" t="s">
        <v>223</v>
      </c>
      <c r="AE4" t="s">
        <v>67</v>
      </c>
      <c r="AF4" t="s">
        <v>248</v>
      </c>
      <c r="AG4" t="s">
        <v>282</v>
      </c>
      <c r="AH4" t="s">
        <v>220</v>
      </c>
      <c r="AI4" t="s">
        <v>72</v>
      </c>
      <c r="AJ4" t="s">
        <v>73</v>
      </c>
      <c r="AK4" t="s">
        <v>83</v>
      </c>
      <c r="AL4" t="s">
        <v>42</v>
      </c>
      <c r="AM4" t="s">
        <v>148</v>
      </c>
      <c r="AN4" t="s">
        <v>162</v>
      </c>
      <c r="AO4" t="s">
        <v>229</v>
      </c>
      <c r="AP4" t="s">
        <v>222</v>
      </c>
      <c r="AQ4" t="s">
        <v>230</v>
      </c>
      <c r="AR4" t="s">
        <v>231</v>
      </c>
      <c r="AS4" t="s">
        <v>326</v>
      </c>
      <c r="AT4" t="s">
        <v>237</v>
      </c>
      <c r="AU4" t="s">
        <v>210</v>
      </c>
      <c r="AV4" t="s">
        <v>450</v>
      </c>
      <c r="AW4" t="s">
        <v>179</v>
      </c>
      <c r="AX4" t="s">
        <v>232</v>
      </c>
      <c r="AY4" t="s">
        <v>149</v>
      </c>
    </row>
    <row r="5" spans="1:64" x14ac:dyDescent="0.25">
      <c r="A5" s="149">
        <v>11</v>
      </c>
      <c r="B5" t="s">
        <v>94</v>
      </c>
      <c r="C5" t="s">
        <v>835</v>
      </c>
      <c r="D5" s="149" t="s">
        <v>834</v>
      </c>
      <c r="E5" s="49">
        <v>45191</v>
      </c>
      <c r="F5" t="s">
        <v>85</v>
      </c>
      <c r="G5" t="s">
        <v>85</v>
      </c>
      <c r="H5" t="s">
        <v>680</v>
      </c>
      <c r="I5" t="s">
        <v>87</v>
      </c>
      <c r="J5" s="149">
        <v>1</v>
      </c>
      <c r="K5" t="s">
        <v>160</v>
      </c>
      <c r="L5" t="s">
        <v>858</v>
      </c>
      <c r="M5" t="s">
        <v>7</v>
      </c>
      <c r="N5" t="s">
        <v>858</v>
      </c>
      <c r="O5" t="s">
        <v>7</v>
      </c>
      <c r="P5" s="149" t="s">
        <v>7</v>
      </c>
      <c r="Q5" t="s">
        <v>117</v>
      </c>
      <c r="R5" s="149">
        <v>100</v>
      </c>
      <c r="S5" t="s">
        <v>114</v>
      </c>
      <c r="T5" t="s">
        <v>270</v>
      </c>
      <c r="U5" t="s">
        <v>7</v>
      </c>
      <c r="V5" t="s">
        <v>7</v>
      </c>
      <c r="W5" t="s">
        <v>94</v>
      </c>
      <c r="X5" t="s">
        <v>140</v>
      </c>
      <c r="Y5" s="49">
        <v>45215</v>
      </c>
      <c r="Z5" s="49">
        <v>45398</v>
      </c>
      <c r="AA5" s="49">
        <v>46311</v>
      </c>
      <c r="AB5" s="149">
        <v>1</v>
      </c>
      <c r="AC5" s="149">
        <v>7.3010000000000002</v>
      </c>
      <c r="AD5" s="149">
        <v>7.8209999999999997</v>
      </c>
      <c r="AE5" t="s">
        <v>857</v>
      </c>
      <c r="AF5" t="s">
        <v>268</v>
      </c>
      <c r="AG5" t="s">
        <v>94</v>
      </c>
      <c r="AH5" t="s">
        <v>94</v>
      </c>
      <c r="AI5" t="s">
        <v>835</v>
      </c>
      <c r="AJ5" t="s">
        <v>7</v>
      </c>
      <c r="AK5" t="s">
        <v>94</v>
      </c>
      <c r="AL5" t="s">
        <v>387</v>
      </c>
      <c r="AM5" t="s">
        <v>7</v>
      </c>
      <c r="AN5" t="s">
        <v>7</v>
      </c>
      <c r="AO5"/>
      <c r="AP5" t="s">
        <v>94</v>
      </c>
      <c r="AQ5"/>
      <c r="AR5"/>
      <c r="AS5" t="s">
        <v>94</v>
      </c>
      <c r="AT5" t="s">
        <v>856</v>
      </c>
      <c r="AU5" t="s">
        <v>351</v>
      </c>
      <c r="AV5" t="s">
        <v>260</v>
      </c>
      <c r="AW5"/>
      <c r="AX5"/>
      <c r="AY5" s="149" t="s">
        <v>836</v>
      </c>
      <c r="BL5" s="20"/>
    </row>
    <row r="6" spans="1:64" x14ac:dyDescent="0.25">
      <c r="A6" s="149">
        <v>10</v>
      </c>
      <c r="B6" t="s">
        <v>94</v>
      </c>
      <c r="C6" t="s">
        <v>582</v>
      </c>
      <c r="D6" s="149" t="s">
        <v>581</v>
      </c>
      <c r="E6" s="49">
        <v>45190</v>
      </c>
      <c r="F6" t="s">
        <v>85</v>
      </c>
      <c r="G6" t="s">
        <v>85</v>
      </c>
      <c r="H6" t="s">
        <v>680</v>
      </c>
      <c r="I6" t="s">
        <v>108</v>
      </c>
      <c r="J6" s="149">
        <v>10.65</v>
      </c>
      <c r="K6" t="s">
        <v>160</v>
      </c>
      <c r="L6" t="s">
        <v>674</v>
      </c>
      <c r="M6" t="s">
        <v>7</v>
      </c>
      <c r="N6" t="s">
        <v>674</v>
      </c>
      <c r="O6" t="s">
        <v>7</v>
      </c>
      <c r="P6" s="149" t="s">
        <v>7</v>
      </c>
      <c r="Q6" t="s">
        <v>117</v>
      </c>
      <c r="R6" s="149">
        <v>100</v>
      </c>
      <c r="S6" t="s">
        <v>114</v>
      </c>
      <c r="T6" t="s">
        <v>806</v>
      </c>
      <c r="U6" t="s">
        <v>7</v>
      </c>
      <c r="V6" t="s">
        <v>7</v>
      </c>
      <c r="W6" t="s">
        <v>94</v>
      </c>
      <c r="X6" t="s">
        <v>140</v>
      </c>
      <c r="Y6" s="49">
        <v>45197</v>
      </c>
      <c r="Z6" s="49">
        <v>45379</v>
      </c>
      <c r="AA6" s="49">
        <v>46293</v>
      </c>
      <c r="AB6" s="149">
        <v>1.4590000000000001</v>
      </c>
      <c r="AC6" s="149">
        <v>10.65</v>
      </c>
      <c r="AD6" s="149">
        <v>11.396000000000001</v>
      </c>
      <c r="AE6" t="s">
        <v>682</v>
      </c>
      <c r="AF6" t="s">
        <v>268</v>
      </c>
      <c r="AG6" t="s">
        <v>94</v>
      </c>
      <c r="AH6" t="s">
        <v>94</v>
      </c>
      <c r="AI6" t="s">
        <v>582</v>
      </c>
      <c r="AJ6" t="s">
        <v>7</v>
      </c>
      <c r="AK6" t="s">
        <v>94</v>
      </c>
      <c r="AL6" t="s">
        <v>378</v>
      </c>
      <c r="AM6" t="s">
        <v>7</v>
      </c>
      <c r="AN6" t="s">
        <v>7</v>
      </c>
      <c r="AO6"/>
      <c r="AP6" t="s">
        <v>94</v>
      </c>
      <c r="AQ6"/>
      <c r="AR6"/>
      <c r="AS6" t="s">
        <v>94</v>
      </c>
      <c r="AT6" t="s">
        <v>681</v>
      </c>
      <c r="AU6" t="s">
        <v>351</v>
      </c>
      <c r="AV6" t="s">
        <v>260</v>
      </c>
      <c r="AW6"/>
      <c r="AX6"/>
      <c r="AY6" s="149" t="s">
        <v>585</v>
      </c>
      <c r="BL6" s="20"/>
    </row>
    <row r="7" spans="1:64" x14ac:dyDescent="0.25">
      <c r="A7" s="149">
        <v>9</v>
      </c>
      <c r="B7" t="s">
        <v>94</v>
      </c>
      <c r="C7" t="s">
        <v>596</v>
      </c>
      <c r="D7" s="149" t="s">
        <v>595</v>
      </c>
      <c r="E7" s="49">
        <v>45189</v>
      </c>
      <c r="F7" t="s">
        <v>989</v>
      </c>
      <c r="G7" t="s">
        <v>597</v>
      </c>
      <c r="H7" t="s">
        <v>528</v>
      </c>
      <c r="I7" t="s">
        <v>108</v>
      </c>
      <c r="J7" s="149">
        <v>18.600000000000001</v>
      </c>
      <c r="K7" t="s">
        <v>160</v>
      </c>
      <c r="L7" t="s">
        <v>820</v>
      </c>
      <c r="M7" t="s">
        <v>818</v>
      </c>
      <c r="N7" t="s">
        <v>819</v>
      </c>
      <c r="O7" t="s">
        <v>7</v>
      </c>
      <c r="P7" s="149">
        <v>10</v>
      </c>
      <c r="Q7" t="s">
        <v>117</v>
      </c>
      <c r="R7" s="149">
        <v>99.72</v>
      </c>
      <c r="S7" t="s">
        <v>114</v>
      </c>
      <c r="T7" t="s">
        <v>284</v>
      </c>
      <c r="U7" t="s">
        <v>7</v>
      </c>
      <c r="V7" t="s">
        <v>7</v>
      </c>
      <c r="W7" t="s">
        <v>94</v>
      </c>
      <c r="X7" t="s">
        <v>140</v>
      </c>
      <c r="Y7" s="49">
        <v>45196</v>
      </c>
      <c r="Z7" s="49">
        <v>45378</v>
      </c>
      <c r="AA7" s="49">
        <v>46292</v>
      </c>
      <c r="AB7" s="149">
        <v>2.548</v>
      </c>
      <c r="AC7" s="149">
        <v>18.600000000000001</v>
      </c>
      <c r="AD7" s="149">
        <v>19.957999999999998</v>
      </c>
      <c r="AE7" t="s">
        <v>755</v>
      </c>
      <c r="AF7" t="s">
        <v>268</v>
      </c>
      <c r="AG7" t="s">
        <v>94</v>
      </c>
      <c r="AH7" t="s">
        <v>94</v>
      </c>
      <c r="AI7" t="s">
        <v>596</v>
      </c>
      <c r="AJ7" t="s">
        <v>7</v>
      </c>
      <c r="AK7" t="s">
        <v>94</v>
      </c>
      <c r="AL7" t="s">
        <v>360</v>
      </c>
      <c r="AM7" t="s">
        <v>811</v>
      </c>
      <c r="AN7" t="s">
        <v>7</v>
      </c>
      <c r="AO7"/>
      <c r="AP7" t="s">
        <v>94</v>
      </c>
      <c r="AQ7"/>
      <c r="AR7"/>
      <c r="AS7" t="s">
        <v>94</v>
      </c>
      <c r="AT7" t="s">
        <v>94</v>
      </c>
      <c r="AU7" t="s">
        <v>351</v>
      </c>
      <c r="AV7" t="s">
        <v>260</v>
      </c>
      <c r="AW7"/>
      <c r="AX7"/>
      <c r="AY7" s="149" t="s">
        <v>601</v>
      </c>
      <c r="BL7" s="20"/>
    </row>
    <row r="8" spans="1:64" x14ac:dyDescent="0.25">
      <c r="A8" s="149">
        <v>8</v>
      </c>
      <c r="B8" t="s">
        <v>94</v>
      </c>
      <c r="C8" t="s">
        <v>613</v>
      </c>
      <c r="D8" s="149" t="s">
        <v>612</v>
      </c>
      <c r="E8" s="49">
        <v>45189</v>
      </c>
      <c r="F8" t="s">
        <v>85</v>
      </c>
      <c r="G8" t="s">
        <v>614</v>
      </c>
      <c r="H8" t="s">
        <v>528</v>
      </c>
      <c r="I8" t="s">
        <v>108</v>
      </c>
      <c r="J8" s="149">
        <v>21.3</v>
      </c>
      <c r="K8" t="s">
        <v>160</v>
      </c>
      <c r="L8" t="s">
        <v>552</v>
      </c>
      <c r="M8" t="s">
        <v>808</v>
      </c>
      <c r="N8" t="s">
        <v>552</v>
      </c>
      <c r="O8" t="s">
        <v>7</v>
      </c>
      <c r="P8" s="149">
        <v>50</v>
      </c>
      <c r="Q8" t="s">
        <v>117</v>
      </c>
      <c r="R8" s="149">
        <v>100</v>
      </c>
      <c r="S8" t="s">
        <v>37</v>
      </c>
      <c r="T8" t="s">
        <v>270</v>
      </c>
      <c r="U8" t="s">
        <v>158</v>
      </c>
      <c r="V8" t="s">
        <v>7</v>
      </c>
      <c r="W8" t="s">
        <v>94</v>
      </c>
      <c r="X8" t="s">
        <v>140</v>
      </c>
      <c r="Y8" s="49">
        <v>45196</v>
      </c>
      <c r="Z8" s="49">
        <v>45378</v>
      </c>
      <c r="AA8" s="49">
        <v>46292</v>
      </c>
      <c r="AB8" s="149">
        <v>2.9180000000000001</v>
      </c>
      <c r="AC8" s="149">
        <v>21.3</v>
      </c>
      <c r="AD8" s="149">
        <v>22.855</v>
      </c>
      <c r="AE8" t="s">
        <v>741</v>
      </c>
      <c r="AF8" t="s">
        <v>268</v>
      </c>
      <c r="AG8" t="s">
        <v>94</v>
      </c>
      <c r="AH8" t="s">
        <v>94</v>
      </c>
      <c r="AI8" t="s">
        <v>613</v>
      </c>
      <c r="AJ8" t="s">
        <v>7</v>
      </c>
      <c r="AK8" t="s">
        <v>94</v>
      </c>
      <c r="AL8" t="s">
        <v>7</v>
      </c>
      <c r="AM8" t="s">
        <v>807</v>
      </c>
      <c r="AN8" t="s">
        <v>7</v>
      </c>
      <c r="AO8"/>
      <c r="AP8" t="s">
        <v>94</v>
      </c>
      <c r="AQ8"/>
      <c r="AR8"/>
      <c r="AS8" t="s">
        <v>94</v>
      </c>
      <c r="AT8" t="s">
        <v>94</v>
      </c>
      <c r="AU8" t="s">
        <v>351</v>
      </c>
      <c r="AV8" t="s">
        <v>260</v>
      </c>
      <c r="AW8"/>
      <c r="AX8"/>
      <c r="AY8" s="149" t="s">
        <v>617</v>
      </c>
      <c r="BL8" s="20"/>
    </row>
    <row r="9" spans="1:64" x14ac:dyDescent="0.25">
      <c r="A9" s="149">
        <v>7</v>
      </c>
      <c r="B9" t="s">
        <v>94</v>
      </c>
      <c r="C9" t="s">
        <v>561</v>
      </c>
      <c r="D9" s="149" t="s">
        <v>560</v>
      </c>
      <c r="E9" s="49">
        <v>45189</v>
      </c>
      <c r="F9" t="s">
        <v>85</v>
      </c>
      <c r="G9" t="s">
        <v>85</v>
      </c>
      <c r="H9" t="s">
        <v>7</v>
      </c>
      <c r="I9" t="s">
        <v>108</v>
      </c>
      <c r="J9" s="149">
        <v>7.3</v>
      </c>
      <c r="K9" t="s">
        <v>160</v>
      </c>
      <c r="L9" t="s">
        <v>729</v>
      </c>
      <c r="M9" t="s">
        <v>812</v>
      </c>
      <c r="N9" t="s">
        <v>813</v>
      </c>
      <c r="O9" t="s">
        <v>7</v>
      </c>
      <c r="P9" s="149">
        <v>6</v>
      </c>
      <c r="Q9" t="s">
        <v>117</v>
      </c>
      <c r="R9" s="149">
        <v>100</v>
      </c>
      <c r="S9" t="s">
        <v>115</v>
      </c>
      <c r="T9" t="s">
        <v>270</v>
      </c>
      <c r="U9" t="s">
        <v>7</v>
      </c>
      <c r="V9" t="s">
        <v>7</v>
      </c>
      <c r="W9" t="s">
        <v>94</v>
      </c>
      <c r="X9" t="s">
        <v>140</v>
      </c>
      <c r="Y9" s="49">
        <v>45196</v>
      </c>
      <c r="Z9" s="49">
        <v>45378</v>
      </c>
      <c r="AA9" s="49">
        <v>46292</v>
      </c>
      <c r="AB9" s="149">
        <v>1</v>
      </c>
      <c r="AC9" s="149">
        <v>7.3</v>
      </c>
      <c r="AD9" s="149">
        <v>7.8330000000000002</v>
      </c>
      <c r="AE9" t="s">
        <v>727</v>
      </c>
      <c r="AF9" t="s">
        <v>507</v>
      </c>
      <c r="AG9" t="s">
        <v>94</v>
      </c>
      <c r="AH9" t="s">
        <v>94</v>
      </c>
      <c r="AI9" t="s">
        <v>728</v>
      </c>
      <c r="AJ9" t="s">
        <v>561</v>
      </c>
      <c r="AK9" t="s">
        <v>94</v>
      </c>
      <c r="AL9" t="s">
        <v>360</v>
      </c>
      <c r="AM9" t="s">
        <v>811</v>
      </c>
      <c r="AN9" t="s">
        <v>7</v>
      </c>
      <c r="AO9"/>
      <c r="AP9" t="s">
        <v>94</v>
      </c>
      <c r="AQ9"/>
      <c r="AR9"/>
      <c r="AS9" t="s">
        <v>94</v>
      </c>
      <c r="AT9" t="s">
        <v>726</v>
      </c>
      <c r="AU9" t="s">
        <v>351</v>
      </c>
      <c r="AV9" t="s">
        <v>260</v>
      </c>
      <c r="AW9"/>
      <c r="AX9"/>
      <c r="AY9" s="149" t="s">
        <v>611</v>
      </c>
      <c r="BL9" s="20"/>
    </row>
    <row r="10" spans="1:64" x14ac:dyDescent="0.25">
      <c r="A10" s="149">
        <v>6</v>
      </c>
      <c r="B10" t="s">
        <v>94</v>
      </c>
      <c r="C10" t="s">
        <v>564</v>
      </c>
      <c r="D10" s="149" t="s">
        <v>563</v>
      </c>
      <c r="E10" s="49">
        <v>45189</v>
      </c>
      <c r="F10" t="s">
        <v>85</v>
      </c>
      <c r="G10" t="s">
        <v>85</v>
      </c>
      <c r="H10" t="s">
        <v>445</v>
      </c>
      <c r="I10" t="s">
        <v>87</v>
      </c>
      <c r="J10" s="149">
        <v>3.9</v>
      </c>
      <c r="K10" t="s">
        <v>160</v>
      </c>
      <c r="L10" t="s">
        <v>817</v>
      </c>
      <c r="M10" t="s">
        <v>816</v>
      </c>
      <c r="N10" t="s">
        <v>817</v>
      </c>
      <c r="O10" t="s">
        <v>7</v>
      </c>
      <c r="P10" s="149">
        <v>30</v>
      </c>
      <c r="Q10" t="s">
        <v>117</v>
      </c>
      <c r="R10" s="149">
        <v>100</v>
      </c>
      <c r="S10" t="s">
        <v>40</v>
      </c>
      <c r="T10" t="s">
        <v>284</v>
      </c>
      <c r="U10" t="s">
        <v>7</v>
      </c>
      <c r="V10" t="s">
        <v>7</v>
      </c>
      <c r="W10" t="s">
        <v>94</v>
      </c>
      <c r="X10" t="s">
        <v>140</v>
      </c>
      <c r="Y10" s="49">
        <v>45196</v>
      </c>
      <c r="Z10" s="49">
        <v>45378</v>
      </c>
      <c r="AA10" s="49">
        <v>46292</v>
      </c>
      <c r="AB10" s="149">
        <v>3.9</v>
      </c>
      <c r="AC10" s="149">
        <v>28.446999999999999</v>
      </c>
      <c r="AD10" s="149">
        <v>30.506</v>
      </c>
      <c r="AE10" t="s">
        <v>715</v>
      </c>
      <c r="AF10" t="s">
        <v>507</v>
      </c>
      <c r="AG10" t="s">
        <v>94</v>
      </c>
      <c r="AH10" t="s">
        <v>94</v>
      </c>
      <c r="AI10" t="s">
        <v>716</v>
      </c>
      <c r="AJ10" t="s">
        <v>564</v>
      </c>
      <c r="AK10" t="s">
        <v>94</v>
      </c>
      <c r="AL10" t="s">
        <v>7</v>
      </c>
      <c r="AM10" t="s">
        <v>7</v>
      </c>
      <c r="AN10" t="s">
        <v>7</v>
      </c>
      <c r="AO10"/>
      <c r="AP10" t="s">
        <v>94</v>
      </c>
      <c r="AQ10"/>
      <c r="AR10"/>
      <c r="AS10" t="s">
        <v>94</v>
      </c>
      <c r="AT10" t="s">
        <v>714</v>
      </c>
      <c r="AU10" t="s">
        <v>351</v>
      </c>
      <c r="AV10" t="s">
        <v>260</v>
      </c>
      <c r="AW10"/>
      <c r="AX10"/>
      <c r="AY10" s="149" t="s">
        <v>607</v>
      </c>
      <c r="BL10" s="20"/>
    </row>
    <row r="11" spans="1:64" x14ac:dyDescent="0.25">
      <c r="A11" s="149">
        <v>5</v>
      </c>
      <c r="B11" t="s">
        <v>94</v>
      </c>
      <c r="C11" t="s">
        <v>619</v>
      </c>
      <c r="D11" s="149" t="s">
        <v>624</v>
      </c>
      <c r="E11" s="49">
        <v>45189</v>
      </c>
      <c r="F11" t="s">
        <v>85</v>
      </c>
      <c r="G11" t="s">
        <v>620</v>
      </c>
      <c r="H11" t="s">
        <v>7</v>
      </c>
      <c r="I11" t="s">
        <v>108</v>
      </c>
      <c r="J11" s="149">
        <v>10</v>
      </c>
      <c r="K11" t="s">
        <v>550</v>
      </c>
      <c r="L11" t="s">
        <v>698</v>
      </c>
      <c r="M11" t="s">
        <v>809</v>
      </c>
      <c r="N11" t="s">
        <v>698</v>
      </c>
      <c r="O11" t="s">
        <v>7</v>
      </c>
      <c r="P11" s="149">
        <v>32</v>
      </c>
      <c r="Q11" t="s">
        <v>117</v>
      </c>
      <c r="R11" s="149">
        <v>100</v>
      </c>
      <c r="S11" t="s">
        <v>37</v>
      </c>
      <c r="T11" t="s">
        <v>270</v>
      </c>
      <c r="U11" t="s">
        <v>7</v>
      </c>
      <c r="V11" t="s">
        <v>159</v>
      </c>
      <c r="W11" t="s">
        <v>94</v>
      </c>
      <c r="X11" t="s">
        <v>140</v>
      </c>
      <c r="Y11" s="49">
        <v>45196</v>
      </c>
      <c r="Z11" s="49">
        <v>45378</v>
      </c>
      <c r="AA11" s="49">
        <v>47023</v>
      </c>
      <c r="AB11" s="149">
        <v>1.37</v>
      </c>
      <c r="AC11" s="149">
        <v>10</v>
      </c>
      <c r="AD11" s="149">
        <v>10.73</v>
      </c>
      <c r="AE11" t="s">
        <v>692</v>
      </c>
      <c r="AF11" t="s">
        <v>268</v>
      </c>
      <c r="AG11" t="s">
        <v>94</v>
      </c>
      <c r="AH11" t="s">
        <v>94</v>
      </c>
      <c r="AI11" t="s">
        <v>619</v>
      </c>
      <c r="AJ11" t="s">
        <v>7</v>
      </c>
      <c r="AK11" t="s">
        <v>94</v>
      </c>
      <c r="AL11" t="s">
        <v>7</v>
      </c>
      <c r="AM11" t="s">
        <v>7</v>
      </c>
      <c r="AN11" t="s">
        <v>810</v>
      </c>
      <c r="AO11"/>
      <c r="AP11" t="s">
        <v>94</v>
      </c>
      <c r="AQ11"/>
      <c r="AR11"/>
      <c r="AS11" t="s">
        <v>94</v>
      </c>
      <c r="AT11" t="s">
        <v>699</v>
      </c>
      <c r="AU11" t="s">
        <v>351</v>
      </c>
      <c r="AV11" t="s">
        <v>260</v>
      </c>
      <c r="AW11"/>
      <c r="AX11"/>
      <c r="AY11" s="149" t="s">
        <v>626</v>
      </c>
      <c r="BL11" s="20"/>
    </row>
    <row r="12" spans="1:64" x14ac:dyDescent="0.25">
      <c r="A12" s="149">
        <v>4</v>
      </c>
      <c r="B12" t="s">
        <v>94</v>
      </c>
      <c r="C12" t="s">
        <v>619</v>
      </c>
      <c r="D12" s="149" t="s">
        <v>618</v>
      </c>
      <c r="E12" s="49">
        <v>45189</v>
      </c>
      <c r="F12" t="s">
        <v>85</v>
      </c>
      <c r="G12" t="s">
        <v>620</v>
      </c>
      <c r="H12" t="s">
        <v>7</v>
      </c>
      <c r="I12" t="s">
        <v>108</v>
      </c>
      <c r="J12" s="149">
        <v>40</v>
      </c>
      <c r="K12" t="s">
        <v>549</v>
      </c>
      <c r="L12" t="s">
        <v>815</v>
      </c>
      <c r="M12" t="s">
        <v>814</v>
      </c>
      <c r="N12" t="s">
        <v>815</v>
      </c>
      <c r="O12" t="s">
        <v>7</v>
      </c>
      <c r="P12" s="149">
        <v>35</v>
      </c>
      <c r="Q12" t="s">
        <v>117</v>
      </c>
      <c r="R12" s="149">
        <v>100</v>
      </c>
      <c r="S12" t="s">
        <v>37</v>
      </c>
      <c r="T12" t="s">
        <v>270</v>
      </c>
      <c r="U12" t="s">
        <v>7</v>
      </c>
      <c r="V12" t="s">
        <v>159</v>
      </c>
      <c r="W12" t="s">
        <v>94</v>
      </c>
      <c r="X12" t="s">
        <v>140</v>
      </c>
      <c r="Y12" s="49">
        <v>45196</v>
      </c>
      <c r="Z12" s="49">
        <v>45378</v>
      </c>
      <c r="AA12" s="49">
        <v>45927</v>
      </c>
      <c r="AB12" s="149">
        <v>5.48</v>
      </c>
      <c r="AC12" s="149">
        <v>40</v>
      </c>
      <c r="AD12" s="149">
        <v>42.92</v>
      </c>
      <c r="AE12" t="s">
        <v>692</v>
      </c>
      <c r="AF12" t="s">
        <v>268</v>
      </c>
      <c r="AG12" t="s">
        <v>94</v>
      </c>
      <c r="AH12" t="s">
        <v>94</v>
      </c>
      <c r="AI12" t="s">
        <v>619</v>
      </c>
      <c r="AJ12" t="s">
        <v>7</v>
      </c>
      <c r="AK12" t="s">
        <v>94</v>
      </c>
      <c r="AL12" t="s">
        <v>7</v>
      </c>
      <c r="AM12" t="s">
        <v>7</v>
      </c>
      <c r="AN12" t="s">
        <v>810</v>
      </c>
      <c r="AO12"/>
      <c r="AP12" t="s">
        <v>94</v>
      </c>
      <c r="AQ12"/>
      <c r="AR12"/>
      <c r="AS12" t="s">
        <v>94</v>
      </c>
      <c r="AT12" t="s">
        <v>691</v>
      </c>
      <c r="AU12" t="s">
        <v>351</v>
      </c>
      <c r="AV12" t="s">
        <v>260</v>
      </c>
      <c r="AW12"/>
      <c r="AX12"/>
      <c r="AY12" s="149" t="s">
        <v>623</v>
      </c>
      <c r="BL12" s="20"/>
    </row>
    <row r="13" spans="1:64" x14ac:dyDescent="0.25">
      <c r="A13" s="149">
        <v>3</v>
      </c>
      <c r="B13" t="s">
        <v>94</v>
      </c>
      <c r="C13" t="s">
        <v>660</v>
      </c>
      <c r="D13" s="149" t="s">
        <v>659</v>
      </c>
      <c r="E13" s="49">
        <v>45188</v>
      </c>
      <c r="F13" t="s">
        <v>85</v>
      </c>
      <c r="G13" t="s">
        <v>85</v>
      </c>
      <c r="H13" t="s">
        <v>445</v>
      </c>
      <c r="I13" t="s">
        <v>108</v>
      </c>
      <c r="J13" s="149">
        <v>8</v>
      </c>
      <c r="K13" t="s">
        <v>160</v>
      </c>
      <c r="L13" t="s">
        <v>478</v>
      </c>
      <c r="M13" t="s">
        <v>7</v>
      </c>
      <c r="N13" t="s">
        <v>478</v>
      </c>
      <c r="O13" t="s">
        <v>7</v>
      </c>
      <c r="P13" s="149" t="s">
        <v>7</v>
      </c>
      <c r="Q13" t="s">
        <v>117</v>
      </c>
      <c r="R13" s="149">
        <v>100</v>
      </c>
      <c r="S13" t="s">
        <v>37</v>
      </c>
      <c r="T13" t="s">
        <v>284</v>
      </c>
      <c r="U13" t="s">
        <v>7</v>
      </c>
      <c r="V13" t="s">
        <v>7</v>
      </c>
      <c r="W13" t="s">
        <v>94</v>
      </c>
      <c r="X13" t="s">
        <v>140</v>
      </c>
      <c r="Y13" s="49">
        <v>45195</v>
      </c>
      <c r="Z13" s="49">
        <v>45377</v>
      </c>
      <c r="AA13" s="49">
        <v>46291</v>
      </c>
      <c r="AB13" s="149">
        <v>1.0960000000000001</v>
      </c>
      <c r="AC13" s="149">
        <v>8</v>
      </c>
      <c r="AD13" s="149">
        <v>8.5679999999999996</v>
      </c>
      <c r="AE13" t="s">
        <v>786</v>
      </c>
      <c r="AF13" t="s">
        <v>268</v>
      </c>
      <c r="AG13" t="s">
        <v>94</v>
      </c>
      <c r="AH13" t="s">
        <v>94</v>
      </c>
      <c r="AI13" t="s">
        <v>660</v>
      </c>
      <c r="AJ13" t="s">
        <v>7</v>
      </c>
      <c r="AK13" t="s">
        <v>94</v>
      </c>
      <c r="AL13" t="s">
        <v>7</v>
      </c>
      <c r="AM13" t="s">
        <v>7</v>
      </c>
      <c r="AN13" t="s">
        <v>7</v>
      </c>
      <c r="AO13"/>
      <c r="AP13" t="s">
        <v>94</v>
      </c>
      <c r="AQ13"/>
      <c r="AR13"/>
      <c r="AS13" t="s">
        <v>94</v>
      </c>
      <c r="AT13" t="s">
        <v>785</v>
      </c>
      <c r="AU13" t="s">
        <v>351</v>
      </c>
      <c r="AV13" t="s">
        <v>260</v>
      </c>
      <c r="AW13"/>
      <c r="AX13"/>
      <c r="AY13" s="149" t="s">
        <v>664</v>
      </c>
      <c r="BL13" s="20"/>
    </row>
    <row r="14" spans="1:64" x14ac:dyDescent="0.25">
      <c r="A14" s="149">
        <v>2</v>
      </c>
      <c r="B14" t="s">
        <v>94</v>
      </c>
      <c r="C14" t="s">
        <v>655</v>
      </c>
      <c r="D14" s="149" t="s">
        <v>654</v>
      </c>
      <c r="E14" s="49">
        <v>45188</v>
      </c>
      <c r="F14" t="s">
        <v>85</v>
      </c>
      <c r="G14" t="s">
        <v>85</v>
      </c>
      <c r="H14" t="s">
        <v>445</v>
      </c>
      <c r="I14" t="s">
        <v>87</v>
      </c>
      <c r="J14" s="149">
        <v>0.6</v>
      </c>
      <c r="K14" t="s">
        <v>551</v>
      </c>
      <c r="L14" t="s">
        <v>482</v>
      </c>
      <c r="M14" t="s">
        <v>7</v>
      </c>
      <c r="N14" t="s">
        <v>482</v>
      </c>
      <c r="O14" t="s">
        <v>7</v>
      </c>
      <c r="P14" s="149" t="s">
        <v>7</v>
      </c>
      <c r="Q14" t="s">
        <v>117</v>
      </c>
      <c r="R14" s="149">
        <v>100</v>
      </c>
      <c r="S14" t="s">
        <v>40</v>
      </c>
      <c r="T14" t="s">
        <v>112</v>
      </c>
      <c r="U14" t="s">
        <v>7</v>
      </c>
      <c r="V14" t="s">
        <v>7</v>
      </c>
      <c r="W14" t="s">
        <v>94</v>
      </c>
      <c r="X14" t="s">
        <v>140</v>
      </c>
      <c r="Y14" s="49">
        <v>45191</v>
      </c>
      <c r="Z14" s="49">
        <v>45373</v>
      </c>
      <c r="AA14" s="49">
        <v>45555</v>
      </c>
      <c r="AB14" s="149">
        <v>0.6</v>
      </c>
      <c r="AC14" s="149">
        <v>4.3819999999999997</v>
      </c>
      <c r="AD14" s="149">
        <v>4.6909999999999998</v>
      </c>
      <c r="AE14" t="s">
        <v>776</v>
      </c>
      <c r="AF14" t="s">
        <v>507</v>
      </c>
      <c r="AG14" t="s">
        <v>94</v>
      </c>
      <c r="AH14" t="s">
        <v>94</v>
      </c>
      <c r="AI14" t="s">
        <v>777</v>
      </c>
      <c r="AJ14" t="s">
        <v>655</v>
      </c>
      <c r="AK14" t="s">
        <v>94</v>
      </c>
      <c r="AL14" t="s">
        <v>7</v>
      </c>
      <c r="AM14" t="s">
        <v>7</v>
      </c>
      <c r="AN14" t="s">
        <v>7</v>
      </c>
      <c r="AO14"/>
      <c r="AP14" t="s">
        <v>553</v>
      </c>
      <c r="AQ14"/>
      <c r="AR14"/>
      <c r="AS14" t="s">
        <v>94</v>
      </c>
      <c r="AT14" t="s">
        <v>775</v>
      </c>
      <c r="AU14" t="s">
        <v>351</v>
      </c>
      <c r="AV14" t="s">
        <v>260</v>
      </c>
      <c r="AW14"/>
      <c r="AX14"/>
      <c r="AY14" s="149" t="s">
        <v>658</v>
      </c>
      <c r="BL14" s="20"/>
    </row>
    <row r="15" spans="1:64" x14ac:dyDescent="0.25">
      <c r="A15" s="149">
        <v>1</v>
      </c>
      <c r="B15" t="s">
        <v>94</v>
      </c>
      <c r="C15" t="s">
        <v>666</v>
      </c>
      <c r="D15" s="149" t="s">
        <v>665</v>
      </c>
      <c r="E15" s="49">
        <v>45187</v>
      </c>
      <c r="F15" t="s">
        <v>85</v>
      </c>
      <c r="G15" t="s">
        <v>85</v>
      </c>
      <c r="H15" t="s">
        <v>445</v>
      </c>
      <c r="I15" t="s">
        <v>108</v>
      </c>
      <c r="J15" s="149">
        <v>3.85</v>
      </c>
      <c r="K15" t="s">
        <v>160</v>
      </c>
      <c r="L15" t="s">
        <v>478</v>
      </c>
      <c r="M15" t="s">
        <v>7</v>
      </c>
      <c r="N15" t="s">
        <v>478</v>
      </c>
      <c r="O15" t="s">
        <v>7</v>
      </c>
      <c r="P15" s="149" t="s">
        <v>7</v>
      </c>
      <c r="Q15" t="s">
        <v>117</v>
      </c>
      <c r="R15" s="149">
        <v>100</v>
      </c>
      <c r="S15" t="s">
        <v>40</v>
      </c>
      <c r="T15" t="s">
        <v>270</v>
      </c>
      <c r="U15" t="s">
        <v>7</v>
      </c>
      <c r="V15" t="s">
        <v>7</v>
      </c>
      <c r="W15" t="s">
        <v>94</v>
      </c>
      <c r="X15" t="s">
        <v>140</v>
      </c>
      <c r="Y15" s="49">
        <v>45189</v>
      </c>
      <c r="Z15" s="49">
        <v>45371</v>
      </c>
      <c r="AA15" s="49">
        <v>46285</v>
      </c>
      <c r="AB15" s="149">
        <v>0.52700000000000002</v>
      </c>
      <c r="AC15" s="149">
        <v>3.85</v>
      </c>
      <c r="AD15" s="149">
        <v>4.1269999999999998</v>
      </c>
      <c r="AE15" t="s">
        <v>796</v>
      </c>
      <c r="AF15" t="s">
        <v>507</v>
      </c>
      <c r="AG15" t="s">
        <v>94</v>
      </c>
      <c r="AH15" t="s">
        <v>94</v>
      </c>
      <c r="AI15" t="s">
        <v>797</v>
      </c>
      <c r="AJ15" t="s">
        <v>666</v>
      </c>
      <c r="AK15" t="s">
        <v>94</v>
      </c>
      <c r="AL15" t="s">
        <v>7</v>
      </c>
      <c r="AM15" t="s">
        <v>7</v>
      </c>
      <c r="AN15" t="s">
        <v>7</v>
      </c>
      <c r="AO15"/>
      <c r="AP15" t="s">
        <v>94</v>
      </c>
      <c r="AQ15"/>
      <c r="AR15"/>
      <c r="AS15" t="s">
        <v>94</v>
      </c>
      <c r="AT15" t="s">
        <v>795</v>
      </c>
      <c r="AU15" t="s">
        <v>351</v>
      </c>
      <c r="AV15" t="s">
        <v>260</v>
      </c>
      <c r="AW15"/>
      <c r="AX15"/>
      <c r="AY15" s="149" t="s">
        <v>670</v>
      </c>
    </row>
  </sheetData>
  <phoneticPr fontId="13" type="noConversion"/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U8"/>
  <sheetViews>
    <sheetView topLeftCell="C1" workbookViewId="0">
      <selection activeCell="Q21" sqref="Q21"/>
    </sheetView>
  </sheetViews>
  <sheetFormatPr defaultRowHeight="15" x14ac:dyDescent="0.25"/>
  <cols>
    <col min="1" max="1" width="7.109375" style="1" bestFit="1" customWidth="1"/>
    <col min="2" max="2" width="36.6640625" style="1" bestFit="1" customWidth="1"/>
    <col min="3" max="3" width="12.5546875" style="1" bestFit="1" customWidth="1"/>
    <col min="4" max="4" width="9.21875" style="1" bestFit="1" customWidth="1"/>
    <col min="5" max="5" width="7.6640625" style="1" bestFit="1" customWidth="1"/>
    <col min="6" max="7" width="9.21875" style="1" bestFit="1" customWidth="1"/>
    <col min="8" max="8" width="5.88671875" style="1" bestFit="1" customWidth="1"/>
    <col min="9" max="9" width="6" style="1" bestFit="1" customWidth="1"/>
    <col min="10" max="10" width="9.33203125" style="1" bestFit="1" customWidth="1"/>
    <col min="11" max="11" width="9.21875" style="1" bestFit="1" customWidth="1"/>
    <col min="12" max="12" width="4.21875" style="1" bestFit="1" customWidth="1"/>
    <col min="13" max="13" width="10.88671875" style="1" bestFit="1" customWidth="1"/>
    <col min="14" max="14" width="13.33203125" style="1" bestFit="1" customWidth="1"/>
    <col min="15" max="15" width="7.5546875" style="1" bestFit="1" customWidth="1"/>
    <col min="16" max="16" width="9.21875" style="1" bestFit="1" customWidth="1"/>
    <col min="17" max="17" width="5.88671875" style="1" bestFit="1" customWidth="1"/>
    <col min="18" max="18" width="9.21875" style="1" bestFit="1" customWidth="1"/>
    <col min="19" max="19" width="11" style="1" bestFit="1" customWidth="1"/>
    <col min="20" max="20" width="9.33203125" style="1" bestFit="1" customWidth="1"/>
    <col min="21" max="21" width="11.5546875" style="1" bestFit="1" customWidth="1"/>
    <col min="22" max="22" width="5.88671875" style="1" bestFit="1" customWidth="1"/>
    <col min="23" max="23" width="9.21875" style="1" customWidth="1"/>
    <col min="24" max="24" width="5.88671875" style="1" bestFit="1" customWidth="1"/>
    <col min="25" max="26" width="9.21875" style="1" customWidth="1"/>
    <col min="27" max="29" width="5.88671875" style="1" bestFit="1" customWidth="1"/>
    <col min="30" max="30" width="9.21875" style="1" customWidth="1"/>
    <col min="31" max="31" width="4.21875" style="1" bestFit="1" customWidth="1"/>
    <col min="32" max="32" width="10.88671875" style="1" bestFit="1" customWidth="1"/>
    <col min="33" max="33" width="13.33203125" style="1" bestFit="1" customWidth="1"/>
    <col min="34" max="34" width="7.5546875" style="1" bestFit="1" customWidth="1"/>
    <col min="35" max="35" width="9.21875" style="1" customWidth="1"/>
    <col min="36" max="36" width="5.88671875" style="1" bestFit="1" customWidth="1"/>
    <col min="37" max="38" width="9.21875" style="1" customWidth="1"/>
    <col min="39" max="39" width="9.33203125" style="1" bestFit="1" customWidth="1"/>
    <col min="40" max="40" width="11.5546875" style="1" bestFit="1" customWidth="1"/>
    <col min="41" max="41" width="5.88671875" style="1" bestFit="1" customWidth="1"/>
    <col min="42" max="42" width="9.21875" style="1" bestFit="1" customWidth="1"/>
    <col min="43" max="43" width="7.6640625" style="1" bestFit="1" customWidth="1"/>
    <col min="44" max="45" width="9.21875" style="1" bestFit="1" customWidth="1"/>
    <col min="46" max="48" width="5.88671875" style="1" bestFit="1" customWidth="1"/>
    <col min="49" max="49" width="9.21875" style="1" bestFit="1" customWidth="1"/>
    <col min="50" max="50" width="4.21875" style="1" bestFit="1" customWidth="1"/>
    <col min="51" max="51" width="10.88671875" style="1" bestFit="1" customWidth="1"/>
    <col min="52" max="52" width="13.33203125" style="1" bestFit="1" customWidth="1"/>
    <col min="53" max="53" width="7.5546875" style="1" bestFit="1" customWidth="1"/>
    <col min="54" max="54" width="9.21875" style="1" bestFit="1" customWidth="1"/>
    <col min="55" max="55" width="5.88671875" style="1" bestFit="1" customWidth="1"/>
    <col min="56" max="57" width="9.21875" style="1" bestFit="1" customWidth="1"/>
    <col min="58" max="58" width="9.33203125" style="1" bestFit="1" customWidth="1"/>
    <col min="59" max="59" width="11.5546875" style="1" bestFit="1" customWidth="1"/>
    <col min="60" max="60" width="11.77734375" style="1" bestFit="1" customWidth="1"/>
    <col min="61" max="61" width="5.88671875" style="1" bestFit="1" customWidth="1"/>
    <col min="62" max="63" width="8.33203125" style="1" bestFit="1" customWidth="1"/>
    <col min="64" max="16384" width="8.88671875" style="1"/>
  </cols>
  <sheetData>
    <row r="1" spans="1:21" ht="43.5" customHeight="1" x14ac:dyDescent="0.25"/>
    <row r="2" spans="1:21" ht="43.5" customHeight="1" x14ac:dyDescent="0.25"/>
    <row r="3" spans="1:21" ht="43.5" customHeight="1" x14ac:dyDescent="0.25"/>
    <row r="4" spans="1:21" x14ac:dyDescent="0.25">
      <c r="A4" t="s">
        <v>88</v>
      </c>
      <c r="B4" t="s">
        <v>96</v>
      </c>
      <c r="C4" t="s">
        <v>119</v>
      </c>
      <c r="D4" t="s">
        <v>217</v>
      </c>
      <c r="E4" t="s">
        <v>240</v>
      </c>
      <c r="F4" t="s">
        <v>45</v>
      </c>
      <c r="G4" t="s">
        <v>246</v>
      </c>
      <c r="H4" t="s">
        <v>91</v>
      </c>
      <c r="I4" t="s">
        <v>46</v>
      </c>
      <c r="J4" t="s">
        <v>47</v>
      </c>
      <c r="K4" t="s">
        <v>242</v>
      </c>
      <c r="L4" t="s">
        <v>253</v>
      </c>
      <c r="M4" t="s">
        <v>243</v>
      </c>
      <c r="N4" t="s">
        <v>203</v>
      </c>
      <c r="O4" t="s">
        <v>244</v>
      </c>
      <c r="P4" t="s">
        <v>245</v>
      </c>
      <c r="Q4" t="s">
        <v>44</v>
      </c>
      <c r="R4" t="s">
        <v>298</v>
      </c>
      <c r="S4" t="s">
        <v>43</v>
      </c>
      <c r="T4" t="s">
        <v>179</v>
      </c>
      <c r="U4" t="s">
        <v>232</v>
      </c>
    </row>
    <row r="5" spans="1:21" x14ac:dyDescent="0.25">
      <c r="A5"/>
      <c r="B5" s="149" t="s">
        <v>564</v>
      </c>
      <c r="C5" s="149" t="s">
        <v>823</v>
      </c>
      <c r="D5" s="149" t="s">
        <v>206</v>
      </c>
      <c r="E5" t="s">
        <v>279</v>
      </c>
      <c r="F5" s="149" t="s">
        <v>713</v>
      </c>
      <c r="G5" s="149" t="s">
        <v>7</v>
      </c>
      <c r="H5" s="149" t="s">
        <v>17</v>
      </c>
      <c r="I5" s="149" t="s">
        <v>710</v>
      </c>
      <c r="J5" s="149" t="s">
        <v>711</v>
      </c>
      <c r="K5" s="149" t="s">
        <v>94</v>
      </c>
      <c r="L5" s="149" t="s">
        <v>7</v>
      </c>
      <c r="M5" s="49"/>
      <c r="N5" s="49">
        <v>42529</v>
      </c>
      <c r="O5"/>
      <c r="P5" s="149" t="s">
        <v>7</v>
      </c>
      <c r="Q5" s="149" t="s">
        <v>1</v>
      </c>
      <c r="R5" s="149" t="s">
        <v>7</v>
      </c>
      <c r="S5" s="149" t="s">
        <v>133</v>
      </c>
      <c r="T5"/>
      <c r="U5"/>
    </row>
    <row r="6" spans="1:21" x14ac:dyDescent="0.25">
      <c r="A6"/>
      <c r="B6" s="149" t="s">
        <v>582</v>
      </c>
      <c r="C6" s="149" t="s">
        <v>990</v>
      </c>
      <c r="D6" s="149" t="s">
        <v>206</v>
      </c>
      <c r="E6" t="s">
        <v>279</v>
      </c>
      <c r="F6" s="149" t="s">
        <v>520</v>
      </c>
      <c r="G6" s="149" t="s">
        <v>7</v>
      </c>
      <c r="H6" s="149" t="s">
        <v>15</v>
      </c>
      <c r="I6" s="149" t="s">
        <v>677</v>
      </c>
      <c r="J6" s="149" t="s">
        <v>678</v>
      </c>
      <c r="K6" s="149" t="s">
        <v>94</v>
      </c>
      <c r="L6" s="149" t="s">
        <v>7</v>
      </c>
      <c r="M6" s="49"/>
      <c r="N6" s="49">
        <v>45190</v>
      </c>
      <c r="O6"/>
      <c r="P6" s="149" t="s">
        <v>7</v>
      </c>
      <c r="Q6" s="149" t="s">
        <v>1</v>
      </c>
      <c r="R6" s="149" t="s">
        <v>7</v>
      </c>
      <c r="S6" s="149" t="s">
        <v>133</v>
      </c>
      <c r="T6"/>
      <c r="U6"/>
    </row>
    <row r="7" spans="1:21" x14ac:dyDescent="0.25">
      <c r="A7"/>
      <c r="B7" s="149" t="s">
        <v>561</v>
      </c>
      <c r="C7" s="149" t="s">
        <v>824</v>
      </c>
      <c r="D7" s="149" t="s">
        <v>206</v>
      </c>
      <c r="E7" t="s">
        <v>279</v>
      </c>
      <c r="F7" s="149" t="s">
        <v>544</v>
      </c>
      <c r="G7" s="149" t="s">
        <v>7</v>
      </c>
      <c r="H7" s="149" t="s">
        <v>17</v>
      </c>
      <c r="I7" s="149" t="s">
        <v>724</v>
      </c>
      <c r="J7" s="149" t="s">
        <v>7</v>
      </c>
      <c r="K7" s="149" t="s">
        <v>94</v>
      </c>
      <c r="L7" s="149" t="s">
        <v>7</v>
      </c>
      <c r="M7" s="49"/>
      <c r="N7" s="49">
        <v>45189</v>
      </c>
      <c r="O7"/>
      <c r="P7" s="149" t="s">
        <v>7</v>
      </c>
      <c r="Q7" s="149" t="s">
        <v>86</v>
      </c>
      <c r="R7" s="149" t="s">
        <v>7</v>
      </c>
      <c r="S7" s="149" t="s">
        <v>133</v>
      </c>
      <c r="T7"/>
      <c r="U7"/>
    </row>
    <row r="8" spans="1:21" x14ac:dyDescent="0.25">
      <c r="A8"/>
      <c r="B8" s="149" t="s">
        <v>666</v>
      </c>
      <c r="C8" s="149" t="s">
        <v>991</v>
      </c>
      <c r="D8" s="149" t="s">
        <v>206</v>
      </c>
      <c r="E8" t="s">
        <v>279</v>
      </c>
      <c r="F8" s="149" t="s">
        <v>713</v>
      </c>
      <c r="G8" s="149" t="s">
        <v>7</v>
      </c>
      <c r="H8" s="149" t="s">
        <v>33</v>
      </c>
      <c r="I8" s="149" t="s">
        <v>793</v>
      </c>
      <c r="J8" s="149" t="s">
        <v>7</v>
      </c>
      <c r="K8" s="149" t="s">
        <v>94</v>
      </c>
      <c r="L8" s="149" t="s">
        <v>7</v>
      </c>
      <c r="M8" s="49"/>
      <c r="N8" s="49">
        <v>43446</v>
      </c>
      <c r="O8"/>
      <c r="P8" s="149" t="s">
        <v>7</v>
      </c>
      <c r="Q8" s="149" t="s">
        <v>1</v>
      </c>
      <c r="R8" s="149" t="s">
        <v>7</v>
      </c>
      <c r="S8" s="149" t="s">
        <v>133</v>
      </c>
      <c r="T8"/>
      <c r="U8"/>
    </row>
  </sheetData>
  <phoneticPr fontId="3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96A0-1473-49AE-AD3A-4CC8DA6BC59D}">
  <sheetPr codeName="Sheet15"/>
  <dimension ref="A5:S7"/>
  <sheetViews>
    <sheetView workbookViewId="0">
      <selection activeCell="I8" sqref="I8"/>
    </sheetView>
  </sheetViews>
  <sheetFormatPr defaultRowHeight="15" x14ac:dyDescent="0.25"/>
  <cols>
    <col min="1" max="1" width="7.109375" style="1" bestFit="1" customWidth="1"/>
    <col min="2" max="2" width="13.33203125" style="1" bestFit="1" customWidth="1"/>
    <col min="3" max="3" width="9.33203125" style="1" bestFit="1" customWidth="1"/>
    <col min="4" max="4" width="36.6640625" style="1" bestFit="1" customWidth="1"/>
    <col min="5" max="5" width="11.109375" style="1" bestFit="1" customWidth="1"/>
    <col min="6" max="6" width="9.21875" style="1" bestFit="1" customWidth="1"/>
    <col min="7" max="7" width="8.77734375" style="1" bestFit="1" customWidth="1"/>
    <col min="8" max="9" width="9.21875" style="1" bestFit="1" customWidth="1"/>
    <col min="10" max="10" width="11.44140625" style="1" bestFit="1" customWidth="1"/>
    <col min="11" max="11" width="15.21875" style="1" bestFit="1" customWidth="1"/>
    <col min="12" max="12" width="5.88671875" style="1" bestFit="1" customWidth="1"/>
    <col min="13" max="13" width="9.21875" style="1" bestFit="1" customWidth="1"/>
    <col min="14" max="14" width="5.88671875" style="1" bestFit="1" customWidth="1"/>
    <col min="15" max="16" width="7.5546875" style="1" bestFit="1" customWidth="1"/>
    <col min="17" max="17" width="19.44140625" style="1" bestFit="1" customWidth="1"/>
    <col min="18" max="18" width="10.33203125" style="1" bestFit="1" customWidth="1"/>
    <col min="19" max="20" width="11.33203125" style="1" bestFit="1" customWidth="1"/>
    <col min="21" max="21" width="10.33203125" style="1" bestFit="1" customWidth="1"/>
    <col min="22" max="22" width="11.109375" style="1" bestFit="1" customWidth="1"/>
    <col min="23" max="23" width="8.77734375" style="1" bestFit="1" customWidth="1"/>
    <col min="24" max="24" width="9.21875" style="1" bestFit="1" customWidth="1"/>
    <col min="25" max="16384" width="8.88671875" style="1"/>
  </cols>
  <sheetData>
    <row r="5" spans="1:19" x14ac:dyDescent="0.25">
      <c r="A5" t="s">
        <v>88</v>
      </c>
      <c r="B5" t="s">
        <v>49</v>
      </c>
      <c r="C5" t="s">
        <v>50</v>
      </c>
      <c r="D5" t="s">
        <v>96</v>
      </c>
      <c r="E5" t="s">
        <v>156</v>
      </c>
      <c r="F5" t="s">
        <v>212</v>
      </c>
      <c r="G5" t="s">
        <v>213</v>
      </c>
      <c r="H5" t="s">
        <v>214</v>
      </c>
      <c r="I5" t="s">
        <v>181</v>
      </c>
      <c r="J5" t="s">
        <v>182</v>
      </c>
      <c r="K5" t="s">
        <v>192</v>
      </c>
      <c r="L5" t="s">
        <v>180</v>
      </c>
      <c r="M5" t="s">
        <v>216</v>
      </c>
      <c r="N5" t="s">
        <v>226</v>
      </c>
      <c r="O5" t="s">
        <v>227</v>
      </c>
      <c r="P5" t="s">
        <v>228</v>
      </c>
      <c r="Q5" t="s">
        <v>149</v>
      </c>
      <c r="R5" t="s">
        <v>296</v>
      </c>
      <c r="S5" t="s">
        <v>479</v>
      </c>
    </row>
    <row r="6" spans="1:19" x14ac:dyDescent="0.25">
      <c r="A6">
        <v>7</v>
      </c>
      <c r="B6" t="s">
        <v>560</v>
      </c>
      <c r="C6" s="49">
        <v>45189</v>
      </c>
      <c r="D6" t="s">
        <v>561</v>
      </c>
      <c r="E6" t="s">
        <v>158</v>
      </c>
      <c r="F6" t="s">
        <v>7</v>
      </c>
      <c r="G6" t="s">
        <v>7</v>
      </c>
      <c r="H6" t="s">
        <v>7</v>
      </c>
      <c r="I6" t="s">
        <v>190</v>
      </c>
      <c r="J6" t="s">
        <v>202</v>
      </c>
      <c r="K6" t="s">
        <v>559</v>
      </c>
      <c r="L6" t="s">
        <v>94</v>
      </c>
      <c r="M6" t="s">
        <v>822</v>
      </c>
      <c r="N6">
        <v>1</v>
      </c>
      <c r="O6">
        <v>1</v>
      </c>
      <c r="P6">
        <v>1</v>
      </c>
      <c r="Q6" t="s">
        <v>611</v>
      </c>
      <c r="R6"/>
      <c r="S6"/>
    </row>
    <row r="7" spans="1:19" x14ac:dyDescent="0.25">
      <c r="A7">
        <v>6</v>
      </c>
      <c r="B7" t="s">
        <v>563</v>
      </c>
      <c r="C7" s="49">
        <v>45189</v>
      </c>
      <c r="D7" t="s">
        <v>564</v>
      </c>
      <c r="E7" t="s">
        <v>158</v>
      </c>
      <c r="F7" t="s">
        <v>7</v>
      </c>
      <c r="G7" t="s">
        <v>7</v>
      </c>
      <c r="H7" t="s">
        <v>7</v>
      </c>
      <c r="I7" t="s">
        <v>190</v>
      </c>
      <c r="J7" t="s">
        <v>202</v>
      </c>
      <c r="K7" t="s">
        <v>562</v>
      </c>
      <c r="L7" t="s">
        <v>94</v>
      </c>
      <c r="M7" t="s">
        <v>821</v>
      </c>
      <c r="N7">
        <v>1</v>
      </c>
      <c r="O7">
        <v>1</v>
      </c>
      <c r="P7">
        <v>1</v>
      </c>
      <c r="Q7" t="s">
        <v>607</v>
      </c>
      <c r="R7"/>
      <c r="S7"/>
    </row>
  </sheetData>
  <phoneticPr fontId="38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25</vt:i4>
      </vt:variant>
    </vt:vector>
  </HeadingPairs>
  <TitlesOfParts>
    <vt:vector size="43" baseType="lpstr">
      <vt:lpstr>MDM</vt:lpstr>
      <vt:lpstr>DOWNLOAD</vt:lpstr>
      <vt:lpstr>load</vt:lpstr>
      <vt:lpstr>REVIEW_LIST</vt:lpstr>
      <vt:lpstr>Charts</vt:lpstr>
      <vt:lpstr>NWriter</vt:lpstr>
      <vt:lpstr>WRITER</vt:lpstr>
      <vt:lpstr>ECON</vt:lpstr>
      <vt:lpstr>FUTURE</vt:lpstr>
      <vt:lpstr>AddTap</vt:lpstr>
      <vt:lpstr>WIP AddNew</vt:lpstr>
      <vt:lpstr>FIMTN</vt:lpstr>
      <vt:lpstr>wDMI</vt:lpstr>
      <vt:lpstr>BBG</vt:lpstr>
      <vt:lpstr>台账</vt:lpstr>
      <vt:lpstr>wCurated</vt:lpstr>
      <vt:lpstr>wCredit</vt:lpstr>
      <vt:lpstr>wBISL</vt:lpstr>
      <vt:lpstr>MDM!Criteria</vt:lpstr>
      <vt:lpstr>dd_BISL_ROLE</vt:lpstr>
      <vt:lpstr>dd_BOCOMJLM</vt:lpstr>
      <vt:lpstr>dd_byrtg</vt:lpstr>
      <vt:lpstr>dd_coverage</vt:lpstr>
      <vt:lpstr>dd_econ</vt:lpstr>
      <vt:lpstr>dd_econ1</vt:lpstr>
      <vt:lpstr>dd_ECONEvent</vt:lpstr>
      <vt:lpstr>dd_econfuture</vt:lpstr>
      <vt:lpstr>dd_FutureEvent</vt:lpstr>
      <vt:lpstr>dd_region</vt:lpstr>
      <vt:lpstr>dd_sector</vt:lpstr>
      <vt:lpstr>dd_sfcrole</vt:lpstr>
      <vt:lpstr>dd_strct</vt:lpstr>
      <vt:lpstr>dd_updator</vt:lpstr>
      <vt:lpstr>dd_上市分类</vt:lpstr>
      <vt:lpstr>dd_中资属性</vt:lpstr>
      <vt:lpstr>dd_主题债券</vt:lpstr>
      <vt:lpstr>dd_备证行</vt:lpstr>
      <vt:lpstr>dd_板块</vt:lpstr>
      <vt:lpstr>dd_结构</vt:lpstr>
      <vt:lpstr>dd_评级分类</vt:lpstr>
      <vt:lpstr>dd_货币</vt:lpstr>
      <vt:lpstr>GPS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Kingsley Tong 童富涵</cp:lastModifiedBy>
  <cp:lastPrinted>2023-09-19T03:58:50Z</cp:lastPrinted>
  <dcterms:created xsi:type="dcterms:W3CDTF">2023-03-10T12:57:22Z</dcterms:created>
  <dcterms:modified xsi:type="dcterms:W3CDTF">2023-09-26T10:38:17Z</dcterms:modified>
</cp:coreProperties>
</file>