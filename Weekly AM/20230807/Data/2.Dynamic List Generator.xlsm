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tables/table13.xml" ContentType="application/vnd.openxmlformats-officedocument.spreadsheetml.table+xml"/>
  <Override PartName="/xl/queryTables/queryTable2.xml" ContentType="application/vnd.openxmlformats-officedocument.spreadsheetml.queryTable+xml"/>
  <Override PartName="/xl/tables/table14.xml" ContentType="application/vnd.openxmlformats-officedocument.spreadsheetml.table+xml"/>
  <Override PartName="/xl/queryTables/queryTable3.xml" ContentType="application/vnd.openxmlformats-officedocument.spreadsheetml.queryTable+xml"/>
  <Override PartName="/xl/tables/table15.xml" ContentType="application/vnd.openxmlformats-officedocument.spreadsheetml.table+xml"/>
  <Override PartName="/xl/queryTables/queryTable4.xml" ContentType="application/vnd.openxmlformats-officedocument.spreadsheetml.queryTable+xml"/>
  <Override PartName="/xl/tables/table1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queryTables/queryTable8.xml" ContentType="application/vnd.openxmlformats-officedocument.spreadsheetml.queryTable+xml"/>
  <Override PartName="/xl/tables/table21.xml" ContentType="application/vnd.openxmlformats-officedocument.spreadsheetml.table+xml"/>
  <Override PartName="/xl/queryTables/queryTable9.xml" ContentType="application/vnd.openxmlformats-officedocument.spreadsheetml.queryTable+xml"/>
  <Override PartName="/xl/tables/table22.xml" ContentType="application/vnd.openxmlformats-officedocument.spreadsheetml.table+xml"/>
  <Override PartName="/xl/queryTables/queryTable10.xml" ContentType="application/vnd.openxmlformats-officedocument.spreadsheetml.queryTable+xml"/>
  <Override PartName="/xl/tables/table2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3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tables/table27.xml" ContentType="application/vnd.openxmlformats-officedocument.spreadsheetml.table+xml"/>
  <Override PartName="/xl/queryTables/queryTable12.xml" ContentType="application/vnd.openxmlformats-officedocument.spreadsheetml.queryTable+xml"/>
  <Override PartName="/xl/tables/table28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5.xml" ContentType="application/vnd.openxmlformats-officedocument.drawing+xml"/>
  <Override PartName="/xl/tables/table29.xml" ContentType="application/vnd.openxmlformats-officedocument.spreadsheetml.table+xml"/>
  <Override PartName="/xl/queryTables/queryTable14.xml" ContentType="application/vnd.openxmlformats-officedocument.spreadsheetml.queryTable+xml"/>
  <Override PartName="/xl/tables/table30.xml" ContentType="application/vnd.openxmlformats-officedocument.spreadsheetml.table+xml"/>
  <Override PartName="/xl/queryTables/queryTable15.xml" ContentType="application/vnd.openxmlformats-officedocument.spreadsheetml.queryTable+xml"/>
  <Override PartName="/xl/tables/table31.xml" ContentType="application/vnd.openxmlformats-officedocument.spreadsheetml.table+xml"/>
  <Override PartName="/xl/queryTables/queryTable16.xml" ContentType="application/vnd.openxmlformats-officedocument.spreadsheetml.queryTable+xml"/>
  <Override PartName="/xl/tables/table32.xml" ContentType="application/vnd.openxmlformats-officedocument.spreadsheetml.table+xml"/>
  <Override PartName="/xl/queryTables/queryTable17.xml" ContentType="application/vnd.openxmlformats-officedocument.spreadsheetml.query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queryTables/queryTable18.xml" ContentType="application/vnd.openxmlformats-officedocument.spreadsheetml.queryTable+xml"/>
  <Override PartName="/xl/tables/table35.xml" ContentType="application/vnd.openxmlformats-officedocument.spreadsheetml.tab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drawings/drawing7.xml" ContentType="application/vnd.openxmlformats-officedocument.drawing+xml"/>
  <Override PartName="/xl/tables/table37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8.xml" ContentType="application/vnd.openxmlformats-officedocument.drawing+xml"/>
  <Override PartName="/xl/tables/table38.xml" ContentType="application/vnd.openxmlformats-officedocument.spreadsheetml.table+xml"/>
  <Override PartName="/xl/queryTables/queryTable20.xml" ContentType="application/vnd.openxmlformats-officedocument.spreadsheetml.queryTable+xml"/>
  <Override PartName="/xl/tables/table39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0807\Data\"/>
    </mc:Choice>
  </mc:AlternateContent>
  <xr:revisionPtr revIDLastSave="0" documentId="13_ncr:1_{5F7E17EE-E8CA-4505-BF84-0D26319F05ED}" xr6:coauthVersionLast="36" xr6:coauthVersionMax="36" xr10:uidLastSave="{00000000-0000-0000-0000-000000000000}"/>
  <bookViews>
    <workbookView xWindow="0" yWindow="0" windowWidth="28800" windowHeight="11625" tabRatio="594" firstSheet="2" activeTab="9" xr2:uid="{00000000-000D-0000-FFFF-FFFF00000000}"/>
  </bookViews>
  <sheets>
    <sheet name="EXE" sheetId="27" state="hidden" r:id="rId1"/>
    <sheet name="dmi" sheetId="42" state="hidden" r:id="rId2"/>
    <sheet name="DOWNLOAD" sheetId="1" r:id="rId3"/>
    <sheet name="FIMTN" sheetId="43" state="hidden" r:id="rId4"/>
    <sheet name="2Rtg" sheetId="44" state="hidden" r:id="rId5"/>
    <sheet name="load" sheetId="23" r:id="rId6"/>
    <sheet name="REVIEW_LIST" sheetId="33" r:id="rId7"/>
    <sheet name="Charts" sheetId="40" r:id="rId8"/>
    <sheet name="WRITER" sheetId="39" r:id="rId9"/>
    <sheet name="ECON" sheetId="30" r:id="rId10"/>
    <sheet name="FUTURE" sheetId="41" r:id="rId11"/>
    <sheet name="Add" sheetId="15" r:id="rId12"/>
    <sheet name="AddtoCurated" sheetId="48" state="hidden" r:id="rId13"/>
    <sheet name="AddtoCredit" sheetId="46" state="hidden" r:id="rId14"/>
    <sheet name="AddtoBISL" sheetId="47" state="hidden" r:id="rId15"/>
  </sheets>
  <definedNames>
    <definedName name="_xlnm._FilterDatabase" localSheetId="3" hidden="1">FIMTN!#REF!</definedName>
    <definedName name="dd_BISL_role">BISL_ROLE[BISL_ROLE]</definedName>
    <definedName name="dd_bocomdeal">BOCOM_DEAL[BOCOM_DEAL?]</definedName>
    <definedName name="dd_bocomrole">tbl_dd_role[其他交银_ROLE]</definedName>
    <definedName name="dd_by_rtg">tbl_dd_by_rtg[评级分类]</definedName>
    <definedName name="dd_byrtg">tbl_dd_by_rtg[评级分类]</definedName>
    <definedName name="dd_coverage">tbl_dd_coverage[COVERAGE]</definedName>
    <definedName name="dd_crcy">tbl_dd_crcy[货币]</definedName>
    <definedName name="dd_econ">ECON[上周主要经济数据]</definedName>
    <definedName name="dd_ECONEvent">ECON[上周主要经济数据]</definedName>
    <definedName name="dd_econfuture">FUTURE[未来一周主要经济数据]</definedName>
    <definedName name="dd_fi_shortlisted">#REF!</definedName>
    <definedName name="dd_FutureEvent">FUTURE[未来一周主要经济数据]</definedName>
    <definedName name="dd_listing">tbl_dd_listing[上市]</definedName>
    <definedName name="dd_region">tbl_dd_region[地区]</definedName>
    <definedName name="dd_sector">tbl_ddsector[行业]</definedName>
    <definedName name="dd_sfcrole">tbl_dd_sfcrole[新规角色]</definedName>
    <definedName name="dd_strct">tbl_dd_structure[结构]</definedName>
    <definedName name="dd_structure">tbl_dd_structure[结构]</definedName>
    <definedName name="dd_theme">tbl_dd_theme[主题]</definedName>
    <definedName name="dd_updator">tbl_dd_updator[EXE]</definedName>
    <definedName name="dd_weeklylist">#REF!</definedName>
    <definedName name="dd_中资属性">中资属性[中资属性]</definedName>
    <definedName name="dd_板块">板块[板块]</definedName>
    <definedName name="ExternalData_1" localSheetId="12" hidden="1">AddtoCurated!$A$4:$AS$12</definedName>
    <definedName name="ExternalData_1" localSheetId="9" hidden="1">ECON!$A$12:$O$36</definedName>
    <definedName name="ExternalData_1" localSheetId="0" hidden="1">EXE!$I$6:$I$11</definedName>
    <definedName name="ExternalData_1" localSheetId="3" hidden="1">FIMTN!$A$5:$J$10</definedName>
    <definedName name="ExternalData_10" localSheetId="0" hidden="1">EXE!$E$18:$E$25</definedName>
    <definedName name="ExternalData_11" localSheetId="2" hidden="1">DOWNLOAD!#REF!</definedName>
    <definedName name="ExternalData_11" localSheetId="8" hidden="1">WRITER!$A$10:$F$15</definedName>
    <definedName name="ExternalData_12" localSheetId="8" hidden="1">WRITER!$A$20:$F$21</definedName>
    <definedName name="ExternalData_15" localSheetId="2" hidden="1">DOWNLOAD!$A$5:$BZ$13</definedName>
    <definedName name="ExternalData_16" localSheetId="1" hidden="1">dmi!$A$1:$BP$15</definedName>
    <definedName name="ExternalData_16" localSheetId="2" hidden="1">DOWNLOAD!#REF!</definedName>
    <definedName name="ExternalData_17" localSheetId="2" hidden="1">DOWNLOAD!#REF!</definedName>
    <definedName name="ExternalData_18" localSheetId="2" hidden="1">DOWNLOAD!#REF!</definedName>
    <definedName name="ExternalData_19" localSheetId="2" hidden="1">DOWNLOAD!#REF!</definedName>
    <definedName name="ExternalData_19" localSheetId="5" hidden="1">load!$C$5:$AD$13</definedName>
    <definedName name="ExternalData_2" localSheetId="0" hidden="1">EXE!$J$6:$J$12</definedName>
    <definedName name="ExternalData_2" localSheetId="10" hidden="1">FUTURE!$A$10:$O$25</definedName>
    <definedName name="ExternalData_2" localSheetId="5" hidden="1">load!$AH$5:$AW$8</definedName>
    <definedName name="ExternalData_21" localSheetId="5" hidden="1">load!$AH$11:$AK$12</definedName>
    <definedName name="ExternalData_3" localSheetId="0" hidden="1">EXE!$K$6:$K$12</definedName>
    <definedName name="ExternalData_3" localSheetId="5" hidden="1">load!$A$5:$A$33</definedName>
    <definedName name="ExternalData_4" localSheetId="7" hidden="1">'Charts'!$O$5:$AE$13</definedName>
    <definedName name="ExternalData_4" localSheetId="0" hidden="1">EXE!$M$6:$M$14</definedName>
    <definedName name="ExternalData_5" localSheetId="12" hidden="1">AddtoCurated!$A$4:$BL$14</definedName>
    <definedName name="ExternalData_6" localSheetId="14" hidden="1">AddtoBISL!$A$5:$S$8</definedName>
    <definedName name="ExternalData_8" localSheetId="7" hidden="1">'Charts'!$A$5:$J$18</definedName>
    <definedName name="ExternalData_8" localSheetId="8" hidden="1">WRITER!$A$4:$F$6</definedName>
    <definedName name="ExternalData_9" localSheetId="13" hidden="1">AddtoCredit!$A$4:$T$5</definedName>
    <definedName name="ExternalData_9" localSheetId="0" hidden="1">EXE!#REF!</definedName>
    <definedName name="GPS">EXE!$A$1</definedName>
    <definedName name="hard_coded_1">Add!$G$2:$H$20</definedName>
    <definedName name="hard_coded_2">REVIEW_LIST!$A$4:$AD$41</definedName>
    <definedName name="hard_coded_3">REVIEW_LIST!$AG$4:$AV$40</definedName>
    <definedName name="hard_coded_4">REVIEW_LIST!$AY$4:$BB$40</definedName>
    <definedName name="hard_coded_5">input_econ[上周主要经济数据]</definedName>
    <definedName name="hard_coded_6">input_future[未来一周主要经济数据]</definedName>
    <definedName name="input_data">Add!$G$2:$H$19</definedName>
    <definedName name="Name">load!$S$4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23" l="1"/>
  <c r="A1" i="27"/>
  <c r="C1" i="40" l="1"/>
  <c r="Q1" i="40" l="1"/>
  <c r="P1" i="40" l="1"/>
  <c r="F5" i="41" l="1"/>
  <c r="E5" i="41"/>
  <c r="D5" i="41"/>
  <c r="F8" i="41"/>
  <c r="E8" i="41"/>
  <c r="D8" i="41"/>
  <c r="F6" i="41"/>
  <c r="E6" i="41"/>
  <c r="D6" i="41"/>
  <c r="F3" i="41"/>
  <c r="E3" i="41"/>
  <c r="D3" i="41"/>
  <c r="F7" i="41"/>
  <c r="E7" i="41"/>
  <c r="D7" i="41"/>
  <c r="F4" i="41"/>
  <c r="E4" i="41"/>
  <c r="D4" i="41"/>
  <c r="H21" i="15"/>
  <c r="G21" i="15"/>
  <c r="F21" i="15"/>
  <c r="H22" i="15" l="1"/>
  <c r="G22" i="15"/>
  <c r="F22" i="15"/>
  <c r="H24" i="15"/>
  <c r="F24" i="15"/>
  <c r="G24" i="15"/>
  <c r="H23" i="15"/>
  <c r="G23" i="15"/>
  <c r="F23" i="15"/>
  <c r="D8" i="30" l="1"/>
  <c r="E8" i="30"/>
  <c r="E6" i="30"/>
  <c r="E7" i="30"/>
  <c r="E4" i="30"/>
  <c r="E3" i="30"/>
  <c r="E5" i="30"/>
  <c r="F8" i="30"/>
  <c r="F6" i="30"/>
  <c r="F7" i="30"/>
  <c r="F4" i="30"/>
  <c r="F3" i="30"/>
  <c r="F5" i="30"/>
  <c r="G8" i="30"/>
  <c r="G6" i="30"/>
  <c r="G7" i="30"/>
  <c r="G4" i="30"/>
  <c r="G3" i="30"/>
  <c r="G5" i="30"/>
  <c r="D6" i="30"/>
  <c r="D7" i="30"/>
  <c r="D4" i="30"/>
  <c r="D3" i="30"/>
  <c r="D5" i="30"/>
  <c r="H26" i="15" l="1"/>
  <c r="G26" i="15"/>
  <c r="F26" i="15"/>
  <c r="H25" i="15"/>
  <c r="G25" i="15"/>
  <c r="F25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Query - append" description="Connection to the 'append' query in the workbook." type="5" refreshedVersion="0" background="1" saveData="1">
    <dbPr connection="Provider=Microsoft.Mashup.OleDb.1;Data Source=$Workbook$;Location=append;Extended Properties=&quot;&quot;" command="SELECT * FROM [append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2000000}" keepAlive="1" name="Query - append_charts" description="Connection to the 'append_charts' query in the workbook." type="5" refreshedVersion="0" background="1" saveData="1">
    <dbPr connection="Provider=Microsoft.Mashup.OleDb.1;Data Source=$Workbook$;Location=append_charts;Extended Properties=&quot;&quot;" command="SELECT * FROM [append_charts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3000000}" keepAlive="1" name="Query - BBGcorp" description="Connection to the 'BBGcorp' query in the workbook." type="5" refreshedVersion="8" background="1" saveData="1">
    <dbPr connection="Provider=Microsoft.Mashup.OleDb.1;Data Source=$Workbook$;Location=BBGcorp;Extended Properties=&quot;&quot;" command="SELECT * FROM [BBGcorp]"/>
  </connection>
  <connection id="4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6" xr16:uid="{80FE2552-31D9-4ED7-AA13-128037E31F67}" keepAlive="1" name="Query - BOCOM_DEAL" description="Connection to the 'BOCOM_DEAL' query in the workbook." type="5" refreshedVersion="6" background="1" saveData="1">
    <dbPr connection="Provider=Microsoft.Mashup.OleDb.1;Data Source=$Workbook$;Location=BOCOM_DEAL;Extended Properties=&quot;&quot;" command="SELECT * FROM [BOCOM_DEAL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4" xr16:uid="{0AF1C12F-6409-4D40-8000-EA1EAF0A94F1}" keepAlive="1" name="Query - ColNow_mDMI" description="Connection to the 'ColNow_mDMI' query in the workbook." type="5" refreshedVersion="0" background="1">
    <dbPr connection="Provider=Microsoft.Mashup.OleDb.1;Data Source=$Workbook$;Location=ColNow_mDMI;Extended Properties=&quot;&quot;" command="SELECT * FROM [ColNow_mDMI]"/>
  </connection>
  <connection id="15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6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7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8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9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0" xr16:uid="{00000000-0015-0000-FFFF-FFFF2B000000}" keepAlive="1" name="Query - DiscoverPrice" description="Connection to the 'DiscoverPrice' query in the workbook." type="5" refreshedVersion="6" background="1" saveData="1">
    <dbPr connection="Provider=Microsoft.Mashup.OleDb.1;Data Source=$Workbook$;Location=DiscoverPrice;Extended Properties=&quot;&quot;" command="SELECT * FROM [DiscoverPrice]"/>
  </connection>
  <connection id="21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</connection>
  <connection id="22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</connection>
  <connection id="23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4" xr16:uid="{00000000-0015-0000-FFFF-FFFF0C000000}" keepAlive="1" name="Query - DMIFilters" description="Connection to the 'DMIFilters' query in the workbook." type="5" refreshedVersion="0" background="1">
    <dbPr connection="Provider=Microsoft.Mashup.OleDb.1;Data Source=$Workbook$;Location=DMIFilters;Extended Properties=&quot;&quot;" command="SELECT * FROM [DMIFilters]"/>
  </connection>
  <connection id="25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26" xr16:uid="{C3C1AEC2-FEE9-4A89-928B-FEC21EF44F9F}" keepAlive="1" name="Query - dmistats" description="Connection to the 'dmistats' query in the workbook." type="5" refreshedVersion="0" background="1">
    <dbPr connection="Provider=Microsoft.Mashup.OleDb.1;Data Source=$Workbook$;Location=dmistats;Extended Properties=&quot;&quot;" command="SELECT * FROM [dmistats]"/>
  </connection>
  <connection id="27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28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</connection>
  <connection id="29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</connection>
  <connection id="3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</connection>
  <connection id="3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</connection>
  <connection id="3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</connection>
  <connection id="3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</connection>
  <connection id="3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3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36" xr16:uid="{00000000-0015-0000-FFFF-FFFF14000000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3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1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2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43" xr16:uid="{00000000-0015-0000-FFFF-FFFF1A000000}" keepAlive="1" name="Query - fxCNSecName" description="Connection to the 'fxCNSecName' query in the workbook." type="5" refreshedVersion="0" background="1">
    <dbPr connection="Provider=Microsoft.Mashup.OleDb.1;Data Source=$Workbook$;Location=fxCNSecName;Extended Properties=&quot;&quot;" command="SELECT * FROM [fxCNSecName]"/>
  </connection>
  <connection id="44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45" xr16:uid="{D3527853-721E-4A51-B3A7-14652259259C}" keepAlive="1" name="Query - fxCountDelimeter" description="Connection to the 'fxCountDelimeter' query in the workbook." type="5" refreshedVersion="0" background="1">
    <dbPr connection="Provider=Microsoft.Mashup.OleDb.1;Data Source=$Workbook$;Location=fxCountDelimeter;Extended Properties=&quot;&quot;" command="SELECT * FROM [fxCountDelimeter]"/>
  </connection>
  <connection id="4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4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4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49" xr16:uid="{37291519-D44D-4941-B5BA-94033263FC34}" keepAlive="1" name="Query - fxDiscoverPrice" description="Connection to the 'fxDiscoverPrice' query in the workbook." type="5" refreshedVersion="0" background="1">
    <dbPr connection="Provider=Microsoft.Mashup.OleDb.1;Data Source=$Workbook$;Location=fxDiscoverPrice;Extended Properties=&quot;&quot;" command="SELECT * FROM [fxDiscoverPrice]"/>
  </connection>
  <connection id="50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2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53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54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55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56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57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58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59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0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1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2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63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64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65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66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67" xr16:uid="{00000000-0015-0000-FFFF-FFFF1F000000}" keepAlive="1" name="Query - fxProjectNamer" description="Connection to the 'fxProjectNamer' query in the workbook." type="5" refreshedVersion="0" background="1">
    <dbPr connection="Provider=Microsoft.Mashup.OleDb.1;Data Source=$Workbook$;Location=fxProjectNamer;Extended Properties=&quot;&quot;" command="SELECT * FROM [fxProjectNamer]"/>
  </connection>
  <connection id="68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69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0" xr16:uid="{00000000-0015-0000-FFFF-FFFF22000000}" keepAlive="1" name="Query - fxReversedIndex" description="Connection to the 'fxReversedIndex' query in the workbook." type="5" refreshedVersion="0" background="1">
    <dbPr connection="Provider=Microsoft.Mashup.OleDb.1;Data Source=$Workbook$;Location=fxReversedIndex;Extended Properties=&quot;&quot;" command="SELECT * FROM [fxReversedIndex]"/>
  </connection>
  <connection id="71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2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3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4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75" xr16:uid="{23C855AD-E4B0-4C68-B306-AE6BED1B3368}" keepAlive="1" name="Query - fxSNCredit" description="Connection to the 'fxSNCredit' query in the workbook." type="5" refreshedVersion="0" background="1">
    <dbPr connection="Provider=Microsoft.Mashup.OleDb.1;Data Source=$Workbook$;Location=fxSNCredit;Extended Properties=&quot;&quot;" command="SELECT * FROM [fxSNCredit]"/>
  </connection>
  <connection id="76" xr16:uid="{2E795B6C-9702-49CA-B1CD-DD39A0CF0CE4}" keepAlive="1" name="Query - fxSNSBLC" description="Connection to the 'fxSNSBLC' query in the workbook." type="5" refreshedVersion="0" background="1">
    <dbPr connection="Provider=Microsoft.Mashup.OleDb.1;Data Source=$Workbook$;Location=fxSNSBLC;Extended Properties=&quot;&quot;" command="SELECT * FROM [fxSNSBLC]"/>
  </connection>
  <connection id="77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8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79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0" xr16:uid="{00000000-0015-0000-FFFF-FFFF23000000}" keepAlive="1" name="Query - fxTrancher" description="Connection to the 'fxTrancher' query in the workbook." type="5" refreshedVersion="0" background="1">
    <dbPr connection="Provider=Microsoft.Mashup.OleDb.1;Data Source=$Workbook$;Location=fxTrancher;Extended Properties=&quot;&quot;" command="SELECT * FROM [fxTrancher]"/>
  </connection>
  <connection id="81" xr16:uid="{00000000-0015-0000-FFFF-FFFF24000000}" keepAlive="1" name="Query - fxValidator" description="Connection to the 'fxValidator' query in the workbook." type="5" refreshedVersion="0" background="1">
    <dbPr connection="Provider=Microsoft.Mashup.OleDb.1;Data Source=$Workbook$;Location=fxValidator;Extended Properties=&quot;&quot;" command="SELECT * FROM [fxValidator]"/>
  </connection>
  <connection id="82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3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4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85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</connection>
  <connection id="86" xr16:uid="{72EC8C20-40C7-466B-8F20-7CAEAE24D846}" keepAlive="1" name="Query - Invoked Function" description="Connection to the 'Invoked Function' query in the workbook." type="5" refreshedVersion="0" background="1">
    <dbPr connection="Provider=Microsoft.Mashup.OleDb.1;Data Source=$Workbook$;Location=&quot;Invoked Function&quot;;Extended Properties=&quot;&quot;" command="SELECT * FROM [Invoked Function]"/>
  </connection>
  <connection id="87" xr16:uid="{BEC68C88-028F-4B9B-B737-E060542A5742}" keepAlive="1" name="Query - IsTap" description="Connection to the 'IsTap' query in the workbook." type="5" refreshedVersion="6" background="1">
    <dbPr connection="Provider=Microsoft.Mashup.OleDb.1;Data Source=$Workbook$;Location=IsTap;Extended Properties=&quot;&quot;" command="SELECT * FROM [IsTap]"/>
  </connection>
  <connection id="88" xr16:uid="{CCF5AEA9-4876-4713-9EE0-D7F0D0E127ED}" keepAlive="1" name="Query - LaunchDownload" description="Connection to the 'LaunchDownload' query in the workbook." type="5" refreshedVersion="0" background="1">
    <dbPr connection="Provider=Microsoft.Mashup.OleDb.1;Data Source=$Workbook$;Location=LaunchDownload;Extended Properties=&quot;&quot;" command="SELECT * FROM [LaunchDownload]"/>
  </connection>
  <connection id="89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0" xr16:uid="{00000000-0015-0000-FFFF-FFFF30000000}" keepAlive="1" name="Query - mCreditNames" description="Connection to the 'mCreditNames' query in the workbook." type="5" refreshedVersion="0" background="1">
    <dbPr connection="Provider=Microsoft.Mashup.OleDb.1;Data Source=$Workbook$;Location=mCreditNames;Extended Properties=&quot;&quot;" command="SELECT * FROM [mCreditNames]"/>
  </connection>
  <connection id="91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2" xr16:uid="{DE6CD2C6-01DD-4C16-ACE4-D69FFA2ADFAE}" keepAlive="1" name="Query - NameCo" description="Connection to the 'NameCo' query in the workbook." type="5" refreshedVersion="6" background="1" saveData="1">
    <dbPr connection="Provider=Microsoft.Mashup.OleDb.1;Data Source=$Workbook$;Location=NameCo;Extended Properties=&quot;&quot;" command="SELECT * FROM [NameCo]"/>
  </connection>
  <connection id="93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94" xr16:uid="{D36D6443-03D4-4272-B842-9D0BD4D781FA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95" xr16:uid="{2CEDF875-0920-42D5-ACCC-A3888D29C72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96" xr16:uid="{24FB9EA4-7F06-4E6C-B36B-3725CA5C4173}" keepAlive="1" name="Query - Query3" description="Connection to the 'Query3' query in the workbook." type="5" refreshedVersion="0" background="1">
    <dbPr connection="Provider=Microsoft.Mashup.OleDb.1;Data Source=$Workbook$;Location=Query3;Extended Properties=&quot;&quot;" command="SELECT * FROM [Query3]"/>
  </connection>
  <connection id="97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98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99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  <extLst>
      <ext xmlns:x15="http://schemas.microsoft.com/office/spreadsheetml/2010/11/main" uri="{DE250136-89BD-433C-8126-D09CA5730AF9}">
        <x15:connection id="" excludeFromRefreshAll="1"/>
      </ext>
    </extLst>
  </connection>
  <connection id="100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1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2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3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04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05" xr16:uid="{00000000-0015-0000-FFFF-FFFF2E000000}" keepAlive="1" name="Query - Validate" description="Connection to the 'Validate' query in the workbook." type="5" refreshedVersion="6" background="1" saveData="1">
    <dbPr connection="Provider=Microsoft.Mashup.OleDb.1;Data Source=$Workbook$;Location=Validate;Extended Properties=&quot;&quot;" command="SELECT * FROM [Validate]"/>
  </connection>
  <connection id="106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07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08" xr16:uid="{87E2E6BF-1E97-4F0D-8D48-5C22F420A132}" keepAlive="1" name="Query - WeeklyFIMTN" description="Connection to the 'WeeklyFIMTN' query in the workbook." type="5" refreshedVersion="6" background="1" saveData="1">
    <dbPr connection="Provider=Microsoft.Mashup.OleDb.1;Data Source=$Workbook$;Location=WeeklyFIMTN;Extended Properties=&quot;&quot;" command="SELECT * FROM [WeeklyFIMTN]"/>
  </connection>
  <connection id="109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10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11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12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13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14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15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16" xr16:uid="{00000000-0015-0000-FFFF-FFFF33000000}" keepAlive="1" name="Query - 台账23" description="Connection to the '台账23' query in the workbook." type="5" refreshedVersion="8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17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18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19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<sst xmlns="http://schemas.openxmlformats.org/spreadsheetml/2006/main" count="3035" uniqueCount="705">
  <si>
    <t>EXE</t>
  </si>
  <si>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</si>
  <si>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</si>
  <si>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</si>
  <si>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</si>
  <si>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</si>
  <si>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</si>
  <si>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</si>
  <si>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</si>
  <si>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</si>
  <si>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</si>
  <si>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</si>
  <si>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</si>
  <si>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</si>
  <si>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</si>
  <si>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</si>
  <si>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</si>
  <si>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</si>
  <si>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</si>
  <si>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</si>
  <si>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</si>
  <si>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</si>
  <si>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</si>
  <si>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</si>
  <si>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</si>
  <si>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</si>
  <si>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</si>
  <si>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</si>
  <si>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</si>
  <si>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</si>
  <si>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</si>
  <si>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</si>
  <si>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</si>
  <si>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</si>
  <si>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</si>
  <si>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</si>
  <si>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</si>
  <si>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</si>
  <si>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明珠债</t>
  </si>
  <si>
    <t>绿债</t>
  </si>
  <si>
    <t>可持续债</t>
  </si>
  <si>
    <t>绿色明珠债</t>
  </si>
  <si>
    <t>资本工具</t>
  </si>
  <si>
    <t>可持续挂钩债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</si>
  <si>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</si>
  <si>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</si>
  <si>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</si>
  <si>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</si>
  <si>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</si>
  <si>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</si>
  <si>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</si>
  <si>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</si>
  <si>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</si>
  <si>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</si>
  <si>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</si>
  <si>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</si>
  <si>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</si>
  <si>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</si>
  <si>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</si>
  <si>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</si>
  <si>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发行票面利率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</si>
  <si>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</si>
  <si>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</si>
  <si>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</si>
  <si>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</si>
  <si>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</si>
  <si>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</si>
  <si>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</si>
  <si>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</si>
  <si>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</si>
  <si>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</si>
  <si>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</si>
  <si>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</si>
  <si>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</si>
  <si>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</si>
  <si>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</si>
  <si>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</si>
  <si>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</si>
  <si>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</si>
  <si>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</si>
  <si>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</si>
  <si>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</si>
  <si>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</si>
  <si>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</si>
  <si>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</si>
  <si>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</si>
  <si>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</si>
  <si>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</si>
  <si>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</si>
  <si>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</si>
  <si>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</si>
  <si>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</si>
  <si>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</si>
  <si>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</si>
  <si>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</si>
  <si>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</si>
  <si>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</si>
  <si>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</si>
  <si>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</si>
  <si>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</si>
  <si>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</si>
  <si>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SGX</t>
  </si>
  <si>
    <t>MOX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</si>
  <si>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</si>
  <si>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</si>
  <si>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</si>
  <si>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</si>
  <si>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</si>
  <si>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</si>
  <si>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</si>
  <si>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</si>
  <si>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</si>
  <si>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发行结构</t>
  </si>
  <si>
    <t>发行场所</t>
  </si>
  <si>
    <t>债券最新面值</t>
  </si>
  <si>
    <t>债券余额</t>
  </si>
  <si>
    <t>最新票面利率</t>
  </si>
  <si>
    <t>特殊条款说明</t>
  </si>
  <si>
    <t>特殊条款</t>
  </si>
  <si>
    <t>XS2572949274</t>
  </si>
  <si>
    <t>List</t>
  </si>
  <si>
    <t>CNH</t>
  </si>
  <si>
    <t>品种</t>
  </si>
  <si>
    <t>Example</t>
  </si>
  <si>
    <t>Extra ISIN</t>
  </si>
  <si>
    <t>GENERATOR</t>
  </si>
  <si>
    <t>HKD</t>
  </si>
  <si>
    <t>未上市</t>
  </si>
  <si>
    <t>可持续明珠债</t>
  </si>
  <si>
    <t>HKEX</t>
  </si>
  <si>
    <t>EUR</t>
  </si>
  <si>
    <t>HKEX;MOX</t>
  </si>
  <si>
    <t>SGX;MOX</t>
  </si>
  <si>
    <t>Extra ISIN 1</t>
  </si>
  <si>
    <t>红筹架构</t>
  </si>
  <si>
    <t>备证</t>
  </si>
  <si>
    <t>备证+担保</t>
  </si>
  <si>
    <t>备证+维好</t>
  </si>
  <si>
    <t>备证+担保+维好</t>
  </si>
  <si>
    <t>ISIN CHECK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</si>
  <si>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</si>
  <si>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</si>
  <si>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</si>
  <si>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</si>
  <si>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</si>
  <si>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</si>
  <si>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</si>
  <si>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</si>
  <si>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</si>
  <si>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</si>
  <si>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</si>
  <si>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</si>
  <si>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</si>
  <si>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</si>
  <si>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</si>
  <si>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</si>
  <si>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US</t>
  </si>
  <si>
    <t>CPI 月环比</t>
  </si>
  <si>
    <t>周度MBA抵押贷款申请指数环比</t>
  </si>
  <si>
    <t>MBAVCHNG Index</t>
  </si>
  <si>
    <t>周度首次申领失业救济人数</t>
  </si>
  <si>
    <t>INJCJC Index</t>
  </si>
  <si>
    <t>CH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</si>
  <si>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</si>
  <si>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</si>
  <si>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</si>
  <si>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</si>
  <si>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</si>
  <si>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</si>
  <si>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</si>
  <si>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</si>
  <si>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</si>
  <si>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</si>
  <si>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</si>
  <si>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IPG number</t>
  </si>
  <si>
    <t>FPG number</t>
  </si>
  <si>
    <t>ADD</t>
  </si>
  <si>
    <t>发行评级</t>
  </si>
  <si>
    <t>USD &amp; CNH</t>
  </si>
  <si>
    <t>描述</t>
  </si>
  <si>
    <t>WRITER</t>
  </si>
  <si>
    <t>ESG</t>
  </si>
  <si>
    <t>Check</t>
  </si>
  <si>
    <t>增发判定</t>
  </si>
  <si>
    <t>REVIEW
SBLC</t>
  </si>
  <si>
    <t>REVIEW
IPG</t>
  </si>
  <si>
    <t>REVIEW
FPG</t>
  </si>
  <si>
    <t>宁夏</t>
  </si>
  <si>
    <t>西藏</t>
  </si>
  <si>
    <t>青海</t>
  </si>
  <si>
    <t>香港</t>
  </si>
  <si>
    <t>补充OMAS updates</t>
  </si>
  <si>
    <t>信用主体全名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</si>
  <si>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</si>
  <si>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</si>
  <si>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</si>
  <si>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</si>
  <si>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</si>
  <si>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</si>
  <si>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</si>
  <si>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</si>
  <si>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</si>
  <si>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其他交银_ROLE</t>
  </si>
  <si>
    <t>FEATURED</t>
  </si>
  <si>
    <t>美国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</si>
  <si>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</si>
  <si>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</si>
  <si>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</si>
  <si>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</si>
  <si>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</si>
  <si>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</si>
  <si>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</si>
  <si>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</si>
  <si>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</si>
  <si>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</si>
  <si>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</si>
  <si>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</si>
  <si>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美国周度首次申领失业救济人数</t>
  </si>
  <si>
    <t>美国周度MBA抵押贷款申请指数环比</t>
  </si>
  <si>
    <t>信用主体(备证行)</t>
  </si>
  <si>
    <t>收窄基点</t>
  </si>
  <si>
    <t xml:space="preserve">预计发布(HKT) </t>
  </si>
  <si>
    <t>定价基准</t>
  </si>
  <si>
    <t>4.2%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</si>
  <si>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</si>
  <si>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</si>
  <si>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</si>
  <si>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</si>
  <si>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</si>
  <si>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</si>
  <si>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</si>
  <si>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</si>
  <si>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</si>
  <si>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</si>
  <si>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</si>
  <si>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</si>
  <si>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</si>
  <si>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</si>
  <si>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</si>
  <si>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</si>
  <si>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</si>
  <si>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</si>
  <si>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</si>
  <si>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</si>
  <si>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Global Advisor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</si>
  <si>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</si>
  <si>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</si>
  <si>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</si>
  <si>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</si>
  <si>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</si>
  <si>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</si>
  <si>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</si>
  <si>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</si>
  <si>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</si>
  <si>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</si>
  <si>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</si>
  <si>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</si>
  <si>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</si>
  <si>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</si>
  <si>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北京市</t>
  </si>
  <si>
    <t>发行方式</t>
  </si>
  <si>
    <t>稳定/稳定</t>
  </si>
  <si>
    <t>RegS</t>
  </si>
  <si>
    <t>IS_LEAD</t>
  </si>
  <si>
    <t>IS_B&amp;D</t>
  </si>
  <si>
    <t>是否合名</t>
  </si>
  <si>
    <t>六月</t>
  </si>
  <si>
    <t>美国六月</t>
  </si>
  <si>
    <t>JUN</t>
  </si>
  <si>
    <t>DynamicList</t>
  </si>
  <si>
    <t>台账序号</t>
  </si>
  <si>
    <t>hardcode3</t>
  </si>
  <si>
    <t>中资属性</t>
  </si>
  <si>
    <t>IPT_DMI</t>
  </si>
  <si>
    <t>FPG_DMI</t>
  </si>
  <si>
    <t>通过分行</t>
  </si>
  <si>
    <t>REVIEW
Issuer Rating</t>
  </si>
  <si>
    <t>NotCNH</t>
  </si>
  <si>
    <t>期限备注</t>
  </si>
  <si>
    <t>亿港币</t>
  </si>
  <si>
    <t>SGC</t>
  </si>
  <si>
    <t>Dealer</t>
  </si>
  <si>
    <t>美元债</t>
  </si>
  <si>
    <t>1-3年</t>
  </si>
  <si>
    <t>≤1年</t>
  </si>
  <si>
    <t>多笔</t>
  </si>
  <si>
    <t>多币种</t>
  </si>
  <si>
    <t>多品种</t>
  </si>
  <si>
    <t>多期限</t>
  </si>
  <si>
    <t>PRJ对帐号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</si>
  <si>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</si>
  <si>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</si>
  <si>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</si>
  <si>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</si>
  <si>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</si>
  <si>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</si>
  <si>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</si>
  <si>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</si>
  <si>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</si>
  <si>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</si>
  <si>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</si>
  <si>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JUL P</t>
  </si>
  <si>
    <t>七月</t>
  </si>
  <si>
    <t>美国七月</t>
  </si>
  <si>
    <t>BISL,港分</t>
  </si>
  <si>
    <t>板块</t>
  </si>
  <si>
    <t>主权/政府</t>
  </si>
  <si>
    <t>金融机构类</t>
  </si>
  <si>
    <t>地方平台类</t>
  </si>
  <si>
    <t>产业类</t>
  </si>
  <si>
    <t>房地产类</t>
  </si>
  <si>
    <t>平台级别</t>
  </si>
  <si>
    <t>首次违约日</t>
  </si>
  <si>
    <t>曾用名</t>
  </si>
  <si>
    <t>主体备注</t>
  </si>
  <si>
    <t>中信建投(国际)金融控股有限公司</t>
  </si>
  <si>
    <t>多元金融</t>
  </si>
  <si>
    <t>CSCIF</t>
  </si>
  <si>
    <t>CHINA SECURITIES INTERNATIONAL INVESTMENT CO LTD</t>
  </si>
  <si>
    <t>行业二级</t>
  </si>
  <si>
    <t>CY</t>
  </si>
  <si>
    <t>注册成立地</t>
  </si>
  <si>
    <t>BISL</t>
  </si>
  <si>
    <t>BISL,港分Global Advisor*</t>
  </si>
  <si>
    <t>港分,澳分</t>
  </si>
  <si>
    <t>港分</t>
  </si>
  <si>
    <t>澳分</t>
  </si>
  <si>
    <t>交行参与投资未承销*</t>
  </si>
  <si>
    <t>直接发行</t>
  </si>
  <si>
    <t>SBLC</t>
  </si>
  <si>
    <t>FI MTN</t>
  </si>
  <si>
    <t>系</t>
  </si>
  <si>
    <t>REVIEW
ESG</t>
  </si>
  <si>
    <t>REVIEW
收窄</t>
  </si>
  <si>
    <t>Stats描述</t>
  </si>
  <si>
    <t>AAA</t>
  </si>
  <si>
    <t>控制权变更回售@100%</t>
  </si>
  <si>
    <t>二季度</t>
  </si>
  <si>
    <t>EC</t>
  </si>
  <si>
    <t>JUN F</t>
  </si>
  <si>
    <t>欧元区六月</t>
  </si>
  <si>
    <t>ECCPEMUM Index</t>
  </si>
  <si>
    <t>核心CPI同比</t>
  </si>
  <si>
    <t>CPEXEMUY Index</t>
  </si>
  <si>
    <t>欧元区七月</t>
  </si>
  <si>
    <t>JUL</t>
  </si>
  <si>
    <t>基础建设</t>
  </si>
  <si>
    <t>3.0Y</t>
  </si>
  <si>
    <t>HCOB欧元区制造业PMI</t>
  </si>
  <si>
    <t>MPMIEZMA Index</t>
  </si>
  <si>
    <t>七月HCOB欧元区制造业PMI</t>
  </si>
  <si>
    <t>HCOB欧元区综合PMI</t>
  </si>
  <si>
    <t>MPMIEZCA Index</t>
  </si>
  <si>
    <t>七月HCOB欧元区综合PMI</t>
  </si>
  <si>
    <t>HCOB欧元区服务业PMI</t>
  </si>
  <si>
    <t>MPMIEZSA Index</t>
  </si>
  <si>
    <t>七月HCOB欧元区服务业PMI</t>
  </si>
  <si>
    <t>JUL F</t>
  </si>
  <si>
    <t>2Q A</t>
  </si>
  <si>
    <t>密歇根大学消费者信心指数</t>
  </si>
  <si>
    <t>CONSSENT Index</t>
  </si>
  <si>
    <t>耐用品订单环比</t>
  </si>
  <si>
    <t>DGNOCHNG Index</t>
  </si>
  <si>
    <t>美国六月耐用品订单环比</t>
  </si>
  <si>
    <t>标普全球-美国制造业PMI</t>
  </si>
  <si>
    <t>MPMIUSMA Index</t>
  </si>
  <si>
    <t>七月标普全球-美国制造业PMI</t>
  </si>
  <si>
    <t>CN</t>
  </si>
  <si>
    <t>Unsecured</t>
  </si>
  <si>
    <t>0.2521</t>
  </si>
  <si>
    <t>四川省</t>
  </si>
  <si>
    <t>香港交易所</t>
  </si>
  <si>
    <t>控制权变更回售@101%</t>
  </si>
  <si>
    <t>0.5041</t>
  </si>
  <si>
    <t>中央国有企业</t>
  </si>
  <si>
    <t>银行</t>
  </si>
  <si>
    <t>浮动利率</t>
  </si>
  <si>
    <t>M3</t>
  </si>
  <si>
    <t>港交所</t>
  </si>
  <si>
    <t>221k</t>
  </si>
  <si>
    <t>制造业采购经理指数</t>
  </si>
  <si>
    <t>CPMINDX Index</t>
  </si>
  <si>
    <t>中国七月</t>
  </si>
  <si>
    <t>中国七月制造业采购经理指数</t>
  </si>
  <si>
    <t>财新中国PMI制造业</t>
  </si>
  <si>
    <t>MPMICNMA Index</t>
  </si>
  <si>
    <t>七月财新中国PMI制造业</t>
  </si>
  <si>
    <t>非制造业采购经理指数</t>
  </si>
  <si>
    <t>CPMINMAN Index</t>
  </si>
  <si>
    <t>中国七月非制造业采购经理指数</t>
  </si>
  <si>
    <t>财新中国PMI服务业</t>
  </si>
  <si>
    <t>MPMICNSA Index</t>
  </si>
  <si>
    <t>七月财新中国PMI服务业</t>
  </si>
  <si>
    <t>财新中国PMI综合</t>
  </si>
  <si>
    <t>MPMICNCA Index</t>
  </si>
  <si>
    <t>七月财新中国PMI综合</t>
  </si>
  <si>
    <t>GDP经季调季环比</t>
  </si>
  <si>
    <t>EUGNEMUQ Index</t>
  </si>
  <si>
    <t>欧元区二季度</t>
  </si>
  <si>
    <t>欧元区二季度GDP经季调季环比</t>
  </si>
  <si>
    <t>GDP经季调同比</t>
  </si>
  <si>
    <t>EUGNEMUY Index</t>
  </si>
  <si>
    <t>欧元区二季度GDP经季调同比</t>
  </si>
  <si>
    <t>欧元区七月CPI 月环比</t>
  </si>
  <si>
    <t>CPI预计同比</t>
  </si>
  <si>
    <t>ECCPEST Index</t>
  </si>
  <si>
    <t>欧元区七月CPI预计同比</t>
  </si>
  <si>
    <t>欧元区七月核心CPI同比</t>
  </si>
  <si>
    <t>失业率</t>
  </si>
  <si>
    <t>UMRTEMU Index</t>
  </si>
  <si>
    <t>欧元区六月失业率</t>
  </si>
  <si>
    <t>非农就业人数增减</t>
  </si>
  <si>
    <t>200k</t>
  </si>
  <si>
    <t>209k</t>
  </si>
  <si>
    <t>NFP TCH Index</t>
  </si>
  <si>
    <t>美国七月非农就业人数增减</t>
  </si>
  <si>
    <t>47300</t>
  </si>
  <si>
    <t>227k</t>
  </si>
  <si>
    <t>ISM制造业指数</t>
  </si>
  <si>
    <t>NAPMPMI Index</t>
  </si>
  <si>
    <t>美国七月ISM制造业指数</t>
  </si>
  <si>
    <t>46935</t>
  </si>
  <si>
    <t>USURTOT Index</t>
  </si>
  <si>
    <t>美国七月失业率</t>
  </si>
  <si>
    <t>ADP就业变动指数</t>
  </si>
  <si>
    <t>497k</t>
  </si>
  <si>
    <t>ADP CHNG Index</t>
  </si>
  <si>
    <t>美国七月ADP就业变动指数</t>
  </si>
  <si>
    <t>工厂订单</t>
  </si>
  <si>
    <t>TMNOCHNG Index</t>
  </si>
  <si>
    <t>美国六月工厂订单</t>
  </si>
  <si>
    <t>MNI芝加哥PMI</t>
  </si>
  <si>
    <t>CHPMINDX Index</t>
  </si>
  <si>
    <t>美国七月MNI芝加哥PMI</t>
  </si>
  <si>
    <t>蒙城县开发区兴蒙投资有限公司</t>
  </si>
  <si>
    <t>安徽省</t>
  </si>
  <si>
    <t>亳州市</t>
  </si>
  <si>
    <t>蒙城县开发区兴蒙投资有限公司 5 2026-08-15</t>
  </si>
  <si>
    <t>XS2658167387</t>
  </si>
  <si>
    <t>5.0%</t>
  </si>
  <si>
    <t>合肥科技农村商业银行股份有限公司</t>
  </si>
  <si>
    <t>3.02Y</t>
  </si>
  <si>
    <t>用于项目建设和补充营运资金</t>
  </si>
  <si>
    <t>SunRiver International Securities Group Limited</t>
  </si>
  <si>
    <t>MCDZXI</t>
  </si>
  <si>
    <t>MENGCHENG DEVELOPMENT ZONE XINGMENG INVESTMENT CO LTD</t>
  </si>
  <si>
    <t>China Galaxy International Securities (Hong Kong) Company Limited;China Zheshang Bank Co., Ltd. Hong Kong Branch;CNCB (Hong Kong) Capital Limited;Shanghai Pudong Development Bank Co., Ltd., Hong Kong Branch;TFI Securities and Futures Limited</t>
  </si>
  <si>
    <t>TFI Securities and Futures Limited;CNCB (Hong Kong) Capital Limited;China Zheshang Bank Co., Ltd. Hong Kong Branch;China Galaxy International Securities (Hong Kong) Company Limited;Shanghai Pudong Development Bank Co., Ltd., Hong Kong Branch;SunRiver International Securities Group Limited</t>
  </si>
  <si>
    <t>230804XS2658167387</t>
  </si>
  <si>
    <t>宜宾丝丽雅集团有限公司</t>
  </si>
  <si>
    <t>化学纤维</t>
  </si>
  <si>
    <t>宜宾市</t>
  </si>
  <si>
    <t>宜宾丝丽雅集团 6 2026-08-09</t>
  </si>
  <si>
    <t>XS2656498313</t>
  </si>
  <si>
    <t>6.5%区域</t>
  </si>
  <si>
    <t>6.0%</t>
  </si>
  <si>
    <t>上海银行股份有限公司成都分行</t>
  </si>
  <si>
    <t>用于再融资海外现有债务、项目开发和补充工作资本</t>
  </si>
  <si>
    <t>BOSC International Securities Limited;Central Wealth Securities Investment Limited;Shanghai Pudong Development Bank Hong Kong Branch;ABCI Capital Limited;China Securities (International) Corporate Finance Company Limited</t>
  </si>
  <si>
    <t>YISTAS</t>
  </si>
  <si>
    <t>CEB International Capital Corporation Limited;CCB International Capital Limited;Essence International Securities (Hong Kong) Limited;CLSA Securities Limited;CNI Securities Group Ltd;Hua Xia Bank Co., Limited Hong Kong Branch;Industrial Bank Co., Ltd. Hong Kong Branch;Luso International Banking Ltd;BOCOM International Securities Limited;CNCB (Hong Kong) Capital Limited;AMC Wanhai Securities Limited;SunRiver International Securities Group Limited</t>
  </si>
  <si>
    <t>BOSC International Securities Limited;Central Wealth Securities Investment Limited;CEB International Capital Corporation Limited;CCB International Capital Limited;Essence International Securities (Hong Kong) Limited;CLSA Securities Limited;CNI Securities Group Ltd;Hua Xia Bank Co., Limited Hong Kong Branch;Industrial Bank Co., Ltd. Hong Kong Branch;Luso International Banking Ltd;BOCOM International Securities Limited;CNCB (Hong Kong) Capital Limited;AMC Wanhai Securities Limited;Shanghai Pudong Development Bank Hong Kong Branch;SunRiver International Securities Group Limited;ABCI Capital Limited;China Securities (International) Corporate Finance Company Limited</t>
  </si>
  <si>
    <t>230803XS2656498313</t>
  </si>
  <si>
    <t>中信建投国际 5.2 2024-08-02</t>
  </si>
  <si>
    <t>XS2664203408</t>
  </si>
  <si>
    <t>0.9945</t>
  </si>
  <si>
    <t>361D</t>
  </si>
  <si>
    <t>230802XS2664203408</t>
  </si>
  <si>
    <t>中华人民共和国财政部</t>
  </si>
  <si>
    <t>其他分类</t>
  </si>
  <si>
    <t>综合</t>
  </si>
  <si>
    <t>西城区</t>
  </si>
  <si>
    <t>财政部 2.52 2028-08-04</t>
  </si>
  <si>
    <t>HK0000942448</t>
  </si>
  <si>
    <t>A1/A+</t>
  </si>
  <si>
    <t>5.0000</t>
  </si>
  <si>
    <t>4.99Y</t>
  </si>
  <si>
    <t>CGB</t>
  </si>
  <si>
    <t>CHINA GOVERNMENT BOND</t>
  </si>
  <si>
    <t>230802HK0000942448</t>
  </si>
  <si>
    <t>中国进出口银行</t>
  </si>
  <si>
    <t>进出口银行 6.015406779 2028-08-09</t>
  </si>
  <si>
    <t>XS2664784704</t>
  </si>
  <si>
    <t>A1/--</t>
  </si>
  <si>
    <t>稳定/--</t>
  </si>
  <si>
    <t>5.01Y</t>
  </si>
  <si>
    <t>EXIMCH</t>
  </si>
  <si>
    <t>SOFRIX +67.000</t>
  </si>
  <si>
    <t>EXPORT-IMPORT BANK OF CHINA/THE</t>
  </si>
  <si>
    <t>Agricultural Bank of China Limited Hong Kong Branch;China International Capital Corporation Hong Kong Securities Limited</t>
  </si>
  <si>
    <t>China International Capital Corporation Hong Kong Securities Limited;Agricultural Bank of China Limited Hong Kong Branch</t>
  </si>
  <si>
    <t>230802XS2664784704</t>
  </si>
  <si>
    <t>华泰证券股份有限公司</t>
  </si>
  <si>
    <t>证券</t>
  </si>
  <si>
    <t>江苏省</t>
  </si>
  <si>
    <t>南京市</t>
  </si>
  <si>
    <t>华泰证券 5.25 2026-08-09</t>
  </si>
  <si>
    <t>XS2663498314</t>
  </si>
  <si>
    <t>Baa1/BBB+</t>
  </si>
  <si>
    <t>T+105BPS区域</t>
  </si>
  <si>
    <t>T+75BPS</t>
  </si>
  <si>
    <t>募集资金将用于境外偿还到期的债务，并支持境外业务发展</t>
  </si>
  <si>
    <t>Huatai International Ltd;Bank of China Limited;Bank of Communications;Industrial and Commercial Bank of China (Asia) Limited;Industrial and Commercial Bank of China Limited, Singapore Branch;Industrial and Commercial Bank of China (Macau) Limited;The Hongkong and Shanghai Banking Corporation Limited;Hua Xia Bank Co., Limited Hong Kong Branch</t>
  </si>
  <si>
    <t>HTSC</t>
  </si>
  <si>
    <t>PIONEER REWARD LIMITED</t>
  </si>
  <si>
    <t>5.25%</t>
  </si>
  <si>
    <t>ABC International Limited;Bank of China (Hong Kong) Limited;BOCOM International Securities Limited;CNCB Capital;China Minsheng Banking Corp., Ltd., Hong Kong Branch;CMBC Capital;Industrial Bank Co., Ltd. Hong Kong Branch;Shanghai Pudong Development Bank Hong Kong Branch;SPDB International Capital Limited</t>
  </si>
  <si>
    <t>CNCB Capital;Bank of China Limited;China Minsheng Banking Corp., Ltd., Hong Kong Branch;Huatai International Ltd;Industrial and Commercial Bank of China Limited, Singapore Branch;SPDB International Capital Limited;Industrial and Commercial Bank of China (Macau) Limited;Industrial Bank Co., Ltd. Hong Kong Branch;The Hongkong and Shanghai Banking Corporation Limited;Hua Xia Bank Co., Limited Hong Kong Branch;BOCOM International Securities Limited;Bank of Communications;Industrial and Commercial Bank of China (Asia) Limited;CMBC Capital;Shanghai Pudong Development Bank Hong Kong Branch;Bank of China (Hong Kong) Limited;ABC International Limited</t>
  </si>
  <si>
    <t>230802XS2663498314</t>
  </si>
  <si>
    <t>广发控股(香港)有限公司</t>
  </si>
  <si>
    <t>民营企业</t>
  </si>
  <si>
    <t>广东省</t>
  </si>
  <si>
    <t>广州市</t>
  </si>
  <si>
    <t>广发控股(香港) 6.7 2024-02-04</t>
  </si>
  <si>
    <t>XS2658703686</t>
  </si>
  <si>
    <t>181D</t>
  </si>
  <si>
    <t>GFGCHK</t>
  </si>
  <si>
    <t>GF GLOBAL CAPITAL LTD/HK</t>
  </si>
  <si>
    <t>230802XS2658703686</t>
  </si>
  <si>
    <t>进出口银行 4.75 2026-08-07</t>
  </si>
  <si>
    <t>XS2664722936</t>
  </si>
  <si>
    <t>230801XS2664722936</t>
  </si>
  <si>
    <t>进出口银行 FLOAT 2028-08-08</t>
  </si>
  <si>
    <t>XS2664622631</t>
  </si>
  <si>
    <t>5.0Y</t>
  </si>
  <si>
    <t>CMB Wing Lung Bank Limited;Crédit Agricole Corporate and Investment Bank</t>
  </si>
  <si>
    <t>Crédit Agricole Corporate and Investment Bank;CMB Wing Lung Bank Limited</t>
  </si>
  <si>
    <t>230801XS2664622631</t>
  </si>
  <si>
    <t>重庆浦里开发投资集团有限公司</t>
  </si>
  <si>
    <t>重庆市</t>
  </si>
  <si>
    <t>开州区</t>
  </si>
  <si>
    <t>重庆浦里开发 4.9 2026-08-09</t>
  </si>
  <si>
    <t>XS2661071881</t>
  </si>
  <si>
    <t>AA</t>
  </si>
  <si>
    <t>4.90%</t>
  </si>
  <si>
    <t>重庆三峡银行股份有限公司</t>
  </si>
  <si>
    <t>新加坡交易所</t>
  </si>
  <si>
    <t>一般企业用途</t>
  </si>
  <si>
    <t>DBS Bank Ltd;China Zheshang Bank Co., Ltd. Hong Kong Branch;GF Securities (Hong Kong) Brokerage Limited</t>
  </si>
  <si>
    <t>CPDIGC</t>
  </si>
  <si>
    <t>控制权变更@100%</t>
  </si>
  <si>
    <t>230801XS2661071881</t>
  </si>
  <si>
    <t>中信证券国际有限公司</t>
  </si>
  <si>
    <t>国有相对控股企业</t>
  </si>
  <si>
    <t>深圳市</t>
  </si>
  <si>
    <t>中信证券国际 4.2 2023-11-07</t>
  </si>
  <si>
    <t>HK0000946399</t>
  </si>
  <si>
    <t>--/BBB+</t>
  </si>
  <si>
    <t>--/稳定</t>
  </si>
  <si>
    <t>92D</t>
  </si>
  <si>
    <t>CSILTD</t>
  </si>
  <si>
    <t>CSI MTN LTD</t>
  </si>
  <si>
    <t>CITIC SECURITIES INTERNATIONAL CO LTD</t>
  </si>
  <si>
    <t>CLSA Limited;CSI Capital Management Limited</t>
  </si>
  <si>
    <t>230731HK0000946399</t>
  </si>
  <si>
    <t>中国信达(香港)控股有限公司</t>
  </si>
  <si>
    <t>国有企业</t>
  </si>
  <si>
    <t>信达香港 5.75 2027-02-07</t>
  </si>
  <si>
    <t>XS2662422802</t>
  </si>
  <si>
    <t>负面/稳定</t>
  </si>
  <si>
    <t>T3+175BPS区域</t>
  </si>
  <si>
    <t>T3+130BPS</t>
  </si>
  <si>
    <t>3.5041</t>
  </si>
  <si>
    <t>0D+3.5Y</t>
  </si>
  <si>
    <t>-0.05%</t>
  </si>
  <si>
    <t>127</t>
  </si>
  <si>
    <t>银行/金融机构：56%
资产管理公司/基金管理公司：33%
公司/私人银行：9%
保险公司/主权财富基金：2%</t>
  </si>
  <si>
    <t>亚洲地区：99%
欧洲、中东和非洲地区（EMEA）：1%</t>
  </si>
  <si>
    <t>按照适用法律和国家发展和改革委员会的登记文件偿还现有债务</t>
  </si>
  <si>
    <t>99.0%</t>
  </si>
  <si>
    <t>33.0%</t>
  </si>
  <si>
    <t>Bank of China Limited;Merrill Lynch (Asia Pacific) Limited;CCB International Capital Limited;China Galaxy International Securities (Hong Kong) Company Limited;Cinda International Capital Limited;BOCI Asia Limited;CLSA Securities Limited;Bank of Communications Co., Ltd. Hong Kong Branch;BOCOM International Securities Limited;China CITIC Bank International Limited;ABCI Capital Limited;Standard Chartered Asia Ltd</t>
  </si>
  <si>
    <t>CCAMCL</t>
  </si>
  <si>
    <t>CHINA CINDA (2020) I MANAGEMENT LIMITED</t>
  </si>
  <si>
    <t>T3+130bps</t>
  </si>
  <si>
    <t>China Minsheng Banking Corp., Ltd., Hong Kong Branch;Crédit Agricole Corporate and Investment Bank;GF Securities (Hong Kong) Brokerage Limited;SMBC Nikko Securities (Hong Kong) Limited;Industrial Bank Co., Ltd. Hong Kong Branch;DBS Bank Ltd;The Hongkong and Shanghai Banking Corporation Limited;CNCB (Hong Kong) Capital Limited;ZHONGTAI SECURITIES CO., LTD.;Haitong International Securities Company Limited;Nanyang Commercial Bank, Limited;The Bank of East Asia, Limited</t>
  </si>
  <si>
    <t>Bank of China Limited;Merrill Lynch (Asia Pacific) Limited;China Minsheng Banking Corp., Ltd., Hong Kong Branch;CCB International Capital Limited;Crédit Agricole Corporate and Investment Bank;China Galaxy International Securities (Hong Kong) Company Limited;Cinda International Capital Limited;GF Securities (Hong Kong) Brokerage Limited;BOCI Asia Limited;CLSA Securities Limited;SMBC Nikko Securities (Hong Kong) Limited;Industrial Bank Co., Ltd. Hong Kong Branch;Bank of Communications Co., Ltd. Hong Kong Branch;DBS Bank Ltd;The Hongkong and Shanghai Banking Corporation Limited;BOCOM International Securities Limited;CNCB (Hong Kong) Capital Limited;China CITIC Bank International Limited;ABCI Capital Limited;Standard Chartered Asia Ltd;ZHONGTAI SECURITIES CO., LTD.;Haitong International Securities Company Limited;Nanyang Commercial Bank, Limited;The Bank of East Asia, Limited</t>
  </si>
  <si>
    <t>可赎回债</t>
  </si>
  <si>
    <t>230731XS2662422802</t>
  </si>
  <si>
    <t>3-5年</t>
  </si>
  <si>
    <t>A1/A+/A+</t>
  </si>
  <si>
    <t>VG</t>
  </si>
  <si>
    <t>Baa1/BBB+/--</t>
  </si>
  <si>
    <t>Baa1/BBB+/A</t>
  </si>
  <si>
    <t>宜宾丝丽雅</t>
  </si>
  <si>
    <t>Turbo</t>
  </si>
  <si>
    <t>Grace</t>
  </si>
  <si>
    <t>Wutong V</t>
  </si>
  <si>
    <t>合肥科技农商行</t>
  </si>
  <si>
    <t>5%</t>
  </si>
  <si>
    <t>上海银行</t>
  </si>
  <si>
    <t>6%</t>
  </si>
  <si>
    <t>6.5%a</t>
  </si>
  <si>
    <t>5</t>
  </si>
  <si>
    <t>2.52%</t>
  </si>
  <si>
    <t>T+105a</t>
  </si>
  <si>
    <t>T+75</t>
  </si>
  <si>
    <t>T</t>
  </si>
  <si>
    <t>重庆三峡银行</t>
  </si>
  <si>
    <t>4.9%</t>
  </si>
  <si>
    <t>新交所</t>
  </si>
  <si>
    <t>3.5</t>
  </si>
  <si>
    <t>5.75%</t>
  </si>
  <si>
    <t>T3+175a</t>
  </si>
  <si>
    <t>T3+130</t>
  </si>
  <si>
    <t>T3</t>
  </si>
  <si>
    <t>187k</t>
  </si>
  <si>
    <t>185k</t>
  </si>
  <si>
    <t>225k</t>
  </si>
  <si>
    <t>190k</t>
  </si>
  <si>
    <t>324k</t>
  </si>
  <si>
    <t>455k</t>
  </si>
  <si>
    <t>CPI 同比</t>
  </si>
  <si>
    <t>CNCPIYOY Index</t>
  </si>
  <si>
    <t>中国七月CPI 同比</t>
  </si>
  <si>
    <t>PPI同比</t>
  </si>
  <si>
    <t>CHEFTYOY Index</t>
  </si>
  <si>
    <t>中国七月PPI同比</t>
  </si>
  <si>
    <t>货币供应M2同比</t>
  </si>
  <si>
    <t>CNMS2YOY Index</t>
  </si>
  <si>
    <t>中国七月货币供应M2同比</t>
  </si>
  <si>
    <t>贸易余额</t>
  </si>
  <si>
    <t>$70.00b</t>
  </si>
  <si>
    <t>$70.62b</t>
  </si>
  <si>
    <t>CNFRBAL$ Index</t>
  </si>
  <si>
    <t>中国七月贸易余额</t>
  </si>
  <si>
    <t>出口同比</t>
  </si>
  <si>
    <t>CNFREXPY Index</t>
  </si>
  <si>
    <t>中国七月出口同比</t>
  </si>
  <si>
    <t>进口同比</t>
  </si>
  <si>
    <t>CNFRIMPY Index</t>
  </si>
  <si>
    <t>中国七月进口同比</t>
  </si>
  <si>
    <t>新增人民币贷款</t>
  </si>
  <si>
    <t>780.0b</t>
  </si>
  <si>
    <t>3050.0b</t>
  </si>
  <si>
    <t>3049.5b</t>
  </si>
  <si>
    <t>CNLNNEW Index</t>
  </si>
  <si>
    <t>中国七月新增人民币贷款</t>
  </si>
  <si>
    <t>外汇储备</t>
  </si>
  <si>
    <t>$3203.00b</t>
  </si>
  <si>
    <t>$3193.00b</t>
  </si>
  <si>
    <t>CNGFOREX Index</t>
  </si>
  <si>
    <t>中国七月外汇储备</t>
  </si>
  <si>
    <t>38565</t>
  </si>
  <si>
    <t>230k</t>
  </si>
  <si>
    <t>CPI CHNG Index</t>
  </si>
  <si>
    <t>美国七月CPI 月环比</t>
  </si>
  <si>
    <t>AUG P</t>
  </si>
  <si>
    <t>八月</t>
  </si>
  <si>
    <t>美国八月</t>
  </si>
  <si>
    <t>美国八月密歇根大学消费者信心指数</t>
  </si>
  <si>
    <t>CPI YOY Index</t>
  </si>
  <si>
    <t>美国七月CPI 同比</t>
  </si>
  <si>
    <t>38200</t>
  </si>
  <si>
    <t>生产者价格环比</t>
  </si>
  <si>
    <t>FDIDFDMO Index</t>
  </si>
  <si>
    <t>美国七月生产者价格环比</t>
  </si>
  <si>
    <t>-$65.0b</t>
  </si>
  <si>
    <t>-$69.0b</t>
  </si>
  <si>
    <t>USTBTOT Index</t>
  </si>
  <si>
    <t>美国六月贸易余额</t>
  </si>
  <si>
    <t>Wutong</t>
  </si>
  <si>
    <t>V</t>
  </si>
  <si>
    <t>Lead</t>
  </si>
  <si>
    <t>合名</t>
  </si>
  <si>
    <t>Baa1/--/--</t>
  </si>
  <si>
    <t>--/BBB+/--</t>
  </si>
  <si>
    <t>蒙城兴蒙投资(合肥科技农商行)</t>
  </si>
  <si>
    <t>点心债</t>
  </si>
  <si>
    <t>宜宾丝丽雅(上海银行)</t>
  </si>
  <si>
    <t>50</t>
  </si>
  <si>
    <t>华泰证券</t>
  </si>
  <si>
    <t>30</t>
  </si>
  <si>
    <t>中国财政部</t>
  </si>
  <si>
    <t>重庆浦里开发(重庆三峡银行)</t>
  </si>
  <si>
    <t>信达香港</t>
  </si>
  <si>
    <t>45</t>
  </si>
  <si>
    <t>周三，华泰证券（Baa1/BBB+/--）定价8亿美元3年期高级债（Baa1/--/--），价格T+75，较IPG收窄30个基点，交通银行担任全球协调人</t>
  </si>
  <si>
    <t>周一，信达香港（Baa1/BBB+/A）定价4亿美元3.5年期高级债（--/BBB+/--），价格T3+130，较IPG收窄45个基点，交通银行担任JGC</t>
  </si>
  <si>
    <t>认购额超29亿美元，超额认购7.20倍；
地区分布：亚洲地区：99%
欧洲、中东和非洲地区（EMEA）：1%；
投资者类型：银行/金融机构：56%
资管/基金：33%
公司/私行：9%
保险/主权财富基金：2%</t>
  </si>
  <si>
    <t>周五，蒙城兴蒙投资定价人民币1.4亿元3年期点心债（合肥科技农商行提供备证），价格5%</t>
  </si>
  <si>
    <t>周二，重庆浦里开发定价人民币1.97亿元3年期点心债（重庆三峡银行提供备证），价格4.9%</t>
  </si>
  <si>
    <t>52</t>
  </si>
  <si>
    <t>51</t>
  </si>
  <si>
    <t>周四，宜宾丝丽雅定价1.5亿美元3年期信用增强债券（上海银行提供备证），价格6%，较IPG收窄50个基点，交银国际担任账簿管理人</t>
  </si>
  <si>
    <t>财政部 2.2 2025-06-16</t>
  </si>
  <si>
    <t>HK0000933017</t>
  </si>
  <si>
    <t>2.0000</t>
  </si>
  <si>
    <t>1.86Y</t>
  </si>
  <si>
    <t>利率债</t>
  </si>
  <si>
    <t>230802HK0000933017</t>
  </si>
  <si>
    <t>财政部 2.3 2026-06-16</t>
  </si>
  <si>
    <t>HK0000933025</t>
  </si>
  <si>
    <t>2.86Y</t>
  </si>
  <si>
    <t>230802HK0000933025</t>
  </si>
  <si>
    <t>2.5</t>
  </si>
  <si>
    <t>2.216%</t>
  </si>
  <si>
    <t>[增发]</t>
  </si>
  <si>
    <t>2.3%</t>
  </si>
  <si>
    <t>中国财政部*</t>
  </si>
  <si>
    <t>Sole</t>
  </si>
  <si>
    <t>周三，中国财政部（A1/A+/A+）定价人民币30亿元5年期点心债，价格2.52%，交通银行担任全球协调人</t>
  </si>
  <si>
    <t>周三，中国财政部（A1/A+/A+）增发人民币增发30亿元点心债，价格2.3%，交通银行担任全球协调人</t>
  </si>
  <si>
    <t>2.2%</t>
  </si>
  <si>
    <t>周三，中国财政部（A1/A+/A+）增发人民币增发60亿元点心债，价格2.2%，交通银行担任全球协调人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</si>
</sst>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m/d/yyyy"/>
  </numFmts>
  <fonts count="40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b/>
      <sz val="11"/>
      <color theme="0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11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b/>
      <sz val="18"/>
      <color theme="9" tint="-0.249977111117893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8"/>
      <color rgb="FF888AA6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b/>
      <i/>
      <sz val="8"/>
      <color theme="1" tint="0.39997558519241921"/>
      <name val="Microsoft JhengHei UI"/>
      <family val="2"/>
      <scheme val="minor"/>
    </font>
    <font>
      <b/>
      <i/>
      <sz val="8"/>
      <color theme="0"/>
      <name val="Microsoft JhengHei UI"/>
      <family val="2"/>
      <scheme val="minor"/>
    </font>
    <font>
      <i/>
      <sz val="8"/>
      <color theme="1" tint="0.39994506668294322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11"/>
      <color rgb="FF404040"/>
      <name val="Microsoft JhengHei UI"/>
      <family val="2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8"/>
      <color rgb="FF404040"/>
      <name val="Microsoft JhengHei UI"/>
      <family val="2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sz val="22"/>
      <color rgb="FF888AA6"/>
      <name val="Microsoft JhengHei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5" fillId="2" borderId="1" applyNumberFormat="0" applyFont="0" applyAlignment="0" applyProtection="0"/>
    <xf numFmtId="0" fontId="10" fillId="10" borderId="0">
      <alignment horizontal="center" vertical="center" wrapText="1"/>
    </xf>
    <xf numFmtId="164" fontId="10" fillId="10" borderId="0">
      <alignment horizontal="center" vertical="center"/>
    </xf>
    <xf numFmtId="165" fontId="10" fillId="10" borderId="0">
      <alignment horizontal="center" vertical="center"/>
    </xf>
    <xf numFmtId="0" fontId="9" fillId="11" borderId="0">
      <alignment horizontal="center" vertical="center" wrapText="1"/>
    </xf>
    <xf numFmtId="0" fontId="29" fillId="0" borderId="0"/>
    <xf numFmtId="0" fontId="36" fillId="16" borderId="7" applyNumberFormat="0" applyAlignment="0" applyProtection="0"/>
  </cellStyleXfs>
  <cellXfs count="144">
    <xf numFmtId="0" fontId="0" fillId="0" borderId="0" xfId="0"/>
    <xf numFmtId="0" fontId="0" fillId="3" borderId="0" xfId="0" applyFill="1"/>
    <xf numFmtId="0" fontId="7" fillId="3" borderId="0" xfId="0" applyFont="1" applyFill="1" applyAlignment="1">
      <alignment vertical="center"/>
    </xf>
    <xf numFmtId="0" fontId="8" fillId="3" borderId="0" xfId="0" applyFont="1" applyFill="1"/>
    <xf numFmtId="0" fontId="0" fillId="3" borderId="0" xfId="0" applyFill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3" fillId="3" borderId="0" xfId="0" applyFont="1" applyFill="1"/>
    <xf numFmtId="0" fontId="14" fillId="3" borderId="0" xfId="0" applyFont="1" applyFill="1" applyAlignment="1">
      <alignment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17" fillId="0" borderId="0" xfId="0" applyFont="1"/>
    <xf numFmtId="0" fontId="18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 wrapText="1"/>
    </xf>
    <xf numFmtId="0" fontId="23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167" fontId="25" fillId="6" borderId="4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26" fillId="3" borderId="0" xfId="2" applyFont="1" applyFill="1" applyProtection="1">
      <alignment horizontal="center" vertical="center" wrapText="1"/>
      <protection hidden="1"/>
    </xf>
    <xf numFmtId="0" fontId="27" fillId="10" borderId="0" xfId="2" applyFont="1" applyProtection="1">
      <alignment horizontal="center" vertical="center" wrapText="1"/>
      <protection locked="0"/>
    </xf>
    <xf numFmtId="164" fontId="26" fillId="3" borderId="0" xfId="3" applyFont="1" applyFill="1" applyProtection="1">
      <alignment horizontal="center" vertical="center"/>
      <protection hidden="1"/>
    </xf>
    <xf numFmtId="164" fontId="27" fillId="10" borderId="0" xfId="2" applyNumberFormat="1" applyFont="1" applyProtection="1">
      <alignment horizontal="center" vertical="center" wrapText="1"/>
      <protection locked="0"/>
    </xf>
    <xf numFmtId="0" fontId="26" fillId="3" borderId="0" xfId="2" quotePrefix="1" applyFont="1" applyFill="1" applyProtection="1">
      <alignment horizontal="center" vertical="center" wrapText="1"/>
      <protection hidden="1"/>
    </xf>
    <xf numFmtId="0" fontId="27" fillId="10" borderId="0" xfId="2" quotePrefix="1" applyFont="1" applyProtection="1">
      <alignment horizontal="center" vertical="center" wrapText="1"/>
      <protection locked="0"/>
    </xf>
    <xf numFmtId="49" fontId="26" fillId="3" borderId="0" xfId="4" applyNumberFormat="1" applyFont="1" applyFill="1" applyProtection="1">
      <alignment horizontal="center" vertical="center"/>
      <protection hidden="1"/>
    </xf>
    <xf numFmtId="49" fontId="27" fillId="10" borderId="0" xfId="2" applyNumberFormat="1" applyFont="1" applyProtection="1">
      <alignment horizontal="center" vertical="center" wrapText="1"/>
      <protection locked="0"/>
    </xf>
    <xf numFmtId="49" fontId="27" fillId="10" borderId="0" xfId="4" applyNumberFormat="1" applyFont="1" applyProtection="1">
      <alignment horizontal="center" vertical="center"/>
      <protection locked="0"/>
    </xf>
    <xf numFmtId="10" fontId="27" fillId="10" borderId="0" xfId="2" quotePrefix="1" applyNumberFormat="1" applyFont="1" applyProtection="1">
      <alignment horizontal="center" vertical="center" wrapText="1"/>
      <protection locked="0"/>
    </xf>
    <xf numFmtId="10" fontId="26" fillId="3" borderId="0" xfId="2" applyNumberFormat="1" applyFont="1" applyFill="1" applyProtection="1">
      <alignment horizontal="center" vertical="center" wrapText="1"/>
      <protection hidden="1"/>
    </xf>
    <xf numFmtId="0" fontId="26" fillId="3" borderId="0" xfId="2" applyFont="1" applyFill="1" applyAlignment="1" applyProtection="1">
      <alignment horizontal="center" vertical="center"/>
      <protection hidden="1"/>
    </xf>
    <xf numFmtId="0" fontId="28" fillId="11" borderId="0" xfId="5" applyFont="1" applyProtection="1">
      <alignment horizontal="center" vertical="center" wrapText="1"/>
      <protection hidden="1"/>
    </xf>
    <xf numFmtId="0" fontId="28" fillId="11" borderId="0" xfId="5" quotePrefix="1" applyFont="1" applyProtection="1">
      <alignment horizontal="center" vertical="center" wrapText="1"/>
      <protection hidden="1"/>
    </xf>
    <xf numFmtId="0" fontId="13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14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3" fillId="3" borderId="0" xfId="0" applyFont="1" applyFill="1" applyAlignment="1" applyProtection="1">
      <alignment vertical="center"/>
      <protection locked="0"/>
    </xf>
    <xf numFmtId="0" fontId="11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31" fillId="3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12" borderId="0" xfId="0" applyFill="1"/>
    <xf numFmtId="164" fontId="0" fillId="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3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0" fontId="1" fillId="0" borderId="0" xfId="0" applyFont="1"/>
    <xf numFmtId="0" fontId="0" fillId="3" borderId="6" xfId="0" applyFill="1" applyBorder="1"/>
    <xf numFmtId="0" fontId="6" fillId="9" borderId="5" xfId="0" applyFont="1" applyFill="1" applyBorder="1"/>
    <xf numFmtId="0" fontId="1" fillId="3" borderId="0" xfId="0" applyFont="1" applyFill="1" applyAlignment="1">
      <alignment vertical="center"/>
    </xf>
    <xf numFmtId="0" fontId="6" fillId="9" borderId="5" xfId="0" applyFont="1" applyFill="1" applyBorder="1" applyAlignment="1">
      <alignment horizontal="center" vertical="center"/>
    </xf>
    <xf numFmtId="0" fontId="33" fillId="3" borderId="0" xfId="0" applyFont="1" applyFill="1"/>
    <xf numFmtId="0" fontId="34" fillId="14" borderId="0" xfId="0" applyFont="1" applyFill="1"/>
    <xf numFmtId="0" fontId="0" fillId="15" borderId="0" xfId="0" applyFill="1"/>
    <xf numFmtId="10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quotePrefix="1" applyFill="1"/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164" fontId="0" fillId="0" borderId="0" xfId="0" applyNumberFormat="1"/>
    <xf numFmtId="0" fontId="35" fillId="3" borderId="0" xfId="0" applyFont="1" applyFill="1"/>
    <xf numFmtId="164" fontId="0" fillId="12" borderId="0" xfId="0" applyNumberFormat="1" applyFill="1" applyAlignment="1">
      <alignment horizontal="center"/>
    </xf>
    <xf numFmtId="164" fontId="0" fillId="12" borderId="0" xfId="0" quotePrefix="1" applyNumberFormat="1" applyFill="1"/>
    <xf numFmtId="10" fontId="0" fillId="12" borderId="0" xfId="0" applyNumberFormat="1" applyFill="1" applyAlignment="1">
      <alignment horizontal="center" vertical="center"/>
    </xf>
    <xf numFmtId="0" fontId="0" fillId="12" borderId="0" xfId="0" quotePrefix="1" applyFill="1" applyAlignment="1">
      <alignment horizontal="center" vertical="center"/>
    </xf>
    <xf numFmtId="14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36" fillId="16" borderId="7" xfId="7" applyAlignment="1">
      <alignment horizontal="center" vertical="center"/>
    </xf>
    <xf numFmtId="164" fontId="0" fillId="3" borderId="6" xfId="0" applyNumberFormat="1" applyFill="1" applyBorder="1" applyAlignment="1">
      <alignment vertical="center"/>
    </xf>
    <xf numFmtId="0" fontId="37" fillId="3" borderId="0" xfId="0" applyFont="1" applyFill="1" applyAlignment="1">
      <alignment vertical="center"/>
    </xf>
    <xf numFmtId="0" fontId="38" fillId="3" borderId="0" xfId="0" applyFont="1" applyFill="1" applyAlignment="1">
      <alignment vertical="center"/>
    </xf>
    <xf numFmtId="0" fontId="39" fillId="4" borderId="3" xfId="0" applyFont="1" applyFill="1" applyBorder="1" applyAlignment="1">
      <alignment horizontal="center" vertical="center"/>
    </xf>
    <xf numFmtId="164" fontId="0" fillId="12" borderId="0" xfId="0" quotePrefix="1" applyNumberFormat="1" applyFill="1" applyAlignment="1">
      <alignment horizontal="center"/>
    </xf>
    <xf numFmtId="0" fontId="0" fillId="12" borderId="0" xfId="0" quotePrefix="1" applyFill="1" applyAlignment="1">
      <alignment horizontal="center"/>
    </xf>
    <xf numFmtId="0" fontId="0" fillId="0" borderId="0" xfId="0" quotePrefix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0" fillId="0" borderId="0" xfId="0" quotePrefix="1" applyAlignment="1">
      <alignment horizontal="center" vertical="center"/>
    </xf>
    <xf numFmtId="168" fontId="0" fillId="12" borderId="0" xfId="0" applyNumberFormat="1" applyFill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0" borderId="0" xfId="0" applyNumberFormat="1" applyAlignment="1">
      <alignment wrapText="1"/>
    </xf>
    <xf numFmtId="0" fontId="0" fillId="0" borderId="0" xfId="0" applyAlignment="1"/>
    <xf numFmtId="167" fontId="0" fillId="0" borderId="0" xfId="0" applyNumberFormat="1" applyFont="1" applyFill="1" applyAlignment="1" applyProtection="1">
      <alignment horizontal="left"/>
      <protection locked="0"/>
    </xf>
    <xf numFmtId="0" fontId="0" fillId="0" borderId="0" xfId="0" applyFont="1" applyFill="1" applyProtection="1">
      <protection locked="0"/>
    </xf>
    <xf numFmtId="166" fontId="0" fillId="0" borderId="0" xfId="0" applyNumberFormat="1" applyFont="1" applyFill="1" applyProtection="1"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169" fontId="0" fillId="0" borderId="0" xfId="0" applyNumberFormat="1" applyFont="1" applyFill="1"/>
    <xf numFmtId="169" fontId="0" fillId="0" borderId="0" xfId="0" applyNumberFormat="1"/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169" fontId="0" fillId="0" borderId="0" xfId="0" applyNumberFormat="1" applyFont="1" applyFill="1" applyBorder="1" applyAlignment="1">
      <alignment vertical="center"/>
    </xf>
    <xf numFmtId="169" fontId="0" fillId="0" borderId="0" xfId="0" applyNumberFormat="1" applyFont="1" applyFill="1" applyAlignment="1">
      <alignment vertical="center"/>
    </xf>
    <xf numFmtId="0" fontId="0" fillId="0" borderId="0" xfId="0" applyNumberFormat="1" applyFont="1" applyFill="1" applyAlignment="1">
      <alignment vertical="center"/>
    </xf>
  </cellXfs>
  <cellStyles count="8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</cellStyles>
  <dxfs count="399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9" formatCode="d/m/yyyy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/>
        <strike val="0"/>
        <outline val="0"/>
        <shadow val="0"/>
        <u val="none"/>
        <vertAlign val="baseline"/>
        <sz val="8"/>
        <color theme="1" tint="0.3999755851924192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1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  <alignment horizontal="center" vertical="center" textRotation="0" indent="0" justifyLastLine="0" shrinkToFit="0" readingOrder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/m/yyyy"/>
      <protection locked="0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color theme="4" tint="-0.499984740745262"/>
      </font>
      <fill>
        <patternFill>
          <bgColor theme="5" tint="0.79998168889431442"/>
        </patternFill>
      </fill>
    </dxf>
    <dxf>
      <font>
        <color rgb="FF2A7968"/>
      </font>
      <fill>
        <patternFill>
          <bgColor theme="6" tint="0.79998168889431442"/>
        </patternFill>
      </fill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4" formatCode="yyyy/m/d;@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64" formatCode="yyyy/m/d;@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6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398"/>
    </tableStyle>
    <tableStyle name="ECON" pivot="0" count="2" xr9:uid="{00000000-0011-0000-FFFF-FFFF01000000}">
      <tableStyleElement type="wholeTable" dxfId="397"/>
      <tableStyleElement type="headerRow" dxfId="396"/>
    </tableStyle>
    <tableStyle name="Named_dd" pivot="0" count="2" xr9:uid="{00000000-0011-0000-FFFF-FFFF02000000}">
      <tableStyleElement type="wholeTable" dxfId="395"/>
      <tableStyleElement type="headerRow" dxfId="394"/>
    </tableStyle>
    <tableStyle name="Named_dd 2" pivot="0" count="2" xr9:uid="{00000000-0011-0000-FFFF-FFFF03000000}">
      <tableStyleElement type="wholeTable" dxfId="393"/>
      <tableStyleElement type="headerRow" dxfId="392"/>
    </tableStyle>
    <tableStyle name="Named_dd 3" pivot="0" count="2" xr9:uid="{00000000-0011-0000-FFFF-FFFF04000000}">
      <tableStyleElement type="wholeTable" dxfId="391"/>
      <tableStyleElement type="headerRow" dxfId="390"/>
    </tableStyle>
    <tableStyle name="Qry Load" pivot="0" count="3" xr9:uid="{00000000-0011-0000-FFFF-FFFF05000000}">
      <tableStyleElement type="wholeTable" dxfId="389"/>
      <tableStyleElement type="headerRow" dxfId="388"/>
      <tableStyleElement type="totalRow" dxfId="387"/>
    </tableStyle>
    <tableStyle name="Qry Load 2" pivot="0" count="3" xr9:uid="{00000000-0011-0000-FFFF-FFFF06000000}">
      <tableStyleElement type="wholeTable" dxfId="386"/>
      <tableStyleElement type="headerRow" dxfId="385"/>
      <tableStyleElement type="totalRow" dxfId="384"/>
    </tableStyle>
    <tableStyle name="Qry Load 3" pivot="0" count="3" xr9:uid="{00000000-0011-0000-FFFF-FFFF07000000}">
      <tableStyleElement type="wholeTable" dxfId="383"/>
      <tableStyleElement type="headerRow" dxfId="382"/>
      <tableStyleElement type="totalRow" dxfId="381"/>
    </tableStyle>
    <tableStyle name="Qry Load 4" pivot="0" count="3" xr9:uid="{00000000-0011-0000-FFFF-FFFF08000000}">
      <tableStyleElement type="wholeTable" dxfId="380"/>
      <tableStyleElement type="headerRow" dxfId="379"/>
      <tableStyleElement type="totalRow" dxfId="378"/>
    </tableStyle>
    <tableStyle name="Qry Load 5" pivot="0" count="3" xr9:uid="{00000000-0011-0000-FFFF-FFFF09000000}">
      <tableStyleElement type="wholeTable" dxfId="377"/>
      <tableStyleElement type="headerRow" dxfId="376"/>
      <tableStyleElement type="totalRow" dxfId="375"/>
    </tableStyle>
    <tableStyle name="Qry Source" pivot="0" count="2" xr9:uid="{00000000-0011-0000-FFFF-FFFF0A000000}">
      <tableStyleElement type="wholeTable" dxfId="374"/>
      <tableStyleElement type="headerRow" dxfId="373"/>
    </tableStyle>
    <tableStyle name="Qry Source 2" pivot="0" count="2" xr9:uid="{00000000-0011-0000-FFFF-FFFF0B000000}">
      <tableStyleElement type="wholeTable" dxfId="372"/>
      <tableStyleElement type="headerRow" dxfId="371"/>
    </tableStyle>
    <tableStyle name="review" pivot="0" count="3" xr9:uid="{00000000-0011-0000-FFFF-FFFF0C000000}">
      <tableStyleElement type="wholeTable" dxfId="370"/>
      <tableStyleElement type="headerRow" dxfId="369"/>
      <tableStyleElement type="totalRow" dxfId="368"/>
    </tableStyle>
    <tableStyle name="review 2" pivot="0" count="3" xr9:uid="{7E48D373-8BD3-405C-AC0B-582D578C48DF}">
      <tableStyleElement type="wholeTable" dxfId="367"/>
      <tableStyleElement type="headerRow" dxfId="366"/>
      <tableStyleElement type="totalRow" dxfId="365"/>
    </tableStyle>
  </tableStyles>
  <colors>
    <mruColors>
      <color rgb="FF888AA6"/>
      <color rgb="FFE1E1E9"/>
      <color rgb="FFC2B59B"/>
      <color rgb="FFC69E62"/>
      <color rgb="FFF4EBE0"/>
      <color rgb="FFF4EBDF"/>
      <color rgb="FF234473"/>
      <color rgb="FF2A7968"/>
      <color rgb="FF0000FF"/>
      <color rgb="FF0071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336177</xdr:colOff>
      <xdr:row>0</xdr:row>
      <xdr:rowOff>22413</xdr:rowOff>
    </xdr:from>
    <xdr:to>
      <xdr:col>7</xdr:col>
      <xdr:colOff>145678</xdr:colOff>
      <xdr:row>1</xdr:row>
      <xdr:rowOff>825501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048001" y="22413"/>
          <a:ext cx="2868706" cy="1643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first BEFORE editing query code</a:t>
          </a:r>
          <a:endParaRPr lang="en-US">
            <a:solidFill>
              <a:schemeClr val="accent6"/>
            </a:solidFill>
            <a:effectLst/>
          </a:endParaRPr>
        </a:p>
        <a:p>
          <a:endParaRPr lang="en-US" sz="1100">
            <a:solidFill>
              <a:schemeClr val="accent6"/>
            </a:solidFill>
          </a:endParaRPr>
        </a:p>
        <a:p>
          <a:r>
            <a:rPr lang="en-US" sz="1100">
              <a:solidFill>
                <a:schemeClr val="accent6"/>
              </a:solidFill>
            </a:rPr>
            <a:t>C</a:t>
          </a:r>
          <a:r>
            <a:rPr lang="en-US" altLang="zh-CN" sz="1100">
              <a:solidFill>
                <a:schemeClr val="accent6"/>
              </a:solidFill>
            </a:rPr>
            <a:t>hange Updator ➡️</a:t>
          </a:r>
        </a:p>
        <a:p>
          <a:r>
            <a:rPr lang="en-US" sz="1100">
              <a:solidFill>
                <a:schemeClr val="accent6"/>
              </a:solidFill>
            </a:rPr>
            <a:t>will wipe out TAB "Add" &amp;"REVIEW_LIST"</a:t>
          </a:r>
        </a:p>
      </xdr:txBody>
    </xdr:sp>
    <xdr:clientData fPrintsWithSheet="0"/>
  </xdr:twoCellAnchor>
  <xdr:oneCellAnchor>
    <xdr:from>
      <xdr:col>0</xdr:col>
      <xdr:colOff>28575</xdr:colOff>
      <xdr:row>3</xdr:row>
      <xdr:rowOff>223157</xdr:rowOff>
    </xdr:from>
    <xdr:ext cx="1174374" cy="784893"/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8575" y="2430716"/>
          <a:ext cx="1174374" cy="784893"/>
          <a:chOff x="4143376" y="785170"/>
          <a:chExt cx="1171573" cy="7886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4143376" y="785170"/>
            <a:ext cx="1171573" cy="78860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DLD</a:t>
            </a:r>
            <a:r>
              <a:rPr lang="en-US" altLang="zh-C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conso</a:t>
            </a:r>
            <a:endParaRPr lang="en-US" sz="1100">
              <a:solidFill>
                <a:schemeClr val="tx1"/>
              </a:solidFill>
            </a:endParaRPr>
          </a:p>
        </xdr:txBody>
      </xdr:sp>
      <xdr:pic>
        <xdr:nvPicPr>
          <xdr:cNvPr id="8" name="Graphic 7" descr="Repeat outline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38662" y="804221"/>
            <a:ext cx="381000" cy="381000"/>
          </a:xfrm>
          <a:prstGeom prst="rect">
            <a:avLst/>
          </a:prstGeom>
        </xdr:spPr>
      </xdr:pic>
    </xdr:grp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394159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266700</xdr:rowOff>
        </xdr:from>
        <xdr:to>
          <xdr:col>3</xdr:col>
          <xdr:colOff>1857375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40404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1130824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27163209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78439</xdr:colOff>
      <xdr:row>1</xdr:row>
      <xdr:rowOff>134471</xdr:rowOff>
    </xdr:from>
    <xdr:to>
      <xdr:col>0</xdr:col>
      <xdr:colOff>1895236</xdr:colOff>
      <xdr:row>1</xdr:row>
      <xdr:rowOff>847703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78439" y="728383"/>
          <a:ext cx="1816797" cy="713232"/>
          <a:chOff x="11583740" y="2212820"/>
          <a:chExt cx="1451579" cy="713232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11583740" y="2212820"/>
            <a:ext cx="1451579" cy="71323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8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Source to Qry:</a:t>
            </a:r>
            <a:r>
              <a:rPr lang="en-US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writer</a:t>
            </a:r>
            <a:endParaRPr lang="en-US" sz="1100">
              <a:solidFill>
                <a:schemeClr val="tx1"/>
              </a:solidFill>
            </a:endParaRPr>
          </a:p>
        </xdr:txBody>
      </xdr:sp>
      <xdr:pic>
        <xdr:nvPicPr>
          <xdr:cNvPr id="4" name="Graphic 3" descr="Database outline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150289" y="2219742"/>
            <a:ext cx="438978" cy="438978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1</xdr:col>
      <xdr:colOff>2308</xdr:colOff>
      <xdr:row>0</xdr:row>
      <xdr:rowOff>28573</xdr:rowOff>
    </xdr:from>
    <xdr:to>
      <xdr:col>1</xdr:col>
      <xdr:colOff>2503715</xdr:colOff>
      <xdr:row>1</xdr:row>
      <xdr:rowOff>844825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2326408" y="28573"/>
          <a:ext cx="2504128" cy="1401359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To effect the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changes, you must r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📂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Post-review Folder 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 revising this sheet. </a:t>
          </a:r>
          <a:endParaRPr lang="en-US" sz="1100">
            <a:solidFill>
              <a:schemeClr val="accent6"/>
            </a:solidFill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14</xdr:col>
      <xdr:colOff>0</xdr:colOff>
      <xdr:row>2</xdr:row>
      <xdr:rowOff>20731</xdr:rowOff>
    </xdr:from>
    <xdr:ext cx="1062610" cy="909357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13245353" y="1724025"/>
          <a:ext cx="1062610" cy="909357"/>
          <a:chOff x="4143376" y="1933574"/>
          <a:chExt cx="1068457" cy="9093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4143376" y="1933575"/>
            <a:ext cx="1068457" cy="909356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849923</xdr:rowOff>
    </xdr:from>
    <xdr:ext cx="1367118" cy="1646704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0" y="849923"/>
          <a:ext cx="1367118" cy="16467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ALL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</a:rPr>
            <a:t>A</a:t>
          </a:r>
          <a:r>
            <a:rPr lang="en-US" altLang="zh-CN" sz="1100">
              <a:solidFill>
                <a:schemeClr val="accent6"/>
              </a:solidFill>
            </a:rPr>
            <a:t>gain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accent6"/>
              </a:solidFill>
            </a:rPr>
            <a:t>When</a:t>
          </a:r>
          <a:r>
            <a:rPr lang="en-US" sz="1100" baseline="0">
              <a:solidFill>
                <a:schemeClr val="accent6"/>
              </a:solidFill>
            </a:rPr>
            <a:t> Added</a:t>
          </a:r>
          <a:endParaRPr lang="en-US" sz="110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7" xr16:uid="{A6361912-58D1-4981-A964-B119518F56C6}" autoFormatId="16" applyNumberFormats="0" applyBorderFormats="0" applyFontFormats="0" applyPatternFormats="0" applyAlignmentFormats="0" applyWidthHeightFormats="0">
  <queryTableRefresh nextId="2">
    <queryTableFields count="1">
      <queryTableField id="1" name="板块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5" xr16:uid="{F6F408C1-5F5C-4646-8990-EA8FE33BBFF2}" autoFormatId="16" applyNumberFormats="0" applyBorderFormats="0" applyFontFormats="0" applyPatternFormats="0" applyAlignmentFormats="0" applyWidthHeightFormats="0">
  <queryTableRefresh nextId="2">
    <queryTableFields count="1">
      <queryTableField id="1" name="中资属性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4096DD0-AB84-4A53-B115-89BF556605B4}" autoFormatId="16" applyNumberFormats="0" applyBorderFormats="0" applyFontFormats="0" applyPatternFormats="0" applyAlignmentFormats="0" applyWidthHeightFormats="0">
  <queryTableRefresh nextId="2">
    <queryTableFields count="1">
      <queryTableField id="1" name="BISL_ROL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E4DA41F8-D207-4CA8-8A33-AF4705C2A064}" autoFormatId="16" applyNumberFormats="0" applyBorderFormats="0" applyFontFormats="0" applyPatternFormats="0" applyAlignmentFormats="0" applyWidthHeightFormats="0">
  <queryTableRefresh nextId="2">
    <queryTableFields count="1">
      <queryTableField id="1" name="BOCOM_DEAL?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2" xr16:uid="{B8FD89C8-856C-4BC4-965B-5913312DB0D0}" autoFormatId="16" applyNumberFormats="0" applyBorderFormats="0" applyFontFormats="0" applyPatternFormats="0" applyAlignmentFormats="0" applyWidthHeightFormats="0">
  <queryTableRefresh nextId="76">
    <queryTableFields count="68">
      <queryTableField id="1" name="信用主体" tableColumnId="1"/>
      <queryTableField id="2" name="公司类型" tableColumnId="2"/>
      <queryTableField id="3" name="行业" tableColumnId="3"/>
      <queryTableField id="4" name="细分行业" tableColumnId="4"/>
      <queryTableField id="5" name="省份" tableColumnId="5"/>
      <queryTableField id="6" name="城市" tableColumnId="6"/>
      <queryTableField id="7" name="区县" tableColumnId="7"/>
      <queryTableField id="8" name="债券简称" tableColumnId="8"/>
      <queryTableField id="9" name="ISIN" tableColumnId="9"/>
      <queryTableField id="10" name="主题债券" tableColumnId="10"/>
      <queryTableField id="11" name="评级类型" tableColumnId="11"/>
      <queryTableField id="12" name="定价日" tableColumnId="12"/>
      <queryTableField id="13" name="穆迪/标普" tableColumnId="13"/>
      <queryTableField id="14" name="主体评级展望" tableColumnId="14"/>
      <queryTableField id="15" name="债项评级" tableColumnId="15"/>
      <queryTableField id="16" name="债项初始评级" tableColumnId="16"/>
      <queryTableField id="17" name="境内主体评级" tableColumnId="17"/>
      <queryTableField id="18" name="发行票面利率" tableColumnId="18"/>
      <queryTableField id="19" name="兑付日" tableColumnId="19"/>
      <queryTableField id="20" name="IPT_DMI" tableColumnId="20"/>
      <queryTableField id="21" name="FPG_DMI" tableColumnId="21"/>
      <queryTableField id="22" name="收窄幅度(bp)" tableColumnId="22"/>
      <queryTableField id="23" name="发行方式" tableColumnId="23"/>
      <queryTableField id="24" name="发行结构" tableColumnId="24"/>
      <queryTableField id="25" name="SBLC提供者" tableColumnId="25"/>
      <queryTableField id="26" name="偿还顺位" tableColumnId="26"/>
      <queryTableField id="27" name="发行规模(亿)" tableColumnId="27"/>
      <queryTableField id="28" name="货币" tableColumnId="28"/>
      <queryTableField id="29" name="发行期限(年)" tableColumnId="29"/>
      <queryTableField id="62" name="剩余期限" tableColumnId="62"/>
      <queryTableField id="30" name="发行价" tableColumnId="30"/>
      <queryTableField id="31" name="发行场所" tableColumnId="31"/>
      <queryTableField id="32" name="首日涨跌" tableColumnId="32"/>
      <queryTableField id="33" name="认购额(亿)" tableColumnId="33"/>
      <queryTableField id="34" name="认购倍数" tableColumnId="34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5" name="亚洲占比" tableColumnId="35"/>
      <queryTableField id="36" name="基金占比" tableColumnId="36"/>
      <queryTableField id="37" name="联席全球协调人" tableColumnId="37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60" name="地区" tableColumnId="60"/>
      <queryTableField id="61" name="Check" tableColumnId="6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1" xr16:uid="{00000000-0016-0000-0100-000000000000}" autoFormatId="16" applyNumberFormats="0" applyBorderFormats="0" applyFontFormats="0" applyPatternFormats="0" applyAlignmentFormats="0" applyWidthHeightFormats="0">
  <queryTableRefresh nextId="142">
    <queryTableFields count="78">
      <queryTableField id="107" name="Index" tableColumnId="67"/>
      <queryTableField id="1" name="信用主体" tableColumnId="1"/>
      <queryTableField id="2" name="公司类型" tableColumnId="2"/>
      <queryTableField id="3" name="行业" tableColumnId="3"/>
      <queryTableField id="4" name="细分行业" tableColumnId="4"/>
      <queryTableField id="5" name="省份" tableColumnId="5"/>
      <queryTableField id="6" name="城市" tableColumnId="6"/>
      <queryTableField id="7" name="区县" tableColumnId="7"/>
      <queryTableField id="8" name="债券简称" tableColumnId="8"/>
      <queryTableField id="9" name="ISIN" tableColumnId="9"/>
      <queryTableField id="10" name="主题债券" tableColumnId="10"/>
      <queryTableField id="11" name="评级类型" tableColumnId="11"/>
      <queryTableField id="12" name="定价日" tableColumnId="12"/>
      <queryTableField id="13" name="穆迪/标普" tableColumnId="13"/>
      <queryTableField id="14" name="主体评级展望" tableColumnId="14"/>
      <queryTableField id="15" name="债项评级" tableColumnId="15"/>
      <queryTableField id="16" name="债项初始评级" tableColumnId="16"/>
      <queryTableField id="17" name="境内主体评级" tableColumnId="17"/>
      <queryTableField id="18" name="发行票面利率" tableColumnId="18"/>
      <queryTableField id="19" name="兑付日" tableColumnId="19"/>
      <queryTableField id="98" name="IPT_DMI" tableColumnId="20"/>
      <queryTableField id="99" name="FPG_DMI" tableColumnId="21"/>
      <queryTableField id="22" name="收窄幅度(bp)" tableColumnId="22"/>
      <queryTableField id="93" name="发行方式" tableColumnId="72"/>
      <queryTableField id="23" name="发行结构" tableColumnId="23"/>
      <queryTableField id="24" name="SBLC提供者" tableColumnId="24"/>
      <queryTableField id="25" name="偿还顺位" tableColumnId="25"/>
      <queryTableField id="26" name="发行规模(亿)" tableColumnId="26"/>
      <queryTableField id="27" name="货币" tableColumnId="27"/>
      <queryTableField id="28" name="发行期限(年)" tableColumnId="28"/>
      <queryTableField id="122" name="剩余期限" tableColumnId="70"/>
      <queryTableField id="29" name="发行价" tableColumnId="29"/>
      <queryTableField id="30" name="发行场所" tableColumnId="30"/>
      <queryTableField id="31" name="首日涨跌" tableColumnId="31"/>
      <queryTableField id="32" name="认购额(亿)" tableColumnId="32"/>
      <queryTableField id="33" name="认购倍数" tableColumnId="33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4" name="亚洲占比" tableColumnId="34"/>
      <queryTableField id="35" name="基金占比" tableColumnId="35"/>
      <queryTableField id="36" name="联席全球协调人" tableColumnId="3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2" name="最新票面利率" tableColumnId="42"/>
      <queryTableField id="43" name="计息基准" tableColumnId="43"/>
      <queryTableField id="44" name="首次付息日" tableColumnId="44"/>
      <queryTableField id="45" name="发行人" tableColumnId="45"/>
      <queryTableField id="46" name="担保人" tableColumnId="46"/>
      <queryTableField id="47" name="发行起始日" tableColumnId="47"/>
      <queryTableField id="136" name="定价_DMI" tableColumnId="77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91" name="地区" tableColumnId="71"/>
      <queryTableField id="100" name="亿美元" tableColumnId="60"/>
      <queryTableField id="105" name="亿元" tableColumnId="64"/>
      <queryTableField id="120" name="亿港币" tableColumnId="69"/>
      <queryTableField id="140" name="注册成立地" tableColumnId="79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9" name="Check" tableColumnId="59"/>
      <queryTableField id="109" name="IS_FIMTN" tableColumnId="6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8" xr16:uid="{BCA25F3D-5EA7-4438-BD47-A2F505717EAC}" autoFormatId="16" applyNumberFormats="0" applyBorderFormats="0" applyFontFormats="0" applyPatternFormats="0" applyAlignmentFormats="0" applyWidthHeightFormats="0">
  <queryTableRefresh nextId="12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8" name="行业" tableColumnId="8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85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2" xr16:uid="{00000000-0016-0000-0200-000003000000}" autoFormatId="16" applyNumberFormats="0" applyBorderFormats="0" applyFontFormats="0" applyPatternFormats="0" applyAlignmentFormats="0" applyWidthHeightFormats="0">
  <queryTableRefresh nextId="108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53" name="结构" tableColumnId="7"/>
      <queryTableField id="71" name="备证行" tableColumnId="30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12" name="IPG" tableColumnId="12"/>
      <queryTableField id="13" name="FPG" tableColumnId="13"/>
      <queryTableField id="14" name="收窄基点" tableColumnId="14"/>
      <queryTableField id="55" name="ESG" tableColumnId="15"/>
      <queryTableField id="57" name="FEATURED" tableColumnId="20"/>
      <queryTableField id="73" name="上市" tableColumnId="33"/>
      <queryTableField id="72" name="增发判定" tableColumnId="31"/>
      <queryTableField id="25" name="定价" tableColumnId="25"/>
      <queryTableField id="26" name="定价基准" tableColumnId="26"/>
      <queryTableField id="27" name="发行票面利率" tableColumnId="27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2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6" name="行业" tableColumnId="6"/>
      <queryTableField id="7" name="评级分类" tableColumnId="7"/>
      <queryTableField id="8" name="品种" tableColumnId="8"/>
      <queryTableField id="9" name="按年" tableColumnId="9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3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1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0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2" xr16:uid="{00000000-0016-0000-0500-00000D000000}" autoFormatId="16" applyNumberFormats="0" applyBorderFormats="0" applyFontFormats="0" applyPatternFormats="0" applyAlignmentFormats="0" applyWidthHeightFormats="0">
  <queryTableRefresh nextId="33">
    <queryTableFields count="6">
      <queryTableField id="22" name="Index" tableColumnId="11"/>
      <queryTableField id="31" name="板块" tableColumnId="2"/>
      <queryTableField id="3" name="货币" tableColumnId="3"/>
      <queryTableField id="27" name="信用主体(备证行)" tableColumnId="1"/>
      <queryTableField id="5" name="描述" tableColumnId="5"/>
      <queryTableField id="30" name="Stats描述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3" xr16:uid="{9A83D6E5-8028-451F-81EB-6106800FC1B7}" autoFormatId="16" applyNumberFormats="0" applyBorderFormats="0" applyFontFormats="0" applyPatternFormats="0" applyAlignmentFormats="0" applyWidthHeightFormats="0">
  <queryTableRefresh nextId="59">
    <queryTableFields count="45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0" xr16:uid="{00000000-0016-0000-0400-00000A000000}" autoFormatId="16" applyNumberFormats="0" applyBorderFormats="0" applyFontFormats="0" applyPatternFormats="0" applyAlignmentFormats="0" applyWidthHeightFormats="0">
  <queryTableRefresh nextId="58">
    <queryTableFields count="20">
      <queryTableField id="24" name="Index" tableColumnId="1"/>
      <queryTableField id="7" name="信用主体" tableColumnId="7"/>
      <queryTableField id="25" name="信用主体简称" tableColumnId="12"/>
      <queryTableField id="22" name="板块" tableColumnId="3"/>
      <queryTableField id="45" name="行业二级" tableColumnId="13"/>
      <queryTableField id="4" name="地区" tableColumnId="4"/>
      <queryTableField id="5" name="城市" tableColumnId="5"/>
      <queryTableField id="6" name="区县" tableColumnId="6"/>
      <queryTableField id="27" name="平台级别" tableColumnId="14"/>
      <queryTableField id="12" name="中资属性" tableColumnId="2"/>
      <queryTableField id="56" name="系" tableColumnId="20"/>
      <queryTableField id="28" name="首次违约日" tableColumnId="15"/>
      <queryTableField id="11" name="DEBUT_DATE" tableColumnId="11"/>
      <queryTableField id="29" name="曾用名" tableColumnId="16"/>
      <queryTableField id="30" name="主体备注" tableColumnId="17"/>
      <queryTableField id="8" name="行业" tableColumnId="8"/>
      <queryTableField id="9" name="细分行业" tableColumnId="9"/>
      <queryTableField id="10" name="公司类型" tableColumnId="10"/>
      <queryTableField id="31" name="Updator" tableColumnId="18"/>
      <queryTableField id="32" name="Timestamp" tableColumnId="1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9" xr16:uid="{00000000-0016-0000-0400-000008000000}" autoFormatId="16" applyNumberFormats="0" applyBorderFormats="0" applyFontFormats="0" applyPatternFormats="0" applyAlignmentFormats="0" applyWidthHeightFormats="0">
  <queryTableRefresh nextId="56">
    <queryTableFields count="19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37" name="多期限" tableColumnId="17"/>
      <queryTableField id="1" name="Check" tableColumnId="1"/>
      <queryTableField id="38" name="PRJ对帐号" tableColumnId="1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_ddsector" displayName="tbl_ddsector" ref="A6:A10" totalsRowShown="0">
  <autoFilter ref="A6:A10" xr:uid="{00000000-0009-0000-0100-000006000000}"/>
  <tableColumns count="1">
    <tableColumn id="1" xr3:uid="{00000000-0010-0000-0000-000001000000}" name="行业"/>
  </tableColumns>
  <tableStyleInfo name="Named_d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bl_dd_updator" displayName="tbl_dd_updator" ref="L6:L11" totalsRowShown="0">
  <autoFilter ref="L6:L11" xr:uid="{00000000-0009-0000-0100-000009000000}"/>
  <tableColumns count="1">
    <tableColumn id="1" xr3:uid="{00000000-0010-0000-0100-000001000000}" name="EXE"/>
  </tableColumns>
  <tableStyleInfo name="Named_d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B6:B9" totalsRowShown="0">
  <autoFilter ref="B6:B9" xr:uid="{00000000-0009-0000-0100-000005000000}"/>
  <tableColumns count="1">
    <tableColumn id="1" xr3:uid="{00000000-0010-0000-0200-000001000000}" name="评级分类"/>
  </tableColumns>
  <tableStyleInfo name="Named_d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dd_crcy" displayName="tbl_dd_crcy" ref="C6:C10" totalsRowShown="0">
  <autoFilter ref="C6:C10" xr:uid="{00000000-0009-0000-0100-000003000000}"/>
  <tableColumns count="1">
    <tableColumn id="1" xr3:uid="{00000000-0010-0000-0500-000001000000}" name="货币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bl_dd_listing" displayName="tbl_dd_listing" ref="D6:D14" totalsRowShown="0">
  <autoFilter ref="D6:D14" xr:uid="{00000000-0009-0000-0100-00000C000000}"/>
  <tableColumns count="1">
    <tableColumn id="1" xr3:uid="{00000000-0010-0000-0600-000001000000}" name="上市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_dd_structure" displayName="tbl_dd_structure" ref="E6:E15" totalsRowShown="0">
  <autoFilter ref="E6:E15" xr:uid="{00000000-0009-0000-0100-00000D000000}"/>
  <tableColumns count="1">
    <tableColumn id="1" xr3:uid="{00000000-0010-0000-0700-000001000000}" name="结构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9000000}" name="tbl_dd_region" displayName="tbl_dd_region" ref="A12:A44" totalsRowShown="0" headerRowDxfId="364" dataDxfId="363">
  <autoFilter ref="A12:A44" xr:uid="{00000000-0009-0000-0100-000019000000}"/>
  <tableColumns count="1">
    <tableColumn id="1" xr3:uid="{00000000-0010-0000-0900-000001000000}" name="地区" dataDxfId="36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A000000}" name="tbl_dd_theme" displayName="tbl_dd_theme" ref="B12:B20" totalsRowShown="0" headerRowDxfId="361" dataDxfId="360">
  <autoFilter ref="B12:B20" xr:uid="{00000000-0009-0000-0100-00001A000000}"/>
  <tableColumns count="1">
    <tableColumn id="1" xr3:uid="{00000000-0010-0000-0A00-000001000000}" name="主题" dataDxfId="359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D000000}" name="tbl_dd_role" displayName="tbl_dd_role" ref="F6:F10" totalsRowShown="0">
  <autoFilter ref="F6:F10" xr:uid="{00000000-0009-0000-0100-000018000000}"/>
  <tableColumns count="1">
    <tableColumn id="1" xr3:uid="{00000000-0010-0000-0D00-000001000000}" name="其他交银_ROLE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E000000}" name="tbl_dd_sfcrole" displayName="tbl_dd_sfcrole" ref="G6:G10" totalsRowShown="0">
  <autoFilter ref="G6:G10" xr:uid="{00000000-0009-0000-0100-00001B000000}"/>
  <tableColumns count="1">
    <tableColumn id="1" xr3:uid="{00000000-0010-0000-0E00-000001000000}" name="新规角色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H6:H10" totalsRowShown="0">
  <autoFilter ref="H6:H10" xr:uid="{00000000-0009-0000-0100-00001D000000}"/>
  <tableColumns count="1">
    <tableColumn id="1" xr3:uid="{00000000-0010-0000-0F00-000001000000}" name="COVERAGE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6:I11" tableType="queryTable" totalsRowShown="0">
  <autoFilter ref="I6:I11" xr:uid="{26FE236B-2A97-45BE-82BB-C1AD85E2DB46}"/>
  <tableColumns count="1">
    <tableColumn id="1" xr3:uid="{DE820937-D9CF-434A-8A46-AEA8816786C6}" uniqueName="1" name="板块" queryTableFieldId="1" dataDxfId="358"/>
  </tableColumns>
  <tableStyleInfo name="Named_d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J6:J12" tableType="queryTable" totalsRowShown="0">
  <autoFilter ref="J6:J12" xr:uid="{468C1FBA-82A3-4DD0-AF71-D0CA0ACFFFD2}"/>
  <tableColumns count="1">
    <tableColumn id="1" xr3:uid="{E46ED5D9-5689-449D-A1E6-5A3A303F856D}" uniqueName="1" name="中资属性" queryTableFieldId="1" dataDxfId="357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K6:K12" tableType="queryTable" totalsRowShown="0">
  <autoFilter ref="K6:K12" xr:uid="{FF208760-EA58-4FEC-8BFC-A2D10CC56FD3}"/>
  <tableColumns count="1">
    <tableColumn id="1" xr3:uid="{E8A08C19-4FDD-411B-A6E1-3AEE07FBDDD9}" uniqueName="1" name="BISL_ROLE" queryTableFieldId="1" dataDxfId="356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C9D44-CD1D-472C-AE88-CA3B607FE7CC}" name="BOCOM_DEAL" displayName="BOCOM_DEAL" ref="M6:M14" tableType="queryTable" totalsRowShown="0">
  <autoFilter ref="M6:M14" xr:uid="{BBFF4DEA-A6A6-4E4A-BBFF-5F70C9A4075B}"/>
  <tableColumns count="1">
    <tableColumn id="1" xr3:uid="{16D02616-7CFF-4860-A675-A380E36236C5}" uniqueName="1" name="BOCOM_DEAL?" queryTableFieldId="1" dataDxfId="355"/>
  </tableColumns>
  <tableStyleInfo name="Named_dd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1:BP15" tableType="queryTable" totalsRowShown="0">
  <autoFilter ref="A1:BP15" xr:uid="{760A78EB-B646-4F10-831A-D22B21A96B57}"/>
  <tableColumns count="68">
    <tableColumn id="1" xr3:uid="{65CE1E33-8359-4C0B-9221-1E30F7E1CEF4}" uniqueName="1" name="信用主体" queryTableFieldId="1" dataDxfId="354"/>
    <tableColumn id="2" xr3:uid="{D2679A15-B28C-4B9B-90D8-85DA1F060224}" uniqueName="2" name="公司类型" queryTableFieldId="2" dataDxfId="353"/>
    <tableColumn id="3" xr3:uid="{0D6292F2-14C6-4D00-9C2B-D4771C6FCBEB}" uniqueName="3" name="行业" queryTableFieldId="3" dataDxfId="352"/>
    <tableColumn id="4" xr3:uid="{F2F32A9C-87BC-497A-A806-ABCC694FD9DD}" uniqueName="4" name="细分行业" queryTableFieldId="4" dataDxfId="351"/>
    <tableColumn id="5" xr3:uid="{FFD49085-9527-4367-B0C2-2E8443581C7C}" uniqueName="5" name="省份" queryTableFieldId="5" dataDxfId="350"/>
    <tableColumn id="6" xr3:uid="{851B0F66-A6A0-4EE3-AEC3-02593C4D8B13}" uniqueName="6" name="城市" queryTableFieldId="6" dataDxfId="349"/>
    <tableColumn id="7" xr3:uid="{015C4268-F544-4F8B-A375-27371977DA3A}" uniqueName="7" name="区县" queryTableFieldId="7" dataDxfId="348"/>
    <tableColumn id="8" xr3:uid="{5ABB02D5-4AA9-47AD-B0BA-BE18B2B3C4DE}" uniqueName="8" name="债券简称" queryTableFieldId="8" dataDxfId="347"/>
    <tableColumn id="9" xr3:uid="{6CF5A73E-65DE-485F-A790-2A65D986DCCA}" uniqueName="9" name="ISIN" queryTableFieldId="9" dataDxfId="346"/>
    <tableColumn id="10" xr3:uid="{43CE6995-65BA-4391-BADA-3C1BCBA73A55}" uniqueName="10" name="主题债券" queryTableFieldId="10" dataDxfId="345"/>
    <tableColumn id="11" xr3:uid="{A0E133D3-082C-430A-8830-87B8C99C392A}" uniqueName="11" name="评级类型" queryTableFieldId="11" dataDxfId="344"/>
    <tableColumn id="12" xr3:uid="{2FAEB098-B99A-49BC-8F9E-60BB22B8B1A8}" uniqueName="12" name="定价日" queryTableFieldId="12" dataDxfId="343"/>
    <tableColumn id="13" xr3:uid="{5E4165C1-E3B4-48D3-8D3A-10EB35D470E0}" uniqueName="13" name="穆迪/标普" queryTableFieldId="13" dataDxfId="342"/>
    <tableColumn id="14" xr3:uid="{D0CD7E0A-5738-4057-9BC0-77E832B4C25E}" uniqueName="14" name="主体评级展望" queryTableFieldId="14" dataDxfId="341"/>
    <tableColumn id="15" xr3:uid="{32ECF4B7-EF13-4935-98C6-7E853C1916B9}" uniqueName="15" name="债项评级" queryTableFieldId="15" dataDxfId="340"/>
    <tableColumn id="16" xr3:uid="{31CB77BA-C75C-4904-BE05-EA3D31CB0E8E}" uniqueName="16" name="债项初始评级" queryTableFieldId="16" dataDxfId="339"/>
    <tableColumn id="17" xr3:uid="{EAB58105-9561-4364-BE64-FA9715A8F45D}" uniqueName="17" name="境内主体评级" queryTableFieldId="17" dataDxfId="338"/>
    <tableColumn id="18" xr3:uid="{4865A04F-EDB8-4464-957F-89F06E15D445}" uniqueName="18" name="发行票面利率" queryTableFieldId="18" dataDxfId="337"/>
    <tableColumn id="19" xr3:uid="{4C2677D7-B95D-4CBD-97D0-A324C689DECD}" uniqueName="19" name="兑付日" queryTableFieldId="19" dataDxfId="336"/>
    <tableColumn id="20" xr3:uid="{140F0A6F-50E8-4D1A-8A9F-8D00CEE04850}" uniqueName="20" name="IPT_DMI" queryTableFieldId="20" dataDxfId="335"/>
    <tableColumn id="21" xr3:uid="{536CD873-CE57-4DE2-A54F-18E33D004325}" uniqueName="21" name="FPG_DMI" queryTableFieldId="21" dataDxfId="334"/>
    <tableColumn id="22" xr3:uid="{82FAF641-AB3E-4935-B71A-3C539F35361C}" uniqueName="22" name="收窄幅度(bp)" queryTableFieldId="22" dataDxfId="333"/>
    <tableColumn id="23" xr3:uid="{50116619-6391-40C5-AAE1-F0D778876139}" uniqueName="23" name="发行方式" queryTableFieldId="23" dataDxfId="332"/>
    <tableColumn id="24" xr3:uid="{29E460A2-735B-4FE9-A5A4-89207A81E339}" uniqueName="24" name="发行结构" queryTableFieldId="24" dataDxfId="331"/>
    <tableColumn id="25" xr3:uid="{89B2DB1E-4CFE-4140-9A07-0F1E43F6C9AC}" uniqueName="25" name="SBLC提供者" queryTableFieldId="25" dataDxfId="330"/>
    <tableColumn id="26" xr3:uid="{C94A4441-8480-4C30-99DA-F2FF91A5E801}" uniqueName="26" name="偿还顺位" queryTableFieldId="26" dataDxfId="329"/>
    <tableColumn id="27" xr3:uid="{00C79F5A-7701-4B0D-8C7E-8C5F683178C5}" uniqueName="27" name="发行规模(亿)" queryTableFieldId="27" dataDxfId="328"/>
    <tableColumn id="28" xr3:uid="{E7406E52-8977-4808-A788-298B36157479}" uniqueName="28" name="货币" queryTableFieldId="28" dataDxfId="327"/>
    <tableColumn id="29" xr3:uid="{697EF4DB-C377-4637-A8D4-B512822D8F0E}" uniqueName="29" name="发行期限(年)" queryTableFieldId="29" dataDxfId="326"/>
    <tableColumn id="62" xr3:uid="{788704BA-E54A-4436-9FC7-E5EEF473C596}" uniqueName="62" name="剩余期限" queryTableFieldId="62" dataDxfId="325"/>
    <tableColumn id="30" xr3:uid="{6BA1C82B-55CF-4344-AFEE-FD6746AB9A6C}" uniqueName="30" name="发行价" queryTableFieldId="30" dataDxfId="324"/>
    <tableColumn id="31" xr3:uid="{9394B226-D977-440D-BBB4-696AAAD92014}" uniqueName="31" name="发行场所" queryTableFieldId="31" dataDxfId="323"/>
    <tableColumn id="32" xr3:uid="{A6056AD5-48AD-4001-A74C-ECA77FC26CB2}" uniqueName="32" name="首日涨跌" queryTableFieldId="32" dataDxfId="322"/>
    <tableColumn id="33" xr3:uid="{072BF78A-2040-4CCF-95BA-462ACF02A26B}" uniqueName="33" name="认购额(亿)" queryTableFieldId="33" dataDxfId="321"/>
    <tableColumn id="34" xr3:uid="{79315342-FB4B-48FA-9D0E-BB5182F1342A}" uniqueName="34" name="认购倍数" queryTableFieldId="34" dataDxfId="320"/>
    <tableColumn id="63" xr3:uid="{EE264CCC-DCFC-4688-9A0B-4A404F87045B}" uniqueName="63" name="投资者账户数" queryTableFieldId="63" dataDxfId="319"/>
    <tableColumn id="64" xr3:uid="{EAE71064-4CB1-4B07-944E-84D6F3C49081}" uniqueName="64" name="投资者类型" queryTableFieldId="64" dataDxfId="318"/>
    <tableColumn id="65" xr3:uid="{E7174B24-DE40-43F6-8633-438CBA936C58}" uniqueName="65" name="投资者分布" queryTableFieldId="65" dataDxfId="317"/>
    <tableColumn id="66" xr3:uid="{CC4128EA-9B08-4BCD-B35C-71CF4AAFA24C}" uniqueName="66" name="筹款用途" queryTableFieldId="66" dataDxfId="316"/>
    <tableColumn id="35" xr3:uid="{3B7B9C0D-05D5-4554-9DD5-4648FC9FD35A}" uniqueName="35" name="亚洲占比" queryTableFieldId="35" dataDxfId="315"/>
    <tableColumn id="36" xr3:uid="{7E161805-3582-4E8B-AD1E-8D44C6578511}" uniqueName="36" name="基金占比" queryTableFieldId="36" dataDxfId="314"/>
    <tableColumn id="37" xr3:uid="{678B1454-0186-4392-9084-8A4631663D07}" uniqueName="37" name="联席全球协调人" queryTableFieldId="37" dataDxfId="313"/>
    <tableColumn id="38" xr3:uid="{975ADB86-B00A-4806-9500-96E93B0E8E67}" uniqueName="38" name="ticker" queryTableFieldId="38" dataDxfId="312"/>
    <tableColumn id="39" xr3:uid="{72AA5BB3-7E54-4DE0-9CE8-13DDE5A6A94C}" uniqueName="39" name="债券最新面值" queryTableFieldId="39" dataDxfId="311"/>
    <tableColumn id="40" xr3:uid="{4EE46BC2-E1CF-462A-A03E-DF0563BE31D9}" uniqueName="40" name="债券余额" queryTableFieldId="40" dataDxfId="310"/>
    <tableColumn id="41" xr3:uid="{4BFB0F89-8CA1-4D0F-9EB3-325F7C449AB2}" uniqueName="41" name="起息日期" queryTableFieldId="41" dataDxfId="309"/>
    <tableColumn id="42" xr3:uid="{2E685F7F-FFBA-484A-A377-6390F6A585BE}" uniqueName="42" name="行权兑付日" queryTableFieldId="42" dataDxfId="308"/>
    <tableColumn id="43" xr3:uid="{7A00E475-6904-4819-BC88-02B7AD3D67B7}" uniqueName="43" name="最新票面利率" queryTableFieldId="43" dataDxfId="307"/>
    <tableColumn id="44" xr3:uid="{0E120977-4EC2-4818-BC4D-6CCE5264355E}" uniqueName="44" name="计息基准" queryTableFieldId="44" dataDxfId="306"/>
    <tableColumn id="45" xr3:uid="{1C61FECB-9E8B-4B0A-A577-E0EADEE6ACB0}" uniqueName="45" name="首次付息日" queryTableFieldId="45" dataDxfId="305"/>
    <tableColumn id="46" xr3:uid="{20F5098B-FF11-4DA0-A626-7DF045DB0FB3}" uniqueName="46" name="发行人" queryTableFieldId="46" dataDxfId="304"/>
    <tableColumn id="47" xr3:uid="{17C9AFD4-5642-48EA-8D06-494AAC11A915}" uniqueName="47" name="担保人" queryTableFieldId="47" dataDxfId="303"/>
    <tableColumn id="48" xr3:uid="{E3D34E72-CB63-4E18-AED9-A3EC74CFDD3C}" uniqueName="48" name="发行起始日" queryTableFieldId="48" dataDxfId="302"/>
    <tableColumn id="67" xr3:uid="{AD599695-8522-46E7-B118-DE2179D8EA71}" uniqueName="67" name="定价_DMI" queryTableFieldId="67" dataDxfId="301"/>
    <tableColumn id="49" xr3:uid="{1682CF98-DB54-47C3-8A44-144BB70D0821}" uniqueName="49" name="上市日期" queryTableFieldId="49" dataDxfId="300"/>
    <tableColumn id="50" xr3:uid="{2215B6A7-05C9-4C6B-8AE1-E60AE330BE07}" uniqueName="50" name="特殊条款说明" queryTableFieldId="50" dataDxfId="299"/>
    <tableColumn id="51" xr3:uid="{E59ECFC4-F0C9-41B1-9733-1AEB70C7437B}" uniqueName="51" name="牵头经办人" queryTableFieldId="51" dataDxfId="298"/>
    <tableColumn id="68" xr3:uid="{DDA77D44-FA04-425D-9DA1-4DAB31A61BB6}" uniqueName="68" name="联席账簿管理人" queryTableFieldId="68" dataDxfId="297"/>
    <tableColumn id="52" xr3:uid="{A98F2AA1-AD8E-4BE7-8B74-C3458DC2EC64}" uniqueName="52" name="是否永续债" queryTableFieldId="52" dataDxfId="296"/>
    <tableColumn id="53" xr3:uid="{74446647-F415-46DC-A41C-CE06D819E843}" uniqueName="53" name="是否存单" queryTableFieldId="53" dataDxfId="295"/>
    <tableColumn id="54" xr3:uid="{D1474CED-58C4-4A46-81D9-D99210D02234}" uniqueName="54" name="利率类型" queryTableFieldId="54" dataDxfId="294"/>
    <tableColumn id="55" xr3:uid="{40CC185A-EE88-4DE1-8A90-03B8F737740F}" uniqueName="55" name="交易状态" queryTableFieldId="55" dataDxfId="293"/>
    <tableColumn id="56" xr3:uid="{6CE7EEB7-7E14-4960-892D-D2B4A752EA7F}" uniqueName="56" name="债券类型" queryTableFieldId="56" dataDxfId="292"/>
    <tableColumn id="57" xr3:uid="{145EA911-7D60-43D2-854F-080D2E91B1E5}" uniqueName="57" name="特殊条款" queryTableFieldId="57" dataDxfId="291"/>
    <tableColumn id="58" xr3:uid="{019381F3-72FB-4C5F-9AB8-FA53CD073BE5}" uniqueName="58" name="付息频率" queryTableFieldId="58" dataDxfId="290"/>
    <tableColumn id="59" xr3:uid="{C8D1AF04-7E6F-4D88-B06F-C8310837A162}" uniqueName="59" name="维好协议提供者" queryTableFieldId="59" dataDxfId="289"/>
    <tableColumn id="60" xr3:uid="{92CFA544-119D-46AF-AD53-05E6F7709CB5}" uniqueName="60" name="地区" queryTableFieldId="60" dataDxfId="288"/>
    <tableColumn id="61" xr3:uid="{EFAB649D-F0FE-4812-A2D5-2D3BCB496CCA}" uniqueName="61" name="Check" queryTableFieldId="61" dataDxfId="287"/>
  </tableColumns>
  <tableStyleInfo name="review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I1:I2" totalsRowShown="0" headerRowDxfId="286" dataDxfId="285">
  <autoFilter ref="I1:I2" xr:uid="{00000000-0009-0000-0100-00001C000000}">
    <filterColumn colId="0" hiddenButton="1"/>
  </autoFilter>
  <tableColumns count="1">
    <tableColumn id="1" xr3:uid="{00000000-0010-0000-1200-000001000000}" name="Updator" dataDxfId="28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Table_DLDconso" displayName="Table_DLDconso" ref="A5:BZ13" tableType="queryTable" totalsRowShown="0">
  <autoFilter ref="A5:BZ1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5" hiddenButton="1"/>
    <filterColumn colId="56" hiddenButton="1"/>
    <filterColumn colId="57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6" hiddenButton="1"/>
  </autoFilter>
  <tableColumns count="78">
    <tableColumn id="67" xr3:uid="{89571AE0-3879-457F-B318-34D498859252}" uniqueName="67" name="Index" queryTableFieldId="107" dataDxfId="283"/>
    <tableColumn id="1" xr3:uid="{00000000-0010-0000-1400-000001000000}" uniqueName="1" name="信用主体" queryTableFieldId="1" dataDxfId="282"/>
    <tableColumn id="2" xr3:uid="{00000000-0010-0000-1400-000002000000}" uniqueName="2" name="公司类型" queryTableFieldId="2" dataDxfId="281"/>
    <tableColumn id="3" xr3:uid="{00000000-0010-0000-1400-000003000000}" uniqueName="3" name="行业" queryTableFieldId="3" dataDxfId="280"/>
    <tableColumn id="4" xr3:uid="{00000000-0010-0000-1400-000004000000}" uniqueName="4" name="细分行业" queryTableFieldId="4" dataDxfId="279"/>
    <tableColumn id="5" xr3:uid="{00000000-0010-0000-1400-000005000000}" uniqueName="5" name="省份" queryTableFieldId="5" dataDxfId="278"/>
    <tableColumn id="6" xr3:uid="{00000000-0010-0000-1400-000006000000}" uniqueName="6" name="城市" queryTableFieldId="6" dataDxfId="277"/>
    <tableColumn id="7" xr3:uid="{00000000-0010-0000-1400-000007000000}" uniqueName="7" name="区县" queryTableFieldId="7" dataDxfId="276"/>
    <tableColumn id="8" xr3:uid="{00000000-0010-0000-1400-000008000000}" uniqueName="8" name="债券简称" queryTableFieldId="8" dataDxfId="275"/>
    <tableColumn id="9" xr3:uid="{00000000-0010-0000-1400-000009000000}" uniqueName="9" name="ISIN" queryTableFieldId="9" dataDxfId="274"/>
    <tableColumn id="10" xr3:uid="{00000000-0010-0000-1400-00000A000000}" uniqueName="10" name="主题债券" queryTableFieldId="10" dataDxfId="273"/>
    <tableColumn id="11" xr3:uid="{00000000-0010-0000-1400-00000B000000}" uniqueName="11" name="评级类型" queryTableFieldId="11" dataDxfId="272"/>
    <tableColumn id="12" xr3:uid="{00000000-0010-0000-1400-00000C000000}" uniqueName="12" name="定价日" queryTableFieldId="12" dataDxfId="271"/>
    <tableColumn id="13" xr3:uid="{00000000-0010-0000-1400-00000D000000}" uniqueName="13" name="穆迪/标普" queryTableFieldId="13" dataDxfId="270"/>
    <tableColumn id="14" xr3:uid="{00000000-0010-0000-1400-00000E000000}" uniqueName="14" name="主体评级展望" queryTableFieldId="14" dataDxfId="269"/>
    <tableColumn id="15" xr3:uid="{00000000-0010-0000-1400-00000F000000}" uniqueName="15" name="债项评级" queryTableFieldId="15" dataDxfId="268"/>
    <tableColumn id="16" xr3:uid="{00000000-0010-0000-1400-000010000000}" uniqueName="16" name="债项初始评级" queryTableFieldId="16" dataDxfId="267"/>
    <tableColumn id="17" xr3:uid="{00000000-0010-0000-1400-000011000000}" uniqueName="17" name="境内主体评级" queryTableFieldId="17" dataDxfId="266"/>
    <tableColumn id="18" xr3:uid="{00000000-0010-0000-1400-000012000000}" uniqueName="18" name="发行票面利率" queryTableFieldId="18" dataDxfId="265"/>
    <tableColumn id="19" xr3:uid="{00000000-0010-0000-1400-000013000000}" uniqueName="19" name="兑付日" queryTableFieldId="19" dataDxfId="264"/>
    <tableColumn id="20" xr3:uid="{2E21E1F0-B3C8-4D63-81C1-4DEA5849D935}" uniqueName="20" name="IPT_DMI" queryTableFieldId="98" dataDxfId="263"/>
    <tableColumn id="21" xr3:uid="{721CAAAA-9532-4A2C-AF68-00307121AC06}" uniqueName="21" name="FPG_DMI" queryTableFieldId="99" dataDxfId="262"/>
    <tableColumn id="22" xr3:uid="{00000000-0010-0000-1400-000016000000}" uniqueName="22" name="收窄幅度(bp)" queryTableFieldId="22" dataDxfId="261"/>
    <tableColumn id="72" xr3:uid="{00000000-0010-0000-1400-000048000000}" uniqueName="72" name="发行方式" queryTableFieldId="93" dataDxfId="260"/>
    <tableColumn id="23" xr3:uid="{00000000-0010-0000-1400-000017000000}" uniqueName="23" name="发行结构" queryTableFieldId="23" dataDxfId="259"/>
    <tableColumn id="24" xr3:uid="{00000000-0010-0000-1400-000018000000}" uniqueName="24" name="SBLC提供者" queryTableFieldId="24" dataDxfId="258"/>
    <tableColumn id="25" xr3:uid="{00000000-0010-0000-1400-000019000000}" uniqueName="25" name="偿还顺位" queryTableFieldId="25" dataDxfId="257"/>
    <tableColumn id="26" xr3:uid="{00000000-0010-0000-1400-00001A000000}" uniqueName="26" name="发行规模(亿)" queryTableFieldId="26" dataDxfId="256"/>
    <tableColumn id="27" xr3:uid="{00000000-0010-0000-1400-00001B000000}" uniqueName="27" name="货币" queryTableFieldId="27" dataDxfId="255"/>
    <tableColumn id="28" xr3:uid="{00000000-0010-0000-1400-00001C000000}" uniqueName="28" name="发行期限(年)" queryTableFieldId="28" dataDxfId="254"/>
    <tableColumn id="70" xr3:uid="{D4D745FA-E2EC-49A7-8DD6-A7E0C561075E}" uniqueName="70" name="剩余期限" queryTableFieldId="122" dataDxfId="253"/>
    <tableColumn id="29" xr3:uid="{00000000-0010-0000-1400-00001D000000}" uniqueName="29" name="发行价" queryTableFieldId="29" dataDxfId="252"/>
    <tableColumn id="30" xr3:uid="{00000000-0010-0000-1400-00001E000000}" uniqueName="30" name="发行场所" queryTableFieldId="30" dataDxfId="251"/>
    <tableColumn id="31" xr3:uid="{00000000-0010-0000-1400-00001F000000}" uniqueName="31" name="首日涨跌" queryTableFieldId="31" dataDxfId="250"/>
    <tableColumn id="32" xr3:uid="{00000000-0010-0000-1400-000020000000}" uniqueName="32" name="认购额(亿)" queryTableFieldId="32" dataDxfId="249"/>
    <tableColumn id="33" xr3:uid="{00000000-0010-0000-1400-000021000000}" uniqueName="33" name="认购倍数" queryTableFieldId="33" dataDxfId="248"/>
    <tableColumn id="73" xr3:uid="{EC155D5D-7034-4D98-AE8E-9FD72DE0014F}" uniqueName="73" name="投资者账户数" queryTableFieldId="123" dataDxfId="247"/>
    <tableColumn id="74" xr3:uid="{F3AEB759-21B8-4CF1-A6A6-D6587E7B0569}" uniqueName="74" name="投资者类型" queryTableFieldId="124" dataDxfId="246"/>
    <tableColumn id="75" xr3:uid="{8379EAC2-F6FB-4868-9327-F4926D5314B2}" uniqueName="75" name="投资者分布" queryTableFieldId="125" dataDxfId="245"/>
    <tableColumn id="76" xr3:uid="{99F5C9BF-819A-4B74-90A6-3D912D600F26}" uniqueName="76" name="筹款用途" queryTableFieldId="126" dataDxfId="244"/>
    <tableColumn id="34" xr3:uid="{00000000-0010-0000-1400-000022000000}" uniqueName="34" name="亚洲占比" queryTableFieldId="34" dataDxfId="243"/>
    <tableColumn id="35" xr3:uid="{00000000-0010-0000-1400-000023000000}" uniqueName="35" name="基金占比" queryTableFieldId="35" dataDxfId="242"/>
    <tableColumn id="36" xr3:uid="{00000000-0010-0000-1400-000024000000}" uniqueName="36" name="联席全球协调人" queryTableFieldId="36" dataDxfId="241"/>
    <tableColumn id="37" xr3:uid="{00000000-0010-0000-1400-000025000000}" uniqueName="37" name="ticker" queryTableFieldId="37" dataDxfId="240"/>
    <tableColumn id="38" xr3:uid="{00000000-0010-0000-1400-000026000000}" uniqueName="38" name="债券最新面值" queryTableFieldId="38" dataDxfId="239"/>
    <tableColumn id="39" xr3:uid="{00000000-0010-0000-1400-000027000000}" uniqueName="39" name="债券余额" queryTableFieldId="39" dataDxfId="238"/>
    <tableColumn id="40" xr3:uid="{00000000-0010-0000-1400-000028000000}" uniqueName="40" name="起息日期" queryTableFieldId="40" dataDxfId="237"/>
    <tableColumn id="41" xr3:uid="{00000000-0010-0000-1400-000029000000}" uniqueName="41" name="行权兑付日" queryTableFieldId="41" dataDxfId="236"/>
    <tableColumn id="42" xr3:uid="{00000000-0010-0000-1400-00002A000000}" uniqueName="42" name="最新票面利率" queryTableFieldId="42" dataDxfId="235"/>
    <tableColumn id="43" xr3:uid="{00000000-0010-0000-1400-00002B000000}" uniqueName="43" name="计息基准" queryTableFieldId="43" dataDxfId="234"/>
    <tableColumn id="44" xr3:uid="{00000000-0010-0000-1400-00002C000000}" uniqueName="44" name="首次付息日" queryTableFieldId="44" dataDxfId="233"/>
    <tableColumn id="45" xr3:uid="{00000000-0010-0000-1400-00002D000000}" uniqueName="45" name="发行人" queryTableFieldId="45" dataDxfId="232"/>
    <tableColumn id="46" xr3:uid="{00000000-0010-0000-1400-00002E000000}" uniqueName="46" name="担保人" queryTableFieldId="46" dataDxfId="231"/>
    <tableColumn id="47" xr3:uid="{00000000-0010-0000-1400-00002F000000}" uniqueName="47" name="发行起始日" queryTableFieldId="47" dataDxfId="230"/>
    <tableColumn id="77" xr3:uid="{96AB1C8E-595F-43D9-A802-E2A6579CD92F}" uniqueName="77" name="定价_DMI" queryTableFieldId="136" dataDxfId="229"/>
    <tableColumn id="48" xr3:uid="{00000000-0010-0000-1400-000030000000}" uniqueName="48" name="上市日期" queryTableFieldId="48" dataDxfId="228"/>
    <tableColumn id="49" xr3:uid="{00000000-0010-0000-1400-000031000000}" uniqueName="49" name="特殊条款说明" queryTableFieldId="49" dataDxfId="227"/>
    <tableColumn id="50" xr3:uid="{00000000-0010-0000-1400-000032000000}" uniqueName="50" name="牵头经办人" queryTableFieldId="50" dataDxfId="226"/>
    <tableColumn id="78" xr3:uid="{A0CF3BD1-5FCF-4795-AF10-20DDD23A6110}" uniqueName="78" name="联席账簿管理人" queryTableFieldId="128" dataDxfId="225"/>
    <tableColumn id="51" xr3:uid="{00000000-0010-0000-1400-000033000000}" uniqueName="51" name="是否永续债" queryTableFieldId="51" dataDxfId="224"/>
    <tableColumn id="52" xr3:uid="{00000000-0010-0000-1400-000034000000}" uniqueName="52" name="是否存单" queryTableFieldId="52" dataDxfId="223"/>
    <tableColumn id="53" xr3:uid="{00000000-0010-0000-1400-000035000000}" uniqueName="53" name="利率类型" queryTableFieldId="53" dataDxfId="222"/>
    <tableColumn id="54" xr3:uid="{00000000-0010-0000-1400-000036000000}" uniqueName="54" name="交易状态" queryTableFieldId="54" dataDxfId="221"/>
    <tableColumn id="55" xr3:uid="{00000000-0010-0000-1400-000037000000}" uniqueName="55" name="债券类型" queryTableFieldId="55" dataDxfId="220"/>
    <tableColumn id="56" xr3:uid="{00000000-0010-0000-1400-000038000000}" uniqueName="56" name="特殊条款" queryTableFieldId="56" dataDxfId="219"/>
    <tableColumn id="57" xr3:uid="{00000000-0010-0000-1400-000039000000}" uniqueName="57" name="付息频率" queryTableFieldId="57" dataDxfId="218"/>
    <tableColumn id="58" xr3:uid="{00000000-0010-0000-1400-00003A000000}" uniqueName="58" name="维好协议提供者" queryTableFieldId="58" dataDxfId="217"/>
    <tableColumn id="71" xr3:uid="{00000000-0010-0000-1400-000047000000}" uniqueName="71" name="地区" queryTableFieldId="91" dataDxfId="216"/>
    <tableColumn id="60" xr3:uid="{FFDB6495-96BB-4A1F-8A95-F7E651B4C829}" uniqueName="60" name="亿美元" queryTableFieldId="100" dataDxfId="215"/>
    <tableColumn id="64" xr3:uid="{8A4D7B30-87EA-4608-AF0A-57BD31C54E25}" uniqueName="64" name="亿元" queryTableFieldId="105" dataDxfId="214"/>
    <tableColumn id="69" xr3:uid="{CF2B540E-0281-473E-8195-E64D9272102B}" uniqueName="69" name="亿港币" queryTableFieldId="120" dataDxfId="213"/>
    <tableColumn id="79" xr3:uid="{4D5A05D7-BD47-4CF2-BA37-25E4CD582264}" uniqueName="79" name="注册成立地" queryTableFieldId="140" dataDxfId="212"/>
    <tableColumn id="63" xr3:uid="{222E9603-970D-4782-9F61-BA306470C980}" uniqueName="63" name="补充OMAS updates" queryTableFieldId="111" dataDxfId="211"/>
    <tableColumn id="65" xr3:uid="{80765AA5-3F0E-470B-9194-548C15E96FE2}" uniqueName="65" name="定价息差" queryTableFieldId="112" dataDxfId="210"/>
    <tableColumn id="66" xr3:uid="{835384CB-5EA1-4AA5-80C7-6E7A7E31992D}" uniqueName="66" name="发行评级" queryTableFieldId="113" dataDxfId="209"/>
    <tableColumn id="68" xr3:uid="{3FAE810C-DBB1-4EA1-887E-C959C6AEE507}" uniqueName="68" name="主体评级" queryTableFieldId="114" dataDxfId="208"/>
    <tableColumn id="59" xr3:uid="{00000000-0010-0000-1400-00003B000000}" uniqueName="59" name="Check" queryTableFieldId="59" dataDxfId="207"/>
    <tableColumn id="61" xr3:uid="{C8615552-A40D-44A0-968D-B22B635B4874}" uniqueName="61" name="IS_FIMTN" queryTableFieldId="109" dataDxfId="206"/>
  </tableColumns>
  <tableStyleInfo name="Qry Load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Table_WeeklyFIMTN" displayName="Table_WeeklyFIMTN" ref="A5:J10" tableType="queryTable" totalsRowShown="0">
  <autoFilter ref="A5:J10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10">
    <tableColumn id="2" xr3:uid="{1BDBF4C9-A94A-4461-8D96-48885513318D}" uniqueName="2" name="定价日" queryTableFieldId="2" dataDxfId="205"/>
    <tableColumn id="3" xr3:uid="{A4050823-CF41-4CB7-9327-CCA27CCCD0E4}" uniqueName="3" name="ISIN" queryTableFieldId="3"/>
    <tableColumn id="4" xr3:uid="{9D24D768-6BC8-4791-8E2E-C86E5BF82512}" uniqueName="4" name="债券简称" queryTableFieldId="4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8" xr3:uid="{7C55CE29-7026-4CE5-8B67-7EC32221AE89}" uniqueName="8" name="行业" queryTableFieldId="8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Source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204"/>
  </tableColumns>
  <tableStyleInfo name="Qry Load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13" tableType="queryTable" totalsRowShown="0">
  <autoFilter ref="C5:AD13" xr:uid="{00000000-0009-0000-0100-00002F000000}"/>
  <tableColumns count="28">
    <tableColumn id="1" xr3:uid="{00000000-0010-0000-1700-000001000000}" uniqueName="1" name="定价日" queryTableFieldId="1" dataDxfId="203"/>
    <tableColumn id="2" xr3:uid="{00000000-0010-0000-1700-000002000000}" uniqueName="2" name="信用主体" queryTableFieldId="2" dataDxfId="202"/>
    <tableColumn id="4" xr3:uid="{00000000-0010-0000-1700-000004000000}" uniqueName="4" name="主体评级" queryTableFieldId="36" dataDxfId="201"/>
    <tableColumn id="6" xr3:uid="{00000000-0010-0000-1700-000006000000}" uniqueName="6" name="发行评级" queryTableFieldId="6" dataDxfId="200"/>
    <tableColumn id="7" xr3:uid="{1E903BC2-25D2-41E9-B155-4C3540CC452B}" uniqueName="7" name="结构" queryTableFieldId="53" dataDxfId="199"/>
    <tableColumn id="30" xr3:uid="{510F9677-E5E7-4EF2-B231-02CFB970A361}" uniqueName="30" name="备证行" queryTableFieldId="71" dataDxfId="198"/>
    <tableColumn id="8" xr3:uid="{00000000-0010-0000-1700-000008000000}" uniqueName="8" name="货币" queryTableFieldId="8" dataDxfId="197"/>
    <tableColumn id="9" xr3:uid="{00000000-0010-0000-1700-000009000000}" uniqueName="9" name="发行规模(亿)" queryTableFieldId="9" dataDxfId="196"/>
    <tableColumn id="5" xr3:uid="{A465A109-439B-46CC-B8D9-8536815366D7}" uniqueName="5" name="年期" queryTableFieldId="52" dataDxfId="195"/>
    <tableColumn id="11" xr3:uid="{00000000-0010-0000-1700-00000B000000}" uniqueName="11" name="票息" queryTableFieldId="11" dataDxfId="194"/>
    <tableColumn id="12" xr3:uid="{00000000-0010-0000-1700-00000C000000}" uniqueName="12" name="IPG" queryTableFieldId="12" dataDxfId="193"/>
    <tableColumn id="13" xr3:uid="{00000000-0010-0000-1700-00000D000000}" uniqueName="13" name="FPG" queryTableFieldId="13" dataDxfId="192"/>
    <tableColumn id="14" xr3:uid="{00000000-0010-0000-1700-00000E000000}" uniqueName="14" name="收窄基点" queryTableFieldId="14" dataDxfId="191"/>
    <tableColumn id="15" xr3:uid="{E24E777A-D49C-4B3E-93AA-DFAEBA57F42B}" uniqueName="15" name="ESG" queryTableFieldId="55" dataDxfId="190"/>
    <tableColumn id="20" xr3:uid="{7E19D719-1D4A-42E1-9F7A-3CD7D5DA6A44}" uniqueName="20" name="FEATURED" queryTableFieldId="57" dataDxfId="189"/>
    <tableColumn id="33" xr3:uid="{F7F8C15B-103F-4121-B909-0AA998B5A268}" uniqueName="33" name="上市" queryTableFieldId="73" dataDxfId="188"/>
    <tableColumn id="31" xr3:uid="{FFCE47EB-D5CF-4D34-81FA-065EDA65F5D5}" uniqueName="31" name="增发判定" queryTableFieldId="72" dataDxfId="187"/>
    <tableColumn id="25" xr3:uid="{00000000-0010-0000-1700-000019000000}" uniqueName="25" name="定价" queryTableFieldId="25" dataDxfId="186"/>
    <tableColumn id="26" xr3:uid="{00000000-0010-0000-1700-00001A000000}" uniqueName="26" name="定价基准" queryTableFieldId="26" dataDxfId="185"/>
    <tableColumn id="27" xr3:uid="{00000000-0010-0000-1700-00001B000000}" uniqueName="27" name="发行票面利率" queryTableFieldId="27" dataDxfId="184"/>
    <tableColumn id="32" xr3:uid="{00000000-0010-0000-1700-000020000000}" uniqueName="32" name="境内主体评级" queryTableFieldId="32" dataDxfId="183"/>
    <tableColumn id="3" xr3:uid="{0D8767D9-8A3E-4DE0-A81A-BA74924ABBE9}" uniqueName="3" name="通过分行" queryTableFieldId="80" dataDxfId="182"/>
    <tableColumn id="34" xr3:uid="{54CE4E1B-194A-4B7A-8136-018BFA61D12B}" uniqueName="34" name="期限备注" queryTableFieldId="82" dataDxfId="181"/>
    <tableColumn id="35" xr3:uid="{00000000-0010-0000-1700-000023000000}" uniqueName="35" name="ISIN" queryTableFieldId="35" dataDxfId="180"/>
    <tableColumn id="23" xr3:uid="{00000000-0010-0000-1700-000017000000}" uniqueName="23" name="亿美元" queryTableFieldId="23" dataDxfId="179"/>
    <tableColumn id="24" xr3:uid="{00000000-0010-0000-1700-000018000000}" uniqueName="24" name="亿元" queryTableFieldId="24" dataDxfId="178"/>
    <tableColumn id="21" xr3:uid="{02205151-A1BC-4641-96CA-0A9C736A8B39}" uniqueName="21" name="亿港币" queryTableFieldId="84" dataDxfId="177"/>
    <tableColumn id="19" xr3:uid="{00000000-0010-0000-1700-000013000000}" uniqueName="19" name="Check" queryTableFieldId="49" dataDxfId="176"/>
  </tableColumns>
  <tableStyleInfo name="Qry Load 3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8" tableType="queryTable" totalsRowShown="0" headerRowDxfId="175" dataDxfId="174">
  <autoFilter ref="AH5:AW8" xr:uid="{00000000-0009-0000-0100-000013000000}"/>
  <tableColumns count="16">
    <tableColumn id="4" xr3:uid="{00000000-0010-0000-1800-000004000000}" uniqueName="4" name="信用主体" queryTableFieldId="4" dataDxfId="173"/>
    <tableColumn id="1" xr3:uid="{00000000-0010-0000-1800-000001000000}" uniqueName="1" name="Check" queryTableFieldId="1" dataDxfId="172"/>
    <tableColumn id="2" xr3:uid="{00000000-0010-0000-1800-000002000000}" uniqueName="2" name="ISIN" queryTableFieldId="2" dataDxfId="171"/>
    <tableColumn id="3" xr3:uid="{00000000-0010-0000-1800-000003000000}" uniqueName="3" name="定价日" queryTableFieldId="3" dataDxfId="170"/>
    <tableColumn id="18" xr3:uid="{CE8319FC-590C-4EDF-A68D-FBC91063B4F2}" uniqueName="18" name="台账序号" queryTableFieldId="38" dataDxfId="169"/>
    <tableColumn id="8" xr3:uid="{00000000-0010-0000-1800-000008000000}" uniqueName="8" name="COVERAGE" queryTableFieldId="16" dataDxfId="168"/>
    <tableColumn id="10" xr3:uid="{00000000-0010-0000-1800-00000A000000}" uniqueName="10" name="Project Name" queryTableFieldId="22" dataDxfId="167"/>
    <tableColumn id="12" xr3:uid="{00000000-0010-0000-1800-00000C000000}" uniqueName="12" name="新规角色" queryTableFieldId="12" dataDxfId="166"/>
    <tableColumn id="9" xr3:uid="{00000000-0010-0000-1800-000009000000}" uniqueName="9" name="PROJECT_CODE" queryTableFieldId="17" dataDxfId="165"/>
    <tableColumn id="15" xr3:uid="{00000000-0010-0000-1800-00000F000000}" uniqueName="15" name="期数" queryTableFieldId="15" dataDxfId="164"/>
    <tableColumn id="5" xr3:uid="{00000000-0010-0000-1800-000005000000}" uniqueName="5" name="BISL_ROLE" queryTableFieldId="5" dataDxfId="163"/>
    <tableColumn id="6" xr3:uid="{00000000-0010-0000-1800-000006000000}" uniqueName="6" name="港分_ROLE" queryTableFieldId="20" dataDxfId="162"/>
    <tableColumn id="7" xr3:uid="{00000000-0010-0000-1800-000007000000}" uniqueName="7" name="澳分_ROLE" queryTableFieldId="21" dataDxfId="161"/>
    <tableColumn id="11" xr3:uid="{00000000-0010-0000-1800-00000B000000}" uniqueName="11" name="IS_LEAD" queryTableFieldId="30" dataDxfId="160"/>
    <tableColumn id="13" xr3:uid="{00000000-0010-0000-1800-00000D000000}" uniqueName="13" name="IS_B&amp;D" queryTableFieldId="31" dataDxfId="159"/>
    <tableColumn id="14" xr3:uid="{00000000-0010-0000-1800-00000E000000}" uniqueName="14" name="是否合名" queryTableFieldId="32" dataDxfId="158"/>
  </tableColumns>
  <tableStyleInfo name="Qry Load 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11:AK12" tableType="queryTable" totalsRowShown="0">
  <autoFilter ref="AH11:AK12" xr:uid="{00000000-0009-0000-0100-00000F000000}"/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157" dataDxfId="156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155"/>
    <tableColumn id="2" xr3:uid="{00000000-0010-0000-1A00-000002000000}" name="信用主体" dataDxfId="154"/>
    <tableColumn id="3" xr3:uid="{00000000-0010-0000-1A00-000003000000}" name="主体评级" dataDxfId="153"/>
    <tableColumn id="4" xr3:uid="{00000000-0010-0000-1A00-000004000000}" name="发行评级" dataDxfId="152"/>
    <tableColumn id="5" xr3:uid="{00000000-0010-0000-1A00-000005000000}" name="结构" dataDxfId="151"/>
    <tableColumn id="6" xr3:uid="{00000000-0010-0000-1A00-000006000000}" name="备证行" dataDxfId="150"/>
    <tableColumn id="7" xr3:uid="{00000000-0010-0000-1A00-000007000000}" name="货币" dataDxfId="149"/>
    <tableColumn id="8" xr3:uid="{00000000-0010-0000-1A00-000008000000}" name="发行规模(亿)" dataDxfId="148"/>
    <tableColumn id="9" xr3:uid="{00000000-0010-0000-1A00-000009000000}" name="年期" dataDxfId="147"/>
    <tableColumn id="10" xr3:uid="{00000000-0010-0000-1A00-00000A000000}" name="票息" dataDxfId="146"/>
    <tableColumn id="11" xr3:uid="{00000000-0010-0000-1A00-00000B000000}" name="IPG" dataDxfId="145"/>
    <tableColumn id="12" xr3:uid="{00000000-0010-0000-1A00-00000C000000}" name="FPG" dataDxfId="144"/>
    <tableColumn id="13" xr3:uid="{00000000-0010-0000-1A00-00000D000000}" name="收窄基点" dataDxfId="143"/>
    <tableColumn id="16" xr3:uid="{00000000-0010-0000-1A00-000010000000}" name="ESG" dataDxfId="142"/>
    <tableColumn id="17" xr3:uid="{00000000-0010-0000-1A00-000011000000}" name="FEATURED" dataDxfId="141"/>
    <tableColumn id="18" xr3:uid="{00000000-0010-0000-1A00-000012000000}" name="上市" dataDxfId="140"/>
    <tableColumn id="19" xr3:uid="{00000000-0010-0000-1A00-000013000000}" name="增发判定" dataDxfId="139"/>
    <tableColumn id="14" xr3:uid="{00000000-0010-0000-1A00-00000E000000}" name="定价" dataDxfId="138"/>
    <tableColumn id="15" xr3:uid="{00000000-0010-0000-1A00-00000F000000}" name="定价基准" dataDxfId="137"/>
    <tableColumn id="20" xr3:uid="{00000000-0010-0000-1A00-000014000000}" name="发行票面利率" dataDxfId="136"/>
    <tableColumn id="21" xr3:uid="{00000000-0010-0000-1A00-000015000000}" name="境内主体评级" dataDxfId="135"/>
    <tableColumn id="22" xr3:uid="{00000000-0010-0000-1A00-000016000000}" name="通过分行" dataDxfId="134"/>
    <tableColumn id="23" xr3:uid="{00000000-0010-0000-1A00-000017000000}" name="期限备注" dataDxfId="133"/>
    <tableColumn id="24" xr3:uid="{00000000-0010-0000-1A00-000018000000}" name="ISIN" dataDxfId="132"/>
    <tableColumn id="25" xr3:uid="{00000000-0010-0000-1A00-000019000000}" name="亿美元" dataDxfId="131"/>
    <tableColumn id="26" xr3:uid="{00000000-0010-0000-1A00-00001A000000}" name="亿元" dataDxfId="130"/>
    <tableColumn id="27" xr3:uid="{00000000-0010-0000-1A00-00001B000000}" name="亿港币" dataDxfId="129"/>
    <tableColumn id="28" xr3:uid="{00000000-0010-0000-1A00-00001C000000}" name="Check" dataDxfId="128"/>
  </tableColumns>
  <tableStyleInfo name="review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1" totalsRowShown="0" headerRowDxfId="127">
  <autoFilter ref="AE3:AT11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6">
    <tableColumn id="1" xr3:uid="{00000000-0010-0000-1B00-000001000000}" name="信用主体"/>
    <tableColumn id="2" xr3:uid="{00000000-0010-0000-1B00-000002000000}" name="Check"/>
    <tableColumn id="3" xr3:uid="{00000000-0010-0000-1B00-000003000000}" name="ISIN" dataDxfId="126"/>
    <tableColumn id="4" xr3:uid="{00000000-0010-0000-1B00-000004000000}" name="定价日"/>
    <tableColumn id="5" xr3:uid="{00000000-0010-0000-1B00-000005000000}" name="台账序号" dataDxfId="125"/>
    <tableColumn id="6" xr3:uid="{00000000-0010-0000-1B00-000006000000}" name="COVERAGE" dataDxfId="124"/>
    <tableColumn id="7" xr3:uid="{00000000-0010-0000-1B00-000007000000}" name="Project Name" dataDxfId="123"/>
    <tableColumn id="8" xr3:uid="{00000000-0010-0000-1B00-000008000000}" name="新规角色" dataDxfId="122"/>
    <tableColumn id="9" xr3:uid="{00000000-0010-0000-1B00-000009000000}" name="PROJECT_CODE" dataDxfId="121"/>
    <tableColumn id="10" xr3:uid="{00000000-0010-0000-1B00-00000A000000}" name="期数" dataDxfId="120"/>
    <tableColumn id="11" xr3:uid="{00000000-0010-0000-1B00-00000B000000}" name="BISL_ROLE" dataDxfId="119"/>
    <tableColumn id="12" xr3:uid="{00000000-0010-0000-1B00-00000C000000}" name="港分_ROLE" dataDxfId="118"/>
    <tableColumn id="13" xr3:uid="{00000000-0010-0000-1B00-00000D000000}" name="澳分_ROLE" dataDxfId="117"/>
    <tableColumn id="14" xr3:uid="{00000000-0010-0000-1B00-00000E000000}" name="IS_LEAD" dataDxfId="116"/>
    <tableColumn id="15" xr3:uid="{00000000-0010-0000-1B00-00000F000000}" name="IS_B&amp;D" dataDxfId="115"/>
    <tableColumn id="16" xr3:uid="{4944CEE3-9CA6-4C3E-8070-375A0A0EC795}" name="是否合名" dataDxfId="114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113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/>
    <tableColumn id="2" xr3:uid="{00000000-0010-0000-1C00-000002000000}" name="SHORTNAMER"/>
    <tableColumn id="3" xr3:uid="{00000000-0010-0000-1C00-000003000000}" name="中资属性" dataDxfId="112"/>
    <tableColumn id="4" xr3:uid="{00000000-0010-0000-1C00-000004000000}" name="板块" dataDxfId="111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5:J18" tableType="queryTable" totalsRowShown="0">
  <autoFilter ref="A5:J18" xr:uid="{00000000-0009-0000-0100-000025000000}"/>
  <tableColumns count="10">
    <tableColumn id="1" xr3:uid="{00000000-0010-0000-2000-000001000000}" uniqueName="1" name="定价日" queryTableFieldId="1" dataDxfId="4"/>
    <tableColumn id="2" xr3:uid="{00000000-0010-0000-2000-000002000000}" uniqueName="2" name="ISIN" queryTableFieldId="2"/>
    <tableColumn id="3" xr3:uid="{00000000-0010-0000-2000-000003000000}" uniqueName="3" name="债券简称" queryTableFieldId="3"/>
    <tableColumn id="4" xr3:uid="{00000000-0010-0000-2000-000004000000}" uniqueName="4" name="年期" queryTableFieldId="4"/>
    <tableColumn id="5" xr3:uid="{00000000-0010-0000-2000-000005000000}" uniqueName="5" name="亿美元" queryTableFieldId="5"/>
    <tableColumn id="10" xr3:uid="{4DD127ED-3CFA-482D-824F-8996B3B2FF61}" uniqueName="10" name="货币" queryTableFieldId="10"/>
    <tableColumn id="6" xr3:uid="{00000000-0010-0000-2000-000006000000}" uniqueName="6" name="行业" queryTableFieldId="6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O5:AE13" tableType="queryTable" totalsRowShown="0">
  <autoFilter ref="O5:AE13" xr:uid="{00000000-0009-0000-0100-000004000000}"/>
  <tableColumns count="17">
    <tableColumn id="2" xr3:uid="{00000000-0010-0000-1D00-000002000000}" uniqueName="2" name="Index" queryTableFieldId="39" dataDxfId="25"/>
    <tableColumn id="33" xr3:uid="{00000000-0010-0000-1D00-000021000000}" uniqueName="33" name="ISIN" queryTableFieldId="33" dataDxfId="24"/>
    <tableColumn id="1" xr3:uid="{00000000-0010-0000-1D00-000001000000}" uniqueName="1" name="定价日" queryTableFieldId="1" dataDxfId="23"/>
    <tableColumn id="3" xr3:uid="{00000000-0010-0000-1D00-000003000000}" uniqueName="3" name="信用主体(备证行)" queryTableFieldId="40" dataDxfId="22"/>
    <tableColumn id="7" xr3:uid="{00000000-0010-0000-1D00-000007000000}" uniqueName="7" name="发行评级" queryTableFieldId="7" dataDxfId="21"/>
    <tableColumn id="9" xr3:uid="{00000000-0010-0000-1D00-000009000000}" uniqueName="9" name="货币" queryTableFieldId="9" dataDxfId="20"/>
    <tableColumn id="10" xr3:uid="{00000000-0010-0000-1D00-00000A000000}" uniqueName="10" name="发行规模(亿)" queryTableFieldId="10" dataDxfId="19"/>
    <tableColumn id="11" xr3:uid="{00000000-0010-0000-1D00-00000B000000}" uniqueName="11" name="年期" queryTableFieldId="11" dataDxfId="18"/>
    <tableColumn id="12" xr3:uid="{00000000-0010-0000-1D00-00000C000000}" uniqueName="12" name="票息" queryTableFieldId="12" dataDxfId="17"/>
    <tableColumn id="13" xr3:uid="{00000000-0010-0000-1D00-00000D000000}" uniqueName="13" name="IPG" queryTableFieldId="13" dataDxfId="16"/>
    <tableColumn id="15" xr3:uid="{00000000-0010-0000-1D00-00000F000000}" uniqueName="15" name="收窄基点" queryTableFieldId="15" dataDxfId="15"/>
    <tableColumn id="16" xr3:uid="{00000000-0010-0000-1D00-000010000000}" uniqueName="16" name="结构" queryTableFieldId="16" dataDxfId="14"/>
    <tableColumn id="17" xr3:uid="{00000000-0010-0000-1D00-000011000000}" uniqueName="17" name="主题" queryTableFieldId="17" dataDxfId="13"/>
    <tableColumn id="4" xr3:uid="{FA4F2C95-A39F-499C-B714-9F3BFC490D1F}" uniqueName="4" name="板块" queryTableFieldId="113"/>
    <tableColumn id="19" xr3:uid="{00000000-0010-0000-1D00-000013000000}" uniqueName="19" name="地区" queryTableFieldId="19" dataDxfId="12"/>
    <tableColumn id="38" xr3:uid="{00000000-0010-0000-1D00-000026000000}" uniqueName="38" name="BOCOM_DEAL?" queryTableFieldId="38" dataDxfId="11"/>
    <tableColumn id="23" xr3:uid="{00000000-0010-0000-1D00-000017000000}" uniqueName="23" name="亿美元" queryTableFieldId="52" dataDxfId="10"/>
  </tableColumns>
  <tableStyleInfo name="Qry Load 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6" tableType="queryTable" totalsRowShown="0" headerRowDxfId="109" dataDxfId="108">
  <autoFilter ref="A4:F6" xr:uid="{00000000-0009-0000-0100-000020000000}"/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31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10:F15" tableType="queryTable" totalsRowShown="0" headerRowDxfId="107" dataDxfId="106">
  <autoFilter ref="A10:F15" xr:uid="{00000000-0009-0000-0100-000024000000}"/>
  <tableColumns count="6">
    <tableColumn id="12" xr3:uid="{00000000-0010-0000-2300-00000C000000}" uniqueName="12" name="Index" queryTableFieldId="22" dataDxfId="9"/>
    <tableColumn id="2" xr3:uid="{6DD35146-7DF1-4CCE-9356-C22B108F4F39}" uniqueName="2" name="板块" queryTableFieldId="214"/>
    <tableColumn id="3" xr3:uid="{00000000-0010-0000-2300-000003000000}" uniqueName="3" name="货币" queryTableFieldId="3" dataDxfId="8"/>
    <tableColumn id="52" xr3:uid="{747DCABA-F2CB-44A1-BB61-12F09EA77A65}" uniqueName="52" name="信用主体(备证行)" queryTableFieldId="74" dataDxfId="7"/>
    <tableColumn id="5" xr3:uid="{00000000-0010-0000-2300-000005000000}" uniqueName="5" name="描述" queryTableFieldId="5" dataDxfId="6"/>
    <tableColumn id="1" xr3:uid="{DCE0C678-7429-4B20-B919-874EAF955EBE}" uniqueName="1" name="Stats描述" queryTableFieldId="213" dataDxfId="5"/>
  </tableColumns>
  <tableStyleInfo name="Qry Load 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totalsRowShown="0" headerRowDxfId="105" dataDxfId="104">
  <autoFilter ref="A20:F21" xr:uid="{00000000-0009-0000-0100-000026000000}"/>
  <tableColumns count="6">
    <tableColumn id="11" xr3:uid="{00000000-0010-0000-2400-00000B000000}" uniqueName="11" name="Index" queryTableFieldId="22" dataDxfId="30"/>
    <tableColumn id="2" xr3:uid="{2E4D374C-6CDD-42F1-B20B-3BBE7554D480}" uniqueName="2" name="板块" queryTableFieldId="31"/>
    <tableColumn id="3" xr3:uid="{00000000-0010-0000-2400-000003000000}" uniqueName="3" name="货币" queryTableFieldId="3" dataDxfId="29"/>
    <tableColumn id="1" xr3:uid="{2E389034-2B87-4958-B802-5B79867D001B}" uniqueName="1" name="信用主体(备证行)" queryTableFieldId="27" dataDxfId="28"/>
    <tableColumn id="5" xr3:uid="{00000000-0010-0000-2400-000005000000}" uniqueName="5" name="描述" queryTableFieldId="5" dataDxfId="27"/>
    <tableColumn id="4" xr3:uid="{16F5A068-483F-4DF8-A04E-F4CBC2061169}" uniqueName="4" name="Stats描述" queryTableFieldId="30" dataDxfId="26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6" tableType="queryTable" totalsRowShown="0">
  <autoFilter ref="A12:O36" xr:uid="{00000000-0009-0000-0100-00002C000000}"/>
  <sortState ref="A13:O36">
    <sortCondition descending="1" ref="I12:I36"/>
  </sortState>
  <tableColumns count="15">
    <tableColumn id="1" xr3:uid="{00000000-0010-0000-2600-000001000000}" uniqueName="1" name="Date" queryTableFieldId="1" dataDxfId="101"/>
    <tableColumn id="13" xr3:uid="{00000000-0010-0000-2600-00000D000000}" uniqueName="13" name="Region" queryTableFieldId="13" dataDxfId="100"/>
    <tableColumn id="3" xr3:uid="{00000000-0010-0000-2600-000003000000}" uniqueName="3" name="Event" queryTableFieldId="3" dataDxfId="99"/>
    <tableColumn id="14" xr3:uid="{00000000-0010-0000-2600-00000E000000}" uniqueName="14" name="Period" queryTableFieldId="14" dataDxfId="98"/>
    <tableColumn id="5" xr3:uid="{00000000-0010-0000-2600-000005000000}" uniqueName="5" name="Survey" queryTableFieldId="5" dataDxfId="97"/>
    <tableColumn id="6" xr3:uid="{00000000-0010-0000-2600-000006000000}" uniqueName="6" name="Actual" queryTableFieldId="6" dataDxfId="96"/>
    <tableColumn id="7" xr3:uid="{00000000-0010-0000-2600-000007000000}" uniqueName="7" name="Prior" queryTableFieldId="7" dataDxfId="95"/>
    <tableColumn id="8" xr3:uid="{00000000-0010-0000-2600-000008000000}" uniqueName="8" name="Revised" queryTableFieldId="8" dataDxfId="94"/>
    <tableColumn id="9" xr3:uid="{00000000-0010-0000-2600-000009000000}" uniqueName="9" name="Relevance" queryTableFieldId="9" dataDxfId="93"/>
    <tableColumn id="10" xr3:uid="{00000000-0010-0000-2600-00000A000000}" uniqueName="10" name="Ticker" queryTableFieldId="10" dataDxfId="92"/>
    <tableColumn id="11" xr3:uid="{00000000-0010-0000-2600-00000B000000}" uniqueName="11" name="Time" queryTableFieldId="11" dataDxfId="91"/>
    <tableColumn id="15" xr3:uid="{00000000-0010-0000-2600-00000F000000}" uniqueName="15" name="Table" queryTableFieldId="15" dataDxfId="90"/>
    <tableColumn id="17" xr3:uid="{00000000-0010-0000-2600-000011000000}" uniqueName="17" name="区间" queryTableFieldId="22" dataDxfId="89"/>
    <tableColumn id="18" xr3:uid="{00000000-0010-0000-2600-000012000000}" uniqueName="18" name="范围" queryTableFieldId="23" dataDxfId="88"/>
    <tableColumn id="16" xr3:uid="{00000000-0010-0000-2600-000010000000}" uniqueName="16" name="上周主要经济数据" queryTableFieldId="16" dataDxfId="87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86" dataDxfId="85">
  <autoFilter ref="B2:G8" xr:uid="{24589828-60FF-4B5D-BC74-4E07AE81626F}"/>
  <sortState ref="B3:G8">
    <sortCondition ref="D2:D8"/>
  </sortState>
  <tableColumns count="6">
    <tableColumn id="6" xr3:uid="{00000000-0010-0000-2700-000006000000}" name="Index" dataDxfId="84"/>
    <tableColumn id="1" xr3:uid="{00000000-0010-0000-2700-000001000000}" name="上周主要经济数据" dataDxfId="83"/>
    <tableColumn id="2" xr3:uid="{00000000-0010-0000-2700-000002000000}" name="发布(HKT) " dataDxfId="82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81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80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79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5" tableType="queryTable" totalsRowShown="0">
  <autoFilter ref="A10:O25" xr:uid="{00000000-0009-0000-0100-000010000000}"/>
  <sortState ref="A11:O25">
    <sortCondition descending="1" ref="I10:I25"/>
  </sortState>
  <tableColumns count="15">
    <tableColumn id="1" xr3:uid="{00000000-0010-0000-2800-000001000000}" uniqueName="1" name="Date" queryTableFieldId="1" dataDxfId="78"/>
    <tableColumn id="2" xr3:uid="{00000000-0010-0000-2800-000002000000}" uniqueName="2" name="Region" queryTableFieldId="2" dataDxfId="77"/>
    <tableColumn id="3" xr3:uid="{00000000-0010-0000-2800-000003000000}" uniqueName="3" name="Event" queryTableFieldId="3" dataDxfId="76"/>
    <tableColumn id="4" xr3:uid="{00000000-0010-0000-2800-000004000000}" uniqueName="4" name="Period" queryTableFieldId="4" dataDxfId="75"/>
    <tableColumn id="5" xr3:uid="{00000000-0010-0000-2800-000005000000}" uniqueName="5" name="Survey" queryTableFieldId="5" dataDxfId="74"/>
    <tableColumn id="6" xr3:uid="{00000000-0010-0000-2800-000006000000}" uniqueName="6" name="Actual" queryTableFieldId="6" dataDxfId="73"/>
    <tableColumn id="7" xr3:uid="{00000000-0010-0000-2800-000007000000}" uniqueName="7" name="Prior" queryTableFieldId="7" dataDxfId="72"/>
    <tableColumn id="8" xr3:uid="{00000000-0010-0000-2800-000008000000}" uniqueName="8" name="Revised" queryTableFieldId="8" dataDxfId="71"/>
    <tableColumn id="9" xr3:uid="{00000000-0010-0000-2800-000009000000}" uniqueName="9" name="Relevance" queryTableFieldId="9" dataDxfId="70"/>
    <tableColumn id="10" xr3:uid="{00000000-0010-0000-2800-00000A000000}" uniqueName="10" name="Ticker" queryTableFieldId="10" dataDxfId="69"/>
    <tableColumn id="11" xr3:uid="{00000000-0010-0000-2800-00000B000000}" uniqueName="11" name="Time" queryTableFieldId="11" dataDxfId="68"/>
    <tableColumn id="12" xr3:uid="{00000000-0010-0000-2800-00000C000000}" uniqueName="12" name="Table" queryTableFieldId="12" dataDxfId="67"/>
    <tableColumn id="14" xr3:uid="{00000000-0010-0000-2800-00000E000000}" uniqueName="14" name="区间" queryTableFieldId="14" dataDxfId="66"/>
    <tableColumn id="15" xr3:uid="{00000000-0010-0000-2800-00000F000000}" uniqueName="15" name="范围" queryTableFieldId="15" dataDxfId="65"/>
    <tableColumn id="16" xr3:uid="{00000000-0010-0000-2800-000010000000}" uniqueName="16" name="未来一周主要经济数据" queryTableFieldId="16" dataDxfId="64"/>
  </tableColumns>
  <tableStyleInfo name="Qry Load 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63" dataDxfId="62">
  <autoFilter ref="B2:F8" xr:uid="{00000000-0009-0000-0100-000012000000}"/>
  <sortState ref="B3:F8">
    <sortCondition ref="D2:D8"/>
  </sortState>
  <tableColumns count="5">
    <tableColumn id="6" xr3:uid="{00000000-0010-0000-2900-000006000000}" name="Index" dataDxfId="61"/>
    <tableColumn id="1" xr3:uid="{00000000-0010-0000-2900-000001000000}" name="未来一周主要经济数据" dataDxfId="60"/>
    <tableColumn id="2" xr3:uid="{00000000-0010-0000-2900-000002000000}" name="预计发布(HKT) " dataDxfId="59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58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57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2A000000}" name="tbl_extra_isin" displayName="tbl_extra_isin" ref="E1:H26" totalsRowShown="0" headerRowDxfId="56" dataDxfId="55">
  <autoFilter ref="E1:H26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2A00-000001000000}" name="List" dataDxfId="54"/>
    <tableColumn id="2" xr3:uid="{00000000-0010-0000-2A00-000002000000}" name="Example" dataDxfId="53" dataCellStyle="For Input"/>
    <tableColumn id="3" xr3:uid="{00000000-0010-0000-2A00-000003000000}" name="Extra ISIN" dataDxfId="52" dataCellStyle="For Input"/>
    <tableColumn id="4" xr3:uid="{00000000-0010-0000-2A00-000004000000}" name="Extra ISIN 1" dataDxfId="51" dataCellStyle="For Input"/>
  </tableColumns>
  <tableStyleInfo name="Qry Sourc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S12" tableType="queryTable" totalsRowShown="0">
  <autoFilter ref="A4:AS12" xr:uid="{BED11331-0A79-433D-AD27-4FE128D28EA4}"/>
  <tableColumns count="45">
    <tableColumn id="1" xr3:uid="{791E5B07-BD81-4C7D-914D-F61E0BD81704}" uniqueName="1" name="Index" queryTableFieldId="1"/>
    <tableColumn id="2" xr3:uid="{E4F1AA1A-4561-4DCC-BD36-6E0C0BF9681D}" uniqueName="2" name="信用主体" queryTableFieldId="2"/>
    <tableColumn id="3" xr3:uid="{BCA724F0-8962-4CF8-9F27-DFAB5A7EE57F}" uniqueName="3" name="ISIN" queryTableFieldId="3"/>
    <tableColumn id="4" xr3:uid="{7B86C8AE-E7F7-4B8E-A455-4336C7F9D6D4}" uniqueName="4" name="定价日" queryTableFieldId="4" dataDxfId="3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/>
    <tableColumn id="16" xr3:uid="{2A30FA30-EA68-445A-B3B2-07A216AE817C}" uniqueName="16" name="定价基准" queryTableFieldId="16"/>
    <tableColumn id="18" xr3:uid="{68B928C8-F110-4275-943D-B563184CF448}" uniqueName="18" name="发行价" queryTableFieldId="39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 dataDxfId="2"/>
    <tableColumn id="39" xr3:uid="{63B90420-8840-4507-9FE7-AEEA98D3C1EA}" uniqueName="39" name="首次付息日" queryTableFieldId="42" dataDxfId="1"/>
    <tableColumn id="40" xr3:uid="{BD1F8AC9-D7AC-4D02-8E73-E640E429EA37}" uniqueName="40" name="兑付日" queryTableFieldId="43" dataDxfId="0"/>
    <tableColumn id="23" xr3:uid="{32278D46-AAFB-46AC-B876-F0B2F5B3D38C}" uniqueName="23" name="亿美元" queryTableFieldId="23"/>
    <tableColumn id="24" xr3:uid="{1F885E33-0B82-4272-882B-8A2CC2097721}" uniqueName="24" name="亿元" queryTableFieldId="24"/>
    <tableColumn id="25" xr3:uid="{636B29DB-50B6-49B5-9EE5-519500C5F4C5}" uniqueName="25" name="亿港币" queryTableFieldId="25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2" xr3:uid="{DF9610CA-17E8-4B49-910E-BA6EB58E92E6}" uniqueName="32" name="通过分行" queryTableFieldId="32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/>
  </tableColumns>
  <tableStyleInfo name="Qry Load 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T5" tableType="queryTable" totalsRowShown="0">
  <autoFilter ref="A4:T5" xr:uid="{00000000-0009-0000-0100-00001E000000}"/>
  <tableColumns count="20">
    <tableColumn id="1" xr3:uid="{839D15CD-929C-426E-BE35-D71776CF4847}" uniqueName="1" name="Index" queryTableFieldId="24" dataDxfId="50"/>
    <tableColumn id="7" xr3:uid="{00000000-0010-0000-2100-000007000000}" uniqueName="7" name="信用主体" queryTableFieldId="7" dataDxfId="49"/>
    <tableColumn id="12" xr3:uid="{D8848C67-C257-40AA-BA2E-11E9707D0C96}" uniqueName="12" name="信用主体简称" queryTableFieldId="25" dataDxfId="48"/>
    <tableColumn id="3" xr3:uid="{B0A40063-19C6-436A-B9D7-8F869CBB7078}" uniqueName="3" name="板块" queryTableFieldId="22" dataDxfId="47"/>
    <tableColumn id="13" xr3:uid="{EF898015-116B-4F44-8180-3FBDA10D157E}" uniqueName="13" name="行业二级" queryTableFieldId="45" dataDxfId="46"/>
    <tableColumn id="4" xr3:uid="{00000000-0010-0000-2100-000004000000}" uniqueName="4" name="地区" queryTableFieldId="4" dataDxfId="45"/>
    <tableColumn id="5" xr3:uid="{00000000-0010-0000-2100-000005000000}" uniqueName="5" name="城市" queryTableFieldId="5" dataDxfId="44"/>
    <tableColumn id="6" xr3:uid="{00000000-0010-0000-2100-000006000000}" uniqueName="6" name="区县" queryTableFieldId="6" dataDxfId="43"/>
    <tableColumn id="14" xr3:uid="{FA0B5668-222B-4765-812C-C03B5B97EC30}" uniqueName="14" name="平台级别" queryTableFieldId="27" dataDxfId="42"/>
    <tableColumn id="2" xr3:uid="{2E2AEFE9-AB5E-4BE5-BAE0-A95DCF912FA9}" uniqueName="2" name="中资属性" queryTableFieldId="12" dataDxfId="41"/>
    <tableColumn id="20" xr3:uid="{0AE5210F-C482-43A4-AC19-BA6841B87837}" uniqueName="20" name="系" queryTableFieldId="56"/>
    <tableColumn id="15" xr3:uid="{9EB1F89B-CC53-4B89-9385-E7B40FF125C7}" uniqueName="15" name="首次违约日" queryTableFieldId="28" dataDxfId="40"/>
    <tableColumn id="11" xr3:uid="{00000000-0010-0000-2100-00000B000000}" uniqueName="11" name="DEBUT_DATE" queryTableFieldId="11" dataDxfId="39"/>
    <tableColumn id="16" xr3:uid="{0B2ECDC0-ECBB-49D2-AE22-30BDCBF42B44}" uniqueName="16" name="曾用名" queryTableFieldId="29" dataDxfId="38"/>
    <tableColumn id="17" xr3:uid="{1E2A9035-C305-4E84-8A00-32F6B16469B0}" uniqueName="17" name="主体备注" queryTableFieldId="30" dataDxfId="37"/>
    <tableColumn id="8" xr3:uid="{00000000-0010-0000-2100-000008000000}" uniqueName="8" name="行业" queryTableFieldId="8" dataDxfId="36"/>
    <tableColumn id="9" xr3:uid="{00000000-0010-0000-2100-000009000000}" uniqueName="9" name="细分行业" queryTableFieldId="9" dataDxfId="35"/>
    <tableColumn id="10" xr3:uid="{00000000-0010-0000-2100-00000A000000}" uniqueName="10" name="公司类型" queryTableFieldId="10" dataDxfId="34"/>
    <tableColumn id="18" xr3:uid="{8745C1D2-A151-43DA-9DB4-BE5C10F1E3EA}" uniqueName="18" name="Updator" queryTableFieldId="31" dataDxfId="33"/>
    <tableColumn id="19" xr3:uid="{DE99903B-F628-4B59-9730-5822264C6BC0}" uniqueName="19" name="Timestamp" queryTableFieldId="32" dataDxfId="32"/>
  </tableColumns>
  <tableStyleInfo name="review 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S8" tableType="queryTable" totalsRowShown="0">
  <autoFilter ref="A5:S8" xr:uid="{00000000-0009-0000-0100-000002000000}"/>
  <tableColumns count="19">
    <tableColumn id="6" xr3:uid="{3411C0CF-976A-4264-975A-7FF83ECA3A4F}" uniqueName="6" name="Index" queryTableFieldId="33"/>
    <tableColumn id="2" xr3:uid="{00000000-0010-0000-1F00-000002000000}" uniqueName="2" name="ISIN" queryTableFieldId="2"/>
    <tableColumn id="3" xr3:uid="{00000000-0010-0000-1F00-000003000000}" uniqueName="3" name="定价日" queryTableField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7" xr3:uid="{B157A89E-0608-47B6-B1F4-C5375D9EE80D}" uniqueName="17" name="多期限" queryTableFieldId="37"/>
    <tableColumn id="1" xr3:uid="{00000000-0010-0000-1F00-000001000000}" uniqueName="1" name="Check" queryTableFieldId="1"/>
    <tableColumn id="19" xr3:uid="{21B06EAE-8568-4B4F-9535-B0BA6BEED0CC}" uniqueName="19" name="PRJ对帐号" queryTableFieldId="38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44"/>
  <sheetViews>
    <sheetView zoomScale="115" zoomScaleNormal="115" workbookViewId="0">
      <selection activeCell="M7" sqref="M7:M14"/>
    </sheetView>
  </sheetViews>
  <sheetFormatPr defaultColWidth="8.21875" defaultRowHeight="18.75" customHeight="1" outlineLevelRow="1" x14ac:dyDescent="0.25"/>
  <cols>
    <col min="1" max="1" width="8.109375" style="21" bestFit="1" customWidth="1"/>
    <col min="2" max="2" width="8.109375" style="20" bestFit="1" customWidth="1"/>
    <col min="3" max="3" width="11.44140625" style="21" bestFit="1" customWidth="1"/>
    <col min="4" max="4" width="9.33203125" style="13" bestFit="1" customWidth="1"/>
    <col min="5" max="5" width="9.5546875" style="13" bestFit="1" customWidth="1"/>
    <col min="6" max="6" width="13.5546875" style="13" bestFit="1" customWidth="1"/>
    <col min="7" max="7" width="11.77734375" style="13" bestFit="1" customWidth="1"/>
    <col min="8" max="8" width="15" style="13" bestFit="1" customWidth="1"/>
    <col min="9" max="9" width="9.33203125" style="13" bestFit="1" customWidth="1"/>
    <col min="10" max="10" width="9.44140625" style="13" bestFit="1" customWidth="1"/>
    <col min="11" max="11" width="11.33203125" style="13" bestFit="1" customWidth="1"/>
    <col min="12" max="12" width="11.109375" style="13" bestFit="1" customWidth="1"/>
    <col min="13" max="13" width="20.44140625" style="13" bestFit="1" customWidth="1"/>
    <col min="14" max="14" width="7.109375" style="13" bestFit="1" customWidth="1"/>
    <col min="15" max="15" width="10.6640625" style="13" bestFit="1" customWidth="1"/>
    <col min="16" max="16" width="7.109375" style="13" bestFit="1" customWidth="1"/>
    <col min="17" max="17" width="7.88671875" style="13" bestFit="1" customWidth="1"/>
    <col min="18" max="18" width="23.109375" style="13" bestFit="1" customWidth="1"/>
    <col min="19" max="19" width="7.21875" style="13" bestFit="1" customWidth="1"/>
    <col min="20" max="20" width="15.5546875" style="13" bestFit="1" customWidth="1"/>
    <col min="21" max="21" width="15.5546875" style="13" customWidth="1"/>
    <col min="22" max="22" width="8.109375" style="13" bestFit="1" customWidth="1"/>
    <col min="23" max="23" width="9" style="13" bestFit="1" customWidth="1"/>
    <col min="24" max="24" width="7.109375" style="13" bestFit="1" customWidth="1"/>
    <col min="25" max="25" width="10.6640625" style="13" bestFit="1" customWidth="1"/>
    <col min="26" max="26" width="7.109375" style="13" bestFit="1" customWidth="1"/>
    <col min="27" max="27" width="15.21875" style="13" bestFit="1" customWidth="1"/>
    <col min="28" max="28" width="7.109375" style="13" bestFit="1" customWidth="1"/>
    <col min="29" max="29" width="5.77734375" style="13" bestFit="1" customWidth="1"/>
    <col min="30" max="30" width="7.109375" style="13" bestFit="1" customWidth="1"/>
    <col min="31" max="16384" width="8.21875" style="13"/>
  </cols>
  <sheetData>
    <row r="1" spans="1:13" ht="18.75" customHeight="1" x14ac:dyDescent="0.25">
      <c r="A1" s="102" t="str">
        <f ca="1" xml:space="preserve"> IF(ISNUMBER(FIND("ktkt2",CELL("filename"))),"Remote",IF(ISNUMBER(FIND("docs.live",CELL("filename"))),"Remote","Global"))</f>
        <v>Global</v>
      </c>
      <c r="B1" s="11"/>
      <c r="C1" s="12"/>
      <c r="D1" s="17"/>
      <c r="E1" s="14"/>
      <c r="F1" s="15"/>
      <c r="G1" s="18"/>
      <c r="H1" s="16"/>
      <c r="I1" s="17"/>
    </row>
    <row r="2" spans="1:13" ht="18.75" customHeight="1" outlineLevel="1" x14ac:dyDescent="0.25">
      <c r="A2" s="13"/>
      <c r="B2" s="13"/>
      <c r="C2" s="13"/>
    </row>
    <row r="3" spans="1:13" ht="18.75" customHeight="1" outlineLevel="1" x14ac:dyDescent="0.25">
      <c r="A3" s="13"/>
      <c r="B3" s="13"/>
      <c r="C3" s="13"/>
    </row>
    <row r="4" spans="1:13" ht="18.75" customHeight="1" outlineLevel="1" x14ac:dyDescent="0.25">
      <c r="A4" s="13"/>
      <c r="B4" s="13"/>
      <c r="C4" s="13"/>
    </row>
    <row r="5" spans="1:13" ht="18.75" customHeight="1" outlineLevel="1" x14ac:dyDescent="0.25">
      <c r="A5" s="20"/>
      <c r="B5" s="21"/>
      <c r="C5" s="13"/>
    </row>
    <row r="6" spans="1:13" ht="15" x14ac:dyDescent="0.25">
      <c r="A6" s="111" t="s">
        <v>51</v>
      </c>
      <c r="B6" s="110" t="s">
        <v>105</v>
      </c>
      <c r="C6" s="110" t="s">
        <v>73</v>
      </c>
      <c r="D6" s="69" t="s">
        <v>103</v>
      </c>
      <c r="E6" s="69" t="s">
        <v>100</v>
      </c>
      <c r="F6" s="66" t="s">
        <v>202</v>
      </c>
      <c r="G6" s="66" t="s">
        <v>226</v>
      </c>
      <c r="H6" s="66" t="s">
        <v>227</v>
      </c>
      <c r="I6" s="66" t="s">
        <v>305</v>
      </c>
      <c r="J6" s="66" t="s">
        <v>272</v>
      </c>
      <c r="K6" s="66" t="s">
        <v>195</v>
      </c>
      <c r="L6" s="110" t="s">
        <v>0</v>
      </c>
      <c r="M6" s="66" t="s">
        <v>196</v>
      </c>
    </row>
    <row r="7" spans="1:13" ht="15" x14ac:dyDescent="0.25">
      <c r="A7" s="111" t="s">
        <v>2</v>
      </c>
      <c r="B7" s="110" t="s">
        <v>172</v>
      </c>
      <c r="C7" s="111" t="s">
        <v>95</v>
      </c>
      <c r="D7" s="69" t="s">
        <v>129</v>
      </c>
      <c r="E7" s="69" t="s">
        <v>135</v>
      </c>
      <c r="F7" s="66" t="s">
        <v>198</v>
      </c>
      <c r="G7" s="66" t="s">
        <v>238</v>
      </c>
      <c r="H7" s="66" t="s">
        <v>236</v>
      </c>
      <c r="I7" s="66" t="s">
        <v>306</v>
      </c>
      <c r="J7" s="66" t="s">
        <v>253</v>
      </c>
      <c r="K7" s="66" t="s">
        <v>280</v>
      </c>
      <c r="L7" s="110" t="s">
        <v>1</v>
      </c>
      <c r="M7" s="66" t="s">
        <v>322</v>
      </c>
    </row>
    <row r="8" spans="1:13" ht="15" x14ac:dyDescent="0.25">
      <c r="A8" s="111" t="s">
        <v>94</v>
      </c>
      <c r="B8" s="110" t="s">
        <v>173</v>
      </c>
      <c r="C8" s="111" t="s">
        <v>121</v>
      </c>
      <c r="D8" s="69" t="s">
        <v>102</v>
      </c>
      <c r="E8" s="69" t="s">
        <v>136</v>
      </c>
      <c r="F8" s="66" t="s">
        <v>197</v>
      </c>
      <c r="G8" s="66" t="s">
        <v>235</v>
      </c>
      <c r="H8" s="66" t="s">
        <v>239</v>
      </c>
      <c r="I8" s="66" t="s">
        <v>307</v>
      </c>
      <c r="J8" s="66" t="s">
        <v>254</v>
      </c>
      <c r="K8" s="66" t="s">
        <v>197</v>
      </c>
      <c r="L8" s="110" t="s">
        <v>5</v>
      </c>
      <c r="M8" s="66" t="s">
        <v>323</v>
      </c>
    </row>
    <row r="9" spans="1:13" ht="15" x14ac:dyDescent="0.25">
      <c r="A9" s="111" t="s">
        <v>3</v>
      </c>
      <c r="B9" s="110" t="s">
        <v>141</v>
      </c>
      <c r="C9" s="111" t="s">
        <v>130</v>
      </c>
      <c r="D9" s="69" t="s">
        <v>101</v>
      </c>
      <c r="E9" s="69" t="s">
        <v>138</v>
      </c>
      <c r="F9" s="66" t="s">
        <v>244</v>
      </c>
      <c r="G9" s="66" t="s">
        <v>247</v>
      </c>
      <c r="H9" s="66" t="s">
        <v>248</v>
      </c>
      <c r="I9" s="66" t="s">
        <v>308</v>
      </c>
      <c r="J9" s="66" t="s">
        <v>255</v>
      </c>
      <c r="K9" s="66" t="s">
        <v>281</v>
      </c>
      <c r="L9" s="110" t="s">
        <v>6</v>
      </c>
      <c r="M9" s="66" t="s">
        <v>304</v>
      </c>
    </row>
    <row r="10" spans="1:13" ht="15" x14ac:dyDescent="0.25">
      <c r="A10" s="111" t="s">
        <v>4</v>
      </c>
      <c r="C10" s="111" t="s">
        <v>126</v>
      </c>
      <c r="D10" s="69" t="s">
        <v>131</v>
      </c>
      <c r="E10" s="69" t="s">
        <v>137</v>
      </c>
      <c r="F10" s="109" t="s">
        <v>8</v>
      </c>
      <c r="G10" s="109" t="s">
        <v>8</v>
      </c>
      <c r="H10" s="109" t="s">
        <v>8</v>
      </c>
      <c r="I10" s="66" t="s">
        <v>309</v>
      </c>
      <c r="J10" s="66" t="s">
        <v>256</v>
      </c>
      <c r="K10" s="66" t="s">
        <v>246</v>
      </c>
      <c r="L10" s="110" t="s">
        <v>7</v>
      </c>
      <c r="M10" s="66" t="s">
        <v>324</v>
      </c>
    </row>
    <row r="11" spans="1:13" ht="15" x14ac:dyDescent="0.25">
      <c r="D11" s="69" t="s">
        <v>132</v>
      </c>
      <c r="E11" s="69" t="s">
        <v>47</v>
      </c>
      <c r="F11" s="84"/>
      <c r="I11" s="66" t="s">
        <v>310</v>
      </c>
      <c r="J11" s="66" t="s">
        <v>3</v>
      </c>
      <c r="K11" s="66" t="s">
        <v>198</v>
      </c>
      <c r="L11" s="110" t="s">
        <v>320</v>
      </c>
      <c r="M11" s="66" t="s">
        <v>325</v>
      </c>
    </row>
    <row r="12" spans="1:13" ht="15" x14ac:dyDescent="0.25">
      <c r="A12" s="22" t="s">
        <v>99</v>
      </c>
      <c r="B12" s="19" t="s">
        <v>37</v>
      </c>
      <c r="C12" s="13"/>
      <c r="D12" s="69" t="s">
        <v>131</v>
      </c>
      <c r="E12" s="69" t="s">
        <v>44</v>
      </c>
      <c r="F12" s="84"/>
      <c r="J12" s="66" t="s">
        <v>257</v>
      </c>
      <c r="K12" s="66" t="s">
        <v>245</v>
      </c>
      <c r="M12" s="66" t="s">
        <v>326</v>
      </c>
    </row>
    <row r="13" spans="1:13" ht="15" x14ac:dyDescent="0.25">
      <c r="A13" s="22" t="s">
        <v>14</v>
      </c>
      <c r="B13" s="19" t="s">
        <v>38</v>
      </c>
      <c r="C13" s="13"/>
      <c r="D13" s="69" t="s">
        <v>127</v>
      </c>
      <c r="E13" s="69" t="s">
        <v>134</v>
      </c>
      <c r="F13" s="109"/>
      <c r="G13" s="84"/>
      <c r="M13" s="66" t="s">
        <v>327</v>
      </c>
    </row>
    <row r="14" spans="1:13" ht="15" x14ac:dyDescent="0.25">
      <c r="A14" s="22" t="s">
        <v>11</v>
      </c>
      <c r="B14" s="19" t="s">
        <v>41</v>
      </c>
      <c r="C14" s="13"/>
      <c r="D14" s="69" t="s">
        <v>3</v>
      </c>
      <c r="E14" s="69" t="s">
        <v>48</v>
      </c>
      <c r="F14" s="84"/>
      <c r="G14" s="84"/>
      <c r="M14" s="66" t="s">
        <v>8</v>
      </c>
    </row>
    <row r="15" spans="1:13" ht="18.75" customHeight="1" x14ac:dyDescent="0.25">
      <c r="A15" s="22" t="s">
        <v>30</v>
      </c>
      <c r="B15" s="19" t="s">
        <v>39</v>
      </c>
      <c r="D15" s="21"/>
      <c r="E15" s="69" t="s">
        <v>45</v>
      </c>
      <c r="F15" s="84"/>
    </row>
    <row r="16" spans="1:13" ht="18.75" customHeight="1" x14ac:dyDescent="0.25">
      <c r="A16" s="22" t="s">
        <v>19</v>
      </c>
      <c r="B16" s="19" t="s">
        <v>40</v>
      </c>
    </row>
    <row r="17" spans="1:10" ht="18.75" customHeight="1" x14ac:dyDescent="0.25">
      <c r="A17" s="22" t="s">
        <v>25</v>
      </c>
      <c r="B17" s="19" t="s">
        <v>43</v>
      </c>
    </row>
    <row r="18" spans="1:10" ht="18.75" customHeight="1" x14ac:dyDescent="0.25">
      <c r="A18" s="22" t="s">
        <v>24</v>
      </c>
      <c r="B18" s="19" t="s">
        <v>42</v>
      </c>
      <c r="C18" s="85" t="s">
        <v>195</v>
      </c>
      <c r="D18" s="83" t="s">
        <v>241</v>
      </c>
      <c r="E18" s="83" t="s">
        <v>242</v>
      </c>
      <c r="F18" s="85" t="s">
        <v>226</v>
      </c>
      <c r="G18" s="83" t="s">
        <v>227</v>
      </c>
      <c r="H18" s="83" t="s">
        <v>263</v>
      </c>
      <c r="I18" s="83" t="s">
        <v>264</v>
      </c>
      <c r="J18" s="83" t="s">
        <v>265</v>
      </c>
    </row>
    <row r="19" spans="1:10" ht="18.75" customHeight="1" x14ac:dyDescent="0.25">
      <c r="A19" s="22" t="s">
        <v>35</v>
      </c>
      <c r="B19" s="19" t="s">
        <v>128</v>
      </c>
      <c r="C19" s="82" t="s">
        <v>197</v>
      </c>
      <c r="D19" s="82" t="s">
        <v>198</v>
      </c>
      <c r="E19" s="82" t="s">
        <v>8</v>
      </c>
      <c r="F19" s="82" t="s">
        <v>235</v>
      </c>
      <c r="G19" s="82" t="s">
        <v>236</v>
      </c>
      <c r="H19" s="82"/>
      <c r="I19" s="82"/>
      <c r="J19" s="82"/>
    </row>
    <row r="20" spans="1:10" ht="18.75" customHeight="1" x14ac:dyDescent="0.25">
      <c r="A20" s="22" t="s">
        <v>29</v>
      </c>
      <c r="B20" s="19" t="s">
        <v>8</v>
      </c>
      <c r="C20" s="55"/>
      <c r="D20" s="54"/>
      <c r="H20" s="54"/>
      <c r="J20" s="54"/>
    </row>
    <row r="21" spans="1:10" ht="18.75" customHeight="1" x14ac:dyDescent="0.25">
      <c r="A21" s="22" t="s">
        <v>13</v>
      </c>
      <c r="H21" s="54"/>
    </row>
    <row r="22" spans="1:10" ht="18.75" customHeight="1" x14ac:dyDescent="0.25">
      <c r="A22" s="22" t="s">
        <v>20</v>
      </c>
      <c r="C22" s="13"/>
      <c r="F22" s="54"/>
      <c r="G22" s="54"/>
    </row>
    <row r="23" spans="1:10" ht="18.75" customHeight="1" x14ac:dyDescent="0.25">
      <c r="A23" s="22" t="s">
        <v>187</v>
      </c>
      <c r="C23" s="13"/>
      <c r="F23" s="54"/>
      <c r="G23" s="54"/>
    </row>
    <row r="24" spans="1:10" ht="18.75" customHeight="1" x14ac:dyDescent="0.25">
      <c r="A24" s="22" t="s">
        <v>36</v>
      </c>
      <c r="C24" s="13"/>
      <c r="F24" s="54"/>
      <c r="G24" s="54"/>
    </row>
    <row r="25" spans="1:10" ht="18.75" customHeight="1" x14ac:dyDescent="0.25">
      <c r="A25" s="22" t="s">
        <v>31</v>
      </c>
      <c r="C25" s="13"/>
      <c r="F25" s="54"/>
      <c r="G25" s="54"/>
    </row>
    <row r="26" spans="1:10" ht="18.75" customHeight="1" x14ac:dyDescent="0.25">
      <c r="A26" s="22" t="s">
        <v>23</v>
      </c>
      <c r="C26" s="13"/>
      <c r="F26" s="54"/>
      <c r="G26" s="54"/>
    </row>
    <row r="27" spans="1:10" ht="18.75" customHeight="1" x14ac:dyDescent="0.25">
      <c r="A27" s="22" t="s">
        <v>21</v>
      </c>
      <c r="C27" s="13"/>
      <c r="F27" s="54"/>
      <c r="G27" s="54"/>
    </row>
    <row r="28" spans="1:10" ht="18.75" customHeight="1" x14ac:dyDescent="0.2">
      <c r="A28" s="22" t="s">
        <v>18</v>
      </c>
      <c r="C28" s="13"/>
      <c r="F28" s="87"/>
      <c r="G28" s="81"/>
    </row>
    <row r="29" spans="1:10" ht="18.75" customHeight="1" x14ac:dyDescent="0.25">
      <c r="A29" s="22" t="s">
        <v>188</v>
      </c>
      <c r="C29" s="13"/>
    </row>
    <row r="30" spans="1:10" ht="18.75" customHeight="1" x14ac:dyDescent="0.25">
      <c r="A30" s="22" t="s">
        <v>10</v>
      </c>
      <c r="C30" s="13"/>
    </row>
    <row r="31" spans="1:10" ht="18.75" customHeight="1" x14ac:dyDescent="0.25">
      <c r="A31" s="22" t="s">
        <v>34</v>
      </c>
      <c r="C31" s="13"/>
    </row>
    <row r="32" spans="1:10" ht="18.75" customHeight="1" x14ac:dyDescent="0.25">
      <c r="A32" s="22" t="s">
        <v>27</v>
      </c>
      <c r="C32" s="13"/>
    </row>
    <row r="33" spans="1:3" ht="18.75" customHeight="1" x14ac:dyDescent="0.25">
      <c r="A33" s="22" t="s">
        <v>189</v>
      </c>
      <c r="C33" s="13"/>
    </row>
    <row r="34" spans="1:3" ht="18.75" customHeight="1" x14ac:dyDescent="0.25">
      <c r="A34" s="22" t="s">
        <v>26</v>
      </c>
      <c r="C34" s="13"/>
    </row>
    <row r="35" spans="1:3" ht="18.75" customHeight="1" x14ac:dyDescent="0.25">
      <c r="A35" s="22" t="s">
        <v>12</v>
      </c>
      <c r="C35" s="13"/>
    </row>
    <row r="36" spans="1:3" ht="18.75" customHeight="1" x14ac:dyDescent="0.25">
      <c r="A36" s="22" t="s">
        <v>16</v>
      </c>
      <c r="C36" s="13"/>
    </row>
    <row r="37" spans="1:3" ht="18.75" customHeight="1" x14ac:dyDescent="0.25">
      <c r="A37" s="22" t="s">
        <v>9</v>
      </c>
      <c r="C37" s="13"/>
    </row>
    <row r="38" spans="1:3" ht="18.75" customHeight="1" x14ac:dyDescent="0.25">
      <c r="A38" s="22" t="s">
        <v>28</v>
      </c>
    </row>
    <row r="39" spans="1:3" ht="18.75" customHeight="1" x14ac:dyDescent="0.25">
      <c r="A39" s="22" t="s">
        <v>22</v>
      </c>
    </row>
    <row r="40" spans="1:3" ht="18.75" customHeight="1" x14ac:dyDescent="0.25">
      <c r="A40" s="22" t="s">
        <v>15</v>
      </c>
    </row>
    <row r="41" spans="1:3" ht="18.75" customHeight="1" x14ac:dyDescent="0.25">
      <c r="A41" s="22" t="s">
        <v>33</v>
      </c>
    </row>
    <row r="42" spans="1:3" ht="18.75" customHeight="1" x14ac:dyDescent="0.25">
      <c r="A42" s="22" t="s">
        <v>32</v>
      </c>
    </row>
    <row r="43" spans="1:3" ht="18.75" customHeight="1" x14ac:dyDescent="0.25">
      <c r="A43" s="22" t="s">
        <v>17</v>
      </c>
    </row>
    <row r="44" spans="1:3" ht="18.75" customHeight="1" x14ac:dyDescent="0.25">
      <c r="A44" s="22" t="s">
        <v>190</v>
      </c>
    </row>
  </sheetData>
  <sortState ref="E7:E15">
    <sortCondition ref="E7"/>
  </sortState>
  <phoneticPr fontId="16" type="noConversion"/>
  <dataValidations disablePrompts="1" count="7">
    <dataValidation type="list" allowBlank="1" showInputMessage="1" showErrorMessage="1" sqref="G19" xr:uid="{00000000-0002-0000-0000-000001000000}">
      <formula1>dd_coverage</formula1>
    </dataValidation>
    <dataValidation type="list" allowBlank="1" showInputMessage="1" showErrorMessage="1" sqref="F19" xr:uid="{00000000-0002-0000-0000-000002000000}">
      <formula1>dd_sfcrole</formula1>
    </dataValidation>
    <dataValidation type="list" allowBlank="1" showInputMessage="1" showErrorMessage="1" sqref="D19:E19" xr:uid="{00000000-0002-0000-0000-000003000000}">
      <formula1>dd_bocomrole</formula1>
    </dataValidation>
    <dataValidation type="list" allowBlank="1" showInputMessage="1" showErrorMessage="1" sqref="C19" xr:uid="{00000000-0002-0000-0000-000004000000}">
      <formula1>dd_BISL_role</formula1>
    </dataValidation>
    <dataValidation type="list" allowBlank="1" showInputMessage="1" showErrorMessage="1" sqref="H19" xr:uid="{00000000-0002-0000-0000-000005000000}">
      <formula1>"--,Left-lead,Lead"</formula1>
    </dataValidation>
    <dataValidation type="list" allowBlank="1" showInputMessage="1" showErrorMessage="1" sqref="I19" xr:uid="{00000000-0002-0000-0000-000006000000}">
      <formula1>"--,B&amp;D FOP,B&amp;D DvP,CCDC"</formula1>
    </dataValidation>
    <dataValidation type="list" allowBlank="1" showInputMessage="1" showErrorMessage="1" sqref="J19" xr:uid="{00000000-0002-0000-0000-000007000000}">
      <formula1>"--,合名"</formula1>
    </dataValidation>
  </dataValidation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P15"/>
  <sheetViews>
    <sheetView workbookViewId="0">
      <selection activeCell="L9" sqref="L9"/>
    </sheetView>
  </sheetViews>
  <sheetFormatPr defaultRowHeight="15" x14ac:dyDescent="0.25"/>
  <cols>
    <col min="1" max="1" width="25.88671875" bestFit="1" customWidth="1"/>
    <col min="2" max="2" width="14.44140625" bestFit="1" customWidth="1"/>
    <col min="3" max="3" width="6.109375" bestFit="1" customWidth="1"/>
    <col min="4" max="4" width="9.44140625" bestFit="1" customWidth="1"/>
    <col min="5" max="7" width="6.109375" bestFit="1" customWidth="1"/>
    <col min="8" max="8" width="36.21875" bestFit="1" customWidth="1"/>
    <col min="9" max="9" width="13.33203125" bestFit="1" customWidth="1"/>
    <col min="10" max="11" width="9.44140625" bestFit="1" customWidth="1"/>
    <col min="12" max="12" width="9.33203125" bestFit="1" customWidth="1"/>
    <col min="13" max="13" width="10.21875" bestFit="1" customWidth="1"/>
    <col min="14" max="14" width="12.77734375" bestFit="1" customWidth="1"/>
    <col min="15" max="15" width="9.44140625" bestFit="1" customWidth="1"/>
    <col min="16" max="18" width="12.77734375" bestFit="1" customWidth="1"/>
    <col min="19" max="19" width="10.33203125" bestFit="1" customWidth="1"/>
    <col min="20" max="20" width="13.5546875" bestFit="1" customWidth="1"/>
    <col min="21" max="21" width="10.21875" bestFit="1" customWidth="1"/>
    <col min="22" max="22" width="12.77734375" bestFit="1" customWidth="1"/>
    <col min="23" max="24" width="9.44140625" bestFit="1" customWidth="1"/>
    <col min="25" max="25" width="28.109375" bestFit="1" customWidth="1"/>
    <col min="26" max="26" width="14.88671875" bestFit="1" customWidth="1"/>
    <col min="27" max="27" width="12.21875" bestFit="1" customWidth="1"/>
    <col min="28" max="28" width="6.109375" bestFit="1" customWidth="1"/>
    <col min="29" max="29" width="12.21875" bestFit="1" customWidth="1"/>
    <col min="30" max="30" width="9.44140625" bestFit="1" customWidth="1"/>
    <col min="31" max="31" width="7.77734375" bestFit="1" customWidth="1"/>
    <col min="32" max="32" width="11" bestFit="1" customWidth="1"/>
    <col min="33" max="33" width="9.44140625" bestFit="1" customWidth="1"/>
    <col min="34" max="34" width="10.5546875" bestFit="1" customWidth="1"/>
    <col min="35" max="35" width="9.44140625" bestFit="1" customWidth="1"/>
    <col min="36" max="36" width="12.77734375" bestFit="1" customWidth="1"/>
    <col min="37" max="37" width="80.6640625" bestFit="1" customWidth="1"/>
    <col min="38" max="38" width="42.21875" bestFit="1" customWidth="1"/>
    <col min="39" max="39" width="48.6640625" bestFit="1" customWidth="1"/>
    <col min="40" max="41" width="9.44140625" bestFit="1" customWidth="1"/>
    <col min="42" max="42" width="80.88671875" bestFit="1" customWidth="1"/>
    <col min="43" max="43" width="7.88671875" bestFit="1" customWidth="1"/>
    <col min="44" max="44" width="12.77734375" bestFit="1" customWidth="1"/>
    <col min="45" max="45" width="12" bestFit="1" customWidth="1"/>
    <col min="46" max="46" width="9.44140625" bestFit="1" customWidth="1"/>
    <col min="47" max="47" width="11.109375" bestFit="1" customWidth="1"/>
    <col min="48" max="48" width="12.77734375" bestFit="1" customWidth="1"/>
    <col min="49" max="49" width="14" bestFit="1" customWidth="1"/>
    <col min="50" max="50" width="11.109375" bestFit="1" customWidth="1"/>
    <col min="51" max="51" width="57.109375" bestFit="1" customWidth="1"/>
    <col min="52" max="52" width="35" bestFit="1" customWidth="1"/>
    <col min="53" max="53" width="11.109375" bestFit="1" customWidth="1"/>
    <col min="54" max="54" width="10.44140625" bestFit="1" customWidth="1"/>
    <col min="55" max="55" width="9.44140625" bestFit="1" customWidth="1"/>
    <col min="56" max="56" width="19" bestFit="1" customWidth="1"/>
    <col min="57" max="58" width="80.88671875" bestFit="1" customWidth="1"/>
    <col min="59" max="59" width="11.109375" bestFit="1" customWidth="1"/>
    <col min="60" max="65" width="9.44140625" bestFit="1" customWidth="1"/>
    <col min="66" max="66" width="14.44140625" bestFit="1" customWidth="1"/>
    <col min="67" max="67" width="6.109375" bestFit="1" customWidth="1"/>
    <col min="68" max="68" width="19.44140625" bestFit="1" customWidth="1"/>
  </cols>
  <sheetData>
    <row r="1" spans="1:68" x14ac:dyDescent="0.25">
      <c r="A1" t="s">
        <v>106</v>
      </c>
      <c r="B1" t="s">
        <v>50</v>
      </c>
      <c r="C1" t="s">
        <v>51</v>
      </c>
      <c r="D1" t="s">
        <v>52</v>
      </c>
      <c r="E1" t="s">
        <v>107</v>
      </c>
      <c r="F1" t="s">
        <v>53</v>
      </c>
      <c r="G1" t="s">
        <v>54</v>
      </c>
      <c r="H1" t="s">
        <v>55</v>
      </c>
      <c r="I1" t="s">
        <v>56</v>
      </c>
      <c r="J1" t="s">
        <v>108</v>
      </c>
      <c r="K1" t="s">
        <v>109</v>
      </c>
      <c r="L1" t="s">
        <v>57</v>
      </c>
      <c r="M1" t="s">
        <v>110</v>
      </c>
      <c r="N1" t="s">
        <v>111</v>
      </c>
      <c r="O1" t="s">
        <v>58</v>
      </c>
      <c r="P1" t="s">
        <v>231</v>
      </c>
      <c r="Q1" t="s">
        <v>59</v>
      </c>
      <c r="R1" t="s">
        <v>60</v>
      </c>
      <c r="S1" t="s">
        <v>61</v>
      </c>
      <c r="T1" t="s">
        <v>273</v>
      </c>
      <c r="U1" t="s">
        <v>274</v>
      </c>
      <c r="V1" t="s">
        <v>63</v>
      </c>
      <c r="W1" t="s">
        <v>260</v>
      </c>
      <c r="X1" t="s">
        <v>112</v>
      </c>
      <c r="Y1" t="s">
        <v>64</v>
      </c>
      <c r="Z1" t="s">
        <v>65</v>
      </c>
      <c r="AA1" t="s">
        <v>66</v>
      </c>
      <c r="AB1" t="s">
        <v>73</v>
      </c>
      <c r="AC1" t="s">
        <v>67</v>
      </c>
      <c r="AD1" t="s">
        <v>294</v>
      </c>
      <c r="AE1" t="s">
        <v>68</v>
      </c>
      <c r="AF1" t="s">
        <v>113</v>
      </c>
      <c r="AG1" t="s">
        <v>69</v>
      </c>
      <c r="AH1" t="s">
        <v>171</v>
      </c>
      <c r="AI1" t="s">
        <v>70</v>
      </c>
      <c r="AJ1" t="s">
        <v>295</v>
      </c>
      <c r="AK1" t="s">
        <v>296</v>
      </c>
      <c r="AL1" t="s">
        <v>297</v>
      </c>
      <c r="AM1" t="s">
        <v>298</v>
      </c>
      <c r="AN1" t="s">
        <v>71</v>
      </c>
      <c r="AO1" t="s">
        <v>72</v>
      </c>
      <c r="AP1" t="s">
        <v>74</v>
      </c>
      <c r="AQ1" t="s">
        <v>75</v>
      </c>
      <c r="AR1" t="s">
        <v>114</v>
      </c>
      <c r="AS1" t="s">
        <v>115</v>
      </c>
      <c r="AT1" t="s">
        <v>76</v>
      </c>
      <c r="AU1" t="s">
        <v>77</v>
      </c>
      <c r="AV1" t="s">
        <v>116</v>
      </c>
      <c r="AW1" t="s">
        <v>78</v>
      </c>
      <c r="AX1" t="s">
        <v>79</v>
      </c>
      <c r="AY1" t="s">
        <v>80</v>
      </c>
      <c r="AZ1" t="s">
        <v>81</v>
      </c>
      <c r="BA1" t="s">
        <v>82</v>
      </c>
      <c r="BB1" t="s">
        <v>300</v>
      </c>
      <c r="BC1" t="s">
        <v>83</v>
      </c>
      <c r="BD1" t="s">
        <v>117</v>
      </c>
      <c r="BE1" t="s">
        <v>84</v>
      </c>
      <c r="BF1" t="s">
        <v>299</v>
      </c>
      <c r="BG1" t="s">
        <v>85</v>
      </c>
      <c r="BH1" t="s">
        <v>86</v>
      </c>
      <c r="BI1" t="s">
        <v>87</v>
      </c>
      <c r="BJ1" t="s">
        <v>88</v>
      </c>
      <c r="BK1" t="s">
        <v>89</v>
      </c>
      <c r="BL1" t="s">
        <v>118</v>
      </c>
      <c r="BM1" t="s">
        <v>90</v>
      </c>
      <c r="BN1" t="s">
        <v>91</v>
      </c>
      <c r="BO1" t="s">
        <v>99</v>
      </c>
      <c r="BP1" t="s">
        <v>182</v>
      </c>
    </row>
    <row r="2" spans="1:68" x14ac:dyDescent="0.25">
      <c r="A2" s="116" t="s">
        <v>434</v>
      </c>
      <c r="B2" s="116" t="s">
        <v>163</v>
      </c>
      <c r="C2" s="116" t="s">
        <v>3</v>
      </c>
      <c r="D2" s="116" t="s">
        <v>346</v>
      </c>
      <c r="E2" s="116" t="s">
        <v>435</v>
      </c>
      <c r="F2" s="116" t="s">
        <v>436</v>
      </c>
      <c r="G2" s="116"/>
      <c r="H2" s="116" t="s">
        <v>437</v>
      </c>
      <c r="I2" s="116" t="s">
        <v>438</v>
      </c>
      <c r="J2" s="116" t="s">
        <v>104</v>
      </c>
      <c r="K2" s="116" t="s">
        <v>92</v>
      </c>
      <c r="L2" s="137">
        <v>45142</v>
      </c>
      <c r="M2" s="116" t="s">
        <v>164</v>
      </c>
      <c r="N2" s="116" t="s">
        <v>164</v>
      </c>
      <c r="O2" s="116" t="s">
        <v>93</v>
      </c>
      <c r="P2" s="116" t="s">
        <v>93</v>
      </c>
      <c r="Q2" s="116" t="s">
        <v>104</v>
      </c>
      <c r="R2" s="116">
        <v>5</v>
      </c>
      <c r="S2" s="137">
        <v>46249</v>
      </c>
      <c r="T2" s="116" t="s">
        <v>104</v>
      </c>
      <c r="U2" s="116" t="s">
        <v>439</v>
      </c>
      <c r="V2" s="116"/>
      <c r="W2" s="116" t="s">
        <v>262</v>
      </c>
      <c r="X2" s="116" t="s">
        <v>328</v>
      </c>
      <c r="Y2" s="116" t="s">
        <v>440</v>
      </c>
      <c r="Z2" s="116" t="s">
        <v>165</v>
      </c>
      <c r="AA2" s="116">
        <v>1.4</v>
      </c>
      <c r="AB2" s="116" t="s">
        <v>121</v>
      </c>
      <c r="AC2" s="118" t="s">
        <v>258</v>
      </c>
      <c r="AD2" s="116" t="s">
        <v>441</v>
      </c>
      <c r="AE2" s="116">
        <v>100</v>
      </c>
      <c r="AF2" s="116" t="s">
        <v>371</v>
      </c>
      <c r="AG2" s="116"/>
      <c r="AH2" s="118"/>
      <c r="AI2" s="118"/>
      <c r="AJ2" s="116"/>
      <c r="AK2" s="116"/>
      <c r="AL2" s="116"/>
      <c r="AM2" s="116" t="s">
        <v>442</v>
      </c>
      <c r="AN2" s="116"/>
      <c r="AO2" s="116"/>
      <c r="AP2" s="116" t="s">
        <v>443</v>
      </c>
      <c r="AQ2" s="116" t="s">
        <v>444</v>
      </c>
      <c r="AR2" s="116">
        <v>10000</v>
      </c>
      <c r="AS2" s="116">
        <v>140000000</v>
      </c>
      <c r="AT2" s="137">
        <v>45153</v>
      </c>
      <c r="AU2" s="137"/>
      <c r="AV2" s="116">
        <v>5</v>
      </c>
      <c r="AW2" s="116" t="s">
        <v>104</v>
      </c>
      <c r="AX2" s="137">
        <v>45337</v>
      </c>
      <c r="AY2" s="116" t="s">
        <v>445</v>
      </c>
      <c r="AZ2" s="116" t="s">
        <v>104</v>
      </c>
      <c r="BA2" s="137">
        <v>45153</v>
      </c>
      <c r="BB2" s="118"/>
      <c r="BC2" s="137">
        <v>45153</v>
      </c>
      <c r="BD2" s="116" t="s">
        <v>104</v>
      </c>
      <c r="BE2" s="116" t="s">
        <v>446</v>
      </c>
      <c r="BF2" s="116" t="s">
        <v>447</v>
      </c>
      <c r="BG2" s="116" t="s">
        <v>166</v>
      </c>
      <c r="BH2" s="116" t="s">
        <v>166</v>
      </c>
      <c r="BI2" s="116" t="s">
        <v>167</v>
      </c>
      <c r="BJ2" s="116" t="s">
        <v>168</v>
      </c>
      <c r="BK2" s="116" t="s">
        <v>169</v>
      </c>
      <c r="BL2" s="116" t="s">
        <v>104</v>
      </c>
      <c r="BM2" s="116" t="s">
        <v>170</v>
      </c>
      <c r="BN2" s="116" t="s">
        <v>104</v>
      </c>
      <c r="BO2" s="116" t="s">
        <v>23</v>
      </c>
      <c r="BP2" s="118" t="s">
        <v>448</v>
      </c>
    </row>
    <row r="3" spans="1:68" x14ac:dyDescent="0.25">
      <c r="A3" s="116" t="s">
        <v>449</v>
      </c>
      <c r="B3" s="116" t="s">
        <v>163</v>
      </c>
      <c r="C3" s="116" t="s">
        <v>3</v>
      </c>
      <c r="D3" s="116" t="s">
        <v>450</v>
      </c>
      <c r="E3" s="116" t="s">
        <v>370</v>
      </c>
      <c r="F3" s="116" t="s">
        <v>451</v>
      </c>
      <c r="G3" s="116"/>
      <c r="H3" s="116" t="s">
        <v>452</v>
      </c>
      <c r="I3" s="116" t="s">
        <v>453</v>
      </c>
      <c r="J3" s="116" t="s">
        <v>104</v>
      </c>
      <c r="K3" s="116" t="s">
        <v>92</v>
      </c>
      <c r="L3" s="137">
        <v>45141</v>
      </c>
      <c r="M3" s="116" t="s">
        <v>164</v>
      </c>
      <c r="N3" s="116" t="s">
        <v>164</v>
      </c>
      <c r="O3" s="116" t="s">
        <v>93</v>
      </c>
      <c r="P3" s="116" t="s">
        <v>93</v>
      </c>
      <c r="Q3" s="116" t="s">
        <v>104</v>
      </c>
      <c r="R3" s="116">
        <v>6</v>
      </c>
      <c r="S3" s="137">
        <v>46243</v>
      </c>
      <c r="T3" s="116" t="s">
        <v>454</v>
      </c>
      <c r="U3" s="116" t="s">
        <v>455</v>
      </c>
      <c r="V3" s="116">
        <v>50</v>
      </c>
      <c r="W3" s="116" t="s">
        <v>262</v>
      </c>
      <c r="X3" s="116" t="s">
        <v>329</v>
      </c>
      <c r="Y3" s="116" t="s">
        <v>456</v>
      </c>
      <c r="Z3" s="116" t="s">
        <v>165</v>
      </c>
      <c r="AA3" s="116">
        <v>1.5</v>
      </c>
      <c r="AB3" s="116" t="s">
        <v>95</v>
      </c>
      <c r="AC3" s="118" t="s">
        <v>258</v>
      </c>
      <c r="AD3" s="116" t="s">
        <v>347</v>
      </c>
      <c r="AE3" s="116">
        <v>100</v>
      </c>
      <c r="AF3" s="116" t="s">
        <v>104</v>
      </c>
      <c r="AG3" s="116"/>
      <c r="AH3" s="118"/>
      <c r="AI3" s="118"/>
      <c r="AJ3" s="116"/>
      <c r="AK3" s="116"/>
      <c r="AL3" s="116"/>
      <c r="AM3" s="116" t="s">
        <v>457</v>
      </c>
      <c r="AN3" s="116"/>
      <c r="AO3" s="116"/>
      <c r="AP3" s="116" t="s">
        <v>458</v>
      </c>
      <c r="AQ3" s="116" t="s">
        <v>459</v>
      </c>
      <c r="AR3" s="116">
        <v>1000</v>
      </c>
      <c r="AS3" s="116">
        <v>150000000</v>
      </c>
      <c r="AT3" s="137">
        <v>45147</v>
      </c>
      <c r="AU3" s="137"/>
      <c r="AV3" s="116">
        <v>6</v>
      </c>
      <c r="AW3" s="116" t="s">
        <v>104</v>
      </c>
      <c r="AX3" s="137">
        <v>45331</v>
      </c>
      <c r="AY3" s="116" t="s">
        <v>449</v>
      </c>
      <c r="AZ3" s="116" t="s">
        <v>104</v>
      </c>
      <c r="BA3" s="137">
        <v>45147</v>
      </c>
      <c r="BB3" s="118" t="s">
        <v>455</v>
      </c>
      <c r="BC3" s="137">
        <v>45147</v>
      </c>
      <c r="BD3" s="116" t="s">
        <v>336</v>
      </c>
      <c r="BE3" s="116" t="s">
        <v>460</v>
      </c>
      <c r="BF3" s="116" t="s">
        <v>461</v>
      </c>
      <c r="BG3" s="116" t="s">
        <v>166</v>
      </c>
      <c r="BH3" s="116" t="s">
        <v>166</v>
      </c>
      <c r="BI3" s="116" t="s">
        <v>167</v>
      </c>
      <c r="BJ3" s="116" t="s">
        <v>168</v>
      </c>
      <c r="BK3" s="116" t="s">
        <v>169</v>
      </c>
      <c r="BL3" s="116" t="s">
        <v>104</v>
      </c>
      <c r="BM3" s="116" t="s">
        <v>170</v>
      </c>
      <c r="BN3" s="116" t="s">
        <v>104</v>
      </c>
      <c r="BO3" s="116" t="s">
        <v>20</v>
      </c>
      <c r="BP3" s="118" t="s">
        <v>462</v>
      </c>
    </row>
    <row r="4" spans="1:68" x14ac:dyDescent="0.25">
      <c r="A4" s="116" t="s">
        <v>315</v>
      </c>
      <c r="B4" s="116" t="s">
        <v>163</v>
      </c>
      <c r="C4" s="116" t="s">
        <v>94</v>
      </c>
      <c r="D4" s="116" t="s">
        <v>316</v>
      </c>
      <c r="E4" s="116" t="s">
        <v>259</v>
      </c>
      <c r="F4" s="116"/>
      <c r="G4" s="116"/>
      <c r="H4" s="116" t="s">
        <v>463</v>
      </c>
      <c r="I4" s="116" t="s">
        <v>464</v>
      </c>
      <c r="J4" s="116" t="s">
        <v>104</v>
      </c>
      <c r="K4" s="116" t="s">
        <v>92</v>
      </c>
      <c r="L4" s="137">
        <v>45140</v>
      </c>
      <c r="M4" s="116" t="s">
        <v>164</v>
      </c>
      <c r="N4" s="116" t="s">
        <v>164</v>
      </c>
      <c r="O4" s="116" t="s">
        <v>93</v>
      </c>
      <c r="P4" s="116" t="s">
        <v>93</v>
      </c>
      <c r="Q4" s="116" t="s">
        <v>104</v>
      </c>
      <c r="R4" s="116">
        <v>5.2</v>
      </c>
      <c r="S4" s="137">
        <v>45506</v>
      </c>
      <c r="T4" s="116" t="s">
        <v>104</v>
      </c>
      <c r="U4" s="116" t="s">
        <v>104</v>
      </c>
      <c r="V4" s="116"/>
      <c r="W4" s="116" t="s">
        <v>262</v>
      </c>
      <c r="X4" s="116" t="s">
        <v>46</v>
      </c>
      <c r="Y4" s="116" t="s">
        <v>104</v>
      </c>
      <c r="Z4" s="116" t="s">
        <v>368</v>
      </c>
      <c r="AA4" s="116">
        <v>0.05</v>
      </c>
      <c r="AB4" s="116" t="s">
        <v>126</v>
      </c>
      <c r="AC4" s="118" t="s">
        <v>465</v>
      </c>
      <c r="AD4" s="116" t="s">
        <v>466</v>
      </c>
      <c r="AE4" s="116">
        <v>100</v>
      </c>
      <c r="AF4" s="116" t="s">
        <v>127</v>
      </c>
      <c r="AG4" s="116"/>
      <c r="AH4" s="118"/>
      <c r="AI4" s="118"/>
      <c r="AJ4" s="116"/>
      <c r="AK4" s="116"/>
      <c r="AL4" s="116"/>
      <c r="AM4" s="116"/>
      <c r="AN4" s="116"/>
      <c r="AO4" s="116"/>
      <c r="AP4" s="116" t="s">
        <v>104</v>
      </c>
      <c r="AQ4" s="116" t="s">
        <v>317</v>
      </c>
      <c r="AR4" s="116">
        <v>5000000</v>
      </c>
      <c r="AS4" s="116">
        <v>5000000</v>
      </c>
      <c r="AT4" s="137">
        <v>45142</v>
      </c>
      <c r="AU4" s="137"/>
      <c r="AV4" s="116">
        <v>5.2</v>
      </c>
      <c r="AW4" s="116" t="s">
        <v>104</v>
      </c>
      <c r="AX4" s="137">
        <v>45506</v>
      </c>
      <c r="AY4" s="116" t="s">
        <v>318</v>
      </c>
      <c r="AZ4" s="116" t="s">
        <v>315</v>
      </c>
      <c r="BA4" s="137">
        <v>45142</v>
      </c>
      <c r="BB4" s="118"/>
      <c r="BC4" s="137">
        <v>45142</v>
      </c>
      <c r="BD4" s="116" t="s">
        <v>104</v>
      </c>
      <c r="BE4" s="116" t="s">
        <v>104</v>
      </c>
      <c r="BF4" s="116" t="s">
        <v>104</v>
      </c>
      <c r="BG4" s="116" t="s">
        <v>166</v>
      </c>
      <c r="BH4" s="116" t="s">
        <v>166</v>
      </c>
      <c r="BI4" s="116" t="s">
        <v>167</v>
      </c>
      <c r="BJ4" s="116" t="s">
        <v>168</v>
      </c>
      <c r="BK4" s="116" t="s">
        <v>169</v>
      </c>
      <c r="BL4" s="116" t="s">
        <v>104</v>
      </c>
      <c r="BM4" s="116" t="s">
        <v>104</v>
      </c>
      <c r="BN4" s="116" t="s">
        <v>104</v>
      </c>
      <c r="BO4" s="116" t="s">
        <v>13</v>
      </c>
      <c r="BP4" s="118" t="s">
        <v>467</v>
      </c>
    </row>
    <row r="5" spans="1:68" x14ac:dyDescent="0.25">
      <c r="A5" s="116" t="s">
        <v>468</v>
      </c>
      <c r="B5" s="116" t="s">
        <v>469</v>
      </c>
      <c r="C5" s="116" t="s">
        <v>3</v>
      </c>
      <c r="D5" s="116" t="s">
        <v>470</v>
      </c>
      <c r="E5" s="116" t="s">
        <v>259</v>
      </c>
      <c r="F5" s="116" t="s">
        <v>471</v>
      </c>
      <c r="G5" s="116"/>
      <c r="H5" s="116" t="s">
        <v>685</v>
      </c>
      <c r="I5" s="116" t="s">
        <v>686</v>
      </c>
      <c r="J5" s="116" t="s">
        <v>104</v>
      </c>
      <c r="K5" s="116" t="s">
        <v>199</v>
      </c>
      <c r="L5" s="137">
        <v>45140</v>
      </c>
      <c r="M5" s="116" t="s">
        <v>474</v>
      </c>
      <c r="N5" s="116" t="s">
        <v>261</v>
      </c>
      <c r="O5" s="116" t="s">
        <v>93</v>
      </c>
      <c r="P5" s="116" t="s">
        <v>93</v>
      </c>
      <c r="Q5" s="116" t="s">
        <v>104</v>
      </c>
      <c r="R5" s="116">
        <v>2.2158000000000002</v>
      </c>
      <c r="S5" s="137">
        <v>46007</v>
      </c>
      <c r="T5" s="116" t="s">
        <v>104</v>
      </c>
      <c r="U5" s="116" t="s">
        <v>104</v>
      </c>
      <c r="V5" s="116"/>
      <c r="W5" s="116" t="s">
        <v>262</v>
      </c>
      <c r="X5" s="116" t="s">
        <v>328</v>
      </c>
      <c r="Y5" s="116" t="s">
        <v>104</v>
      </c>
      <c r="Z5" s="116" t="s">
        <v>165</v>
      </c>
      <c r="AA5" s="116">
        <v>60</v>
      </c>
      <c r="AB5" s="116" t="s">
        <v>121</v>
      </c>
      <c r="AC5" s="118" t="s">
        <v>687</v>
      </c>
      <c r="AD5" s="116" t="s">
        <v>688</v>
      </c>
      <c r="AE5" s="116">
        <v>100</v>
      </c>
      <c r="AF5" s="116" t="s">
        <v>371</v>
      </c>
      <c r="AG5" s="116"/>
      <c r="AH5" s="118"/>
      <c r="AI5" s="118"/>
      <c r="AJ5" s="116"/>
      <c r="AK5" s="116"/>
      <c r="AL5" s="116"/>
      <c r="AM5" s="116"/>
      <c r="AN5" s="116"/>
      <c r="AO5" s="116"/>
      <c r="AP5" s="116" t="s">
        <v>104</v>
      </c>
      <c r="AQ5" s="116" t="s">
        <v>477</v>
      </c>
      <c r="AR5" s="116">
        <v>500000</v>
      </c>
      <c r="AS5" s="116">
        <v>12000000000</v>
      </c>
      <c r="AT5" s="137">
        <v>45093</v>
      </c>
      <c r="AU5" s="137"/>
      <c r="AV5" s="116">
        <v>2.2158000000000002</v>
      </c>
      <c r="AW5" s="116" t="s">
        <v>104</v>
      </c>
      <c r="AX5" s="137">
        <v>45276</v>
      </c>
      <c r="AY5" s="116" t="s">
        <v>478</v>
      </c>
      <c r="AZ5" s="116" t="s">
        <v>104</v>
      </c>
      <c r="BA5" s="137">
        <v>45093</v>
      </c>
      <c r="BB5" s="118"/>
      <c r="BC5" s="137">
        <v>45093</v>
      </c>
      <c r="BD5" s="116" t="s">
        <v>104</v>
      </c>
      <c r="BE5" s="116" t="s">
        <v>104</v>
      </c>
      <c r="BF5" s="116" t="s">
        <v>104</v>
      </c>
      <c r="BG5" s="116" t="s">
        <v>166</v>
      </c>
      <c r="BH5" s="116" t="s">
        <v>166</v>
      </c>
      <c r="BI5" s="116" t="s">
        <v>167</v>
      </c>
      <c r="BJ5" s="116" t="s">
        <v>168</v>
      </c>
      <c r="BK5" s="116" t="s">
        <v>689</v>
      </c>
      <c r="BL5" s="116" t="s">
        <v>104</v>
      </c>
      <c r="BM5" s="116" t="s">
        <v>170</v>
      </c>
      <c r="BN5" s="116" t="s">
        <v>104</v>
      </c>
      <c r="BO5" s="116" t="s">
        <v>13</v>
      </c>
      <c r="BP5" s="118" t="s">
        <v>690</v>
      </c>
    </row>
    <row r="6" spans="1:68" x14ac:dyDescent="0.25">
      <c r="A6" s="116" t="s">
        <v>468</v>
      </c>
      <c r="B6" s="116" t="s">
        <v>469</v>
      </c>
      <c r="C6" s="116" t="s">
        <v>3</v>
      </c>
      <c r="D6" s="116" t="s">
        <v>470</v>
      </c>
      <c r="E6" s="116" t="s">
        <v>259</v>
      </c>
      <c r="F6" s="116" t="s">
        <v>471</v>
      </c>
      <c r="G6" s="116"/>
      <c r="H6" s="116" t="s">
        <v>691</v>
      </c>
      <c r="I6" s="116" t="s">
        <v>692</v>
      </c>
      <c r="J6" s="116" t="s">
        <v>104</v>
      </c>
      <c r="K6" s="116" t="s">
        <v>199</v>
      </c>
      <c r="L6" s="137">
        <v>45140</v>
      </c>
      <c r="M6" s="116" t="s">
        <v>474</v>
      </c>
      <c r="N6" s="116" t="s">
        <v>261</v>
      </c>
      <c r="O6" s="116" t="s">
        <v>93</v>
      </c>
      <c r="P6" s="116" t="s">
        <v>93</v>
      </c>
      <c r="Q6" s="116" t="s">
        <v>104</v>
      </c>
      <c r="R6" s="116">
        <v>2.2995000000000001</v>
      </c>
      <c r="S6" s="137">
        <v>46372</v>
      </c>
      <c r="T6" s="116" t="s">
        <v>104</v>
      </c>
      <c r="U6" s="116" t="s">
        <v>104</v>
      </c>
      <c r="V6" s="116"/>
      <c r="W6" s="116" t="s">
        <v>262</v>
      </c>
      <c r="X6" s="116" t="s">
        <v>328</v>
      </c>
      <c r="Y6" s="116" t="s">
        <v>104</v>
      </c>
      <c r="Z6" s="116" t="s">
        <v>165</v>
      </c>
      <c r="AA6" s="116">
        <v>30</v>
      </c>
      <c r="AB6" s="116" t="s">
        <v>121</v>
      </c>
      <c r="AC6" s="118" t="s">
        <v>258</v>
      </c>
      <c r="AD6" s="116" t="s">
        <v>693</v>
      </c>
      <c r="AE6" s="116">
        <v>100</v>
      </c>
      <c r="AF6" s="116" t="s">
        <v>371</v>
      </c>
      <c r="AG6" s="116"/>
      <c r="AH6" s="118"/>
      <c r="AI6" s="118"/>
      <c r="AJ6" s="116"/>
      <c r="AK6" s="116"/>
      <c r="AL6" s="116"/>
      <c r="AM6" s="116"/>
      <c r="AN6" s="116"/>
      <c r="AO6" s="116"/>
      <c r="AP6" s="116" t="s">
        <v>104</v>
      </c>
      <c r="AQ6" s="116" t="s">
        <v>477</v>
      </c>
      <c r="AR6" s="116">
        <v>500000</v>
      </c>
      <c r="AS6" s="116">
        <v>4000000000</v>
      </c>
      <c r="AT6" s="137">
        <v>45093</v>
      </c>
      <c r="AU6" s="137"/>
      <c r="AV6" s="116">
        <v>2.2995000000000001</v>
      </c>
      <c r="AW6" s="116" t="s">
        <v>104</v>
      </c>
      <c r="AX6" s="137">
        <v>45276</v>
      </c>
      <c r="AY6" s="116" t="s">
        <v>478</v>
      </c>
      <c r="AZ6" s="116" t="s">
        <v>104</v>
      </c>
      <c r="BA6" s="137">
        <v>45093</v>
      </c>
      <c r="BB6" s="118"/>
      <c r="BC6" s="137">
        <v>45093</v>
      </c>
      <c r="BD6" s="116" t="s">
        <v>104</v>
      </c>
      <c r="BE6" s="116" t="s">
        <v>104</v>
      </c>
      <c r="BF6" s="116" t="s">
        <v>104</v>
      </c>
      <c r="BG6" s="116" t="s">
        <v>166</v>
      </c>
      <c r="BH6" s="116" t="s">
        <v>166</v>
      </c>
      <c r="BI6" s="116" t="s">
        <v>167</v>
      </c>
      <c r="BJ6" s="116" t="s">
        <v>168</v>
      </c>
      <c r="BK6" s="116" t="s">
        <v>689</v>
      </c>
      <c r="BL6" s="116" t="s">
        <v>104</v>
      </c>
      <c r="BM6" s="116" t="s">
        <v>170</v>
      </c>
      <c r="BN6" s="116" t="s">
        <v>104</v>
      </c>
      <c r="BO6" s="116" t="s">
        <v>13</v>
      </c>
      <c r="BP6" s="118" t="s">
        <v>694</v>
      </c>
    </row>
    <row r="7" spans="1:68" x14ac:dyDescent="0.25">
      <c r="A7" s="116" t="s">
        <v>468</v>
      </c>
      <c r="B7" s="116" t="s">
        <v>469</v>
      </c>
      <c r="C7" s="116" t="s">
        <v>3</v>
      </c>
      <c r="D7" s="116" t="s">
        <v>470</v>
      </c>
      <c r="E7" s="116" t="s">
        <v>259</v>
      </c>
      <c r="F7" s="116" t="s">
        <v>471</v>
      </c>
      <c r="G7" s="116"/>
      <c r="H7" s="116" t="s">
        <v>472</v>
      </c>
      <c r="I7" s="116" t="s">
        <v>473</v>
      </c>
      <c r="J7" s="116" t="s">
        <v>104</v>
      </c>
      <c r="K7" s="116" t="s">
        <v>199</v>
      </c>
      <c r="L7" s="137">
        <v>45140</v>
      </c>
      <c r="M7" s="116" t="s">
        <v>474</v>
      </c>
      <c r="N7" s="116" t="s">
        <v>261</v>
      </c>
      <c r="O7" s="116" t="s">
        <v>93</v>
      </c>
      <c r="P7" s="116" t="s">
        <v>93</v>
      </c>
      <c r="Q7" s="116" t="s">
        <v>104</v>
      </c>
      <c r="R7" s="116">
        <v>2.52</v>
      </c>
      <c r="S7" s="137">
        <v>46969</v>
      </c>
      <c r="T7" s="116" t="s">
        <v>104</v>
      </c>
      <c r="U7" s="116" t="s">
        <v>104</v>
      </c>
      <c r="V7" s="116"/>
      <c r="W7" s="116" t="s">
        <v>262</v>
      </c>
      <c r="X7" s="116" t="s">
        <v>328</v>
      </c>
      <c r="Y7" s="116" t="s">
        <v>104</v>
      </c>
      <c r="Z7" s="116" t="s">
        <v>165</v>
      </c>
      <c r="AA7" s="116">
        <v>30</v>
      </c>
      <c r="AB7" s="116" t="s">
        <v>121</v>
      </c>
      <c r="AC7" s="118" t="s">
        <v>475</v>
      </c>
      <c r="AD7" s="116" t="s">
        <v>476</v>
      </c>
      <c r="AE7" s="116">
        <v>100</v>
      </c>
      <c r="AF7" s="116" t="s">
        <v>127</v>
      </c>
      <c r="AG7" s="116"/>
      <c r="AH7" s="118"/>
      <c r="AI7" s="118"/>
      <c r="AJ7" s="116"/>
      <c r="AK7" s="116"/>
      <c r="AL7" s="116"/>
      <c r="AM7" s="116"/>
      <c r="AN7" s="116"/>
      <c r="AO7" s="116"/>
      <c r="AP7" s="116" t="s">
        <v>104</v>
      </c>
      <c r="AQ7" s="116" t="s">
        <v>477</v>
      </c>
      <c r="AR7" s="116">
        <v>500000</v>
      </c>
      <c r="AS7" s="116">
        <v>3000000000</v>
      </c>
      <c r="AT7" s="137">
        <v>45142</v>
      </c>
      <c r="AU7" s="137"/>
      <c r="AV7" s="116">
        <v>2.52</v>
      </c>
      <c r="AW7" s="116" t="s">
        <v>104</v>
      </c>
      <c r="AX7" s="137">
        <v>45326</v>
      </c>
      <c r="AY7" s="116" t="s">
        <v>478</v>
      </c>
      <c r="AZ7" s="116" t="s">
        <v>104</v>
      </c>
      <c r="BA7" s="137">
        <v>45142</v>
      </c>
      <c r="BB7" s="118"/>
      <c r="BC7" s="137">
        <v>45142</v>
      </c>
      <c r="BD7" s="116" t="s">
        <v>104</v>
      </c>
      <c r="BE7" s="116" t="s">
        <v>104</v>
      </c>
      <c r="BF7" s="116" t="s">
        <v>104</v>
      </c>
      <c r="BG7" s="116" t="s">
        <v>166</v>
      </c>
      <c r="BH7" s="116" t="s">
        <v>166</v>
      </c>
      <c r="BI7" s="116" t="s">
        <v>167</v>
      </c>
      <c r="BJ7" s="116" t="s">
        <v>168</v>
      </c>
      <c r="BK7" s="116" t="s">
        <v>169</v>
      </c>
      <c r="BL7" s="116" t="s">
        <v>104</v>
      </c>
      <c r="BM7" s="116" t="s">
        <v>170</v>
      </c>
      <c r="BN7" s="116" t="s">
        <v>104</v>
      </c>
      <c r="BO7" s="116" t="s">
        <v>13</v>
      </c>
      <c r="BP7" s="118" t="s">
        <v>479</v>
      </c>
    </row>
    <row r="8" spans="1:68" x14ac:dyDescent="0.25">
      <c r="A8" s="116" t="s">
        <v>480</v>
      </c>
      <c r="B8" s="116" t="s">
        <v>374</v>
      </c>
      <c r="C8" s="116" t="s">
        <v>94</v>
      </c>
      <c r="D8" s="116" t="s">
        <v>375</v>
      </c>
      <c r="E8" s="116" t="s">
        <v>259</v>
      </c>
      <c r="F8" s="116" t="s">
        <v>471</v>
      </c>
      <c r="G8" s="116"/>
      <c r="H8" s="116" t="s">
        <v>481</v>
      </c>
      <c r="I8" s="116" t="s">
        <v>482</v>
      </c>
      <c r="J8" s="116" t="s">
        <v>104</v>
      </c>
      <c r="K8" s="116" t="s">
        <v>199</v>
      </c>
      <c r="L8" s="137">
        <v>45140</v>
      </c>
      <c r="M8" s="116" t="s">
        <v>483</v>
      </c>
      <c r="N8" s="116" t="s">
        <v>484</v>
      </c>
      <c r="O8" s="116" t="s">
        <v>93</v>
      </c>
      <c r="P8" s="116" t="s">
        <v>93</v>
      </c>
      <c r="Q8" s="116" t="s">
        <v>335</v>
      </c>
      <c r="R8" s="116"/>
      <c r="S8" s="137">
        <v>46974</v>
      </c>
      <c r="T8" s="116" t="s">
        <v>104</v>
      </c>
      <c r="U8" s="116" t="s">
        <v>104</v>
      </c>
      <c r="V8" s="116"/>
      <c r="W8" s="116"/>
      <c r="X8" s="116" t="s">
        <v>328</v>
      </c>
      <c r="Y8" s="116" t="s">
        <v>104</v>
      </c>
      <c r="Z8" s="116" t="s">
        <v>165</v>
      </c>
      <c r="AA8" s="116">
        <v>1.5</v>
      </c>
      <c r="AB8" s="116" t="s">
        <v>95</v>
      </c>
      <c r="AC8" s="118" t="s">
        <v>475</v>
      </c>
      <c r="AD8" s="116" t="s">
        <v>485</v>
      </c>
      <c r="AE8" s="116">
        <v>100</v>
      </c>
      <c r="AF8" s="116" t="s">
        <v>127</v>
      </c>
      <c r="AG8" s="116"/>
      <c r="AH8" s="118"/>
      <c r="AI8" s="118"/>
      <c r="AJ8" s="116"/>
      <c r="AK8" s="116"/>
      <c r="AL8" s="116"/>
      <c r="AM8" s="116"/>
      <c r="AN8" s="116"/>
      <c r="AO8" s="116"/>
      <c r="AP8" s="116" t="s">
        <v>104</v>
      </c>
      <c r="AQ8" s="116" t="s">
        <v>486</v>
      </c>
      <c r="AR8" s="116">
        <v>200000</v>
      </c>
      <c r="AS8" s="116">
        <v>150000000</v>
      </c>
      <c r="AT8" s="137">
        <v>45147</v>
      </c>
      <c r="AU8" s="137"/>
      <c r="AV8" s="116">
        <v>6.0153999999999996</v>
      </c>
      <c r="AW8" s="116" t="s">
        <v>487</v>
      </c>
      <c r="AX8" s="137">
        <v>45239</v>
      </c>
      <c r="AY8" s="116" t="s">
        <v>488</v>
      </c>
      <c r="AZ8" s="116" t="s">
        <v>104</v>
      </c>
      <c r="BA8" s="137">
        <v>45147</v>
      </c>
      <c r="BB8" s="118"/>
      <c r="BC8" s="137">
        <v>45147</v>
      </c>
      <c r="BD8" s="116" t="s">
        <v>104</v>
      </c>
      <c r="BE8" s="116" t="s">
        <v>489</v>
      </c>
      <c r="BF8" s="116" t="s">
        <v>490</v>
      </c>
      <c r="BG8" s="116" t="s">
        <v>166</v>
      </c>
      <c r="BH8" s="116" t="s">
        <v>166</v>
      </c>
      <c r="BI8" s="116" t="s">
        <v>376</v>
      </c>
      <c r="BJ8" s="116" t="s">
        <v>168</v>
      </c>
      <c r="BK8" s="116" t="s">
        <v>169</v>
      </c>
      <c r="BL8" s="116" t="s">
        <v>104</v>
      </c>
      <c r="BM8" s="116" t="s">
        <v>377</v>
      </c>
      <c r="BN8" s="116" t="s">
        <v>104</v>
      </c>
      <c r="BO8" s="116" t="s">
        <v>13</v>
      </c>
      <c r="BP8" s="118" t="s">
        <v>491</v>
      </c>
    </row>
    <row r="9" spans="1:68" x14ac:dyDescent="0.25">
      <c r="A9" s="116" t="s">
        <v>492</v>
      </c>
      <c r="B9" s="116" t="s">
        <v>163</v>
      </c>
      <c r="C9" s="116" t="s">
        <v>94</v>
      </c>
      <c r="D9" s="116" t="s">
        <v>493</v>
      </c>
      <c r="E9" s="116" t="s">
        <v>494</v>
      </c>
      <c r="F9" s="116" t="s">
        <v>495</v>
      </c>
      <c r="G9" s="116"/>
      <c r="H9" s="116" t="s">
        <v>496</v>
      </c>
      <c r="I9" s="116" t="s">
        <v>497</v>
      </c>
      <c r="J9" s="116" t="s">
        <v>104</v>
      </c>
      <c r="K9" s="116" t="s">
        <v>199</v>
      </c>
      <c r="L9" s="137">
        <v>45140</v>
      </c>
      <c r="M9" s="116" t="s">
        <v>498</v>
      </c>
      <c r="N9" s="116" t="s">
        <v>261</v>
      </c>
      <c r="O9" s="116" t="s">
        <v>93</v>
      </c>
      <c r="P9" s="116" t="s">
        <v>93</v>
      </c>
      <c r="Q9" s="116" t="s">
        <v>335</v>
      </c>
      <c r="R9" s="116">
        <v>5.25</v>
      </c>
      <c r="S9" s="137">
        <v>46243</v>
      </c>
      <c r="T9" s="116" t="s">
        <v>499</v>
      </c>
      <c r="U9" s="116" t="s">
        <v>500</v>
      </c>
      <c r="V9" s="116">
        <v>30</v>
      </c>
      <c r="W9" s="116" t="s">
        <v>262</v>
      </c>
      <c r="X9" s="116" t="s">
        <v>46</v>
      </c>
      <c r="Y9" s="116" t="s">
        <v>104</v>
      </c>
      <c r="Z9" s="116" t="s">
        <v>165</v>
      </c>
      <c r="AA9" s="116">
        <v>8</v>
      </c>
      <c r="AB9" s="116" t="s">
        <v>95</v>
      </c>
      <c r="AC9" s="118" t="s">
        <v>258</v>
      </c>
      <c r="AD9" s="116" t="s">
        <v>347</v>
      </c>
      <c r="AE9" s="116">
        <v>99.813999999999993</v>
      </c>
      <c r="AF9" s="116" t="s">
        <v>371</v>
      </c>
      <c r="AG9" s="116"/>
      <c r="AH9" s="118"/>
      <c r="AI9" s="118"/>
      <c r="AJ9" s="116"/>
      <c r="AK9" s="116"/>
      <c r="AL9" s="116"/>
      <c r="AM9" s="116" t="s">
        <v>501</v>
      </c>
      <c r="AN9" s="116"/>
      <c r="AO9" s="116"/>
      <c r="AP9" s="116" t="s">
        <v>502</v>
      </c>
      <c r="AQ9" s="116" t="s">
        <v>503</v>
      </c>
      <c r="AR9" s="116">
        <v>1000</v>
      </c>
      <c r="AS9" s="116">
        <v>800000000</v>
      </c>
      <c r="AT9" s="137">
        <v>45147</v>
      </c>
      <c r="AU9" s="137"/>
      <c r="AV9" s="116">
        <v>5.25</v>
      </c>
      <c r="AW9" s="116" t="s">
        <v>104</v>
      </c>
      <c r="AX9" s="137">
        <v>45331</v>
      </c>
      <c r="AY9" s="116" t="s">
        <v>504</v>
      </c>
      <c r="AZ9" s="116" t="s">
        <v>492</v>
      </c>
      <c r="BA9" s="137">
        <v>45147</v>
      </c>
      <c r="BB9" s="118" t="s">
        <v>505</v>
      </c>
      <c r="BC9" s="137">
        <v>45147</v>
      </c>
      <c r="BD9" s="116" t="s">
        <v>104</v>
      </c>
      <c r="BE9" s="116" t="s">
        <v>506</v>
      </c>
      <c r="BF9" s="116" t="s">
        <v>507</v>
      </c>
      <c r="BG9" s="116" t="s">
        <v>166</v>
      </c>
      <c r="BH9" s="116" t="s">
        <v>166</v>
      </c>
      <c r="BI9" s="116" t="s">
        <v>167</v>
      </c>
      <c r="BJ9" s="116" t="s">
        <v>168</v>
      </c>
      <c r="BK9" s="116" t="s">
        <v>169</v>
      </c>
      <c r="BL9" s="116" t="s">
        <v>104</v>
      </c>
      <c r="BM9" s="116" t="s">
        <v>170</v>
      </c>
      <c r="BN9" s="116" t="s">
        <v>104</v>
      </c>
      <c r="BO9" s="116" t="s">
        <v>18</v>
      </c>
      <c r="BP9" s="118" t="s">
        <v>508</v>
      </c>
    </row>
    <row r="10" spans="1:68" x14ac:dyDescent="0.25">
      <c r="A10" s="116" t="s">
        <v>509</v>
      </c>
      <c r="B10" s="116" t="s">
        <v>510</v>
      </c>
      <c r="C10" s="116" t="s">
        <v>94</v>
      </c>
      <c r="D10" s="116" t="s">
        <v>316</v>
      </c>
      <c r="E10" s="116" t="s">
        <v>511</v>
      </c>
      <c r="F10" s="116" t="s">
        <v>512</v>
      </c>
      <c r="G10" s="116"/>
      <c r="H10" s="116" t="s">
        <v>513</v>
      </c>
      <c r="I10" s="116" t="s">
        <v>514</v>
      </c>
      <c r="J10" s="116" t="s">
        <v>104</v>
      </c>
      <c r="K10" s="116" t="s">
        <v>92</v>
      </c>
      <c r="L10" s="137">
        <v>45140</v>
      </c>
      <c r="M10" s="116" t="s">
        <v>164</v>
      </c>
      <c r="N10" s="116" t="s">
        <v>164</v>
      </c>
      <c r="O10" s="116" t="s">
        <v>93</v>
      </c>
      <c r="P10" s="116" t="s">
        <v>93</v>
      </c>
      <c r="Q10" s="116" t="s">
        <v>104</v>
      </c>
      <c r="R10" s="116">
        <v>6.7</v>
      </c>
      <c r="S10" s="137">
        <v>45326</v>
      </c>
      <c r="T10" s="116" t="s">
        <v>104</v>
      </c>
      <c r="U10" s="116" t="s">
        <v>104</v>
      </c>
      <c r="V10" s="116"/>
      <c r="W10" s="116"/>
      <c r="X10" s="116" t="s">
        <v>46</v>
      </c>
      <c r="Y10" s="116" t="s">
        <v>104</v>
      </c>
      <c r="Z10" s="116" t="s">
        <v>165</v>
      </c>
      <c r="AA10" s="116">
        <v>2</v>
      </c>
      <c r="AB10" s="116" t="s">
        <v>95</v>
      </c>
      <c r="AC10" s="118" t="s">
        <v>373</v>
      </c>
      <c r="AD10" s="116" t="s">
        <v>515</v>
      </c>
      <c r="AE10" s="116">
        <v>100</v>
      </c>
      <c r="AF10" s="116" t="s">
        <v>127</v>
      </c>
      <c r="AG10" s="116"/>
      <c r="AH10" s="118"/>
      <c r="AI10" s="118"/>
      <c r="AJ10" s="116"/>
      <c r="AK10" s="116"/>
      <c r="AL10" s="116"/>
      <c r="AM10" s="116"/>
      <c r="AN10" s="116"/>
      <c r="AO10" s="116"/>
      <c r="AP10" s="116" t="s">
        <v>104</v>
      </c>
      <c r="AQ10" s="116" t="s">
        <v>516</v>
      </c>
      <c r="AR10" s="116">
        <v>500000</v>
      </c>
      <c r="AS10" s="116">
        <v>200000000</v>
      </c>
      <c r="AT10" s="137">
        <v>45142</v>
      </c>
      <c r="AU10" s="137"/>
      <c r="AV10" s="116">
        <v>6.7</v>
      </c>
      <c r="AW10" s="116" t="s">
        <v>104</v>
      </c>
      <c r="AX10" s="137">
        <v>45326</v>
      </c>
      <c r="AY10" s="116" t="s">
        <v>517</v>
      </c>
      <c r="AZ10" s="116" t="s">
        <v>509</v>
      </c>
      <c r="BA10" s="137">
        <v>45142</v>
      </c>
      <c r="BB10" s="118"/>
      <c r="BC10" s="137">
        <v>45142</v>
      </c>
      <c r="BD10" s="116" t="s">
        <v>104</v>
      </c>
      <c r="BE10" s="116" t="s">
        <v>104</v>
      </c>
      <c r="BF10" s="116" t="s">
        <v>104</v>
      </c>
      <c r="BG10" s="116" t="s">
        <v>166</v>
      </c>
      <c r="BH10" s="116" t="s">
        <v>166</v>
      </c>
      <c r="BI10" s="116" t="s">
        <v>167</v>
      </c>
      <c r="BJ10" s="116" t="s">
        <v>168</v>
      </c>
      <c r="BK10" s="116" t="s">
        <v>169</v>
      </c>
      <c r="BL10" s="116" t="s">
        <v>104</v>
      </c>
      <c r="BM10" s="116" t="s">
        <v>104</v>
      </c>
      <c r="BN10" s="116" t="s">
        <v>104</v>
      </c>
      <c r="BO10" s="116" t="s">
        <v>19</v>
      </c>
      <c r="BP10" s="118" t="s">
        <v>518</v>
      </c>
    </row>
    <row r="11" spans="1:68" x14ac:dyDescent="0.25">
      <c r="A11" s="116" t="s">
        <v>480</v>
      </c>
      <c r="B11" s="116" t="s">
        <v>374</v>
      </c>
      <c r="C11" s="116" t="s">
        <v>94</v>
      </c>
      <c r="D11" s="116" t="s">
        <v>375</v>
      </c>
      <c r="E11" s="116" t="s">
        <v>259</v>
      </c>
      <c r="F11" s="116" t="s">
        <v>471</v>
      </c>
      <c r="G11" s="116"/>
      <c r="H11" s="116" t="s">
        <v>519</v>
      </c>
      <c r="I11" s="116" t="s">
        <v>520</v>
      </c>
      <c r="J11" s="116" t="s">
        <v>104</v>
      </c>
      <c r="K11" s="116" t="s">
        <v>199</v>
      </c>
      <c r="L11" s="137">
        <v>45139</v>
      </c>
      <c r="M11" s="116" t="s">
        <v>483</v>
      </c>
      <c r="N11" s="116" t="s">
        <v>484</v>
      </c>
      <c r="O11" s="116" t="s">
        <v>93</v>
      </c>
      <c r="P11" s="116" t="s">
        <v>93</v>
      </c>
      <c r="Q11" s="116" t="s">
        <v>335</v>
      </c>
      <c r="R11" s="116">
        <v>4.75</v>
      </c>
      <c r="S11" s="137">
        <v>46241</v>
      </c>
      <c r="T11" s="116" t="s">
        <v>104</v>
      </c>
      <c r="U11" s="116" t="s">
        <v>104</v>
      </c>
      <c r="V11" s="116"/>
      <c r="W11" s="116" t="s">
        <v>262</v>
      </c>
      <c r="X11" s="116" t="s">
        <v>328</v>
      </c>
      <c r="Y11" s="116" t="s">
        <v>104</v>
      </c>
      <c r="Z11" s="116" t="s">
        <v>165</v>
      </c>
      <c r="AA11" s="116">
        <v>0.5</v>
      </c>
      <c r="AB11" s="116" t="s">
        <v>95</v>
      </c>
      <c r="AC11" s="118" t="s">
        <v>258</v>
      </c>
      <c r="AD11" s="116" t="s">
        <v>347</v>
      </c>
      <c r="AE11" s="116"/>
      <c r="AF11" s="116" t="s">
        <v>127</v>
      </c>
      <c r="AG11" s="116"/>
      <c r="AH11" s="118"/>
      <c r="AI11" s="118"/>
      <c r="AJ11" s="116"/>
      <c r="AK11" s="116"/>
      <c r="AL11" s="116"/>
      <c r="AM11" s="116"/>
      <c r="AN11" s="116"/>
      <c r="AO11" s="116"/>
      <c r="AP11" s="116" t="s">
        <v>104</v>
      </c>
      <c r="AQ11" s="116" t="s">
        <v>486</v>
      </c>
      <c r="AR11" s="116">
        <v>1000</v>
      </c>
      <c r="AS11" s="116">
        <v>50000000</v>
      </c>
      <c r="AT11" s="137">
        <v>45145</v>
      </c>
      <c r="AU11" s="137"/>
      <c r="AV11" s="116">
        <v>4.75</v>
      </c>
      <c r="AW11" s="116" t="s">
        <v>104</v>
      </c>
      <c r="AX11" s="137">
        <v>45329</v>
      </c>
      <c r="AY11" s="116" t="s">
        <v>488</v>
      </c>
      <c r="AZ11" s="116" t="s">
        <v>104</v>
      </c>
      <c r="BA11" s="137">
        <v>45145</v>
      </c>
      <c r="BB11" s="118"/>
      <c r="BC11" s="137">
        <v>45145</v>
      </c>
      <c r="BD11" s="116" t="s">
        <v>104</v>
      </c>
      <c r="BE11" s="116" t="s">
        <v>104</v>
      </c>
      <c r="BF11" s="116" t="s">
        <v>104</v>
      </c>
      <c r="BG11" s="116" t="s">
        <v>166</v>
      </c>
      <c r="BH11" s="116" t="s">
        <v>166</v>
      </c>
      <c r="BI11" s="116" t="s">
        <v>167</v>
      </c>
      <c r="BJ11" s="116" t="s">
        <v>168</v>
      </c>
      <c r="BK11" s="116" t="s">
        <v>169</v>
      </c>
      <c r="BL11" s="116" t="s">
        <v>104</v>
      </c>
      <c r="BM11" s="116" t="s">
        <v>170</v>
      </c>
      <c r="BN11" s="116" t="s">
        <v>104</v>
      </c>
      <c r="BO11" s="116" t="s">
        <v>13</v>
      </c>
      <c r="BP11" s="118" t="s">
        <v>521</v>
      </c>
    </row>
    <row r="12" spans="1:68" x14ac:dyDescent="0.25">
      <c r="A12" s="116" t="s">
        <v>480</v>
      </c>
      <c r="B12" s="116" t="s">
        <v>374</v>
      </c>
      <c r="C12" s="116" t="s">
        <v>94</v>
      </c>
      <c r="D12" s="116" t="s">
        <v>375</v>
      </c>
      <c r="E12" s="116" t="s">
        <v>259</v>
      </c>
      <c r="F12" s="116" t="s">
        <v>471</v>
      </c>
      <c r="G12" s="116"/>
      <c r="H12" s="116" t="s">
        <v>522</v>
      </c>
      <c r="I12" s="116" t="s">
        <v>523</v>
      </c>
      <c r="J12" s="116" t="s">
        <v>104</v>
      </c>
      <c r="K12" s="116" t="s">
        <v>199</v>
      </c>
      <c r="L12" s="137">
        <v>45139</v>
      </c>
      <c r="M12" s="116" t="s">
        <v>483</v>
      </c>
      <c r="N12" s="116" t="s">
        <v>484</v>
      </c>
      <c r="O12" s="116" t="s">
        <v>93</v>
      </c>
      <c r="P12" s="116" t="s">
        <v>93</v>
      </c>
      <c r="Q12" s="116" t="s">
        <v>335</v>
      </c>
      <c r="R12" s="116"/>
      <c r="S12" s="137">
        <v>46973</v>
      </c>
      <c r="T12" s="116" t="s">
        <v>104</v>
      </c>
      <c r="U12" s="116" t="s">
        <v>104</v>
      </c>
      <c r="V12" s="116"/>
      <c r="W12" s="116" t="s">
        <v>262</v>
      </c>
      <c r="X12" s="116" t="s">
        <v>328</v>
      </c>
      <c r="Y12" s="116" t="s">
        <v>104</v>
      </c>
      <c r="Z12" s="116" t="s">
        <v>165</v>
      </c>
      <c r="AA12" s="116">
        <v>1.05</v>
      </c>
      <c r="AB12" s="116" t="s">
        <v>95</v>
      </c>
      <c r="AC12" s="118" t="s">
        <v>475</v>
      </c>
      <c r="AD12" s="116" t="s">
        <v>524</v>
      </c>
      <c r="AE12" s="116">
        <v>100</v>
      </c>
      <c r="AF12" s="116" t="s">
        <v>127</v>
      </c>
      <c r="AG12" s="116"/>
      <c r="AH12" s="118"/>
      <c r="AI12" s="118"/>
      <c r="AJ12" s="116"/>
      <c r="AK12" s="116"/>
      <c r="AL12" s="116"/>
      <c r="AM12" s="116"/>
      <c r="AN12" s="116"/>
      <c r="AO12" s="116"/>
      <c r="AP12" s="116" t="s">
        <v>104</v>
      </c>
      <c r="AQ12" s="116" t="s">
        <v>486</v>
      </c>
      <c r="AR12" s="116">
        <v>1000</v>
      </c>
      <c r="AS12" s="116">
        <v>105000000</v>
      </c>
      <c r="AT12" s="137">
        <v>45146</v>
      </c>
      <c r="AU12" s="137"/>
      <c r="AV12" s="116">
        <v>6.0153999999999996</v>
      </c>
      <c r="AW12" s="116" t="s">
        <v>487</v>
      </c>
      <c r="AX12" s="137">
        <v>45238</v>
      </c>
      <c r="AY12" s="116" t="s">
        <v>488</v>
      </c>
      <c r="AZ12" s="116" t="s">
        <v>104</v>
      </c>
      <c r="BA12" s="137">
        <v>45146</v>
      </c>
      <c r="BB12" s="118"/>
      <c r="BC12" s="137">
        <v>45146</v>
      </c>
      <c r="BD12" s="116" t="s">
        <v>104</v>
      </c>
      <c r="BE12" s="116" t="s">
        <v>525</v>
      </c>
      <c r="BF12" s="116" t="s">
        <v>526</v>
      </c>
      <c r="BG12" s="116" t="s">
        <v>166</v>
      </c>
      <c r="BH12" s="116" t="s">
        <v>166</v>
      </c>
      <c r="BI12" s="116" t="s">
        <v>376</v>
      </c>
      <c r="BJ12" s="116" t="s">
        <v>168</v>
      </c>
      <c r="BK12" s="116" t="s">
        <v>169</v>
      </c>
      <c r="BL12" s="116" t="s">
        <v>104</v>
      </c>
      <c r="BM12" s="116" t="s">
        <v>377</v>
      </c>
      <c r="BN12" s="116" t="s">
        <v>104</v>
      </c>
      <c r="BO12" s="116" t="s">
        <v>13</v>
      </c>
      <c r="BP12" s="118" t="s">
        <v>527</v>
      </c>
    </row>
    <row r="13" spans="1:68" x14ac:dyDescent="0.25">
      <c r="A13" s="116" t="s">
        <v>528</v>
      </c>
      <c r="B13" s="116" t="s">
        <v>163</v>
      </c>
      <c r="C13" s="116" t="s">
        <v>2</v>
      </c>
      <c r="D13" s="116" t="s">
        <v>346</v>
      </c>
      <c r="E13" s="116" t="s">
        <v>529</v>
      </c>
      <c r="F13" s="116" t="s">
        <v>530</v>
      </c>
      <c r="G13" s="116"/>
      <c r="H13" s="116" t="s">
        <v>531</v>
      </c>
      <c r="I13" s="116" t="s">
        <v>532</v>
      </c>
      <c r="J13" s="116" t="s">
        <v>104</v>
      </c>
      <c r="K13" s="116" t="s">
        <v>92</v>
      </c>
      <c r="L13" s="137">
        <v>45139</v>
      </c>
      <c r="M13" s="116" t="s">
        <v>164</v>
      </c>
      <c r="N13" s="116" t="s">
        <v>164</v>
      </c>
      <c r="O13" s="116" t="s">
        <v>93</v>
      </c>
      <c r="P13" s="116" t="s">
        <v>93</v>
      </c>
      <c r="Q13" s="116" t="s">
        <v>533</v>
      </c>
      <c r="R13" s="116">
        <v>4.9000000000000004</v>
      </c>
      <c r="S13" s="137">
        <v>46243</v>
      </c>
      <c r="T13" s="116" t="s">
        <v>104</v>
      </c>
      <c r="U13" s="116" t="s">
        <v>534</v>
      </c>
      <c r="V13" s="116"/>
      <c r="W13" s="116" t="s">
        <v>262</v>
      </c>
      <c r="X13" s="116" t="s">
        <v>329</v>
      </c>
      <c r="Y13" s="116" t="s">
        <v>535</v>
      </c>
      <c r="Z13" s="116" t="s">
        <v>165</v>
      </c>
      <c r="AA13" s="116">
        <v>1.97</v>
      </c>
      <c r="AB13" s="116" t="s">
        <v>121</v>
      </c>
      <c r="AC13" s="118" t="s">
        <v>258</v>
      </c>
      <c r="AD13" s="116" t="s">
        <v>347</v>
      </c>
      <c r="AE13" s="116">
        <v>100</v>
      </c>
      <c r="AF13" s="116" t="s">
        <v>536</v>
      </c>
      <c r="AG13" s="116"/>
      <c r="AH13" s="118"/>
      <c r="AI13" s="118"/>
      <c r="AJ13" s="116"/>
      <c r="AK13" s="116"/>
      <c r="AL13" s="116"/>
      <c r="AM13" s="116" t="s">
        <v>537</v>
      </c>
      <c r="AN13" s="116"/>
      <c r="AO13" s="116"/>
      <c r="AP13" s="116" t="s">
        <v>538</v>
      </c>
      <c r="AQ13" s="116" t="s">
        <v>539</v>
      </c>
      <c r="AR13" s="116">
        <v>10000</v>
      </c>
      <c r="AS13" s="116">
        <v>197000000</v>
      </c>
      <c r="AT13" s="137">
        <v>45147</v>
      </c>
      <c r="AU13" s="137"/>
      <c r="AV13" s="116">
        <v>4.9000000000000004</v>
      </c>
      <c r="AW13" s="116" t="s">
        <v>104</v>
      </c>
      <c r="AX13" s="137">
        <v>45331</v>
      </c>
      <c r="AY13" s="116" t="s">
        <v>528</v>
      </c>
      <c r="AZ13" s="116" t="s">
        <v>104</v>
      </c>
      <c r="BA13" s="137">
        <v>45147</v>
      </c>
      <c r="BB13" s="118" t="s">
        <v>534</v>
      </c>
      <c r="BC13" s="137">
        <v>45147</v>
      </c>
      <c r="BD13" s="116" t="s">
        <v>540</v>
      </c>
      <c r="BE13" s="116" t="s">
        <v>104</v>
      </c>
      <c r="BF13" s="116" t="s">
        <v>538</v>
      </c>
      <c r="BG13" s="116" t="s">
        <v>166</v>
      </c>
      <c r="BH13" s="116" t="s">
        <v>166</v>
      </c>
      <c r="BI13" s="116" t="s">
        <v>167</v>
      </c>
      <c r="BJ13" s="116" t="s">
        <v>168</v>
      </c>
      <c r="BK13" s="116" t="s">
        <v>169</v>
      </c>
      <c r="BL13" s="116" t="s">
        <v>104</v>
      </c>
      <c r="BM13" s="116" t="s">
        <v>170</v>
      </c>
      <c r="BN13" s="116" t="s">
        <v>104</v>
      </c>
      <c r="BO13" s="116" t="s">
        <v>12</v>
      </c>
      <c r="BP13" s="118" t="s">
        <v>541</v>
      </c>
    </row>
    <row r="14" spans="1:68" x14ac:dyDescent="0.25">
      <c r="A14" s="116" t="s">
        <v>542</v>
      </c>
      <c r="B14" s="116" t="s">
        <v>543</v>
      </c>
      <c r="C14" s="116" t="s">
        <v>94</v>
      </c>
      <c r="D14" s="116" t="s">
        <v>493</v>
      </c>
      <c r="E14" s="116" t="s">
        <v>511</v>
      </c>
      <c r="F14" s="116" t="s">
        <v>544</v>
      </c>
      <c r="G14" s="116"/>
      <c r="H14" s="116" t="s">
        <v>545</v>
      </c>
      <c r="I14" s="116" t="s">
        <v>546</v>
      </c>
      <c r="J14" s="116" t="s">
        <v>104</v>
      </c>
      <c r="K14" s="116" t="s">
        <v>199</v>
      </c>
      <c r="L14" s="137">
        <v>45138</v>
      </c>
      <c r="M14" s="116" t="s">
        <v>547</v>
      </c>
      <c r="N14" s="116" t="s">
        <v>548</v>
      </c>
      <c r="O14" s="116" t="s">
        <v>93</v>
      </c>
      <c r="P14" s="116" t="s">
        <v>93</v>
      </c>
      <c r="Q14" s="116" t="s">
        <v>104</v>
      </c>
      <c r="R14" s="116">
        <v>4.2</v>
      </c>
      <c r="S14" s="137">
        <v>45237</v>
      </c>
      <c r="T14" s="116" t="s">
        <v>104</v>
      </c>
      <c r="U14" s="116" t="s">
        <v>104</v>
      </c>
      <c r="V14" s="116"/>
      <c r="W14" s="116"/>
      <c r="X14" s="116" t="s">
        <v>46</v>
      </c>
      <c r="Y14" s="116" t="s">
        <v>104</v>
      </c>
      <c r="Z14" s="116" t="s">
        <v>165</v>
      </c>
      <c r="AA14" s="116">
        <v>0.05</v>
      </c>
      <c r="AB14" s="116" t="s">
        <v>95</v>
      </c>
      <c r="AC14" s="118" t="s">
        <v>369</v>
      </c>
      <c r="AD14" s="116" t="s">
        <v>549</v>
      </c>
      <c r="AE14" s="116"/>
      <c r="AF14" s="116" t="s">
        <v>127</v>
      </c>
      <c r="AG14" s="116"/>
      <c r="AH14" s="118"/>
      <c r="AI14" s="118"/>
      <c r="AJ14" s="116"/>
      <c r="AK14" s="116"/>
      <c r="AL14" s="116"/>
      <c r="AM14" s="116"/>
      <c r="AN14" s="116"/>
      <c r="AO14" s="116"/>
      <c r="AP14" s="116" t="s">
        <v>104</v>
      </c>
      <c r="AQ14" s="116" t="s">
        <v>550</v>
      </c>
      <c r="AR14" s="116">
        <v>100000</v>
      </c>
      <c r="AS14" s="116">
        <v>5000000</v>
      </c>
      <c r="AT14" s="137">
        <v>45145</v>
      </c>
      <c r="AU14" s="137"/>
      <c r="AV14" s="116">
        <v>4.2</v>
      </c>
      <c r="AW14" s="116" t="s">
        <v>104</v>
      </c>
      <c r="AX14" s="137">
        <v>45237</v>
      </c>
      <c r="AY14" s="116" t="s">
        <v>551</v>
      </c>
      <c r="AZ14" s="116" t="s">
        <v>552</v>
      </c>
      <c r="BA14" s="137">
        <v>45145</v>
      </c>
      <c r="BB14" s="118"/>
      <c r="BC14" s="137">
        <v>45145</v>
      </c>
      <c r="BD14" s="116" t="s">
        <v>104</v>
      </c>
      <c r="BE14" s="116" t="s">
        <v>553</v>
      </c>
      <c r="BF14" s="116" t="s">
        <v>553</v>
      </c>
      <c r="BG14" s="116" t="s">
        <v>166</v>
      </c>
      <c r="BH14" s="116" t="s">
        <v>166</v>
      </c>
      <c r="BI14" s="116" t="s">
        <v>167</v>
      </c>
      <c r="BJ14" s="116" t="s">
        <v>168</v>
      </c>
      <c r="BK14" s="116" t="s">
        <v>169</v>
      </c>
      <c r="BL14" s="116" t="s">
        <v>104</v>
      </c>
      <c r="BM14" s="116" t="s">
        <v>104</v>
      </c>
      <c r="BN14" s="116" t="s">
        <v>104</v>
      </c>
      <c r="BO14" s="116" t="s">
        <v>19</v>
      </c>
      <c r="BP14" s="118" t="s">
        <v>554</v>
      </c>
    </row>
    <row r="15" spans="1:68" x14ac:dyDescent="0.25">
      <c r="A15" s="116" t="s">
        <v>555</v>
      </c>
      <c r="B15" s="116" t="s">
        <v>556</v>
      </c>
      <c r="C15" s="116" t="s">
        <v>94</v>
      </c>
      <c r="D15" s="116" t="s">
        <v>316</v>
      </c>
      <c r="E15" s="116" t="s">
        <v>259</v>
      </c>
      <c r="F15" s="116"/>
      <c r="G15" s="116"/>
      <c r="H15" s="116" t="s">
        <v>557</v>
      </c>
      <c r="I15" s="116" t="s">
        <v>558</v>
      </c>
      <c r="J15" s="116" t="s">
        <v>104</v>
      </c>
      <c r="K15" s="116" t="s">
        <v>199</v>
      </c>
      <c r="L15" s="137">
        <v>45138</v>
      </c>
      <c r="M15" s="116" t="s">
        <v>498</v>
      </c>
      <c r="N15" s="116" t="s">
        <v>559</v>
      </c>
      <c r="O15" s="116" t="s">
        <v>93</v>
      </c>
      <c r="P15" s="116" t="s">
        <v>93</v>
      </c>
      <c r="Q15" s="116" t="s">
        <v>335</v>
      </c>
      <c r="R15" s="116">
        <v>5.75</v>
      </c>
      <c r="S15" s="137">
        <v>46425</v>
      </c>
      <c r="T15" s="116" t="s">
        <v>560</v>
      </c>
      <c r="U15" s="116" t="s">
        <v>561</v>
      </c>
      <c r="V15" s="116">
        <v>45</v>
      </c>
      <c r="W15" s="116" t="s">
        <v>262</v>
      </c>
      <c r="X15" s="116" t="s">
        <v>46</v>
      </c>
      <c r="Y15" s="116" t="s">
        <v>104</v>
      </c>
      <c r="Z15" s="116" t="s">
        <v>165</v>
      </c>
      <c r="AA15" s="116">
        <v>4</v>
      </c>
      <c r="AB15" s="116" t="s">
        <v>95</v>
      </c>
      <c r="AC15" s="118" t="s">
        <v>562</v>
      </c>
      <c r="AD15" s="116" t="s">
        <v>563</v>
      </c>
      <c r="AE15" s="116">
        <v>99.721999999999994</v>
      </c>
      <c r="AF15" s="116" t="s">
        <v>371</v>
      </c>
      <c r="AG15" s="116" t="s">
        <v>564</v>
      </c>
      <c r="AH15" s="118">
        <v>29</v>
      </c>
      <c r="AI15" s="118">
        <v>7.3</v>
      </c>
      <c r="AJ15" s="116" t="s">
        <v>565</v>
      </c>
      <c r="AK15" s="116" t="s">
        <v>566</v>
      </c>
      <c r="AL15" s="116" t="s">
        <v>567</v>
      </c>
      <c r="AM15" s="116" t="s">
        <v>568</v>
      </c>
      <c r="AN15" s="116" t="s">
        <v>569</v>
      </c>
      <c r="AO15" s="116" t="s">
        <v>570</v>
      </c>
      <c r="AP15" s="116" t="s">
        <v>571</v>
      </c>
      <c r="AQ15" s="116" t="s">
        <v>572</v>
      </c>
      <c r="AR15" s="116">
        <v>1000</v>
      </c>
      <c r="AS15" s="116">
        <v>400000000</v>
      </c>
      <c r="AT15" s="137">
        <v>45145</v>
      </c>
      <c r="AU15" s="137">
        <v>45145</v>
      </c>
      <c r="AV15" s="116">
        <v>5.75</v>
      </c>
      <c r="AW15" s="116" t="s">
        <v>104</v>
      </c>
      <c r="AX15" s="137">
        <v>45329</v>
      </c>
      <c r="AY15" s="116" t="s">
        <v>573</v>
      </c>
      <c r="AZ15" s="116" t="s">
        <v>555</v>
      </c>
      <c r="BA15" s="137">
        <v>45145</v>
      </c>
      <c r="BB15" s="118" t="s">
        <v>574</v>
      </c>
      <c r="BC15" s="137">
        <v>45145</v>
      </c>
      <c r="BD15" s="116" t="s">
        <v>372</v>
      </c>
      <c r="BE15" s="116" t="s">
        <v>575</v>
      </c>
      <c r="BF15" s="116" t="s">
        <v>576</v>
      </c>
      <c r="BG15" s="116" t="s">
        <v>166</v>
      </c>
      <c r="BH15" s="116" t="s">
        <v>166</v>
      </c>
      <c r="BI15" s="116" t="s">
        <v>167</v>
      </c>
      <c r="BJ15" s="116" t="s">
        <v>168</v>
      </c>
      <c r="BK15" s="116" t="s">
        <v>577</v>
      </c>
      <c r="BL15" s="116" t="s">
        <v>104</v>
      </c>
      <c r="BM15" s="116" t="s">
        <v>170</v>
      </c>
      <c r="BN15" s="116" t="s">
        <v>104</v>
      </c>
      <c r="BO15" s="116" t="s">
        <v>13</v>
      </c>
      <c r="BP15" s="118" t="s">
        <v>578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BZ28"/>
  <sheetViews>
    <sheetView zoomScale="85" zoomScaleNormal="85" workbookViewId="0">
      <selection activeCell="B13" sqref="B13"/>
    </sheetView>
  </sheetViews>
  <sheetFormatPr defaultColWidth="8.88671875" defaultRowHeight="18" customHeight="1" outlineLevelCol="1" x14ac:dyDescent="0.25"/>
  <cols>
    <col min="1" max="1" width="5.6640625" style="2" bestFit="1" customWidth="1"/>
    <col min="2" max="2" width="24.77734375" style="2" bestFit="1" customWidth="1"/>
    <col min="3" max="3" width="11.109375" style="2" bestFit="1" customWidth="1"/>
    <col min="4" max="4" width="4.44140625" style="2" bestFit="1" customWidth="1"/>
    <col min="5" max="5" width="7.77734375" style="2" bestFit="1" customWidth="1"/>
    <col min="6" max="7" width="6.109375" style="2" bestFit="1" customWidth="1"/>
    <col min="8" max="8" width="4.44140625" style="2" bestFit="1" customWidth="1"/>
    <col min="9" max="9" width="36.33203125" style="2" bestFit="1" customWidth="1"/>
    <col min="10" max="10" width="13.44140625" style="2" bestFit="1" customWidth="1"/>
    <col min="11" max="11" width="7.77734375" style="2" bestFit="1" customWidth="1"/>
    <col min="12" max="12" width="7.77734375" style="2" bestFit="1" customWidth="1" outlineLevel="1"/>
    <col min="13" max="13" width="9.44140625" style="2" bestFit="1" customWidth="1" outlineLevel="1"/>
    <col min="14" max="14" width="9.77734375" style="2" bestFit="1" customWidth="1" outlineLevel="1"/>
    <col min="15" max="15" width="11.109375" style="2" bestFit="1" customWidth="1" outlineLevel="1"/>
    <col min="16" max="16" width="7.77734375" style="2" bestFit="1" customWidth="1" outlineLevel="1"/>
    <col min="17" max="19" width="11.109375" style="2" bestFit="1" customWidth="1" outlineLevel="1"/>
    <col min="20" max="20" width="10.44140625" style="2" bestFit="1" customWidth="1" outlineLevel="1"/>
    <col min="21" max="21" width="13.6640625" style="2" bestFit="1" customWidth="1" outlineLevel="1"/>
    <col min="22" max="22" width="10.21875" style="2" bestFit="1" customWidth="1" outlineLevel="1"/>
    <col min="23" max="23" width="11.109375" style="2" bestFit="1" customWidth="1" outlineLevel="1"/>
    <col min="24" max="25" width="7.77734375" style="2" bestFit="1" customWidth="1" outlineLevel="1"/>
    <col min="26" max="26" width="28.21875" style="2" bestFit="1" customWidth="1" outlineLevel="1"/>
    <col min="27" max="27" width="15" style="2" bestFit="1" customWidth="1" outlineLevel="1"/>
    <col min="28" max="28" width="10.5546875" style="2" bestFit="1" customWidth="1" outlineLevel="1"/>
    <col min="29" max="29" width="4.77734375" style="2" bestFit="1" customWidth="1" outlineLevel="1"/>
    <col min="30" max="30" width="10.5546875" style="2" bestFit="1" customWidth="1" outlineLevel="1"/>
    <col min="31" max="31" width="9.44140625" style="2" bestFit="1" customWidth="1" outlineLevel="1"/>
    <col min="32" max="32" width="7.109375" style="2" bestFit="1" customWidth="1" outlineLevel="1"/>
    <col min="33" max="33" width="11.109375" style="2" bestFit="1" customWidth="1" outlineLevel="1"/>
    <col min="34" max="34" width="7.77734375" style="2" bestFit="1" customWidth="1" outlineLevel="1"/>
    <col min="35" max="35" width="8.88671875" style="2" bestFit="1" customWidth="1" outlineLevel="1"/>
    <col min="36" max="36" width="7.77734375" style="2" bestFit="1" customWidth="1" outlineLevel="1"/>
    <col min="37" max="37" width="12.77734375" style="2" bestFit="1" customWidth="1" outlineLevel="1"/>
    <col min="38" max="38" width="80.77734375" style="2" bestFit="1" customWidth="1" outlineLevel="1"/>
    <col min="39" max="39" width="42.33203125" style="2" bestFit="1" customWidth="1" outlineLevel="1"/>
    <col min="40" max="40" width="48.77734375" style="2" bestFit="1" customWidth="1" outlineLevel="1"/>
    <col min="41" max="42" width="7.77734375" style="2" bestFit="1" customWidth="1" outlineLevel="1"/>
    <col min="43" max="43" width="80.88671875" style="2" customWidth="1" outlineLevel="1"/>
    <col min="44" max="44" width="8" style="2" bestFit="1" customWidth="1" outlineLevel="1"/>
    <col min="45" max="45" width="11.109375" style="2" bestFit="1" customWidth="1" outlineLevel="1"/>
    <col min="46" max="46" width="12.109375" style="2" bestFit="1" customWidth="1" outlineLevel="1"/>
    <col min="47" max="48" width="9.44140625" style="2" bestFit="1" customWidth="1" outlineLevel="1"/>
    <col min="49" max="49" width="11.109375" style="2" bestFit="1" customWidth="1" outlineLevel="1"/>
    <col min="50" max="50" width="7.77734375" style="2" bestFit="1" customWidth="1" outlineLevel="1"/>
    <col min="51" max="51" width="10.44140625" style="2" bestFit="1" customWidth="1" outlineLevel="1"/>
    <col min="52" max="52" width="57.21875" style="2" bestFit="1" customWidth="1" outlineLevel="1"/>
    <col min="53" max="53" width="22.5546875" style="2" bestFit="1" customWidth="1" outlineLevel="1"/>
    <col min="54" max="54" width="9.44140625" style="2" bestFit="1" customWidth="1" outlineLevel="1"/>
    <col min="55" max="55" width="10.44140625" style="2" bestFit="1" customWidth="1" outlineLevel="1"/>
    <col min="56" max="56" width="9.44140625" style="2" bestFit="1" customWidth="1" outlineLevel="1"/>
    <col min="57" max="57" width="19.109375" style="2" bestFit="1" customWidth="1" outlineLevel="1"/>
    <col min="58" max="59" width="80.88671875" style="2" customWidth="1" outlineLevel="1"/>
    <col min="60" max="60" width="9.44140625" style="2" bestFit="1" customWidth="1" outlineLevel="1"/>
    <col min="61" max="66" width="7.77734375" style="2" bestFit="1" customWidth="1" outlineLevel="1"/>
    <col min="67" max="67" width="12.77734375" style="2" bestFit="1" customWidth="1" outlineLevel="1"/>
    <col min="68" max="68" width="4.44140625" style="2" bestFit="1" customWidth="1" outlineLevel="1"/>
    <col min="69" max="69" width="6.109375" style="2" bestFit="1" customWidth="1" outlineLevel="1"/>
    <col min="70" max="70" width="7.109375" style="2" bestFit="1" customWidth="1" outlineLevel="1"/>
    <col min="71" max="71" width="7.77734375" style="2" bestFit="1" customWidth="1" outlineLevel="1"/>
    <col min="72" max="72" width="11.109375" style="2" bestFit="1" customWidth="1" outlineLevel="1"/>
    <col min="73" max="73" width="18.44140625" style="2" bestFit="1" customWidth="1" outlineLevel="1"/>
    <col min="74" max="74" width="9.44140625" style="2" bestFit="1" customWidth="1" outlineLevel="1"/>
    <col min="75" max="75" width="9.44140625" style="2" bestFit="1" customWidth="1"/>
    <col min="76" max="76" width="11.77734375" style="2" bestFit="1" customWidth="1"/>
    <col min="77" max="77" width="19.5546875" style="2" bestFit="1" customWidth="1"/>
    <col min="78" max="78" width="10.5546875" style="2" bestFit="1" customWidth="1"/>
    <col min="79" max="79" width="10.33203125" style="2" bestFit="1" customWidth="1"/>
    <col min="80" max="81" width="10.5546875" style="2" bestFit="1" customWidth="1"/>
    <col min="82" max="82" width="16.6640625" style="2" bestFit="1" customWidth="1"/>
    <col min="83" max="83" width="7.6640625" style="2" bestFit="1" customWidth="1"/>
    <col min="84" max="85" width="10.44140625" style="2" bestFit="1" customWidth="1"/>
    <col min="86" max="86" width="17.33203125" style="2" bestFit="1" customWidth="1"/>
    <col min="87" max="88" width="10.109375" style="2" bestFit="1" customWidth="1"/>
    <col min="89" max="90" width="12.44140625" style="2" bestFit="1" customWidth="1"/>
    <col min="91" max="91" width="8.6640625" style="2" bestFit="1" customWidth="1"/>
    <col min="92" max="94" width="8.6640625" style="2" customWidth="1"/>
    <col min="95" max="95" width="9.21875" style="2" customWidth="1"/>
    <col min="96" max="96" width="28.6640625" style="2" customWidth="1"/>
    <col min="97" max="97" width="9" style="2" customWidth="1"/>
    <col min="98" max="98" width="11.6640625" style="2" customWidth="1"/>
    <col min="99" max="100" width="9.21875" style="2" customWidth="1"/>
    <col min="101" max="101" width="10.44140625" style="2" customWidth="1"/>
    <col min="102" max="102" width="11.6640625" style="2" customWidth="1"/>
    <col min="103" max="103" width="9.21875" style="2" customWidth="1"/>
    <col min="104" max="104" width="10.44140625" style="2" customWidth="1"/>
    <col min="105" max="105" width="20.109375" style="2" customWidth="1"/>
    <col min="106" max="106" width="37.77734375" style="2" customWidth="1"/>
    <col min="107" max="107" width="43.21875" style="2" customWidth="1"/>
    <col min="108" max="108" width="9.21875" style="2" customWidth="1"/>
    <col min="109" max="109" width="13.77734375" style="2" customWidth="1"/>
    <col min="110" max="110" width="37.109375" style="2" customWidth="1"/>
    <col min="111" max="111" width="10.44140625" style="2" customWidth="1"/>
    <col min="112" max="117" width="9.21875" style="2" customWidth="1"/>
    <col min="118" max="118" width="12.33203125" style="2" bestFit="1" customWidth="1"/>
    <col min="119" max="119" width="11.109375" style="2" customWidth="1"/>
    <col min="120" max="120" width="11.6640625" style="2" bestFit="1" customWidth="1"/>
    <col min="121" max="121" width="11.6640625" style="2" customWidth="1"/>
    <col min="122" max="122" width="4.77734375" style="2" bestFit="1" customWidth="1"/>
    <col min="123" max="123" width="7.44140625" style="2" bestFit="1" customWidth="1"/>
    <col min="124" max="16384" width="8.88671875" style="2"/>
  </cols>
  <sheetData>
    <row r="1" spans="1:78" ht="66" customHeight="1" x14ac:dyDescent="0.25">
      <c r="A1" s="104" t="s">
        <v>269</v>
      </c>
      <c r="B1" s="8"/>
      <c r="I1" s="106" t="s">
        <v>224</v>
      </c>
    </row>
    <row r="2" spans="1:78" ht="66" customHeight="1" x14ac:dyDescent="0.25">
      <c r="A2" s="105" t="s">
        <v>125</v>
      </c>
      <c r="I2" s="34" t="s">
        <v>7</v>
      </c>
    </row>
    <row r="3" spans="1:78" ht="41.25" customHeight="1" x14ac:dyDescent="0.25">
      <c r="G3" s="35"/>
      <c r="K3" s="103"/>
    </row>
    <row r="4" spans="1:78" ht="83.25" customHeight="1" x14ac:dyDescent="0.25"/>
    <row r="5" spans="1:78" ht="15" x14ac:dyDescent="0.25">
      <c r="A5" s="132" t="s">
        <v>96</v>
      </c>
      <c r="B5" s="133" t="s">
        <v>106</v>
      </c>
      <c r="C5" s="133" t="s">
        <v>50</v>
      </c>
      <c r="D5" s="133" t="s">
        <v>51</v>
      </c>
      <c r="E5" s="133" t="s">
        <v>52</v>
      </c>
      <c r="F5" s="133" t="s">
        <v>107</v>
      </c>
      <c r="G5" s="133" t="s">
        <v>53</v>
      </c>
      <c r="H5" s="133" t="s">
        <v>54</v>
      </c>
      <c r="I5" s="133" t="s">
        <v>55</v>
      </c>
      <c r="J5" s="133" t="s">
        <v>56</v>
      </c>
      <c r="K5" s="133" t="s">
        <v>108</v>
      </c>
      <c r="L5" s="133" t="s">
        <v>109</v>
      </c>
      <c r="M5" s="133" t="s">
        <v>57</v>
      </c>
      <c r="N5" s="133" t="s">
        <v>110</v>
      </c>
      <c r="O5" s="133" t="s">
        <v>111</v>
      </c>
      <c r="P5" s="133" t="s">
        <v>58</v>
      </c>
      <c r="Q5" s="133" t="s">
        <v>231</v>
      </c>
      <c r="R5" s="133" t="s">
        <v>59</v>
      </c>
      <c r="S5" s="133" t="s">
        <v>60</v>
      </c>
      <c r="T5" s="133" t="s">
        <v>61</v>
      </c>
      <c r="U5" s="132" t="s">
        <v>273</v>
      </c>
      <c r="V5" s="132" t="s">
        <v>274</v>
      </c>
      <c r="W5" s="133" t="s">
        <v>63</v>
      </c>
      <c r="X5" s="132" t="s">
        <v>260</v>
      </c>
      <c r="Y5" s="133" t="s">
        <v>112</v>
      </c>
      <c r="Z5" s="133" t="s">
        <v>64</v>
      </c>
      <c r="AA5" s="133" t="s">
        <v>65</v>
      </c>
      <c r="AB5" s="133" t="s">
        <v>66</v>
      </c>
      <c r="AC5" s="133" t="s">
        <v>73</v>
      </c>
      <c r="AD5" s="133" t="s">
        <v>67</v>
      </c>
      <c r="AE5" s="132" t="s">
        <v>294</v>
      </c>
      <c r="AF5" s="133" t="s">
        <v>68</v>
      </c>
      <c r="AG5" s="133" t="s">
        <v>113</v>
      </c>
      <c r="AH5" s="133" t="s">
        <v>69</v>
      </c>
      <c r="AI5" s="133" t="s">
        <v>171</v>
      </c>
      <c r="AJ5" s="133" t="s">
        <v>70</v>
      </c>
      <c r="AK5" s="132" t="s">
        <v>295</v>
      </c>
      <c r="AL5" s="132" t="s">
        <v>296</v>
      </c>
      <c r="AM5" s="132" t="s">
        <v>297</v>
      </c>
      <c r="AN5" s="132" t="s">
        <v>298</v>
      </c>
      <c r="AO5" s="133" t="s">
        <v>71</v>
      </c>
      <c r="AP5" s="133" t="s">
        <v>72</v>
      </c>
      <c r="AQ5" s="133" t="s">
        <v>74</v>
      </c>
      <c r="AR5" s="133" t="s">
        <v>75</v>
      </c>
      <c r="AS5" s="133" t="s">
        <v>114</v>
      </c>
      <c r="AT5" s="133" t="s">
        <v>115</v>
      </c>
      <c r="AU5" s="133" t="s">
        <v>76</v>
      </c>
      <c r="AV5" s="133" t="s">
        <v>77</v>
      </c>
      <c r="AW5" s="133" t="s">
        <v>116</v>
      </c>
      <c r="AX5" s="133" t="s">
        <v>78</v>
      </c>
      <c r="AY5" s="133" t="s">
        <v>79</v>
      </c>
      <c r="AZ5" s="133" t="s">
        <v>80</v>
      </c>
      <c r="BA5" s="133" t="s">
        <v>81</v>
      </c>
      <c r="BB5" s="133" t="s">
        <v>82</v>
      </c>
      <c r="BC5" s="132" t="s">
        <v>300</v>
      </c>
      <c r="BD5" s="133" t="s">
        <v>83</v>
      </c>
      <c r="BE5" s="133" t="s">
        <v>117</v>
      </c>
      <c r="BF5" s="133" t="s">
        <v>84</v>
      </c>
      <c r="BG5" s="132" t="s">
        <v>299</v>
      </c>
      <c r="BH5" s="133" t="s">
        <v>85</v>
      </c>
      <c r="BI5" s="133" t="s">
        <v>86</v>
      </c>
      <c r="BJ5" s="133" t="s">
        <v>87</v>
      </c>
      <c r="BK5" s="133" t="s">
        <v>88</v>
      </c>
      <c r="BL5" s="133" t="s">
        <v>89</v>
      </c>
      <c r="BM5" s="133" t="s">
        <v>118</v>
      </c>
      <c r="BN5" s="133" t="s">
        <v>90</v>
      </c>
      <c r="BO5" s="133" t="s">
        <v>91</v>
      </c>
      <c r="BP5" s="132" t="s">
        <v>99</v>
      </c>
      <c r="BQ5" s="132" t="s">
        <v>228</v>
      </c>
      <c r="BR5" s="132" t="s">
        <v>229</v>
      </c>
      <c r="BS5" s="132" t="s">
        <v>279</v>
      </c>
      <c r="BT5" s="132" t="s">
        <v>321</v>
      </c>
      <c r="BU5" s="132" t="s">
        <v>191</v>
      </c>
      <c r="BV5" s="132" t="s">
        <v>144</v>
      </c>
      <c r="BW5" s="132" t="s">
        <v>177</v>
      </c>
      <c r="BX5" s="132" t="s">
        <v>232</v>
      </c>
      <c r="BY5" s="133" t="s">
        <v>182</v>
      </c>
      <c r="BZ5" s="132" t="s">
        <v>230</v>
      </c>
    </row>
    <row r="6" spans="1:78" ht="15" x14ac:dyDescent="0.25">
      <c r="A6" s="132">
        <v>1</v>
      </c>
      <c r="B6" s="133" t="s">
        <v>434</v>
      </c>
      <c r="C6" s="133" t="s">
        <v>163</v>
      </c>
      <c r="D6" s="133" t="s">
        <v>3</v>
      </c>
      <c r="E6" s="133" t="s">
        <v>346</v>
      </c>
      <c r="F6" s="133" t="s">
        <v>435</v>
      </c>
      <c r="G6" s="133" t="s">
        <v>436</v>
      </c>
      <c r="H6" s="133"/>
      <c r="I6" s="133" t="s">
        <v>437</v>
      </c>
      <c r="J6" s="133" t="s">
        <v>438</v>
      </c>
      <c r="K6" s="133" t="s">
        <v>104</v>
      </c>
      <c r="L6" s="133" t="s">
        <v>92</v>
      </c>
      <c r="M6" s="134">
        <v>45142</v>
      </c>
      <c r="N6" s="133" t="s">
        <v>164</v>
      </c>
      <c r="O6" s="133" t="s">
        <v>164</v>
      </c>
      <c r="P6" s="133" t="s">
        <v>93</v>
      </c>
      <c r="Q6" s="133" t="s">
        <v>93</v>
      </c>
      <c r="R6" s="133" t="s">
        <v>104</v>
      </c>
      <c r="S6" s="132">
        <v>5</v>
      </c>
      <c r="T6" s="141">
        <v>46249</v>
      </c>
      <c r="U6" s="132" t="s">
        <v>104</v>
      </c>
      <c r="V6" s="132" t="s">
        <v>439</v>
      </c>
      <c r="W6" s="135"/>
      <c r="X6" s="132" t="s">
        <v>262</v>
      </c>
      <c r="Y6" s="133" t="s">
        <v>328</v>
      </c>
      <c r="Z6" s="133" t="s">
        <v>440</v>
      </c>
      <c r="AA6" s="133" t="s">
        <v>165</v>
      </c>
      <c r="AB6" s="132">
        <v>1.4</v>
      </c>
      <c r="AC6" s="133" t="s">
        <v>121</v>
      </c>
      <c r="AD6" s="136" t="s">
        <v>258</v>
      </c>
      <c r="AE6" s="132" t="s">
        <v>441</v>
      </c>
      <c r="AF6" s="132">
        <v>100</v>
      </c>
      <c r="AG6" s="133" t="s">
        <v>371</v>
      </c>
      <c r="AH6" s="133"/>
      <c r="AI6" s="136"/>
      <c r="AJ6" s="136"/>
      <c r="AK6" s="132"/>
      <c r="AL6" s="132"/>
      <c r="AM6" s="132"/>
      <c r="AN6" s="132" t="s">
        <v>442</v>
      </c>
      <c r="AO6" s="133"/>
      <c r="AP6" s="133"/>
      <c r="AQ6" s="133" t="s">
        <v>443</v>
      </c>
      <c r="AR6" s="133" t="s">
        <v>444</v>
      </c>
      <c r="AS6" s="132">
        <v>10000</v>
      </c>
      <c r="AT6" s="132">
        <v>140000000</v>
      </c>
      <c r="AU6" s="141">
        <v>45153</v>
      </c>
      <c r="AV6" s="141"/>
      <c r="AW6" s="132">
        <v>5</v>
      </c>
      <c r="AX6" s="136" t="s">
        <v>104</v>
      </c>
      <c r="AY6" s="141">
        <v>45337</v>
      </c>
      <c r="AZ6" s="133" t="s">
        <v>445</v>
      </c>
      <c r="BA6" s="133" t="s">
        <v>104</v>
      </c>
      <c r="BB6" s="141">
        <v>45153</v>
      </c>
      <c r="BC6" s="135"/>
      <c r="BD6" s="141">
        <v>45153</v>
      </c>
      <c r="BE6" s="133" t="s">
        <v>104</v>
      </c>
      <c r="BF6" s="133" t="s">
        <v>446</v>
      </c>
      <c r="BG6" s="132" t="s">
        <v>447</v>
      </c>
      <c r="BH6" s="133" t="s">
        <v>166</v>
      </c>
      <c r="BI6" s="133" t="s">
        <v>166</v>
      </c>
      <c r="BJ6" s="133" t="s">
        <v>167</v>
      </c>
      <c r="BK6" s="133" t="s">
        <v>168</v>
      </c>
      <c r="BL6" s="133" t="s">
        <v>169</v>
      </c>
      <c r="BM6" s="133" t="s">
        <v>104</v>
      </c>
      <c r="BN6" s="133" t="s">
        <v>170</v>
      </c>
      <c r="BO6" s="133" t="s">
        <v>104</v>
      </c>
      <c r="BP6" s="132" t="s">
        <v>23</v>
      </c>
      <c r="BQ6" s="132">
        <v>0.19500000000000001</v>
      </c>
      <c r="BR6" s="132">
        <v>1.4</v>
      </c>
      <c r="BS6" s="132">
        <v>1.5229999999999999</v>
      </c>
      <c r="BT6" s="132" t="s">
        <v>367</v>
      </c>
      <c r="BU6" s="132"/>
      <c r="BV6" s="132"/>
      <c r="BW6" s="132" t="s">
        <v>104</v>
      </c>
      <c r="BX6" s="132" t="s">
        <v>93</v>
      </c>
      <c r="BY6" s="135" t="s">
        <v>448</v>
      </c>
      <c r="BZ6" s="132" t="s">
        <v>8</v>
      </c>
    </row>
    <row r="7" spans="1:78" ht="15" x14ac:dyDescent="0.25">
      <c r="A7" s="132">
        <v>2</v>
      </c>
      <c r="B7" s="133" t="s">
        <v>449</v>
      </c>
      <c r="C7" s="133" t="s">
        <v>163</v>
      </c>
      <c r="D7" s="133" t="s">
        <v>3</v>
      </c>
      <c r="E7" s="133" t="s">
        <v>450</v>
      </c>
      <c r="F7" s="133" t="s">
        <v>370</v>
      </c>
      <c r="G7" s="133" t="s">
        <v>451</v>
      </c>
      <c r="H7" s="133"/>
      <c r="I7" s="133" t="s">
        <v>452</v>
      </c>
      <c r="J7" s="133" t="s">
        <v>453</v>
      </c>
      <c r="K7" s="133" t="s">
        <v>104</v>
      </c>
      <c r="L7" s="133" t="s">
        <v>92</v>
      </c>
      <c r="M7" s="134">
        <v>45141</v>
      </c>
      <c r="N7" s="133" t="s">
        <v>164</v>
      </c>
      <c r="O7" s="133" t="s">
        <v>164</v>
      </c>
      <c r="P7" s="133" t="s">
        <v>93</v>
      </c>
      <c r="Q7" s="133" t="s">
        <v>93</v>
      </c>
      <c r="R7" s="133" t="s">
        <v>104</v>
      </c>
      <c r="S7" s="132">
        <v>6</v>
      </c>
      <c r="T7" s="141">
        <v>46243</v>
      </c>
      <c r="U7" s="132" t="s">
        <v>454</v>
      </c>
      <c r="V7" s="132" t="s">
        <v>455</v>
      </c>
      <c r="W7" s="135">
        <v>50</v>
      </c>
      <c r="X7" s="132" t="s">
        <v>262</v>
      </c>
      <c r="Y7" s="133" t="s">
        <v>329</v>
      </c>
      <c r="Z7" s="133" t="s">
        <v>456</v>
      </c>
      <c r="AA7" s="133" t="s">
        <v>165</v>
      </c>
      <c r="AB7" s="132">
        <v>1.5</v>
      </c>
      <c r="AC7" s="133" t="s">
        <v>95</v>
      </c>
      <c r="AD7" s="136" t="s">
        <v>258</v>
      </c>
      <c r="AE7" s="132" t="s">
        <v>347</v>
      </c>
      <c r="AF7" s="132">
        <v>100</v>
      </c>
      <c r="AG7" s="133" t="s">
        <v>104</v>
      </c>
      <c r="AH7" s="133"/>
      <c r="AI7" s="136"/>
      <c r="AJ7" s="136"/>
      <c r="AK7" s="132"/>
      <c r="AL7" s="132"/>
      <c r="AM7" s="132"/>
      <c r="AN7" s="132" t="s">
        <v>457</v>
      </c>
      <c r="AO7" s="133"/>
      <c r="AP7" s="133"/>
      <c r="AQ7" s="133" t="s">
        <v>458</v>
      </c>
      <c r="AR7" s="133" t="s">
        <v>459</v>
      </c>
      <c r="AS7" s="132">
        <v>1000</v>
      </c>
      <c r="AT7" s="132">
        <v>150000000</v>
      </c>
      <c r="AU7" s="141">
        <v>45147</v>
      </c>
      <c r="AV7" s="141"/>
      <c r="AW7" s="132">
        <v>6</v>
      </c>
      <c r="AX7" s="136" t="s">
        <v>104</v>
      </c>
      <c r="AY7" s="141">
        <v>45331</v>
      </c>
      <c r="AZ7" s="133" t="s">
        <v>449</v>
      </c>
      <c r="BA7" s="133" t="s">
        <v>104</v>
      </c>
      <c r="BB7" s="141">
        <v>45147</v>
      </c>
      <c r="BC7" s="135" t="s">
        <v>455</v>
      </c>
      <c r="BD7" s="141">
        <v>45147</v>
      </c>
      <c r="BE7" s="133" t="s">
        <v>336</v>
      </c>
      <c r="BF7" s="133" t="s">
        <v>460</v>
      </c>
      <c r="BG7" s="132" t="s">
        <v>461</v>
      </c>
      <c r="BH7" s="133" t="s">
        <v>166</v>
      </c>
      <c r="BI7" s="133" t="s">
        <v>166</v>
      </c>
      <c r="BJ7" s="133" t="s">
        <v>167</v>
      </c>
      <c r="BK7" s="133" t="s">
        <v>168</v>
      </c>
      <c r="BL7" s="133" t="s">
        <v>169</v>
      </c>
      <c r="BM7" s="133" t="s">
        <v>104</v>
      </c>
      <c r="BN7" s="133" t="s">
        <v>170</v>
      </c>
      <c r="BO7" s="133" t="s">
        <v>104</v>
      </c>
      <c r="BP7" s="132" t="s">
        <v>20</v>
      </c>
      <c r="BQ7" s="132">
        <v>1.5</v>
      </c>
      <c r="BR7" s="132">
        <v>10.763999999999999</v>
      </c>
      <c r="BS7" s="132">
        <v>11.71</v>
      </c>
      <c r="BT7" s="132" t="s">
        <v>367</v>
      </c>
      <c r="BU7" s="132"/>
      <c r="BV7" s="132"/>
      <c r="BW7" s="132" t="s">
        <v>104</v>
      </c>
      <c r="BX7" s="132" t="s">
        <v>93</v>
      </c>
      <c r="BY7" s="135" t="s">
        <v>462</v>
      </c>
      <c r="BZ7" s="132" t="s">
        <v>8</v>
      </c>
    </row>
    <row r="8" spans="1:78" ht="15" x14ac:dyDescent="0.25">
      <c r="A8" s="132">
        <v>3</v>
      </c>
      <c r="B8" s="133" t="s">
        <v>468</v>
      </c>
      <c r="C8" s="133" t="s">
        <v>469</v>
      </c>
      <c r="D8" s="133" t="s">
        <v>3</v>
      </c>
      <c r="E8" s="133" t="s">
        <v>470</v>
      </c>
      <c r="F8" s="133" t="s">
        <v>259</v>
      </c>
      <c r="G8" s="133" t="s">
        <v>471</v>
      </c>
      <c r="H8" s="133"/>
      <c r="I8" s="133" t="s">
        <v>685</v>
      </c>
      <c r="J8" s="133" t="s">
        <v>686</v>
      </c>
      <c r="K8" s="133" t="s">
        <v>104</v>
      </c>
      <c r="L8" s="133" t="s">
        <v>199</v>
      </c>
      <c r="M8" s="134">
        <v>45140</v>
      </c>
      <c r="N8" s="133" t="s">
        <v>474</v>
      </c>
      <c r="O8" s="133" t="s">
        <v>261</v>
      </c>
      <c r="P8" s="133" t="s">
        <v>93</v>
      </c>
      <c r="Q8" s="133" t="s">
        <v>93</v>
      </c>
      <c r="R8" s="133" t="s">
        <v>104</v>
      </c>
      <c r="S8" s="132">
        <v>2.2158000000000002</v>
      </c>
      <c r="T8" s="141">
        <v>46007</v>
      </c>
      <c r="U8" s="132" t="s">
        <v>104</v>
      </c>
      <c r="V8" s="132" t="s">
        <v>104</v>
      </c>
      <c r="W8" s="135"/>
      <c r="X8" s="132" t="s">
        <v>262</v>
      </c>
      <c r="Y8" s="133" t="s">
        <v>328</v>
      </c>
      <c r="Z8" s="133" t="s">
        <v>104</v>
      </c>
      <c r="AA8" s="133" t="s">
        <v>165</v>
      </c>
      <c r="AB8" s="132">
        <v>60</v>
      </c>
      <c r="AC8" s="133" t="s">
        <v>121</v>
      </c>
      <c r="AD8" s="136" t="s">
        <v>687</v>
      </c>
      <c r="AE8" s="132" t="s">
        <v>688</v>
      </c>
      <c r="AF8" s="132">
        <v>100</v>
      </c>
      <c r="AG8" s="133" t="s">
        <v>371</v>
      </c>
      <c r="AH8" s="133"/>
      <c r="AI8" s="136"/>
      <c r="AJ8" s="136"/>
      <c r="AK8" s="132"/>
      <c r="AL8" s="132"/>
      <c r="AM8" s="132"/>
      <c r="AN8" s="132"/>
      <c r="AO8" s="133"/>
      <c r="AP8" s="133"/>
      <c r="AQ8" s="133" t="s">
        <v>104</v>
      </c>
      <c r="AR8" s="133" t="s">
        <v>477</v>
      </c>
      <c r="AS8" s="132">
        <v>500000</v>
      </c>
      <c r="AT8" s="132">
        <v>12000000000</v>
      </c>
      <c r="AU8" s="141">
        <v>45093</v>
      </c>
      <c r="AV8" s="141"/>
      <c r="AW8" s="132">
        <v>2.2158000000000002</v>
      </c>
      <c r="AX8" s="136" t="s">
        <v>104</v>
      </c>
      <c r="AY8" s="141">
        <v>45276</v>
      </c>
      <c r="AZ8" s="133" t="s">
        <v>478</v>
      </c>
      <c r="BA8" s="133" t="s">
        <v>104</v>
      </c>
      <c r="BB8" s="141">
        <v>45093</v>
      </c>
      <c r="BC8" s="135"/>
      <c r="BD8" s="141">
        <v>45093</v>
      </c>
      <c r="BE8" s="133" t="s">
        <v>104</v>
      </c>
      <c r="BF8" s="133" t="s">
        <v>104</v>
      </c>
      <c r="BG8" s="132" t="s">
        <v>104</v>
      </c>
      <c r="BH8" s="133" t="s">
        <v>166</v>
      </c>
      <c r="BI8" s="133" t="s">
        <v>166</v>
      </c>
      <c r="BJ8" s="133" t="s">
        <v>167</v>
      </c>
      <c r="BK8" s="133" t="s">
        <v>168</v>
      </c>
      <c r="BL8" s="133" t="s">
        <v>689</v>
      </c>
      <c r="BM8" s="133" t="s">
        <v>104</v>
      </c>
      <c r="BN8" s="133" t="s">
        <v>170</v>
      </c>
      <c r="BO8" s="133" t="s">
        <v>104</v>
      </c>
      <c r="BP8" s="132" t="s">
        <v>13</v>
      </c>
      <c r="BQ8" s="132">
        <v>8.34</v>
      </c>
      <c r="BR8" s="132">
        <v>60</v>
      </c>
      <c r="BS8" s="132">
        <v>64.98</v>
      </c>
      <c r="BT8" s="132" t="s">
        <v>367</v>
      </c>
      <c r="BU8" s="132"/>
      <c r="BV8" s="132"/>
      <c r="BW8" s="132" t="s">
        <v>104</v>
      </c>
      <c r="BX8" s="132" t="s">
        <v>580</v>
      </c>
      <c r="BY8" s="135" t="s">
        <v>690</v>
      </c>
      <c r="BZ8" s="132" t="s">
        <v>8</v>
      </c>
    </row>
    <row r="9" spans="1:78" ht="15" x14ac:dyDescent="0.25">
      <c r="A9" s="116">
        <v>4</v>
      </c>
      <c r="B9" s="139" t="s">
        <v>468</v>
      </c>
      <c r="C9" s="139" t="s">
        <v>469</v>
      </c>
      <c r="D9" s="139" t="s">
        <v>3</v>
      </c>
      <c r="E9" s="139" t="s">
        <v>470</v>
      </c>
      <c r="F9" s="139" t="s">
        <v>259</v>
      </c>
      <c r="G9" s="139" t="s">
        <v>471</v>
      </c>
      <c r="H9" s="139"/>
      <c r="I9" s="139" t="s">
        <v>691</v>
      </c>
      <c r="J9" s="139" t="s">
        <v>692</v>
      </c>
      <c r="K9" s="139" t="s">
        <v>104</v>
      </c>
      <c r="L9" s="139" t="s">
        <v>199</v>
      </c>
      <c r="M9" s="140">
        <v>45140</v>
      </c>
      <c r="N9" s="139" t="s">
        <v>474</v>
      </c>
      <c r="O9" s="139" t="s">
        <v>261</v>
      </c>
      <c r="P9" s="139" t="s">
        <v>93</v>
      </c>
      <c r="Q9" s="139" t="s">
        <v>93</v>
      </c>
      <c r="R9" s="139" t="s">
        <v>104</v>
      </c>
      <c r="S9" s="116">
        <v>2.2995000000000001</v>
      </c>
      <c r="T9" s="142">
        <v>46372</v>
      </c>
      <c r="U9" s="116" t="s">
        <v>104</v>
      </c>
      <c r="V9" s="116" t="s">
        <v>104</v>
      </c>
      <c r="W9" s="118"/>
      <c r="X9" s="116" t="s">
        <v>262</v>
      </c>
      <c r="Y9" s="139" t="s">
        <v>328</v>
      </c>
      <c r="Z9" s="139" t="s">
        <v>104</v>
      </c>
      <c r="AA9" s="139" t="s">
        <v>165</v>
      </c>
      <c r="AB9" s="116">
        <v>30</v>
      </c>
      <c r="AC9" s="139" t="s">
        <v>121</v>
      </c>
      <c r="AD9" s="143" t="s">
        <v>258</v>
      </c>
      <c r="AE9" s="116" t="s">
        <v>693</v>
      </c>
      <c r="AF9" s="116">
        <v>100</v>
      </c>
      <c r="AG9" s="139" t="s">
        <v>371</v>
      </c>
      <c r="AH9" s="139"/>
      <c r="AI9" s="136"/>
      <c r="AJ9" s="136"/>
      <c r="AK9" s="116"/>
      <c r="AL9" s="116"/>
      <c r="AM9" s="116"/>
      <c r="AN9" s="116"/>
      <c r="AO9" s="139"/>
      <c r="AP9" s="139"/>
      <c r="AQ9" s="139" t="s">
        <v>104</v>
      </c>
      <c r="AR9" s="139" t="s">
        <v>477</v>
      </c>
      <c r="AS9" s="116">
        <v>500000</v>
      </c>
      <c r="AT9" s="116">
        <v>4000000000</v>
      </c>
      <c r="AU9" s="142">
        <v>45093</v>
      </c>
      <c r="AV9" s="142"/>
      <c r="AW9" s="116">
        <v>2.2995000000000001</v>
      </c>
      <c r="AX9" s="143" t="s">
        <v>104</v>
      </c>
      <c r="AY9" s="142">
        <v>45276</v>
      </c>
      <c r="AZ9" s="139" t="s">
        <v>478</v>
      </c>
      <c r="BA9" s="139" t="s">
        <v>104</v>
      </c>
      <c r="BB9" s="142">
        <v>45093</v>
      </c>
      <c r="BC9" s="118"/>
      <c r="BD9" s="142">
        <v>45093</v>
      </c>
      <c r="BE9" s="139" t="s">
        <v>104</v>
      </c>
      <c r="BF9" s="139" t="s">
        <v>104</v>
      </c>
      <c r="BG9" s="116" t="s">
        <v>104</v>
      </c>
      <c r="BH9" s="139" t="s">
        <v>166</v>
      </c>
      <c r="BI9" s="139" t="s">
        <v>166</v>
      </c>
      <c r="BJ9" s="139" t="s">
        <v>167</v>
      </c>
      <c r="BK9" s="139" t="s">
        <v>168</v>
      </c>
      <c r="BL9" s="139" t="s">
        <v>689</v>
      </c>
      <c r="BM9" s="139" t="s">
        <v>104</v>
      </c>
      <c r="BN9" s="139" t="s">
        <v>170</v>
      </c>
      <c r="BO9" s="139" t="s">
        <v>104</v>
      </c>
      <c r="BP9" s="116" t="s">
        <v>13</v>
      </c>
      <c r="BQ9" s="116">
        <v>4.17</v>
      </c>
      <c r="BR9" s="116">
        <v>30</v>
      </c>
      <c r="BS9" s="116">
        <v>32.49</v>
      </c>
      <c r="BT9" s="116" t="s">
        <v>367</v>
      </c>
      <c r="BU9" s="116"/>
      <c r="BV9" s="116"/>
      <c r="BW9" s="116" t="s">
        <v>104</v>
      </c>
      <c r="BX9" s="116" t="s">
        <v>580</v>
      </c>
      <c r="BY9" s="118" t="s">
        <v>694</v>
      </c>
      <c r="BZ9" s="116" t="s">
        <v>8</v>
      </c>
    </row>
    <row r="10" spans="1:78" ht="15" x14ac:dyDescent="0.25">
      <c r="A10" s="116">
        <v>5</v>
      </c>
      <c r="B10" s="139" t="s">
        <v>468</v>
      </c>
      <c r="C10" s="139" t="s">
        <v>469</v>
      </c>
      <c r="D10" s="139" t="s">
        <v>3</v>
      </c>
      <c r="E10" s="139" t="s">
        <v>470</v>
      </c>
      <c r="F10" s="139" t="s">
        <v>259</v>
      </c>
      <c r="G10" s="139" t="s">
        <v>471</v>
      </c>
      <c r="H10" s="139"/>
      <c r="I10" s="139" t="s">
        <v>472</v>
      </c>
      <c r="J10" s="139" t="s">
        <v>473</v>
      </c>
      <c r="K10" s="139" t="s">
        <v>104</v>
      </c>
      <c r="L10" s="139" t="s">
        <v>199</v>
      </c>
      <c r="M10" s="140">
        <v>45140</v>
      </c>
      <c r="N10" s="139" t="s">
        <v>474</v>
      </c>
      <c r="O10" s="139" t="s">
        <v>261</v>
      </c>
      <c r="P10" s="139" t="s">
        <v>93</v>
      </c>
      <c r="Q10" s="139" t="s">
        <v>93</v>
      </c>
      <c r="R10" s="139" t="s">
        <v>104</v>
      </c>
      <c r="S10" s="116">
        <v>2.52</v>
      </c>
      <c r="T10" s="142">
        <v>46969</v>
      </c>
      <c r="U10" s="116" t="s">
        <v>104</v>
      </c>
      <c r="V10" s="116" t="s">
        <v>104</v>
      </c>
      <c r="W10" s="118"/>
      <c r="X10" s="116" t="s">
        <v>262</v>
      </c>
      <c r="Y10" s="139" t="s">
        <v>328</v>
      </c>
      <c r="Z10" s="139" t="s">
        <v>104</v>
      </c>
      <c r="AA10" s="139" t="s">
        <v>165</v>
      </c>
      <c r="AB10" s="116">
        <v>30</v>
      </c>
      <c r="AC10" s="139" t="s">
        <v>121</v>
      </c>
      <c r="AD10" s="143" t="s">
        <v>475</v>
      </c>
      <c r="AE10" s="116" t="s">
        <v>476</v>
      </c>
      <c r="AF10" s="116">
        <v>100</v>
      </c>
      <c r="AG10" s="139" t="s">
        <v>127</v>
      </c>
      <c r="AH10" s="139"/>
      <c r="AI10" s="136"/>
      <c r="AJ10" s="136"/>
      <c r="AK10" s="116"/>
      <c r="AL10" s="116"/>
      <c r="AM10" s="116"/>
      <c r="AN10" s="116"/>
      <c r="AO10" s="139"/>
      <c r="AP10" s="139"/>
      <c r="AQ10" s="139" t="s">
        <v>104</v>
      </c>
      <c r="AR10" s="139" t="s">
        <v>477</v>
      </c>
      <c r="AS10" s="116">
        <v>500000</v>
      </c>
      <c r="AT10" s="116">
        <v>3000000000</v>
      </c>
      <c r="AU10" s="142">
        <v>45142</v>
      </c>
      <c r="AV10" s="142"/>
      <c r="AW10" s="116">
        <v>2.52</v>
      </c>
      <c r="AX10" s="143" t="s">
        <v>104</v>
      </c>
      <c r="AY10" s="142">
        <v>45326</v>
      </c>
      <c r="AZ10" s="139" t="s">
        <v>478</v>
      </c>
      <c r="BA10" s="139" t="s">
        <v>104</v>
      </c>
      <c r="BB10" s="142">
        <v>45142</v>
      </c>
      <c r="BC10" s="118"/>
      <c r="BD10" s="142">
        <v>45142</v>
      </c>
      <c r="BE10" s="139" t="s">
        <v>104</v>
      </c>
      <c r="BF10" s="139" t="s">
        <v>104</v>
      </c>
      <c r="BG10" s="116" t="s">
        <v>104</v>
      </c>
      <c r="BH10" s="139" t="s">
        <v>166</v>
      </c>
      <c r="BI10" s="139" t="s">
        <v>166</v>
      </c>
      <c r="BJ10" s="139" t="s">
        <v>167</v>
      </c>
      <c r="BK10" s="139" t="s">
        <v>168</v>
      </c>
      <c r="BL10" s="139" t="s">
        <v>169</v>
      </c>
      <c r="BM10" s="139" t="s">
        <v>104</v>
      </c>
      <c r="BN10" s="139" t="s">
        <v>170</v>
      </c>
      <c r="BO10" s="139" t="s">
        <v>104</v>
      </c>
      <c r="BP10" s="116" t="s">
        <v>13</v>
      </c>
      <c r="BQ10" s="116">
        <v>4.17</v>
      </c>
      <c r="BR10" s="116">
        <v>30</v>
      </c>
      <c r="BS10" s="116">
        <v>32.49</v>
      </c>
      <c r="BT10" s="116" t="s">
        <v>367</v>
      </c>
      <c r="BU10" s="116"/>
      <c r="BV10" s="116"/>
      <c r="BW10" s="116" t="s">
        <v>104</v>
      </c>
      <c r="BX10" s="116" t="s">
        <v>580</v>
      </c>
      <c r="BY10" s="118" t="s">
        <v>479</v>
      </c>
      <c r="BZ10" s="116" t="s">
        <v>8</v>
      </c>
    </row>
    <row r="11" spans="1:78" ht="15" x14ac:dyDescent="0.25">
      <c r="A11" s="116">
        <v>6</v>
      </c>
      <c r="B11" s="139" t="s">
        <v>492</v>
      </c>
      <c r="C11" s="139" t="s">
        <v>163</v>
      </c>
      <c r="D11" s="139" t="s">
        <v>94</v>
      </c>
      <c r="E11" s="139" t="s">
        <v>493</v>
      </c>
      <c r="F11" s="139" t="s">
        <v>494</v>
      </c>
      <c r="G11" s="139" t="s">
        <v>495</v>
      </c>
      <c r="H11" s="139"/>
      <c r="I11" s="139" t="s">
        <v>496</v>
      </c>
      <c r="J11" s="139" t="s">
        <v>497</v>
      </c>
      <c r="K11" s="139" t="s">
        <v>104</v>
      </c>
      <c r="L11" s="139" t="s">
        <v>199</v>
      </c>
      <c r="M11" s="140">
        <v>45140</v>
      </c>
      <c r="N11" s="139" t="s">
        <v>498</v>
      </c>
      <c r="O11" s="139" t="s">
        <v>261</v>
      </c>
      <c r="P11" s="139" t="s">
        <v>93</v>
      </c>
      <c r="Q11" s="139" t="s">
        <v>93</v>
      </c>
      <c r="R11" s="139" t="s">
        <v>335</v>
      </c>
      <c r="S11" s="116">
        <v>5.25</v>
      </c>
      <c r="T11" s="142">
        <v>46243</v>
      </c>
      <c r="U11" s="116" t="s">
        <v>499</v>
      </c>
      <c r="V11" s="116" t="s">
        <v>500</v>
      </c>
      <c r="W11" s="118">
        <v>30</v>
      </c>
      <c r="X11" s="116" t="s">
        <v>262</v>
      </c>
      <c r="Y11" s="139" t="s">
        <v>46</v>
      </c>
      <c r="Z11" s="139" t="s">
        <v>104</v>
      </c>
      <c r="AA11" s="139" t="s">
        <v>165</v>
      </c>
      <c r="AB11" s="116">
        <v>8</v>
      </c>
      <c r="AC11" s="139" t="s">
        <v>95</v>
      </c>
      <c r="AD11" s="143" t="s">
        <v>258</v>
      </c>
      <c r="AE11" s="116" t="s">
        <v>347</v>
      </c>
      <c r="AF11" s="116">
        <v>99.813999999999993</v>
      </c>
      <c r="AG11" s="139" t="s">
        <v>371</v>
      </c>
      <c r="AH11" s="139"/>
      <c r="AI11" s="136"/>
      <c r="AJ11" s="136"/>
      <c r="AK11" s="116"/>
      <c r="AL11" s="116"/>
      <c r="AM11" s="116"/>
      <c r="AN11" s="116" t="s">
        <v>501</v>
      </c>
      <c r="AO11" s="139"/>
      <c r="AP11" s="139"/>
      <c r="AQ11" s="139" t="s">
        <v>502</v>
      </c>
      <c r="AR11" s="139" t="s">
        <v>503</v>
      </c>
      <c r="AS11" s="116">
        <v>1000</v>
      </c>
      <c r="AT11" s="116">
        <v>800000000</v>
      </c>
      <c r="AU11" s="142">
        <v>45147</v>
      </c>
      <c r="AV11" s="142"/>
      <c r="AW11" s="116">
        <v>5.25</v>
      </c>
      <c r="AX11" s="143" t="s">
        <v>104</v>
      </c>
      <c r="AY11" s="142">
        <v>45331</v>
      </c>
      <c r="AZ11" s="139" t="s">
        <v>504</v>
      </c>
      <c r="BA11" s="139" t="s">
        <v>492</v>
      </c>
      <c r="BB11" s="142">
        <v>45147</v>
      </c>
      <c r="BC11" s="118" t="s">
        <v>505</v>
      </c>
      <c r="BD11" s="142">
        <v>45147</v>
      </c>
      <c r="BE11" s="139" t="s">
        <v>104</v>
      </c>
      <c r="BF11" s="139" t="s">
        <v>506</v>
      </c>
      <c r="BG11" s="116" t="s">
        <v>507</v>
      </c>
      <c r="BH11" s="139" t="s">
        <v>166</v>
      </c>
      <c r="BI11" s="139" t="s">
        <v>166</v>
      </c>
      <c r="BJ11" s="139" t="s">
        <v>167</v>
      </c>
      <c r="BK11" s="139" t="s">
        <v>168</v>
      </c>
      <c r="BL11" s="139" t="s">
        <v>169</v>
      </c>
      <c r="BM11" s="139" t="s">
        <v>104</v>
      </c>
      <c r="BN11" s="139" t="s">
        <v>170</v>
      </c>
      <c r="BO11" s="139" t="s">
        <v>104</v>
      </c>
      <c r="BP11" s="116" t="s">
        <v>18</v>
      </c>
      <c r="BQ11" s="116">
        <v>8</v>
      </c>
      <c r="BR11" s="116">
        <v>57.64</v>
      </c>
      <c r="BS11" s="116">
        <v>62.415999999999997</v>
      </c>
      <c r="BT11" s="116" t="s">
        <v>581</v>
      </c>
      <c r="BU11" s="116"/>
      <c r="BV11" s="116">
        <v>75</v>
      </c>
      <c r="BW11" s="116" t="s">
        <v>104</v>
      </c>
      <c r="BX11" s="116" t="s">
        <v>582</v>
      </c>
      <c r="BY11" s="118" t="s">
        <v>508</v>
      </c>
      <c r="BZ11" s="116" t="s">
        <v>8</v>
      </c>
    </row>
    <row r="12" spans="1:78" ht="15" x14ac:dyDescent="0.25">
      <c r="A12" s="116">
        <v>7</v>
      </c>
      <c r="B12" s="139" t="s">
        <v>528</v>
      </c>
      <c r="C12" s="139" t="s">
        <v>163</v>
      </c>
      <c r="D12" s="139" t="s">
        <v>2</v>
      </c>
      <c r="E12" s="139" t="s">
        <v>346</v>
      </c>
      <c r="F12" s="139" t="s">
        <v>529</v>
      </c>
      <c r="G12" s="139" t="s">
        <v>530</v>
      </c>
      <c r="H12" s="139"/>
      <c r="I12" s="139" t="s">
        <v>531</v>
      </c>
      <c r="J12" s="139" t="s">
        <v>532</v>
      </c>
      <c r="K12" s="139" t="s">
        <v>104</v>
      </c>
      <c r="L12" s="139" t="s">
        <v>92</v>
      </c>
      <c r="M12" s="140">
        <v>45139</v>
      </c>
      <c r="N12" s="139" t="s">
        <v>164</v>
      </c>
      <c r="O12" s="139" t="s">
        <v>164</v>
      </c>
      <c r="P12" s="139" t="s">
        <v>93</v>
      </c>
      <c r="Q12" s="139" t="s">
        <v>93</v>
      </c>
      <c r="R12" s="139" t="s">
        <v>533</v>
      </c>
      <c r="S12" s="116">
        <v>4.9000000000000004</v>
      </c>
      <c r="T12" s="142">
        <v>46243</v>
      </c>
      <c r="U12" s="116" t="s">
        <v>104</v>
      </c>
      <c r="V12" s="116" t="s">
        <v>534</v>
      </c>
      <c r="W12" s="118"/>
      <c r="X12" s="116" t="s">
        <v>262</v>
      </c>
      <c r="Y12" s="139" t="s">
        <v>329</v>
      </c>
      <c r="Z12" s="139" t="s">
        <v>535</v>
      </c>
      <c r="AA12" s="139" t="s">
        <v>165</v>
      </c>
      <c r="AB12" s="116">
        <v>1.97</v>
      </c>
      <c r="AC12" s="139" t="s">
        <v>121</v>
      </c>
      <c r="AD12" s="143" t="s">
        <v>258</v>
      </c>
      <c r="AE12" s="116" t="s">
        <v>347</v>
      </c>
      <c r="AF12" s="116">
        <v>100</v>
      </c>
      <c r="AG12" s="139" t="s">
        <v>536</v>
      </c>
      <c r="AH12" s="139"/>
      <c r="AI12" s="143"/>
      <c r="AJ12" s="143"/>
      <c r="AK12" s="116"/>
      <c r="AL12" s="116"/>
      <c r="AM12" s="116"/>
      <c r="AN12" s="116" t="s">
        <v>537</v>
      </c>
      <c r="AO12" s="139"/>
      <c r="AP12" s="139"/>
      <c r="AQ12" s="139" t="s">
        <v>538</v>
      </c>
      <c r="AR12" s="139" t="s">
        <v>539</v>
      </c>
      <c r="AS12" s="116">
        <v>10000</v>
      </c>
      <c r="AT12" s="116">
        <v>197000000</v>
      </c>
      <c r="AU12" s="142">
        <v>45147</v>
      </c>
      <c r="AV12" s="142"/>
      <c r="AW12" s="116">
        <v>4.9000000000000004</v>
      </c>
      <c r="AX12" s="143" t="s">
        <v>104</v>
      </c>
      <c r="AY12" s="142">
        <v>45331</v>
      </c>
      <c r="AZ12" s="139" t="s">
        <v>528</v>
      </c>
      <c r="BA12" s="139" t="s">
        <v>104</v>
      </c>
      <c r="BB12" s="142">
        <v>45147</v>
      </c>
      <c r="BC12" s="118" t="s">
        <v>534</v>
      </c>
      <c r="BD12" s="142">
        <v>45147</v>
      </c>
      <c r="BE12" s="139" t="s">
        <v>540</v>
      </c>
      <c r="BF12" s="139" t="s">
        <v>104</v>
      </c>
      <c r="BG12" s="116" t="s">
        <v>538</v>
      </c>
      <c r="BH12" s="139" t="s">
        <v>166</v>
      </c>
      <c r="BI12" s="139" t="s">
        <v>166</v>
      </c>
      <c r="BJ12" s="139" t="s">
        <v>167</v>
      </c>
      <c r="BK12" s="139" t="s">
        <v>168</v>
      </c>
      <c r="BL12" s="139" t="s">
        <v>169</v>
      </c>
      <c r="BM12" s="139" t="s">
        <v>104</v>
      </c>
      <c r="BN12" s="139" t="s">
        <v>170</v>
      </c>
      <c r="BO12" s="139" t="s">
        <v>104</v>
      </c>
      <c r="BP12" s="116" t="s">
        <v>12</v>
      </c>
      <c r="BQ12" s="116">
        <v>0.27400000000000002</v>
      </c>
      <c r="BR12" s="116">
        <v>1.97</v>
      </c>
      <c r="BS12" s="116">
        <v>2.137</v>
      </c>
      <c r="BT12" s="116" t="s">
        <v>367</v>
      </c>
      <c r="BU12" s="116"/>
      <c r="BV12" s="116"/>
      <c r="BW12" s="116" t="s">
        <v>104</v>
      </c>
      <c r="BX12" s="116" t="s">
        <v>93</v>
      </c>
      <c r="BY12" s="118" t="s">
        <v>541</v>
      </c>
      <c r="BZ12" s="116" t="s">
        <v>8</v>
      </c>
    </row>
    <row r="13" spans="1:78" ht="15" x14ac:dyDescent="0.25">
      <c r="A13" s="116">
        <v>8</v>
      </c>
      <c r="B13" s="139" t="s">
        <v>555</v>
      </c>
      <c r="C13" s="139" t="s">
        <v>556</v>
      </c>
      <c r="D13" s="139" t="s">
        <v>94</v>
      </c>
      <c r="E13" s="139" t="s">
        <v>316</v>
      </c>
      <c r="F13" s="139" t="s">
        <v>259</v>
      </c>
      <c r="G13" s="139"/>
      <c r="H13" s="139"/>
      <c r="I13" s="139" t="s">
        <v>557</v>
      </c>
      <c r="J13" s="139" t="s">
        <v>558</v>
      </c>
      <c r="K13" s="139" t="s">
        <v>104</v>
      </c>
      <c r="L13" s="139" t="s">
        <v>199</v>
      </c>
      <c r="M13" s="140">
        <v>45138</v>
      </c>
      <c r="N13" s="139" t="s">
        <v>498</v>
      </c>
      <c r="O13" s="139" t="s">
        <v>559</v>
      </c>
      <c r="P13" s="139" t="s">
        <v>93</v>
      </c>
      <c r="Q13" s="139" t="s">
        <v>93</v>
      </c>
      <c r="R13" s="139" t="s">
        <v>335</v>
      </c>
      <c r="S13" s="116">
        <v>5.75</v>
      </c>
      <c r="T13" s="142">
        <v>46425</v>
      </c>
      <c r="U13" s="116" t="s">
        <v>560</v>
      </c>
      <c r="V13" s="116" t="s">
        <v>561</v>
      </c>
      <c r="W13" s="118">
        <v>45</v>
      </c>
      <c r="X13" s="116" t="s">
        <v>262</v>
      </c>
      <c r="Y13" s="139" t="s">
        <v>46</v>
      </c>
      <c r="Z13" s="139" t="s">
        <v>104</v>
      </c>
      <c r="AA13" s="139" t="s">
        <v>165</v>
      </c>
      <c r="AB13" s="116">
        <v>4</v>
      </c>
      <c r="AC13" s="139" t="s">
        <v>95</v>
      </c>
      <c r="AD13" s="143" t="s">
        <v>562</v>
      </c>
      <c r="AE13" s="116" t="s">
        <v>563</v>
      </c>
      <c r="AF13" s="116">
        <v>99.721999999999994</v>
      </c>
      <c r="AG13" s="139" t="s">
        <v>371</v>
      </c>
      <c r="AH13" s="139" t="s">
        <v>564</v>
      </c>
      <c r="AI13" s="143">
        <v>29</v>
      </c>
      <c r="AJ13" s="143">
        <v>7.3</v>
      </c>
      <c r="AK13" s="116" t="s">
        <v>565</v>
      </c>
      <c r="AL13" s="116" t="s">
        <v>566</v>
      </c>
      <c r="AM13" s="116" t="s">
        <v>567</v>
      </c>
      <c r="AN13" s="116" t="s">
        <v>568</v>
      </c>
      <c r="AO13" s="139" t="s">
        <v>569</v>
      </c>
      <c r="AP13" s="139" t="s">
        <v>570</v>
      </c>
      <c r="AQ13" s="139" t="s">
        <v>571</v>
      </c>
      <c r="AR13" s="139" t="s">
        <v>572</v>
      </c>
      <c r="AS13" s="116">
        <v>1000</v>
      </c>
      <c r="AT13" s="116">
        <v>400000000</v>
      </c>
      <c r="AU13" s="142">
        <v>45145</v>
      </c>
      <c r="AV13" s="142">
        <v>45145</v>
      </c>
      <c r="AW13" s="116">
        <v>5.75</v>
      </c>
      <c r="AX13" s="143" t="s">
        <v>104</v>
      </c>
      <c r="AY13" s="142">
        <v>45329</v>
      </c>
      <c r="AZ13" s="139" t="s">
        <v>573</v>
      </c>
      <c r="BA13" s="139" t="s">
        <v>555</v>
      </c>
      <c r="BB13" s="142">
        <v>45145</v>
      </c>
      <c r="BC13" s="118" t="s">
        <v>574</v>
      </c>
      <c r="BD13" s="142">
        <v>45145</v>
      </c>
      <c r="BE13" s="139" t="s">
        <v>372</v>
      </c>
      <c r="BF13" s="139" t="s">
        <v>575</v>
      </c>
      <c r="BG13" s="116" t="s">
        <v>576</v>
      </c>
      <c r="BH13" s="139" t="s">
        <v>166</v>
      </c>
      <c r="BI13" s="139" t="s">
        <v>166</v>
      </c>
      <c r="BJ13" s="139" t="s">
        <v>167</v>
      </c>
      <c r="BK13" s="139" t="s">
        <v>168</v>
      </c>
      <c r="BL13" s="139" t="s">
        <v>577</v>
      </c>
      <c r="BM13" s="139" t="s">
        <v>104</v>
      </c>
      <c r="BN13" s="139" t="s">
        <v>170</v>
      </c>
      <c r="BO13" s="139" t="s">
        <v>104</v>
      </c>
      <c r="BP13" s="116" t="s">
        <v>13</v>
      </c>
      <c r="BQ13" s="116">
        <v>4</v>
      </c>
      <c r="BR13" s="116">
        <v>28.576000000000001</v>
      </c>
      <c r="BS13" s="116">
        <v>31.196000000000002</v>
      </c>
      <c r="BT13" s="116" t="s">
        <v>581</v>
      </c>
      <c r="BU13" s="116"/>
      <c r="BV13" s="116">
        <v>130</v>
      </c>
      <c r="BW13" s="116" t="s">
        <v>104</v>
      </c>
      <c r="BX13" s="116" t="s">
        <v>583</v>
      </c>
      <c r="BY13" s="118" t="s">
        <v>578</v>
      </c>
      <c r="BZ13" s="116" t="s">
        <v>8</v>
      </c>
    </row>
    <row r="14" spans="1:78" ht="11.25" x14ac:dyDescent="0.25"/>
    <row r="15" spans="1:78" ht="11.25" x14ac:dyDescent="0.25"/>
    <row r="16" spans="1:78" ht="11.25" x14ac:dyDescent="0.25"/>
    <row r="17" ht="11.25" x14ac:dyDescent="0.25"/>
    <row r="18" ht="11.25" x14ac:dyDescent="0.25"/>
    <row r="19" ht="11.25" x14ac:dyDescent="0.25"/>
    <row r="20" ht="11.25" x14ac:dyDescent="0.25"/>
    <row r="21" ht="11.25" x14ac:dyDescent="0.25"/>
    <row r="22" ht="11.25" x14ac:dyDescent="0.25"/>
    <row r="23" ht="11.25" x14ac:dyDescent="0.25"/>
    <row r="24" ht="11.25" x14ac:dyDescent="0.25"/>
    <row r="25" ht="11.25" x14ac:dyDescent="0.25"/>
    <row r="26" ht="11.25" x14ac:dyDescent="0.25"/>
    <row r="27" ht="11.25" x14ac:dyDescent="0.25"/>
    <row r="28" ht="11.25" x14ac:dyDescent="0.25"/>
  </sheetData>
  <phoneticPr fontId="16" type="noConversion"/>
  <dataValidations count="1">
    <dataValidation type="list" allowBlank="1" showInputMessage="1" showErrorMessage="1" sqref="I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10"/>
  <sheetViews>
    <sheetView workbookViewId="0">
      <selection activeCell="C6" sqref="C6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30.44140625" style="1" bestFit="1" customWidth="1"/>
    <col min="4" max="4" width="6.109375" style="1" bestFit="1" customWidth="1"/>
    <col min="5" max="5" width="7.77734375" style="1" bestFit="1" customWidth="1"/>
    <col min="6" max="7" width="6.109375" style="1" bestFit="1" customWidth="1"/>
    <col min="8" max="8" width="9.44140625" style="1" bestFit="1" customWidth="1"/>
    <col min="9" max="11" width="6.109375" style="1" bestFit="1" customWidth="1"/>
    <col min="12" max="16384" width="8.88671875" style="1"/>
  </cols>
  <sheetData>
    <row r="1" spans="1:10" ht="58.5" customHeight="1" x14ac:dyDescent="0.55000000000000004">
      <c r="A1" s="86" t="s">
        <v>330</v>
      </c>
    </row>
    <row r="5" spans="1:10" x14ac:dyDescent="0.25">
      <c r="A5" t="s">
        <v>57</v>
      </c>
      <c r="B5" t="s">
        <v>56</v>
      </c>
      <c r="C5" t="s">
        <v>55</v>
      </c>
      <c r="D5" t="s">
        <v>97</v>
      </c>
      <c r="E5" t="s">
        <v>228</v>
      </c>
      <c r="F5" t="s">
        <v>73</v>
      </c>
      <c r="G5" t="s">
        <v>51</v>
      </c>
      <c r="H5" t="s">
        <v>105</v>
      </c>
      <c r="I5" t="s">
        <v>122</v>
      </c>
      <c r="J5" t="s">
        <v>143</v>
      </c>
    </row>
    <row r="6" spans="1:10" x14ac:dyDescent="0.25">
      <c r="A6" s="138">
        <v>45140</v>
      </c>
      <c r="B6" t="s">
        <v>514</v>
      </c>
      <c r="C6" t="s">
        <v>513</v>
      </c>
      <c r="D6">
        <v>0.5</v>
      </c>
      <c r="E6">
        <v>2</v>
      </c>
      <c r="F6" t="s">
        <v>95</v>
      </c>
      <c r="G6" t="s">
        <v>94</v>
      </c>
      <c r="H6" t="s">
        <v>141</v>
      </c>
      <c r="I6" t="s">
        <v>282</v>
      </c>
      <c r="J6" t="s">
        <v>284</v>
      </c>
    </row>
    <row r="7" spans="1:10" x14ac:dyDescent="0.25">
      <c r="A7" s="138">
        <v>45140</v>
      </c>
      <c r="B7" t="s">
        <v>482</v>
      </c>
      <c r="C7" t="s">
        <v>481</v>
      </c>
      <c r="D7">
        <v>5</v>
      </c>
      <c r="E7">
        <v>1.5</v>
      </c>
      <c r="F7" t="s">
        <v>95</v>
      </c>
      <c r="G7" t="s">
        <v>94</v>
      </c>
      <c r="H7" t="s">
        <v>141</v>
      </c>
      <c r="I7" t="s">
        <v>282</v>
      </c>
      <c r="J7" t="s">
        <v>579</v>
      </c>
    </row>
    <row r="8" spans="1:10" x14ac:dyDescent="0.25">
      <c r="A8" s="138">
        <v>45139</v>
      </c>
      <c r="B8" t="s">
        <v>523</v>
      </c>
      <c r="C8" t="s">
        <v>522</v>
      </c>
      <c r="D8">
        <v>5</v>
      </c>
      <c r="E8">
        <v>1.05</v>
      </c>
      <c r="F8" t="s">
        <v>95</v>
      </c>
      <c r="G8" t="s">
        <v>94</v>
      </c>
      <c r="H8" t="s">
        <v>141</v>
      </c>
      <c r="I8" t="s">
        <v>282</v>
      </c>
      <c r="J8" t="s">
        <v>579</v>
      </c>
    </row>
    <row r="9" spans="1:10" x14ac:dyDescent="0.25">
      <c r="A9" s="138">
        <v>45139</v>
      </c>
      <c r="B9" t="s">
        <v>520</v>
      </c>
      <c r="C9" t="s">
        <v>519</v>
      </c>
      <c r="D9">
        <v>3</v>
      </c>
      <c r="E9">
        <v>0.5</v>
      </c>
      <c r="F9" t="s">
        <v>95</v>
      </c>
      <c r="G9" t="s">
        <v>94</v>
      </c>
      <c r="H9" t="s">
        <v>141</v>
      </c>
      <c r="I9" t="s">
        <v>282</v>
      </c>
      <c r="J9" t="s">
        <v>283</v>
      </c>
    </row>
    <row r="10" spans="1:10" x14ac:dyDescent="0.25">
      <c r="A10" s="138">
        <v>45138</v>
      </c>
      <c r="B10" t="s">
        <v>546</v>
      </c>
      <c r="C10" t="s">
        <v>545</v>
      </c>
      <c r="D10">
        <v>0.3</v>
      </c>
      <c r="E10">
        <v>0.05</v>
      </c>
      <c r="F10" t="s">
        <v>95</v>
      </c>
      <c r="G10" t="s">
        <v>94</v>
      </c>
      <c r="H10" t="s">
        <v>141</v>
      </c>
      <c r="I10" t="s">
        <v>282</v>
      </c>
      <c r="J10" t="s">
        <v>284</v>
      </c>
    </row>
  </sheetData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66E9-383B-46B9-BDCD-0B817E2C4E37}">
  <sheetPr codeName="Sheet12">
    <tabColor rgb="FFE1E1E9"/>
  </sheetPr>
  <dimension ref="A1"/>
  <sheetViews>
    <sheetView workbookViewId="0">
      <selection activeCell="K5" sqref="K5"/>
    </sheetView>
  </sheetViews>
  <sheetFormatPr defaultRowHeight="15" x14ac:dyDescent="0.25"/>
  <cols>
    <col min="1" max="16384" width="8.8867187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T73"/>
  <sheetViews>
    <sheetView topLeftCell="AB1" zoomScale="85" zoomScaleNormal="100" workbookViewId="0">
      <selection activeCell="AH11" sqref="AH11:AK12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44140625" style="3" bestFit="1" customWidth="1"/>
    <col min="4" max="4" width="24.77734375" style="3" bestFit="1" customWidth="1"/>
    <col min="5" max="5" width="11.77734375" style="3" bestFit="1" customWidth="1"/>
    <col min="6" max="6" width="9.44140625" style="3" bestFit="1" customWidth="1"/>
    <col min="7" max="7" width="6.109375" style="3" bestFit="1" customWidth="1" outlineLevel="1"/>
    <col min="8" max="8" width="12.77734375" style="3" bestFit="1" customWidth="1" outlineLevel="1"/>
    <col min="9" max="9" width="6.109375" style="3" bestFit="1" customWidth="1" outlineLevel="1"/>
    <col min="10" max="10" width="12.21875" style="3" bestFit="1" customWidth="1" outlineLevel="1"/>
    <col min="11" max="11" width="6.109375" style="3" bestFit="1" customWidth="1" outlineLevel="1"/>
    <col min="12" max="12" width="6.88671875" style="3" bestFit="1" customWidth="1" outlineLevel="1"/>
    <col min="13" max="13" width="8.109375" style="3" bestFit="1" customWidth="1" outlineLevel="1"/>
    <col min="14" max="14" width="7.21875" style="3" bestFit="1" customWidth="1" outlineLevel="1"/>
    <col min="15" max="15" width="9.44140625" style="3" bestFit="1" customWidth="1" outlineLevel="1"/>
    <col min="16" max="16" width="6" style="3" bestFit="1" customWidth="1" outlineLevel="1"/>
    <col min="17" max="17" width="11.33203125" style="3" bestFit="1" customWidth="1" outlineLevel="1"/>
    <col min="18" max="18" width="6.109375" style="3" bestFit="1" customWidth="1" outlineLevel="1"/>
    <col min="19" max="19" width="9.44140625" style="3" bestFit="1" customWidth="1" outlineLevel="1"/>
    <col min="20" max="20" width="7.21875" style="3" bestFit="1" customWidth="1" outlineLevel="1"/>
    <col min="21" max="21" width="9.44140625" style="3" bestFit="1" customWidth="1" outlineLevel="1"/>
    <col min="22" max="23" width="12.77734375" style="3" bestFit="1" customWidth="1" outlineLevel="1"/>
    <col min="24" max="25" width="9.44140625" style="3" bestFit="1" customWidth="1" outlineLevel="1"/>
    <col min="26" max="26" width="13.44140625" style="3" bestFit="1" customWidth="1" outlineLevel="1"/>
    <col min="27" max="27" width="7.77734375" style="3" bestFit="1" customWidth="1" outlineLevel="1"/>
    <col min="28" max="28" width="7.109375" style="3" bestFit="1" customWidth="1" outlineLevel="1"/>
    <col min="29" max="29" width="7.77734375" style="3" bestFit="1" customWidth="1" outlineLevel="1"/>
    <col min="30" max="30" width="19.5546875" style="3" bestFit="1" customWidth="1"/>
    <col min="31" max="33" width="5" style="3" customWidth="1"/>
    <col min="34" max="34" width="22.5546875" style="3" bestFit="1" customWidth="1"/>
    <col min="35" max="35" width="19.44140625" style="3" bestFit="1" customWidth="1"/>
    <col min="36" max="36" width="13.33203125" style="3" bestFit="1" customWidth="1"/>
    <col min="37" max="38" width="9.44140625" style="3" bestFit="1" customWidth="1"/>
    <col min="39" max="39" width="11.6640625" style="3" bestFit="1" customWidth="1"/>
    <col min="40" max="40" width="13.77734375" style="3" bestFit="1" customWidth="1"/>
    <col min="41" max="41" width="9.44140625" style="3" bestFit="1" customWidth="1"/>
    <col min="42" max="42" width="15.44140625" style="3" bestFit="1" customWidth="1"/>
    <col min="43" max="43" width="6.109375" style="3" bestFit="1" customWidth="1"/>
    <col min="44" max="44" width="11.33203125" style="56" bestFit="1" customWidth="1"/>
    <col min="45" max="46" width="11.109375" style="56" bestFit="1" customWidth="1"/>
    <col min="47" max="47" width="9.44140625" style="56" bestFit="1" customWidth="1"/>
    <col min="48" max="48" width="9" style="56" bestFit="1" customWidth="1"/>
    <col min="49" max="50" width="9.44140625" style="56" bestFit="1" customWidth="1"/>
    <col min="51" max="52" width="11.109375" style="56" bestFit="1" customWidth="1"/>
    <col min="53" max="53" width="9.44140625" style="56" bestFit="1" customWidth="1"/>
    <col min="54" max="54" width="9" style="56" bestFit="1" customWidth="1"/>
    <col min="55" max="56" width="9.44140625" style="56" bestFit="1" customWidth="1"/>
    <col min="57" max="57" width="9.21875" style="56" bestFit="1" customWidth="1"/>
    <col min="58" max="58" width="8.77734375" style="56" bestFit="1" customWidth="1"/>
    <col min="59" max="59" width="9.21875" style="56" bestFit="1" customWidth="1"/>
    <col min="60" max="60" width="42.77734375" style="56" bestFit="1" customWidth="1"/>
    <col min="61" max="61" width="9.21875" style="56" bestFit="1" customWidth="1"/>
    <col min="62" max="62" width="9.44140625" style="56" bestFit="1" customWidth="1"/>
    <col min="63" max="63" width="8.77734375" style="56" bestFit="1" customWidth="1"/>
    <col min="64" max="64" width="9.21875" style="56" bestFit="1" customWidth="1"/>
    <col min="65" max="65" width="15.21875" style="56" bestFit="1" customWidth="1"/>
    <col min="66" max="66" width="5.88671875" style="56" bestFit="1" customWidth="1"/>
    <col min="67" max="67" width="10.77734375" style="56" bestFit="1" customWidth="1"/>
    <col min="68" max="68" width="10.88671875" style="56" bestFit="1" customWidth="1"/>
    <col min="69" max="69" width="11.44140625" style="56" bestFit="1" customWidth="1"/>
    <col min="70" max="70" width="13.5546875" style="56" bestFit="1" customWidth="1"/>
    <col min="71" max="71" width="42.77734375" style="56" bestFit="1" customWidth="1"/>
    <col min="72" max="72" width="9.21875" style="56" bestFit="1" customWidth="1"/>
    <col min="73" max="73" width="10.88671875" style="56" bestFit="1" customWidth="1"/>
    <col min="74" max="74" width="11.44140625" style="56" bestFit="1" customWidth="1"/>
    <col min="75" max="75" width="13.5546875" style="56" bestFit="1" customWidth="1"/>
    <col min="76" max="76" width="51.44140625" style="56" bestFit="1" customWidth="1"/>
    <col min="77" max="77" width="9.21875" style="56" bestFit="1" customWidth="1"/>
    <col min="78" max="78" width="51.44140625" style="56" bestFit="1" customWidth="1"/>
    <col min="79" max="79" width="9.21875" style="56" bestFit="1" customWidth="1"/>
    <col min="80" max="80" width="11.6640625" style="56" bestFit="1" customWidth="1"/>
    <col min="81" max="81" width="15.5546875" style="56" bestFit="1" customWidth="1"/>
    <col min="82" max="82" width="9.44140625" style="56" bestFit="1" customWidth="1"/>
    <col min="83" max="83" width="11.6640625" style="56" bestFit="1" customWidth="1"/>
    <col min="84" max="84" width="15.5546875" style="56" bestFit="1" customWidth="1"/>
    <col min="85" max="85" width="9.44140625" style="56" bestFit="1" customWidth="1"/>
    <col min="86" max="86" width="15.44140625" style="56" bestFit="1" customWidth="1"/>
    <col min="87" max="87" width="6.109375" style="56" bestFit="1" customWidth="1"/>
    <col min="88" max="88" width="15.21875" style="56" bestFit="1" customWidth="1"/>
    <col min="89" max="89" width="5.88671875" style="56" bestFit="1" customWidth="1"/>
    <col min="90" max="90" width="13.109375" style="56" bestFit="1" customWidth="1"/>
    <col min="91" max="91" width="5.88671875" style="56" bestFit="1" customWidth="1"/>
    <col min="92" max="92" width="9.6640625" style="56" bestFit="1" customWidth="1"/>
    <col min="93" max="93" width="14" style="56" bestFit="1" customWidth="1"/>
    <col min="94" max="94" width="14.109375" style="56" bestFit="1" customWidth="1"/>
    <col min="95" max="95" width="13.33203125" style="56" bestFit="1" customWidth="1"/>
    <col min="96" max="97" width="8.109375" style="56" customWidth="1"/>
    <col min="98" max="98" width="8.88671875" style="56" bestFit="1" customWidth="1"/>
    <col min="99" max="119" width="8.109375" style="3" customWidth="1"/>
    <col min="120" max="123" width="9" style="3" customWidth="1"/>
    <col min="124" max="124" width="2.88671875" style="3" customWidth="1"/>
    <col min="125" max="125" width="8.109375" style="3" customWidth="1"/>
    <col min="126" max="126" width="9" style="3" customWidth="1"/>
    <col min="127" max="127" width="6.109375" style="3" bestFit="1" customWidth="1"/>
    <col min="128" max="128" width="7.77734375" style="3" bestFit="1" customWidth="1"/>
    <col min="129" max="16384" width="8.88671875" style="3"/>
  </cols>
  <sheetData>
    <row r="1" spans="1:98" s="1" customFormat="1" ht="48.75" customHeight="1" x14ac:dyDescent="0.25">
      <c r="A1" s="77" t="s">
        <v>194</v>
      </c>
      <c r="B1" s="6"/>
      <c r="P1" s="8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</row>
    <row r="2" spans="1:98" s="1" customFormat="1" ht="25.5" customHeight="1" x14ac:dyDescent="0.25"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</row>
    <row r="3" spans="1:98" s="1" customFormat="1" ht="25.5" customHeight="1" x14ac:dyDescent="0.25"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</row>
    <row r="4" spans="1:98" ht="61.5" customHeight="1" x14ac:dyDescent="0.25">
      <c r="O4" s="5"/>
      <c r="P4" s="8"/>
      <c r="Q4" s="8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98" ht="15" x14ac:dyDescent="0.25">
      <c r="A5" t="s">
        <v>193</v>
      </c>
      <c r="C5" t="s">
        <v>57</v>
      </c>
      <c r="D5" t="s">
        <v>106</v>
      </c>
      <c r="E5" t="s">
        <v>232</v>
      </c>
      <c r="F5" t="s">
        <v>177</v>
      </c>
      <c r="G5" t="s">
        <v>100</v>
      </c>
      <c r="H5" t="s">
        <v>49</v>
      </c>
      <c r="I5" t="s">
        <v>73</v>
      </c>
      <c r="J5" t="s">
        <v>66</v>
      </c>
      <c r="K5" t="s">
        <v>97</v>
      </c>
      <c r="L5" t="s">
        <v>145</v>
      </c>
      <c r="M5" t="s">
        <v>98</v>
      </c>
      <c r="N5" t="s">
        <v>62</v>
      </c>
      <c r="O5" t="s">
        <v>220</v>
      </c>
      <c r="P5" t="s">
        <v>181</v>
      </c>
      <c r="Q5" t="s">
        <v>203</v>
      </c>
      <c r="R5" t="s">
        <v>103</v>
      </c>
      <c r="S5" t="s">
        <v>183</v>
      </c>
      <c r="T5" t="s">
        <v>201</v>
      </c>
      <c r="U5" t="s">
        <v>222</v>
      </c>
      <c r="V5" t="s">
        <v>60</v>
      </c>
      <c r="W5" t="s">
        <v>59</v>
      </c>
      <c r="X5" t="s">
        <v>275</v>
      </c>
      <c r="Y5" t="s">
        <v>278</v>
      </c>
      <c r="Z5" t="s">
        <v>56</v>
      </c>
      <c r="AA5" t="s">
        <v>228</v>
      </c>
      <c r="AB5" t="s">
        <v>229</v>
      </c>
      <c r="AC5" t="s">
        <v>279</v>
      </c>
      <c r="AD5" t="s">
        <v>182</v>
      </c>
      <c r="AE5" s="68"/>
      <c r="AH5" s="113" t="s">
        <v>106</v>
      </c>
      <c r="AI5" s="113" t="s">
        <v>182</v>
      </c>
      <c r="AJ5" s="113" t="s">
        <v>56</v>
      </c>
      <c r="AK5" s="113" t="s">
        <v>57</v>
      </c>
      <c r="AL5" s="114" t="s">
        <v>270</v>
      </c>
      <c r="AM5" s="114" t="s">
        <v>227</v>
      </c>
      <c r="AN5" s="114" t="s">
        <v>243</v>
      </c>
      <c r="AO5" s="113" t="s">
        <v>226</v>
      </c>
      <c r="AP5" s="114" t="s">
        <v>237</v>
      </c>
      <c r="AQ5" s="114" t="s">
        <v>225</v>
      </c>
      <c r="AR5" s="113" t="s">
        <v>195</v>
      </c>
      <c r="AS5" s="114" t="s">
        <v>241</v>
      </c>
      <c r="AT5" s="114" t="s">
        <v>242</v>
      </c>
      <c r="AU5" s="114" t="s">
        <v>263</v>
      </c>
      <c r="AV5" s="114" t="s">
        <v>264</v>
      </c>
      <c r="AW5" s="114" t="s">
        <v>265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</row>
    <row r="6" spans="1:98" ht="15" x14ac:dyDescent="0.25">
      <c r="A6" t="s">
        <v>57</v>
      </c>
      <c r="C6" s="137">
        <v>45142</v>
      </c>
      <c r="D6" s="116" t="s">
        <v>434</v>
      </c>
      <c r="E6" s="116" t="s">
        <v>93</v>
      </c>
      <c r="F6" s="116" t="s">
        <v>93</v>
      </c>
      <c r="G6" s="116" t="s">
        <v>44</v>
      </c>
      <c r="H6" s="116" t="s">
        <v>588</v>
      </c>
      <c r="I6" s="116" t="s">
        <v>121</v>
      </c>
      <c r="J6" s="116">
        <v>1.4</v>
      </c>
      <c r="K6" s="116" t="s">
        <v>200</v>
      </c>
      <c r="L6" s="116" t="s">
        <v>589</v>
      </c>
      <c r="M6" s="116"/>
      <c r="N6" s="116" t="s">
        <v>589</v>
      </c>
      <c r="O6" s="116"/>
      <c r="P6" s="116" t="s">
        <v>8</v>
      </c>
      <c r="Q6" s="116" t="s">
        <v>8</v>
      </c>
      <c r="R6" s="116" t="s">
        <v>378</v>
      </c>
      <c r="S6" s="116"/>
      <c r="T6" s="116"/>
      <c r="U6" s="116" t="s">
        <v>140</v>
      </c>
      <c r="V6" s="116">
        <v>5</v>
      </c>
      <c r="W6" s="116" t="s">
        <v>104</v>
      </c>
      <c r="X6" s="116" t="s">
        <v>104</v>
      </c>
      <c r="Y6" s="116" t="s">
        <v>104</v>
      </c>
      <c r="Z6" s="116" t="s">
        <v>438</v>
      </c>
      <c r="AA6" s="116">
        <v>0.19500000000000001</v>
      </c>
      <c r="AB6" s="116">
        <v>1.4</v>
      </c>
      <c r="AC6" s="116">
        <v>1.5229999999999999</v>
      </c>
      <c r="AD6" s="118" t="s">
        <v>448</v>
      </c>
      <c r="AE6" s="68"/>
      <c r="AH6" s="119" t="s">
        <v>555</v>
      </c>
      <c r="AI6" s="120" t="s">
        <v>578</v>
      </c>
      <c r="AJ6" s="119" t="s">
        <v>558</v>
      </c>
      <c r="AK6" s="121">
        <v>45138</v>
      </c>
      <c r="AL6" s="122">
        <v>50</v>
      </c>
      <c r="AM6" s="122" t="s">
        <v>236</v>
      </c>
      <c r="AN6" s="122" t="s">
        <v>585</v>
      </c>
      <c r="AO6" s="122" t="s">
        <v>238</v>
      </c>
      <c r="AP6" s="122"/>
      <c r="AQ6" s="122"/>
      <c r="AR6" s="122" t="s">
        <v>198</v>
      </c>
      <c r="AS6" s="122" t="s">
        <v>198</v>
      </c>
      <c r="AT6" s="122" t="s">
        <v>8</v>
      </c>
      <c r="AU6" s="122"/>
      <c r="AV6" s="122"/>
      <c r="AW6" s="122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</row>
    <row r="7" spans="1:98" ht="15" x14ac:dyDescent="0.25">
      <c r="A7" t="s">
        <v>106</v>
      </c>
      <c r="C7" s="137">
        <v>45141</v>
      </c>
      <c r="D7" s="116" t="s">
        <v>449</v>
      </c>
      <c r="E7" s="116" t="s">
        <v>93</v>
      </c>
      <c r="F7" s="116" t="s">
        <v>93</v>
      </c>
      <c r="G7" s="116" t="s">
        <v>135</v>
      </c>
      <c r="H7" s="116" t="s">
        <v>590</v>
      </c>
      <c r="I7" s="116" t="s">
        <v>95</v>
      </c>
      <c r="J7" s="116">
        <v>1.5</v>
      </c>
      <c r="K7" s="116" t="s">
        <v>200</v>
      </c>
      <c r="L7" s="116" t="s">
        <v>591</v>
      </c>
      <c r="M7" s="116" t="s">
        <v>592</v>
      </c>
      <c r="N7" s="116" t="s">
        <v>591</v>
      </c>
      <c r="O7" s="116">
        <v>50</v>
      </c>
      <c r="P7" s="116" t="s">
        <v>8</v>
      </c>
      <c r="Q7" s="116" t="s">
        <v>8</v>
      </c>
      <c r="R7" s="116" t="s">
        <v>104</v>
      </c>
      <c r="S7" s="116"/>
      <c r="T7" s="116"/>
      <c r="U7" s="116" t="s">
        <v>140</v>
      </c>
      <c r="V7" s="116">
        <v>6</v>
      </c>
      <c r="W7" s="116" t="s">
        <v>104</v>
      </c>
      <c r="X7" s="116" t="s">
        <v>104</v>
      </c>
      <c r="Y7" s="116" t="s">
        <v>104</v>
      </c>
      <c r="Z7" s="116" t="s">
        <v>453</v>
      </c>
      <c r="AA7" s="116">
        <v>1.5</v>
      </c>
      <c r="AB7" s="116">
        <v>10.763999999999999</v>
      </c>
      <c r="AC7" s="116">
        <v>11.71</v>
      </c>
      <c r="AD7" s="118" t="s">
        <v>462</v>
      </c>
      <c r="AE7" s="68"/>
      <c r="AH7" s="119" t="s">
        <v>449</v>
      </c>
      <c r="AI7" s="120" t="s">
        <v>462</v>
      </c>
      <c r="AJ7" s="119" t="s">
        <v>453</v>
      </c>
      <c r="AK7" s="121">
        <v>45141</v>
      </c>
      <c r="AL7" s="122">
        <v>52</v>
      </c>
      <c r="AM7" s="122" t="s">
        <v>248</v>
      </c>
      <c r="AN7" s="122" t="s">
        <v>586</v>
      </c>
      <c r="AO7" s="122" t="s">
        <v>235</v>
      </c>
      <c r="AP7" s="122"/>
      <c r="AQ7" s="122"/>
      <c r="AR7" s="122" t="s">
        <v>197</v>
      </c>
      <c r="AS7" s="122" t="s">
        <v>8</v>
      </c>
      <c r="AT7" s="122" t="s">
        <v>8</v>
      </c>
      <c r="AU7" s="122"/>
      <c r="AV7" s="122"/>
      <c r="AW7" s="122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</row>
    <row r="8" spans="1:98" ht="15" x14ac:dyDescent="0.25">
      <c r="A8" t="s">
        <v>232</v>
      </c>
      <c r="C8" s="137">
        <v>45140</v>
      </c>
      <c r="D8" s="116" t="s">
        <v>492</v>
      </c>
      <c r="E8" s="116" t="s">
        <v>582</v>
      </c>
      <c r="F8" s="116" t="s">
        <v>93</v>
      </c>
      <c r="G8" s="116" t="s">
        <v>47</v>
      </c>
      <c r="H8" s="116" t="s">
        <v>8</v>
      </c>
      <c r="I8" s="116" t="s">
        <v>95</v>
      </c>
      <c r="J8" s="116">
        <v>8</v>
      </c>
      <c r="K8" s="116" t="s">
        <v>200</v>
      </c>
      <c r="L8" s="116" t="s">
        <v>505</v>
      </c>
      <c r="M8" s="116" t="s">
        <v>595</v>
      </c>
      <c r="N8" s="116" t="s">
        <v>596</v>
      </c>
      <c r="O8" s="116">
        <v>30</v>
      </c>
      <c r="P8" s="116" t="s">
        <v>8</v>
      </c>
      <c r="Q8" s="116" t="s">
        <v>8</v>
      </c>
      <c r="R8" s="116" t="s">
        <v>378</v>
      </c>
      <c r="S8" s="116"/>
      <c r="T8" s="116" t="s">
        <v>596</v>
      </c>
      <c r="U8" s="116" t="s">
        <v>597</v>
      </c>
      <c r="V8" s="116">
        <v>5.25</v>
      </c>
      <c r="W8" s="116" t="s">
        <v>335</v>
      </c>
      <c r="X8" s="116" t="s">
        <v>104</v>
      </c>
      <c r="Y8" s="116" t="s">
        <v>104</v>
      </c>
      <c r="Z8" s="116" t="s">
        <v>497</v>
      </c>
      <c r="AA8" s="116">
        <v>8</v>
      </c>
      <c r="AB8" s="116">
        <v>57.64</v>
      </c>
      <c r="AC8" s="116">
        <v>62.415999999999997</v>
      </c>
      <c r="AD8" s="118" t="s">
        <v>508</v>
      </c>
      <c r="AE8" s="68"/>
      <c r="AH8" s="119" t="s">
        <v>492</v>
      </c>
      <c r="AI8" s="120" t="s">
        <v>508</v>
      </c>
      <c r="AJ8" s="119" t="s">
        <v>497</v>
      </c>
      <c r="AK8" s="121">
        <v>45140</v>
      </c>
      <c r="AL8" s="122">
        <v>51</v>
      </c>
      <c r="AM8" s="122" t="s">
        <v>236</v>
      </c>
      <c r="AN8" s="122" t="s">
        <v>587</v>
      </c>
      <c r="AO8" s="122" t="s">
        <v>235</v>
      </c>
      <c r="AP8" s="122"/>
      <c r="AQ8" s="122"/>
      <c r="AR8" s="122" t="s">
        <v>197</v>
      </c>
      <c r="AS8" s="122" t="s">
        <v>198</v>
      </c>
      <c r="AT8" s="122" t="s">
        <v>8</v>
      </c>
      <c r="AU8" s="122"/>
      <c r="AV8" s="122"/>
      <c r="AW8" s="122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</row>
    <row r="9" spans="1:98" ht="15" x14ac:dyDescent="0.25">
      <c r="A9" t="s">
        <v>177</v>
      </c>
      <c r="C9" s="137">
        <v>45140</v>
      </c>
      <c r="D9" s="116" t="s">
        <v>468</v>
      </c>
      <c r="E9" s="116" t="s">
        <v>580</v>
      </c>
      <c r="F9" s="116" t="s">
        <v>93</v>
      </c>
      <c r="G9" s="116" t="s">
        <v>44</v>
      </c>
      <c r="H9" s="116" t="s">
        <v>8</v>
      </c>
      <c r="I9" s="116" t="s">
        <v>121</v>
      </c>
      <c r="J9" s="116">
        <v>30</v>
      </c>
      <c r="K9" s="116" t="s">
        <v>593</v>
      </c>
      <c r="L9" s="116" t="s">
        <v>594</v>
      </c>
      <c r="M9" s="116"/>
      <c r="N9" s="116"/>
      <c r="O9" s="116"/>
      <c r="P9" s="116" t="s">
        <v>8</v>
      </c>
      <c r="Q9" s="116" t="s">
        <v>8</v>
      </c>
      <c r="R9" s="116" t="s">
        <v>127</v>
      </c>
      <c r="S9" s="116"/>
      <c r="T9" s="116"/>
      <c r="U9" s="116" t="s">
        <v>140</v>
      </c>
      <c r="V9" s="116">
        <v>2.52</v>
      </c>
      <c r="W9" s="116" t="s">
        <v>104</v>
      </c>
      <c r="X9" s="116" t="s">
        <v>104</v>
      </c>
      <c r="Y9" s="116" t="s">
        <v>104</v>
      </c>
      <c r="Z9" s="116" t="s">
        <v>473</v>
      </c>
      <c r="AA9" s="116">
        <v>4.17</v>
      </c>
      <c r="AB9" s="116">
        <v>30</v>
      </c>
      <c r="AC9" s="116">
        <v>32.49</v>
      </c>
      <c r="AD9" s="118" t="s">
        <v>479</v>
      </c>
      <c r="AE9" s="68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</row>
    <row r="10" spans="1:98" ht="15" x14ac:dyDescent="0.25">
      <c r="A10" t="s">
        <v>100</v>
      </c>
      <c r="C10" s="137">
        <v>45140</v>
      </c>
      <c r="D10" s="116" t="s">
        <v>468</v>
      </c>
      <c r="E10" s="116" t="s">
        <v>580</v>
      </c>
      <c r="F10" s="116" t="s">
        <v>93</v>
      </c>
      <c r="G10" s="116" t="s">
        <v>44</v>
      </c>
      <c r="H10" s="116" t="s">
        <v>8</v>
      </c>
      <c r="I10" s="116" t="s">
        <v>121</v>
      </c>
      <c r="J10" s="116">
        <v>60</v>
      </c>
      <c r="K10" s="116" t="s">
        <v>695</v>
      </c>
      <c r="L10" s="116" t="s">
        <v>696</v>
      </c>
      <c r="M10" s="116"/>
      <c r="N10" s="116"/>
      <c r="O10" s="116"/>
      <c r="P10" s="116" t="s">
        <v>8</v>
      </c>
      <c r="Q10" s="116" t="s">
        <v>8</v>
      </c>
      <c r="R10" s="116" t="s">
        <v>378</v>
      </c>
      <c r="S10" s="116" t="s">
        <v>697</v>
      </c>
      <c r="T10" s="116"/>
      <c r="U10" s="116" t="s">
        <v>140</v>
      </c>
      <c r="V10" s="116">
        <v>2.2158000000000002</v>
      </c>
      <c r="W10" s="116" t="s">
        <v>104</v>
      </c>
      <c r="X10" s="116" t="s">
        <v>104</v>
      </c>
      <c r="Y10" s="116" t="s">
        <v>104</v>
      </c>
      <c r="Z10" s="116" t="s">
        <v>686</v>
      </c>
      <c r="AA10" s="116">
        <v>8.34</v>
      </c>
      <c r="AB10" s="116">
        <v>60</v>
      </c>
      <c r="AC10" s="116">
        <v>64.98</v>
      </c>
      <c r="AD10" s="118" t="s">
        <v>690</v>
      </c>
      <c r="AE10" s="56"/>
      <c r="AF10" s="56"/>
      <c r="AG10" s="56"/>
      <c r="AH10" s="56"/>
      <c r="AI10" s="56"/>
      <c r="AJ10" s="56"/>
      <c r="AK10" s="68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</row>
    <row r="11" spans="1:98" ht="15" x14ac:dyDescent="0.25">
      <c r="A11" t="s">
        <v>49</v>
      </c>
      <c r="C11" s="137">
        <v>45140</v>
      </c>
      <c r="D11" s="116" t="s">
        <v>468</v>
      </c>
      <c r="E11" s="116" t="s">
        <v>580</v>
      </c>
      <c r="F11" s="116" t="s">
        <v>93</v>
      </c>
      <c r="G11" s="116" t="s">
        <v>44</v>
      </c>
      <c r="H11" s="116" t="s">
        <v>8</v>
      </c>
      <c r="I11" s="116" t="s">
        <v>121</v>
      </c>
      <c r="J11" s="116">
        <v>30</v>
      </c>
      <c r="K11" s="116" t="s">
        <v>601</v>
      </c>
      <c r="L11" s="116" t="s">
        <v>698</v>
      </c>
      <c r="M11" s="116"/>
      <c r="N11" s="116"/>
      <c r="O11" s="116"/>
      <c r="P11" s="116" t="s">
        <v>8</v>
      </c>
      <c r="Q11" s="116" t="s">
        <v>8</v>
      </c>
      <c r="R11" s="116" t="s">
        <v>378</v>
      </c>
      <c r="S11" s="116" t="s">
        <v>697</v>
      </c>
      <c r="T11" s="116"/>
      <c r="U11" s="116" t="s">
        <v>140</v>
      </c>
      <c r="V11" s="116">
        <v>2.2995000000000001</v>
      </c>
      <c r="W11" s="116" t="s">
        <v>104</v>
      </c>
      <c r="X11" s="116" t="s">
        <v>104</v>
      </c>
      <c r="Y11" s="116" t="s">
        <v>104</v>
      </c>
      <c r="Z11" s="116" t="s">
        <v>692</v>
      </c>
      <c r="AA11" s="116">
        <v>4.17</v>
      </c>
      <c r="AB11" s="116">
        <v>30</v>
      </c>
      <c r="AC11" s="116">
        <v>32.49</v>
      </c>
      <c r="AD11" s="118" t="s">
        <v>694</v>
      </c>
      <c r="AE11" s="56"/>
      <c r="AF11" s="56"/>
      <c r="AG11" s="56"/>
      <c r="AH11" t="s">
        <v>106</v>
      </c>
      <c r="AI11" t="s">
        <v>233</v>
      </c>
      <c r="AJ11" t="s">
        <v>272</v>
      </c>
      <c r="AK11" t="s">
        <v>305</v>
      </c>
      <c r="AM11" s="56"/>
      <c r="AX11" s="68"/>
      <c r="AY11" s="3"/>
      <c r="AZ11" s="3"/>
      <c r="BD11" s="3"/>
      <c r="BF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</row>
    <row r="12" spans="1:98" ht="15" x14ac:dyDescent="0.25">
      <c r="A12" t="s">
        <v>73</v>
      </c>
      <c r="C12" s="137">
        <v>45139</v>
      </c>
      <c r="D12" s="116" t="s">
        <v>528</v>
      </c>
      <c r="E12" s="116" t="s">
        <v>93</v>
      </c>
      <c r="F12" s="116" t="s">
        <v>93</v>
      </c>
      <c r="G12" s="116" t="s">
        <v>135</v>
      </c>
      <c r="H12" s="116" t="s">
        <v>598</v>
      </c>
      <c r="I12" s="116" t="s">
        <v>121</v>
      </c>
      <c r="J12" s="116">
        <v>1.97</v>
      </c>
      <c r="K12" s="116" t="s">
        <v>200</v>
      </c>
      <c r="L12" s="116" t="s">
        <v>599</v>
      </c>
      <c r="M12" s="116"/>
      <c r="N12" s="116" t="s">
        <v>599</v>
      </c>
      <c r="O12" s="116"/>
      <c r="P12" s="116" t="s">
        <v>8</v>
      </c>
      <c r="Q12" s="116" t="s">
        <v>8</v>
      </c>
      <c r="R12" s="116" t="s">
        <v>600</v>
      </c>
      <c r="S12" s="116"/>
      <c r="T12" s="116"/>
      <c r="U12" s="116" t="s">
        <v>140</v>
      </c>
      <c r="V12" s="116">
        <v>4.9000000000000004</v>
      </c>
      <c r="W12" s="116" t="s">
        <v>533</v>
      </c>
      <c r="X12" s="116" t="s">
        <v>104</v>
      </c>
      <c r="Y12" s="116" t="s">
        <v>104</v>
      </c>
      <c r="Z12" s="116" t="s">
        <v>532</v>
      </c>
      <c r="AA12" s="116">
        <v>0.27400000000000002</v>
      </c>
      <c r="AB12" s="116">
        <v>1.97</v>
      </c>
      <c r="AC12" s="116">
        <v>2.137</v>
      </c>
      <c r="AD12" s="118" t="s">
        <v>541</v>
      </c>
      <c r="AE12" s="56"/>
      <c r="AF12" s="56"/>
      <c r="AG12" s="56"/>
      <c r="AH12" t="s">
        <v>449</v>
      </c>
      <c r="AI12" t="s">
        <v>584</v>
      </c>
      <c r="AJ12"/>
      <c r="AK12"/>
      <c r="AM12" s="56"/>
      <c r="AZ12" s="3"/>
      <c r="BD12" s="3"/>
      <c r="BF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</row>
    <row r="13" spans="1:98" ht="15" x14ac:dyDescent="0.25">
      <c r="A13" t="s">
        <v>66</v>
      </c>
      <c r="C13" s="137">
        <v>45138</v>
      </c>
      <c r="D13" s="116" t="s">
        <v>555</v>
      </c>
      <c r="E13" s="116" t="s">
        <v>583</v>
      </c>
      <c r="F13" s="116" t="s">
        <v>93</v>
      </c>
      <c r="G13" s="116" t="s">
        <v>47</v>
      </c>
      <c r="H13" s="116" t="s">
        <v>8</v>
      </c>
      <c r="I13" s="116" t="s">
        <v>95</v>
      </c>
      <c r="J13" s="116">
        <v>4</v>
      </c>
      <c r="K13" s="116" t="s">
        <v>601</v>
      </c>
      <c r="L13" s="116" t="s">
        <v>602</v>
      </c>
      <c r="M13" s="116" t="s">
        <v>603</v>
      </c>
      <c r="N13" s="116" t="s">
        <v>604</v>
      </c>
      <c r="O13" s="116">
        <v>45</v>
      </c>
      <c r="P13" s="116" t="s">
        <v>8</v>
      </c>
      <c r="Q13" s="116" t="s">
        <v>8</v>
      </c>
      <c r="R13" s="116" t="s">
        <v>378</v>
      </c>
      <c r="S13" s="116"/>
      <c r="T13" s="116" t="s">
        <v>604</v>
      </c>
      <c r="U13" s="116" t="s">
        <v>605</v>
      </c>
      <c r="V13" s="116">
        <v>5.75</v>
      </c>
      <c r="W13" s="116" t="s">
        <v>335</v>
      </c>
      <c r="X13" s="116" t="s">
        <v>104</v>
      </c>
      <c r="Y13" s="116" t="s">
        <v>104</v>
      </c>
      <c r="Z13" s="116" t="s">
        <v>558</v>
      </c>
      <c r="AA13" s="116">
        <v>4</v>
      </c>
      <c r="AB13" s="116">
        <v>28.576000000000001</v>
      </c>
      <c r="AC13" s="116">
        <v>31.196000000000002</v>
      </c>
      <c r="AD13" s="118" t="s">
        <v>578</v>
      </c>
      <c r="AE13" s="56"/>
      <c r="AF13" s="56"/>
      <c r="AG13" s="56"/>
      <c r="AH13" s="56"/>
      <c r="AI13" s="56"/>
      <c r="AJ13" s="56"/>
      <c r="AK13" s="56"/>
      <c r="AM13" s="56"/>
      <c r="BA13" s="3"/>
      <c r="BC13" s="3"/>
      <c r="BD13" s="3"/>
      <c r="BE13" s="3"/>
      <c r="BF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</row>
    <row r="14" spans="1:98" ht="15" x14ac:dyDescent="0.25">
      <c r="A14" t="s">
        <v>97</v>
      </c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M14" s="56"/>
      <c r="BA14" s="3"/>
      <c r="BC14" s="3"/>
      <c r="BD14" s="3"/>
      <c r="BE14" s="3"/>
      <c r="BF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</row>
    <row r="15" spans="1:98" ht="15" x14ac:dyDescent="0.25">
      <c r="A15" t="s">
        <v>145</v>
      </c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M15" s="56"/>
      <c r="BA15" s="3"/>
      <c r="BC15" s="3"/>
      <c r="BD15" s="3"/>
      <c r="BE15" s="3"/>
      <c r="BF15" s="3"/>
      <c r="BG15" s="3"/>
      <c r="BH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</row>
    <row r="16" spans="1:98" ht="15" x14ac:dyDescent="0.25">
      <c r="A16" t="s">
        <v>98</v>
      </c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BA16" s="3"/>
      <c r="BC16" s="3"/>
      <c r="BD16" s="3"/>
      <c r="BE16" s="3"/>
      <c r="BF16" s="3"/>
      <c r="BG16" s="3"/>
      <c r="BH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</row>
    <row r="17" spans="1:98" ht="15" x14ac:dyDescent="0.25">
      <c r="A17" t="s">
        <v>62</v>
      </c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BA17" s="3"/>
      <c r="BC17" s="3"/>
      <c r="BD17" s="3"/>
      <c r="BE17" s="3"/>
      <c r="BF17" s="3"/>
      <c r="BG17" s="3"/>
      <c r="BH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</row>
    <row r="18" spans="1:98" ht="15" x14ac:dyDescent="0.25">
      <c r="A18" t="s">
        <v>220</v>
      </c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BA18" s="3"/>
      <c r="BC18" s="3"/>
      <c r="BD18" s="3"/>
      <c r="BE18" s="3"/>
      <c r="BF18" s="3"/>
      <c r="BG18" s="3"/>
      <c r="BH18" s="3"/>
      <c r="BI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</row>
    <row r="19" spans="1:98" ht="15" x14ac:dyDescent="0.25">
      <c r="A19" t="s">
        <v>181</v>
      </c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BD19" s="3"/>
      <c r="BF19" s="3"/>
      <c r="BG19" s="3"/>
      <c r="BH19" s="3"/>
      <c r="BI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</row>
    <row r="20" spans="1:98" ht="15" x14ac:dyDescent="0.25">
      <c r="A20" t="s">
        <v>203</v>
      </c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BL20" s="3"/>
      <c r="BM20" s="3"/>
      <c r="BP20" s="3"/>
      <c r="BQ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</row>
    <row r="21" spans="1:98" ht="15" x14ac:dyDescent="0.25">
      <c r="A21" t="s">
        <v>103</v>
      </c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BL21" s="3"/>
      <c r="BM21" s="3"/>
      <c r="BP21" s="3"/>
      <c r="BQ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</row>
    <row r="22" spans="1:98" ht="15" x14ac:dyDescent="0.25">
      <c r="A22" t="s">
        <v>183</v>
      </c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BQ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</row>
    <row r="23" spans="1:98" ht="15" x14ac:dyDescent="0.25">
      <c r="A23" t="s">
        <v>201</v>
      </c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BQ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</row>
    <row r="24" spans="1:98" ht="15" x14ac:dyDescent="0.25">
      <c r="A24" t="s">
        <v>222</v>
      </c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BQ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</row>
    <row r="25" spans="1:98" ht="15" x14ac:dyDescent="0.25">
      <c r="A25" t="s">
        <v>60</v>
      </c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BQ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</row>
    <row r="26" spans="1:98" ht="15" x14ac:dyDescent="0.25">
      <c r="A26" t="s">
        <v>59</v>
      </c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BQ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</row>
    <row r="27" spans="1:98" ht="15" x14ac:dyDescent="0.25">
      <c r="A27" t="s">
        <v>275</v>
      </c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BR27" s="3"/>
      <c r="BS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</row>
    <row r="28" spans="1:98" ht="15" x14ac:dyDescent="0.25">
      <c r="A28" t="s">
        <v>278</v>
      </c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BR28" s="3"/>
      <c r="BS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</row>
    <row r="29" spans="1:98" ht="15" x14ac:dyDescent="0.25">
      <c r="A29" t="s">
        <v>56</v>
      </c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BR29" s="3"/>
      <c r="BS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</row>
    <row r="30" spans="1:98" ht="15" x14ac:dyDescent="0.25">
      <c r="A30" t="s">
        <v>228</v>
      </c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BR30" s="3"/>
      <c r="BS30" s="3"/>
      <c r="BU30" s="3"/>
      <c r="BV30" s="3"/>
      <c r="BW30" s="3"/>
      <c r="BX30" s="3"/>
      <c r="BY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</row>
    <row r="31" spans="1:98" ht="15" x14ac:dyDescent="0.25">
      <c r="A31" t="s">
        <v>229</v>
      </c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BR31" s="3"/>
      <c r="BS31" s="3"/>
      <c r="BU31" s="3"/>
      <c r="BV31" s="3"/>
      <c r="BW31" s="3"/>
      <c r="BX31" s="3"/>
      <c r="BY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</row>
    <row r="32" spans="1:98" ht="15" x14ac:dyDescent="0.25">
      <c r="A32" t="s">
        <v>279</v>
      </c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BR32" s="3"/>
      <c r="BS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</row>
    <row r="33" spans="1:98" ht="15" x14ac:dyDescent="0.25">
      <c r="A33" t="s">
        <v>182</v>
      </c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BR33" s="3"/>
      <c r="BS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</row>
    <row r="34" spans="1:98" ht="13.5" x14ac:dyDescent="0.25"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BR34" s="3"/>
      <c r="BS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</row>
    <row r="35" spans="1:98" ht="13.5" x14ac:dyDescent="0.25"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BR35" s="3"/>
      <c r="BS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</row>
    <row r="36" spans="1:98" ht="13.5" x14ac:dyDescent="0.25"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BR36" s="3"/>
      <c r="BS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</row>
    <row r="37" spans="1:98" ht="15.75" customHeight="1" x14ac:dyDescent="0.25"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BR37" s="3"/>
      <c r="BS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</row>
    <row r="38" spans="1:98" ht="15.75" customHeight="1" x14ac:dyDescent="0.25"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BR38" s="3"/>
      <c r="BS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</row>
    <row r="39" spans="1:98" ht="15.75" customHeight="1" x14ac:dyDescent="0.25"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BR39" s="3"/>
      <c r="BS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</row>
    <row r="40" spans="1:98" ht="15.75" customHeight="1" x14ac:dyDescent="0.25"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BR40" s="3"/>
      <c r="BS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</row>
    <row r="41" spans="1:98" ht="15.75" customHeight="1" x14ac:dyDescent="0.25"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BR41" s="3"/>
      <c r="BS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</row>
    <row r="42" spans="1:98" ht="15.75" customHeight="1" x14ac:dyDescent="0.25"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BR42" s="3"/>
      <c r="BS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</row>
    <row r="43" spans="1:98" ht="15.75" customHeight="1" x14ac:dyDescent="0.25"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BR43" s="3"/>
      <c r="BS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</row>
    <row r="44" spans="1:98" ht="15.75" customHeight="1" x14ac:dyDescent="0.25"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BR44" s="3"/>
      <c r="BS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</row>
    <row r="45" spans="1:98" ht="15.75" customHeight="1" x14ac:dyDescent="0.25"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BR45" s="3"/>
      <c r="BS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</row>
    <row r="46" spans="1:98" ht="15.75" customHeight="1" x14ac:dyDescent="0.25"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BR46" s="3"/>
      <c r="BS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</row>
    <row r="47" spans="1:98" ht="15.75" customHeight="1" x14ac:dyDescent="0.25"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BR47" s="3"/>
      <c r="BS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</row>
    <row r="48" spans="1:98" ht="15.75" customHeight="1" x14ac:dyDescent="0.25"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BR48" s="3"/>
      <c r="BS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</row>
    <row r="49" spans="12:98" ht="15.75" customHeight="1" x14ac:dyDescent="0.25"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BR49" s="3"/>
      <c r="BS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</row>
    <row r="50" spans="12:98" ht="15.75" customHeight="1" x14ac:dyDescent="0.25"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BR50" s="3"/>
      <c r="BS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</row>
    <row r="51" spans="12:98" ht="15.75" customHeight="1" x14ac:dyDescent="0.25"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BR51" s="3"/>
      <c r="BS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</row>
    <row r="52" spans="12:98" ht="15.75" customHeight="1" x14ac:dyDescent="0.25"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BR52" s="3"/>
      <c r="BS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</row>
    <row r="53" spans="12:98" ht="15.75" customHeight="1" x14ac:dyDescent="0.25"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BR53" s="3"/>
      <c r="BS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</row>
    <row r="54" spans="12:98" ht="15.75" customHeight="1" x14ac:dyDescent="0.25"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BR54" s="3"/>
      <c r="BS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</row>
    <row r="55" spans="12:98" ht="15.75" customHeight="1" x14ac:dyDescent="0.25"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K55" s="56"/>
      <c r="AL55" s="56"/>
      <c r="AM55" s="56"/>
      <c r="AN55" s="56"/>
      <c r="AO55" s="56"/>
      <c r="AP55" s="56"/>
      <c r="AQ55" s="56"/>
      <c r="BR55" s="3"/>
      <c r="BS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</row>
    <row r="56" spans="12:98" ht="15.75" customHeight="1" x14ac:dyDescent="0.25"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K56" s="56"/>
      <c r="AL56" s="56"/>
      <c r="AM56" s="56"/>
      <c r="AN56" s="56"/>
      <c r="AO56" s="56"/>
      <c r="AP56" s="56"/>
      <c r="AQ56" s="56"/>
      <c r="BR56" s="3"/>
      <c r="BS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</row>
    <row r="57" spans="12:98" ht="15.75" customHeight="1" x14ac:dyDescent="0.25"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K57" s="56"/>
      <c r="AL57" s="56"/>
      <c r="AM57" s="56"/>
      <c r="AN57" s="56"/>
      <c r="AO57" s="56"/>
      <c r="AP57" s="56"/>
      <c r="AQ57" s="56"/>
      <c r="BR57" s="3"/>
      <c r="BS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</row>
    <row r="58" spans="12:98" ht="15.75" customHeight="1" x14ac:dyDescent="0.25"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K58" s="56"/>
      <c r="AL58" s="56"/>
      <c r="AM58" s="56"/>
      <c r="AN58" s="56"/>
      <c r="AO58" s="56"/>
      <c r="AP58" s="56"/>
      <c r="AQ58" s="56"/>
      <c r="BR58" s="3"/>
      <c r="BS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</row>
    <row r="59" spans="12:98" ht="13.5" x14ac:dyDescent="0.25"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K59" s="56"/>
      <c r="AN59" s="56"/>
      <c r="AO59" s="56"/>
      <c r="AP59" s="56"/>
      <c r="AQ59" s="56"/>
      <c r="BR59" s="3"/>
      <c r="BS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</row>
    <row r="60" spans="12:98" ht="13.5" x14ac:dyDescent="0.25"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K60" s="56"/>
      <c r="AN60" s="56"/>
      <c r="AO60" s="56"/>
      <c r="AP60" s="56"/>
      <c r="AQ60" s="56"/>
      <c r="BR60" s="3"/>
      <c r="BS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</row>
    <row r="61" spans="12:98" ht="13.5" x14ac:dyDescent="0.25"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K61" s="56"/>
      <c r="AN61" s="56"/>
      <c r="AO61" s="56"/>
      <c r="AP61" s="56"/>
      <c r="AQ61" s="56"/>
      <c r="BR61" s="3"/>
      <c r="BS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</row>
    <row r="62" spans="12:98" ht="13.5" x14ac:dyDescent="0.25">
      <c r="AK62" s="56"/>
      <c r="AN62" s="56"/>
      <c r="BR62" s="3"/>
      <c r="BS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</row>
    <row r="63" spans="12:98" ht="13.5" x14ac:dyDescent="0.25">
      <c r="BR63" s="3"/>
      <c r="BS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</row>
    <row r="64" spans="12:98" ht="13.5" x14ac:dyDescent="0.25">
      <c r="BR64" s="3"/>
      <c r="BS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</row>
    <row r="65" spans="70:98" ht="13.5" x14ac:dyDescent="0.25">
      <c r="BR65" s="3"/>
      <c r="BS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</row>
    <row r="66" spans="70:98" ht="13.5" x14ac:dyDescent="0.25">
      <c r="BR66" s="3"/>
      <c r="BS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</row>
    <row r="67" spans="70:98" ht="13.5" x14ac:dyDescent="0.25"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</row>
    <row r="68" spans="70:98" ht="13.5" x14ac:dyDescent="0.25"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</row>
    <row r="69" spans="70:98" ht="13.5" x14ac:dyDescent="0.25"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</row>
    <row r="70" spans="70:98" ht="13.5" x14ac:dyDescent="0.25"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</row>
    <row r="71" spans="70:98" ht="13.5" x14ac:dyDescent="0.25"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</row>
    <row r="72" spans="70:98" ht="13.5" x14ac:dyDescent="0.25"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</row>
    <row r="73" spans="70:98" ht="13.5" x14ac:dyDescent="0.25"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</row>
  </sheetData>
  <phoneticPr fontId="16" type="noConversion"/>
  <dataValidations count="2">
    <dataValidation type="list" allowBlank="1" showInputMessage="1" showErrorMessage="1" sqref="AR6:AR8" xr:uid="{00000000-0002-0000-0200-000000000000}">
      <formula1>dd_BISL_role</formula1>
    </dataValidation>
    <dataValidation type="list" allowBlank="1" showInputMessage="1" showErrorMessage="1" sqref="AS6:AW8" xr:uid="{00000000-0002-0000-0200-000001000000}">
      <formula1>dd_bocomrole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2</xdr:row>
                    <xdr:rowOff>266700</xdr:rowOff>
                  </from>
                  <to>
                    <xdr:col>3</xdr:col>
                    <xdr:colOff>1857375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zoomScale="85" zoomScaleNormal="85" workbookViewId="0">
      <selection activeCell="J20" sqref="J20"/>
    </sheetView>
  </sheetViews>
  <sheetFormatPr defaultColWidth="8.88671875" defaultRowHeight="20.100000000000001" customHeight="1" outlineLevelCol="1" x14ac:dyDescent="0.25"/>
  <cols>
    <col min="1" max="1" width="27.109375" style="1" bestFit="1" customWidth="1"/>
    <col min="2" max="2" width="34.44140625" style="1" bestFit="1" customWidth="1"/>
    <col min="3" max="3" width="14.6640625" style="1" bestFit="1" customWidth="1"/>
    <col min="4" max="4" width="11.5546875" style="1" bestFit="1" customWidth="1"/>
    <col min="5" max="5" width="11.33203125" style="1" bestFit="1" customWidth="1"/>
    <col min="6" max="6" width="7.6640625" style="1" bestFit="1" customWidth="1"/>
    <col min="7" max="7" width="4.6640625" style="1" bestFit="1" customWidth="1"/>
    <col min="8" max="8" width="10.44140625" style="1" bestFit="1" customWidth="1"/>
    <col min="9" max="9" width="4.44140625" style="1" bestFit="1" customWidth="1"/>
    <col min="10" max="10" width="6.77734375" style="1" bestFit="1" customWidth="1"/>
    <col min="11" max="12" width="11.33203125" style="1" bestFit="1" customWidth="1"/>
    <col min="13" max="13" width="11.77734375" style="1" customWidth="1"/>
    <col min="16" max="16" width="11.5546875" style="1" bestFit="1" customWidth="1"/>
    <col min="17" max="17" width="10.88671875" style="1" bestFit="1" customWidth="1"/>
    <col min="18" max="18" width="6" style="1" customWidth="1" outlineLevel="1"/>
    <col min="19" max="19" width="7.6640625" style="1" customWidth="1" outlineLevel="1"/>
    <col min="20" max="20" width="6.109375" style="1" customWidth="1" outlineLevel="1"/>
    <col min="21" max="21" width="7.6640625" style="1" customWidth="1" outlineLevel="1"/>
    <col min="22" max="23" width="11" style="1" customWidth="1" outlineLevel="1"/>
    <col min="24" max="25" width="7.6640625" style="1" customWidth="1" outlineLevel="1"/>
    <col min="26" max="26" width="13.21875" style="1" customWidth="1" outlineLevel="1"/>
    <col min="27" max="27" width="6" style="1" customWidth="1" outlineLevel="1"/>
    <col min="28" max="29" width="7" style="1" customWidth="1" outlineLevel="1"/>
    <col min="30" max="30" width="19.33203125" style="1" customWidth="1"/>
    <col min="31" max="31" width="19.88671875" style="1" customWidth="1"/>
    <col min="32" max="32" width="9.6640625" style="1" bestFit="1" customWidth="1"/>
    <col min="33" max="33" width="34.44140625" style="1" bestFit="1" customWidth="1"/>
    <col min="34" max="34" width="19.33203125" style="1" bestFit="1" customWidth="1"/>
    <col min="35" max="35" width="13.21875" style="1" bestFit="1" customWidth="1"/>
    <col min="36" max="36" width="9.33203125" style="1" bestFit="1" customWidth="1"/>
    <col min="37" max="37" width="7.6640625" style="1" bestFit="1" customWidth="1"/>
    <col min="38" max="38" width="11.5546875" style="1" bestFit="1" customWidth="1"/>
    <col min="39" max="39" width="13.33203125" style="1" bestFit="1" customWidth="1"/>
    <col min="40" max="40" width="7.6640625" style="1" bestFit="1" customWidth="1"/>
    <col min="41" max="41" width="16.109375" style="1" bestFit="1" customWidth="1"/>
    <col min="42" max="42" width="4.44140625" style="1" bestFit="1" customWidth="1"/>
    <col min="43" max="43" width="11.5546875" style="1" bestFit="1" customWidth="1"/>
    <col min="44" max="44" width="10.44140625" style="1" bestFit="1" customWidth="1"/>
    <col min="45" max="45" width="15.5546875" style="1" bestFit="1" customWidth="1"/>
    <col min="46" max="46" width="14.109375" style="1" bestFit="1" customWidth="1"/>
    <col min="47" max="47" width="13.109375" style="1" bestFit="1" customWidth="1"/>
    <col min="48" max="48" width="12.6640625" style="1" bestFit="1" customWidth="1"/>
    <col min="49" max="49" width="13.77734375" style="1" bestFit="1" customWidth="1"/>
    <col min="50" max="50" width="41.6640625" style="1" customWidth="1"/>
    <col min="51" max="51" width="34.44140625" style="1" bestFit="1" customWidth="1"/>
    <col min="52" max="52" width="14.21875" style="1" bestFit="1" customWidth="1"/>
    <col min="53" max="54" width="15.5546875" style="1" customWidth="1"/>
    <col min="55" max="16384" width="8.88671875" style="1"/>
  </cols>
  <sheetData>
    <row r="1" spans="1:52" s="7" customFormat="1" ht="46.5" x14ac:dyDescent="0.55000000000000004">
      <c r="A1" s="86" t="s">
        <v>251</v>
      </c>
      <c r="B1" s="70"/>
      <c r="L1" s="53"/>
      <c r="AE1" s="86" t="s">
        <v>250</v>
      </c>
      <c r="AG1" s="95" t="s">
        <v>271</v>
      </c>
      <c r="AW1" s="86" t="s">
        <v>249</v>
      </c>
    </row>
    <row r="2" spans="1:52" s="30" customFormat="1" ht="75" customHeight="1" x14ac:dyDescent="0.25">
      <c r="B2" s="29"/>
      <c r="C2" s="31" t="s">
        <v>276</v>
      </c>
      <c r="F2" s="31" t="s">
        <v>184</v>
      </c>
      <c r="K2" s="31" t="s">
        <v>185</v>
      </c>
      <c r="L2" s="31" t="s">
        <v>186</v>
      </c>
      <c r="M2" s="31" t="s">
        <v>333</v>
      </c>
      <c r="N2" s="31" t="s">
        <v>332</v>
      </c>
    </row>
    <row r="3" spans="1:52" s="25" customFormat="1" ht="33" customHeight="1" x14ac:dyDescent="0.25">
      <c r="A3" s="71" t="s">
        <v>57</v>
      </c>
      <c r="B3" s="71" t="s">
        <v>106</v>
      </c>
      <c r="C3" s="71" t="s">
        <v>232</v>
      </c>
      <c r="D3" s="71" t="s">
        <v>177</v>
      </c>
      <c r="E3" s="71" t="s">
        <v>100</v>
      </c>
      <c r="F3" s="71" t="s">
        <v>49</v>
      </c>
      <c r="G3" s="71" t="s">
        <v>73</v>
      </c>
      <c r="H3" s="71" t="s">
        <v>66</v>
      </c>
      <c r="I3" s="71" t="s">
        <v>97</v>
      </c>
      <c r="J3" s="71" t="s">
        <v>145</v>
      </c>
      <c r="K3" s="71" t="s">
        <v>98</v>
      </c>
      <c r="L3" s="71" t="s">
        <v>62</v>
      </c>
      <c r="M3" s="71" t="s">
        <v>220</v>
      </c>
      <c r="N3" s="71" t="s">
        <v>181</v>
      </c>
      <c r="O3" s="71" t="s">
        <v>203</v>
      </c>
      <c r="P3" s="71" t="s">
        <v>103</v>
      </c>
      <c r="Q3" s="71" t="s">
        <v>183</v>
      </c>
      <c r="R3" s="71" t="s">
        <v>201</v>
      </c>
      <c r="S3" s="71" t="s">
        <v>222</v>
      </c>
      <c r="T3" s="71" t="s">
        <v>60</v>
      </c>
      <c r="U3" s="71" t="s">
        <v>59</v>
      </c>
      <c r="V3" s="71" t="s">
        <v>275</v>
      </c>
      <c r="W3" s="71" t="s">
        <v>278</v>
      </c>
      <c r="X3" s="71" t="s">
        <v>56</v>
      </c>
      <c r="Y3" s="71" t="s">
        <v>228</v>
      </c>
      <c r="Z3" s="71" t="s">
        <v>229</v>
      </c>
      <c r="AA3" s="71" t="s">
        <v>279</v>
      </c>
      <c r="AB3" s="71" t="s">
        <v>182</v>
      </c>
      <c r="AE3" s="71" t="s">
        <v>106</v>
      </c>
      <c r="AF3" s="71" t="s">
        <v>182</v>
      </c>
      <c r="AG3" s="71" t="s">
        <v>56</v>
      </c>
      <c r="AH3" s="71" t="s">
        <v>57</v>
      </c>
      <c r="AI3" s="71" t="s">
        <v>270</v>
      </c>
      <c r="AJ3" s="71" t="s">
        <v>227</v>
      </c>
      <c r="AK3" s="71" t="s">
        <v>243</v>
      </c>
      <c r="AL3" s="71" t="s">
        <v>226</v>
      </c>
      <c r="AM3" s="71" t="s">
        <v>237</v>
      </c>
      <c r="AN3" s="71" t="s">
        <v>225</v>
      </c>
      <c r="AO3" s="71" t="s">
        <v>195</v>
      </c>
      <c r="AP3" s="71" t="s">
        <v>241</v>
      </c>
      <c r="AQ3" s="71" t="s">
        <v>242</v>
      </c>
      <c r="AR3" s="71" t="s">
        <v>263</v>
      </c>
      <c r="AS3" s="71" t="s">
        <v>264</v>
      </c>
      <c r="AT3" s="71" t="s">
        <v>265</v>
      </c>
      <c r="AU3" s="30"/>
      <c r="AW3" s="71" t="s">
        <v>106</v>
      </c>
      <c r="AX3" s="71" t="s">
        <v>233</v>
      </c>
      <c r="AY3" s="71" t="s">
        <v>272</v>
      </c>
      <c r="AZ3" s="71" t="s">
        <v>305</v>
      </c>
    </row>
    <row r="4" spans="1:52" ht="20.100000000000001" customHeight="1" x14ac:dyDescent="0.25">
      <c r="A4" s="73" t="s">
        <v>57</v>
      </c>
      <c r="B4" s="73" t="s">
        <v>106</v>
      </c>
      <c r="C4" s="73" t="s">
        <v>232</v>
      </c>
      <c r="D4" s="73" t="s">
        <v>177</v>
      </c>
      <c r="E4" s="73" t="s">
        <v>100</v>
      </c>
      <c r="F4" s="73" t="s">
        <v>49</v>
      </c>
      <c r="G4" s="73" t="s">
        <v>73</v>
      </c>
      <c r="H4" s="73" t="s">
        <v>66</v>
      </c>
      <c r="I4" s="73" t="s">
        <v>97</v>
      </c>
      <c r="J4" s="73" t="s">
        <v>145</v>
      </c>
      <c r="K4" s="73" t="s">
        <v>98</v>
      </c>
      <c r="L4" s="73" t="s">
        <v>62</v>
      </c>
      <c r="M4" s="73" t="s">
        <v>220</v>
      </c>
      <c r="N4" s="73" t="s">
        <v>181</v>
      </c>
      <c r="O4" s="73" t="s">
        <v>203</v>
      </c>
      <c r="P4" s="73" t="s">
        <v>103</v>
      </c>
      <c r="Q4" s="73" t="s">
        <v>183</v>
      </c>
      <c r="R4" s="73" t="s">
        <v>201</v>
      </c>
      <c r="S4" s="73" t="s">
        <v>222</v>
      </c>
      <c r="T4" s="73" t="s">
        <v>60</v>
      </c>
      <c r="U4" s="73" t="s">
        <v>59</v>
      </c>
      <c r="V4" s="73" t="s">
        <v>275</v>
      </c>
      <c r="W4" s="73" t="s">
        <v>278</v>
      </c>
      <c r="X4" s="73" t="s">
        <v>56</v>
      </c>
      <c r="Y4" s="73" t="s">
        <v>228</v>
      </c>
      <c r="Z4" s="73" t="s">
        <v>229</v>
      </c>
      <c r="AA4" s="73" t="s">
        <v>279</v>
      </c>
      <c r="AB4" s="73" t="s">
        <v>182</v>
      </c>
      <c r="AC4" s="25"/>
      <c r="AD4" s="25"/>
      <c r="AE4" s="76" t="s">
        <v>106</v>
      </c>
      <c r="AF4" s="76" t="s">
        <v>182</v>
      </c>
      <c r="AG4" s="76" t="s">
        <v>56</v>
      </c>
      <c r="AH4" s="76" t="s">
        <v>57</v>
      </c>
      <c r="AI4" s="76" t="s">
        <v>270</v>
      </c>
      <c r="AJ4" s="76" t="s">
        <v>227</v>
      </c>
      <c r="AK4" s="76" t="s">
        <v>243</v>
      </c>
      <c r="AL4" s="76" t="s">
        <v>226</v>
      </c>
      <c r="AM4" s="76" t="s">
        <v>237</v>
      </c>
      <c r="AN4" s="76" t="s">
        <v>225</v>
      </c>
      <c r="AO4" s="76" t="s">
        <v>195</v>
      </c>
      <c r="AP4" s="76" t="s">
        <v>241</v>
      </c>
      <c r="AQ4" s="76" t="s">
        <v>242</v>
      </c>
      <c r="AR4" s="76" t="s">
        <v>263</v>
      </c>
      <c r="AS4" s="76" t="s">
        <v>264</v>
      </c>
      <c r="AT4" s="76" t="s">
        <v>265</v>
      </c>
      <c r="AU4" s="30"/>
      <c r="AW4" s="76" t="s">
        <v>106</v>
      </c>
      <c r="AX4" s="76" t="s">
        <v>233</v>
      </c>
      <c r="AY4" s="76" t="s">
        <v>272</v>
      </c>
      <c r="AZ4" s="76" t="s">
        <v>305</v>
      </c>
    </row>
    <row r="5" spans="1:52" ht="20.100000000000001" customHeight="1" x14ac:dyDescent="0.25">
      <c r="A5" s="74">
        <v>45142</v>
      </c>
      <c r="B5" s="74" t="s">
        <v>434</v>
      </c>
      <c r="C5" s="69" t="s">
        <v>93</v>
      </c>
      <c r="D5" s="69" t="s">
        <v>93</v>
      </c>
      <c r="E5" s="75" t="s">
        <v>44</v>
      </c>
      <c r="F5" s="75" t="s">
        <v>588</v>
      </c>
      <c r="G5" s="69" t="s">
        <v>121</v>
      </c>
      <c r="H5" s="69">
        <v>1.4</v>
      </c>
      <c r="I5" s="69" t="s">
        <v>200</v>
      </c>
      <c r="J5" s="89" t="s">
        <v>589</v>
      </c>
      <c r="K5" s="75"/>
      <c r="L5" s="99" t="s">
        <v>589</v>
      </c>
      <c r="M5" s="4"/>
      <c r="N5" s="75" t="s">
        <v>8</v>
      </c>
      <c r="O5" s="4" t="s">
        <v>8</v>
      </c>
      <c r="P5" s="69" t="s">
        <v>378</v>
      </c>
      <c r="Q5" s="69"/>
      <c r="R5" s="126"/>
      <c r="S5" s="4" t="s">
        <v>140</v>
      </c>
      <c r="T5" s="69">
        <v>5</v>
      </c>
      <c r="U5" s="69" t="s">
        <v>104</v>
      </c>
      <c r="V5" s="69" t="s">
        <v>104</v>
      </c>
      <c r="W5" s="69" t="s">
        <v>104</v>
      </c>
      <c r="X5" s="69" t="s">
        <v>438</v>
      </c>
      <c r="Y5" s="69">
        <v>0.19500000000000001</v>
      </c>
      <c r="Z5" s="69">
        <v>1.4</v>
      </c>
      <c r="AA5" s="69">
        <v>1.5229999999999999</v>
      </c>
      <c r="AB5" s="69" t="s">
        <v>448</v>
      </c>
      <c r="AC5" s="25"/>
      <c r="AD5" s="25"/>
      <c r="AE5" t="s">
        <v>555</v>
      </c>
      <c r="AF5" t="s">
        <v>578</v>
      </c>
      <c r="AG5" s="94" t="s">
        <v>558</v>
      </c>
      <c r="AH5" s="74">
        <v>45138</v>
      </c>
      <c r="AI5" s="1">
        <v>50</v>
      </c>
      <c r="AJ5" s="1" t="s">
        <v>236</v>
      </c>
      <c r="AK5" s="1" t="s">
        <v>585</v>
      </c>
      <c r="AL5" s="91" t="s">
        <v>238</v>
      </c>
      <c r="AM5" s="91" t="s">
        <v>585</v>
      </c>
      <c r="AN5" s="91"/>
      <c r="AO5" s="90" t="s">
        <v>198</v>
      </c>
      <c r="AP5" s="72" t="s">
        <v>198</v>
      </c>
      <c r="AQ5" s="90" t="s">
        <v>8</v>
      </c>
      <c r="AR5" s="107" t="s">
        <v>663</v>
      </c>
      <c r="AS5" s="91"/>
      <c r="AT5" s="108" t="s">
        <v>664</v>
      </c>
      <c r="AU5" s="30"/>
      <c r="AW5" t="s">
        <v>449</v>
      </c>
      <c r="AX5" s="72" t="s">
        <v>584</v>
      </c>
      <c r="AY5" s="88" t="s">
        <v>255</v>
      </c>
      <c r="AZ5" s="88" t="s">
        <v>309</v>
      </c>
    </row>
    <row r="6" spans="1:52" ht="20.100000000000001" customHeight="1" x14ac:dyDescent="0.25">
      <c r="A6" s="74">
        <v>45141</v>
      </c>
      <c r="B6" s="74" t="s">
        <v>449</v>
      </c>
      <c r="C6" s="69" t="s">
        <v>93</v>
      </c>
      <c r="D6" s="69" t="s">
        <v>93</v>
      </c>
      <c r="E6" s="75" t="s">
        <v>135</v>
      </c>
      <c r="F6" s="75" t="s">
        <v>590</v>
      </c>
      <c r="G6" s="69" t="s">
        <v>95</v>
      </c>
      <c r="H6" s="69">
        <v>1.5</v>
      </c>
      <c r="I6" s="69" t="s">
        <v>200</v>
      </c>
      <c r="J6" s="69" t="s">
        <v>591</v>
      </c>
      <c r="K6" s="75" t="s">
        <v>592</v>
      </c>
      <c r="L6" s="98" t="s">
        <v>591</v>
      </c>
      <c r="M6" s="4">
        <v>50</v>
      </c>
      <c r="N6" s="75" t="s">
        <v>8</v>
      </c>
      <c r="O6" s="4" t="s">
        <v>8</v>
      </c>
      <c r="P6" s="69" t="s">
        <v>104</v>
      </c>
      <c r="Q6" s="69"/>
      <c r="R6" s="125"/>
      <c r="S6" s="4" t="s">
        <v>140</v>
      </c>
      <c r="T6" s="69">
        <v>6</v>
      </c>
      <c r="U6" s="69" t="s">
        <v>104</v>
      </c>
      <c r="V6" s="69" t="s">
        <v>104</v>
      </c>
      <c r="W6" s="69" t="s">
        <v>104</v>
      </c>
      <c r="X6" s="69" t="s">
        <v>453</v>
      </c>
      <c r="Y6" s="69">
        <v>1.5</v>
      </c>
      <c r="Z6" s="69">
        <v>10.763999999999999</v>
      </c>
      <c r="AA6" s="69">
        <v>11.71</v>
      </c>
      <c r="AB6" s="69" t="s">
        <v>462</v>
      </c>
      <c r="AC6" s="25"/>
      <c r="AD6" s="25"/>
      <c r="AE6" t="s">
        <v>449</v>
      </c>
      <c r="AF6" t="s">
        <v>462</v>
      </c>
      <c r="AG6" s="94" t="s">
        <v>453</v>
      </c>
      <c r="AH6" s="74">
        <v>45141</v>
      </c>
      <c r="AI6" s="1">
        <v>52</v>
      </c>
      <c r="AJ6" s="1" t="s">
        <v>248</v>
      </c>
      <c r="AK6" s="1" t="s">
        <v>586</v>
      </c>
      <c r="AL6" s="91" t="s">
        <v>235</v>
      </c>
      <c r="AM6" s="91" t="s">
        <v>586</v>
      </c>
      <c r="AN6" s="91"/>
      <c r="AO6" s="90" t="s">
        <v>197</v>
      </c>
      <c r="AP6" s="72" t="s">
        <v>8</v>
      </c>
      <c r="AQ6" s="90" t="s">
        <v>8</v>
      </c>
      <c r="AR6" s="96"/>
      <c r="AS6" s="91"/>
      <c r="AT6" s="90"/>
      <c r="AU6" s="30"/>
      <c r="AW6"/>
      <c r="AX6" s="72"/>
      <c r="AY6" s="88"/>
      <c r="AZ6" s="88"/>
    </row>
    <row r="7" spans="1:52" ht="20.100000000000001" customHeight="1" x14ac:dyDescent="0.25">
      <c r="A7" s="74">
        <v>45140</v>
      </c>
      <c r="B7" s="74" t="s">
        <v>492</v>
      </c>
      <c r="C7" s="69" t="s">
        <v>582</v>
      </c>
      <c r="D7" s="69" t="s">
        <v>665</v>
      </c>
      <c r="E7" s="75" t="s">
        <v>47</v>
      </c>
      <c r="F7" s="75" t="s">
        <v>8</v>
      </c>
      <c r="G7" s="69" t="s">
        <v>95</v>
      </c>
      <c r="H7" s="69">
        <v>8</v>
      </c>
      <c r="I7" s="69" t="s">
        <v>200</v>
      </c>
      <c r="J7" s="69" t="s">
        <v>505</v>
      </c>
      <c r="K7" s="75" t="s">
        <v>595</v>
      </c>
      <c r="L7" s="98" t="s">
        <v>596</v>
      </c>
      <c r="M7" s="4">
        <v>30</v>
      </c>
      <c r="N7" s="75" t="s">
        <v>8</v>
      </c>
      <c r="O7" s="4" t="s">
        <v>8</v>
      </c>
      <c r="P7" s="69" t="s">
        <v>378</v>
      </c>
      <c r="Q7" s="69"/>
      <c r="R7" s="4" t="s">
        <v>596</v>
      </c>
      <c r="S7" s="4" t="s">
        <v>597</v>
      </c>
      <c r="T7" s="69">
        <v>5.25</v>
      </c>
      <c r="U7" s="69" t="s">
        <v>335</v>
      </c>
      <c r="V7" s="69" t="s">
        <v>104</v>
      </c>
      <c r="W7" s="69" t="s">
        <v>104</v>
      </c>
      <c r="X7" s="69" t="s">
        <v>497</v>
      </c>
      <c r="Y7" s="69">
        <v>8</v>
      </c>
      <c r="Z7" s="69">
        <v>57.64</v>
      </c>
      <c r="AA7" s="69">
        <v>62.415999999999997</v>
      </c>
      <c r="AB7" s="69" t="s">
        <v>508</v>
      </c>
      <c r="AC7" s="25"/>
      <c r="AD7" s="25"/>
      <c r="AE7" t="s">
        <v>492</v>
      </c>
      <c r="AF7" t="s">
        <v>508</v>
      </c>
      <c r="AG7" s="94" t="s">
        <v>497</v>
      </c>
      <c r="AH7" s="74">
        <v>45140</v>
      </c>
      <c r="AI7" s="1">
        <v>51</v>
      </c>
      <c r="AJ7" s="1" t="s">
        <v>236</v>
      </c>
      <c r="AK7" s="1" t="s">
        <v>587</v>
      </c>
      <c r="AL7" s="91" t="s">
        <v>235</v>
      </c>
      <c r="AM7" s="91" t="s">
        <v>661</v>
      </c>
      <c r="AN7" s="91" t="s">
        <v>662</v>
      </c>
      <c r="AO7" s="90" t="s">
        <v>197</v>
      </c>
      <c r="AP7" s="72" t="s">
        <v>198</v>
      </c>
      <c r="AQ7" s="90" t="s">
        <v>8</v>
      </c>
      <c r="AR7" s="96"/>
      <c r="AS7" s="91"/>
      <c r="AT7" s="108"/>
      <c r="AU7" s="30"/>
      <c r="AW7"/>
      <c r="AX7" s="72"/>
      <c r="AY7" s="88"/>
      <c r="AZ7" s="88"/>
    </row>
    <row r="8" spans="1:52" ht="20.100000000000001" customHeight="1" x14ac:dyDescent="0.25">
      <c r="A8" s="74">
        <v>45140</v>
      </c>
      <c r="B8" s="74" t="s">
        <v>468</v>
      </c>
      <c r="C8" s="69" t="s">
        <v>580</v>
      </c>
      <c r="D8" s="69" t="s">
        <v>93</v>
      </c>
      <c r="E8" s="75" t="s">
        <v>44</v>
      </c>
      <c r="F8" s="75" t="s">
        <v>8</v>
      </c>
      <c r="G8" s="69" t="s">
        <v>121</v>
      </c>
      <c r="H8" s="69">
        <v>30</v>
      </c>
      <c r="I8" s="69" t="s">
        <v>593</v>
      </c>
      <c r="J8" s="69" t="s">
        <v>594</v>
      </c>
      <c r="K8" s="75"/>
      <c r="L8" s="75"/>
      <c r="M8" s="4"/>
      <c r="N8" s="75" t="s">
        <v>8</v>
      </c>
      <c r="O8" s="4" t="s">
        <v>8</v>
      </c>
      <c r="P8" s="69" t="s">
        <v>127</v>
      </c>
      <c r="Q8" s="69"/>
      <c r="R8" s="125"/>
      <c r="S8" s="4" t="s">
        <v>140</v>
      </c>
      <c r="T8" s="69">
        <v>2.52</v>
      </c>
      <c r="U8" s="69" t="s">
        <v>104</v>
      </c>
      <c r="V8" s="69" t="s">
        <v>104</v>
      </c>
      <c r="W8" s="69" t="s">
        <v>104</v>
      </c>
      <c r="X8" s="69" t="s">
        <v>473</v>
      </c>
      <c r="Y8" s="69">
        <v>4.17</v>
      </c>
      <c r="Z8" s="69">
        <v>30</v>
      </c>
      <c r="AA8" s="69">
        <v>32.49</v>
      </c>
      <c r="AB8" s="69" t="s">
        <v>479</v>
      </c>
      <c r="AC8" s="25"/>
      <c r="AD8" s="25"/>
      <c r="AE8" t="s">
        <v>468</v>
      </c>
      <c r="AF8" t="s">
        <v>479</v>
      </c>
      <c r="AG8" s="94" t="s">
        <v>473</v>
      </c>
      <c r="AH8" s="74">
        <v>45140</v>
      </c>
      <c r="AL8" s="91"/>
      <c r="AM8" s="91"/>
      <c r="AN8" s="91"/>
      <c r="AO8" s="90" t="s">
        <v>8</v>
      </c>
      <c r="AP8" s="72" t="s">
        <v>198</v>
      </c>
      <c r="AQ8" s="90" t="s">
        <v>8</v>
      </c>
      <c r="AR8" s="97" t="s">
        <v>700</v>
      </c>
      <c r="AS8" s="91"/>
      <c r="AT8" s="90"/>
      <c r="AU8" s="30"/>
      <c r="AW8"/>
      <c r="AX8" s="72"/>
      <c r="AY8" s="88"/>
      <c r="AZ8" s="88"/>
    </row>
    <row r="9" spans="1:52" ht="20.100000000000001" customHeight="1" x14ac:dyDescent="0.25">
      <c r="A9" s="74">
        <v>45140</v>
      </c>
      <c r="B9" s="74" t="s">
        <v>468</v>
      </c>
      <c r="C9" s="69" t="s">
        <v>580</v>
      </c>
      <c r="D9" s="69" t="s">
        <v>93</v>
      </c>
      <c r="E9" s="75" t="s">
        <v>44</v>
      </c>
      <c r="F9" s="75" t="s">
        <v>8</v>
      </c>
      <c r="G9" s="69" t="s">
        <v>121</v>
      </c>
      <c r="H9" s="69">
        <v>60</v>
      </c>
      <c r="I9" s="69" t="s">
        <v>695</v>
      </c>
      <c r="J9" s="123" t="s">
        <v>703</v>
      </c>
      <c r="K9" s="75"/>
      <c r="L9" s="75"/>
      <c r="M9" s="126"/>
      <c r="N9" s="75" t="s">
        <v>8</v>
      </c>
      <c r="O9" s="4" t="s">
        <v>8</v>
      </c>
      <c r="P9" s="69" t="s">
        <v>378</v>
      </c>
      <c r="Q9" s="69" t="s">
        <v>697</v>
      </c>
      <c r="R9" s="4"/>
      <c r="S9" s="4" t="s">
        <v>140</v>
      </c>
      <c r="T9" s="69">
        <v>2.2158000000000002</v>
      </c>
      <c r="U9" s="69" t="s">
        <v>104</v>
      </c>
      <c r="V9" s="69" t="s">
        <v>104</v>
      </c>
      <c r="W9" s="69" t="s">
        <v>104</v>
      </c>
      <c r="X9" s="69" t="s">
        <v>686</v>
      </c>
      <c r="Y9" s="69">
        <v>8.34</v>
      </c>
      <c r="Z9" s="69">
        <v>60</v>
      </c>
      <c r="AA9" s="69">
        <v>64.98</v>
      </c>
      <c r="AB9" s="69" t="s">
        <v>690</v>
      </c>
      <c r="AC9" s="25"/>
      <c r="AD9" s="25"/>
      <c r="AE9" t="s">
        <v>468</v>
      </c>
      <c r="AF9" t="s">
        <v>690</v>
      </c>
      <c r="AG9" s="94" t="s">
        <v>686</v>
      </c>
      <c r="AH9" s="74">
        <v>45140</v>
      </c>
      <c r="AL9" s="91"/>
      <c r="AM9" s="91"/>
      <c r="AN9" s="91"/>
      <c r="AO9" s="90" t="s">
        <v>8</v>
      </c>
      <c r="AP9" s="72" t="s">
        <v>198</v>
      </c>
      <c r="AQ9" s="90" t="s">
        <v>8</v>
      </c>
      <c r="AR9" s="97" t="s">
        <v>700</v>
      </c>
      <c r="AS9" s="91"/>
      <c r="AT9" s="90"/>
      <c r="AU9" s="30"/>
      <c r="AW9"/>
      <c r="AX9" s="72"/>
      <c r="AY9" s="88"/>
      <c r="AZ9" s="88"/>
    </row>
    <row r="10" spans="1:52" ht="20.100000000000001" customHeight="1" x14ac:dyDescent="0.25">
      <c r="A10" s="74">
        <v>45140</v>
      </c>
      <c r="B10" s="74" t="s">
        <v>468</v>
      </c>
      <c r="C10" s="123" t="s">
        <v>580</v>
      </c>
      <c r="D10" s="123" t="s">
        <v>93</v>
      </c>
      <c r="E10" s="75" t="s">
        <v>44</v>
      </c>
      <c r="F10" s="75" t="s">
        <v>8</v>
      </c>
      <c r="G10" s="69" t="s">
        <v>121</v>
      </c>
      <c r="H10" s="69">
        <v>30</v>
      </c>
      <c r="I10" s="69" t="s">
        <v>601</v>
      </c>
      <c r="J10" s="69" t="s">
        <v>698</v>
      </c>
      <c r="K10" s="75"/>
      <c r="L10" s="124"/>
      <c r="M10" s="4"/>
      <c r="N10" s="75" t="s">
        <v>8</v>
      </c>
      <c r="O10" s="4" t="s">
        <v>8</v>
      </c>
      <c r="P10" s="69" t="s">
        <v>378</v>
      </c>
      <c r="Q10" s="69" t="s">
        <v>697</v>
      </c>
      <c r="R10" s="125"/>
      <c r="S10" s="4" t="s">
        <v>140</v>
      </c>
      <c r="T10" s="69">
        <v>2.2995000000000001</v>
      </c>
      <c r="U10" s="69" t="s">
        <v>104</v>
      </c>
      <c r="V10" s="69" t="s">
        <v>104</v>
      </c>
      <c r="W10" s="69" t="s">
        <v>104</v>
      </c>
      <c r="X10" s="69" t="s">
        <v>692</v>
      </c>
      <c r="Y10" s="69">
        <v>4.17</v>
      </c>
      <c r="Z10" s="69">
        <v>30</v>
      </c>
      <c r="AA10" s="69">
        <v>32.49</v>
      </c>
      <c r="AB10" s="69" t="s">
        <v>694</v>
      </c>
      <c r="AC10" s="25"/>
      <c r="AD10" s="25"/>
      <c r="AE10" t="s">
        <v>468</v>
      </c>
      <c r="AF10" t="s">
        <v>694</v>
      </c>
      <c r="AG10" s="94" t="s">
        <v>692</v>
      </c>
      <c r="AH10" s="74">
        <v>45140</v>
      </c>
      <c r="AL10" s="91"/>
      <c r="AM10" s="72"/>
      <c r="AN10" s="72"/>
      <c r="AO10" s="90" t="s">
        <v>8</v>
      </c>
      <c r="AP10" s="72" t="s">
        <v>198</v>
      </c>
      <c r="AQ10" s="90" t="s">
        <v>8</v>
      </c>
      <c r="AR10" s="97" t="s">
        <v>700</v>
      </c>
      <c r="AS10" s="72"/>
      <c r="AT10" s="90"/>
      <c r="AU10" s="30"/>
      <c r="AW10"/>
      <c r="AX10" s="72"/>
      <c r="AY10" s="88"/>
      <c r="AZ10" s="88"/>
    </row>
    <row r="11" spans="1:52" ht="20.100000000000001" customHeight="1" x14ac:dyDescent="0.25">
      <c r="A11" s="74">
        <v>45139</v>
      </c>
      <c r="B11" s="74" t="s">
        <v>528</v>
      </c>
      <c r="C11" s="69" t="s">
        <v>93</v>
      </c>
      <c r="D11" s="69" t="s">
        <v>93</v>
      </c>
      <c r="E11" s="75" t="s">
        <v>135</v>
      </c>
      <c r="F11" s="75" t="s">
        <v>598</v>
      </c>
      <c r="G11" s="69" t="s">
        <v>121</v>
      </c>
      <c r="H11" s="69">
        <v>1.97</v>
      </c>
      <c r="I11" s="69" t="s">
        <v>200</v>
      </c>
      <c r="J11" s="69" t="s">
        <v>599</v>
      </c>
      <c r="K11" s="75"/>
      <c r="L11" s="75" t="s">
        <v>599</v>
      </c>
      <c r="M11" s="4"/>
      <c r="N11" s="75" t="s">
        <v>8</v>
      </c>
      <c r="O11" s="4" t="s">
        <v>8</v>
      </c>
      <c r="P11" s="69" t="s">
        <v>600</v>
      </c>
      <c r="Q11" s="69"/>
      <c r="R11" s="4"/>
      <c r="S11" s="4" t="s">
        <v>140</v>
      </c>
      <c r="T11" s="69">
        <v>4.9000000000000004</v>
      </c>
      <c r="U11" s="69" t="s">
        <v>533</v>
      </c>
      <c r="V11" s="69" t="s">
        <v>104</v>
      </c>
      <c r="W11" s="69" t="s">
        <v>104</v>
      </c>
      <c r="X11" s="69" t="s">
        <v>532</v>
      </c>
      <c r="Y11" s="69">
        <v>0.27400000000000002</v>
      </c>
      <c r="Z11" s="69">
        <v>1.97</v>
      </c>
      <c r="AA11" s="69">
        <v>2.137</v>
      </c>
      <c r="AB11" s="69" t="s">
        <v>541</v>
      </c>
      <c r="AC11" s="25"/>
      <c r="AD11" s="25"/>
      <c r="AE11"/>
      <c r="AF11"/>
      <c r="AG11" s="94"/>
      <c r="AH11"/>
      <c r="AL11" s="91"/>
      <c r="AM11" s="72"/>
      <c r="AN11" s="72"/>
      <c r="AO11" s="72"/>
      <c r="AP11" s="72"/>
      <c r="AQ11" s="90"/>
      <c r="AR11" s="96"/>
      <c r="AS11" s="72"/>
      <c r="AT11" s="90"/>
      <c r="AU11" s="30"/>
    </row>
    <row r="12" spans="1:52" ht="20.100000000000001" customHeight="1" x14ac:dyDescent="0.25">
      <c r="A12" s="74">
        <v>45138</v>
      </c>
      <c r="B12" s="74" t="s">
        <v>555</v>
      </c>
      <c r="C12" s="69" t="s">
        <v>583</v>
      </c>
      <c r="D12" s="123" t="s">
        <v>666</v>
      </c>
      <c r="E12" s="75" t="s">
        <v>47</v>
      </c>
      <c r="F12" s="75" t="s">
        <v>8</v>
      </c>
      <c r="G12" s="69" t="s">
        <v>95</v>
      </c>
      <c r="H12" s="69">
        <v>4</v>
      </c>
      <c r="I12" s="69" t="s">
        <v>601</v>
      </c>
      <c r="J12" s="69" t="s">
        <v>602</v>
      </c>
      <c r="K12" s="75" t="s">
        <v>603</v>
      </c>
      <c r="L12" s="75" t="s">
        <v>604</v>
      </c>
      <c r="M12" s="4">
        <v>45</v>
      </c>
      <c r="N12" s="75" t="s">
        <v>8</v>
      </c>
      <c r="O12" s="4" t="s">
        <v>8</v>
      </c>
      <c r="P12" s="69" t="s">
        <v>378</v>
      </c>
      <c r="Q12" s="69"/>
      <c r="R12" s="4" t="s">
        <v>604</v>
      </c>
      <c r="S12" s="4" t="s">
        <v>605</v>
      </c>
      <c r="T12" s="69">
        <v>5.75</v>
      </c>
      <c r="U12" s="69" t="s">
        <v>335</v>
      </c>
      <c r="V12" s="69" t="s">
        <v>104</v>
      </c>
      <c r="W12" s="69" t="s">
        <v>104</v>
      </c>
      <c r="X12" s="69" t="s">
        <v>558</v>
      </c>
      <c r="Y12" s="69">
        <v>4</v>
      </c>
      <c r="Z12" s="69">
        <v>28.576000000000001</v>
      </c>
      <c r="AA12" s="69">
        <v>31.196000000000002</v>
      </c>
      <c r="AB12" s="69" t="s">
        <v>578</v>
      </c>
      <c r="AC12" s="25"/>
      <c r="AD12" s="25"/>
      <c r="AQ12" s="25"/>
      <c r="AR12" s="25"/>
      <c r="AT12" s="25"/>
      <c r="AU12" s="30"/>
    </row>
    <row r="13" spans="1:52" ht="20.100000000000001" customHeight="1" x14ac:dyDescent="0.25">
      <c r="A13" s="74"/>
      <c r="B13" s="74"/>
      <c r="C13" s="69"/>
      <c r="D13" s="69"/>
      <c r="E13" s="75"/>
      <c r="F13" s="75"/>
      <c r="G13" s="69"/>
      <c r="H13" s="69"/>
      <c r="I13" s="69"/>
      <c r="J13" s="69"/>
      <c r="K13" s="75"/>
      <c r="L13" s="99"/>
      <c r="M13" s="4"/>
      <c r="N13" s="75"/>
      <c r="O13" s="4"/>
      <c r="P13" s="69"/>
      <c r="Q13" s="69"/>
      <c r="R13" s="4"/>
      <c r="S13" s="4"/>
      <c r="T13" s="69"/>
      <c r="U13" s="69"/>
      <c r="V13" s="69"/>
      <c r="W13" s="69"/>
      <c r="X13" s="69"/>
      <c r="Y13" s="69"/>
      <c r="Z13" s="69"/>
      <c r="AA13" s="69"/>
      <c r="AB13" s="69"/>
      <c r="AC13" s="25"/>
      <c r="AD13" s="25"/>
      <c r="AR13" s="25"/>
      <c r="AT13" s="25"/>
      <c r="AU13" s="30"/>
    </row>
    <row r="14" spans="1:52" ht="20.100000000000001" customHeight="1" x14ac:dyDescent="0.25">
      <c r="A14" s="74"/>
      <c r="B14" s="74"/>
      <c r="C14" s="69"/>
      <c r="D14" s="69"/>
      <c r="E14" s="75"/>
      <c r="F14" s="75"/>
      <c r="G14" s="69"/>
      <c r="H14" s="69"/>
      <c r="I14" s="69"/>
      <c r="J14" s="69"/>
      <c r="K14" s="75"/>
      <c r="L14" s="75"/>
      <c r="M14" s="4"/>
      <c r="N14" s="75"/>
      <c r="O14" s="4"/>
      <c r="P14" s="69"/>
      <c r="Q14" s="69"/>
      <c r="R14" s="4"/>
      <c r="S14" s="4"/>
      <c r="T14" s="69"/>
      <c r="U14" s="69"/>
      <c r="V14" s="69"/>
      <c r="W14" s="69"/>
      <c r="X14" s="69"/>
      <c r="Y14" s="69"/>
      <c r="Z14" s="69"/>
      <c r="AA14" s="69"/>
      <c r="AB14" s="69"/>
      <c r="AC14" s="25"/>
      <c r="AD14" s="25"/>
      <c r="AR14" s="25"/>
      <c r="AT14" s="25"/>
    </row>
    <row r="15" spans="1:52" ht="20.100000000000001" customHeight="1" x14ac:dyDescent="0.25">
      <c r="A15" s="74"/>
      <c r="B15" s="74"/>
      <c r="C15" s="69"/>
      <c r="D15" s="69"/>
      <c r="E15" s="75"/>
      <c r="F15" s="75"/>
      <c r="G15" s="69"/>
      <c r="H15" s="69"/>
      <c r="I15" s="69"/>
      <c r="J15" s="69"/>
      <c r="K15" s="75"/>
      <c r="L15" s="98"/>
      <c r="M15" s="4"/>
      <c r="N15" s="75"/>
      <c r="O15" s="4"/>
      <c r="P15" s="69"/>
      <c r="Q15" s="69"/>
      <c r="R15" s="4"/>
      <c r="S15" s="4"/>
      <c r="T15" s="69"/>
      <c r="U15" s="69"/>
      <c r="V15" s="69"/>
      <c r="W15" s="69"/>
      <c r="X15" s="69"/>
      <c r="Y15" s="69"/>
      <c r="Z15" s="69"/>
      <c r="AA15" s="69"/>
      <c r="AB15" s="69"/>
      <c r="AC15" s="25"/>
      <c r="AD15" s="25"/>
    </row>
    <row r="16" spans="1:52" ht="20.100000000000001" customHeight="1" x14ac:dyDescent="0.25">
      <c r="A16" s="74"/>
      <c r="B16" s="74"/>
      <c r="C16" s="69"/>
      <c r="D16" s="69"/>
      <c r="E16" s="75"/>
      <c r="F16" s="75"/>
      <c r="G16" s="69"/>
      <c r="H16" s="69"/>
      <c r="I16" s="69"/>
      <c r="J16" s="69"/>
      <c r="K16" s="75"/>
      <c r="L16" s="75"/>
      <c r="M16" s="4"/>
      <c r="N16" s="75"/>
      <c r="O16" s="4"/>
      <c r="P16" s="69"/>
      <c r="Q16" s="69"/>
      <c r="R16" s="4"/>
      <c r="S16" s="4"/>
      <c r="T16" s="69"/>
      <c r="U16" s="69"/>
      <c r="V16" s="69"/>
      <c r="W16" s="69"/>
      <c r="X16" s="69"/>
      <c r="Y16" s="69"/>
      <c r="Z16" s="69"/>
      <c r="AA16" s="69"/>
      <c r="AB16" s="69"/>
      <c r="AC16" s="25"/>
      <c r="AD16" s="25"/>
    </row>
    <row r="17" spans="1:32" ht="20.100000000000001" customHeight="1" x14ac:dyDescent="0.25">
      <c r="A17" s="74"/>
      <c r="B17" s="74"/>
      <c r="C17" s="69"/>
      <c r="D17" s="69"/>
      <c r="E17" s="75"/>
      <c r="F17" s="75"/>
      <c r="G17" s="69"/>
      <c r="H17" s="69"/>
      <c r="I17" s="69"/>
      <c r="J17" s="69"/>
      <c r="K17" s="75"/>
      <c r="L17" s="75"/>
      <c r="M17" s="4"/>
      <c r="N17" s="75"/>
      <c r="O17" s="4"/>
      <c r="P17" s="69"/>
      <c r="Q17" s="69"/>
      <c r="R17" s="4"/>
      <c r="S17" s="4"/>
      <c r="T17" s="69"/>
      <c r="U17" s="69"/>
      <c r="V17" s="69"/>
      <c r="W17" s="69"/>
      <c r="X17" s="69"/>
      <c r="Y17" s="69"/>
      <c r="Z17" s="69"/>
      <c r="AA17" s="69"/>
      <c r="AB17" s="69"/>
      <c r="AC17" s="25"/>
      <c r="AD17" s="25"/>
    </row>
    <row r="18" spans="1:32" ht="20.100000000000001" customHeight="1" x14ac:dyDescent="0.25">
      <c r="A18" s="74"/>
      <c r="B18" s="74"/>
      <c r="C18" s="69"/>
      <c r="D18" s="69"/>
      <c r="E18" s="75"/>
      <c r="F18" s="75"/>
      <c r="G18" s="69"/>
      <c r="H18" s="69"/>
      <c r="I18" s="69"/>
      <c r="J18" s="69"/>
      <c r="K18" s="75"/>
      <c r="L18" s="75"/>
      <c r="M18" s="4"/>
      <c r="N18" s="75"/>
      <c r="O18" s="4"/>
      <c r="P18" s="69"/>
      <c r="Q18" s="69"/>
      <c r="R18" s="4"/>
      <c r="S18" s="4"/>
      <c r="T18" s="69"/>
      <c r="U18" s="69"/>
      <c r="V18" s="69"/>
      <c r="W18" s="69"/>
      <c r="X18" s="69"/>
      <c r="Y18" s="69"/>
      <c r="Z18" s="69"/>
      <c r="AA18" s="69"/>
      <c r="AB18" s="69"/>
      <c r="AC18" s="25"/>
      <c r="AD18" s="25"/>
    </row>
    <row r="19" spans="1:32" ht="20.100000000000001" customHeight="1" x14ac:dyDescent="0.25">
      <c r="A19" s="74"/>
      <c r="B19" s="74"/>
      <c r="C19" s="69"/>
      <c r="D19" s="69"/>
      <c r="E19" s="75"/>
      <c r="F19" s="75"/>
      <c r="G19" s="69"/>
      <c r="H19" s="69"/>
      <c r="I19" s="69"/>
      <c r="J19" s="69"/>
      <c r="K19" s="75"/>
      <c r="L19" s="75"/>
      <c r="M19" s="4"/>
      <c r="N19" s="75"/>
      <c r="O19" s="4"/>
      <c r="P19" s="69"/>
      <c r="Q19" s="69"/>
      <c r="R19" s="4"/>
      <c r="S19" s="4"/>
      <c r="T19" s="69"/>
      <c r="U19" s="69"/>
      <c r="V19" s="69"/>
      <c r="W19" s="69"/>
      <c r="X19" s="69"/>
      <c r="Y19" s="69"/>
      <c r="Z19" s="69"/>
      <c r="AA19" s="69"/>
      <c r="AB19" s="69"/>
      <c r="AC19" s="25"/>
      <c r="AD19" s="25"/>
    </row>
    <row r="20" spans="1:32" ht="20.100000000000001" customHeight="1" x14ac:dyDescent="0.25">
      <c r="A20" s="74"/>
      <c r="B20" s="74"/>
      <c r="C20" s="69"/>
      <c r="D20" s="69"/>
      <c r="E20" s="75"/>
      <c r="F20" s="75"/>
      <c r="G20" s="69"/>
      <c r="H20" s="69"/>
      <c r="I20" s="69"/>
      <c r="J20" s="69"/>
      <c r="K20" s="75"/>
      <c r="L20" s="75"/>
      <c r="M20" s="4"/>
      <c r="N20" s="75"/>
      <c r="O20" s="4"/>
      <c r="P20" s="69"/>
      <c r="Q20" s="69"/>
      <c r="R20" s="4"/>
      <c r="S20" s="4"/>
      <c r="T20" s="69"/>
      <c r="U20" s="69"/>
      <c r="V20" s="69"/>
      <c r="W20" s="69"/>
      <c r="X20" s="69"/>
      <c r="Y20" s="69"/>
      <c r="Z20" s="69"/>
      <c r="AA20" s="69"/>
      <c r="AB20" s="69"/>
      <c r="AC20" s="25"/>
      <c r="AD20" s="25"/>
    </row>
    <row r="21" spans="1:32" ht="20.100000000000001" customHeight="1" x14ac:dyDescent="0.25">
      <c r="A21" s="74"/>
      <c r="B21" s="74"/>
      <c r="C21" s="69"/>
      <c r="D21" s="69"/>
      <c r="E21" s="75"/>
      <c r="F21" s="75"/>
      <c r="G21" s="69"/>
      <c r="H21" s="69"/>
      <c r="I21" s="69"/>
      <c r="J21" s="69"/>
      <c r="K21" s="75"/>
      <c r="L21" s="75"/>
      <c r="M21" s="4"/>
      <c r="N21" s="75"/>
      <c r="O21" s="4"/>
      <c r="P21" s="69"/>
      <c r="Q21" s="69"/>
      <c r="R21" s="4"/>
      <c r="S21" s="4"/>
      <c r="T21" s="69"/>
      <c r="U21" s="69"/>
      <c r="V21" s="69"/>
      <c r="W21" s="69"/>
      <c r="X21" s="69"/>
      <c r="Y21" s="69"/>
      <c r="Z21" s="69"/>
      <c r="AA21" s="69"/>
      <c r="AB21" s="69"/>
      <c r="AC21" s="25"/>
      <c r="AD21" s="25"/>
    </row>
    <row r="22" spans="1:32" ht="20.100000000000001" customHeight="1" x14ac:dyDescent="0.25">
      <c r="A22" s="74"/>
      <c r="B22" s="74"/>
      <c r="C22" s="69"/>
      <c r="D22" s="69"/>
      <c r="E22" s="75"/>
      <c r="F22" s="75"/>
      <c r="G22" s="69"/>
      <c r="H22" s="69"/>
      <c r="I22" s="69"/>
      <c r="J22" s="69"/>
      <c r="K22" s="75"/>
      <c r="L22" s="75"/>
      <c r="M22" s="4"/>
      <c r="N22" s="75"/>
      <c r="O22" s="4"/>
      <c r="P22" s="69"/>
      <c r="Q22" s="69"/>
      <c r="R22" s="4"/>
      <c r="S22" s="4"/>
      <c r="T22" s="69"/>
      <c r="U22" s="69"/>
      <c r="V22" s="69"/>
      <c r="W22" s="69"/>
      <c r="X22" s="69"/>
      <c r="Y22" s="69"/>
      <c r="Z22" s="69"/>
      <c r="AA22" s="69"/>
      <c r="AB22" s="69"/>
      <c r="AC22" s="25"/>
      <c r="AD22" s="25"/>
    </row>
    <row r="23" spans="1:32" ht="20.100000000000001" customHeight="1" x14ac:dyDescent="0.25">
      <c r="A23" s="74"/>
      <c r="B23" s="74"/>
      <c r="C23" s="69"/>
      <c r="D23" s="69"/>
      <c r="E23" s="75"/>
      <c r="F23" s="75"/>
      <c r="G23" s="69"/>
      <c r="H23" s="69"/>
      <c r="I23" s="69"/>
      <c r="J23" s="69"/>
      <c r="K23" s="75"/>
      <c r="L23" s="75"/>
      <c r="M23" s="4"/>
      <c r="N23" s="75"/>
      <c r="O23" s="4"/>
      <c r="P23" s="69"/>
      <c r="Q23" s="69"/>
      <c r="R23" s="4"/>
      <c r="S23" s="4"/>
      <c r="T23" s="69"/>
      <c r="U23" s="69"/>
      <c r="V23" s="69"/>
      <c r="W23" s="69"/>
      <c r="X23" s="69"/>
      <c r="Y23" s="69"/>
      <c r="Z23" s="69"/>
      <c r="AA23" s="69"/>
      <c r="AB23" s="69"/>
      <c r="AC23" s="25"/>
      <c r="AD23" s="25"/>
    </row>
    <row r="24" spans="1:32" ht="20.100000000000001" customHeight="1" x14ac:dyDescent="0.25">
      <c r="A24" s="74"/>
      <c r="B24" s="74"/>
      <c r="C24" s="69"/>
      <c r="D24" s="69"/>
      <c r="E24" s="75"/>
      <c r="F24" s="75"/>
      <c r="G24" s="69"/>
      <c r="H24" s="69"/>
      <c r="I24" s="69"/>
      <c r="J24" s="69"/>
      <c r="K24" s="75"/>
      <c r="L24" s="75"/>
      <c r="M24" s="4"/>
      <c r="N24" s="75"/>
      <c r="O24" s="4"/>
      <c r="P24" s="69"/>
      <c r="Q24" s="69"/>
      <c r="R24" s="4"/>
      <c r="S24" s="4"/>
      <c r="T24" s="69"/>
      <c r="U24" s="69"/>
      <c r="V24" s="69"/>
      <c r="W24" s="69"/>
      <c r="X24" s="69"/>
      <c r="Y24" s="69"/>
      <c r="Z24" s="69"/>
      <c r="AA24" s="69"/>
      <c r="AB24" s="69"/>
      <c r="AC24" s="25"/>
      <c r="AD24" s="25"/>
    </row>
    <row r="25" spans="1:32" ht="20.100000000000001" customHeight="1" x14ac:dyDescent="0.25">
      <c r="A25" s="74"/>
      <c r="B25" s="74"/>
      <c r="C25" s="69"/>
      <c r="D25" s="69"/>
      <c r="E25" s="75"/>
      <c r="F25" s="75"/>
      <c r="G25" s="69"/>
      <c r="H25" s="69"/>
      <c r="I25" s="69"/>
      <c r="J25" s="69"/>
      <c r="K25" s="75"/>
      <c r="L25" s="75"/>
      <c r="M25" s="4"/>
      <c r="N25" s="75"/>
      <c r="O25" s="4"/>
      <c r="P25" s="69"/>
      <c r="Q25" s="69"/>
      <c r="R25" s="4"/>
      <c r="S25" s="4"/>
      <c r="T25" s="69"/>
      <c r="U25" s="69"/>
      <c r="V25" s="69"/>
      <c r="W25" s="69"/>
      <c r="X25" s="69"/>
      <c r="Y25" s="69"/>
      <c r="Z25" s="69"/>
      <c r="AA25" s="69"/>
      <c r="AB25" s="69"/>
      <c r="AC25" s="25"/>
      <c r="AD25" s="25"/>
    </row>
    <row r="26" spans="1:32" ht="20.100000000000001" customHeight="1" x14ac:dyDescent="0.25">
      <c r="A26" s="74"/>
      <c r="B26" s="74"/>
      <c r="C26" s="69"/>
      <c r="D26" s="69"/>
      <c r="E26" s="75"/>
      <c r="F26" s="75"/>
      <c r="G26" s="69"/>
      <c r="H26" s="69"/>
      <c r="I26" s="69"/>
      <c r="J26" s="69"/>
      <c r="K26" s="75"/>
      <c r="L26" s="75"/>
      <c r="M26" s="4"/>
      <c r="N26" s="75"/>
      <c r="O26" s="4"/>
      <c r="P26" s="69"/>
      <c r="Q26" s="69"/>
      <c r="R26" s="4"/>
      <c r="S26" s="4"/>
      <c r="T26" s="69"/>
      <c r="U26" s="69"/>
      <c r="V26" s="69"/>
      <c r="W26" s="69"/>
      <c r="X26" s="69"/>
      <c r="Y26" s="69"/>
      <c r="Z26" s="69"/>
      <c r="AA26" s="69"/>
      <c r="AB26" s="69"/>
      <c r="AC26" s="25"/>
      <c r="AD26" s="25"/>
    </row>
    <row r="27" spans="1:32" ht="20.100000000000001" customHeight="1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</row>
    <row r="28" spans="1:32" ht="20.100000000000001" customHeight="1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</row>
    <row r="29" spans="1:32" ht="20.10000000000000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</row>
    <row r="30" spans="1:32" ht="20.10000000000000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</row>
    <row r="31" spans="1:32" ht="20.10000000000000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</row>
    <row r="32" spans="1:32" ht="20.10000000000000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</row>
    <row r="33" spans="1:32" ht="20.10000000000000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</row>
    <row r="34" spans="1:32" ht="20.100000000000001" customHeight="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</row>
    <row r="35" spans="1:32" ht="20.100000000000001" customHeight="1" x14ac:dyDescent="0.25">
      <c r="A35" s="4"/>
      <c r="C35" s="26"/>
    </row>
    <row r="36" spans="1:32" ht="20.100000000000001" customHeight="1" x14ac:dyDescent="0.25">
      <c r="A36" s="4"/>
      <c r="C36" s="26"/>
    </row>
    <row r="37" spans="1:32" ht="20.100000000000001" customHeight="1" x14ac:dyDescent="0.25">
      <c r="C37" s="26"/>
    </row>
    <row r="38" spans="1:32" ht="20.100000000000001" customHeight="1" x14ac:dyDescent="0.25">
      <c r="C38" s="26"/>
    </row>
    <row r="39" spans="1:32" ht="20.100000000000001" customHeight="1" x14ac:dyDescent="0.25">
      <c r="C39" s="26"/>
    </row>
    <row r="40" spans="1:32" ht="20.100000000000001" customHeight="1" x14ac:dyDescent="0.25">
      <c r="C40" s="26"/>
    </row>
    <row r="41" spans="1:32" ht="20.100000000000001" customHeight="1" x14ac:dyDescent="0.25">
      <c r="C41" s="26"/>
    </row>
    <row r="42" spans="1:32" ht="20.100000000000001" customHeight="1" x14ac:dyDescent="0.25">
      <c r="C42" s="26"/>
    </row>
    <row r="43" spans="1:32" ht="20.100000000000001" customHeight="1" x14ac:dyDescent="0.25">
      <c r="C43" s="26"/>
    </row>
    <row r="44" spans="1:32" ht="20.100000000000001" customHeight="1" x14ac:dyDescent="0.25">
      <c r="C44" s="26"/>
    </row>
    <row r="45" spans="1:32" ht="20.100000000000001" customHeight="1" x14ac:dyDescent="0.25">
      <c r="C45" s="26"/>
    </row>
    <row r="46" spans="1:32" ht="20.100000000000001" customHeight="1" x14ac:dyDescent="0.25">
      <c r="C46" s="26"/>
    </row>
    <row r="47" spans="1:32" ht="20.100000000000001" customHeight="1" x14ac:dyDescent="0.25">
      <c r="C47" s="26"/>
    </row>
    <row r="48" spans="1:32" ht="20.100000000000001" customHeight="1" x14ac:dyDescent="0.25">
      <c r="C48" s="26"/>
    </row>
    <row r="49" spans="3:3" ht="20.100000000000001" customHeight="1" x14ac:dyDescent="0.25">
      <c r="C49" s="26"/>
    </row>
    <row r="50" spans="3:3" ht="20.100000000000001" customHeight="1" x14ac:dyDescent="0.25">
      <c r="C50" s="26"/>
    </row>
    <row r="51" spans="3:3" ht="20.100000000000001" customHeight="1" x14ac:dyDescent="0.25">
      <c r="C51" s="26"/>
    </row>
    <row r="52" spans="3:3" ht="20.100000000000001" customHeight="1" x14ac:dyDescent="0.25">
      <c r="C52" s="26"/>
    </row>
  </sheetData>
  <phoneticPr fontId="16" type="noConversion"/>
  <dataValidations count="13">
    <dataValidation type="list" allowBlank="1" showInputMessage="1" showErrorMessage="1" sqref="AI6:AI11" xr:uid="{00000000-0002-0000-0300-000000000000}">
      <formula1>dd_BISL_role</formula1>
    </dataValidation>
    <dataValidation type="list" allowBlank="1" showInputMessage="1" showErrorMessage="1" sqref="AJ6:AK11" xr:uid="{00000000-0002-0000-0300-000001000000}">
      <formula1>dd_bocomrole</formula1>
    </dataValidation>
    <dataValidation type="list" allowBlank="1" showInputMessage="1" showErrorMessage="1" sqref="AY4:AY10" xr:uid="{00000000-0002-0000-0300-000002000000}">
      <formula1>dd_中资属性</formula1>
    </dataValidation>
    <dataValidation type="list" allowBlank="1" showInputMessage="1" showErrorMessage="1" sqref="AZ5:AZ10" xr:uid="{00000000-0002-0000-0300-000003000000}">
      <formula1>dd_板块</formula1>
    </dataValidation>
    <dataValidation type="list" allowBlank="1" showInputMessage="1" showErrorMessage="1" sqref="O5:O26" xr:uid="{00000000-0002-0000-0300-000004000000}">
      <formula1>dd_theme</formula1>
    </dataValidation>
    <dataValidation type="list" allowBlank="1" showInputMessage="1" showErrorMessage="1" sqref="AN8:AN11" xr:uid="{00000000-0002-0000-0300-00000A000000}">
      <formula1>"'--,合名"</formula1>
    </dataValidation>
    <dataValidation type="list" allowBlank="1" showInputMessage="1" showErrorMessage="1" sqref="AL6:AL11 AR4:AR11" xr:uid="{99BFFB53-B38D-40D3-8663-38F15ACF9F54}">
      <formula1>"--,Sole,Left-lead,Lead"</formula1>
    </dataValidation>
    <dataValidation type="list" allowBlank="1" showInputMessage="1" sqref="AS5:AS8" xr:uid="{CB096AB9-FDB8-4552-9C42-68264AF37713}">
      <formula1>"--,B&amp;D FOP,B&amp;D DvP,Arranger,DM,CCDC"</formula1>
    </dataValidation>
    <dataValidation type="list" allowBlank="1" showInputMessage="1" sqref="AT5 AT7" xr:uid="{6411A959-20E5-4337-AA9F-75101C5E704D}">
      <formula1>"--,合名"</formula1>
    </dataValidation>
    <dataValidation type="list" allowBlank="1" showInputMessage="1" sqref="AO5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K4:K8 K10:K26" xr:uid="{6BE86BC5-A580-4469-A83C-50849458266E}"/>
    <dataValidation allowBlank="1" showInputMessage="1" showErrorMessage="1" promptTitle="FPG Format" prompt="No need to write bp_x000a_Decimal follow BBG_x000a__x000a_3.20%_x000a_3.8%_x000a_T+100_x000a_" sqref="L4:L26 K9" xr:uid="{9DC2CDDF-02A4-46D0-9060-1915C70FB108}"/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U54"/>
  <sheetViews>
    <sheetView zoomScale="85" zoomScaleNormal="85" workbookViewId="0">
      <selection activeCell="M24" sqref="M24"/>
    </sheetView>
  </sheetViews>
  <sheetFormatPr defaultColWidth="8.88671875" defaultRowHeight="15" x14ac:dyDescent="0.25"/>
  <cols>
    <col min="1" max="1" width="9.44140625" style="1" bestFit="1" customWidth="1"/>
    <col min="2" max="2" width="13.44140625" style="1" bestFit="1" customWidth="1"/>
    <col min="3" max="3" width="36.33203125" style="1" bestFit="1" customWidth="1"/>
    <col min="4" max="4" width="6.109375" style="1" bestFit="1" customWidth="1"/>
    <col min="5" max="5" width="7.77734375" style="1" bestFit="1" customWidth="1"/>
    <col min="6" max="7" width="6.109375" style="1" bestFit="1" customWidth="1"/>
    <col min="8" max="8" width="9.44140625" style="1" bestFit="1" customWidth="1"/>
    <col min="9" max="10" width="6.109375" style="1" bestFit="1" customWidth="1"/>
    <col min="11" max="12" width="8.88671875" style="1" customWidth="1"/>
    <col min="13" max="13" width="20.6640625" style="1" bestFit="1" customWidth="1"/>
    <col min="14" max="14" width="8.88671875" style="1"/>
    <col min="15" max="15" width="7.33203125" style="1" bestFit="1" customWidth="1"/>
    <col min="16" max="16" width="13.44140625" style="1" bestFit="1" customWidth="1"/>
    <col min="17" max="17" width="9.44140625" style="1" bestFit="1" customWidth="1"/>
    <col min="18" max="18" width="24.21875" style="1" bestFit="1" customWidth="1"/>
    <col min="19" max="19" width="9.44140625" style="1" bestFit="1" customWidth="1"/>
    <col min="20" max="20" width="6.109375" style="1" bestFit="1" customWidth="1"/>
    <col min="21" max="21" width="12.21875" style="1" bestFit="1" customWidth="1"/>
    <col min="22" max="23" width="6.109375" style="1" bestFit="1" customWidth="1"/>
    <col min="24" max="24" width="8.109375" style="1" bestFit="1" customWidth="1"/>
    <col min="25" max="25" width="9.44140625" style="1" bestFit="1" customWidth="1"/>
    <col min="26" max="27" width="6.109375" style="1" bestFit="1" customWidth="1"/>
    <col min="28" max="28" width="9.44140625" style="1" bestFit="1" customWidth="1"/>
    <col min="29" max="29" width="6.109375" style="1" bestFit="1" customWidth="1"/>
    <col min="30" max="30" width="15.33203125" style="1" bestFit="1" customWidth="1"/>
    <col min="31" max="32" width="7.77734375" style="1" bestFit="1" customWidth="1"/>
    <col min="33" max="33" width="15.109375" style="1" bestFit="1" customWidth="1"/>
    <col min="34" max="34" width="15.33203125" style="1" bestFit="1" customWidth="1"/>
    <col min="35" max="35" width="6.109375" style="1" bestFit="1" customWidth="1"/>
    <col min="36" max="36" width="5.88671875" style="1" bestFit="1" customWidth="1"/>
    <col min="37" max="37" width="9.44140625" style="1" bestFit="1" customWidth="1"/>
    <col min="38" max="38" width="36.77734375" style="1" bestFit="1" customWidth="1"/>
    <col min="39" max="39" width="12.5546875" style="1" bestFit="1" customWidth="1"/>
    <col min="40" max="40" width="9.21875" style="1" bestFit="1" customWidth="1"/>
    <col min="41" max="41" width="7.5546875" style="1" bestFit="1" customWidth="1"/>
    <col min="42" max="42" width="9.21875" style="1" bestFit="1" customWidth="1"/>
    <col min="43" max="43" width="5.88671875" style="1" bestFit="1" customWidth="1"/>
    <col min="44" max="44" width="12" style="1" bestFit="1" customWidth="1"/>
    <col min="45" max="46" width="5.88671875" style="1" bestFit="1" customWidth="1"/>
    <col min="47" max="48" width="5.77734375" style="1" bestFit="1" customWidth="1"/>
    <col min="49" max="49" width="9.21875" style="1" bestFit="1" customWidth="1"/>
    <col min="50" max="50" width="9" style="1" bestFit="1" customWidth="1"/>
    <col min="51" max="53" width="5.88671875" style="1" bestFit="1" customWidth="1"/>
    <col min="54" max="54" width="9.21875" style="1" bestFit="1" customWidth="1"/>
    <col min="55" max="55" width="7.5546875" style="1" bestFit="1" customWidth="1"/>
    <col min="56" max="56" width="7.109375" style="1" bestFit="1" customWidth="1"/>
    <col min="57" max="57" width="7.5546875" style="1" bestFit="1" customWidth="1"/>
    <col min="58" max="58" width="5.88671875" style="1" bestFit="1" customWidth="1"/>
    <col min="59" max="59" width="9.21875" style="1" bestFit="1" customWidth="1"/>
    <col min="60" max="60" width="12.5546875" style="1" bestFit="1" customWidth="1"/>
    <col min="61" max="61" width="5.88671875" style="1" bestFit="1" customWidth="1"/>
    <col min="62" max="62" width="5.77734375" style="1" bestFit="1" customWidth="1"/>
    <col min="63" max="63" width="5.44140625" style="1" bestFit="1" customWidth="1"/>
    <col min="64" max="64" width="11.109375" style="1" bestFit="1" customWidth="1"/>
    <col min="65" max="65" width="12.5546875" style="1" bestFit="1" customWidth="1"/>
    <col min="66" max="66" width="10.33203125" style="1" bestFit="1" customWidth="1"/>
    <col min="67" max="67" width="13.33203125" style="1" bestFit="1" customWidth="1"/>
    <col min="68" max="71" width="9.21875" style="1" bestFit="1" customWidth="1"/>
    <col min="72" max="72" width="11.44140625" style="1" bestFit="1" customWidth="1"/>
    <col min="73" max="73" width="9.21875" style="1" bestFit="1" customWidth="1"/>
    <col min="74" max="74" width="15.21875" style="1" bestFit="1" customWidth="1"/>
    <col min="75" max="75" width="13.5546875" style="1" bestFit="1" customWidth="1"/>
    <col min="76" max="76" width="11.109375" style="1" bestFit="1" customWidth="1"/>
    <col min="77" max="78" width="10.88671875" style="1" bestFit="1" customWidth="1"/>
    <col min="79" max="79" width="9.21875" style="1" bestFit="1" customWidth="1"/>
    <col min="80" max="80" width="8.77734375" style="1" bestFit="1" customWidth="1"/>
    <col min="81" max="81" width="9.21875" style="1" bestFit="1" customWidth="1"/>
    <col min="82" max="82" width="10.109375" style="1" bestFit="1" customWidth="1"/>
    <col min="83" max="83" width="10.33203125" style="1" bestFit="1" customWidth="1"/>
    <col min="84" max="84" width="15.109375" style="1" bestFit="1" customWidth="1"/>
    <col min="85" max="85" width="10.44140625" style="1" bestFit="1" customWidth="1"/>
    <col min="86" max="86" width="5.88671875" style="1" bestFit="1" customWidth="1"/>
    <col min="87" max="87" width="9.21875" style="1" bestFit="1" customWidth="1"/>
    <col min="88" max="88" width="10.44140625" style="1" bestFit="1" customWidth="1"/>
    <col min="89" max="89" width="14.5546875" style="1" bestFit="1" customWidth="1"/>
    <col min="90" max="90" width="16.21875" style="1" bestFit="1" customWidth="1"/>
    <col min="91" max="91" width="17.44140625" style="1" bestFit="1" customWidth="1"/>
    <col min="92" max="92" width="15.44140625" style="1" bestFit="1" customWidth="1"/>
    <col min="93" max="93" width="7.109375" style="1" bestFit="1" customWidth="1"/>
    <col min="94" max="94" width="17.44140625" style="1" bestFit="1" customWidth="1"/>
    <col min="95" max="95" width="15.44140625" style="1" bestFit="1" customWidth="1"/>
    <col min="96" max="96" width="7.109375" style="1" bestFit="1" customWidth="1"/>
    <col min="97" max="97" width="12.77734375" style="1" bestFit="1" customWidth="1"/>
    <col min="98" max="99" width="7.109375" style="1" bestFit="1" customWidth="1"/>
    <col min="100" max="100" width="7.33203125" style="1" bestFit="1" customWidth="1"/>
    <col min="101" max="101" width="9.21875" style="1" bestFit="1" customWidth="1"/>
    <col min="102" max="102" width="15.109375" style="1" bestFit="1" customWidth="1"/>
    <col min="103" max="103" width="17.44140625" style="1" bestFit="1" customWidth="1"/>
    <col min="104" max="104" width="19.109375" style="1" bestFit="1" customWidth="1"/>
    <col min="105" max="105" width="9.21875" style="1" bestFit="1" customWidth="1"/>
    <col min="106" max="106" width="7.109375" style="1" bestFit="1" customWidth="1"/>
    <col min="107" max="107" width="15.33203125" style="1" bestFit="1" customWidth="1"/>
    <col min="108" max="108" width="18.21875" style="1" bestFit="1" customWidth="1"/>
    <col min="109" max="109" width="19.109375" style="1" bestFit="1" customWidth="1"/>
    <col min="110" max="110" width="9.44140625" style="1" bestFit="1" customWidth="1"/>
    <col min="111" max="112" width="7.33203125" style="1" bestFit="1" customWidth="1"/>
    <col min="113" max="113" width="18.109375" style="1" bestFit="1" customWidth="1"/>
    <col min="114" max="114" width="19" style="1" bestFit="1" customWidth="1"/>
    <col min="115" max="115" width="9.44140625" style="1" bestFit="1" customWidth="1"/>
    <col min="116" max="116" width="7.33203125" style="1" bestFit="1" customWidth="1"/>
    <col min="117" max="16384" width="8.88671875" style="1"/>
  </cols>
  <sheetData>
    <row r="1" spans="1:47" ht="91.5" customHeight="1" x14ac:dyDescent="0.25">
      <c r="A1" s="5" t="s">
        <v>234</v>
      </c>
      <c r="C1" s="65">
        <f>COUNTA(charts[ISIN])</f>
        <v>13</v>
      </c>
      <c r="D1" s="8" t="s">
        <v>178</v>
      </c>
      <c r="N1" s="65" t="s">
        <v>240</v>
      </c>
      <c r="P1" s="27" t="str">
        <f>COUNTA(Table_graph_weeklydeal[Index])&amp;"笔"</f>
        <v>8笔</v>
      </c>
      <c r="Q1" s="28">
        <f>ROUND(SUM(Table_graph_weeklydeal[亿美元]),1)</f>
        <v>30.6</v>
      </c>
      <c r="R1" s="27" t="s">
        <v>228</v>
      </c>
      <c r="AU1" s="5"/>
    </row>
    <row r="2" spans="1:47" ht="42" customHeight="1" x14ac:dyDescent="0.25"/>
    <row r="3" spans="1:47" ht="73.5" customHeight="1" x14ac:dyDescent="0.25"/>
    <row r="5" spans="1:47" x14ac:dyDescent="0.25">
      <c r="A5" t="s">
        <v>57</v>
      </c>
      <c r="B5" t="s">
        <v>56</v>
      </c>
      <c r="C5" t="s">
        <v>55</v>
      </c>
      <c r="D5" t="s">
        <v>97</v>
      </c>
      <c r="E5" t="s">
        <v>228</v>
      </c>
      <c r="F5" t="s">
        <v>73</v>
      </c>
      <c r="G5" t="s">
        <v>51</v>
      </c>
      <c r="H5" t="s">
        <v>105</v>
      </c>
      <c r="I5" t="s">
        <v>122</v>
      </c>
      <c r="J5" t="s">
        <v>143</v>
      </c>
      <c r="O5" t="s">
        <v>96</v>
      </c>
      <c r="P5" t="s">
        <v>56</v>
      </c>
      <c r="Q5" t="s">
        <v>57</v>
      </c>
      <c r="R5" t="s">
        <v>219</v>
      </c>
      <c r="S5" t="s">
        <v>177</v>
      </c>
      <c r="T5" t="s">
        <v>73</v>
      </c>
      <c r="U5" t="s">
        <v>66</v>
      </c>
      <c r="V5" t="s">
        <v>97</v>
      </c>
      <c r="W5" t="s">
        <v>145</v>
      </c>
      <c r="X5" t="s">
        <v>98</v>
      </c>
      <c r="Y5" t="s">
        <v>220</v>
      </c>
      <c r="Z5" t="s">
        <v>100</v>
      </c>
      <c r="AA5" t="s">
        <v>37</v>
      </c>
      <c r="AB5" t="s">
        <v>305</v>
      </c>
      <c r="AC5" t="s">
        <v>99</v>
      </c>
      <c r="AD5" t="s">
        <v>196</v>
      </c>
      <c r="AE5" t="s">
        <v>228</v>
      </c>
    </row>
    <row r="6" spans="1:47" x14ac:dyDescent="0.25">
      <c r="A6" s="112">
        <v>45142</v>
      </c>
      <c r="B6" t="s">
        <v>438</v>
      </c>
      <c r="C6" t="s">
        <v>437</v>
      </c>
      <c r="D6">
        <v>3</v>
      </c>
      <c r="E6">
        <v>0.19500000000000001</v>
      </c>
      <c r="F6" t="s">
        <v>121</v>
      </c>
      <c r="G6"/>
      <c r="H6" t="s">
        <v>141</v>
      </c>
      <c r="I6" t="s">
        <v>668</v>
      </c>
      <c r="J6" t="s">
        <v>283</v>
      </c>
      <c r="O6" s="116">
        <v>8</v>
      </c>
      <c r="P6" s="118" t="s">
        <v>438</v>
      </c>
      <c r="Q6" s="137">
        <v>45142</v>
      </c>
      <c r="R6" s="116" t="s">
        <v>667</v>
      </c>
      <c r="S6" s="118" t="s">
        <v>93</v>
      </c>
      <c r="T6" s="118" t="s">
        <v>121</v>
      </c>
      <c r="U6" s="118">
        <v>1.4</v>
      </c>
      <c r="V6" s="118" t="s">
        <v>200</v>
      </c>
      <c r="W6" s="116" t="s">
        <v>589</v>
      </c>
      <c r="X6" s="118" t="s">
        <v>8</v>
      </c>
      <c r="Y6" s="116" t="s">
        <v>8</v>
      </c>
      <c r="Z6" s="116" t="s">
        <v>44</v>
      </c>
      <c r="AA6" s="116" t="s">
        <v>668</v>
      </c>
      <c r="AB6" t="s">
        <v>308</v>
      </c>
      <c r="AC6" s="116" t="s">
        <v>23</v>
      </c>
      <c r="AD6" s="118" t="s">
        <v>8</v>
      </c>
      <c r="AE6" s="118">
        <v>0.19500000000000001</v>
      </c>
    </row>
    <row r="7" spans="1:47" x14ac:dyDescent="0.25">
      <c r="A7" s="112">
        <v>45141</v>
      </c>
      <c r="B7" t="s">
        <v>453</v>
      </c>
      <c r="C7" t="s">
        <v>452</v>
      </c>
      <c r="D7">
        <v>3</v>
      </c>
      <c r="E7">
        <v>1.5</v>
      </c>
      <c r="F7" t="s">
        <v>95</v>
      </c>
      <c r="G7"/>
      <c r="H7" t="s">
        <v>141</v>
      </c>
      <c r="I7" t="s">
        <v>282</v>
      </c>
      <c r="J7" t="s">
        <v>283</v>
      </c>
      <c r="O7" s="116">
        <v>7</v>
      </c>
      <c r="P7" s="118" t="s">
        <v>453</v>
      </c>
      <c r="Q7" s="137">
        <v>45141</v>
      </c>
      <c r="R7" s="116" t="s">
        <v>669</v>
      </c>
      <c r="S7" s="118" t="s">
        <v>93</v>
      </c>
      <c r="T7" s="118" t="s">
        <v>95</v>
      </c>
      <c r="U7" s="118">
        <v>1.5</v>
      </c>
      <c r="V7" s="118" t="s">
        <v>200</v>
      </c>
      <c r="W7" s="116" t="s">
        <v>591</v>
      </c>
      <c r="X7" s="118" t="s">
        <v>592</v>
      </c>
      <c r="Y7" s="116" t="s">
        <v>670</v>
      </c>
      <c r="Z7" s="116" t="s">
        <v>135</v>
      </c>
      <c r="AA7" s="116" t="s">
        <v>8</v>
      </c>
      <c r="AB7" t="s">
        <v>309</v>
      </c>
      <c r="AC7" s="116" t="s">
        <v>20</v>
      </c>
      <c r="AD7" s="118" t="s">
        <v>322</v>
      </c>
      <c r="AE7" s="118">
        <v>1.5</v>
      </c>
    </row>
    <row r="8" spans="1:47" x14ac:dyDescent="0.25">
      <c r="A8" s="112">
        <v>45140</v>
      </c>
      <c r="B8" t="s">
        <v>514</v>
      </c>
      <c r="C8" t="s">
        <v>513</v>
      </c>
      <c r="D8">
        <v>0.5</v>
      </c>
      <c r="E8">
        <v>2</v>
      </c>
      <c r="F8" t="s">
        <v>95</v>
      </c>
      <c r="G8" t="s">
        <v>94</v>
      </c>
      <c r="H8" t="s">
        <v>141</v>
      </c>
      <c r="I8" t="s">
        <v>282</v>
      </c>
      <c r="J8" t="s">
        <v>284</v>
      </c>
      <c r="O8" s="116">
        <v>6</v>
      </c>
      <c r="P8" s="118" t="s">
        <v>497</v>
      </c>
      <c r="Q8" s="137">
        <v>45140</v>
      </c>
      <c r="R8" s="116" t="s">
        <v>671</v>
      </c>
      <c r="S8" s="118" t="s">
        <v>665</v>
      </c>
      <c r="T8" s="118" t="s">
        <v>95</v>
      </c>
      <c r="U8" s="118">
        <v>8</v>
      </c>
      <c r="V8" s="118" t="s">
        <v>200</v>
      </c>
      <c r="W8" s="116" t="s">
        <v>505</v>
      </c>
      <c r="X8" s="118" t="s">
        <v>595</v>
      </c>
      <c r="Y8" s="116" t="s">
        <v>672</v>
      </c>
      <c r="Z8" s="116" t="s">
        <v>47</v>
      </c>
      <c r="AA8" s="116" t="s">
        <v>8</v>
      </c>
      <c r="AB8" t="s">
        <v>307</v>
      </c>
      <c r="AC8" s="116" t="s">
        <v>18</v>
      </c>
      <c r="AD8" s="118" t="s">
        <v>304</v>
      </c>
      <c r="AE8" s="118">
        <v>8</v>
      </c>
    </row>
    <row r="9" spans="1:47" x14ac:dyDescent="0.25">
      <c r="A9" s="112">
        <v>45140</v>
      </c>
      <c r="B9" t="s">
        <v>686</v>
      </c>
      <c r="C9" t="s">
        <v>685</v>
      </c>
      <c r="D9">
        <v>2.5</v>
      </c>
      <c r="E9">
        <v>8.34</v>
      </c>
      <c r="F9" t="s">
        <v>121</v>
      </c>
      <c r="G9"/>
      <c r="H9" t="s">
        <v>141</v>
      </c>
      <c r="I9" t="s">
        <v>668</v>
      </c>
      <c r="J9" t="s">
        <v>283</v>
      </c>
      <c r="O9" s="116">
        <v>5</v>
      </c>
      <c r="P9" s="118" t="s">
        <v>473</v>
      </c>
      <c r="Q9" s="137">
        <v>45140</v>
      </c>
      <c r="R9" s="116" t="s">
        <v>673</v>
      </c>
      <c r="S9" s="118" t="s">
        <v>93</v>
      </c>
      <c r="T9" s="118" t="s">
        <v>121</v>
      </c>
      <c r="U9" s="118">
        <v>30</v>
      </c>
      <c r="V9" s="118" t="s">
        <v>593</v>
      </c>
      <c r="W9" s="116" t="s">
        <v>594</v>
      </c>
      <c r="X9" s="118" t="s">
        <v>8</v>
      </c>
      <c r="Y9" s="116" t="s">
        <v>8</v>
      </c>
      <c r="Z9" s="116" t="s">
        <v>44</v>
      </c>
      <c r="AA9" s="116" t="s">
        <v>668</v>
      </c>
      <c r="AB9" t="s">
        <v>306</v>
      </c>
      <c r="AC9" s="116" t="s">
        <v>13</v>
      </c>
      <c r="AD9" s="118" t="s">
        <v>325</v>
      </c>
      <c r="AE9" s="118">
        <v>4.17</v>
      </c>
    </row>
    <row r="10" spans="1:47" x14ac:dyDescent="0.25">
      <c r="A10" s="112">
        <v>45140</v>
      </c>
      <c r="B10" t="s">
        <v>482</v>
      </c>
      <c r="C10" t="s">
        <v>481</v>
      </c>
      <c r="D10">
        <v>5</v>
      </c>
      <c r="E10">
        <v>1.5</v>
      </c>
      <c r="F10" t="s">
        <v>95</v>
      </c>
      <c r="G10" t="s">
        <v>94</v>
      </c>
      <c r="H10" t="s">
        <v>141</v>
      </c>
      <c r="I10" t="s">
        <v>282</v>
      </c>
      <c r="J10" t="s">
        <v>579</v>
      </c>
      <c r="O10" s="116">
        <v>4</v>
      </c>
      <c r="P10" s="118" t="s">
        <v>692</v>
      </c>
      <c r="Q10" s="137">
        <v>45140</v>
      </c>
      <c r="R10" s="116" t="s">
        <v>699</v>
      </c>
      <c r="S10" s="118" t="s">
        <v>93</v>
      </c>
      <c r="T10" s="118" t="s">
        <v>121</v>
      </c>
      <c r="U10" s="118">
        <v>30</v>
      </c>
      <c r="V10" s="118" t="s">
        <v>601</v>
      </c>
      <c r="W10" s="116" t="s">
        <v>698</v>
      </c>
      <c r="X10" s="118" t="s">
        <v>8</v>
      </c>
      <c r="Y10" s="116" t="s">
        <v>8</v>
      </c>
      <c r="Z10" s="116" t="s">
        <v>44</v>
      </c>
      <c r="AA10" s="116" t="s">
        <v>668</v>
      </c>
      <c r="AB10" t="s">
        <v>306</v>
      </c>
      <c r="AC10" s="116" t="s">
        <v>13</v>
      </c>
      <c r="AD10" s="118" t="s">
        <v>325</v>
      </c>
      <c r="AE10" s="118">
        <v>4.17</v>
      </c>
    </row>
    <row r="11" spans="1:47" x14ac:dyDescent="0.25">
      <c r="A11" s="112">
        <v>45140</v>
      </c>
      <c r="B11" t="s">
        <v>692</v>
      </c>
      <c r="C11" t="s">
        <v>691</v>
      </c>
      <c r="D11">
        <v>3.5</v>
      </c>
      <c r="E11">
        <v>4.17</v>
      </c>
      <c r="F11" t="s">
        <v>121</v>
      </c>
      <c r="G11"/>
      <c r="H11" t="s">
        <v>141</v>
      </c>
      <c r="I11" t="s">
        <v>668</v>
      </c>
      <c r="J11" t="s">
        <v>579</v>
      </c>
      <c r="O11" s="116">
        <v>3</v>
      </c>
      <c r="P11" s="118" t="s">
        <v>686</v>
      </c>
      <c r="Q11" s="137">
        <v>45140</v>
      </c>
      <c r="R11" s="116" t="s">
        <v>699</v>
      </c>
      <c r="S11" s="118" t="s">
        <v>93</v>
      </c>
      <c r="T11" s="118" t="s">
        <v>121</v>
      </c>
      <c r="U11" s="118">
        <v>60</v>
      </c>
      <c r="V11" s="118" t="s">
        <v>695</v>
      </c>
      <c r="W11" s="116" t="s">
        <v>703</v>
      </c>
      <c r="X11" s="118" t="s">
        <v>8</v>
      </c>
      <c r="Y11" s="116" t="s">
        <v>8</v>
      </c>
      <c r="Z11" s="116" t="s">
        <v>44</v>
      </c>
      <c r="AA11" s="116" t="s">
        <v>668</v>
      </c>
      <c r="AB11" t="s">
        <v>306</v>
      </c>
      <c r="AC11" s="116" t="s">
        <v>13</v>
      </c>
      <c r="AD11" s="118" t="s">
        <v>325</v>
      </c>
      <c r="AE11" s="118">
        <v>8.34</v>
      </c>
    </row>
    <row r="12" spans="1:47" x14ac:dyDescent="0.25">
      <c r="A12" s="112">
        <v>45140</v>
      </c>
      <c r="B12" t="s">
        <v>473</v>
      </c>
      <c r="C12" t="s">
        <v>472</v>
      </c>
      <c r="D12">
        <v>5</v>
      </c>
      <c r="E12">
        <v>4.17</v>
      </c>
      <c r="F12" t="s">
        <v>121</v>
      </c>
      <c r="G12"/>
      <c r="H12" t="s">
        <v>141</v>
      </c>
      <c r="I12" t="s">
        <v>668</v>
      </c>
      <c r="J12" t="s">
        <v>579</v>
      </c>
      <c r="O12" s="116">
        <v>2</v>
      </c>
      <c r="P12" s="118" t="s">
        <v>532</v>
      </c>
      <c r="Q12" s="137">
        <v>45139</v>
      </c>
      <c r="R12" s="116" t="s">
        <v>674</v>
      </c>
      <c r="S12" s="118" t="s">
        <v>93</v>
      </c>
      <c r="T12" s="118" t="s">
        <v>121</v>
      </c>
      <c r="U12" s="118">
        <v>1.97</v>
      </c>
      <c r="V12" s="118" t="s">
        <v>200</v>
      </c>
      <c r="W12" s="116" t="s">
        <v>599</v>
      </c>
      <c r="X12" s="118" t="s">
        <v>8</v>
      </c>
      <c r="Y12" s="116" t="s">
        <v>8</v>
      </c>
      <c r="Z12" s="116" t="s">
        <v>135</v>
      </c>
      <c r="AA12" s="116" t="s">
        <v>668</v>
      </c>
      <c r="AB12" t="s">
        <v>308</v>
      </c>
      <c r="AC12" s="116" t="s">
        <v>12</v>
      </c>
      <c r="AD12" s="118" t="s">
        <v>8</v>
      </c>
      <c r="AE12" s="118">
        <v>0.27400000000000002</v>
      </c>
    </row>
    <row r="13" spans="1:47" x14ac:dyDescent="0.25">
      <c r="A13" s="112">
        <v>45140</v>
      </c>
      <c r="B13" t="s">
        <v>497</v>
      </c>
      <c r="C13" t="s">
        <v>496</v>
      </c>
      <c r="D13">
        <v>3</v>
      </c>
      <c r="E13">
        <v>8</v>
      </c>
      <c r="F13" t="s">
        <v>95</v>
      </c>
      <c r="G13"/>
      <c r="H13" t="s">
        <v>172</v>
      </c>
      <c r="I13" t="s">
        <v>282</v>
      </c>
      <c r="J13" t="s">
        <v>283</v>
      </c>
      <c r="O13" s="116">
        <v>1</v>
      </c>
      <c r="P13" s="118" t="s">
        <v>558</v>
      </c>
      <c r="Q13" s="137">
        <v>45138</v>
      </c>
      <c r="R13" s="116" t="s">
        <v>675</v>
      </c>
      <c r="S13" s="118" t="s">
        <v>666</v>
      </c>
      <c r="T13" s="118" t="s">
        <v>95</v>
      </c>
      <c r="U13" s="118">
        <v>4</v>
      </c>
      <c r="V13" s="118" t="s">
        <v>601</v>
      </c>
      <c r="W13" s="116" t="s">
        <v>602</v>
      </c>
      <c r="X13" s="118" t="s">
        <v>603</v>
      </c>
      <c r="Y13" s="116" t="s">
        <v>676</v>
      </c>
      <c r="Z13" s="116" t="s">
        <v>47</v>
      </c>
      <c r="AA13" s="116" t="s">
        <v>8</v>
      </c>
      <c r="AB13" t="s">
        <v>307</v>
      </c>
      <c r="AC13" s="116" t="s">
        <v>13</v>
      </c>
      <c r="AD13" s="118" t="s">
        <v>304</v>
      </c>
      <c r="AE13" s="118">
        <v>4</v>
      </c>
    </row>
    <row r="14" spans="1:47" x14ac:dyDescent="0.25">
      <c r="A14" s="112">
        <v>45139</v>
      </c>
      <c r="B14" t="s">
        <v>523</v>
      </c>
      <c r="C14" t="s">
        <v>522</v>
      </c>
      <c r="D14">
        <v>5</v>
      </c>
      <c r="E14">
        <v>1.05</v>
      </c>
      <c r="F14" t="s">
        <v>95</v>
      </c>
      <c r="G14" t="s">
        <v>94</v>
      </c>
      <c r="H14" t="s">
        <v>141</v>
      </c>
      <c r="I14" t="s">
        <v>282</v>
      </c>
      <c r="J14" t="s">
        <v>579</v>
      </c>
    </row>
    <row r="15" spans="1:47" x14ac:dyDescent="0.25">
      <c r="A15" s="112">
        <v>45139</v>
      </c>
      <c r="B15" t="s">
        <v>532</v>
      </c>
      <c r="C15" t="s">
        <v>531</v>
      </c>
      <c r="D15">
        <v>3</v>
      </c>
      <c r="E15">
        <v>0.27400000000000002</v>
      </c>
      <c r="F15" t="s">
        <v>121</v>
      </c>
      <c r="G15"/>
      <c r="H15" t="s">
        <v>141</v>
      </c>
      <c r="I15" t="s">
        <v>668</v>
      </c>
      <c r="J15" t="s">
        <v>283</v>
      </c>
    </row>
    <row r="16" spans="1:47" x14ac:dyDescent="0.25">
      <c r="A16" s="112">
        <v>45139</v>
      </c>
      <c r="B16" t="s">
        <v>520</v>
      </c>
      <c r="C16" t="s">
        <v>519</v>
      </c>
      <c r="D16">
        <v>3</v>
      </c>
      <c r="E16">
        <v>0.5</v>
      </c>
      <c r="F16" t="s">
        <v>95</v>
      </c>
      <c r="G16" t="s">
        <v>94</v>
      </c>
      <c r="H16" t="s">
        <v>141</v>
      </c>
      <c r="I16" t="s">
        <v>282</v>
      </c>
      <c r="J16" t="s">
        <v>283</v>
      </c>
    </row>
    <row r="17" spans="1:10" x14ac:dyDescent="0.25">
      <c r="A17" s="112">
        <v>45138</v>
      </c>
      <c r="B17" t="s">
        <v>558</v>
      </c>
      <c r="C17" t="s">
        <v>557</v>
      </c>
      <c r="D17">
        <v>3.5</v>
      </c>
      <c r="E17">
        <v>4</v>
      </c>
      <c r="F17" t="s">
        <v>95</v>
      </c>
      <c r="G17"/>
      <c r="H17" t="s">
        <v>172</v>
      </c>
      <c r="I17" t="s">
        <v>282</v>
      </c>
      <c r="J17" t="s">
        <v>579</v>
      </c>
    </row>
    <row r="18" spans="1:10" x14ac:dyDescent="0.25">
      <c r="A18" s="112">
        <v>45138</v>
      </c>
      <c r="B18" t="s">
        <v>546</v>
      </c>
      <c r="C18" t="s">
        <v>545</v>
      </c>
      <c r="D18">
        <v>0.3</v>
      </c>
      <c r="E18">
        <v>0.05</v>
      </c>
      <c r="F18" t="s">
        <v>95</v>
      </c>
      <c r="G18" t="s">
        <v>94</v>
      </c>
      <c r="H18" t="s">
        <v>141</v>
      </c>
      <c r="I18" t="s">
        <v>282</v>
      </c>
      <c r="J18" t="s">
        <v>284</v>
      </c>
    </row>
    <row r="54" spans="14:14" x14ac:dyDescent="0.25">
      <c r="N54"/>
    </row>
  </sheetData>
  <phoneticPr fontId="16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topLeftCell="A4" zoomScale="85" zoomScaleNormal="85" workbookViewId="0">
      <selection activeCell="E29" sqref="E29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32" t="s">
        <v>180</v>
      </c>
      <c r="B1" s="8"/>
      <c r="C1" s="8"/>
      <c r="D1" s="8"/>
      <c r="E1" s="7"/>
      <c r="F1" s="7"/>
      <c r="G1" s="7"/>
    </row>
    <row r="2" spans="1:7" ht="60.75" customHeight="1" x14ac:dyDescent="0.25">
      <c r="A2" s="23"/>
    </row>
    <row r="3" spans="1:7" ht="57" customHeight="1" x14ac:dyDescent="0.25">
      <c r="A3" s="8" t="s">
        <v>94</v>
      </c>
      <c r="E3" s="24"/>
      <c r="F3" s="24"/>
      <c r="G3" s="24"/>
    </row>
    <row r="4" spans="1:7" x14ac:dyDescent="0.25">
      <c r="A4" t="s">
        <v>96</v>
      </c>
      <c r="B4" t="s">
        <v>305</v>
      </c>
      <c r="C4" t="s">
        <v>73</v>
      </c>
      <c r="D4" t="s">
        <v>219</v>
      </c>
      <c r="E4" t="s">
        <v>179</v>
      </c>
      <c r="F4" t="s">
        <v>334</v>
      </c>
    </row>
    <row r="5" spans="1:7" x14ac:dyDescent="0.25">
      <c r="A5">
        <v>6</v>
      </c>
      <c r="B5" t="s">
        <v>307</v>
      </c>
      <c r="C5" t="s">
        <v>95</v>
      </c>
      <c r="D5" t="s">
        <v>671</v>
      </c>
      <c r="E5" t="s">
        <v>677</v>
      </c>
      <c r="F5" s="115" t="s">
        <v>8</v>
      </c>
    </row>
    <row r="6" spans="1:7" ht="105" x14ac:dyDescent="0.25">
      <c r="A6">
        <v>1</v>
      </c>
      <c r="B6" t="s">
        <v>307</v>
      </c>
      <c r="C6" t="s">
        <v>95</v>
      </c>
      <c r="D6" t="s">
        <v>675</v>
      </c>
      <c r="E6" t="s">
        <v>678</v>
      </c>
      <c r="F6" s="115" t="s">
        <v>679</v>
      </c>
    </row>
    <row r="8" spans="1:7" ht="23.25" x14ac:dyDescent="0.25">
      <c r="G8" s="24"/>
    </row>
    <row r="9" spans="1:7" ht="46.5" x14ac:dyDescent="0.25">
      <c r="A9" s="8" t="s">
        <v>121</v>
      </c>
      <c r="E9" s="24"/>
      <c r="F9" s="24"/>
    </row>
    <row r="10" spans="1:7" x14ac:dyDescent="0.25">
      <c r="A10" s="115" t="s">
        <v>96</v>
      </c>
      <c r="B10" t="s">
        <v>305</v>
      </c>
      <c r="C10" s="115" t="s">
        <v>73</v>
      </c>
      <c r="D10" s="115" t="s">
        <v>219</v>
      </c>
      <c r="E10" s="115" t="s">
        <v>179</v>
      </c>
      <c r="F10" s="115" t="s">
        <v>334</v>
      </c>
    </row>
    <row r="11" spans="1:7" ht="30" x14ac:dyDescent="0.25">
      <c r="A11" s="115">
        <v>8</v>
      </c>
      <c r="B11" t="s">
        <v>308</v>
      </c>
      <c r="C11" s="115" t="s">
        <v>121</v>
      </c>
      <c r="D11" s="115" t="s">
        <v>667</v>
      </c>
      <c r="E11" s="115" t="s">
        <v>680</v>
      </c>
      <c r="F11" s="127" t="s">
        <v>8</v>
      </c>
    </row>
    <row r="12" spans="1:7" x14ac:dyDescent="0.25">
      <c r="A12" s="115">
        <v>5</v>
      </c>
      <c r="B12" t="s">
        <v>306</v>
      </c>
      <c r="C12" s="115" t="s">
        <v>121</v>
      </c>
      <c r="D12" s="115" t="s">
        <v>673</v>
      </c>
      <c r="E12" s="115" t="s">
        <v>701</v>
      </c>
      <c r="F12" s="127" t="s">
        <v>8</v>
      </c>
    </row>
    <row r="13" spans="1:7" x14ac:dyDescent="0.25">
      <c r="A13" s="115">
        <v>4</v>
      </c>
      <c r="B13" t="s">
        <v>306</v>
      </c>
      <c r="C13" s="115" t="s">
        <v>121</v>
      </c>
      <c r="D13" s="115" t="s">
        <v>699</v>
      </c>
      <c r="E13" s="115" t="s">
        <v>702</v>
      </c>
      <c r="F13" s="127" t="s">
        <v>8</v>
      </c>
    </row>
    <row r="14" spans="1:7" x14ac:dyDescent="0.25">
      <c r="A14" s="115">
        <v>3</v>
      </c>
      <c r="B14" t="s">
        <v>306</v>
      </c>
      <c r="C14" s="115" t="s">
        <v>121</v>
      </c>
      <c r="D14" s="115" t="s">
        <v>699</v>
      </c>
      <c r="E14" s="115" t="s">
        <v>704</v>
      </c>
      <c r="F14" s="127" t="s">
        <v>8</v>
      </c>
    </row>
    <row r="15" spans="1:7" ht="30" x14ac:dyDescent="0.25">
      <c r="A15" s="115">
        <v>2</v>
      </c>
      <c r="B15" t="s">
        <v>308</v>
      </c>
      <c r="C15" s="115" t="s">
        <v>121</v>
      </c>
      <c r="D15" s="115" t="s">
        <v>674</v>
      </c>
      <c r="E15" s="115" t="s">
        <v>681</v>
      </c>
      <c r="F15" s="127" t="s">
        <v>8</v>
      </c>
    </row>
    <row r="19" spans="1:6" ht="46.5" x14ac:dyDescent="0.25">
      <c r="A19" s="8" t="s">
        <v>277</v>
      </c>
    </row>
    <row r="20" spans="1:6" x14ac:dyDescent="0.25">
      <c r="A20" t="s">
        <v>96</v>
      </c>
      <c r="B20" t="s">
        <v>305</v>
      </c>
      <c r="C20" t="s">
        <v>73</v>
      </c>
      <c r="D20" t="s">
        <v>219</v>
      </c>
      <c r="E20" t="s">
        <v>179</v>
      </c>
      <c r="F20" t="s">
        <v>334</v>
      </c>
    </row>
    <row r="21" spans="1:6" x14ac:dyDescent="0.25">
      <c r="A21" s="128">
        <v>7</v>
      </c>
      <c r="B21" t="s">
        <v>309</v>
      </c>
      <c r="C21" s="128" t="s">
        <v>95</v>
      </c>
      <c r="D21" s="128" t="s">
        <v>669</v>
      </c>
      <c r="E21" s="115" t="s">
        <v>684</v>
      </c>
      <c r="F21" s="127" t="s">
        <v>8</v>
      </c>
    </row>
  </sheetData>
  <phoneticPr fontId="16" type="noConversion"/>
  <conditionalFormatting sqref="G9:G11 E4:E6 E20:E21 E10:E15">
    <cfRule type="containsText" dxfId="110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tabSelected="1" zoomScale="115" zoomScaleNormal="115" workbookViewId="0">
      <selection activeCell="E10" sqref="E10"/>
    </sheetView>
  </sheetViews>
  <sheetFormatPr defaultColWidth="8.88671875" defaultRowHeight="28.5" customHeight="1" x14ac:dyDescent="0.25"/>
  <cols>
    <col min="1" max="1" width="6.6640625" style="58" bestFit="1" customWidth="1"/>
    <col min="2" max="2" width="8.5546875" style="58" bestFit="1" customWidth="1"/>
    <col min="3" max="3" width="25.109375" style="58" bestFit="1" customWidth="1"/>
    <col min="4" max="4" width="8.109375" style="58" bestFit="1" customWidth="1"/>
    <col min="5" max="5" width="8.21875" style="58" bestFit="1" customWidth="1"/>
    <col min="6" max="6" width="7.88671875" style="58" bestFit="1" customWidth="1"/>
    <col min="7" max="7" width="6.77734375" style="58" bestFit="1" customWidth="1"/>
    <col min="8" max="8" width="9.109375" style="58" bestFit="1" customWidth="1"/>
    <col min="9" max="9" width="11" style="58" bestFit="1" customWidth="1"/>
    <col min="10" max="10" width="15.77734375" style="58" hidden="1" customWidth="1"/>
    <col min="11" max="11" width="10.6640625" style="58" hidden="1" customWidth="1"/>
    <col min="12" max="12" width="7.21875" style="58" hidden="1" customWidth="1"/>
    <col min="13" max="13" width="6" style="58" hidden="1" customWidth="1"/>
    <col min="14" max="14" width="11" style="58" hidden="1" customWidth="1"/>
    <col min="15" max="15" width="28.5546875" style="58" bestFit="1" customWidth="1" collapsed="1"/>
    <col min="16" max="16" width="6.5546875" style="58" customWidth="1"/>
    <col min="17" max="17" width="6.77734375" style="58" customWidth="1"/>
    <col min="18" max="18" width="28.109375" style="58" bestFit="1" customWidth="1"/>
    <col min="19" max="19" width="12.6640625" style="58" bestFit="1" customWidth="1"/>
    <col min="20" max="22" width="7.6640625" style="58" customWidth="1"/>
    <col min="23" max="23" width="6.109375" style="58" bestFit="1" customWidth="1"/>
    <col min="24" max="24" width="9.44140625" style="58" bestFit="1" customWidth="1"/>
    <col min="25" max="25" width="35.109375" style="58" bestFit="1" customWidth="1"/>
    <col min="26" max="16384" width="8.88671875" style="58"/>
  </cols>
  <sheetData>
    <row r="1" spans="1:22" ht="59.25" customHeight="1" x14ac:dyDescent="0.25">
      <c r="A1" s="64" t="s">
        <v>146</v>
      </c>
    </row>
    <row r="2" spans="1:22" ht="15" x14ac:dyDescent="0.25">
      <c r="B2" s="59" t="s">
        <v>96</v>
      </c>
      <c r="C2" s="59" t="s">
        <v>205</v>
      </c>
      <c r="D2" s="59" t="s">
        <v>206</v>
      </c>
      <c r="E2" s="59" t="s">
        <v>207</v>
      </c>
      <c r="F2" s="59" t="s">
        <v>208</v>
      </c>
      <c r="G2" s="59" t="s">
        <v>209</v>
      </c>
    </row>
    <row r="3" spans="1:22" ht="15" x14ac:dyDescent="0.25">
      <c r="B3" s="59">
        <v>5</v>
      </c>
      <c r="C3" s="130" t="s">
        <v>383</v>
      </c>
      <c r="D3" s="92">
        <f>IFERROR(INDEX(ECON[Date],MATCH(input_econ[[#This Row],[上周主要经济数据]],ECON[上周主要经济数据],0)),"")</f>
        <v>45138</v>
      </c>
      <c r="E3" s="62">
        <f>IFERROR(INDEX(ECON[Prior],MATCH(input_econ[[#This Row],[上周主要经济数据]],ECON[上周主要经济数据],0)),"")</f>
        <v>49</v>
      </c>
      <c r="F3" s="62">
        <f>IFERROR(INDEX(ECON[Survey],MATCH(input_econ[[#This Row],[上周主要经济数据]],ECON[上周主要经济数据],0)),"")</f>
        <v>48.9</v>
      </c>
      <c r="G3" s="62">
        <f>IFERROR(INDEX(ECON[Actual],MATCH(input_econ[[#This Row],[上周主要经济数据]],ECON[上周主要经济数据],0)),"")</f>
        <v>49.3</v>
      </c>
    </row>
    <row r="4" spans="1:22" ht="15" x14ac:dyDescent="0.25">
      <c r="B4" s="59">
        <v>4</v>
      </c>
      <c r="C4" s="130" t="s">
        <v>399</v>
      </c>
      <c r="D4" s="92">
        <f>IFERROR(INDEX(ECON[Date],MATCH(input_econ[[#This Row],[上周主要经济数据]],ECON[上周主要经济数据],0)),"")</f>
        <v>45138</v>
      </c>
      <c r="E4" s="62">
        <f>IFERROR(INDEX(ECON[Prior],MATCH(input_econ[[#This Row],[上周主要经济数据]],ECON[上周主要经济数据],0)),"")</f>
        <v>-1E-3</v>
      </c>
      <c r="F4" s="62">
        <f>IFERROR(INDEX(ECON[Survey],MATCH(input_econ[[#This Row],[上周主要经济数据]],ECON[上周主要经济数据],0)),"")</f>
        <v>2E-3</v>
      </c>
      <c r="G4" s="62">
        <f>IFERROR(INDEX(ECON[Actual],MATCH(input_econ[[#This Row],[上周主要经济数据]],ECON[上周主要经济数据],0)),"")</f>
        <v>3.0000000000000001E-3</v>
      </c>
    </row>
    <row r="5" spans="1:22" ht="15" x14ac:dyDescent="0.25">
      <c r="B5" s="59">
        <v>6</v>
      </c>
      <c r="C5" s="130" t="s">
        <v>420</v>
      </c>
      <c r="D5" s="92">
        <f>IFERROR(INDEX(ECON[Date],MATCH(input_econ[[#This Row],[上周主要经济数据]],ECON[上周主要经济数据],0)),"")</f>
        <v>45139</v>
      </c>
      <c r="E5" s="62">
        <f>IFERROR(INDEX(ECON[Prior],MATCH(input_econ[[#This Row],[上周主要经济数据]],ECON[上周主要经济数据],0)),"")</f>
        <v>46</v>
      </c>
      <c r="F5" s="62">
        <f>IFERROR(INDEX(ECON[Survey],MATCH(input_econ[[#This Row],[上周主要经济数据]],ECON[上周主要经济数据],0)),"")</f>
        <v>46.9</v>
      </c>
      <c r="G5" s="62">
        <f>IFERROR(INDEX(ECON[Actual],MATCH(input_econ[[#This Row],[上周主要经济数据]],ECON[上周主要经济数据],0)),"")</f>
        <v>46.4</v>
      </c>
    </row>
    <row r="6" spans="1:22" ht="15" x14ac:dyDescent="0.25">
      <c r="B6" s="59">
        <v>2</v>
      </c>
      <c r="C6" s="130" t="s">
        <v>386</v>
      </c>
      <c r="D6" s="92">
        <f>IFERROR(INDEX(ECON[Date],MATCH(input_econ[[#This Row],[上周主要经济数据]],ECON[上周主要经济数据],0)),"")</f>
        <v>45139</v>
      </c>
      <c r="E6" s="62">
        <f>IFERROR(INDEX(ECON[Prior],MATCH(input_econ[[#This Row],[上周主要经济数据]],ECON[上周主要经济数据],0)),"")</f>
        <v>50.5</v>
      </c>
      <c r="F6" s="62">
        <f>IFERROR(INDEX(ECON[Survey],MATCH(input_econ[[#This Row],[上周主要经济数据]],ECON[上周主要经济数据],0)),"")</f>
        <v>50.1</v>
      </c>
      <c r="G6" s="62">
        <f>IFERROR(INDEX(ECON[Actual],MATCH(input_econ[[#This Row],[上周主要经济数据]],ECON[上周主要经济数据],0)),"")</f>
        <v>49.2</v>
      </c>
    </row>
    <row r="7" spans="1:22" ht="15" x14ac:dyDescent="0.25">
      <c r="B7" s="59">
        <v>3</v>
      </c>
      <c r="C7" s="130" t="s">
        <v>217</v>
      </c>
      <c r="D7" s="92">
        <f>IFERROR(INDEX(ECON[Date],MATCH(input_econ[[#This Row],[上周主要经济数据]],ECON[上周主要经济数据],0)),"")</f>
        <v>45141</v>
      </c>
      <c r="E7" s="62" t="str">
        <f>IFERROR(INDEX(ECON[Prior],MATCH(input_econ[[#This Row],[上周主要经济数据]],ECON[上周主要经济数据],0)),"")</f>
        <v>221k</v>
      </c>
      <c r="F7" s="62" t="str">
        <f>IFERROR(INDEX(ECON[Survey],MATCH(input_econ[[#This Row],[上周主要经济数据]],ECON[上周主要经济数据],0)),"")</f>
        <v>225k</v>
      </c>
      <c r="G7" s="62" t="str">
        <f>IFERROR(INDEX(ECON[Actual],MATCH(input_econ[[#This Row],[上周主要经济数据]],ECON[上周主要经济数据],0)),"")</f>
        <v>227k</v>
      </c>
    </row>
    <row r="8" spans="1:22" ht="15" x14ac:dyDescent="0.25">
      <c r="B8" s="59">
        <v>1</v>
      </c>
      <c r="C8" s="130" t="s">
        <v>415</v>
      </c>
      <c r="D8" s="92">
        <f>IFERROR(INDEX(ECON[Date],MATCH(input_econ[[#This Row],[上周主要经济数据]],ECON[上周主要经济数据],0)),"")</f>
        <v>45142</v>
      </c>
      <c r="E8" s="62" t="str">
        <f>IFERROR(INDEX(ECON[Prior],MATCH(input_econ[[#This Row],[上周主要经济数据]],ECON[上周主要经济数据],0)),"")</f>
        <v>209k</v>
      </c>
      <c r="F8" s="62" t="str">
        <f>IFERROR(INDEX(ECON[Survey],MATCH(input_econ[[#This Row],[上周主要经济数据]],ECON[上周主要经济数据],0)),"")</f>
        <v>200k</v>
      </c>
      <c r="G8" s="62" t="str">
        <f>IFERROR(INDEX(ECON[Actual],MATCH(input_econ[[#This Row],[上周主要经济数据]],ECON[上周主要经济数据],0)),"")</f>
        <v>187k</v>
      </c>
    </row>
    <row r="9" spans="1:22" ht="15" x14ac:dyDescent="0.25">
      <c r="Q9" s="61"/>
      <c r="R9" s="61"/>
      <c r="S9" s="61"/>
      <c r="T9" s="61"/>
      <c r="U9" s="61"/>
      <c r="V9" s="61"/>
    </row>
    <row r="10" spans="1:22" ht="15" x14ac:dyDescent="0.25">
      <c r="Q10" s="61"/>
      <c r="R10" s="61"/>
      <c r="S10" s="61"/>
      <c r="T10" s="61"/>
      <c r="U10" s="61"/>
      <c r="V10" s="61"/>
    </row>
    <row r="11" spans="1:22" ht="15" x14ac:dyDescent="0.25">
      <c r="Q11" s="61"/>
      <c r="R11" s="61"/>
      <c r="S11" s="61"/>
      <c r="T11" s="61"/>
      <c r="U11" s="61"/>
      <c r="V11" s="61"/>
    </row>
    <row r="12" spans="1:22" ht="15" x14ac:dyDescent="0.25">
      <c r="A12" s="59" t="s">
        <v>147</v>
      </c>
      <c r="B12" s="60" t="s">
        <v>210</v>
      </c>
      <c r="C12" s="60" t="s">
        <v>148</v>
      </c>
      <c r="D12" s="60" t="s">
        <v>211</v>
      </c>
      <c r="E12" s="60" t="s">
        <v>149</v>
      </c>
      <c r="F12" s="60" t="s">
        <v>150</v>
      </c>
      <c r="G12" s="60" t="s">
        <v>151</v>
      </c>
      <c r="H12" s="60" t="s">
        <v>152</v>
      </c>
      <c r="I12" s="60" t="s">
        <v>153</v>
      </c>
      <c r="J12" s="60" t="s">
        <v>154</v>
      </c>
      <c r="K12" s="60" t="s">
        <v>155</v>
      </c>
      <c r="L12" s="60" t="s">
        <v>212</v>
      </c>
      <c r="M12" s="60" t="s">
        <v>214</v>
      </c>
      <c r="N12" s="60" t="s">
        <v>215</v>
      </c>
      <c r="O12" s="60" t="s">
        <v>205</v>
      </c>
      <c r="Q12" s="61"/>
      <c r="R12" s="61"/>
      <c r="S12" s="61"/>
      <c r="T12" s="61"/>
      <c r="U12" s="61"/>
      <c r="V12" s="61"/>
    </row>
    <row r="13" spans="1:22" ht="15" x14ac:dyDescent="0.25">
      <c r="A13" s="129">
        <v>45142</v>
      </c>
      <c r="B13" s="130" t="s">
        <v>156</v>
      </c>
      <c r="C13" s="130" t="s">
        <v>411</v>
      </c>
      <c r="D13" s="130" t="s">
        <v>345</v>
      </c>
      <c r="E13" s="130" t="s">
        <v>412</v>
      </c>
      <c r="F13" s="130" t="s">
        <v>606</v>
      </c>
      <c r="G13" s="130" t="s">
        <v>413</v>
      </c>
      <c r="H13" s="130" t="s">
        <v>607</v>
      </c>
      <c r="I13" s="130">
        <v>99</v>
      </c>
      <c r="J13" s="130" t="s">
        <v>414</v>
      </c>
      <c r="K13" s="131">
        <v>0.85416666666666663</v>
      </c>
      <c r="L13" s="130" t="s">
        <v>146</v>
      </c>
      <c r="M13" s="130" t="s">
        <v>302</v>
      </c>
      <c r="N13" s="130" t="s">
        <v>303</v>
      </c>
      <c r="O13" s="130" t="s">
        <v>415</v>
      </c>
      <c r="Q13" s="61"/>
      <c r="R13" s="61"/>
      <c r="S13" s="61"/>
      <c r="T13" s="61"/>
      <c r="U13" s="61"/>
      <c r="V13" s="61"/>
    </row>
    <row r="14" spans="1:22" ht="15" x14ac:dyDescent="0.25">
      <c r="A14" s="129">
        <v>45141</v>
      </c>
      <c r="B14" s="130" t="s">
        <v>156</v>
      </c>
      <c r="C14" s="130" t="s">
        <v>160</v>
      </c>
      <c r="D14" s="130" t="s">
        <v>416</v>
      </c>
      <c r="E14" s="130" t="s">
        <v>608</v>
      </c>
      <c r="F14" s="130" t="s">
        <v>417</v>
      </c>
      <c r="G14" s="130" t="s">
        <v>379</v>
      </c>
      <c r="H14" s="130" t="s">
        <v>8</v>
      </c>
      <c r="I14" s="130">
        <v>98</v>
      </c>
      <c r="J14" s="130" t="s">
        <v>161</v>
      </c>
      <c r="K14" s="131">
        <v>0.85416666666666663</v>
      </c>
      <c r="L14" s="130" t="s">
        <v>146</v>
      </c>
      <c r="M14" s="130" t="s">
        <v>104</v>
      </c>
      <c r="N14" s="130" t="s">
        <v>204</v>
      </c>
      <c r="O14" s="130" t="s">
        <v>217</v>
      </c>
      <c r="Q14" s="61"/>
      <c r="R14" s="61"/>
      <c r="S14" s="61"/>
      <c r="T14" s="61"/>
      <c r="U14" s="61"/>
      <c r="V14" s="61"/>
    </row>
    <row r="15" spans="1:22" ht="15" x14ac:dyDescent="0.25">
      <c r="A15" s="129">
        <v>45139</v>
      </c>
      <c r="B15" s="130" t="s">
        <v>156</v>
      </c>
      <c r="C15" s="130" t="s">
        <v>418</v>
      </c>
      <c r="D15" s="130" t="s">
        <v>345</v>
      </c>
      <c r="E15" s="130">
        <v>46.9</v>
      </c>
      <c r="F15" s="130">
        <v>46.4</v>
      </c>
      <c r="G15" s="130">
        <v>46</v>
      </c>
      <c r="H15" s="130" t="s">
        <v>8</v>
      </c>
      <c r="I15" s="130">
        <v>95</v>
      </c>
      <c r="J15" s="130" t="s">
        <v>419</v>
      </c>
      <c r="K15" s="131">
        <v>0.91666666666666663</v>
      </c>
      <c r="L15" s="130" t="s">
        <v>146</v>
      </c>
      <c r="M15" s="130" t="s">
        <v>302</v>
      </c>
      <c r="N15" s="130" t="s">
        <v>303</v>
      </c>
      <c r="O15" s="130" t="s">
        <v>420</v>
      </c>
      <c r="Q15" s="61"/>
      <c r="R15" s="61"/>
      <c r="S15" s="61"/>
      <c r="T15" s="61"/>
      <c r="U15" s="61"/>
      <c r="V15" s="61"/>
    </row>
    <row r="16" spans="1:22" ht="15" x14ac:dyDescent="0.25">
      <c r="A16" s="129">
        <v>45138</v>
      </c>
      <c r="B16" s="130" t="s">
        <v>162</v>
      </c>
      <c r="C16" s="130" t="s">
        <v>380</v>
      </c>
      <c r="D16" s="130" t="s">
        <v>345</v>
      </c>
      <c r="E16" s="130">
        <v>48.9</v>
      </c>
      <c r="F16" s="130">
        <v>49.3</v>
      </c>
      <c r="G16" s="130">
        <v>49</v>
      </c>
      <c r="H16" s="130" t="s">
        <v>8</v>
      </c>
      <c r="I16" s="130">
        <v>94</v>
      </c>
      <c r="J16" s="130" t="s">
        <v>381</v>
      </c>
      <c r="K16" s="131">
        <v>0.39583333333333331</v>
      </c>
      <c r="L16" s="130" t="s">
        <v>146</v>
      </c>
      <c r="M16" s="130" t="s">
        <v>302</v>
      </c>
      <c r="N16" s="130" t="s">
        <v>382</v>
      </c>
      <c r="O16" s="130" t="s">
        <v>383</v>
      </c>
      <c r="Q16" s="61"/>
      <c r="R16" s="61"/>
      <c r="S16" s="61"/>
      <c r="T16" s="61"/>
      <c r="U16" s="61"/>
      <c r="V16" s="61"/>
    </row>
    <row r="17" spans="1:22" ht="15" x14ac:dyDescent="0.25">
      <c r="A17" s="129">
        <v>45139</v>
      </c>
      <c r="B17" s="130" t="s">
        <v>162</v>
      </c>
      <c r="C17" s="130" t="s">
        <v>384</v>
      </c>
      <c r="D17" s="130" t="s">
        <v>345</v>
      </c>
      <c r="E17" s="130">
        <v>50.1</v>
      </c>
      <c r="F17" s="130">
        <v>49.2</v>
      </c>
      <c r="G17" s="130">
        <v>50.5</v>
      </c>
      <c r="H17" s="130" t="s">
        <v>8</v>
      </c>
      <c r="I17" s="130">
        <v>92</v>
      </c>
      <c r="J17" s="130" t="s">
        <v>385</v>
      </c>
      <c r="K17" s="131">
        <v>0.40625</v>
      </c>
      <c r="L17" s="130" t="s">
        <v>146</v>
      </c>
      <c r="M17" s="130" t="s">
        <v>302</v>
      </c>
      <c r="N17" s="130" t="s">
        <v>302</v>
      </c>
      <c r="O17" s="130" t="s">
        <v>386</v>
      </c>
      <c r="Q17" s="61"/>
      <c r="R17" s="61"/>
      <c r="S17" s="61"/>
      <c r="T17" s="61"/>
      <c r="U17" s="61"/>
      <c r="V17" s="61"/>
    </row>
    <row r="18" spans="1:22" ht="15" x14ac:dyDescent="0.25">
      <c r="A18" s="129">
        <v>45138</v>
      </c>
      <c r="B18" s="130" t="s">
        <v>338</v>
      </c>
      <c r="C18" s="130" t="s">
        <v>396</v>
      </c>
      <c r="D18" s="130" t="s">
        <v>358</v>
      </c>
      <c r="E18" s="130">
        <v>2E-3</v>
      </c>
      <c r="F18" s="130">
        <v>3.0000000000000001E-3</v>
      </c>
      <c r="G18" s="130">
        <v>-1E-3</v>
      </c>
      <c r="H18" s="130">
        <v>0</v>
      </c>
      <c r="I18" s="130">
        <v>92</v>
      </c>
      <c r="J18" s="130" t="s">
        <v>397</v>
      </c>
      <c r="K18" s="131">
        <v>0.70833333333333337</v>
      </c>
      <c r="L18" s="130" t="s">
        <v>146</v>
      </c>
      <c r="M18" s="130" t="s">
        <v>337</v>
      </c>
      <c r="N18" s="130" t="s">
        <v>398</v>
      </c>
      <c r="O18" s="130" t="s">
        <v>399</v>
      </c>
    </row>
    <row r="19" spans="1:22" ht="15" x14ac:dyDescent="0.25">
      <c r="A19" s="129">
        <v>45140</v>
      </c>
      <c r="B19" s="130" t="s">
        <v>156</v>
      </c>
      <c r="C19" s="130" t="s">
        <v>158</v>
      </c>
      <c r="D19" s="130" t="s">
        <v>421</v>
      </c>
      <c r="E19" s="130" t="s">
        <v>8</v>
      </c>
      <c r="F19" s="130">
        <v>-0.03</v>
      </c>
      <c r="G19" s="130">
        <v>-1.7999999999999999E-2</v>
      </c>
      <c r="H19" s="130" t="s">
        <v>8</v>
      </c>
      <c r="I19" s="130">
        <v>91</v>
      </c>
      <c r="J19" s="130" t="s">
        <v>159</v>
      </c>
      <c r="K19" s="131">
        <v>0.79166666666666663</v>
      </c>
      <c r="L19" s="130" t="s">
        <v>146</v>
      </c>
      <c r="M19" s="130" t="s">
        <v>104</v>
      </c>
      <c r="N19" s="130" t="s">
        <v>204</v>
      </c>
      <c r="O19" s="130" t="s">
        <v>218</v>
      </c>
      <c r="Q19" s="61"/>
      <c r="R19" s="61"/>
      <c r="S19" s="61"/>
      <c r="T19" s="61"/>
      <c r="U19" s="61"/>
      <c r="V19" s="61"/>
    </row>
    <row r="20" spans="1:22" ht="15" x14ac:dyDescent="0.25">
      <c r="A20" s="129">
        <v>45141</v>
      </c>
      <c r="B20" s="130" t="s">
        <v>156</v>
      </c>
      <c r="C20" s="130" t="s">
        <v>361</v>
      </c>
      <c r="D20" s="130" t="s">
        <v>339</v>
      </c>
      <c r="E20" s="130">
        <v>4.7E-2</v>
      </c>
      <c r="F20" s="130">
        <v>4.5999999999999999E-2</v>
      </c>
      <c r="G20" s="130">
        <v>4.7E-2</v>
      </c>
      <c r="H20" s="130" t="s">
        <v>8</v>
      </c>
      <c r="I20" s="130">
        <v>91</v>
      </c>
      <c r="J20" s="130" t="s">
        <v>362</v>
      </c>
      <c r="K20" s="131">
        <v>0.91666666666666663</v>
      </c>
      <c r="L20" s="130" t="s">
        <v>146</v>
      </c>
      <c r="M20" s="130" t="s">
        <v>266</v>
      </c>
      <c r="N20" s="130" t="s">
        <v>267</v>
      </c>
      <c r="O20" s="130" t="s">
        <v>363</v>
      </c>
      <c r="V20" s="61"/>
    </row>
    <row r="21" spans="1:22" ht="15" x14ac:dyDescent="0.25">
      <c r="A21" s="129">
        <v>45139</v>
      </c>
      <c r="B21" s="130" t="s">
        <v>338</v>
      </c>
      <c r="C21" s="130" t="s">
        <v>348</v>
      </c>
      <c r="D21" s="130" t="s">
        <v>357</v>
      </c>
      <c r="E21" s="130">
        <v>42.7</v>
      </c>
      <c r="F21" s="130">
        <v>42.7</v>
      </c>
      <c r="G21" s="130">
        <v>42.7</v>
      </c>
      <c r="H21" s="130" t="s">
        <v>8</v>
      </c>
      <c r="I21" s="130">
        <v>90</v>
      </c>
      <c r="J21" s="130" t="s">
        <v>349</v>
      </c>
      <c r="K21" s="131">
        <v>0.66666666666666663</v>
      </c>
      <c r="L21" s="130" t="s">
        <v>146</v>
      </c>
      <c r="M21" s="130" t="s">
        <v>302</v>
      </c>
      <c r="N21" s="130" t="s">
        <v>302</v>
      </c>
      <c r="O21" s="130" t="s">
        <v>350</v>
      </c>
      <c r="V21" s="61"/>
    </row>
    <row r="22" spans="1:22" ht="15" x14ac:dyDescent="0.25">
      <c r="A22" s="129">
        <v>45138</v>
      </c>
      <c r="B22" s="130" t="s">
        <v>338</v>
      </c>
      <c r="C22" s="130" t="s">
        <v>400</v>
      </c>
      <c r="D22" s="130" t="s">
        <v>358</v>
      </c>
      <c r="E22" s="130">
        <v>5.0000000000000001E-3</v>
      </c>
      <c r="F22" s="130">
        <v>6.0000000000000001E-3</v>
      </c>
      <c r="G22" s="130">
        <v>0.01</v>
      </c>
      <c r="H22" s="130">
        <v>1.0999999999999999E-2</v>
      </c>
      <c r="I22" s="130">
        <v>90</v>
      </c>
      <c r="J22" s="130" t="s">
        <v>401</v>
      </c>
      <c r="K22" s="131">
        <v>0.70833333333333337</v>
      </c>
      <c r="L22" s="130" t="s">
        <v>146</v>
      </c>
      <c r="M22" s="130" t="s">
        <v>337</v>
      </c>
      <c r="N22" s="130" t="s">
        <v>398</v>
      </c>
      <c r="O22" s="130" t="s">
        <v>402</v>
      </c>
      <c r="V22" s="61"/>
    </row>
    <row r="23" spans="1:22" ht="15" x14ac:dyDescent="0.25">
      <c r="A23" s="129">
        <v>45139</v>
      </c>
      <c r="B23" s="130" t="s">
        <v>156</v>
      </c>
      <c r="C23" s="130" t="s">
        <v>364</v>
      </c>
      <c r="D23" s="130" t="s">
        <v>357</v>
      </c>
      <c r="E23" s="130">
        <v>49</v>
      </c>
      <c r="F23" s="130">
        <v>49</v>
      </c>
      <c r="G23" s="130">
        <v>49</v>
      </c>
      <c r="H23" s="130" t="s">
        <v>8</v>
      </c>
      <c r="I23" s="130">
        <v>90</v>
      </c>
      <c r="J23" s="130" t="s">
        <v>365</v>
      </c>
      <c r="K23" s="131">
        <v>0.90625</v>
      </c>
      <c r="L23" s="130" t="s">
        <v>146</v>
      </c>
      <c r="M23" s="130" t="s">
        <v>302</v>
      </c>
      <c r="N23" s="130" t="s">
        <v>302</v>
      </c>
      <c r="O23" s="130" t="s">
        <v>366</v>
      </c>
      <c r="V23" s="61"/>
    </row>
    <row r="24" spans="1:22" ht="15" x14ac:dyDescent="0.25">
      <c r="A24" s="129">
        <v>45142</v>
      </c>
      <c r="B24" s="130" t="s">
        <v>156</v>
      </c>
      <c r="C24" s="130" t="s">
        <v>408</v>
      </c>
      <c r="D24" s="130" t="s">
        <v>345</v>
      </c>
      <c r="E24" s="130">
        <v>3.5999999999999997E-2</v>
      </c>
      <c r="F24" s="130">
        <v>3.5000000000000003E-2</v>
      </c>
      <c r="G24" s="130">
        <v>3.5999999999999997E-2</v>
      </c>
      <c r="H24" s="130" t="s">
        <v>8</v>
      </c>
      <c r="I24" s="130">
        <v>89</v>
      </c>
      <c r="J24" s="130" t="s">
        <v>422</v>
      </c>
      <c r="K24" s="131">
        <v>0.85416666666666663</v>
      </c>
      <c r="L24" s="130" t="s">
        <v>146</v>
      </c>
      <c r="M24" s="130" t="s">
        <v>302</v>
      </c>
      <c r="N24" s="130" t="s">
        <v>303</v>
      </c>
      <c r="O24" s="130" t="s">
        <v>423</v>
      </c>
      <c r="V24" s="61"/>
    </row>
    <row r="25" spans="1:22" ht="15" x14ac:dyDescent="0.25">
      <c r="A25" s="129">
        <v>45140</v>
      </c>
      <c r="B25" s="130" t="s">
        <v>156</v>
      </c>
      <c r="C25" s="130" t="s">
        <v>424</v>
      </c>
      <c r="D25" s="130" t="s">
        <v>345</v>
      </c>
      <c r="E25" s="130" t="s">
        <v>609</v>
      </c>
      <c r="F25" s="130" t="s">
        <v>610</v>
      </c>
      <c r="G25" s="130" t="s">
        <v>425</v>
      </c>
      <c r="H25" s="130" t="s">
        <v>611</v>
      </c>
      <c r="I25" s="130">
        <v>88</v>
      </c>
      <c r="J25" s="130" t="s">
        <v>426</v>
      </c>
      <c r="K25" s="131">
        <v>0.84375</v>
      </c>
      <c r="L25" s="130" t="s">
        <v>146</v>
      </c>
      <c r="M25" s="130" t="s">
        <v>302</v>
      </c>
      <c r="N25" s="130" t="s">
        <v>303</v>
      </c>
      <c r="O25" s="130" t="s">
        <v>427</v>
      </c>
      <c r="V25" s="61"/>
    </row>
    <row r="26" spans="1:22" ht="15" x14ac:dyDescent="0.25">
      <c r="A26" s="129">
        <v>45138</v>
      </c>
      <c r="B26" s="130" t="s">
        <v>338</v>
      </c>
      <c r="C26" s="130" t="s">
        <v>157</v>
      </c>
      <c r="D26" s="130" t="s">
        <v>301</v>
      </c>
      <c r="E26" s="130">
        <v>-1E-3</v>
      </c>
      <c r="F26" s="130">
        <v>-1E-3</v>
      </c>
      <c r="G26" s="130">
        <v>3.0000000000000001E-3</v>
      </c>
      <c r="H26" s="130" t="s">
        <v>8</v>
      </c>
      <c r="I26" s="130">
        <v>85</v>
      </c>
      <c r="J26" s="130" t="s">
        <v>341</v>
      </c>
      <c r="K26" s="131">
        <v>0.70833333333333337</v>
      </c>
      <c r="L26" s="130" t="s">
        <v>146</v>
      </c>
      <c r="M26" s="130" t="s">
        <v>302</v>
      </c>
      <c r="N26" s="130" t="s">
        <v>344</v>
      </c>
      <c r="O26" s="130" t="s">
        <v>403</v>
      </c>
      <c r="V26" s="61"/>
    </row>
    <row r="27" spans="1:22" ht="15" x14ac:dyDescent="0.25">
      <c r="A27" s="129">
        <v>45141</v>
      </c>
      <c r="B27" s="130" t="s">
        <v>156</v>
      </c>
      <c r="C27" s="130" t="s">
        <v>428</v>
      </c>
      <c r="D27" s="130" t="s">
        <v>268</v>
      </c>
      <c r="E27" s="130">
        <v>2.3E-2</v>
      </c>
      <c r="F27" s="130">
        <v>2.3E-2</v>
      </c>
      <c r="G27" s="130">
        <v>3.0000000000000001E-3</v>
      </c>
      <c r="H27" s="130">
        <v>4.0000000000000001E-3</v>
      </c>
      <c r="I27" s="130">
        <v>84</v>
      </c>
      <c r="J27" s="130" t="s">
        <v>429</v>
      </c>
      <c r="K27" s="131">
        <v>0.91666666666666663</v>
      </c>
      <c r="L27" s="130" t="s">
        <v>146</v>
      </c>
      <c r="M27" s="130" t="s">
        <v>266</v>
      </c>
      <c r="N27" s="130" t="s">
        <v>267</v>
      </c>
      <c r="O27" s="130" t="s">
        <v>430</v>
      </c>
      <c r="V27" s="61"/>
    </row>
    <row r="28" spans="1:22" ht="15" x14ac:dyDescent="0.25">
      <c r="A28" s="129">
        <v>45138</v>
      </c>
      <c r="B28" s="130" t="s">
        <v>156</v>
      </c>
      <c r="C28" s="130" t="s">
        <v>431</v>
      </c>
      <c r="D28" s="130" t="s">
        <v>345</v>
      </c>
      <c r="E28" s="130">
        <v>43.5</v>
      </c>
      <c r="F28" s="130">
        <v>42.8</v>
      </c>
      <c r="G28" s="130">
        <v>41.5</v>
      </c>
      <c r="H28" s="130" t="s">
        <v>8</v>
      </c>
      <c r="I28" s="130">
        <v>81</v>
      </c>
      <c r="J28" s="130" t="s">
        <v>432</v>
      </c>
      <c r="K28" s="131">
        <v>0.90625</v>
      </c>
      <c r="L28" s="130" t="s">
        <v>146</v>
      </c>
      <c r="M28" s="130" t="s">
        <v>302</v>
      </c>
      <c r="N28" s="130" t="s">
        <v>303</v>
      </c>
      <c r="O28" s="130" t="s">
        <v>433</v>
      </c>
    </row>
    <row r="29" spans="1:22" ht="15" x14ac:dyDescent="0.25">
      <c r="A29" s="129">
        <v>45138</v>
      </c>
      <c r="B29" s="130" t="s">
        <v>162</v>
      </c>
      <c r="C29" s="130" t="s">
        <v>387</v>
      </c>
      <c r="D29" s="130" t="s">
        <v>345</v>
      </c>
      <c r="E29" s="130">
        <v>53</v>
      </c>
      <c r="F29" s="130">
        <v>51.5</v>
      </c>
      <c r="G29" s="130">
        <v>53.2</v>
      </c>
      <c r="H29" s="130" t="s">
        <v>8</v>
      </c>
      <c r="I29" s="130">
        <v>76</v>
      </c>
      <c r="J29" s="130" t="s">
        <v>388</v>
      </c>
      <c r="K29" s="131">
        <v>0.39583333333333331</v>
      </c>
      <c r="L29" s="130" t="s">
        <v>146</v>
      </c>
      <c r="M29" s="130" t="s">
        <v>302</v>
      </c>
      <c r="N29" s="130" t="s">
        <v>382</v>
      </c>
      <c r="O29" s="130" t="s">
        <v>389</v>
      </c>
    </row>
    <row r="30" spans="1:22" ht="15" x14ac:dyDescent="0.25">
      <c r="A30" s="129">
        <v>45141</v>
      </c>
      <c r="B30" s="130" t="s">
        <v>162</v>
      </c>
      <c r="C30" s="130" t="s">
        <v>390</v>
      </c>
      <c r="D30" s="130" t="s">
        <v>345</v>
      </c>
      <c r="E30" s="130">
        <v>52.4</v>
      </c>
      <c r="F30" s="130">
        <v>54.1</v>
      </c>
      <c r="G30" s="130">
        <v>53.9</v>
      </c>
      <c r="H30" s="130" t="s">
        <v>8</v>
      </c>
      <c r="I30" s="130">
        <v>74</v>
      </c>
      <c r="J30" s="130" t="s">
        <v>391</v>
      </c>
      <c r="K30" s="131">
        <v>0.40625</v>
      </c>
      <c r="L30" s="130" t="s">
        <v>146</v>
      </c>
      <c r="M30" s="130" t="s">
        <v>302</v>
      </c>
      <c r="N30" s="130" t="s">
        <v>302</v>
      </c>
      <c r="O30" s="130" t="s">
        <v>392</v>
      </c>
    </row>
    <row r="31" spans="1:22" ht="15" x14ac:dyDescent="0.25">
      <c r="A31" s="129">
        <v>45138</v>
      </c>
      <c r="B31" s="130" t="s">
        <v>338</v>
      </c>
      <c r="C31" s="130" t="s">
        <v>404</v>
      </c>
      <c r="D31" s="130" t="s">
        <v>345</v>
      </c>
      <c r="E31" s="130">
        <v>5.2999999999999999E-2</v>
      </c>
      <c r="F31" s="130">
        <v>5.2999999999999999E-2</v>
      </c>
      <c r="G31" s="130">
        <v>5.5E-2</v>
      </c>
      <c r="H31" s="130" t="s">
        <v>8</v>
      </c>
      <c r="I31" s="130">
        <v>74</v>
      </c>
      <c r="J31" s="130" t="s">
        <v>405</v>
      </c>
      <c r="K31" s="131">
        <v>0.70833333333333337</v>
      </c>
      <c r="L31" s="130" t="s">
        <v>146</v>
      </c>
      <c r="M31" s="130" t="s">
        <v>302</v>
      </c>
      <c r="N31" s="130" t="s">
        <v>344</v>
      </c>
      <c r="O31" s="130" t="s">
        <v>406</v>
      </c>
    </row>
    <row r="32" spans="1:22" ht="15" x14ac:dyDescent="0.25">
      <c r="A32" s="129">
        <v>45141</v>
      </c>
      <c r="B32" s="130" t="s">
        <v>338</v>
      </c>
      <c r="C32" s="130" t="s">
        <v>351</v>
      </c>
      <c r="D32" s="130" t="s">
        <v>357</v>
      </c>
      <c r="E32" s="130">
        <v>48.9</v>
      </c>
      <c r="F32" s="130">
        <v>48.6</v>
      </c>
      <c r="G32" s="130">
        <v>48.9</v>
      </c>
      <c r="H32" s="130" t="s">
        <v>8</v>
      </c>
      <c r="I32" s="130">
        <v>72</v>
      </c>
      <c r="J32" s="130" t="s">
        <v>352</v>
      </c>
      <c r="K32" s="131">
        <v>0.66666666666666663</v>
      </c>
      <c r="L32" s="130" t="s">
        <v>146</v>
      </c>
      <c r="M32" s="130" t="s">
        <v>302</v>
      </c>
      <c r="N32" s="130" t="s">
        <v>302</v>
      </c>
      <c r="O32" s="130" t="s">
        <v>353</v>
      </c>
    </row>
    <row r="33" spans="1:15" ht="15" x14ac:dyDescent="0.25">
      <c r="A33" s="129">
        <v>45141</v>
      </c>
      <c r="B33" s="130" t="s">
        <v>162</v>
      </c>
      <c r="C33" s="130" t="s">
        <v>393</v>
      </c>
      <c r="D33" s="130" t="s">
        <v>345</v>
      </c>
      <c r="E33" s="130" t="s">
        <v>8</v>
      </c>
      <c r="F33" s="130">
        <v>51.9</v>
      </c>
      <c r="G33" s="130">
        <v>52.5</v>
      </c>
      <c r="H33" s="130" t="s">
        <v>8</v>
      </c>
      <c r="I33" s="130">
        <v>70</v>
      </c>
      <c r="J33" s="130" t="s">
        <v>394</v>
      </c>
      <c r="K33" s="131">
        <v>0.40625</v>
      </c>
      <c r="L33" s="130" t="s">
        <v>146</v>
      </c>
      <c r="M33" s="130" t="s">
        <v>302</v>
      </c>
      <c r="N33" s="130" t="s">
        <v>302</v>
      </c>
      <c r="O33" s="130" t="s">
        <v>395</v>
      </c>
    </row>
    <row r="34" spans="1:15" ht="15" x14ac:dyDescent="0.25">
      <c r="A34" s="129">
        <v>45141</v>
      </c>
      <c r="B34" s="130" t="s">
        <v>338</v>
      </c>
      <c r="C34" s="130" t="s">
        <v>354</v>
      </c>
      <c r="D34" s="130" t="s">
        <v>357</v>
      </c>
      <c r="E34" s="130">
        <v>51.1</v>
      </c>
      <c r="F34" s="130">
        <v>50.9</v>
      </c>
      <c r="G34" s="130">
        <v>51.1</v>
      </c>
      <c r="H34" s="130" t="s">
        <v>8</v>
      </c>
      <c r="I34" s="130">
        <v>70</v>
      </c>
      <c r="J34" s="130" t="s">
        <v>355</v>
      </c>
      <c r="K34" s="131">
        <v>0.66666666666666663</v>
      </c>
      <c r="L34" s="130" t="s">
        <v>146</v>
      </c>
      <c r="M34" s="130" t="s">
        <v>302</v>
      </c>
      <c r="N34" s="130" t="s">
        <v>302</v>
      </c>
      <c r="O34" s="130" t="s">
        <v>356</v>
      </c>
    </row>
    <row r="35" spans="1:15" ht="15" x14ac:dyDescent="0.25">
      <c r="A35" s="129">
        <v>45138</v>
      </c>
      <c r="B35" s="130" t="s">
        <v>338</v>
      </c>
      <c r="C35" s="130" t="s">
        <v>342</v>
      </c>
      <c r="D35" s="130" t="s">
        <v>301</v>
      </c>
      <c r="E35" s="130">
        <v>5.3999999999999999E-2</v>
      </c>
      <c r="F35" s="130">
        <v>5.5E-2</v>
      </c>
      <c r="G35" s="130">
        <v>5.5E-2</v>
      </c>
      <c r="H35" s="130" t="s">
        <v>8</v>
      </c>
      <c r="I35" s="130">
        <v>69</v>
      </c>
      <c r="J35" s="130" t="s">
        <v>343</v>
      </c>
      <c r="K35" s="131">
        <v>0.70833333333333337</v>
      </c>
      <c r="L35" s="130" t="s">
        <v>146</v>
      </c>
      <c r="M35" s="130" t="s">
        <v>302</v>
      </c>
      <c r="N35" s="130" t="s">
        <v>344</v>
      </c>
      <c r="O35" s="130" t="s">
        <v>407</v>
      </c>
    </row>
    <row r="36" spans="1:15" ht="15" x14ac:dyDescent="0.25">
      <c r="A36" s="129">
        <v>45139</v>
      </c>
      <c r="B36" s="130" t="s">
        <v>338</v>
      </c>
      <c r="C36" s="130" t="s">
        <v>408</v>
      </c>
      <c r="D36" s="130" t="s">
        <v>268</v>
      </c>
      <c r="E36" s="130">
        <v>6.5000000000000002E-2</v>
      </c>
      <c r="F36" s="130">
        <v>6.4000000000000001E-2</v>
      </c>
      <c r="G36" s="130">
        <v>6.5000000000000002E-2</v>
      </c>
      <c r="H36" s="130">
        <v>6.4000000000000001E-2</v>
      </c>
      <c r="I36" s="130">
        <v>67</v>
      </c>
      <c r="J36" s="130" t="s">
        <v>409</v>
      </c>
      <c r="K36" s="131">
        <v>0.70833333333333337</v>
      </c>
      <c r="L36" s="130" t="s">
        <v>146</v>
      </c>
      <c r="M36" s="130" t="s">
        <v>266</v>
      </c>
      <c r="N36" s="130" t="s">
        <v>340</v>
      </c>
      <c r="O36" s="130" t="s">
        <v>410</v>
      </c>
    </row>
    <row r="37" spans="1:15" ht="15" x14ac:dyDescent="0.25"/>
    <row r="38" spans="1:15" ht="15" x14ac:dyDescent="0.25"/>
    <row r="39" spans="1:15" ht="15" x14ac:dyDescent="0.25"/>
    <row r="40" spans="1:15" ht="15" x14ac:dyDescent="0.25"/>
    <row r="41" spans="1:15" ht="15" x14ac:dyDescent="0.25"/>
    <row r="42" spans="1:15" ht="15" x14ac:dyDescent="0.25"/>
    <row r="43" spans="1:15" ht="15" x14ac:dyDescent="0.25"/>
    <row r="44" spans="1:15" ht="15" x14ac:dyDescent="0.25"/>
    <row r="45" spans="1:15" ht="15" x14ac:dyDescent="0.25"/>
    <row r="46" spans="1:15" ht="15" x14ac:dyDescent="0.25"/>
    <row r="47" spans="1:15" ht="15" x14ac:dyDescent="0.25"/>
    <row r="48" spans="1:15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6" type="noConversion"/>
  <conditionalFormatting sqref="A13:K36">
    <cfRule type="expression" dxfId="103" priority="24">
      <formula>#REF!="EC"</formula>
    </cfRule>
    <cfRule type="expression" dxfId="102" priority="25">
      <formula>#REF!="CH"</formula>
    </cfRule>
  </conditionalFormatting>
  <conditionalFormatting sqref="I13:I36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9"/>
  <sheetViews>
    <sheetView workbookViewId="0">
      <selection activeCell="E32" sqref="E32"/>
    </sheetView>
  </sheetViews>
  <sheetFormatPr defaultColWidth="8.88671875" defaultRowHeight="15" x14ac:dyDescent="0.25"/>
  <cols>
    <col min="1" max="1" width="9.44140625" style="58" bestFit="1" customWidth="1"/>
    <col min="2" max="2" width="8.5546875" style="58" bestFit="1" customWidth="1"/>
    <col min="3" max="3" width="25.109375" style="58" bestFit="1" customWidth="1"/>
    <col min="4" max="4" width="8.109375" style="58" bestFit="1" customWidth="1"/>
    <col min="5" max="5" width="9.44140625" style="58" bestFit="1" customWidth="1"/>
    <col min="6" max="6" width="7.88671875" style="58" bestFit="1" customWidth="1"/>
    <col min="7" max="7" width="9.44140625" style="58" bestFit="1" customWidth="1"/>
    <col min="8" max="8" width="9.109375" style="58" bestFit="1" customWidth="1"/>
    <col min="9" max="9" width="11" style="58" bestFit="1" customWidth="1" collapsed="1"/>
    <col min="10" max="10" width="15.5546875" style="58" bestFit="1" customWidth="1"/>
    <col min="11" max="11" width="10.77734375" style="58" bestFit="1" customWidth="1"/>
    <col min="12" max="12" width="7.33203125" style="58" bestFit="1" customWidth="1"/>
    <col min="13" max="13" width="6.109375" style="58" bestFit="1" customWidth="1"/>
    <col min="14" max="14" width="7.77734375" style="58" bestFit="1" customWidth="1"/>
    <col min="15" max="15" width="28.5546875" style="58" bestFit="1" customWidth="1" collapsed="1"/>
    <col min="16" max="16" width="6.5546875" style="58" customWidth="1"/>
    <col min="17" max="17" width="6.77734375" style="58" customWidth="1"/>
    <col min="18" max="18" width="28.109375" style="58" bestFit="1" customWidth="1"/>
    <col min="19" max="19" width="12.6640625" style="58" bestFit="1" customWidth="1"/>
    <col min="20" max="22" width="7.6640625" style="58" customWidth="1"/>
    <col min="23" max="23" width="6.109375" style="58" bestFit="1" customWidth="1"/>
    <col min="24" max="24" width="9.44140625" style="58" bestFit="1" customWidth="1"/>
    <col min="25" max="25" width="35.109375" style="58" bestFit="1" customWidth="1"/>
    <col min="26" max="16384" width="8.88671875" style="58"/>
  </cols>
  <sheetData>
    <row r="1" spans="1:22" ht="59.25" customHeight="1" x14ac:dyDescent="0.25">
      <c r="A1" s="57" t="s">
        <v>213</v>
      </c>
    </row>
    <row r="2" spans="1:22" x14ac:dyDescent="0.25">
      <c r="B2" s="59" t="s">
        <v>96</v>
      </c>
      <c r="C2" s="59" t="s">
        <v>216</v>
      </c>
      <c r="D2" s="59" t="s">
        <v>221</v>
      </c>
      <c r="E2" s="59" t="s">
        <v>207</v>
      </c>
      <c r="F2" s="59" t="s">
        <v>208</v>
      </c>
      <c r="V2" s="61"/>
    </row>
    <row r="3" spans="1:22" x14ac:dyDescent="0.25">
      <c r="B3" s="59">
        <v>3</v>
      </c>
      <c r="C3" s="60" t="s">
        <v>614</v>
      </c>
      <c r="D3" s="93">
        <f>IFERROR(INDEX(FUTURE[Date],MATCH(input_future[[#This Row],[未来一周主要经济数据]],FUTURE[未来一周主要经济数据],0)),"")</f>
        <v>45147</v>
      </c>
      <c r="E3" s="63">
        <f>IFERROR(INDEX(FUTURE[Prior],MATCH(input_future[[#This Row],[未来一周主要经济数据]],FUTURE[未来一周主要经济数据],0)),"")</f>
        <v>0</v>
      </c>
      <c r="F3" s="63">
        <f>IFERROR(INDEX(FUTURE[Survey],MATCH(input_future[[#This Row],[未来一周主要经济数据]],FUTURE[未来一周主要经济数据],0)),"")</f>
        <v>-4.0000000000000001E-3</v>
      </c>
      <c r="V3" s="68"/>
    </row>
    <row r="4" spans="1:22" x14ac:dyDescent="0.25">
      <c r="B4" s="59">
        <v>1</v>
      </c>
      <c r="C4" s="60" t="s">
        <v>218</v>
      </c>
      <c r="D4" s="93">
        <f>IFERROR(INDEX(FUTURE[Date],MATCH(input_future[[#This Row],[未来一周主要经济数据]],FUTURE[未来一周主要经济数据],0)),"")</f>
        <v>45147</v>
      </c>
      <c r="E4" s="63">
        <f>IFERROR(INDEX(FUTURE[Prior],MATCH(input_future[[#This Row],[未来一周主要经济数据]],FUTURE[未来一周主要经济数据],0)),"")</f>
        <v>-0.03</v>
      </c>
      <c r="F4" s="63" t="str">
        <f>IFERROR(INDEX(FUTURE[Survey],MATCH(input_future[[#This Row],[未来一周主要经济数据]],FUTURE[未来一周主要经济数据],0)),"")</f>
        <v>--</v>
      </c>
      <c r="V4" s="68"/>
    </row>
    <row r="5" spans="1:22" x14ac:dyDescent="0.25">
      <c r="B5" s="59">
        <v>6</v>
      </c>
      <c r="C5" s="60" t="s">
        <v>217</v>
      </c>
      <c r="D5" s="93">
        <f>IFERROR(INDEX(FUTURE[Date],MATCH(input_future[[#This Row],[未来一周主要经济数据]],FUTURE[未来一周主要经济数据],0)),"")</f>
        <v>45148</v>
      </c>
      <c r="E5" s="63" t="str">
        <f>IFERROR(INDEX(FUTURE[Prior],MATCH(input_future[[#This Row],[未来一周主要经济数据]],FUTURE[未来一周主要经济数据],0)),"")</f>
        <v>227k</v>
      </c>
      <c r="F5" s="63" t="str">
        <f>IFERROR(INDEX(FUTURE[Survey],MATCH(input_future[[#This Row],[未来一周主要经济数据]],FUTURE[未来一周主要经济数据],0)),"")</f>
        <v>230k</v>
      </c>
      <c r="V5" s="68"/>
    </row>
    <row r="6" spans="1:22" x14ac:dyDescent="0.25">
      <c r="B6" s="59">
        <v>4</v>
      </c>
      <c r="C6" s="60" t="s">
        <v>646</v>
      </c>
      <c r="D6" s="93">
        <f>IFERROR(INDEX(FUTURE[Date],MATCH(input_future[[#This Row],[未来一周主要经济数据]],FUTURE[未来一周主要经济数据],0)),"")</f>
        <v>45148</v>
      </c>
      <c r="E6" s="63">
        <f>IFERROR(INDEX(FUTURE[Prior],MATCH(input_future[[#This Row],[未来一周主要经济数据]],FUTURE[未来一周主要经济数据],0)),"")</f>
        <v>2E-3</v>
      </c>
      <c r="F6" s="63">
        <f>IFERROR(INDEX(FUTURE[Survey],MATCH(input_future[[#This Row],[未来一周主要经济数据]],FUTURE[未来一周主要经济数据],0)),"")</f>
        <v>2E-3</v>
      </c>
      <c r="V6" s="68"/>
    </row>
    <row r="7" spans="1:22" x14ac:dyDescent="0.25">
      <c r="B7" s="59">
        <v>2</v>
      </c>
      <c r="C7" s="60" t="s">
        <v>652</v>
      </c>
      <c r="D7" s="93">
        <f>IFERROR(INDEX(FUTURE[Date],MATCH(input_future[[#This Row],[未来一周主要经济数据]],FUTURE[未来一周主要经济数据],0)),"")</f>
        <v>45148</v>
      </c>
      <c r="E7" s="63">
        <f>IFERROR(INDEX(FUTURE[Prior],MATCH(input_future[[#This Row],[未来一周主要经济数据]],FUTURE[未来一周主要经济数据],0)),"")</f>
        <v>0.03</v>
      </c>
      <c r="F7" s="63">
        <f>IFERROR(INDEX(FUTURE[Survey],MATCH(input_future[[#This Row],[未来一周主要经济数据]],FUTURE[未来一周主要经济数据],0)),"")</f>
        <v>3.3000000000000002E-2</v>
      </c>
      <c r="V7" s="68"/>
    </row>
    <row r="8" spans="1:22" x14ac:dyDescent="0.25">
      <c r="B8" s="59">
        <v>5</v>
      </c>
      <c r="C8" s="60" t="s">
        <v>650</v>
      </c>
      <c r="D8" s="93">
        <f>IFERROR(INDEX(FUTURE[Date],MATCH(input_future[[#This Row],[未来一周主要经济数据]],FUTURE[未来一周主要经济数据],0)),"")</f>
        <v>45149</v>
      </c>
      <c r="E8" s="63">
        <f>IFERROR(INDEX(FUTURE[Prior],MATCH(input_future[[#This Row],[未来一周主要经济数据]],FUTURE[未来一周主要经济数据],0)),"")</f>
        <v>71.599999999999994</v>
      </c>
      <c r="F8" s="63">
        <f>IFERROR(INDEX(FUTURE[Survey],MATCH(input_future[[#This Row],[未来一周主要经济数据]],FUTURE[未来一周主要经济数据],0)),"")</f>
        <v>71.5</v>
      </c>
      <c r="V8" s="68"/>
    </row>
    <row r="9" spans="1:22" x14ac:dyDescent="0.25">
      <c r="Q9" s="61"/>
      <c r="R9" s="61"/>
      <c r="S9" s="61"/>
      <c r="T9" s="61"/>
      <c r="U9" s="61"/>
      <c r="V9" s="61"/>
    </row>
    <row r="10" spans="1:22" x14ac:dyDescent="0.25">
      <c r="A10" s="60" t="s">
        <v>147</v>
      </c>
      <c r="B10" s="60" t="s">
        <v>210</v>
      </c>
      <c r="C10" s="60" t="s">
        <v>148</v>
      </c>
      <c r="D10" s="60" t="s">
        <v>211</v>
      </c>
      <c r="E10" s="60" t="s">
        <v>149</v>
      </c>
      <c r="F10" s="60" t="s">
        <v>150</v>
      </c>
      <c r="G10" s="60" t="s">
        <v>151</v>
      </c>
      <c r="H10" s="60" t="s">
        <v>152</v>
      </c>
      <c r="I10" s="60" t="s">
        <v>153</v>
      </c>
      <c r="J10" s="60" t="s">
        <v>154</v>
      </c>
      <c r="K10" s="60" t="s">
        <v>155</v>
      </c>
      <c r="L10" s="60" t="s">
        <v>212</v>
      </c>
      <c r="M10" s="60" t="s">
        <v>214</v>
      </c>
      <c r="N10" s="60" t="s">
        <v>215</v>
      </c>
      <c r="O10" s="60" t="s">
        <v>216</v>
      </c>
      <c r="Q10" s="61"/>
      <c r="R10" s="61"/>
      <c r="S10" s="61"/>
      <c r="T10" s="61"/>
      <c r="U10" s="61"/>
      <c r="V10" s="61"/>
    </row>
    <row r="11" spans="1:22" x14ac:dyDescent="0.25">
      <c r="A11" s="100">
        <v>45147</v>
      </c>
      <c r="B11" s="60" t="s">
        <v>162</v>
      </c>
      <c r="C11" s="60" t="s">
        <v>612</v>
      </c>
      <c r="D11" s="60" t="s">
        <v>345</v>
      </c>
      <c r="E11" s="60">
        <v>-4.0000000000000001E-3</v>
      </c>
      <c r="F11" s="60" t="s">
        <v>8</v>
      </c>
      <c r="G11" s="60">
        <v>0</v>
      </c>
      <c r="H11" s="60" t="s">
        <v>8</v>
      </c>
      <c r="I11" s="60">
        <v>98</v>
      </c>
      <c r="J11" s="60" t="s">
        <v>613</v>
      </c>
      <c r="K11" s="101">
        <v>0.39583333333333331</v>
      </c>
      <c r="L11" s="60" t="s">
        <v>213</v>
      </c>
      <c r="M11" s="60" t="s">
        <v>302</v>
      </c>
      <c r="N11" s="60" t="s">
        <v>382</v>
      </c>
      <c r="O11" s="60" t="s">
        <v>614</v>
      </c>
      <c r="Q11" s="61"/>
      <c r="R11" s="61"/>
      <c r="S11" s="61"/>
      <c r="T11" s="61"/>
      <c r="U11" s="61"/>
      <c r="V11" s="61"/>
    </row>
    <row r="12" spans="1:22" x14ac:dyDescent="0.25">
      <c r="A12" s="100">
        <v>45148</v>
      </c>
      <c r="B12" s="60" t="s">
        <v>156</v>
      </c>
      <c r="C12" s="60" t="s">
        <v>160</v>
      </c>
      <c r="D12" s="60" t="s">
        <v>643</v>
      </c>
      <c r="E12" s="60" t="s">
        <v>644</v>
      </c>
      <c r="F12" s="60" t="s">
        <v>8</v>
      </c>
      <c r="G12" s="60" t="s">
        <v>417</v>
      </c>
      <c r="H12" s="60" t="s">
        <v>8</v>
      </c>
      <c r="I12" s="60">
        <v>98</v>
      </c>
      <c r="J12" s="60" t="s">
        <v>161</v>
      </c>
      <c r="K12" s="101">
        <v>0.85416666666666663</v>
      </c>
      <c r="L12" s="60" t="s">
        <v>213</v>
      </c>
      <c r="M12" s="60" t="s">
        <v>104</v>
      </c>
      <c r="N12" s="60" t="s">
        <v>204</v>
      </c>
      <c r="O12" s="60" t="s">
        <v>217</v>
      </c>
      <c r="Q12" s="61"/>
      <c r="R12" s="61"/>
      <c r="S12" s="61"/>
      <c r="T12" s="61"/>
      <c r="U12" s="61"/>
      <c r="V12" s="61"/>
    </row>
    <row r="13" spans="1:22" x14ac:dyDescent="0.25">
      <c r="A13" s="100">
        <v>45148</v>
      </c>
      <c r="B13" s="60" t="s">
        <v>156</v>
      </c>
      <c r="C13" s="60" t="s">
        <v>157</v>
      </c>
      <c r="D13" s="60" t="s">
        <v>345</v>
      </c>
      <c r="E13" s="60">
        <v>2E-3</v>
      </c>
      <c r="F13" s="60" t="s">
        <v>8</v>
      </c>
      <c r="G13" s="60">
        <v>2E-3</v>
      </c>
      <c r="H13" s="60" t="s">
        <v>8</v>
      </c>
      <c r="I13" s="60">
        <v>97</v>
      </c>
      <c r="J13" s="60" t="s">
        <v>645</v>
      </c>
      <c r="K13" s="101">
        <v>0.85416666666666663</v>
      </c>
      <c r="L13" s="60" t="s">
        <v>213</v>
      </c>
      <c r="M13" s="60" t="s">
        <v>302</v>
      </c>
      <c r="N13" s="60" t="s">
        <v>303</v>
      </c>
      <c r="O13" s="60" t="s">
        <v>646</v>
      </c>
      <c r="Q13" s="61"/>
      <c r="R13" s="61"/>
      <c r="S13" s="61"/>
      <c r="T13" s="61"/>
      <c r="U13" s="61"/>
      <c r="V13" s="61"/>
    </row>
    <row r="14" spans="1:22" x14ac:dyDescent="0.25">
      <c r="A14" s="100">
        <v>45149</v>
      </c>
      <c r="B14" s="60" t="s">
        <v>156</v>
      </c>
      <c r="C14" s="60" t="s">
        <v>359</v>
      </c>
      <c r="D14" s="60" t="s">
        <v>647</v>
      </c>
      <c r="E14" s="60">
        <v>71.5</v>
      </c>
      <c r="F14" s="60" t="s">
        <v>8</v>
      </c>
      <c r="G14" s="60">
        <v>71.599999999999994</v>
      </c>
      <c r="H14" s="60" t="s">
        <v>8</v>
      </c>
      <c r="I14" s="60">
        <v>95</v>
      </c>
      <c r="J14" s="60" t="s">
        <v>360</v>
      </c>
      <c r="K14" s="101">
        <v>0.91666666666666663</v>
      </c>
      <c r="L14" s="60" t="s">
        <v>213</v>
      </c>
      <c r="M14" s="60" t="s">
        <v>648</v>
      </c>
      <c r="N14" s="60" t="s">
        <v>649</v>
      </c>
      <c r="O14" s="60" t="s">
        <v>650</v>
      </c>
      <c r="Q14" s="61"/>
      <c r="R14" s="61"/>
      <c r="S14" s="61"/>
      <c r="T14" s="61"/>
      <c r="U14" s="61"/>
      <c r="V14" s="61"/>
    </row>
    <row r="15" spans="1:22" x14ac:dyDescent="0.25">
      <c r="A15" s="100">
        <v>45148</v>
      </c>
      <c r="B15" s="60" t="s">
        <v>156</v>
      </c>
      <c r="C15" s="60" t="s">
        <v>612</v>
      </c>
      <c r="D15" s="60" t="s">
        <v>345</v>
      </c>
      <c r="E15" s="60">
        <v>3.3000000000000002E-2</v>
      </c>
      <c r="F15" s="60" t="s">
        <v>8</v>
      </c>
      <c r="G15" s="60">
        <v>0.03</v>
      </c>
      <c r="H15" s="60" t="s">
        <v>8</v>
      </c>
      <c r="I15" s="60">
        <v>94</v>
      </c>
      <c r="J15" s="60" t="s">
        <v>651</v>
      </c>
      <c r="K15" s="101">
        <v>0.85416666666666663</v>
      </c>
      <c r="L15" s="60" t="s">
        <v>213</v>
      </c>
      <c r="M15" s="60" t="s">
        <v>302</v>
      </c>
      <c r="N15" s="60" t="s">
        <v>303</v>
      </c>
      <c r="O15" s="60" t="s">
        <v>652</v>
      </c>
      <c r="Q15" s="61"/>
      <c r="R15" s="61"/>
      <c r="S15" s="61"/>
      <c r="T15" s="61"/>
      <c r="U15" s="61"/>
      <c r="V15" s="61"/>
    </row>
    <row r="16" spans="1:22" x14ac:dyDescent="0.25">
      <c r="A16" s="100">
        <v>45147</v>
      </c>
      <c r="B16" s="60" t="s">
        <v>156</v>
      </c>
      <c r="C16" s="60" t="s">
        <v>158</v>
      </c>
      <c r="D16" s="60" t="s">
        <v>653</v>
      </c>
      <c r="E16" s="60" t="s">
        <v>8</v>
      </c>
      <c r="F16" s="60" t="s">
        <v>8</v>
      </c>
      <c r="G16" s="60">
        <v>-0.03</v>
      </c>
      <c r="H16" s="60" t="s">
        <v>8</v>
      </c>
      <c r="I16" s="60">
        <v>91</v>
      </c>
      <c r="J16" s="60" t="s">
        <v>159</v>
      </c>
      <c r="K16" s="101">
        <v>0.79166666666666663</v>
      </c>
      <c r="L16" s="60" t="s">
        <v>213</v>
      </c>
      <c r="M16" s="60" t="s">
        <v>104</v>
      </c>
      <c r="N16" s="60" t="s">
        <v>204</v>
      </c>
      <c r="O16" s="60" t="s">
        <v>218</v>
      </c>
      <c r="Q16" s="61"/>
      <c r="R16" s="61"/>
      <c r="S16" s="61"/>
      <c r="T16" s="61"/>
      <c r="U16" s="61"/>
      <c r="V16" s="61"/>
    </row>
    <row r="17" spans="1:22" x14ac:dyDescent="0.25">
      <c r="A17" s="100">
        <v>45147</v>
      </c>
      <c r="B17" s="60" t="s">
        <v>162</v>
      </c>
      <c r="C17" s="60" t="s">
        <v>615</v>
      </c>
      <c r="D17" s="60" t="s">
        <v>345</v>
      </c>
      <c r="E17" s="60">
        <v>-0.04</v>
      </c>
      <c r="F17" s="60" t="s">
        <v>8</v>
      </c>
      <c r="G17" s="60">
        <v>-5.3999999999999999E-2</v>
      </c>
      <c r="H17" s="60" t="s">
        <v>8</v>
      </c>
      <c r="I17" s="60">
        <v>90</v>
      </c>
      <c r="J17" s="60" t="s">
        <v>616</v>
      </c>
      <c r="K17" s="101">
        <v>0.39583333333333331</v>
      </c>
      <c r="L17" s="60" t="s">
        <v>213</v>
      </c>
      <c r="M17" s="60" t="s">
        <v>302</v>
      </c>
      <c r="N17" s="60" t="s">
        <v>382</v>
      </c>
      <c r="O17" s="60" t="s">
        <v>617</v>
      </c>
      <c r="Q17" s="61"/>
      <c r="R17" s="61"/>
      <c r="S17" s="61"/>
      <c r="T17" s="61"/>
      <c r="U17" s="61"/>
      <c r="V17" s="61"/>
    </row>
    <row r="18" spans="1:22" x14ac:dyDescent="0.25">
      <c r="A18" s="100">
        <v>45149</v>
      </c>
      <c r="B18" s="60" t="s">
        <v>156</v>
      </c>
      <c r="C18" s="60" t="s">
        <v>654</v>
      </c>
      <c r="D18" s="60" t="s">
        <v>345</v>
      </c>
      <c r="E18" s="60">
        <v>2E-3</v>
      </c>
      <c r="F18" s="60" t="s">
        <v>8</v>
      </c>
      <c r="G18" s="60">
        <v>1E-3</v>
      </c>
      <c r="H18" s="60" t="s">
        <v>8</v>
      </c>
      <c r="I18" s="60">
        <v>87</v>
      </c>
      <c r="J18" s="60" t="s">
        <v>655</v>
      </c>
      <c r="K18" s="101">
        <v>0.85416666666666663</v>
      </c>
      <c r="L18" s="60" t="s">
        <v>213</v>
      </c>
      <c r="M18" s="60" t="s">
        <v>302</v>
      </c>
      <c r="N18" s="60" t="s">
        <v>303</v>
      </c>
      <c r="O18" s="60" t="s">
        <v>656</v>
      </c>
    </row>
    <row r="19" spans="1:22" x14ac:dyDescent="0.25">
      <c r="A19" s="100">
        <v>45147</v>
      </c>
      <c r="B19" s="60" t="s">
        <v>162</v>
      </c>
      <c r="C19" s="60" t="s">
        <v>618</v>
      </c>
      <c r="D19" s="60" t="s">
        <v>345</v>
      </c>
      <c r="E19" s="60">
        <v>0.11</v>
      </c>
      <c r="F19" s="60" t="s">
        <v>8</v>
      </c>
      <c r="G19" s="60">
        <v>0.113</v>
      </c>
      <c r="H19" s="60" t="s">
        <v>8</v>
      </c>
      <c r="I19" s="60">
        <v>86</v>
      </c>
      <c r="J19" s="60" t="s">
        <v>619</v>
      </c>
      <c r="K19" s="101"/>
      <c r="L19" s="60" t="s">
        <v>213</v>
      </c>
      <c r="M19" s="60" t="s">
        <v>302</v>
      </c>
      <c r="N19" s="60" t="s">
        <v>382</v>
      </c>
      <c r="O19" s="60" t="s">
        <v>620</v>
      </c>
      <c r="Q19" s="61"/>
      <c r="R19" s="61"/>
      <c r="S19" s="61"/>
      <c r="T19" s="61"/>
      <c r="U19" s="61"/>
      <c r="V19" s="61"/>
    </row>
    <row r="20" spans="1:22" x14ac:dyDescent="0.25">
      <c r="A20" s="100">
        <v>45146</v>
      </c>
      <c r="B20" s="60" t="s">
        <v>156</v>
      </c>
      <c r="C20" s="60" t="s">
        <v>621</v>
      </c>
      <c r="D20" s="60" t="s">
        <v>268</v>
      </c>
      <c r="E20" s="60" t="s">
        <v>657</v>
      </c>
      <c r="F20" s="60" t="s">
        <v>8</v>
      </c>
      <c r="G20" s="60" t="s">
        <v>658</v>
      </c>
      <c r="H20" s="60" t="s">
        <v>8</v>
      </c>
      <c r="I20" s="60">
        <v>84</v>
      </c>
      <c r="J20" s="60" t="s">
        <v>659</v>
      </c>
      <c r="K20" s="101">
        <v>0.85416666666666663</v>
      </c>
      <c r="L20" s="60" t="s">
        <v>213</v>
      </c>
      <c r="M20" s="60" t="s">
        <v>266</v>
      </c>
      <c r="N20" s="60" t="s">
        <v>267</v>
      </c>
      <c r="O20" s="60" t="s">
        <v>660</v>
      </c>
      <c r="V20" s="61"/>
    </row>
    <row r="21" spans="1:22" x14ac:dyDescent="0.25">
      <c r="A21" s="100">
        <v>45146</v>
      </c>
      <c r="B21" s="60" t="s">
        <v>162</v>
      </c>
      <c r="C21" s="60" t="s">
        <v>621</v>
      </c>
      <c r="D21" s="60" t="s">
        <v>345</v>
      </c>
      <c r="E21" s="60" t="s">
        <v>622</v>
      </c>
      <c r="F21" s="60" t="s">
        <v>8</v>
      </c>
      <c r="G21" s="60" t="s">
        <v>623</v>
      </c>
      <c r="H21" s="60" t="s">
        <v>8</v>
      </c>
      <c r="I21" s="60">
        <v>82</v>
      </c>
      <c r="J21" s="60" t="s">
        <v>624</v>
      </c>
      <c r="K21" s="101"/>
      <c r="L21" s="60" t="s">
        <v>213</v>
      </c>
      <c r="M21" s="60" t="s">
        <v>302</v>
      </c>
      <c r="N21" s="60" t="s">
        <v>382</v>
      </c>
      <c r="O21" s="60" t="s">
        <v>625</v>
      </c>
      <c r="V21" s="61"/>
    </row>
    <row r="22" spans="1:22" x14ac:dyDescent="0.25">
      <c r="A22" s="100">
        <v>45146</v>
      </c>
      <c r="B22" s="60" t="s">
        <v>162</v>
      </c>
      <c r="C22" s="60" t="s">
        <v>626</v>
      </c>
      <c r="D22" s="60" t="s">
        <v>345</v>
      </c>
      <c r="E22" s="60">
        <v>-0.129</v>
      </c>
      <c r="F22" s="60" t="s">
        <v>8</v>
      </c>
      <c r="G22" s="60">
        <v>-0.124</v>
      </c>
      <c r="H22" s="60" t="s">
        <v>8</v>
      </c>
      <c r="I22" s="60">
        <v>80</v>
      </c>
      <c r="J22" s="60" t="s">
        <v>627</v>
      </c>
      <c r="K22" s="101"/>
      <c r="L22" s="60" t="s">
        <v>213</v>
      </c>
      <c r="M22" s="60" t="s">
        <v>302</v>
      </c>
      <c r="N22" s="60" t="s">
        <v>382</v>
      </c>
      <c r="O22" s="60" t="s">
        <v>628</v>
      </c>
      <c r="V22" s="61"/>
    </row>
    <row r="23" spans="1:22" x14ac:dyDescent="0.25">
      <c r="A23" s="100">
        <v>45146</v>
      </c>
      <c r="B23" s="60" t="s">
        <v>162</v>
      </c>
      <c r="C23" s="60" t="s">
        <v>629</v>
      </c>
      <c r="D23" s="60" t="s">
        <v>345</v>
      </c>
      <c r="E23" s="60">
        <v>-5.7000000000000002E-2</v>
      </c>
      <c r="F23" s="60" t="s">
        <v>8</v>
      </c>
      <c r="G23" s="60">
        <v>-6.8000000000000005E-2</v>
      </c>
      <c r="H23" s="60" t="s">
        <v>8</v>
      </c>
      <c r="I23" s="60">
        <v>78</v>
      </c>
      <c r="J23" s="60" t="s">
        <v>630</v>
      </c>
      <c r="K23" s="101"/>
      <c r="L23" s="60" t="s">
        <v>213</v>
      </c>
      <c r="M23" s="60" t="s">
        <v>302</v>
      </c>
      <c r="N23" s="60" t="s">
        <v>382</v>
      </c>
      <c r="O23" s="60" t="s">
        <v>631</v>
      </c>
      <c r="V23" s="61"/>
    </row>
    <row r="24" spans="1:22" x14ac:dyDescent="0.25">
      <c r="A24" s="100">
        <v>45147</v>
      </c>
      <c r="B24" s="60" t="s">
        <v>162</v>
      </c>
      <c r="C24" s="60" t="s">
        <v>632</v>
      </c>
      <c r="D24" s="60" t="s">
        <v>345</v>
      </c>
      <c r="E24" s="60" t="s">
        <v>633</v>
      </c>
      <c r="F24" s="60" t="s">
        <v>8</v>
      </c>
      <c r="G24" s="60" t="s">
        <v>634</v>
      </c>
      <c r="H24" s="60" t="s">
        <v>635</v>
      </c>
      <c r="I24" s="60">
        <v>72</v>
      </c>
      <c r="J24" s="60" t="s">
        <v>636</v>
      </c>
      <c r="K24" s="101"/>
      <c r="L24" s="60" t="s">
        <v>213</v>
      </c>
      <c r="M24" s="60" t="s">
        <v>302</v>
      </c>
      <c r="N24" s="60" t="s">
        <v>382</v>
      </c>
      <c r="O24" s="60" t="s">
        <v>637</v>
      </c>
      <c r="Q24" s="61"/>
      <c r="R24" s="61"/>
      <c r="S24" s="61"/>
      <c r="T24" s="61"/>
      <c r="U24" s="61"/>
      <c r="V24" s="61"/>
    </row>
    <row r="25" spans="1:22" x14ac:dyDescent="0.25">
      <c r="A25" s="100">
        <v>45145</v>
      </c>
      <c r="B25" s="60" t="s">
        <v>162</v>
      </c>
      <c r="C25" s="60" t="s">
        <v>638</v>
      </c>
      <c r="D25" s="60" t="s">
        <v>345</v>
      </c>
      <c r="E25" s="60" t="s">
        <v>639</v>
      </c>
      <c r="F25" s="60" t="s">
        <v>8</v>
      </c>
      <c r="G25" s="60" t="s">
        <v>640</v>
      </c>
      <c r="H25" s="60" t="s">
        <v>8</v>
      </c>
      <c r="I25" s="60">
        <v>70</v>
      </c>
      <c r="J25" s="60" t="s">
        <v>641</v>
      </c>
      <c r="K25" s="101"/>
      <c r="L25" s="60" t="s">
        <v>213</v>
      </c>
      <c r="M25" s="60" t="s">
        <v>302</v>
      </c>
      <c r="N25" s="60" t="s">
        <v>382</v>
      </c>
      <c r="O25" s="60" t="s">
        <v>642</v>
      </c>
      <c r="Q25" s="61"/>
      <c r="R25" s="61"/>
      <c r="S25" s="79"/>
      <c r="T25" s="68"/>
      <c r="U25" s="68"/>
      <c r="V25" s="61"/>
    </row>
    <row r="26" spans="1:22" x14ac:dyDescent="0.25">
      <c r="Q26" s="61"/>
      <c r="R26" s="61"/>
      <c r="S26" s="79"/>
      <c r="T26" s="68"/>
      <c r="U26" s="68"/>
      <c r="V26" s="61"/>
    </row>
    <row r="27" spans="1:22" x14ac:dyDescent="0.25">
      <c r="A27" s="80"/>
      <c r="K27" s="78"/>
      <c r="Q27" s="61"/>
      <c r="R27" s="61"/>
      <c r="S27" s="79"/>
      <c r="T27" s="68"/>
      <c r="U27" s="68"/>
      <c r="V27" s="61"/>
    </row>
    <row r="28" spans="1:22" x14ac:dyDescent="0.25">
      <c r="A28" s="80"/>
      <c r="K28" s="78"/>
      <c r="Q28" s="61"/>
      <c r="R28" s="61"/>
      <c r="S28" s="79"/>
      <c r="T28" s="68"/>
      <c r="U28" s="68"/>
    </row>
    <row r="29" spans="1:22" x14ac:dyDescent="0.25">
      <c r="A29" s="80"/>
      <c r="K29" s="78"/>
      <c r="Q29" s="61"/>
      <c r="R29" s="61"/>
      <c r="S29" s="79"/>
      <c r="T29" s="68"/>
      <c r="U29" s="68"/>
    </row>
    <row r="30" spans="1:22" x14ac:dyDescent="0.25">
      <c r="A30" s="80"/>
      <c r="K30" s="78"/>
      <c r="Q30" s="61"/>
      <c r="R30" s="61"/>
      <c r="S30" s="79"/>
      <c r="T30" s="68"/>
      <c r="U30" s="68"/>
    </row>
    <row r="31" spans="1:22" x14ac:dyDescent="0.25">
      <c r="A31" s="80"/>
      <c r="K31" s="78"/>
    </row>
    <row r="32" spans="1:22" x14ac:dyDescent="0.25">
      <c r="A32" s="80"/>
      <c r="K32" s="78"/>
    </row>
    <row r="33" spans="1:11" x14ac:dyDescent="0.25">
      <c r="A33" s="80"/>
      <c r="K33" s="78"/>
    </row>
    <row r="34" spans="1:11" x14ac:dyDescent="0.25">
      <c r="A34" s="80"/>
      <c r="K34" s="78"/>
    </row>
    <row r="35" spans="1:11" x14ac:dyDescent="0.25">
      <c r="A35" s="80"/>
      <c r="K35" s="78"/>
    </row>
    <row r="36" spans="1:11" x14ac:dyDescent="0.25">
      <c r="A36" s="80"/>
      <c r="K36" s="78"/>
    </row>
    <row r="37" spans="1:11" x14ac:dyDescent="0.25">
      <c r="A37" s="80"/>
      <c r="K37" s="78"/>
    </row>
    <row r="38" spans="1:11" x14ac:dyDescent="0.25">
      <c r="A38" s="80"/>
      <c r="K38" s="78"/>
    </row>
    <row r="39" spans="1:11" x14ac:dyDescent="0.25">
      <c r="A39" s="80"/>
      <c r="K39" s="78"/>
    </row>
  </sheetData>
  <conditionalFormatting sqref="I27:I39 I11:I25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I27:I39 I11:I25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F4EBE0"/>
  </sheetPr>
  <dimension ref="A1:S30"/>
  <sheetViews>
    <sheetView zoomScale="130" zoomScaleNormal="130" workbookViewId="0">
      <selection activeCell="G2" sqref="G2:H20"/>
    </sheetView>
  </sheetViews>
  <sheetFormatPr defaultColWidth="8.88671875" defaultRowHeight="18.75" customHeight="1" x14ac:dyDescent="0.25"/>
  <cols>
    <col min="1" max="1" width="5.6640625" style="4" customWidth="1"/>
    <col min="2" max="2" width="5" style="4" bestFit="1" customWidth="1"/>
    <col min="3" max="3" width="5.33203125" style="4" bestFit="1" customWidth="1" collapsed="1"/>
    <col min="4" max="4" width="1.21875" style="4" customWidth="1"/>
    <col min="5" max="5" width="11.21875" style="4" bestFit="1" customWidth="1"/>
    <col min="6" max="6" width="11.33203125" style="4" bestFit="1" customWidth="1"/>
    <col min="7" max="8" width="19.33203125" style="4" customWidth="1"/>
    <col min="9" max="13" width="2.88671875" style="4" customWidth="1"/>
    <col min="14" max="14" width="11.44140625" style="4" customWidth="1"/>
    <col min="15" max="15" width="17.5546875" style="4" bestFit="1" customWidth="1"/>
    <col min="16" max="16" width="13.44140625" style="4" bestFit="1" customWidth="1"/>
    <col min="17" max="17" width="9.5546875" style="4" bestFit="1" customWidth="1"/>
    <col min="18" max="18" width="31.6640625" style="4" bestFit="1" customWidth="1"/>
    <col min="19" max="19" width="13.109375" style="4" bestFit="1" customWidth="1"/>
    <col min="20" max="20" width="16.21875" style="4" bestFit="1" customWidth="1"/>
    <col min="21" max="21" width="17.109375" style="4" bestFit="1" customWidth="1"/>
    <col min="22" max="22" width="11.21875" style="4" bestFit="1" customWidth="1"/>
    <col min="23" max="23" width="7.88671875" style="4" bestFit="1" customWidth="1"/>
    <col min="24" max="24" width="13.33203125" style="4" bestFit="1" customWidth="1"/>
    <col min="25" max="25" width="6.109375" style="4" bestFit="1" customWidth="1"/>
    <col min="26" max="26" width="7.88671875" style="4" bestFit="1" customWidth="1"/>
    <col min="27" max="28" width="11.21875" style="4" bestFit="1" customWidth="1"/>
    <col min="29" max="29" width="7.88671875" style="4" bestFit="1" customWidth="1"/>
    <col min="30" max="16384" width="8.88671875" style="4"/>
  </cols>
  <sheetData>
    <row r="1" spans="1:19" ht="67.5" customHeight="1" x14ac:dyDescent="0.25">
      <c r="A1" s="9" t="s">
        <v>176</v>
      </c>
      <c r="C1" s="10"/>
      <c r="E1" s="36" t="s">
        <v>120</v>
      </c>
      <c r="F1" s="36" t="s">
        <v>123</v>
      </c>
      <c r="G1" s="37" t="s">
        <v>124</v>
      </c>
      <c r="H1" s="37" t="s">
        <v>133</v>
      </c>
      <c r="N1" s="33"/>
      <c r="O1" s="33"/>
      <c r="P1" s="33"/>
      <c r="Q1" s="33"/>
      <c r="R1" s="33"/>
      <c r="S1" s="33"/>
    </row>
    <row r="2" spans="1:19" ht="15" x14ac:dyDescent="0.25">
      <c r="E2" s="38" t="s">
        <v>56</v>
      </c>
      <c r="F2" s="39" t="s">
        <v>119</v>
      </c>
      <c r="G2" s="40"/>
      <c r="H2" s="40"/>
    </row>
    <row r="3" spans="1:19" ht="15" x14ac:dyDescent="0.25">
      <c r="E3" s="38" t="s">
        <v>57</v>
      </c>
      <c r="F3" s="41">
        <v>44998</v>
      </c>
      <c r="G3" s="42"/>
      <c r="H3" s="42"/>
    </row>
    <row r="4" spans="1:19" ht="15" x14ac:dyDescent="0.25">
      <c r="E4" s="38" t="s">
        <v>106</v>
      </c>
      <c r="F4" s="39" t="s">
        <v>192</v>
      </c>
      <c r="G4" s="40"/>
      <c r="H4" s="40"/>
    </row>
    <row r="5" spans="1:19" ht="15" x14ac:dyDescent="0.25">
      <c r="E5" s="38" t="s">
        <v>99</v>
      </c>
      <c r="F5" s="39" t="s">
        <v>32</v>
      </c>
      <c r="G5" s="40"/>
      <c r="H5" s="40"/>
    </row>
    <row r="6" spans="1:19" ht="15" x14ac:dyDescent="0.25">
      <c r="E6" s="38" t="s">
        <v>51</v>
      </c>
      <c r="F6" s="39" t="s">
        <v>2</v>
      </c>
      <c r="G6" s="40"/>
      <c r="H6" s="40"/>
    </row>
    <row r="7" spans="1:19" ht="15" x14ac:dyDescent="0.25">
      <c r="E7" s="38" t="s">
        <v>37</v>
      </c>
      <c r="F7" s="39" t="s">
        <v>38</v>
      </c>
      <c r="G7" s="40"/>
      <c r="H7" s="40"/>
    </row>
    <row r="8" spans="1:19" ht="15" x14ac:dyDescent="0.25">
      <c r="E8" s="38" t="s">
        <v>177</v>
      </c>
      <c r="F8" s="43" t="s">
        <v>93</v>
      </c>
      <c r="G8" s="40"/>
      <c r="H8" s="44"/>
    </row>
    <row r="9" spans="1:19" ht="15" x14ac:dyDescent="0.25">
      <c r="E9" s="38" t="s">
        <v>105</v>
      </c>
      <c r="F9" s="39" t="s">
        <v>141</v>
      </c>
      <c r="G9" s="40"/>
      <c r="H9" s="40"/>
    </row>
    <row r="10" spans="1:19" ht="15" x14ac:dyDescent="0.25">
      <c r="E10" s="38" t="s">
        <v>73</v>
      </c>
      <c r="F10" s="39" t="s">
        <v>95</v>
      </c>
      <c r="G10" s="40"/>
      <c r="H10" s="40"/>
    </row>
    <row r="11" spans="1:19" ht="15" x14ac:dyDescent="0.25">
      <c r="E11" s="38" t="s">
        <v>66</v>
      </c>
      <c r="F11" s="39">
        <v>0.6</v>
      </c>
      <c r="G11" s="40"/>
      <c r="H11" s="40"/>
    </row>
    <row r="12" spans="1:19" ht="15" x14ac:dyDescent="0.25">
      <c r="E12" s="38" t="s">
        <v>60</v>
      </c>
      <c r="F12" s="45" t="s">
        <v>223</v>
      </c>
      <c r="G12" s="46"/>
      <c r="H12" s="47"/>
    </row>
    <row r="13" spans="1:19" ht="15" x14ac:dyDescent="0.25">
      <c r="E13" s="38" t="s">
        <v>97</v>
      </c>
      <c r="F13" s="39">
        <v>3</v>
      </c>
      <c r="G13" s="40"/>
      <c r="H13" s="40"/>
    </row>
    <row r="14" spans="1:19" ht="15" x14ac:dyDescent="0.25">
      <c r="E14" s="38" t="s">
        <v>174</v>
      </c>
      <c r="F14" s="43" t="s">
        <v>8</v>
      </c>
      <c r="G14" s="48"/>
      <c r="H14" s="48"/>
    </row>
    <row r="15" spans="1:19" ht="15" x14ac:dyDescent="0.25">
      <c r="E15" s="38" t="s">
        <v>175</v>
      </c>
      <c r="F15" s="49">
        <v>7.5999999999999998E-2</v>
      </c>
      <c r="G15" s="48"/>
      <c r="H15" s="44"/>
    </row>
    <row r="16" spans="1:19" ht="15" x14ac:dyDescent="0.25">
      <c r="E16" s="38" t="s">
        <v>103</v>
      </c>
      <c r="F16" s="50" t="s">
        <v>102</v>
      </c>
      <c r="G16" s="40"/>
      <c r="H16" s="40"/>
    </row>
    <row r="17" spans="5:16" ht="46.5" x14ac:dyDescent="0.25">
      <c r="E17" s="38" t="s">
        <v>100</v>
      </c>
      <c r="F17" s="39" t="s">
        <v>44</v>
      </c>
      <c r="G17" s="40"/>
      <c r="H17" s="40"/>
      <c r="O17" s="65"/>
      <c r="P17" s="8"/>
    </row>
    <row r="18" spans="5:16" ht="15" x14ac:dyDescent="0.25">
      <c r="E18" s="38" t="s">
        <v>49</v>
      </c>
      <c r="F18" s="39"/>
      <c r="G18" s="40"/>
      <c r="H18" s="40"/>
    </row>
    <row r="19" spans="5:16" ht="15" x14ac:dyDescent="0.25">
      <c r="E19" s="38" t="s">
        <v>196</v>
      </c>
      <c r="F19" s="43"/>
      <c r="G19" s="40"/>
      <c r="H19" s="44"/>
    </row>
    <row r="20" spans="5:16" ht="15" x14ac:dyDescent="0.25">
      <c r="E20" s="67" t="s">
        <v>230</v>
      </c>
      <c r="F20" s="43" t="s">
        <v>8</v>
      </c>
      <c r="G20" s="40"/>
      <c r="H20" s="44"/>
    </row>
    <row r="21" spans="5:16" ht="15" x14ac:dyDescent="0.25">
      <c r="E21" s="67" t="s">
        <v>228</v>
      </c>
      <c r="F21" s="51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  <c r="G21" s="51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  <c r="H21" s="51" t="str">
        <f>IFERROR(VLOOKUP(VLOOKUP("货币",tbl_extra_isin[],COLUMN()-COLUMN(tbl_extra_isin[[#This Row],[List]])+1,FALSE),#REF!,2,FALSE)*VLOOKUP("发行规模(亿)",tbl_extra_isin[],COLUMN()-COLUMN(tbl_extra_isin[[#This Row],[List]])+1,FALSE),"")</f>
        <v/>
      </c>
    </row>
    <row r="22" spans="5:16" ht="15" x14ac:dyDescent="0.25">
      <c r="E22" s="38" t="s">
        <v>98</v>
      </c>
      <c r="F22" s="51" t="str">
        <f>SUBSTITUTE(SUBSTITUTE(IFERROR(IF(F14&lt;&gt;"--",TEXT(F14,"0.00%")&amp;"a","--"),"--"),"0.00%a","--"),"aa","a")</f>
        <v>--</v>
      </c>
      <c r="G22" s="51" t="str">
        <f t="shared" ref="G22:H22" si="0">SUBSTITUTE(SUBSTITUTE(IFERROR(IF(G14&lt;&gt;"--",TEXT(G14,"0.00%")&amp;"a","--"),"--"),"0.00%a","--"),"aa","a")</f>
        <v>--</v>
      </c>
      <c r="H22" s="51" t="str">
        <f t="shared" si="0"/>
        <v>--</v>
      </c>
    </row>
    <row r="23" spans="5:16" ht="15" x14ac:dyDescent="0.25">
      <c r="E23" s="38" t="s">
        <v>62</v>
      </c>
      <c r="F23" s="51" t="str">
        <f>IF(ISNUMBER(F15),TEXT(F15,"0.00%"),IF(ISBLANK(F15),"--","--"))</f>
        <v>7.60%</v>
      </c>
      <c r="G23" s="51" t="str">
        <f t="shared" ref="G23:H23" si="1">IF(ISNUMBER(G15),TEXT(G15,"0.00%"),IF(ISBLANK(G15),"--","--"))</f>
        <v>--</v>
      </c>
      <c r="H23" s="51" t="str">
        <f t="shared" si="1"/>
        <v>--</v>
      </c>
    </row>
    <row r="24" spans="5:16" ht="15" x14ac:dyDescent="0.25">
      <c r="E24" s="38" t="s">
        <v>145</v>
      </c>
      <c r="F24" s="51" t="str">
        <f t="shared" ref="F24" si="2">SUBSTITUTE(TEXT(F12,"0.00%"),"0.00%","")</f>
        <v>4.20%</v>
      </c>
      <c r="G24" s="51" t="str">
        <f>SUBSTITUTE(TEXT(G12,"0.00%"),"0.00%","")</f>
        <v/>
      </c>
      <c r="H24" s="51" t="str">
        <f t="shared" ref="H24" si="3">SUBSTITUTE(TEXT(H12,"0.00%"),"0.00%","")</f>
        <v/>
      </c>
    </row>
    <row r="25" spans="5:16" ht="15" x14ac:dyDescent="0.25">
      <c r="E25" s="38" t="s">
        <v>55</v>
      </c>
      <c r="F25" s="52" t="str">
        <f>F4&amp;" "&amp;F10</f>
        <v>信用主体全名 USD</v>
      </c>
      <c r="G25" s="52" t="str">
        <f>G4&amp;" "&amp;G10</f>
        <v xml:space="preserve"> </v>
      </c>
      <c r="H25" s="52" t="str">
        <f>H4&amp;" "&amp;H10</f>
        <v xml:space="preserve"> </v>
      </c>
    </row>
    <row r="26" spans="5:16" ht="15" x14ac:dyDescent="0.25">
      <c r="E26" s="38" t="s">
        <v>139</v>
      </c>
      <c r="F26" s="52" t="str">
        <f>IF(ISNUMBER(MATCH(VLOOKUP("ISIN",tbl_extra_isin[],COLUMN()-COLUMN(tbl_extra_isin[[#This Row],[List]])+1,FALSE),#REF!,0)),"-[Dupe]","")</f>
        <v/>
      </c>
      <c r="G26" s="52" t="str">
        <f>IF(ISNUMBER(MATCH(VLOOKUP("ISIN",tbl_extra_isin[],COLUMN()-COLUMN(tbl_extra_isin[[#This Row],[List]])+1,FALSE),#REF!,0)),"-[Dupe]","")</f>
        <v/>
      </c>
      <c r="H26" s="52" t="str">
        <f>IF(ISNUMBER(MATCH(VLOOKUP("ISIN",tbl_extra_isin[],COLUMN()-COLUMN(tbl_extra_isin[[#This Row],[List]])+1,FALSE),#REF!,0)),"-[Dupe]","")</f>
        <v/>
      </c>
    </row>
    <row r="27" spans="5:16" ht="15" x14ac:dyDescent="0.25"/>
    <row r="28" spans="5:16" ht="15" x14ac:dyDescent="0.25"/>
    <row r="29" spans="5:16" ht="15" x14ac:dyDescent="0.25"/>
    <row r="30" spans="5:16" ht="15" x14ac:dyDescent="0.25"/>
  </sheetData>
  <phoneticPr fontId="16" type="noConversion"/>
  <dataValidations count="14">
    <dataValidation type="list" allowBlank="1" showInputMessage="1" showErrorMessage="1" sqref="F10:H10" xr:uid="{00000000-0002-0000-0800-000000000000}">
      <formula1>dd_crcy</formula1>
    </dataValidation>
    <dataValidation type="list" allowBlank="1" showInputMessage="1" showErrorMessage="1" sqref="F5:H5" xr:uid="{00000000-0002-0000-0800-000001000000}">
      <formula1>dd_region</formula1>
    </dataValidation>
    <dataValidation type="decimal" allowBlank="1" showInputMessage="1" showErrorMessage="1" promptTitle="发行规模" prompt="单位：亿" sqref="F11:H11" xr:uid="{00000000-0002-0000-0800-000002000000}">
      <formula1>0.1</formula1>
      <formula2>20</formula2>
    </dataValidation>
    <dataValidation type="list" allowBlank="1" showInputMessage="1" showErrorMessage="1" sqref="F7:H7" xr:uid="{00000000-0002-0000-0800-000003000000}">
      <formula1>dd_theme</formula1>
    </dataValidation>
    <dataValidation type="list" allowBlank="1" showInputMessage="1" showErrorMessage="1" sqref="F17:H17" xr:uid="{00000000-0002-0000-0800-000004000000}">
      <formula1>dd_structure</formula1>
    </dataValidation>
    <dataValidation type="list" allowBlank="1" showInputMessage="1" showErrorMessage="1" sqref="F6:H6" xr:uid="{00000000-0002-0000-0800-000005000000}">
      <formula1>dd_sector</formula1>
    </dataValidation>
    <dataValidation type="list" allowBlank="1" showInputMessage="1" showErrorMessage="1" sqref="F9:H9" xr:uid="{00000000-0002-0000-0800-000006000000}">
      <formula1>dd_byrtg</formula1>
    </dataValidation>
    <dataValidation allowBlank="1" showInputMessage="1" showErrorMessage="1" promptTitle="债项评级" prompt="M/S/F_x000a_--/--/--" sqref="F8:H8" xr:uid="{00000000-0002-0000-0800-000007000000}"/>
    <dataValidation allowBlank="1" showInputMessage="1" showErrorMessage="1" promptTitle="IPG" prompt="1）如无，填--_x000a_2）不需加&quot;a&quot;, e.g._x000a_T+150_x000a_7.5%_x000a__x000a_" sqref="F14:H14" xr:uid="{00000000-0002-0000-0800-000008000000}"/>
    <dataValidation type="list" allowBlank="1" showInputMessage="1" showErrorMessage="1" promptTitle="is_bocom deal? 参与承销的交行主体" prompt="--代表未参与_x000a_BISL及港分：共同参与且未合名_x000a_BISL及港分【合名】：使用combined marketing name" sqref="F19:H19" xr:uid="{00000000-0002-0000-0800-000009000000}">
      <formula1>dd_bocomdeal</formula1>
    </dataValidation>
    <dataValidation type="list" allowBlank="1" showInputMessage="1" showErrorMessage="1" promptTitle="IS_FIMTN" prompt="Y =excluded from deal list" sqref="F20:H20" xr:uid="{00000000-0002-0000-0800-00000A000000}">
      <formula1>dd_fi_shortlisted</formula1>
    </dataValidation>
    <dataValidation type="list" allowBlank="1" showInputMessage="1" showErrorMessage="1" sqref="F16:H16" xr:uid="{00000000-0002-0000-0800-00000B000000}">
      <formula1>dd_listing</formula1>
    </dataValidation>
    <dataValidation allowBlank="1" showInputMessage="1" showErrorMessage="1" promptTitle="全名" prompt="信用主体的全名" sqref="G4:H4" xr:uid="{00000000-0002-0000-0800-00000C000000}"/>
    <dataValidation allowBlank="1" showInputMessage="1" showErrorMessage="1" promptTitle="票面利率" prompt="例：4.2%" sqref="F12:H12" xr:uid="{00000000-0002-0000-0800-00000D000000}"/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xr:uid="{00000000-0002-0000-0800-00000E000000}">
          <x14:formula1>
            <xm:f>DOWNLOAD!$I$2-7</xm:f>
          </x14:formula1>
          <x14:formula2>
            <xm:f>DOWNLOAD!$I$2</xm:f>
          </x14:formula2>
          <xm:sqref>G3:H3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F14"/>
  <sheetViews>
    <sheetView workbookViewId="0">
      <selection activeCell="N7" sqref="N7"/>
    </sheetView>
  </sheetViews>
  <sheetFormatPr defaultRowHeight="15" x14ac:dyDescent="0.25"/>
  <cols>
    <col min="1" max="1" width="7.33203125" style="1" bestFit="1" customWidth="1"/>
    <col min="2" max="2" width="24.6640625" style="1" bestFit="1" customWidth="1"/>
    <col min="3" max="3" width="13.33203125" style="1" bestFit="1" customWidth="1"/>
    <col min="4" max="4" width="9.33203125" style="1" bestFit="1" customWidth="1"/>
    <col min="5" max="5" width="9.44140625" style="1" bestFit="1" customWidth="1"/>
    <col min="6" max="6" width="11.6640625" style="1" bestFit="1" customWidth="1"/>
    <col min="7" max="7" width="12.77734375" style="1" bestFit="1" customWidth="1"/>
    <col min="8" max="8" width="6.109375" style="1" bestFit="1" customWidth="1"/>
    <col min="9" max="9" width="12.21875" style="1" bestFit="1" customWidth="1"/>
    <col min="10" max="11" width="6.109375" style="1" bestFit="1" customWidth="1"/>
    <col min="12" max="12" width="8" style="1" bestFit="1" customWidth="1"/>
    <col min="13" max="14" width="7.109375" style="1" bestFit="1" customWidth="1"/>
    <col min="15" max="16" width="9.44140625" style="1" bestFit="1" customWidth="1"/>
    <col min="17" max="17" width="7.77734375" style="1" bestFit="1" customWidth="1"/>
    <col min="18" max="19" width="6.109375" style="1" bestFit="1" customWidth="1"/>
    <col min="20" max="21" width="11.109375" style="1" bestFit="1" customWidth="1"/>
    <col min="22" max="24" width="9.44140625" style="1" bestFit="1" customWidth="1"/>
    <col min="25" max="25" width="11.109375" style="1" bestFit="1" customWidth="1"/>
    <col min="26" max="26" width="10.33203125" style="1" bestFit="1" customWidth="1"/>
    <col min="27" max="27" width="7.77734375" style="1" bestFit="1" customWidth="1"/>
    <col min="28" max="28" width="7" style="1" bestFit="1" customWidth="1"/>
    <col min="29" max="29" width="7.77734375" style="1" bestFit="1" customWidth="1"/>
    <col min="30" max="30" width="7.88671875" style="1" bestFit="1" customWidth="1"/>
    <col min="31" max="31" width="11.109375" style="1" bestFit="1" customWidth="1"/>
    <col min="32" max="32" width="57.109375" style="1" bestFit="1" customWidth="1"/>
    <col min="33" max="33" width="22.44140625" style="1" bestFit="1" customWidth="1"/>
    <col min="34" max="34" width="14.44140625" style="1" bestFit="1" customWidth="1"/>
    <col min="35" max="35" width="12.6640625" style="1" bestFit="1" customWidth="1"/>
    <col min="36" max="36" width="5.88671875" style="1" bestFit="1" customWidth="1"/>
    <col min="37" max="37" width="11.33203125" style="1" bestFit="1" customWidth="1"/>
    <col min="38" max="38" width="6.109375" style="1" bestFit="1" customWidth="1"/>
    <col min="39" max="40" width="9.44140625" style="1" bestFit="1" customWidth="1"/>
    <col min="41" max="41" width="10.21875" style="1" bestFit="1" customWidth="1"/>
    <col min="42" max="42" width="12.6640625" style="1" bestFit="1" customWidth="1"/>
    <col min="43" max="43" width="9.5546875" style="1" bestFit="1" customWidth="1"/>
    <col min="44" max="44" width="11.77734375" style="1" bestFit="1" customWidth="1"/>
    <col min="45" max="45" width="19.44140625" style="1" bestFit="1" customWidth="1"/>
    <col min="46" max="46" width="11.5546875" style="1" bestFit="1" customWidth="1"/>
    <col min="47" max="48" width="17.33203125" style="1" bestFit="1" customWidth="1"/>
    <col min="49" max="49" width="9.21875" style="1" bestFit="1" customWidth="1"/>
    <col min="50" max="50" width="15.21875" style="1" bestFit="1" customWidth="1"/>
    <col min="51" max="51" width="13.44140625" style="1" bestFit="1" customWidth="1"/>
    <col min="52" max="52" width="11.109375" style="1" bestFit="1" customWidth="1"/>
    <col min="53" max="54" width="10.88671875" style="1" bestFit="1" customWidth="1"/>
    <col min="55" max="55" width="9.21875" style="1" bestFit="1" customWidth="1"/>
    <col min="56" max="56" width="8.77734375" style="1" bestFit="1" customWidth="1"/>
    <col min="57" max="57" width="9.21875" style="1" bestFit="1" customWidth="1"/>
    <col min="58" max="58" width="14.6640625" style="1" bestFit="1" customWidth="1"/>
    <col min="59" max="59" width="9.21875" style="1" bestFit="1" customWidth="1"/>
    <col min="60" max="60" width="8.5546875" style="1" bestFit="1" customWidth="1"/>
    <col min="61" max="61" width="9.33203125" style="1" bestFit="1" customWidth="1"/>
    <col min="62" max="62" width="9.21875" style="1" bestFit="1" customWidth="1"/>
    <col min="63" max="63" width="10.109375" style="1" bestFit="1" customWidth="1"/>
    <col min="64" max="64" width="10.33203125" style="1" bestFit="1" customWidth="1"/>
    <col min="65" max="65" width="15.109375" style="1" bestFit="1" customWidth="1"/>
    <col min="66" max="66" width="10.33203125" style="1" bestFit="1" customWidth="1"/>
    <col min="67" max="67" width="5.88671875" style="1" bestFit="1" customWidth="1"/>
    <col min="68" max="68" width="9.21875" style="1" bestFit="1" customWidth="1"/>
    <col min="69" max="69" width="10.33203125" style="1" bestFit="1" customWidth="1"/>
    <col min="70" max="70" width="14.44140625" style="1" bestFit="1" customWidth="1"/>
    <col min="71" max="71" width="16.109375" style="1" bestFit="1" customWidth="1"/>
    <col min="72" max="72" width="20.6640625" style="1" bestFit="1" customWidth="1"/>
    <col min="73" max="73" width="18.88671875" style="1" bestFit="1" customWidth="1"/>
    <col min="74" max="74" width="27.109375" style="1" bestFit="1" customWidth="1"/>
    <col min="75" max="16384" width="8.88671875" style="1"/>
  </cols>
  <sheetData>
    <row r="1" spans="1:58" ht="39.75" customHeight="1" x14ac:dyDescent="0.25"/>
    <row r="2" spans="1:58" ht="39.75" customHeight="1" x14ac:dyDescent="0.25"/>
    <row r="3" spans="1:58" ht="39.75" customHeight="1" x14ac:dyDescent="0.25"/>
    <row r="4" spans="1:58" x14ac:dyDescent="0.25">
      <c r="A4" t="s">
        <v>96</v>
      </c>
      <c r="B4" t="s">
        <v>106</v>
      </c>
      <c r="C4" t="s">
        <v>56</v>
      </c>
      <c r="D4" t="s">
        <v>57</v>
      </c>
      <c r="E4" t="s">
        <v>177</v>
      </c>
      <c r="F4" t="s">
        <v>232</v>
      </c>
      <c r="G4" t="s">
        <v>59</v>
      </c>
      <c r="H4" t="s">
        <v>73</v>
      </c>
      <c r="I4" t="s">
        <v>66</v>
      </c>
      <c r="J4" t="s">
        <v>97</v>
      </c>
      <c r="K4" t="s">
        <v>145</v>
      </c>
      <c r="L4" t="s">
        <v>98</v>
      </c>
      <c r="M4" t="s">
        <v>62</v>
      </c>
      <c r="N4" t="s">
        <v>201</v>
      </c>
      <c r="O4" t="s">
        <v>220</v>
      </c>
      <c r="P4" t="s">
        <v>222</v>
      </c>
      <c r="Q4" t="s">
        <v>68</v>
      </c>
      <c r="R4" t="s">
        <v>100</v>
      </c>
      <c r="S4" t="s">
        <v>103</v>
      </c>
      <c r="T4" t="s">
        <v>241</v>
      </c>
      <c r="U4" t="s">
        <v>242</v>
      </c>
      <c r="V4" t="s">
        <v>183</v>
      </c>
      <c r="W4" t="s">
        <v>90</v>
      </c>
      <c r="X4" t="s">
        <v>76</v>
      </c>
      <c r="Y4" t="s">
        <v>79</v>
      </c>
      <c r="Z4" t="s">
        <v>61</v>
      </c>
      <c r="AA4" t="s">
        <v>228</v>
      </c>
      <c r="AB4" t="s">
        <v>229</v>
      </c>
      <c r="AC4" t="s">
        <v>279</v>
      </c>
      <c r="AD4" t="s">
        <v>75</v>
      </c>
      <c r="AE4" t="s">
        <v>321</v>
      </c>
      <c r="AF4" t="s">
        <v>80</v>
      </c>
      <c r="AG4" t="s">
        <v>81</v>
      </c>
      <c r="AH4" t="s">
        <v>91</v>
      </c>
      <c r="AI4" t="s">
        <v>49</v>
      </c>
      <c r="AJ4" t="s">
        <v>181</v>
      </c>
      <c r="AK4" t="s">
        <v>203</v>
      </c>
      <c r="AL4" t="s">
        <v>290</v>
      </c>
      <c r="AM4" t="s">
        <v>275</v>
      </c>
      <c r="AN4" t="s">
        <v>278</v>
      </c>
      <c r="AO4" t="s">
        <v>291</v>
      </c>
      <c r="AP4" t="s">
        <v>292</v>
      </c>
      <c r="AQ4" t="s">
        <v>224</v>
      </c>
      <c r="AR4" t="s">
        <v>293</v>
      </c>
      <c r="AS4" t="s">
        <v>182</v>
      </c>
    </row>
    <row r="5" spans="1:58" x14ac:dyDescent="0.25">
      <c r="A5">
        <v>8</v>
      </c>
      <c r="B5" t="s">
        <v>434</v>
      </c>
      <c r="C5" t="s">
        <v>438</v>
      </c>
      <c r="D5" s="138">
        <v>45142</v>
      </c>
      <c r="E5" t="s">
        <v>93</v>
      </c>
      <c r="F5" t="s">
        <v>93</v>
      </c>
      <c r="G5" t="s">
        <v>8</v>
      </c>
      <c r="H5" t="s">
        <v>121</v>
      </c>
      <c r="I5">
        <v>1.4</v>
      </c>
      <c r="J5" t="s">
        <v>200</v>
      </c>
      <c r="K5" t="s">
        <v>589</v>
      </c>
      <c r="L5" t="s">
        <v>8</v>
      </c>
      <c r="M5" t="s">
        <v>589</v>
      </c>
      <c r="N5" t="s">
        <v>8</v>
      </c>
      <c r="O5" t="s">
        <v>8</v>
      </c>
      <c r="P5" t="s">
        <v>140</v>
      </c>
      <c r="Q5">
        <v>100</v>
      </c>
      <c r="R5" t="s">
        <v>44</v>
      </c>
      <c r="S5" t="s">
        <v>378</v>
      </c>
      <c r="T5" t="s">
        <v>8</v>
      </c>
      <c r="U5" t="s">
        <v>8</v>
      </c>
      <c r="V5" t="s">
        <v>104</v>
      </c>
      <c r="W5" t="s">
        <v>170</v>
      </c>
      <c r="X5" s="138">
        <v>45153</v>
      </c>
      <c r="Y5" s="138">
        <v>45337</v>
      </c>
      <c r="Z5" s="138">
        <v>46249</v>
      </c>
      <c r="AA5">
        <v>0.19500000000000001</v>
      </c>
      <c r="AB5">
        <v>1.4</v>
      </c>
      <c r="AC5">
        <v>1.5229999999999999</v>
      </c>
      <c r="AD5" t="s">
        <v>444</v>
      </c>
      <c r="AE5" t="s">
        <v>367</v>
      </c>
      <c r="AF5" t="s">
        <v>445</v>
      </c>
      <c r="AG5" t="s">
        <v>104</v>
      </c>
      <c r="AH5" t="s">
        <v>104</v>
      </c>
      <c r="AI5" t="s">
        <v>588</v>
      </c>
      <c r="AJ5" t="s">
        <v>8</v>
      </c>
      <c r="AK5" t="s">
        <v>8</v>
      </c>
      <c r="AL5"/>
      <c r="AM5" t="s">
        <v>104</v>
      </c>
      <c r="AN5" t="s">
        <v>104</v>
      </c>
      <c r="AO5"/>
      <c r="AP5"/>
      <c r="AQ5"/>
      <c r="AR5"/>
      <c r="AS5" t="s">
        <v>448</v>
      </c>
      <c r="BF5" s="26"/>
    </row>
    <row r="6" spans="1:58" x14ac:dyDescent="0.25">
      <c r="A6">
        <v>7</v>
      </c>
      <c r="B6" t="s">
        <v>449</v>
      </c>
      <c r="C6" t="s">
        <v>453</v>
      </c>
      <c r="D6" s="138">
        <v>45141</v>
      </c>
      <c r="E6" t="s">
        <v>93</v>
      </c>
      <c r="F6" t="s">
        <v>93</v>
      </c>
      <c r="G6" t="s">
        <v>8</v>
      </c>
      <c r="H6" t="s">
        <v>95</v>
      </c>
      <c r="I6">
        <v>1.5</v>
      </c>
      <c r="J6" t="s">
        <v>200</v>
      </c>
      <c r="K6" t="s">
        <v>591</v>
      </c>
      <c r="L6" t="s">
        <v>592</v>
      </c>
      <c r="M6" t="s">
        <v>591</v>
      </c>
      <c r="N6" t="s">
        <v>8</v>
      </c>
      <c r="O6" t="s">
        <v>670</v>
      </c>
      <c r="P6" t="s">
        <v>140</v>
      </c>
      <c r="Q6">
        <v>100</v>
      </c>
      <c r="R6" t="s">
        <v>135</v>
      </c>
      <c r="S6" t="s">
        <v>8</v>
      </c>
      <c r="T6" t="s">
        <v>8</v>
      </c>
      <c r="U6" t="s">
        <v>8</v>
      </c>
      <c r="V6" t="s">
        <v>104</v>
      </c>
      <c r="W6" t="s">
        <v>170</v>
      </c>
      <c r="X6" s="138">
        <v>45147</v>
      </c>
      <c r="Y6" s="138">
        <v>45331</v>
      </c>
      <c r="Z6" s="138">
        <v>46243</v>
      </c>
      <c r="AA6">
        <v>1.5</v>
      </c>
      <c r="AB6">
        <v>10.763999999999999</v>
      </c>
      <c r="AC6">
        <v>11.71</v>
      </c>
      <c r="AD6" t="s">
        <v>459</v>
      </c>
      <c r="AE6" t="s">
        <v>367</v>
      </c>
      <c r="AF6" t="s">
        <v>449</v>
      </c>
      <c r="AG6" t="s">
        <v>104</v>
      </c>
      <c r="AH6" t="s">
        <v>104</v>
      </c>
      <c r="AI6" t="s">
        <v>590</v>
      </c>
      <c r="AJ6" t="s">
        <v>8</v>
      </c>
      <c r="AK6" t="s">
        <v>8</v>
      </c>
      <c r="AL6"/>
      <c r="AM6" t="s">
        <v>104</v>
      </c>
      <c r="AN6" t="s">
        <v>104</v>
      </c>
      <c r="AO6"/>
      <c r="AP6"/>
      <c r="AQ6"/>
      <c r="AR6"/>
      <c r="AS6" t="s">
        <v>462</v>
      </c>
      <c r="BF6" s="26"/>
    </row>
    <row r="7" spans="1:58" x14ac:dyDescent="0.25">
      <c r="A7">
        <v>6</v>
      </c>
      <c r="B7" t="s">
        <v>492</v>
      </c>
      <c r="C7" t="s">
        <v>497</v>
      </c>
      <c r="D7" s="138">
        <v>45140</v>
      </c>
      <c r="E7" t="s">
        <v>665</v>
      </c>
      <c r="F7" t="s">
        <v>582</v>
      </c>
      <c r="G7" t="s">
        <v>335</v>
      </c>
      <c r="H7" t="s">
        <v>95</v>
      </c>
      <c r="I7">
        <v>8</v>
      </c>
      <c r="J7" t="s">
        <v>200</v>
      </c>
      <c r="K7" t="s">
        <v>505</v>
      </c>
      <c r="L7" t="s">
        <v>595</v>
      </c>
      <c r="M7" t="s">
        <v>596</v>
      </c>
      <c r="N7" t="s">
        <v>596</v>
      </c>
      <c r="O7" t="s">
        <v>672</v>
      </c>
      <c r="P7" t="s">
        <v>597</v>
      </c>
      <c r="Q7">
        <v>99.813999999999993</v>
      </c>
      <c r="R7" t="s">
        <v>47</v>
      </c>
      <c r="S7" t="s">
        <v>378</v>
      </c>
      <c r="T7" t="s">
        <v>198</v>
      </c>
      <c r="U7" t="s">
        <v>8</v>
      </c>
      <c r="V7" t="s">
        <v>104</v>
      </c>
      <c r="W7" t="s">
        <v>170</v>
      </c>
      <c r="X7" s="138">
        <v>45147</v>
      </c>
      <c r="Y7" s="138">
        <v>45331</v>
      </c>
      <c r="Z7" s="138">
        <v>46243</v>
      </c>
      <c r="AA7">
        <v>8</v>
      </c>
      <c r="AB7">
        <v>57.64</v>
      </c>
      <c r="AC7">
        <v>62.415999999999997</v>
      </c>
      <c r="AD7" t="s">
        <v>503</v>
      </c>
      <c r="AE7" t="s">
        <v>581</v>
      </c>
      <c r="AF7" t="s">
        <v>504</v>
      </c>
      <c r="AG7" t="s">
        <v>492</v>
      </c>
      <c r="AH7" t="s">
        <v>104</v>
      </c>
      <c r="AI7" t="s">
        <v>8</v>
      </c>
      <c r="AJ7" t="s">
        <v>8</v>
      </c>
      <c r="AK7" t="s">
        <v>8</v>
      </c>
      <c r="AL7"/>
      <c r="AM7" t="s">
        <v>104</v>
      </c>
      <c r="AN7" t="s">
        <v>104</v>
      </c>
      <c r="AO7"/>
      <c r="AP7"/>
      <c r="AQ7"/>
      <c r="AR7"/>
      <c r="AS7" t="s">
        <v>508</v>
      </c>
      <c r="BF7" s="26"/>
    </row>
    <row r="8" spans="1:58" x14ac:dyDescent="0.25">
      <c r="A8">
        <v>3</v>
      </c>
      <c r="B8" t="s">
        <v>468</v>
      </c>
      <c r="C8" t="s">
        <v>686</v>
      </c>
      <c r="D8" s="138">
        <v>45140</v>
      </c>
      <c r="E8" t="s">
        <v>93</v>
      </c>
      <c r="F8" t="s">
        <v>580</v>
      </c>
      <c r="G8" t="s">
        <v>8</v>
      </c>
      <c r="H8" t="s">
        <v>121</v>
      </c>
      <c r="I8">
        <v>60</v>
      </c>
      <c r="J8" t="s">
        <v>695</v>
      </c>
      <c r="K8" t="s">
        <v>703</v>
      </c>
      <c r="L8" t="s">
        <v>8</v>
      </c>
      <c r="M8" t="s">
        <v>8</v>
      </c>
      <c r="N8" t="s">
        <v>8</v>
      </c>
      <c r="O8" t="s">
        <v>8</v>
      </c>
      <c r="P8" t="s">
        <v>140</v>
      </c>
      <c r="Q8">
        <v>100</v>
      </c>
      <c r="R8" t="s">
        <v>44</v>
      </c>
      <c r="S8" t="s">
        <v>378</v>
      </c>
      <c r="T8" t="s">
        <v>198</v>
      </c>
      <c r="U8" t="s">
        <v>8</v>
      </c>
      <c r="V8" t="s">
        <v>697</v>
      </c>
      <c r="W8" t="s">
        <v>170</v>
      </c>
      <c r="X8" s="138">
        <v>45093</v>
      </c>
      <c r="Y8" s="138">
        <v>45276</v>
      </c>
      <c r="Z8" s="138">
        <v>46007</v>
      </c>
      <c r="AA8">
        <v>8.34</v>
      </c>
      <c r="AB8">
        <v>60</v>
      </c>
      <c r="AC8">
        <v>64.98</v>
      </c>
      <c r="AD8" t="s">
        <v>477</v>
      </c>
      <c r="AE8" t="s">
        <v>367</v>
      </c>
      <c r="AF8" t="s">
        <v>478</v>
      </c>
      <c r="AG8" t="s">
        <v>104</v>
      </c>
      <c r="AH8" t="s">
        <v>104</v>
      </c>
      <c r="AI8" t="s">
        <v>8</v>
      </c>
      <c r="AJ8" t="s">
        <v>8</v>
      </c>
      <c r="AK8" t="s">
        <v>8</v>
      </c>
      <c r="AL8"/>
      <c r="AM8" t="s">
        <v>104</v>
      </c>
      <c r="AN8" t="s">
        <v>104</v>
      </c>
      <c r="AO8"/>
      <c r="AP8"/>
      <c r="AQ8"/>
      <c r="AR8"/>
      <c r="AS8" t="s">
        <v>690</v>
      </c>
      <c r="BF8" s="26"/>
    </row>
    <row r="9" spans="1:58" x14ac:dyDescent="0.25">
      <c r="A9">
        <v>5</v>
      </c>
      <c r="B9" t="s">
        <v>468</v>
      </c>
      <c r="C9" t="s">
        <v>473</v>
      </c>
      <c r="D9" s="138">
        <v>45140</v>
      </c>
      <c r="E9" t="s">
        <v>93</v>
      </c>
      <c r="F9" t="s">
        <v>580</v>
      </c>
      <c r="G9" t="s">
        <v>8</v>
      </c>
      <c r="H9" t="s">
        <v>121</v>
      </c>
      <c r="I9">
        <v>30</v>
      </c>
      <c r="J9" t="s">
        <v>593</v>
      </c>
      <c r="K9" t="s">
        <v>594</v>
      </c>
      <c r="L9" t="s">
        <v>8</v>
      </c>
      <c r="M9" t="s">
        <v>8</v>
      </c>
      <c r="N9" t="s">
        <v>8</v>
      </c>
      <c r="O9" t="s">
        <v>8</v>
      </c>
      <c r="P9" t="s">
        <v>140</v>
      </c>
      <c r="Q9">
        <v>100</v>
      </c>
      <c r="R9" t="s">
        <v>44</v>
      </c>
      <c r="S9" t="s">
        <v>127</v>
      </c>
      <c r="T9" t="s">
        <v>198</v>
      </c>
      <c r="U9" t="s">
        <v>8</v>
      </c>
      <c r="V9" t="s">
        <v>104</v>
      </c>
      <c r="W9" t="s">
        <v>170</v>
      </c>
      <c r="X9" s="138">
        <v>45142</v>
      </c>
      <c r="Y9" s="138">
        <v>45326</v>
      </c>
      <c r="Z9" s="138">
        <v>46969</v>
      </c>
      <c r="AA9">
        <v>4.17</v>
      </c>
      <c r="AB9">
        <v>30</v>
      </c>
      <c r="AC9">
        <v>32.49</v>
      </c>
      <c r="AD9" t="s">
        <v>477</v>
      </c>
      <c r="AE9" t="s">
        <v>367</v>
      </c>
      <c r="AF9" t="s">
        <v>478</v>
      </c>
      <c r="AG9" t="s">
        <v>104</v>
      </c>
      <c r="AH9" t="s">
        <v>104</v>
      </c>
      <c r="AI9" t="s">
        <v>8</v>
      </c>
      <c r="AJ9" t="s">
        <v>8</v>
      </c>
      <c r="AK9" t="s">
        <v>8</v>
      </c>
      <c r="AL9"/>
      <c r="AM9" t="s">
        <v>104</v>
      </c>
      <c r="AN9" t="s">
        <v>104</v>
      </c>
      <c r="AO9"/>
      <c r="AP9"/>
      <c r="AQ9"/>
      <c r="AR9"/>
      <c r="AS9" t="s">
        <v>479</v>
      </c>
      <c r="BF9" s="26"/>
    </row>
    <row r="10" spans="1:58" x14ac:dyDescent="0.25">
      <c r="A10">
        <v>4</v>
      </c>
      <c r="B10" t="s">
        <v>468</v>
      </c>
      <c r="C10" t="s">
        <v>692</v>
      </c>
      <c r="D10" s="138">
        <v>45140</v>
      </c>
      <c r="E10" t="s">
        <v>93</v>
      </c>
      <c r="F10" t="s">
        <v>580</v>
      </c>
      <c r="G10" t="s">
        <v>8</v>
      </c>
      <c r="H10" t="s">
        <v>121</v>
      </c>
      <c r="I10">
        <v>30</v>
      </c>
      <c r="J10" t="s">
        <v>601</v>
      </c>
      <c r="K10" t="s">
        <v>698</v>
      </c>
      <c r="L10" t="s">
        <v>8</v>
      </c>
      <c r="M10" t="s">
        <v>8</v>
      </c>
      <c r="N10" t="s">
        <v>8</v>
      </c>
      <c r="O10" t="s">
        <v>8</v>
      </c>
      <c r="P10" t="s">
        <v>140</v>
      </c>
      <c r="Q10">
        <v>100</v>
      </c>
      <c r="R10" t="s">
        <v>44</v>
      </c>
      <c r="S10" t="s">
        <v>378</v>
      </c>
      <c r="T10" t="s">
        <v>198</v>
      </c>
      <c r="U10" t="s">
        <v>8</v>
      </c>
      <c r="V10" t="s">
        <v>697</v>
      </c>
      <c r="W10" t="s">
        <v>170</v>
      </c>
      <c r="X10" s="138">
        <v>45093</v>
      </c>
      <c r="Y10" s="138">
        <v>45276</v>
      </c>
      <c r="Z10" s="138">
        <v>46372</v>
      </c>
      <c r="AA10">
        <v>4.17</v>
      </c>
      <c r="AB10">
        <v>30</v>
      </c>
      <c r="AC10">
        <v>32.49</v>
      </c>
      <c r="AD10" t="s">
        <v>477</v>
      </c>
      <c r="AE10" t="s">
        <v>367</v>
      </c>
      <c r="AF10" t="s">
        <v>478</v>
      </c>
      <c r="AG10" t="s">
        <v>104</v>
      </c>
      <c r="AH10" t="s">
        <v>104</v>
      </c>
      <c r="AI10" t="s">
        <v>8</v>
      </c>
      <c r="AJ10" t="s">
        <v>8</v>
      </c>
      <c r="AK10" t="s">
        <v>8</v>
      </c>
      <c r="AL10"/>
      <c r="AM10" t="s">
        <v>104</v>
      </c>
      <c r="AN10" t="s">
        <v>104</v>
      </c>
      <c r="AO10"/>
      <c r="AP10"/>
      <c r="AQ10"/>
      <c r="AR10"/>
      <c r="AS10" t="s">
        <v>694</v>
      </c>
      <c r="BF10" s="26"/>
    </row>
    <row r="11" spans="1:58" x14ac:dyDescent="0.25">
      <c r="A11">
        <v>2</v>
      </c>
      <c r="B11" t="s">
        <v>528</v>
      </c>
      <c r="C11" t="s">
        <v>532</v>
      </c>
      <c r="D11" s="138">
        <v>45139</v>
      </c>
      <c r="E11" t="s">
        <v>93</v>
      </c>
      <c r="F11" t="s">
        <v>93</v>
      </c>
      <c r="G11" t="s">
        <v>533</v>
      </c>
      <c r="H11" t="s">
        <v>121</v>
      </c>
      <c r="I11">
        <v>1.97</v>
      </c>
      <c r="J11" t="s">
        <v>200</v>
      </c>
      <c r="K11" t="s">
        <v>599</v>
      </c>
      <c r="L11" t="s">
        <v>8</v>
      </c>
      <c r="M11" t="s">
        <v>599</v>
      </c>
      <c r="N11" t="s">
        <v>8</v>
      </c>
      <c r="O11" t="s">
        <v>8</v>
      </c>
      <c r="P11" t="s">
        <v>140</v>
      </c>
      <c r="Q11">
        <v>100</v>
      </c>
      <c r="R11" t="s">
        <v>135</v>
      </c>
      <c r="S11" t="s">
        <v>600</v>
      </c>
      <c r="T11" t="s">
        <v>8</v>
      </c>
      <c r="U11" t="s">
        <v>8</v>
      </c>
      <c r="V11" t="s">
        <v>104</v>
      </c>
      <c r="W11" t="s">
        <v>170</v>
      </c>
      <c r="X11" s="138">
        <v>45147</v>
      </c>
      <c r="Y11" s="138">
        <v>45331</v>
      </c>
      <c r="Z11" s="138">
        <v>46243</v>
      </c>
      <c r="AA11">
        <v>0.27400000000000002</v>
      </c>
      <c r="AB11">
        <v>1.97</v>
      </c>
      <c r="AC11">
        <v>2.137</v>
      </c>
      <c r="AD11" t="s">
        <v>539</v>
      </c>
      <c r="AE11" t="s">
        <v>367</v>
      </c>
      <c r="AF11" t="s">
        <v>528</v>
      </c>
      <c r="AG11" t="s">
        <v>104</v>
      </c>
      <c r="AH11" t="s">
        <v>104</v>
      </c>
      <c r="AI11" t="s">
        <v>598</v>
      </c>
      <c r="AJ11" t="s">
        <v>8</v>
      </c>
      <c r="AK11" t="s">
        <v>8</v>
      </c>
      <c r="AL11"/>
      <c r="AM11" t="s">
        <v>104</v>
      </c>
      <c r="AN11" t="s">
        <v>104</v>
      </c>
      <c r="AO11"/>
      <c r="AP11"/>
      <c r="AQ11"/>
      <c r="AR11"/>
      <c r="AS11" t="s">
        <v>541</v>
      </c>
      <c r="BF11" s="26"/>
    </row>
    <row r="12" spans="1:58" x14ac:dyDescent="0.25">
      <c r="A12">
        <v>1</v>
      </c>
      <c r="B12" t="s">
        <v>555</v>
      </c>
      <c r="C12" t="s">
        <v>558</v>
      </c>
      <c r="D12" s="138">
        <v>45138</v>
      </c>
      <c r="E12" t="s">
        <v>666</v>
      </c>
      <c r="F12" t="s">
        <v>583</v>
      </c>
      <c r="G12" t="s">
        <v>335</v>
      </c>
      <c r="H12" t="s">
        <v>95</v>
      </c>
      <c r="I12">
        <v>4</v>
      </c>
      <c r="J12" t="s">
        <v>601</v>
      </c>
      <c r="K12" t="s">
        <v>602</v>
      </c>
      <c r="L12" t="s">
        <v>603</v>
      </c>
      <c r="M12" t="s">
        <v>604</v>
      </c>
      <c r="N12" t="s">
        <v>604</v>
      </c>
      <c r="O12" t="s">
        <v>676</v>
      </c>
      <c r="P12" t="s">
        <v>605</v>
      </c>
      <c r="Q12">
        <v>99.721999999999994</v>
      </c>
      <c r="R12" t="s">
        <v>47</v>
      </c>
      <c r="S12" t="s">
        <v>378</v>
      </c>
      <c r="T12" t="s">
        <v>198</v>
      </c>
      <c r="U12" t="s">
        <v>8</v>
      </c>
      <c r="V12" t="s">
        <v>104</v>
      </c>
      <c r="W12" t="s">
        <v>170</v>
      </c>
      <c r="X12" s="138">
        <v>45145</v>
      </c>
      <c r="Y12" s="138">
        <v>45329</v>
      </c>
      <c r="Z12" s="138">
        <v>46425</v>
      </c>
      <c r="AA12">
        <v>4</v>
      </c>
      <c r="AB12">
        <v>28.576000000000001</v>
      </c>
      <c r="AC12">
        <v>31.196000000000002</v>
      </c>
      <c r="AD12" t="s">
        <v>572</v>
      </c>
      <c r="AE12" t="s">
        <v>581</v>
      </c>
      <c r="AF12" t="s">
        <v>573</v>
      </c>
      <c r="AG12" t="s">
        <v>555</v>
      </c>
      <c r="AH12" t="s">
        <v>104</v>
      </c>
      <c r="AI12" t="s">
        <v>8</v>
      </c>
      <c r="AJ12" t="s">
        <v>8</v>
      </c>
      <c r="AK12" t="s">
        <v>8</v>
      </c>
      <c r="AL12"/>
      <c r="AM12" t="s">
        <v>104</v>
      </c>
      <c r="AN12" t="s">
        <v>104</v>
      </c>
      <c r="AO12"/>
      <c r="AP12"/>
      <c r="AQ12"/>
      <c r="AR12"/>
      <c r="AS12" t="s">
        <v>578</v>
      </c>
      <c r="BF12" s="26"/>
    </row>
    <row r="13" spans="1:58" x14ac:dyDescent="0.25">
      <c r="BF13" s="26"/>
    </row>
    <row r="14" spans="1:58" x14ac:dyDescent="0.25">
      <c r="BF14" s="26"/>
    </row>
  </sheetData>
  <phoneticPr fontId="16" type="noConversion"/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T5"/>
  <sheetViews>
    <sheetView workbookViewId="0">
      <selection activeCell="J5" sqref="J5"/>
    </sheetView>
  </sheetViews>
  <sheetFormatPr defaultRowHeight="15" x14ac:dyDescent="0.25"/>
  <cols>
    <col min="1" max="1" width="7.33203125" style="1" bestFit="1" customWidth="1"/>
    <col min="2" max="2" width="19.5546875" style="1" bestFit="1" customWidth="1"/>
    <col min="3" max="3" width="12.77734375" style="1" bestFit="1" customWidth="1"/>
    <col min="4" max="4" width="6.109375" style="1" bestFit="1" customWidth="1"/>
    <col min="5" max="5" width="9.44140625" style="1" bestFit="1" customWidth="1"/>
    <col min="6" max="8" width="6.109375" style="1" bestFit="1" customWidth="1"/>
    <col min="9" max="10" width="9.44140625" style="1" bestFit="1" customWidth="1"/>
    <col min="11" max="11" width="4.44140625" style="1" bestFit="1" customWidth="1"/>
    <col min="12" max="12" width="11.109375" style="1" bestFit="1" customWidth="1"/>
    <col min="13" max="13" width="13.5546875" style="1" bestFit="1" customWidth="1"/>
    <col min="14" max="14" width="7.77734375" style="1" bestFit="1" customWidth="1"/>
    <col min="15" max="15" width="9.44140625" style="1" bestFit="1" customWidth="1"/>
    <col min="16" max="16" width="6.109375" style="1" bestFit="1" customWidth="1"/>
    <col min="17" max="17" width="9.44140625" style="1" bestFit="1" customWidth="1"/>
    <col min="18" max="18" width="11" style="1" bestFit="1" customWidth="1"/>
    <col min="19" max="19" width="9.5546875" style="1" bestFit="1" customWidth="1"/>
    <col min="20" max="21" width="11.77734375" style="1" bestFit="1" customWidth="1"/>
    <col min="22" max="22" width="5.88671875" style="1" bestFit="1" customWidth="1"/>
    <col min="23" max="24" width="8.33203125" style="1" bestFit="1" customWidth="1"/>
    <col min="25" max="16384" width="8.88671875" style="1"/>
  </cols>
  <sheetData>
    <row r="1" spans="1:20" ht="43.5" customHeight="1" x14ac:dyDescent="0.25"/>
    <row r="2" spans="1:20" ht="43.5" customHeight="1" x14ac:dyDescent="0.25"/>
    <row r="3" spans="1:20" ht="43.5" customHeight="1" x14ac:dyDescent="0.25"/>
    <row r="4" spans="1:20" x14ac:dyDescent="0.25">
      <c r="A4" t="s">
        <v>96</v>
      </c>
      <c r="B4" t="s">
        <v>106</v>
      </c>
      <c r="C4" t="s">
        <v>142</v>
      </c>
      <c r="D4" t="s">
        <v>305</v>
      </c>
      <c r="E4" t="s">
        <v>319</v>
      </c>
      <c r="F4" t="s">
        <v>99</v>
      </c>
      <c r="G4" t="s">
        <v>53</v>
      </c>
      <c r="H4" t="s">
        <v>54</v>
      </c>
      <c r="I4" t="s">
        <v>311</v>
      </c>
      <c r="J4" t="s">
        <v>272</v>
      </c>
      <c r="K4" t="s">
        <v>331</v>
      </c>
      <c r="L4" t="s">
        <v>312</v>
      </c>
      <c r="M4" t="s">
        <v>252</v>
      </c>
      <c r="N4" t="s">
        <v>313</v>
      </c>
      <c r="O4" t="s">
        <v>314</v>
      </c>
      <c r="P4" t="s">
        <v>51</v>
      </c>
      <c r="Q4" t="s">
        <v>52</v>
      </c>
      <c r="R4" t="s">
        <v>50</v>
      </c>
      <c r="S4" t="s">
        <v>224</v>
      </c>
      <c r="T4" t="s">
        <v>293</v>
      </c>
    </row>
    <row r="5" spans="1:20" x14ac:dyDescent="0.25">
      <c r="A5" s="116"/>
      <c r="B5" s="116" t="s">
        <v>449</v>
      </c>
      <c r="C5" s="116" t="s">
        <v>584</v>
      </c>
      <c r="D5" s="116" t="s">
        <v>309</v>
      </c>
      <c r="E5" s="116"/>
      <c r="F5" s="116" t="s">
        <v>20</v>
      </c>
      <c r="G5" s="116" t="s">
        <v>451</v>
      </c>
      <c r="H5" s="116" t="s">
        <v>8</v>
      </c>
      <c r="I5" s="116"/>
      <c r="J5" s="116" t="s">
        <v>255</v>
      </c>
      <c r="K5"/>
      <c r="L5" s="116"/>
      <c r="M5" s="117">
        <v>45141</v>
      </c>
      <c r="N5" s="116"/>
      <c r="O5" s="116"/>
      <c r="P5" s="116" t="s">
        <v>3</v>
      </c>
      <c r="Q5" s="116" t="s">
        <v>450</v>
      </c>
      <c r="R5" s="116" t="s">
        <v>163</v>
      </c>
      <c r="S5" s="116"/>
      <c r="T5" s="116"/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S8"/>
  <sheetViews>
    <sheetView workbookViewId="0">
      <selection activeCell="H27" sqref="H27"/>
    </sheetView>
  </sheetViews>
  <sheetFormatPr defaultRowHeight="15" x14ac:dyDescent="0.25"/>
  <cols>
    <col min="1" max="1" width="7.33203125" style="1" bestFit="1" customWidth="1"/>
    <col min="2" max="2" width="13.21875" style="1" bestFit="1" customWidth="1"/>
    <col min="3" max="3" width="7.77734375" style="1" bestFit="1" customWidth="1"/>
    <col min="4" max="4" width="22.44140625" style="1" bestFit="1" customWidth="1"/>
    <col min="5" max="5" width="11.33203125" style="1" bestFit="1" customWidth="1"/>
    <col min="6" max="6" width="9.44140625" style="1" bestFit="1" customWidth="1"/>
    <col min="7" max="7" width="9" style="1" bestFit="1" customWidth="1"/>
    <col min="8" max="9" width="9.44140625" style="1" bestFit="1" customWidth="1"/>
    <col min="10" max="10" width="11.6640625" style="1" bestFit="1" customWidth="1"/>
    <col min="11" max="11" width="15.44140625" style="1" bestFit="1" customWidth="1"/>
    <col min="12" max="12" width="6.109375" style="1" bestFit="1" customWidth="1"/>
    <col min="13" max="13" width="9.44140625" style="1" bestFit="1" customWidth="1"/>
    <col min="14" max="14" width="6.109375" style="1" bestFit="1" customWidth="1"/>
    <col min="15" max="17" width="7.77734375" style="1" bestFit="1" customWidth="1"/>
    <col min="18" max="18" width="19.33203125" style="1" bestFit="1" customWidth="1"/>
    <col min="19" max="19" width="10.5546875" style="1" bestFit="1" customWidth="1"/>
    <col min="20" max="20" width="8.77734375" style="1" bestFit="1" customWidth="1"/>
    <col min="21" max="21" width="9.21875" style="1" bestFit="1" customWidth="1"/>
    <col min="22" max="16384" width="8.88671875" style="1"/>
  </cols>
  <sheetData>
    <row r="5" spans="1:19" x14ac:dyDescent="0.25">
      <c r="A5" t="s">
        <v>96</v>
      </c>
      <c r="B5" t="s">
        <v>56</v>
      </c>
      <c r="C5" t="s">
        <v>57</v>
      </c>
      <c r="D5" t="s">
        <v>106</v>
      </c>
      <c r="E5" t="s">
        <v>195</v>
      </c>
      <c r="F5" t="s">
        <v>263</v>
      </c>
      <c r="G5" t="s">
        <v>264</v>
      </c>
      <c r="H5" t="s">
        <v>265</v>
      </c>
      <c r="I5" t="s">
        <v>226</v>
      </c>
      <c r="J5" t="s">
        <v>227</v>
      </c>
      <c r="K5" t="s">
        <v>237</v>
      </c>
      <c r="L5" t="s">
        <v>225</v>
      </c>
      <c r="M5" t="s">
        <v>270</v>
      </c>
      <c r="N5" t="s">
        <v>285</v>
      </c>
      <c r="O5" t="s">
        <v>286</v>
      </c>
      <c r="P5" t="s">
        <v>287</v>
      </c>
      <c r="Q5" t="s">
        <v>288</v>
      </c>
      <c r="R5" t="s">
        <v>182</v>
      </c>
      <c r="S5" t="s">
        <v>289</v>
      </c>
    </row>
    <row r="6" spans="1:19" x14ac:dyDescent="0.25">
      <c r="A6">
        <v>7</v>
      </c>
      <c r="B6" t="s">
        <v>453</v>
      </c>
      <c r="C6">
        <v>45141</v>
      </c>
      <c r="D6" t="s">
        <v>449</v>
      </c>
      <c r="E6" t="s">
        <v>197</v>
      </c>
      <c r="F6" t="s">
        <v>8</v>
      </c>
      <c r="G6" t="s">
        <v>8</v>
      </c>
      <c r="H6" t="s">
        <v>8</v>
      </c>
      <c r="I6" t="s">
        <v>235</v>
      </c>
      <c r="J6" t="s">
        <v>248</v>
      </c>
      <c r="K6" t="s">
        <v>586</v>
      </c>
      <c r="L6" t="s">
        <v>104</v>
      </c>
      <c r="M6" t="s">
        <v>682</v>
      </c>
      <c r="N6">
        <v>1</v>
      </c>
      <c r="O6">
        <v>1</v>
      </c>
      <c r="P6">
        <v>1</v>
      </c>
      <c r="Q6">
        <v>1</v>
      </c>
      <c r="R6" t="s">
        <v>462</v>
      </c>
      <c r="S6"/>
    </row>
    <row r="7" spans="1:19" x14ac:dyDescent="0.25">
      <c r="A7">
        <v>6</v>
      </c>
      <c r="B7" t="s">
        <v>497</v>
      </c>
      <c r="C7">
        <v>45140</v>
      </c>
      <c r="D7" t="s">
        <v>492</v>
      </c>
      <c r="E7" t="s">
        <v>197</v>
      </c>
      <c r="F7" t="s">
        <v>8</v>
      </c>
      <c r="G7" t="s">
        <v>8</v>
      </c>
      <c r="H7" t="s">
        <v>8</v>
      </c>
      <c r="I7" t="s">
        <v>235</v>
      </c>
      <c r="J7" t="s">
        <v>236</v>
      </c>
      <c r="K7" t="s">
        <v>661</v>
      </c>
      <c r="L7" t="s">
        <v>662</v>
      </c>
      <c r="M7" t="s">
        <v>683</v>
      </c>
      <c r="N7">
        <v>1</v>
      </c>
      <c r="O7">
        <v>1</v>
      </c>
      <c r="P7">
        <v>1</v>
      </c>
      <c r="Q7">
        <v>1</v>
      </c>
      <c r="R7" t="s">
        <v>508</v>
      </c>
      <c r="S7"/>
    </row>
    <row r="8" spans="1:19" x14ac:dyDescent="0.25">
      <c r="A8">
        <v>1</v>
      </c>
      <c r="B8" t="s">
        <v>558</v>
      </c>
      <c r="C8">
        <v>45138</v>
      </c>
      <c r="D8" t="s">
        <v>555</v>
      </c>
      <c r="E8" t="s">
        <v>198</v>
      </c>
      <c r="F8" t="s">
        <v>663</v>
      </c>
      <c r="G8" t="s">
        <v>8</v>
      </c>
      <c r="H8" t="s">
        <v>664</v>
      </c>
      <c r="I8" t="s">
        <v>238</v>
      </c>
      <c r="J8" t="s">
        <v>236</v>
      </c>
      <c r="K8" t="s">
        <v>585</v>
      </c>
      <c r="L8" t="s">
        <v>104</v>
      </c>
      <c r="M8" t="s">
        <v>670</v>
      </c>
      <c r="N8">
        <v>1</v>
      </c>
      <c r="O8">
        <v>1</v>
      </c>
      <c r="P8">
        <v>1</v>
      </c>
      <c r="Q8">
        <v>1</v>
      </c>
      <c r="R8" t="s">
        <v>578</v>
      </c>
      <c r="S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30</vt:i4>
      </vt:variant>
    </vt:vector>
  </HeadingPairs>
  <TitlesOfParts>
    <vt:vector size="45" baseType="lpstr">
      <vt:lpstr>EXE</vt:lpstr>
      <vt:lpstr>dmi</vt:lpstr>
      <vt:lpstr>DOWNLOAD</vt:lpstr>
      <vt:lpstr>FIMTN</vt:lpstr>
      <vt:lpstr>2Rtg</vt:lpstr>
      <vt:lpstr>load</vt:lpstr>
      <vt:lpstr>REVIEW_LIST</vt:lpstr>
      <vt:lpstr>Charts</vt:lpstr>
      <vt:lpstr>WRITER</vt:lpstr>
      <vt:lpstr>ECON</vt:lpstr>
      <vt:lpstr>FUTURE</vt:lpstr>
      <vt:lpstr>Add</vt:lpstr>
      <vt:lpstr>AddtoCurated</vt:lpstr>
      <vt:lpstr>AddtoCredit</vt:lpstr>
      <vt:lpstr>AddtoBISL</vt:lpstr>
      <vt:lpstr>dd_BISL_role</vt:lpstr>
      <vt:lpstr>dd_bocomdeal</vt:lpstr>
      <vt:lpstr>dd_bocomrole</vt:lpstr>
      <vt:lpstr>dd_by_rtg</vt:lpstr>
      <vt:lpstr>dd_byrtg</vt:lpstr>
      <vt:lpstr>dd_coverage</vt:lpstr>
      <vt:lpstr>dd_crcy</vt:lpstr>
      <vt:lpstr>dd_econ</vt:lpstr>
      <vt:lpstr>dd_ECONEvent</vt:lpstr>
      <vt:lpstr>dd_econfuture</vt:lpstr>
      <vt:lpstr>dd_FutureEvent</vt:lpstr>
      <vt:lpstr>dd_listing</vt:lpstr>
      <vt:lpstr>dd_region</vt:lpstr>
      <vt:lpstr>dd_sector</vt:lpstr>
      <vt:lpstr>dd_sfcrole</vt:lpstr>
      <vt:lpstr>dd_strct</vt:lpstr>
      <vt:lpstr>dd_structure</vt:lpstr>
      <vt:lpstr>dd_theme</vt:lpstr>
      <vt:lpstr>dd_updator</vt:lpstr>
      <vt:lpstr>dd_中资属性</vt:lpstr>
      <vt:lpstr>dd_板块</vt:lpstr>
      <vt:lpstr>GPS</vt:lpstr>
      <vt:lpstr>hard_coded_1</vt:lpstr>
      <vt:lpstr>hard_coded_2</vt:lpstr>
      <vt:lpstr>hard_coded_3</vt:lpstr>
      <vt:lpstr>hard_coded_4</vt:lpstr>
      <vt:lpstr>hard_coded_5</vt:lpstr>
      <vt:lpstr>hard_coded_6</vt:lpstr>
      <vt:lpstr>input_data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Eugenia Sen 孫穎芝</cp:lastModifiedBy>
  <dcterms:created xsi:type="dcterms:W3CDTF">2023-03-10T12:57:22Z</dcterms:created>
  <dcterms:modified xsi:type="dcterms:W3CDTF">2023-08-07T04:11:03Z</dcterms:modified>
</cp:coreProperties>
</file>