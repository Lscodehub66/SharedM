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drawings/drawing1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queryTables/queryTable10.xml" ContentType="application/vnd.openxmlformats-officedocument.spreadsheetml.query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queryTables/queryTable12.xml" ContentType="application/vnd.openxmlformats-officedocument.spreadsheetml.query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9.xml" ContentType="application/vnd.openxmlformats-officedocument.spreadsheetml.table+xml"/>
  <Override PartName="/xl/queryTables/queryTable13.xml" ContentType="application/vnd.openxmlformats-officedocument.spreadsheetml.queryTable+xml"/>
  <Override PartName="/xl/tables/table20.xml" ContentType="application/vnd.openxmlformats-officedocument.spreadsheetml.table+xml"/>
  <Override PartName="/xl/queryTables/queryTable14.xml" ContentType="application/vnd.openxmlformats-officedocument.spreadsheetml.queryTable+xml"/>
  <Override PartName="/xl/tables/table21.xml" ContentType="application/vnd.openxmlformats-officedocument.spreadsheetml.table+xml"/>
  <Override PartName="/xl/queryTables/queryTable15.xml" ContentType="application/vnd.openxmlformats-officedocument.spreadsheetml.queryTable+xml"/>
  <Override PartName="/xl/tables/table22.xml" ContentType="application/vnd.openxmlformats-officedocument.spreadsheetml.table+xml"/>
  <Override PartName="/xl/queryTables/queryTable16.xml" ContentType="application/vnd.openxmlformats-officedocument.spreadsheetml.query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drawings/drawing4.xml" ContentType="application/vnd.openxmlformats-officedocument.drawing+xml"/>
  <Override PartName="/xl/tables/table26.xml" ContentType="application/vnd.openxmlformats-officedocument.spreadsheetml.table+xml"/>
  <Override PartName="/xl/queryTables/queryTable17.xml" ContentType="application/vnd.openxmlformats-officedocument.spreadsheetml.queryTable+xml"/>
  <Override PartName="/xl/tables/table27.xml" ContentType="application/vnd.openxmlformats-officedocument.spreadsheetml.table+xml"/>
  <Override PartName="/xl/queryTables/queryTable18.xml" ContentType="application/vnd.openxmlformats-officedocument.spreadsheetml.queryTable+xml"/>
  <Override PartName="/xl/tables/table28.xml" ContentType="application/vnd.openxmlformats-officedocument.spreadsheetml.table+xml"/>
  <Override PartName="/xl/queryTables/queryTable19.xml" ContentType="application/vnd.openxmlformats-officedocument.spreadsheetml.queryTable+xml"/>
  <Override PartName="/xl/tables/table29.xml" ContentType="application/vnd.openxmlformats-officedocument.spreadsheetml.table+xml"/>
  <Override PartName="/xl/queryTables/queryTable20.xml" ContentType="application/vnd.openxmlformats-officedocument.spreadsheetml.queryTable+xml"/>
  <Override PartName="/xl/tables/table30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5.xml" ContentType="application/vnd.openxmlformats-officedocument.drawing+xml"/>
  <Override PartName="/xl/tables/table31.xml" ContentType="application/vnd.openxmlformats-officedocument.spreadsheetml.table+xml"/>
  <Override PartName="/xl/queryTables/queryTable22.xml" ContentType="application/vnd.openxmlformats-officedocument.spreadsheetml.queryTable+xml"/>
  <Override PartName="/xl/tables/table32.xml" ContentType="application/vnd.openxmlformats-officedocument.spreadsheetml.table+xml"/>
  <Override PartName="/xl/queryTables/queryTable23.xml" ContentType="application/vnd.openxmlformats-officedocument.spreadsheetml.queryTable+xml"/>
  <Override PartName="/xl/tables/table33.xml" ContentType="application/vnd.openxmlformats-officedocument.spreadsheetml.table+xml"/>
  <Override PartName="/xl/queryTables/queryTable24.xml" ContentType="application/vnd.openxmlformats-officedocument.spreadsheetml.queryTable+xml"/>
  <Override PartName="/xl/comments3.xml" ContentType="application/vnd.openxmlformats-officedocument.spreadsheetml.comments+xml"/>
  <Override PartName="/xl/tables/table34.xml" ContentType="application/vnd.openxmlformats-officedocument.spreadsheetml.table+xml"/>
  <Override PartName="/xl/queryTables/queryTable25.xml" ContentType="application/vnd.openxmlformats-officedocument.spreadsheetml.query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queryTables/queryTable26.xml" ContentType="application/vnd.openxmlformats-officedocument.spreadsheetml.queryTable+xml"/>
  <Override PartName="/xl/tables/table37.xml" ContentType="application/vnd.openxmlformats-officedocument.spreadsheetml.table+xml"/>
  <Override PartName="/xl/drawings/drawing6.xml" ContentType="application/vnd.openxmlformats-officedocument.drawing+xml"/>
  <Override PartName="/xl/tables/table38.xml" ContentType="application/vnd.openxmlformats-officedocument.spreadsheetml.table+xml"/>
  <Override PartName="/xl/queryTables/queryTable27.xml" ContentType="application/vnd.openxmlformats-officedocument.spreadsheetml.query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queryTables/queryTable28.xml" ContentType="application/vnd.openxmlformats-officedocument.spreadsheetml.query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queryTables/queryTable29.xml" ContentType="application/vnd.openxmlformats-officedocument.spreadsheetml.queryTable+xml"/>
  <Override PartName="/xl/tables/table43.xml" ContentType="application/vnd.openxmlformats-officedocument.spreadsheetml.table+xml"/>
  <Override PartName="/xl/queryTables/queryTable30.xml" ContentType="application/vnd.openxmlformats-officedocument.spreadsheetml.queryTable+xml"/>
  <Override PartName="/xl/tables/table44.xml" ContentType="application/vnd.openxmlformats-officedocument.spreadsheetml.table+xml"/>
  <Override PartName="/xl/queryTables/queryTable31.xml" ContentType="application/vnd.openxmlformats-officedocument.spreadsheetml.queryTable+xml"/>
  <Override PartName="/xl/tables/table45.xml" ContentType="application/vnd.openxmlformats-officedocument.spreadsheetml.table+xml"/>
  <Override PartName="/xl/queryTables/queryTable32.xml" ContentType="application/vnd.openxmlformats-officedocument.spreadsheetml.queryTable+xml"/>
  <Override PartName="/xl/tables/table46.xml" ContentType="application/vnd.openxmlformats-officedocument.spreadsheetml.table+xml"/>
  <Override PartName="/xl/queryTables/queryTable33.xml" ContentType="application/vnd.openxmlformats-officedocument.spreadsheetml.queryTable+xml"/>
  <Override PartName="/xl/drawings/drawing7.xml" ContentType="application/vnd.openxmlformats-officedocument.drawing+xml"/>
  <Override PartName="/xl/tables/table47.xml" ContentType="application/vnd.openxmlformats-officedocument.spreadsheetml.table+xml"/>
  <Override PartName="/xl/queryTables/queryTable34.xml" ContentType="application/vnd.openxmlformats-officedocument.spreadsheetml.queryTable+xml"/>
  <Override PartName="/xl/drawings/drawing8.xml" ContentType="application/vnd.openxmlformats-officedocument.drawing+xml"/>
  <Override PartName="/xl/tables/table48.xml" ContentType="application/vnd.openxmlformats-officedocument.spreadsheetml.table+xml"/>
  <Override PartName="/xl/queryTables/queryTable35.xml" ContentType="application/vnd.openxmlformats-officedocument.spreadsheetml.queryTable+xml"/>
  <Override PartName="/xl/tables/table49.xml" ContentType="application/vnd.openxmlformats-officedocument.spreadsheetml.table+xml"/>
  <Override PartName="/xl/queryTables/queryTable36.xml" ContentType="application/vnd.openxmlformats-officedocument.spreadsheetml.query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6feab00a3385f653/EXE Team/Weekly AM/20230904/Data/"/>
    </mc:Choice>
  </mc:AlternateContent>
  <xr:revisionPtr revIDLastSave="1305" documentId="13_ncr:1_{9EBD1C23-B4FC-48CD-A202-E1CBA42FF352}" xr6:coauthVersionLast="47" xr6:coauthVersionMax="47" xr10:uidLastSave="{DBCDD144-F78B-41F4-BCE9-5DCE2D5CA80F}"/>
  <bookViews>
    <workbookView xWindow="-120" yWindow="-120" windowWidth="29040" windowHeight="15720" tabRatio="594" firstSheet="1" activeTab="1" xr2:uid="{00000000-000D-0000-FFFF-FFFF00000000}"/>
  </bookViews>
  <sheets>
    <sheet name="EXE" sheetId="27" state="hidden" r:id="rId1"/>
    <sheet name="DOWNLOAD" sheetId="1" r:id="rId2"/>
    <sheet name="load" sheetId="23" r:id="rId3"/>
    <sheet name="REVIEW_LIST" sheetId="33" r:id="rId4"/>
    <sheet name="Charts" sheetId="40" r:id="rId5"/>
    <sheet name="NWriter" sheetId="52" r:id="rId6"/>
    <sheet name="WRITER" sheetId="39" state="hidden" r:id="rId7"/>
    <sheet name="ECON" sheetId="30" r:id="rId8"/>
    <sheet name="FUTURE" sheetId="41" r:id="rId9"/>
    <sheet name="AddTap" sheetId="53" r:id="rId10"/>
    <sheet name="FIMTN" sheetId="43" state="hidden" r:id="rId11"/>
    <sheet name="dmi" sheetId="42" state="hidden" r:id="rId12"/>
    <sheet name="bbgcorp" sheetId="49" state="hidden" r:id="rId13"/>
    <sheet name="台账" sheetId="51" state="hidden" r:id="rId14"/>
    <sheet name="WST" sheetId="50" state="hidden" r:id="rId15"/>
    <sheet name="AddtoCurated" sheetId="48" state="hidden" r:id="rId16"/>
    <sheet name="AddtoCredit" sheetId="46" state="hidden" r:id="rId17"/>
    <sheet name="AddtoBISL" sheetId="47" state="hidden" r:id="rId18"/>
  </sheets>
  <definedNames>
    <definedName name="_xlnm._FilterDatabase" localSheetId="10" hidden="1">FIMTN!#REF!</definedName>
    <definedName name="dd_BISL_ROLE">BISL_ROLE[BISL_ROLE]</definedName>
    <definedName name="dd_bocomdeal">BOCOM_DEAL[BOCOM_DEAL?]</definedName>
    <definedName name="dd_BOCOMJLM">tbl_BOCOMJLM[BOCOMJLM]</definedName>
    <definedName name="dd_bocomrole">#REF!</definedName>
    <definedName name="dd_byrtg">tbl_dd_by_rtg[评级分类]</definedName>
    <definedName name="dd_coverage">tbl_dd_coverage[COVERAGE]</definedName>
    <definedName name="dd_econ">ECON[上周主要经济数据]</definedName>
    <definedName name="dd_econ1">FUTURE[未来一周主要经济数据]</definedName>
    <definedName name="dd_ECONEvent">ECON[上周主要经济数据]</definedName>
    <definedName name="dd_econfuture">FUTURE[未来一周主要经济数据]</definedName>
    <definedName name="dd_FutureEvent">FUTURE[未来一周主要经济数据]</definedName>
    <definedName name="dd_region">tbl_dd_region[地区]</definedName>
    <definedName name="dd_sector">tbl_ddsector[行业]</definedName>
    <definedName name="dd_sfcrole">新规角色[新规角色]</definedName>
    <definedName name="dd_strct">结构[结构]</definedName>
    <definedName name="dd_theme">#REF!</definedName>
    <definedName name="dd_updator">Updator[Updator]</definedName>
    <definedName name="dd_weeklylist">#REF!</definedName>
    <definedName name="dd_上市分类">上市分类[上市分类]</definedName>
    <definedName name="dd_中资属性">中资属性[中资属性]</definedName>
    <definedName name="dd_板块">板块[板块]</definedName>
    <definedName name="dd_结构">结构[结构]</definedName>
    <definedName name="dd_评级分类">tbl_dd_by_rtg[评级分类]</definedName>
    <definedName name="dd_货币">货币[货币]</definedName>
    <definedName name="ExternalData_1" localSheetId="9" hidden="1">AddTap!$B$9:$M$13</definedName>
    <definedName name="ExternalData_1" localSheetId="15" hidden="1">AddtoCurated!$A$4:$AU$18</definedName>
    <definedName name="ExternalData_1" localSheetId="12" hidden="1">bbgcorp!$A$5:$M$22</definedName>
    <definedName name="ExternalData_1" localSheetId="7" hidden="1">ECON!$A$12:$O$34</definedName>
    <definedName name="ExternalData_1" localSheetId="0" hidden="1">EXE!$F$22:$G$27</definedName>
    <definedName name="ExternalData_1" localSheetId="10" hidden="1">FIMTN!$A$5:$J$8</definedName>
    <definedName name="ExternalData_1" localSheetId="14" hidden="1">WST!$A$5:$M$7</definedName>
    <definedName name="ExternalData_10" localSheetId="4" hidden="1">'Charts'!$S$4:$U$5</definedName>
    <definedName name="ExternalData_10" localSheetId="0" hidden="1">EXE!#REF!</definedName>
    <definedName name="ExternalData_11" localSheetId="1" hidden="1">DOWNLOAD!#REF!</definedName>
    <definedName name="ExternalData_11" localSheetId="6" hidden="1">WRITER!$A$9:$F$15</definedName>
    <definedName name="ExternalData_12" localSheetId="6" hidden="1">WRITER!$A$20:$F$28</definedName>
    <definedName name="ExternalData_13" localSheetId="5" hidden="1">NWriter!$A$6:$D$17</definedName>
    <definedName name="ExternalData_15" localSheetId="1" hidden="1">DOWNLOAD!$D$10:$CF$24</definedName>
    <definedName name="ExternalData_16" localSheetId="11" hidden="1">dmi!$A$5:$BR$22</definedName>
    <definedName name="ExternalData_18" localSheetId="1" hidden="1">DOWNLOAD!#REF!</definedName>
    <definedName name="ExternalData_19" localSheetId="1" hidden="1">DOWNLOAD!#REF!</definedName>
    <definedName name="ExternalData_19" localSheetId="2" hidden="1">load!$C$5:$AD$19</definedName>
    <definedName name="ExternalData_2" localSheetId="9" hidden="1">AddTap!$B$20:$C$85</definedName>
    <definedName name="ExternalData_2" localSheetId="0" hidden="1">EXE!$F$14:$G$20</definedName>
    <definedName name="ExternalData_2" localSheetId="8" hidden="1">FUTURE!$A$10:$O$29</definedName>
    <definedName name="ExternalData_2" localSheetId="2" hidden="1">load!$AH$5:$AW$13</definedName>
    <definedName name="ExternalData_2" localSheetId="13" hidden="1">台账!$A$5:$H$6</definedName>
    <definedName name="ExternalData_20" localSheetId="1" hidden="1">DOWNLOAD!$B$14:$B$16</definedName>
    <definedName name="ExternalData_21" localSheetId="1" hidden="1">DOWNLOAD!$B$10:$B$12</definedName>
    <definedName name="ExternalData_21" localSheetId="2" hidden="1">load!$AH$18:$AK$19</definedName>
    <definedName name="ExternalData_3" localSheetId="0" hidden="1">EXE!$F$29:$G$35</definedName>
    <definedName name="ExternalData_3" localSheetId="2" hidden="1">load!$A$5:$A$33</definedName>
    <definedName name="ExternalData_4" localSheetId="4" hidden="1">'Charts'!$P$8:$AF$22</definedName>
    <definedName name="ExternalData_4" localSheetId="0" hidden="1">EXE!$P$6:$P$15</definedName>
    <definedName name="ExternalData_5" localSheetId="15" hidden="1">AddtoCurated!$A$4:$BN$14</definedName>
    <definedName name="ExternalData_5" localSheetId="0" hidden="1">EXE!$F$6:$G$11</definedName>
    <definedName name="ExternalData_6" localSheetId="17" hidden="1">AddtoBISL!$A$5:$R$7</definedName>
    <definedName name="ExternalData_6" localSheetId="0" hidden="1">EXE!$F$59:$G$65</definedName>
    <definedName name="ExternalData_7" localSheetId="0" hidden="1">EXE!$D$6:$D$15</definedName>
    <definedName name="ExternalData_8" localSheetId="4" hidden="1">'Charts'!$A$8:$J$24</definedName>
    <definedName name="ExternalData_8" localSheetId="0" hidden="1">EXE!$F$37:$G$48</definedName>
    <definedName name="ExternalData_8" localSheetId="6" hidden="1">WRITER!$A$4:$F$5</definedName>
    <definedName name="ExternalData_9" localSheetId="16" hidden="1">AddtoCredit!$A$4:$U$9</definedName>
    <definedName name="ExternalData_9" localSheetId="4" hidden="1">'Charts'!$C$4:$E$5</definedName>
    <definedName name="ExternalData_9" localSheetId="0" hidden="1">EXE!$F$50:$G$57</definedName>
    <definedName name="GPS">EXE!$A$1</definedName>
    <definedName name="hard_coded_1">#REF!</definedName>
    <definedName name="hard_coded_2">REVIEW_LIST!$A$4:$AB$41</definedName>
    <definedName name="hard_coded_3">REVIEW_LIST!$AE$4:$AT$41</definedName>
    <definedName name="hard_coded_4">REVIEW_LIST!$AW$4:$AZ$40</definedName>
    <definedName name="hard_coded_5">input_econ[上周主要经济数据]</definedName>
    <definedName name="hard_coded_6">input_future[未来一周主要经济数据]</definedName>
    <definedName name="input_data">#REF!</definedName>
    <definedName name="Name">load!$S$4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1" l="1"/>
  <c r="C7" i="1"/>
  <c r="C6" i="1"/>
  <c r="D6" i="1" s="1"/>
  <c r="C5" i="1"/>
  <c r="D5" i="1" l="1"/>
  <c r="D1" i="23"/>
  <c r="S4" i="23" l="1"/>
  <c r="A1" i="27"/>
  <c r="A1" i="40" l="1"/>
  <c r="R1" i="40" l="1"/>
  <c r="Q1" i="40" l="1"/>
  <c r="F7" i="41" l="1"/>
  <c r="E7" i="41"/>
  <c r="D7" i="41"/>
  <c r="F6" i="41"/>
  <c r="E6" i="41"/>
  <c r="D6" i="41"/>
  <c r="F5" i="41"/>
  <c r="E5" i="41"/>
  <c r="D5" i="41"/>
  <c r="F8" i="41"/>
  <c r="E8" i="41"/>
  <c r="D8" i="41"/>
  <c r="F4" i="41"/>
  <c r="E4" i="41"/>
  <c r="D4" i="41"/>
  <c r="F3" i="41"/>
  <c r="E3" i="41"/>
  <c r="D3" i="41"/>
  <c r="D8" i="30" l="1"/>
  <c r="E8" i="30"/>
  <c r="E3" i="30"/>
  <c r="E4" i="30"/>
  <c r="E6" i="30"/>
  <c r="E7" i="30"/>
  <c r="E5" i="30"/>
  <c r="F8" i="30"/>
  <c r="F3" i="30"/>
  <c r="F4" i="30"/>
  <c r="F6" i="30"/>
  <c r="F7" i="30"/>
  <c r="F5" i="30"/>
  <c r="G8" i="30"/>
  <c r="G3" i="30"/>
  <c r="G4" i="30"/>
  <c r="G6" i="30"/>
  <c r="G7" i="30"/>
  <c r="G5" i="30"/>
  <c r="D3" i="30"/>
  <c r="D4" i="30"/>
  <c r="D6" i="30"/>
  <c r="D7" i="30"/>
  <c r="D5" i="3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M1" authorId="0" shapeId="0" xr:uid="{5F225EBE-C4A4-4976-945D-CA2807ED6C4B}">
      <text>
        <r>
          <rPr>
            <sz val="9"/>
            <color indexed="81"/>
            <rFont val="Tahoma"/>
            <family val="2"/>
          </rPr>
          <t>DateFormat YYYY/M/D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D1" authorId="0" shapeId="0" xr:uid="{47F3EA3D-92D0-444E-B637-DD2064F0A57D}">
      <text>
        <r>
          <rPr>
            <b/>
            <sz val="9"/>
            <color indexed="81"/>
            <rFont val="Tahoma"/>
            <family val="2"/>
          </rPr>
          <t>Formula to check paste value in 1.Download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Kingsley Tong 童富涵</author>
  </authors>
  <commentList>
    <comment ref="A3" authorId="0" shapeId="0" xr:uid="{5C849F5E-7FF2-4428-A4A5-42D3B6E6A82C}">
      <text>
        <r>
          <rPr>
            <sz val="12"/>
            <color indexed="81"/>
            <rFont val="Tahoma"/>
            <family val="2"/>
          </rPr>
          <t>如无法判断是否为投资级板块，请在周报Chat确认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AA4B715-AEC3-4585-B436-228D758A7919}" keepAlive="1" name="Query - AddTapISIN" description="Connection to the 'AddTapISIN' query in the workbook." type="5" refreshedVersion="8" background="1" saveData="1">
    <dbPr connection="Provider=Microsoft.Mashup.OleDb.1;Data Source=$Workbook$;Location=AddTapISIN;Extended Properties=&quot;&quot;" command="SELECT * FROM [AddTapISIN]"/>
    <extLst>
      <ext xmlns:x15="http://schemas.microsoft.com/office/spreadsheetml/2010/11/main" uri="{DE250136-89BD-433C-8126-D09CA5730AF9}">
        <x15:connection id="" excludeFromRefreshAll="1"/>
      </ext>
    </extLst>
  </connection>
  <connection id="2" xr16:uid="{D68969FF-6704-4B2B-99CF-16282417B94C}" keepAlive="1" name="Query - AddTapLoad" description="Connection to the 'AddTapLoad' query in the workbook." type="5" refreshedVersion="8" background="1" saveData="1">
    <dbPr connection="Provider=Microsoft.Mashup.OleDb.1;Data Source=$Workbook$;Location=AddTapLoad;Extended Properties=&quot;&quot;" command="SELECT * FROM [AddTapLoad]"/>
    <extLst>
      <ext xmlns:x15="http://schemas.microsoft.com/office/spreadsheetml/2010/11/main" uri="{DE250136-89BD-433C-8126-D09CA5730AF9}">
        <x15:connection id="" excludeFromRefreshAll="1"/>
      </ext>
    </extLst>
  </connection>
  <connection id="3" xr16:uid="{00000000-0015-0000-FFFF-FFFF03000000}" keepAlive="1" name="Query - BBGcorp" description="Connection to the 'BBGcorp' query in the workbook." type="5" refreshedVersion="8" background="1" saveData="1">
    <dbPr connection="Provider=Microsoft.Mashup.OleDb.1;Data Source=$Workbook$;Location=BBGcorp;Extended Properties=&quot;&quot;" command="SELECT * FROM [BBGcorp]"/>
    <extLst>
      <ext xmlns:x15="http://schemas.microsoft.com/office/spreadsheetml/2010/11/main" uri="{DE250136-89BD-433C-8126-D09CA5730AF9}">
        <x15:connection id="" excludeFromRefreshAll="1"/>
      </ext>
    </extLst>
  </connection>
  <connection id="4" xr16:uid="{7271C9AE-7E6A-4CA5-AE87-5A56963D7E9D}" keepAlive="1" name="Query - BBGRtg" description="Connection to the 'BBGRtg' query in the workbook." type="5" refreshedVersion="0" background="1">
    <dbPr connection="Provider=Microsoft.Mashup.OleDb.1;Data Source=$Workbook$;Location=BBGRtg;Extended Properties=&quot;&quot;" command="SELECT * FROM [BBGRtg]"/>
  </connection>
  <connection id="5" xr16:uid="{5ECC110B-5941-4CB2-94EB-3F1D17502467}" keepAlive="1" name="Query - BISL_ROLE" description="Connection to the 'BISL_ROLE' query in the workbook." type="5" refreshedVersion="8" background="1" saveData="1">
    <dbPr connection="Provider=Microsoft.Mashup.OleDb.1;Data Source=$Workbook$;Location=BISL_ROLE;Extended Properties=&quot;&quot;" command="SELECT * FROM [BISL_ROLE]"/>
  </connection>
  <connection id="6" xr16:uid="{80FE2552-31D9-4ED7-AA13-128037E31F67}" keepAlive="1" name="Query - BOCOM_DEAL" description="Connection to the 'BOCOM_DEAL' query in the workbook." type="5" refreshedVersion="8" background="1" saveData="1">
    <dbPr connection="Provider=Microsoft.Mashup.OleDb.1;Data Source=$Workbook$;Location=BOCOM_DEAL;Extended Properties=&quot;&quot;" command="SELECT * FROM [BOCOM_DEAL]"/>
  </connection>
  <connection id="7" xr16:uid="{00000000-0015-0000-FFFF-FFFF04000000}" keepAlive="1" name="Query - charts" description="Connection to the 'charts' query in the workbook." type="5" refreshedVersion="8" background="1" saveData="1">
    <dbPr connection="Provider=Microsoft.Mashup.OleDb.1;Data Source=$Workbook$;Location=charts;Extended Properties=&quot;&quot;" command="SELECT * FROM [charts]"/>
  </connection>
  <connection id="8" xr16:uid="{00000000-0015-0000-FFFF-FFFF05000000}" keepAlive="1" name="Query - charts_list" description="Connection to the 'charts_list' query in the workbook." type="5" refreshedVersion="6" background="1" saveData="1">
    <dbPr connection="Provider=Microsoft.Mashup.OleDb.1;Data Source=$Workbook$;Location=Charts_list;Extended Properties=&quot;&quot;" command="SELECT * FROM [charts_list]"/>
  </connection>
  <connection id="9" xr16:uid="{478B3F06-FC65-4BFF-995C-3141BA3E15B8}" keepAlive="1" name="Query - ColNow_charts" description="Connection to the 'ColNow_charts' query in the workbook." type="5" refreshedVersion="0" background="1">
    <dbPr connection="Provider=Microsoft.Mashup.OleDb.1;Data Source=$Workbook$;Location=ColNow_charts;Extended Properties=&quot;&quot;" command="SELECT * FROM [ColNow_charts]"/>
  </connection>
  <connection id="10" xr16:uid="{33FD96BB-2061-4D64-B212-F4E92D26C14A}" keepAlive="1" name="Query - ColNow_Graph" description="Connection to the 'ColNow_Graph' query in the workbook." type="5" refreshedVersion="0" background="1">
    <dbPr connection="Provider=Microsoft.Mashup.OleDb.1;Data Source=$Workbook$;Location=ColNow_Graph;Extended Properties=&quot;&quot;" command="SELECT * FROM [ColNow_Graph]"/>
  </connection>
  <connection id="11" xr16:uid="{00000000-0015-0000-FFFF-FFFF27000000}" keepAlive="1" name="Query - ColNow_mBISL" description="Connection to the 'ColNow_mBISL' query in the workbook." type="5" refreshedVersion="0" background="1">
    <dbPr connection="Provider=Microsoft.Mashup.OleDb.1;Data Source=$Workbook$;Location=ColNow_mBISL;Extended Properties=&quot;&quot;" command="SELECT * FROM [ColNow_mBISL]"/>
  </connection>
  <connection id="12" xr16:uid="{F6638094-FD8F-4406-890E-04C11EEAACAB}" keepAlive="1" name="Query - ColNow_mCredit" description="Connection to the 'ColNow_mCredit' query in the workbook." type="5" refreshedVersion="0" background="1">
    <dbPr connection="Provider=Microsoft.Mashup.OleDb.1;Data Source=$Workbook$;Location=ColNow_mCredit;Extended Properties=&quot;&quot;" command="SELECT * FROM [ColNow_mCredit]"/>
  </connection>
  <connection id="13" xr16:uid="{28F817A5-DA87-4C75-ABB7-1836A531F661}" keepAlive="1" name="Query - ColNow_mCurated" description="Connection to the 'ColNow_mCurated' query in the workbook." type="5" refreshedVersion="0" background="1">
    <dbPr connection="Provider=Microsoft.Mashup.OleDb.1;Data Source=$Workbook$;Location=ColNow_mCurated;Extended Properties=&quot;&quot;" command="SELECT * FROM [ColNow_mCurated]"/>
  </connection>
  <connection id="14" xr16:uid="{0AF1C12F-6409-4D40-8000-EA1EAF0A94F1}" keepAlive="1" name="Query - ColNow_mDMI" description="Connection to the 'ColNow_mDMI' query in the workbook." type="5" refreshedVersion="0" background="1">
    <dbPr connection="Provider=Microsoft.Mashup.OleDb.1;Data Source=$Workbook$;Location=ColNow_mDMI;Extended Properties=&quot;&quot;" command="SELECT * FROM [ColNow_mDMI]"/>
  </connection>
  <connection id="15" xr16:uid="{00000000-0015-0000-FFFF-FFFF06000000}" keepAlive="1" name="Query - credit_all" description="Connection to the 'credit_all' query in the workbook." type="5" refreshedVersion="8" background="1" saveData="1">
    <dbPr connection="Provider=Microsoft.Mashup.OleDb.1;Data Source=$Workbook$;Location=credit_all;Extended Properties=&quot;&quot;" command="SELECT * FROM [credit_all]"/>
  </connection>
  <connection id="16" xr16:uid="{00000000-0015-0000-FFFF-FFFF07000000}" keepAlive="1" name="Query - credit_all(1)" description="Connection to the 'credit_all' query in the workbook." type="5" refreshedVersion="0" background="1">
    <dbPr connection="Provider=Microsoft.Mashup.OleDb.1;Data Source=$Workbook$;Location=credit_all;Extended Properties=&quot;&quot;" command="SELECT * FROM [credit_all]"/>
  </connection>
  <connection id="17" xr16:uid="{00000000-0015-0000-FFFF-FFFF08000000}" keepAlive="1" name="Query - credit_all2" description="Connection to the 'credit_all2' query in the workbook." type="5" refreshedVersion="0" background="1">
    <dbPr connection="Provider=Microsoft.Mashup.OleDb.1;Data Source=$Workbook$;Location=credit_all2;Extended Properties=&quot;&quot;" command="SELECT * FROM [credit_all2]"/>
  </connection>
  <connection id="18" xr16:uid="{8B65B2A6-19D7-4DA1-BA05-6166BEE851FF}" keepAlive="1" name="Query - CWB_AddTap" description="Connection to the 'CWB_AddTap' query in the workbook." type="5" refreshedVersion="0" background="1" saveData="1">
    <dbPr connection="Provider=Microsoft.Mashup.OleDb.1;Data Source=$Workbook$;Location=CWB_AddTap;Extended Properties=&quot;&quot;" command="SELECT * FROM [CWB_AddTap]"/>
    <extLst>
      <ext xmlns:x15="http://schemas.microsoft.com/office/spreadsheetml/2010/11/main" uri="{DE250136-89BD-433C-8126-D09CA5730AF9}">
        <x15:connection id="" excludeFromRefreshAll="1"/>
      </ext>
    </extLst>
  </connection>
  <connection id="19" xr16:uid="{82BBE67A-7C9F-459C-A990-585A97478532}" keepAlive="1" name="Query - CWB_dmi" description="Connection to the 'CWB_dmi' query in the workbook." type="5" refreshedVersion="0" background="1">
    <dbPr connection="Provider=Microsoft.Mashup.OleDb.1;Data Source=$Workbook$;Location=CWB_dmi;Extended Properties=&quot;&quot;" command="SELECT * FROM [CWB_dmi]"/>
  </connection>
  <connection id="20" xr16:uid="{30F28B3F-FE28-4E31-BE48-AE3BE321E910}" keepAlive="1" name="Query - deal_master" description="Connection to the 'deal_master' query in the workbook." type="5" refreshedVersion="0" background="1">
    <dbPr connection="Provider=Microsoft.Mashup.OleDb.1;Data Source=$Workbook$;Location=deal_master;Extended Properties=&quot;&quot;" command="SELECT * FROM [deal_master]"/>
  </connection>
  <connection id="21" xr16:uid="{00000000-0015-0000-FFFF-FFFF38000000}" keepAlive="1" name="Query - DimDate" description="Connection to the 'DimDate' query in the workbook." type="5" refreshedVersion="0" background="1">
    <dbPr connection="Provider=Microsoft.Mashup.OleDb.1;Data Source=$Workbook$;Location=DimDate;Extended Properties=&quot;&quot;" command="SELECT * FROM [DimDate]"/>
  </connection>
  <connection id="22" xr16:uid="{00000000-0015-0000-FFFF-FFFF2B000000}" keepAlive="1" name="Query - DiscoverPrice" description="Connection to the 'DiscoverPrice' query in the workbook." type="5" refreshedVersion="6" background="1" saveData="1">
    <dbPr connection="Provider=Microsoft.Mashup.OleDb.1;Data Source=$Workbook$;Location=DiscoverPrice;Extended Properties=&quot;&quot;" command="SELECT * FROM [DiscoverPrice]"/>
    <extLst>
      <ext xmlns:x15="http://schemas.microsoft.com/office/spreadsheetml/2010/11/main" uri="{DE250136-89BD-433C-8126-D09CA5730AF9}">
        <x15:connection id="" excludeFromRefreshAll="1"/>
      </ext>
    </extLst>
  </connection>
  <connection id="23" xr16:uid="{00000000-0015-0000-FFFF-FFFF09000000}" keepAlive="1" name="Query - DLDconso" description="Connection to the 'DLDconso' query in the workbook." type="5" refreshedVersion="8" background="1" saveData="1">
    <dbPr connection="Provider=Microsoft.Mashup.OleDb.1;Data Source=$Workbook$;Location=DLDconso;Extended Properties=&quot;&quot;" command="SELECT * FROM [DLDconso]"/>
    <extLst>
      <ext xmlns:x15="http://schemas.microsoft.com/office/spreadsheetml/2010/11/main" uri="{DE250136-89BD-433C-8126-D09CA5730AF9}">
        <x15:connection id="" excludeFromRefreshAll="1"/>
      </ext>
    </extLst>
  </connection>
  <connection id="24" xr16:uid="{00000000-0015-0000-FFFF-FFFF0A000000}" keepAlive="1" name="Query - dmi" description="Connection to the 'dmi' query in the workbook." type="5" refreshedVersion="8" background="1" saveData="1">
    <dbPr connection="Provider=Microsoft.Mashup.OleDb.1;Data Source=$Workbook$;Location=dmi;Extended Properties=&quot;&quot;" command="SELECT * FROM [dmi]"/>
    <extLst>
      <ext xmlns:x15="http://schemas.microsoft.com/office/spreadsheetml/2010/11/main" uri="{DE250136-89BD-433C-8126-D09CA5730AF9}">
        <x15:connection id="" excludeFromRefreshAll="1"/>
      </ext>
    </extLst>
  </connection>
  <connection id="25" xr16:uid="{B3385EF9-0C67-44D3-A5B3-207896EE8512}" keepAlive="1" name="Query - DMI_all" description="Connection to the 'DMI_all' query in the workbook." type="5" refreshedVersion="0" background="1">
    <dbPr connection="Provider=Microsoft.Mashup.OleDb.1;Data Source=$Workbook$;Location=DMI_all;Extended Properties=&quot;&quot;" command="SELECT * FROM [DMI_all]"/>
  </connection>
  <connection id="26" xr16:uid="{00000000-0015-0000-FFFF-FFFF0B000000}" keepAlive="1" name="Query - DMIBBG" description="Connection to the 'DMIBBG' query in the workbook." type="5" refreshedVersion="6" background="1" saveData="1">
    <dbPr connection="Provider=Microsoft.Mashup.OleDb.1;Data Source=$Workbook$;Location=dmibbg;Extended Properties=&quot;&quot;" command="SELECT * FROM [DMIBBG]"/>
  </connection>
  <connection id="27" xr16:uid="{00000000-0015-0000-FFFF-FFFF0C000000}" keepAlive="1" name="Query - DMIFilters" description="Connection to the 'DMIFilters' query in the workbook." type="5" refreshedVersion="0" background="1">
    <dbPr connection="Provider=Microsoft.Mashup.OleDb.1;Data Source=$Workbook$;Location=DMIFilters;Extended Properties=&quot;&quot;" command="SELECT * FROM [DMIFilters]"/>
  </connection>
  <connection id="28" xr16:uid="{B4C9D457-3E61-492F-833F-377DEFF635B1}" keepAlive="1" name="Query - DMIRtg" description="Connection to the 'DMIRtg' query in the workbook." type="5" refreshedVersion="0" background="1">
    <dbPr connection="Provider=Microsoft.Mashup.OleDb.1;Data Source=$Workbook$;Location=DMIRtg;Extended Properties=&quot;&quot;" command="SELECT * FROM [DMIRtg]"/>
  </connection>
  <connection id="29" xr16:uid="{C3C1AEC2-FEE9-4A89-928B-FEC21EF44F9F}" keepAlive="1" name="Query - dmistats" description="Connection to the 'dmistats' query in the workbook." type="5" refreshedVersion="0" background="1" saveData="1">
    <dbPr connection="Provider=Microsoft.Mashup.OleDb.1;Data Source=$Workbook$;Location=dmistats;Extended Properties=&quot;&quot;" command="SELECT * FROM [dmistats]"/>
    <extLst>
      <ext xmlns:x15="http://schemas.microsoft.com/office/spreadsheetml/2010/11/main" uri="{DE250136-89BD-433C-8126-D09CA5730AF9}">
        <x15:connection id="" excludeFromRefreshAll="1"/>
      </ext>
    </extLst>
  </connection>
  <connection id="30" xr16:uid="{3E0A6FC5-BDF3-4C8C-9C97-5B6F5B25B772}" keepAlive="1" name="Query - DMI列名更改" description="Connection to the 'DMI列名更改' query in the workbook." type="5" refreshedVersion="8" background="1" saveData="1">
    <dbPr connection="Provider=Microsoft.Mashup.OleDb.1;Data Source=$Workbook$;Location=DMI列名更改;Extended Properties=&quot;&quot;" command="SELECT * FROM [DMI列名更改]"/>
    <extLst>
      <ext xmlns:x15="http://schemas.microsoft.com/office/spreadsheetml/2010/11/main" uri="{DE250136-89BD-433C-8126-D09CA5730AF9}">
        <x15:connection id="" excludeFromRefreshAll="1"/>
      </ext>
    </extLst>
  </connection>
  <connection id="31" xr16:uid="{E625B8BF-BE23-4834-A971-DD1142ED5E96}" keepAlive="1" name="Query - DMI新增列" description="Connection to the 'DMI新增列' query in the workbook." type="5" refreshedVersion="8" background="1" saveData="1">
    <dbPr connection="Provider=Microsoft.Mashup.OleDb.1;Data Source=$Workbook$;Location=DMI新增列;Extended Properties=&quot;&quot;" command="SELECT * FROM [DMI新增列]"/>
    <extLst>
      <ext xmlns:x15="http://schemas.microsoft.com/office/spreadsheetml/2010/11/main" uri="{DE250136-89BD-433C-8126-D09CA5730AF9}">
        <x15:connection id="" excludeFromRefreshAll="1"/>
      </ext>
    </extLst>
  </connection>
  <connection id="32" xr16:uid="{00000000-0015-0000-FFFF-FFFF0D000000}" keepAlive="1" name="Query - DupeCheck" description="Connection to the 'DupeCheck' query in the workbook." type="5" refreshedVersion="0" background="1">
    <dbPr connection="Provider=Microsoft.Mashup.OleDb.1;Data Source=$Workbook$;Location=DupeCheck;Extended Properties=&quot;&quot;" command="SELECT * FROM [DupeCheck]"/>
  </connection>
  <connection id="33" xr16:uid="{00000000-0015-0000-FFFF-FFFF0E000000}" keepAlive="1" name="Query - ECON(1)" description="Connection to the 'ECON' query in the workbook." type="5" refreshedVersion="8" background="1" saveData="1">
    <dbPr connection="Provider=Microsoft.Mashup.OleDb.1;Data Source=$Workbook$;Location=ECON;Extended Properties=&quot;&quot;" command="SELECT * FROM [ECON]"/>
    <extLst>
      <ext xmlns:x15="http://schemas.microsoft.com/office/spreadsheetml/2010/11/main" uri="{DE250136-89BD-433C-8126-D09CA5730AF9}">
        <x15:connection id="" excludeFromRefreshAll="1"/>
      </ext>
    </extLst>
  </connection>
  <connection id="34" xr16:uid="{00000000-0015-0000-FFFF-FFFF0F000000}" keepAlive="1" name="Query - ECON_all" description="Connection to the 'ECON_all' query in the workbook." type="5" refreshedVersion="6" background="1" saveData="1">
    <dbPr connection="Provider=Microsoft.Mashup.OleDb.1;Data Source=$Workbook$;Location=ECON_all;Extended Properties=&quot;&quot;" command="SELECT * FROM [ECON_all]"/>
    <extLst>
      <ext xmlns:x15="http://schemas.microsoft.com/office/spreadsheetml/2010/11/main" uri="{DE250136-89BD-433C-8126-D09CA5730AF9}">
        <x15:connection id="" excludeFromRefreshAll="1"/>
      </ext>
    </extLst>
  </connection>
  <connection id="35" xr16:uid="{00000000-0015-0000-FFFF-FFFF2C000000}" keepAlive="1" name="Query - ForReview_wBOCOM" description="Connection to the 'ForReview_wBOCOM' query in the workbook." type="5" refreshedVersion="8" background="1" saveData="1">
    <dbPr connection="Provider=Microsoft.Mashup.OleDb.1;Data Source=$Workbook$;Location=ForReview_wBOCOM;Extended Properties=&quot;&quot;" command="SELECT * FROM [ForReview_wBOCOM]"/>
    <extLst>
      <ext xmlns:x15="http://schemas.microsoft.com/office/spreadsheetml/2010/11/main" uri="{DE250136-89BD-433C-8126-D09CA5730AF9}">
        <x15:connection id="" excludeFromRefreshAll="1"/>
      </ext>
    </extLst>
  </connection>
  <connection id="36" xr16:uid="{00000000-0015-0000-FFFF-FFFF00000000}" keepAlive="1" name="Query - ForReview_wCredit" description="Connection to the 'ForReview_wCredit' query in the workbook." type="5" refreshedVersion="8" background="1" saveData="1">
    <dbPr connection="Provider=Microsoft.Mashup.OleDb.1;Data Source=$Workbook$;Location=ForReview_wCredit;Extended Properties=&quot;&quot;" command="SELECT * FROM [ForReview_wCredit]"/>
    <extLst>
      <ext xmlns:x15="http://schemas.microsoft.com/office/spreadsheetml/2010/11/main" uri="{DE250136-89BD-433C-8126-D09CA5730AF9}">
        <x15:connection id="" excludeFromRefreshAll="1"/>
      </ext>
    </extLst>
  </connection>
  <connection id="37" xr16:uid="{00000000-0015-0000-FFFF-FFFF10000000}" keepAlive="1" name="Query - ForReview_wCurated" description="Connection to the 'ForReview_wCurated' query in the workbook." type="5" refreshedVersion="8" background="1" saveData="1">
    <dbPr connection="Provider=Microsoft.Mashup.OleDb.1;Data Source=$Workbook$;Location=ForReview_wCurated;Extended Properties=&quot;&quot;" command="SELECT * FROM [ForReview_wCurated]"/>
    <extLst>
      <ext xmlns:x15="http://schemas.microsoft.com/office/spreadsheetml/2010/11/main" uri="{DE250136-89BD-433C-8126-D09CA5730AF9}">
        <x15:connection id="" excludeFromRefreshAll="1"/>
      </ext>
    </extLst>
  </connection>
  <connection id="38" xr16:uid="{00000000-0015-0000-FFFF-FFFF12000000}" keepAlive="1" name="Query - FUTURE" description="Connection to the 'FUTURE' query in the workbook." type="5" refreshedVersion="8" background="1" saveData="1">
    <dbPr connection="Provider=Microsoft.Mashup.OleDb.1;Data Source=$Workbook$;Location=FUTURE;Extended Properties=&quot;&quot;" command="SELECT * FROM [FUTURE]"/>
    <extLst>
      <ext xmlns:x15="http://schemas.microsoft.com/office/spreadsheetml/2010/11/main" uri="{DE250136-89BD-433C-8126-D09CA5730AF9}">
        <x15:connection id="" excludeFromRefreshAll="1"/>
      </ext>
    </extLst>
  </connection>
  <connection id="39" xr16:uid="{ED7E70F9-70B4-4AEA-8E71-2D91C389FDB7}" keepAlive="1" name="Query - fxAddFeatured" description="Connection to the 'fxAddFeatured' query in the workbook." type="5" refreshedVersion="0" background="1">
    <dbPr connection="Provider=Microsoft.Mashup.OleDb.1;Data Source=$Workbook$;Location=fxAddFeatured;Extended Properties=&quot;&quot;" command="SELECT * FROM [fxAddFeatured]"/>
  </connection>
  <connection id="40" xr16:uid="{8C66136B-EB79-46C3-B6F6-314DCAD59AF0}" keepAlive="1" name="Query - fxAddTenor" description="Connection to the 'fxAddTenor' query in the workbook." type="5" refreshedVersion="0" background="1">
    <dbPr connection="Provider=Microsoft.Mashup.OleDb.1;Data Source=$Workbook$;Location=fxAddTenor;Extended Properties=&quot;&quot;" command="SELECT * FROM [fxAddTenor]"/>
  </connection>
  <connection id="41" xr16:uid="{00000000-0015-0000-FFFF-FFFF14000000}" keepAlive="1" name="Query - fxBOCOMDEAL" description="Connection to the 'fxBOCOMDEAL' query in the workbook." type="5" refreshedVersion="0" background="1">
    <dbPr connection="Provider=Microsoft.Mashup.OleDb.1;Data Source=$Workbook$;Location=fxBOCOMDEAL;Extended Properties=&quot;&quot;" command="SELECT * FROM [fxBOCOMDEAL]"/>
  </connection>
  <connection id="42" xr16:uid="{63E6814B-CE42-4A07-8E95-9A16BE683808}" keepAlive="1" name="Query - fxByeAllErrors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3" xr16:uid="{50B95D9B-B58A-47BF-A8B7-327A21A09BA5}" keepAlive="1" name="Query - fxByeAllErrors(1)" description="Connection to the 'fxByeAllErrors' query in the workbook." type="5" refreshedVersion="0" background="1">
    <dbPr connection="Provider=Microsoft.Mashup.OleDb.1;Data Source=$Workbook$;Location=fxByeAllErrors;Extended Properties=&quot;&quot;" command="SELECT * FROM [fxByeAllErrors]"/>
  </connection>
  <connection id="44" xr16:uid="{0B163748-9083-4CCF-929A-2DCBEFF0F446}" keepAlive="1" name="Query - fxCheck" description="Connection to the 'fxCheck' query in the workbook." type="5" refreshedVersion="0" background="1">
    <dbPr connection="Provider=Microsoft.Mashup.OleDb.1;Data Source=$Workbook$;Location=fxCheck;Extended Properties=&quot;&quot;" command="SELECT * FROM [fxCheck]"/>
  </connection>
  <connection id="45" xr16:uid="{00000000-0015-0000-FFFF-FFFF16000000}" keepAlive="1" name="Query - fxCheckNDupe" description="Connection to the 'fxCheckNDupe' query in the workbook." type="5" refreshedVersion="0" background="1">
    <dbPr connection="Provider=Microsoft.Mashup.OleDb.1;Data Source=$Workbook$;Location=fxCheckNDupe;Extended Properties=&quot;&quot;" command="SELECT * FROM [fxCheckNDupe]"/>
  </connection>
  <connection id="46" xr16:uid="{D92DE01B-67AA-48C8-9ED8-CF0A12C90E35}" keepAlive="1" name="Query - fxClean" description="Connection to the 'fxClean' query in the workbook." type="5" refreshedVersion="0" background="1">
    <dbPr connection="Provider=Microsoft.Mashup.OleDb.1;Data Source=$Workbook$;Location=fxClean;Extended Properties=&quot;&quot;" command="SELECT * FROM [fxClean]"/>
  </connection>
  <connection id="47" xr16:uid="{240046F4-3549-4CF6-A44E-D16FD099BE8E}" keepAlive="1" name="Query - fxCNPresenter" description="Connection to the 'fxCNPresenter' query in the workbook." type="5" refreshedVersion="0" background="1">
    <dbPr connection="Provider=Microsoft.Mashup.OleDb.1;Data Source=$Workbook$;Location=fxCNPresenter;Extended Properties=&quot;&quot;" command="SELECT * FROM [fxCNPresenter]"/>
  </connection>
  <connection id="48" xr16:uid="{E862A2C4-7470-4098-AE96-B028F7664735}" keepAlive="1" name="Query - fxCNTheme" description="Connection to the 'fxCNTheme' query in the workbook." type="5" refreshedVersion="0" background="1">
    <dbPr connection="Provider=Microsoft.Mashup.OleDb.1;Data Source=$Workbook$;Location=fxCNTheme;Extended Properties=&quot;&quot;" command="SELECT * FROM [fxCNTheme]"/>
  </connection>
  <connection id="49" xr16:uid="{BF645C4B-581E-4956-A3F1-B4E8474DBD4A}" keepAlive="1" name="Query - fxComparer" description="Connection to the 'fxComparer' query in the workbook." type="5" refreshedVersion="0" background="1">
    <dbPr connection="Provider=Microsoft.Mashup.OleDb.1;Data Source=$Workbook$;Location=fxComparer;Extended Properties=&quot;&quot;" command="SELECT * FROM [fxComparer]"/>
  </connection>
  <connection id="50" xr16:uid="{51259F8B-6A8C-4BF0-9F04-FA33835D5B73}" keepAlive="1" name="Query - fxCountMore" description="Connection to the 'fxCountMore' query in the workbook." type="5" refreshedVersion="0" background="1">
    <dbPr connection="Provider=Microsoft.Mashup.OleDb.1;Data Source=$Workbook$;Location=fxCountMore;Extended Properties=&quot;&quot;" command="SELECT * FROM [fxCountMore]"/>
  </connection>
  <connection id="51" xr16:uid="{00000000-0015-0000-FFFF-FFFF19000000}" keepAlive="1" name="Query - fxDataFormat" description="Connection to the 'fxDataFormat' query in the workbook." type="5" refreshedVersion="0" background="1">
    <dbPr connection="Provider=Microsoft.Mashup.OleDb.1;Data Source=$Workbook$;Location=fxDataFormat;Extended Properties=&quot;&quot;" command="SELECT * FROM [fxDataFormat]"/>
  </connection>
  <connection id="52" xr16:uid="{F7FF3811-55E1-41E6-A2D4-1D6E8DDCDBFD}" keepAlive="1" name="Query - fxDBFinalization" description="Connection to the 'fxDBFinalization' query in the workbook." type="5" refreshedVersion="0" background="1">
    <dbPr connection="Provider=Microsoft.Mashup.OleDb.1;Data Source=$Workbook$;Location=fxDBFinalization;Extended Properties=&quot;&quot;" command="SELECT * FROM [fxDBFinalization]"/>
  </connection>
  <connection id="53" xr16:uid="{2ECF697F-3E92-4C6D-9AA0-C99AA86B1952}" keepAlive="1" name="Query - fxDebug" description="Connection to the 'fxDebug' query in the workbook." type="5" refreshedVersion="0" background="1">
    <dbPr connection="Provider=Microsoft.Mashup.OleDb.1;Data Source=$Workbook$;Location=fxDebug;Extended Properties=&quot;&quot;" command="SELECT * FROM [fxDebug]"/>
  </connection>
  <connection id="54" xr16:uid="{37291519-D44D-4941-B5BA-94033263FC34}" keepAlive="1" name="Query - fxDiscoverPrice" description="Connection to the 'fxDiscoverPrice' query in the workbook." type="5" refreshedVersion="0" background="1">
    <dbPr connection="Provider=Microsoft.Mashup.OleDb.1;Data Source=$Workbook$;Location=fxDiscoverPrice;Extended Properties=&quot;&quot;" command="SELECT * FROM [fxDiscoverPrice]"/>
  </connection>
  <connection id="55" xr16:uid="{B5341989-3143-46DE-A183-C2941DF8ABA2}" keepAlive="1" name="Query - fxDMILoad" description="Connection to the 'fxDMILoad' query in the workbook." type="5" refreshedVersion="0" background="1">
    <dbPr connection="Provider=Microsoft.Mashup.OleDb.1;Data Source=$Workbook$;Location=fxDMILoad;Extended Properties=&quot;&quot;" command="SELECT * FROM [fxDMILoad]"/>
  </connection>
  <connection id="56" xr16:uid="{546F1844-0DB5-40AD-9CFC-BAE4260433DE}" keepAlive="1" name="Query - fxDMIStats" description="Connection to the 'fxDMIStats' query in the workbook." type="5" refreshedVersion="0" background="1">
    <dbPr connection="Provider=Microsoft.Mashup.OleDb.1;Data Source=$Workbook$;Location=fxDMIStats;Extended Properties=&quot;&quot;" command="SELECT * FROM [fxDMIStats]"/>
  </connection>
  <connection id="57" xr16:uid="{184A33D4-2BA1-4DAB-B9AB-226ACCB9CA8B}" keepAlive="1" name="Query - fxDupeRemover" description="Connection to the 'fxDupeRemover' query in the workbook." type="5" refreshedVersion="0" background="1">
    <dbPr connection="Provider=Microsoft.Mashup.OleDb.1;Data Source=$Workbook$;Location=fxDupeRemover;Extended Properties=&quot;&quot;" command="SELECT * FROM [fxDupeRemover]"/>
  </connection>
  <connection id="58" xr16:uid="{CF89096E-D60C-472D-9AC8-86537529C4A6}" keepAlive="1" name="Query - fxDynamicMerge" description="Connection to the 'fxDynamicMerge' query in the workbook." type="5" refreshedVersion="0" background="1">
    <dbPr connection="Provider=Microsoft.Mashup.OleDb.1;Data Source=$Workbook$;Location=fxDynamicMerge;Extended Properties=&quot;&quot;" command="SELECT * FROM [fxDynamicMerge]"/>
  </connection>
  <connection id="59" xr16:uid="{E21B6A99-46D6-4B3B-8C05-B1C704BFC87F}" keepAlive="1" name="Query - fxFPGNum" description="Connection to the 'fxFPGNum' query in the workbook." type="5" refreshedVersion="0" background="1">
    <dbPr connection="Provider=Microsoft.Mashup.OleDb.1;Data Source=$Workbook$;Location=fxFPGNum;Extended Properties=&quot;&quot;" command="SELECT * FROM [fxFPGNum]"/>
  </connection>
  <connection id="60" xr16:uid="{075E3E6E-CC91-48D0-BDED-C10A9AC8925D}" keepAlive="1" name="Query - fxFRN" description="Connection to the 'fxFRN' query in the workbook." type="5" refreshedVersion="0" background="1">
    <dbPr connection="Provider=Microsoft.Mashup.OleDb.1;Data Source=$Workbook$;Location=fxFRN;Extended Properties=&quot;&quot;" command="SELECT * FROM [fxFRN]"/>
  </connection>
  <connection id="61" xr16:uid="{AD66991F-8EB3-49E8-A820-AEAFB16691FC}" keepAlive="1" name="Query - fxGroupRtg" description="Connection to the 'fxGroupRtg' query in the workbook." type="5" refreshedVersion="0" background="1">
    <dbPr connection="Provider=Microsoft.Mashup.OleDb.1;Data Source=$Workbook$;Location=fxGroupRtg;Extended Properties=&quot;&quot;" command="SELECT * FROM [fxGroupRtg]"/>
  </connection>
  <connection id="62" xr16:uid="{E4E445F1-00CA-41E8-906C-4F2E323EEF9B}" keepAlive="1" name="Query - fxGroupSTR" description="Connection to the 'fxGroupSTR' query in the workbook." type="5" refreshedVersion="0" background="1">
    <dbPr connection="Provider=Microsoft.Mashup.OleDb.1;Data Source=$Workbook$;Location=fxGroupSTR;Extended Properties=&quot;&quot;" command="SELECT * FROM [fxGroupSTR]"/>
  </connection>
  <connection id="63" xr16:uid="{6AD4BE48-B5C2-4038-BEBF-6EBAC26EDA9D}" keepAlive="1" name="Query - fxIPGNum" description="Connection to the 'fxIPGNum' query in the workbook." type="5" refreshedVersion="0" background="1">
    <dbPr connection="Provider=Microsoft.Mashup.OleDb.1;Data Source=$Workbook$;Location=fxIPGNum;Extended Properties=&quot;&quot;" command="SELECT * FROM [fxIPGNum]"/>
  </connection>
  <connection id="64" xr16:uid="{00000000-0015-0000-FFFF-FFFF20000000}" keepAlive="1" name="Query - fxIsBOCOM" description="Connection to the 'fxIsBOCOM' query in the workbook." type="5" refreshedVersion="0" background="1">
    <dbPr connection="Provider=Microsoft.Mashup.OleDb.1;Data Source=$Workbook$;Location=fxIsBOCOM;Extended Properties=&quot;&quot;" command="SELECT * FROM [fxIsBOCOM]"/>
  </connection>
  <connection id="65" xr16:uid="{C5509861-E5FF-4403-9202-DA8BD6C5164D}" keepAlive="1" name="Query - fxIsFIMTN" description="Connection to the 'fxIsFIMTN' query in the workbook." type="5" refreshedVersion="0" background="1">
    <dbPr connection="Provider=Microsoft.Mashup.OleDb.1;Data Source=$Workbook$;Location=fxIsFIMTN;Extended Properties=&quot;&quot;" command="SELECT * FROM [fxIsFIMTN]"/>
  </connection>
  <connection id="66" xr16:uid="{2139C9B8-76BA-4CD9-82E3-EB8C9500DAD3}" keepAlive="1" name="Query - fxLauncher" description="Connection to the 'fxLauncher' query in the workbook." type="5" refreshedVersion="0" background="1">
    <dbPr connection="Provider=Microsoft.Mashup.OleDb.1;Data Source=$Workbook$;Location=fxLauncher;Extended Properties=&quot;&quot;" command="SELECT * FROM [fxLauncher]"/>
  </connection>
  <connection id="67" xr16:uid="{CE85A986-9F65-42B1-8700-3B4C6CCEFC5C}" keepAlive="1" name="Query - fxListToNull" description="Connection to the 'fxListToNull' query in the workbook." type="5" refreshedVersion="0" background="1">
    <dbPr connection="Provider=Microsoft.Mashup.OleDb.1;Data Source=$Workbook$;Location=fxListToNull;Extended Properties=&quot;&quot;" command="SELECT * FROM [fxListToNull]"/>
  </connection>
  <connection id="68" xr16:uid="{1C1F67D1-A3C4-43D2-BE41-533971CDEAD3}" keepAlive="1" name="Query - fxNameCombiner" description="Connection to the 'fxNameCombiner' query in the workbook." type="5" refreshedVersion="0" background="1">
    <dbPr connection="Provider=Microsoft.Mashup.OleDb.1;Data Source=$Workbook$;Location=fxNameCombiner;Extended Properties=&quot;&quot;" command="SELECT * FROM [fxNameCombiner]"/>
  </connection>
  <connection id="69" xr16:uid="{71492AF0-6A7F-433F-860C-FC6E729FD2C3}" keepAlive="1" name="Query - fxNewIssueWriter" description="Connection to the 'fxNewIssueWriter' query in the workbook." type="5" refreshedVersion="0" background="1">
    <dbPr connection="Provider=Microsoft.Mashup.OleDb.1;Data Source=$Workbook$;Location=fxNewIssueWriter;Extended Properties=&quot;&quot;" command="SELECT * FROM [fxNewIssueWriter]"/>
  </connection>
  <connection id="70" xr16:uid="{8BF13D0C-F2A1-45B0-85F3-434C33CD2614}" keepAlive="1" name="Query - fxPBMK" description="Connection to the 'fxPBMK' query in the workbook." type="5" refreshedVersion="0" background="1">
    <dbPr connection="Provider=Microsoft.Mashup.OleDb.1;Data Source=$Workbook$;Location=fxPBMK;Extended Properties=&quot;&quot;" command="SELECT * FROM [fxPBMK]"/>
  </connection>
  <connection id="71" xr16:uid="{D9FF31A8-14C9-4CBE-9DB8-F74ED0BDCAC2}" keepAlive="1" name="Query - fxPNum" description="Connection to the 'fxPNum' query in the workbook." type="5" refreshedVersion="0" background="1">
    <dbPr connection="Provider=Microsoft.Mashup.OleDb.1;Data Source=$Workbook$;Location=fxPNum;Extended Properties=&quot;&quot;" command="SELECT * FROM [fxPNum]"/>
  </connection>
  <connection id="72" xr16:uid="{00000000-0015-0000-FFFF-FFFF1D000000}" keepAlive="1" name="Query - fxPresentNoData" description="Connection to the 'fxPresentNoData' query in the workbook." type="5" refreshedVersion="0" background="1">
    <dbPr connection="Provider=Microsoft.Mashup.OleDb.1;Data Source=$Workbook$;Location=fxPresentNoData;Extended Properties=&quot;&quot;" command="SELECT * FROM [fxPresentNoData]"/>
  </connection>
  <connection id="73" xr16:uid="{9023BC3E-A247-433A-9C1E-B2C14AF030B5}" keepAlive="1" name="Query - fxPriceDES" description="Connection to the 'fxPriceDES' query in the workbook." type="5" refreshedVersion="0" background="1">
    <dbPr connection="Provider=Microsoft.Mashup.OleDb.1;Data Source=$Workbook$;Location=fxPriceDES;Extended Properties=&quot;&quot;" command="SELECT * FROM [fxPriceDES]"/>
  </connection>
  <connection id="74" xr16:uid="{00000000-0015-0000-FFFF-FFFF1F000000}" keepAlive="1" name="Query - fxProjectNamer" description="Connection to the 'fxProjectNamer' query in the workbook." type="5" refreshedVersion="0" background="1">
    <dbPr connection="Provider=Microsoft.Mashup.OleDb.1;Data Source=$Workbook$;Location=fxProjectNamer;Extended Properties=&quot;&quot;" command="SELECT * FROM [fxProjectNamer]"/>
  </connection>
  <connection id="75" xr16:uid="{77921D40-3CEB-495E-864A-1DD75AF27186}" keepAlive="1" name="Query - fxRemoveRepeated" description="Connection to the 'fxRemoveRepeated' query in the workbook." type="5" refreshedVersion="0" background="1">
    <dbPr connection="Provider=Microsoft.Mashup.OleDb.1;Data Source=$Workbook$;Location=fxRemoveRepeated;Extended Properties=&quot;&quot;" command="SELECT * FROM [fxRemoveRepeated]"/>
  </connection>
  <connection id="76" xr16:uid="{00000000-0015-0000-FFFF-FFFF21000000}" keepAlive="1" name="Query - fxReplacer" description="Connection to the 'fxReplacer' query in the workbook." type="5" refreshedVersion="0" background="1">
    <dbPr connection="Provider=Microsoft.Mashup.OleDb.1;Data Source=$Workbook$;Location=fxReplacer;Extended Properties=&quot;&quot;" command="SELECT * FROM [fxReplacer]"/>
  </connection>
  <connection id="77" xr16:uid="{C398B2ED-510C-4D1A-A4EE-6D6B06D28282}" keepAlive="1" name="Query - fxShared" description="Connection to the 'fxShared' query in the workbook." type="5" refreshedVersion="0" background="1">
    <dbPr connection="Provider=Microsoft.Mashup.OleDb.1;Data Source=$Workbook$;Location=fxShared;Extended Properties=&quot;&quot;" command="SELECT * FROM [fxShared]"/>
  </connection>
  <connection id="78" xr16:uid="{D5FB265F-395B-4041-8CCB-CF6142AC1931}" keepAlive="1" name="Query - fxSmartClean" description="Connection to the 'fxSmartClean' query in the workbook." type="5" refreshedVersion="0" background="1">
    <dbPr connection="Provider=Microsoft.Mashup.OleDb.1;Data Source=$Workbook$;Location=fxSmartClean;Extended Properties=&quot;&quot;" command="SELECT * FROM [fxSmartClean]"/>
  </connection>
  <connection id="79" xr16:uid="{91C92796-6331-42B0-8296-3B0669BACA64}" keepAlive="1" name="Query - fxSmartFX" description="Connection to the 'fxSmartFX' query in the workbook." type="5" refreshedVersion="0" background="1">
    <dbPr connection="Provider=Microsoft.Mashup.OleDb.1;Data Source=$Workbook$;Location=fxSmartFX;Extended Properties=&quot;&quot;" command="SELECT * FROM [fxSmartFX]"/>
  </connection>
  <connection id="80" xr16:uid="{F368026D-35F4-442B-AA51-C00D0BEB1F74}" keepAlive="1" name="Query - fxSmartListing" description="Connection to the 'fxSmartListing' query in the workbook." type="5" refreshedVersion="0" background="1">
    <dbPr connection="Provider=Microsoft.Mashup.OleDb.1;Data Source=$Workbook$;Location=fxSmartListing;Extended Properties=&quot;&quot;" command="SELECT * FROM [fxSmartListing]"/>
  </connection>
  <connection id="81" xr16:uid="{465FE5A0-DC8C-4C16-AF9E-493421986A67}" keepAlive="1" name="Query - fxSNBankCorp" description="Connection to the 'fxSNBankCorp' query in the workbook." type="5" refreshedVersion="0" background="1">
    <dbPr connection="Provider=Microsoft.Mashup.OleDb.1;Data Source=$Workbook$;Location=fxSNBankCorp;Extended Properties=&quot;&quot;" command="SELECT * FROM [fxSNBankCorp]"/>
  </connection>
  <connection id="82" xr16:uid="{00000000-0015-0000-FFFF-FFFF15000000}" keepAlive="1" name="Query - fxSNBranch" description="Connection to the 'fxSNBranch' query in the workbook." type="5" refreshedVersion="0" background="1">
    <dbPr connection="Provider=Microsoft.Mashup.OleDb.1;Data Source=$Workbook$;Location=fxSNBranch;Extended Properties=&quot;&quot;" command="SELECT * FROM [fxSNBranch]"/>
  </connection>
  <connection id="83" xr16:uid="{37660B10-7705-47AC-9AC3-B0B4E2F65AFC}" keepAlive="1" name="Query - fxSortNIndex" description="Connection to the 'fxSortNIndex' query in the workbook." type="5" refreshedVersion="0" background="1">
    <dbPr connection="Provider=Microsoft.Mashup.OleDb.1;Data Source=$Workbook$;Location=fxSortNIndex;Extended Properties=&quot;&quot;" command="SELECT * FROM [fxSortNIndex]"/>
  </connection>
  <connection id="84" xr16:uid="{E3E21612-304A-4C29-9188-3FC44F9A04E9}" keepAlive="1" name="Query - fxSplitRtg" description="Connection to the 'fxSplitRtg' query in the workbook." type="5" refreshedVersion="0" background="1">
    <dbPr connection="Provider=Microsoft.Mashup.OleDb.1;Data Source=$Workbook$;Location=fxSplitRtg;Extended Properties=&quot;&quot;" command="SELECT * FROM [fxSplitRtg]"/>
  </connection>
  <connection id="85" xr16:uid="{C311F849-FC06-46C6-9800-714C81B7B13D}" keepAlive="1" name="Query - fxTimeSlicer" description="Connection to the 'fxTimeSlicer' query in the workbook." type="5" refreshedVersion="0" background="1">
    <dbPr connection="Provider=Microsoft.Mashup.OleDb.1;Data Source=$Workbook$;Location=fxTimeSlicer;Extended Properties=&quot;&quot;" command="SELECT * FROM [fxTimeSlicer]"/>
  </connection>
  <connection id="86" xr16:uid="{024B29CF-3225-4909-B136-6A0FE864C1D6}" keepAlive="1" name="Query - fxTombWriter" description="Connection to the 'fxTombWriter' query in the workbook." type="5" refreshedVersion="0" background="1">
    <dbPr connection="Provider=Microsoft.Mashup.OleDb.1;Data Source=$Workbook$;Location=fxTombWriter;Extended Properties=&quot;&quot;" command="SELECT * FROM [fxTombWriter]"/>
  </connection>
  <connection id="87" xr16:uid="{00000000-0015-0000-FFFF-FFFF23000000}" keepAlive="1" name="Query - fxTrancher" description="Connection to the 'fxTrancher' query in the workbook." type="5" refreshedVersion="0" background="1">
    <dbPr connection="Provider=Microsoft.Mashup.OleDb.1;Data Source=$Workbook$;Location=fxTrancher;Extended Properties=&quot;&quot;" command="SELECT * FROM [fxTrancher]"/>
  </connection>
  <connection id="88" xr16:uid="{00000000-0015-0000-FFFF-FFFF24000000}" keepAlive="1" name="Query - fxValidator" description="Connection to the 'fxValidator' query in the workbook." type="5" refreshedVersion="0" background="1">
    <dbPr connection="Provider=Microsoft.Mashup.OleDb.1;Data Source=$Workbook$;Location=fxValidator;Extended Properties=&quot;&quot;" command="SELECT * FROM [fxValidator]"/>
  </connection>
  <connection id="89" xr16:uid="{AA79BE51-A3B2-4776-824A-95A7F20FEAC3}" keepAlive="1" name="Query - GPS" description="Connection to the 'GPS' query in the workbook." type="5" refreshedVersion="0" background="1">
    <dbPr connection="Provider=Microsoft.Mashup.OleDb.1;Data Source=$Workbook$;Location=GPS;Extended Properties=&quot;&quot;" command="SELECT * FROM [GPS]"/>
  </connection>
  <connection id="90" xr16:uid="{00000000-0015-0000-FFFF-FFFF25000000}" keepAlive="1" name="Query - graph_weeklydeal" description="Connection to the 'graph_weeklydeal' query in the workbook." type="5" refreshedVersion="8" background="1" saveData="1">
    <dbPr connection="Provider=Microsoft.Mashup.OleDb.1;Data Source=$Workbook$;Location=graph_weeklydeal;Extended Properties=&quot;&quot;" command="SELECT * FROM [graph_weeklydeal]"/>
  </connection>
  <connection id="91" xr16:uid="{00000000-0015-0000-FFFF-FFFF26000000}" keepAlive="1" name="Query - headers_load_identifiers" description="Connection to the 'headers_load_identifiers' query in the workbook." type="5" refreshedVersion="0" background="1">
    <dbPr connection="Provider=Microsoft.Mashup.OleDb.1;Data Source=$Workbook$;Location=headers_load_identifiers;Extended Properties=&quot;&quot;" command="SELECT * FROM [headers_load_identifiers]"/>
  </connection>
  <connection id="92" xr16:uid="{00000000-0015-0000-FFFF-FFFF28000000}" keepAlive="1" name="Query - headers_review" description="Connection to the 'headers_review' query in the workbook." type="5" refreshedVersion="8" background="1" saveData="1">
    <dbPr connection="Provider=Microsoft.Mashup.OleDb.1;Data Source=$Workbook$;Location=headers_review;Extended Properties=&quot;&quot;" command="SELECT * FROM [headers_review]"/>
    <extLst>
      <ext xmlns:x15="http://schemas.microsoft.com/office/spreadsheetml/2010/11/main" uri="{DE250136-89BD-433C-8126-D09CA5730AF9}">
        <x15:connection id="" excludeFromRefreshAll="1"/>
      </ext>
    </extLst>
  </connection>
  <connection id="93" xr16:uid="{BEC68C88-028F-4B9B-B737-E060542A5742}" keepAlive="1" name="Query - IsTap" description="Connection to the 'IsTap' query in the workbook." type="5" refreshedVersion="6" background="1" saveData="1">
    <dbPr connection="Provider=Microsoft.Mashup.OleDb.1;Data Source=$Workbook$;Location=IsTap;Extended Properties=&quot;&quot;" command="SELECT * FROM [IsTap]"/>
    <extLst>
      <ext xmlns:x15="http://schemas.microsoft.com/office/spreadsheetml/2010/11/main" uri="{DE250136-89BD-433C-8126-D09CA5730AF9}">
        <x15:connection id="" excludeFromRefreshAll="1"/>
      </ext>
    </extLst>
  </connection>
  <connection id="94" xr16:uid="{DF391BF9-10B3-47BB-BCB3-2FA203766B76}" keepAlive="1" name="Query - LastCharts" description="Connection to the 'LastCharts' query in the workbook." type="5" refreshedVersion="8" background="1" saveData="1">
    <dbPr connection="Provider=Microsoft.Mashup.OleDb.1;Data Source=$Workbook$;Location=LastCharts;Extended Properties=&quot;&quot;" command="SELECT * FROM [LastCharts]"/>
    <extLst>
      <ext xmlns:x15="http://schemas.microsoft.com/office/spreadsheetml/2010/11/main" uri="{DE250136-89BD-433C-8126-D09CA5730AF9}">
        <x15:connection id="" excludeFromRefreshAll="1"/>
      </ext>
    </extLst>
  </connection>
  <connection id="95" xr16:uid="{126E0118-2657-4C9F-9DDE-69F494188C77}" keepAlive="1" name="Query - LastNIM" description="Connection to the 'LastNIM' query in the workbook." type="5" refreshedVersion="8" background="1" saveData="1">
    <dbPr connection="Provider=Microsoft.Mashup.OleDb.1;Data Source=$Workbook$;Location=LastNIM;Extended Properties=&quot;&quot;" command="SELECT * FROM [LastNIM]"/>
    <extLst>
      <ext xmlns:x15="http://schemas.microsoft.com/office/spreadsheetml/2010/11/main" uri="{DE250136-89BD-433C-8126-D09CA5730AF9}">
        <x15:connection id="" excludeFromRefreshAll="1"/>
      </ext>
    </extLst>
  </connection>
  <connection id="96" xr16:uid="{CCF5AEA9-4876-4713-9EE0-D7F0D0E127ED}" keepAlive="1" name="Query - LaunchDownload" description="Connection to the 'LaunchDownload' query in the workbook." type="5" refreshedVersion="0" background="1" saveData="1">
    <dbPr connection="Provider=Microsoft.Mashup.OleDb.1;Data Source=$Workbook$;Location=LaunchDownload;Extended Properties=&quot;&quot;" command="SELECT * FROM [LaunchDownload]"/>
    <extLst>
      <ext xmlns:x15="http://schemas.microsoft.com/office/spreadsheetml/2010/11/main" uri="{DE250136-89BD-433C-8126-D09CA5730AF9}">
        <x15:connection id="" excludeFromRefreshAll="1"/>
      </ext>
    </extLst>
  </connection>
  <connection id="97" xr16:uid="{00000000-0015-0000-FFFF-FFFF2F000000}" keepAlive="1" name="Query - ListToMcode" description="Connection to the 'ListToMcode' query in the workbook." type="5" refreshedVersion="0" background="1">
    <dbPr connection="Provider=Microsoft.Mashup.OleDb.1;Data Source=$Workbook$;Location=ListToMcode;Extended Properties=&quot;&quot;" command="SELECT * FROM [ListToMcode]"/>
  </connection>
  <connection id="98" xr16:uid="{00000000-0015-0000-FFFF-FFFF30000000}" keepAlive="1" name="Query - mCreditNames" description="Connection to the 'mCreditNames' query in the workbook." type="5" refreshedVersion="0" background="1">
    <dbPr connection="Provider=Microsoft.Mashup.OleDb.1;Data Source=$Workbook$;Location=mCreditNames;Extended Properties=&quot;&quot;" command="SELECT * FROM [mCreditNames]"/>
  </connection>
  <connection id="99" xr16:uid="{E35E19B2-4F06-42E1-843F-D6597212BF39}" keepAlive="1" name="Query - mCurated" description="Connection to the 'mCurated' query in the workbook." type="5" refreshedVersion="0" background="1">
    <dbPr connection="Provider=Microsoft.Mashup.OleDb.1;Data Source=$Workbook$;Location=mCurated;Extended Properties=&quot;&quot;" command="SELECT * FROM [mCurated]"/>
  </connection>
  <connection id="100" xr16:uid="{37E886E7-3555-40D0-87C0-23B9D1E8DA68}" keepAlive="1" name="Query - Monday" description="Connection to the 'Monday' query in the workbook." type="5" refreshedVersion="0" background="1">
    <dbPr connection="Provider=Microsoft.Mashup.OleDb.1;Data Source=$Workbook$;Location=Monday;Extended Properties=&quot;&quot;" command="SELECT * FROM [Monday]"/>
  </connection>
  <connection id="101" xr16:uid="{DE6CD2C6-01DD-4C16-ACE4-D69FFA2ADFAE}" keepAlive="1" name="Query - NameCo" description="Connection to the 'NameCo' query in the workbook." type="5" refreshedVersion="6" background="1" saveData="1">
    <dbPr connection="Provider=Microsoft.Mashup.OleDb.1;Data Source=$Workbook$;Location=NameCo;Extended Properties=&quot;&quot;" command="SELECT * FROM [NameCo]"/>
    <extLst>
      <ext xmlns:x15="http://schemas.microsoft.com/office/spreadsheetml/2010/11/main" uri="{DE250136-89BD-433C-8126-D09CA5730AF9}">
        <x15:connection id="" excludeFromRefreshAll="1"/>
      </ext>
    </extLst>
  </connection>
  <connection id="102" xr16:uid="{7E2B54C3-A951-45B3-8619-BD0F0AF782C5}" keepAlive="1" name="Query - P_DefaultedEntityQry" description="Connection to the 'P_DefaultedEntityQry' query in the workbook." type="5" refreshedVersion="0" background="1" saveData="1">
    <dbPr connection="Provider=Microsoft.Mashup.OleDb.1;Data Source=$Workbook$;Location=P_DefaultedEntityQry;Extended Properties=&quot;&quot;" command="SELECT * FROM [P_DefaultedEntityQry]"/>
    <extLst>
      <ext xmlns:x15="http://schemas.microsoft.com/office/spreadsheetml/2010/11/main" uri="{DE250136-89BD-433C-8126-D09CA5730AF9}">
        <x15:connection id="" excludeFromRefreshAll="1"/>
      </ext>
    </extLst>
  </connection>
  <connection id="103" xr16:uid="{1BDF5794-999D-4820-9D8F-42590D7C7106}" keepAlive="1" name="Query - postreview(1)" description="Connection to the 'postreview' query in the workbook." type="5" refreshedVersion="8" background="1" saveData="1">
    <dbPr connection="Provider=Microsoft.Mashup.OleDb.1;Data Source=$Workbook$;Location=postreview;Extended Properties=&quot;&quot;" command="SELECT * FROM [postreview]"/>
  </connection>
  <connection id="104" xr16:uid="{D36D6443-03D4-4272-B842-9D0BD4D781FA}" keepAlive="1" name="Query - Query1(1)" description="Connection to the 'Query1' query in the workbook." type="5" refreshedVersion="0" background="1">
    <dbPr connection="Provider=Microsoft.Mashup.OleDb.1;Data Source=$Workbook$;Location=Query1;Extended Properties=&quot;&quot;" command="SELECT * FROM [Query1]"/>
  </connection>
  <connection id="105" xr16:uid="{2CEDF875-0920-42D5-ACCC-A3888D29C729}" keepAlive="1" name="Query - Query2" description="Connection to the 'Query2' query in the workbook." type="5" refreshedVersion="0" background="1">
    <dbPr connection="Provider=Microsoft.Mashup.OleDb.1;Data Source=$Workbook$;Location=Query2;Extended Properties=&quot;&quot;" command="SELECT * FROM [Query2]"/>
  </connection>
  <connection id="106" xr16:uid="{24FB9EA4-7F06-4E6C-B36B-3725CA5C4173}" keepAlive="1" name="Query - Query3" description="Connection to the 'Query3' query in the workbook." type="5" refreshedVersion="0" background="1" saveData="1">
    <dbPr connection="Provider=Microsoft.Mashup.OleDb.1;Data Source=$Workbook$;Location=Query3;Extended Properties=&quot;&quot;" command="SELECT * FROM [Query3]"/>
  </connection>
  <connection id="107" xr16:uid="{BB5D0DB2-172D-4CDD-BB85-10C3AEDBC156}" keepAlive="1" name="Query - RemovedDMICol" description="Connection to the 'RemovedDMICol' query in the workbook." type="5" refreshedVersion="0" background="1">
    <dbPr connection="Provider=Microsoft.Mashup.OleDb.1;Data Source=$Workbook$;Location=RemovedDMICol;Extended Properties=&quot;&quot;" command="SELECT * FROM [RemovedDMICol]"/>
  </connection>
  <connection id="108" xr16:uid="{DD67756B-4E79-4EEB-9D1D-2A958FC7C782}" keepAlive="1" name="Query - review" description="Connection to the 'review' query in the workbook." type="5" refreshedVersion="6" background="1" saveData="1">
    <dbPr connection="Provider=Microsoft.Mashup.OleDb.1;Data Source=$Workbook$;Location=review;Extended Properties=&quot;&quot;" command="SELECT * FROM [review]"/>
  </connection>
  <connection id="109" xr16:uid="{00000000-0015-0000-FFFF-FFFF35000000}" keepAlive="1" name="Query - review_BISL" description="Connection to the 'review_BISL' query in the workbook." type="5" refreshedVersion="8" background="1" saveData="1">
    <dbPr connection="Provider=Microsoft.Mashup.OleDb.1;Data Source=$Workbook$;Location=review_BISL;Extended Properties=&quot;&quot;" command="SELECT * FROM [review_BISL]"/>
  </connection>
  <connection id="110" xr16:uid="{00000000-0015-0000-FFFF-FFFF36000000}" keepAlive="1" name="Query - review_shortname" description="Connection to the 'review_shortname' query in the workbook." type="5" refreshedVersion="8" background="1" saveData="1">
    <dbPr connection="Provider=Microsoft.Mashup.OleDb.1;Data Source=$Workbook$;Location=review_shortname;Extended Properties=&quot;&quot;" command="SELECT * FROM [review_shortname]"/>
  </connection>
  <connection id="111" xr16:uid="{00000000-0015-0000-FFFF-FFFF37000000}" keepAlive="1" name="Query - RlvLvl" description="Connection to the 'RlvLvl' query in the workbook." type="5" refreshedVersion="0" background="1">
    <dbPr connection="Provider=Microsoft.Mashup.OleDb.1;Data Source=$Workbook$;Location=RlvLvl;Extended Properties=&quot;&quot;" command="SELECT * FROM [RlvLvl]"/>
  </connection>
  <connection id="112" xr16:uid="{ED951367-368F-4C4D-9AB2-667FE65264C5}" keepAlive="1" name="Query - SharedM" description="Connection to the 'SharedM' query in the workbook." type="5" refreshedVersion="0" background="1">
    <dbPr connection="Provider=Microsoft.Mashup.OleDb.1;Data Source=$Workbook$;Location=SharedM;Extended Properties=&quot;&quot;" command="SELECT * FROM [SharedM]"/>
  </connection>
  <connection id="113" xr16:uid="{75C72594-EF79-4C48-B338-2776CCBA5C6D}" keepAlive="1" name="Query - SmartWriter" description="Connection to the 'SmartWriter' query in the workbook." type="5" refreshedVersion="8" background="1" saveData="1">
    <dbPr connection="Provider=Microsoft.Mashup.OleDb.1;Data Source=$Workbook$;Location=SmartWriter;Extended Properties=&quot;&quot;" command="SELECT * FROM [SmartWriter]"/>
  </connection>
  <connection id="114" xr16:uid="{00000000-0015-0000-FFFF-FFFF11000000}" keepAlive="1" name="Query - ss FTZ_region" description="Connection to the 'ss FTZ_region' query in the workbook." type="5" refreshedVersion="6" background="1" saveData="1">
    <dbPr connection="Provider=Microsoft.Mashup.OleDb.1;Data Source=$Workbook$;Location=&quot;ss FTZ_region&quot;;Extended Properties=&quot;&quot;" command="SELECT * FROM [ss FTZ_region]"/>
    <extLst>
      <ext xmlns:x15="http://schemas.microsoft.com/office/spreadsheetml/2010/11/main" uri="{DE250136-89BD-433C-8126-D09CA5730AF9}">
        <x15:connection id="" excludeFromRefreshAll="1"/>
      </ext>
    </extLst>
  </connection>
  <connection id="115" xr16:uid="{44DC9384-C1BD-426D-A60B-4C4B46237EEE}" keepAlive="1" name="Query - TapLookup" description="Connection to the 'TapLookup' query in the workbook." type="5" refreshedVersion="0" background="1">
    <dbPr connection="Provider=Microsoft.Mashup.OleDb.1;Data Source=$Workbook$;Location=TapLookup;Extended Properties=&quot;&quot;" command="SELECT * FROM [TapLookup]"/>
  </connection>
  <connection id="116" xr16:uid="{64BB5515-6BB1-4128-B7AD-00724FC14FFD}" keepAlive="1" name="Query - Updator" description="Connection to the 'Updator' query in the workbook." type="5" refreshedVersion="8" background="1" saveData="1">
    <dbPr connection="Provider=Microsoft.Mashup.OleDb.1;Data Source=$Workbook$;Location=Updator;Extended Properties=&quot;&quot;" command="SELECT * FROM [Updator]"/>
  </connection>
  <connection id="117" xr16:uid="{00000000-0015-0000-FFFF-FFFF39000000}" keepAlive="1" name="Query - US_addon" description="Connection to the 'US_addon' query in the workbook." type="5" refreshedVersion="0" background="1">
    <dbPr connection="Provider=Microsoft.Mashup.OleDb.1;Data Source=$Workbook$;Location=US_addon;Extended Properties=&quot;&quot;" command="SELECT * FROM [US_addon]"/>
  </connection>
  <connection id="118" xr16:uid="{00000000-0015-0000-FFFF-FFFF2E000000}" keepAlive="1" name="Query - Validate" description="Connection to the 'Validate' query in the workbook." type="5" refreshedVersion="6" background="1" saveData="1">
    <dbPr connection="Provider=Microsoft.Mashup.OleDb.1;Data Source=$Workbook$;Location=Validate;Extended Properties=&quot;&quot;" command="SELECT * FROM [Validate]"/>
    <extLst>
      <ext xmlns:x15="http://schemas.microsoft.com/office/spreadsheetml/2010/11/main" uri="{DE250136-89BD-433C-8126-D09CA5730AF9}">
        <x15:connection id="" excludeFromRefreshAll="1"/>
      </ext>
    </extLst>
  </connection>
  <connection id="119" xr16:uid="{00000000-0015-0000-FFFF-FFFF3A000000}" keepAlive="1" name="Query - WeeklyDate" description="Connection to the 'WeeklyDate' query in the workbook." type="5" refreshedVersion="0" background="1">
    <dbPr connection="Provider=Microsoft.Mashup.OleDb.1;Data Source=$Workbook$;Location=WEEKLYDATE;Extended Properties=&quot;&quot;" command="SELECT * FROM [WeeklyDate]"/>
  </connection>
  <connection id="120" xr16:uid="{19D1300C-0BAB-4E05-B057-6BE735762337}" keepAlive="1" name="Query - WeeklyFilter" description="Connection to the 'WeeklyFilter' query in the workbook." type="5" refreshedVersion="0" background="1">
    <dbPr connection="Provider=Microsoft.Mashup.OleDb.1;Data Source=$Workbook$;Location=WeeklyFilter;Extended Properties=&quot;&quot;" command="SELECT * FROM [WeeklyFilter]"/>
  </connection>
  <connection id="121" xr16:uid="{87E2E6BF-1E97-4F0D-8D48-5C22F420A132}" keepAlive="1" name="Query - WeeklyFIMTN" description="Connection to the 'WeeklyFIMTN' query in the workbook." type="5" refreshedVersion="8" background="1" saveData="1">
    <dbPr connection="Provider=Microsoft.Mashup.OleDb.1;Data Source=$Workbook$;Location=WeeklyFIMTN;Extended Properties=&quot;&quot;" command="SELECT * FROM [WeeklyFIMTN]"/>
    <extLst>
      <ext xmlns:x15="http://schemas.microsoft.com/office/spreadsheetml/2010/11/main" uri="{DE250136-89BD-433C-8126-D09CA5730AF9}">
        <x15:connection id="" excludeFromRefreshAll="1"/>
      </ext>
    </extLst>
  </connection>
  <connection id="122" xr16:uid="{00000000-0015-0000-FFFF-FFFF3B000000}" keepAlive="1" name="Query - writer" description="Connection to the 'writer' query in the workbook." type="5" refreshedVersion="8" background="1" saveData="1">
    <dbPr connection="Provider=Microsoft.Mashup.OleDb.1;Data Source=$Workbook$;Location=writer;Extended Properties=&quot;&quot;" command="SELECT * FROM [writer]"/>
    <extLst>
      <ext xmlns:x15="http://schemas.microsoft.com/office/spreadsheetml/2010/11/main" uri="{DE250136-89BD-433C-8126-D09CA5730AF9}">
        <x15:connection id="" excludeFromRefreshAll="1"/>
      </ext>
    </extLst>
  </connection>
  <connection id="123" xr16:uid="{00000000-0015-0000-FFFF-FFFF3E000000}" keepAlive="1" name="Query - writer_CNH" description="Connection to the 'writer_CNH' query in the workbook." type="5" refreshedVersion="6" background="1" saveData="1">
    <dbPr connection="Provider=Microsoft.Mashup.OleDb.1;Data Source=$Workbook$;Location=writer_CNH;Extended Properties=&quot;&quot;" command="SELECT * FROM [writer_CNH]"/>
    <extLst>
      <ext xmlns:x15="http://schemas.microsoft.com/office/spreadsheetml/2010/11/main" uri="{DE250136-89BD-433C-8126-D09CA5730AF9}">
        <x15:connection id="" excludeFromRefreshAll="1"/>
      </ext>
    </extLst>
  </connection>
  <connection id="124" xr16:uid="{00000000-0015-0000-FFFF-FFFF3C000000}" keepAlive="1" name="Query - writer_fi" description="Connection to the 'writer_fi' query in the workbook." type="5" refreshedVersion="6" background="1" saveData="1">
    <dbPr connection="Provider=Microsoft.Mashup.OleDb.1;Data Source=$Workbook$;Location=writer_fi;Extended Properties=&quot;&quot;" command="SELECT * FROM [writer_fi]"/>
    <extLst>
      <ext xmlns:x15="http://schemas.microsoft.com/office/spreadsheetml/2010/11/main" uri="{DE250136-89BD-433C-8126-D09CA5730AF9}">
        <x15:connection id="" excludeFromRefreshAll="1"/>
      </ext>
    </extLst>
  </connection>
  <connection id="125" xr16:uid="{00000000-0015-0000-FFFF-FFFF3D000000}" keepAlive="1" name="Query - writer_NotCNH" description="Connection to the 'writer_NotCNH' query in the workbook." type="5" refreshedVersion="6" background="1" saveData="1">
    <dbPr connection="Provider=Microsoft.Mashup.OleDb.1;Data Source=$Workbook$;Location=writer_NotCNH;Extended Properties=&quot;&quot;" command="SELECT * FROM [writer_NotCNH]"/>
    <extLst>
      <ext xmlns:x15="http://schemas.microsoft.com/office/spreadsheetml/2010/11/main" uri="{DE250136-89BD-433C-8126-D09CA5730AF9}">
        <x15:connection id="" excludeFromRefreshAll="1"/>
      </ext>
    </extLst>
  </connection>
  <connection id="126" xr16:uid="{00000000-0015-0000-FFFF-FFFF3F000000}" keepAlive="1" name="Query - writer_others" description="Connection to the 'writer_others' query in the workbook." type="5" refreshedVersion="8" background="1" saveData="1">
    <dbPr connection="Provider=Microsoft.Mashup.OleDb.1;Data Source=$Workbook$;Location=writer_others;Extended Properties=&quot;&quot;" command="SELECT * FROM [writer_others]"/>
    <extLst>
      <ext xmlns:x15="http://schemas.microsoft.com/office/spreadsheetml/2010/11/main" uri="{DE250136-89BD-433C-8126-D09CA5730AF9}">
        <x15:connection id="" excludeFromRefreshAll="1"/>
      </ext>
    </extLst>
  </connection>
  <connection id="127" xr16:uid="{00000000-0015-0000-FFFF-FFFF40000000}" keepAlive="1" name="Query - WST" description="Connection to the 'WST' query in the workbook." type="5" refreshedVersion="8" background="1" saveData="1">
    <dbPr connection="Provider=Microsoft.Mashup.OleDb.1;Data Source=$Workbook$;Location=WST;Extended Properties=&quot;&quot;" command="SELECT * FROM [WST]"/>
    <extLst>
      <ext xmlns:x15="http://schemas.microsoft.com/office/spreadsheetml/2010/11/main" uri="{DE250136-89BD-433C-8126-D09CA5730AF9}">
        <x15:connection id="" excludeFromRefreshAll="1"/>
      </ext>
    </extLst>
  </connection>
  <connection id="128" xr16:uid="{300052CE-E049-47C1-8773-F138EC001C65}" keepAlive="1" name="Query - 上市分类" description="Connection to the '上市分类' query in the workbook." type="5" refreshedVersion="8" background="1" saveData="1">
    <dbPr connection="Provider=Microsoft.Mashup.OleDb.1;Data Source=$Workbook$;Location=上市分类;Extended Properties=&quot;&quot;" command="SELECT * FROM [上市分类]"/>
  </connection>
  <connection id="129" xr16:uid="{370A6D65-AD92-4777-A563-8BCAE798FDE5}" keepAlive="1" name="Query - 中资属性" description="Connection to the '中资属性' query in the workbook." type="5" refreshedVersion="8" background="1" saveData="1">
    <dbPr connection="Provider=Microsoft.Mashup.OleDb.1;Data Source=$Workbook$;Location=中资属性;Extended Properties=&quot;&quot;" command="SELECT * FROM [中资属性]"/>
  </connection>
  <connection id="130" xr16:uid="{5803C420-57A2-4823-B625-8F1D20F98284}" keepAlive="1" name="Query - 债务管理Filter" description="Connection to the '债务管理Filter' query in the workbook." type="5" refreshedVersion="0" background="1">
    <dbPr connection="Provider=Microsoft.Mashup.OleDb.1;Data Source=$Workbook$;Location=债务管理Filter;Extended Properties=&quot;&quot;" command="SELECT * FROM [债务管理Filter]"/>
  </connection>
  <connection id="131" xr16:uid="{00000000-0015-0000-FFFF-FFFF33000000}" keepAlive="1" name="Query - 台账23" description="Connection to the '台账23' query in the workbook." type="5" refreshedVersion="8" background="1" saveData="1">
    <dbPr connection="Provider=Microsoft.Mashup.OleDb.1;Data Source=$Workbook$;Location=台账23;Extended Properties=&quot;&quot;" command="SELECT * FROM [台账23]"/>
    <extLst>
      <ext xmlns:x15="http://schemas.microsoft.com/office/spreadsheetml/2010/11/main" uri="{DE250136-89BD-433C-8126-D09CA5730AF9}">
        <x15:connection id="" excludeFromRefreshAll="1"/>
      </ext>
    </extLst>
  </connection>
  <connection id="132" xr16:uid="{D721FFC0-031C-4161-ABF2-749DD8FBE622}" keepAlive="1" name="Query - 新规角色" description="Connection to the '新规角色' query in the workbook." type="5" refreshedVersion="8" background="1" saveData="1">
    <dbPr connection="Provider=Microsoft.Mashup.OleDb.1;Data Source=$Workbook$;Location=新规角色;Extended Properties=&quot;&quot;" command="SELECT * FROM [新规角色]"/>
  </connection>
  <connection id="133" xr16:uid="{44C1FC59-A385-4F10-963A-D0BA37120278}" keepAlive="1" name="Query - 板块" description="Connection to the '板块' query in the workbook." type="5" refreshedVersion="8" background="1" saveData="1">
    <dbPr connection="Provider=Microsoft.Mashup.OleDb.1;Data Source=$Workbook$;Location=板块;Extended Properties=&quot;&quot;" command="SELECT * FROM [板块]"/>
  </connection>
  <connection id="134" xr16:uid="{5FAD6CB1-4054-4D46-BC8C-78174FE2C605}" keepAlive="1" name="Query - 澳门Filter" description="Connection to the '澳门Filter' query in the workbook." type="5" refreshedVersion="0" background="1">
    <dbPr connection="Provider=Microsoft.Mashup.OleDb.1;Data Source=$Workbook$;Location=澳门Filter;Extended Properties=&quot;&quot;" command="SELECT * FROM [澳门Filter]"/>
  </connection>
  <connection id="135" xr16:uid="{ABF191AE-2E2C-4E38-A4FF-8E4D5CB9358A}" keepAlive="1" name="Query - 结构" description="Connection to the '结构' query in the workbook." type="5" refreshedVersion="8" background="1" saveData="1">
    <dbPr connection="Provider=Microsoft.Mashup.OleDb.1;Data Source=$Workbook$;Location=结构;Extended Properties=&quot;&quot;" command="SELECT * FROM [结构]"/>
  </connection>
  <connection id="136" xr16:uid="{3AD69D05-CDF4-4A1A-819B-39DC20D2AE25}" keepAlive="1" name="Query - 货币" description="Connection to the '货币' query in the workbook." type="5" refreshedVersion="8" background="1" saveData="1">
    <dbPr connection="Provider=Microsoft.Mashup.OleDb.1;Data Source=$Workbook$;Location=货币;Extended Properties=&quot;&quot;" command="SELECT * FROM [货币]"/>
  </connection>
  <connection id="137" xr16:uid="{60E777FB-0FBC-439A-9E26-0443E2DF96BF}" keepAlive="1" name="Query - 香港Filter" description="Connection to the '香港Filter' query in the workbook." type="5" refreshedVersion="0" background="1">
    <dbPr connection="Provider=Microsoft.Mashup.OleDb.1;Data Source=$Workbook$;Location=香港Filter;Extended Properties=&quot;&quot;" command="SELECT * FROM [香港Filter]"/>
  </connection>
</connections>
</file>

<file path=xl/sharedStrings.xml><?xml version="1.0" encoding="utf-8"?>
<sst xmlns="http://schemas.openxmlformats.org/spreadsheetml/2006/main" count="4663" uniqueCount="890">
  <si>
    <t>KT</t>
  </si>
  <si>
    <t>城投</t>
  </si>
  <si>
    <t>其他</t>
  </si>
  <si>
    <t>地产</t>
  </si>
  <si>
    <t>JH</t>
  </si>
  <si>
    <t>CL</t>
  </si>
  <si>
    <t>ES</t>
  </si>
  <si>
    <t>--</t>
  </si>
  <si>
    <t>浙江</t>
  </si>
  <si>
    <t>辽宁</t>
  </si>
  <si>
    <t>山东</t>
  </si>
  <si>
    <t>重庆</t>
  </si>
  <si>
    <t>北京</t>
  </si>
  <si>
    <t>上海</t>
  </si>
  <si>
    <t>湖南</t>
  </si>
  <si>
    <t>陕西</t>
  </si>
  <si>
    <t>福建</t>
  </si>
  <si>
    <t>江苏</t>
  </si>
  <si>
    <t>广东</t>
  </si>
  <si>
    <t>四川</t>
  </si>
  <si>
    <t>江西</t>
  </si>
  <si>
    <t>湖北</t>
  </si>
  <si>
    <t>安徽</t>
  </si>
  <si>
    <t>云南</t>
  </si>
  <si>
    <t>广西</t>
  </si>
  <si>
    <t>贵州</t>
  </si>
  <si>
    <t>河南</t>
  </si>
  <si>
    <t>海南</t>
  </si>
  <si>
    <t>天津</t>
  </si>
  <si>
    <t>山西</t>
  </si>
  <si>
    <t>吉林</t>
  </si>
  <si>
    <t>新疆</t>
  </si>
  <si>
    <t>黑龙江</t>
  </si>
  <si>
    <t>河北</t>
  </si>
  <si>
    <t>内蒙古</t>
  </si>
  <si>
    <t>甘肃</t>
  </si>
  <si>
    <t>主题</t>
  </si>
  <si>
    <t>绿债</t>
  </si>
  <si>
    <t>直发</t>
  </si>
  <si>
    <t>维好+担保</t>
  </si>
  <si>
    <t>担保发行</t>
  </si>
  <si>
    <t>担保</t>
  </si>
  <si>
    <t>维好</t>
  </si>
  <si>
    <t>备证行</t>
  </si>
  <si>
    <t>公司类型</t>
  </si>
  <si>
    <t>行业</t>
  </si>
  <si>
    <t>细分行业</t>
  </si>
  <si>
    <t>城市</t>
  </si>
  <si>
    <t>区县</t>
  </si>
  <si>
    <t>债券简称</t>
  </si>
  <si>
    <t>ISIN</t>
  </si>
  <si>
    <t>定价日</t>
  </si>
  <si>
    <t>债项评级</t>
  </si>
  <si>
    <t>境内主体评级</t>
  </si>
  <si>
    <t>发行票面利率</t>
  </si>
  <si>
    <t>兑付日</t>
  </si>
  <si>
    <t>FPG</t>
  </si>
  <si>
    <t>收窄幅度(bp)</t>
  </si>
  <si>
    <t>SBLC提供者</t>
  </si>
  <si>
    <t>偿还顺位</t>
  </si>
  <si>
    <t>发行规模(亿)</t>
  </si>
  <si>
    <t>发行期限(年)</t>
  </si>
  <si>
    <t>发行价</t>
  </si>
  <si>
    <t>首日涨跌</t>
  </si>
  <si>
    <t>认购倍数</t>
  </si>
  <si>
    <t>亚洲占比</t>
  </si>
  <si>
    <t>基金占比</t>
  </si>
  <si>
    <t>货币</t>
  </si>
  <si>
    <t>联席全球协调人</t>
  </si>
  <si>
    <t>ticker</t>
  </si>
  <si>
    <t>起息日期</t>
  </si>
  <si>
    <t>行权兑付日</t>
  </si>
  <si>
    <t>计息基准</t>
  </si>
  <si>
    <t>首次付息日</t>
  </si>
  <si>
    <t>发行人</t>
  </si>
  <si>
    <t>担保人</t>
  </si>
  <si>
    <t>发行起始日</t>
  </si>
  <si>
    <t>上市日期</t>
  </si>
  <si>
    <t>牵头经办人</t>
  </si>
  <si>
    <t>是否永续债</t>
  </si>
  <si>
    <t>是否存单</t>
  </si>
  <si>
    <t>利率类型</t>
  </si>
  <si>
    <t>交易状态</t>
  </si>
  <si>
    <t>债券类型</t>
  </si>
  <si>
    <t>付息频率</t>
  </si>
  <si>
    <t>维好协议提供者</t>
  </si>
  <si>
    <t>无评级</t>
  </si>
  <si>
    <t>--/--/--</t>
  </si>
  <si>
    <t>金融</t>
  </si>
  <si>
    <t>USD</t>
  </si>
  <si>
    <t>Index</t>
  </si>
  <si>
    <t>年期</t>
  </si>
  <si>
    <t>IPG</t>
  </si>
  <si>
    <t>地区</t>
  </si>
  <si>
    <t>结构</t>
  </si>
  <si>
    <t>上市</t>
  </si>
  <si>
    <t/>
  </si>
  <si>
    <t>评级分类</t>
  </si>
  <si>
    <t>信用主体</t>
  </si>
  <si>
    <t>省份</t>
  </si>
  <si>
    <t>主题债券</t>
  </si>
  <si>
    <t>评级类型</t>
  </si>
  <si>
    <t>穆迪/标普</t>
  </si>
  <si>
    <t>主体评级展望</t>
  </si>
  <si>
    <t>发行场所</t>
  </si>
  <si>
    <t>债券最新面值</t>
  </si>
  <si>
    <t>债券余额</t>
  </si>
  <si>
    <t>最新票面利率</t>
  </si>
  <si>
    <t>特殊条款说明</t>
  </si>
  <si>
    <t>特殊条款</t>
  </si>
  <si>
    <t>CNH</t>
  </si>
  <si>
    <t>品种</t>
  </si>
  <si>
    <t>GENERATOR</t>
  </si>
  <si>
    <t>HKD</t>
  </si>
  <si>
    <t>未上市</t>
  </si>
  <si>
    <t>EUR</t>
  </si>
  <si>
    <t>备证</t>
  </si>
  <si>
    <t>备证+担保</t>
  </si>
  <si>
    <t>备证+维好</t>
  </si>
  <si>
    <t>%</t>
  </si>
  <si>
    <t>NR</t>
  </si>
  <si>
    <t>信用主体简称</t>
  </si>
  <si>
    <t>按年</t>
  </si>
  <si>
    <t>定价息差</t>
  </si>
  <si>
    <t>票息</t>
  </si>
  <si>
    <t>ECON</t>
  </si>
  <si>
    <t>Date</t>
  </si>
  <si>
    <t>Event</t>
  </si>
  <si>
    <t>Survey</t>
  </si>
  <si>
    <t>Actual</t>
  </si>
  <si>
    <t>Prior</t>
  </si>
  <si>
    <t>Revised</t>
  </si>
  <si>
    <t>Relevance</t>
  </si>
  <si>
    <t>Ticker</t>
  </si>
  <si>
    <t>Time</t>
  </si>
  <si>
    <t>CPI 月环比</t>
  </si>
  <si>
    <t>地方国有企业</t>
  </si>
  <si>
    <t>--/--</t>
  </si>
  <si>
    <t>Senior Unsecured</t>
  </si>
  <si>
    <t>否</t>
  </si>
  <si>
    <t>固定利率</t>
  </si>
  <si>
    <t>未到期</t>
  </si>
  <si>
    <t>普通债</t>
  </si>
  <si>
    <t>M6</t>
  </si>
  <si>
    <t>认购额(亿)</t>
  </si>
  <si>
    <t>IG</t>
  </si>
  <si>
    <t>HY</t>
  </si>
  <si>
    <t>发行评级</t>
  </si>
  <si>
    <t>USD &amp; CNH</t>
  </si>
  <si>
    <t>描述</t>
  </si>
  <si>
    <t>WRITER</t>
  </si>
  <si>
    <t>ESG</t>
  </si>
  <si>
    <t>Check</t>
  </si>
  <si>
    <t>增发判定</t>
  </si>
  <si>
    <t>宁夏</t>
  </si>
  <si>
    <t>西藏</t>
  </si>
  <si>
    <t>青海</t>
  </si>
  <si>
    <t>香港</t>
  </si>
  <si>
    <t>补充OMAS updates</t>
  </si>
  <si>
    <t>headers_review</t>
  </si>
  <si>
    <t>LOAD</t>
  </si>
  <si>
    <t>BISL_ROLE</t>
  </si>
  <si>
    <t>BOCOM_DEAL?</t>
  </si>
  <si>
    <t>JBR</t>
  </si>
  <si>
    <t>JGC</t>
  </si>
  <si>
    <t>投资级</t>
  </si>
  <si>
    <t>3</t>
  </si>
  <si>
    <t>定价</t>
  </si>
  <si>
    <t>FEATURED</t>
  </si>
  <si>
    <t>上周主要经济数据</t>
  </si>
  <si>
    <t xml:space="preserve">发布(HKT) </t>
  </si>
  <si>
    <t>前值</t>
  </si>
  <si>
    <t>预期</t>
  </si>
  <si>
    <t>现值</t>
  </si>
  <si>
    <t>Region</t>
  </si>
  <si>
    <t>Period</t>
  </si>
  <si>
    <t>Table</t>
  </si>
  <si>
    <t>FUTURE</t>
  </si>
  <si>
    <t>区间</t>
  </si>
  <si>
    <t>范围</t>
  </si>
  <si>
    <t>未来一周主要经济数据</t>
  </si>
  <si>
    <t>信用主体(备证行)</t>
  </si>
  <si>
    <t>收窄基点</t>
  </si>
  <si>
    <t xml:space="preserve">预计发布(HKT) </t>
  </si>
  <si>
    <t>定价基准</t>
  </si>
  <si>
    <t>Updator</t>
  </si>
  <si>
    <t>期数</t>
  </si>
  <si>
    <t>新规角色</t>
  </si>
  <si>
    <t>COVERAGE</t>
  </si>
  <si>
    <t>亿美元</t>
  </si>
  <si>
    <t>亿元</t>
  </si>
  <si>
    <t>IS_FIMTN</t>
  </si>
  <si>
    <t>债项初始评级</t>
  </si>
  <si>
    <t>主体评级</t>
  </si>
  <si>
    <t>SHORTNAMER</t>
  </si>
  <si>
    <t>CHARTs</t>
  </si>
  <si>
    <t>SCMI</t>
  </si>
  <si>
    <t>FI组</t>
  </si>
  <si>
    <t>PROJECT_CODE</t>
  </si>
  <si>
    <t>OC</t>
  </si>
  <si>
    <t>SOE组</t>
  </si>
  <si>
    <t>GRAPH</t>
  </si>
  <si>
    <t>港分_ROLE</t>
  </si>
  <si>
    <t>澳分_ROLE</t>
  </si>
  <si>
    <t>Project Name</t>
  </si>
  <si>
    <t>Co-Manager</t>
  </si>
  <si>
    <t>PA</t>
  </si>
  <si>
    <t>NSCMI</t>
  </si>
  <si>
    <t>POE组</t>
  </si>
  <si>
    <t>审阅简称</t>
  </si>
  <si>
    <t>审阅角色详情</t>
  </si>
  <si>
    <t>审阅债券详情</t>
  </si>
  <si>
    <t>DEBUT_DATE</t>
  </si>
  <si>
    <t>央企</t>
  </si>
  <si>
    <t>央企(子)</t>
  </si>
  <si>
    <t>地方国企</t>
  </si>
  <si>
    <t>民企</t>
  </si>
  <si>
    <t>n/a</t>
  </si>
  <si>
    <t>3.0000</t>
  </si>
  <si>
    <t>发行方式</t>
  </si>
  <si>
    <t>RegS</t>
  </si>
  <si>
    <t>IS_LEAD</t>
  </si>
  <si>
    <t>IS_B&amp;D</t>
  </si>
  <si>
    <t>是否合名</t>
  </si>
  <si>
    <t>DynamicList</t>
  </si>
  <si>
    <t>台账序号</t>
  </si>
  <si>
    <t>中资属性</t>
  </si>
  <si>
    <t>IPT_DMI</t>
  </si>
  <si>
    <t>FPG_DMI</t>
  </si>
  <si>
    <t>通过分行</t>
  </si>
  <si>
    <t>NotCNH</t>
  </si>
  <si>
    <t>期限备注</t>
  </si>
  <si>
    <t>亿港币</t>
  </si>
  <si>
    <t>SGC</t>
  </si>
  <si>
    <t>Dealer</t>
  </si>
  <si>
    <t>美元债</t>
  </si>
  <si>
    <t>1-3年</t>
  </si>
  <si>
    <t>多笔</t>
  </si>
  <si>
    <t>多币种</t>
  </si>
  <si>
    <t>多品种</t>
  </si>
  <si>
    <t>亮点</t>
  </si>
  <si>
    <t>SPECIALs</t>
  </si>
  <si>
    <t>OTHER_ISIN</t>
  </si>
  <si>
    <t>Timestamp</t>
  </si>
  <si>
    <t>剩余期限</t>
  </si>
  <si>
    <t>投资者账户数</t>
  </si>
  <si>
    <t>投资者类型</t>
  </si>
  <si>
    <t>投资者分布</t>
  </si>
  <si>
    <t>筹款用途</t>
  </si>
  <si>
    <t>联席账簿管理人</t>
  </si>
  <si>
    <t>定价_DMI</t>
  </si>
  <si>
    <t>七月</t>
  </si>
  <si>
    <t>BISL,港分</t>
  </si>
  <si>
    <t>板块</t>
  </si>
  <si>
    <t>主权/政府</t>
  </si>
  <si>
    <t>平台级别</t>
  </si>
  <si>
    <t>首次违约日</t>
  </si>
  <si>
    <t>曾用名</t>
  </si>
  <si>
    <t>主体备注</t>
  </si>
  <si>
    <t>行业二级</t>
  </si>
  <si>
    <t>CY</t>
  </si>
  <si>
    <t>注册成立地</t>
  </si>
  <si>
    <t>BISL</t>
  </si>
  <si>
    <t>BISL,港分Global Advisor*</t>
  </si>
  <si>
    <t>港分,澳分</t>
  </si>
  <si>
    <t>港分</t>
  </si>
  <si>
    <t>澳分</t>
  </si>
  <si>
    <t>交行参与投资未承销*</t>
  </si>
  <si>
    <t>直接发行</t>
  </si>
  <si>
    <t>SBLC</t>
  </si>
  <si>
    <t>FI MTN</t>
  </si>
  <si>
    <t>系</t>
  </si>
  <si>
    <t>Stats描述</t>
  </si>
  <si>
    <t>AAA</t>
  </si>
  <si>
    <t>控制权变更回售@100%</t>
  </si>
  <si>
    <t>基础建设</t>
  </si>
  <si>
    <t>广东省</t>
  </si>
  <si>
    <t>AA</t>
  </si>
  <si>
    <t>八月</t>
  </si>
  <si>
    <t>点心债</t>
  </si>
  <si>
    <t>英文简称</t>
  </si>
  <si>
    <t>发行架构</t>
  </si>
  <si>
    <t>3.01Y</t>
  </si>
  <si>
    <t>AA+</t>
  </si>
  <si>
    <t>EC</t>
  </si>
  <si>
    <t>欧元区七月</t>
  </si>
  <si>
    <t>二季度</t>
  </si>
  <si>
    <t>ECCPEMUM Index</t>
  </si>
  <si>
    <t>核心CPI同比</t>
  </si>
  <si>
    <t>CPEXEMUY Index</t>
  </si>
  <si>
    <t>AUG</t>
  </si>
  <si>
    <t>欧元区八月</t>
  </si>
  <si>
    <t>Green</t>
  </si>
  <si>
    <t>发行及交存代理*</t>
  </si>
  <si>
    <t>发行人注册地</t>
  </si>
  <si>
    <t>浮息息差</t>
  </si>
  <si>
    <t>债项BBG</t>
  </si>
  <si>
    <t>主体BBG</t>
  </si>
  <si>
    <t>DMI</t>
  </si>
  <si>
    <t>BBGCorp</t>
  </si>
  <si>
    <t>债券名称</t>
  </si>
  <si>
    <t>初始发行价</t>
  </si>
  <si>
    <t>首日表现</t>
  </si>
  <si>
    <t>最终订单量/峰值订单（亿美元）</t>
  </si>
  <si>
    <t>WSTIPT</t>
  </si>
  <si>
    <t>WSTFPT</t>
  </si>
  <si>
    <t>WST</t>
  </si>
  <si>
    <t>项目名称（集团全称）</t>
  </si>
  <si>
    <t>担任角色</t>
  </si>
  <si>
    <t>项目定价日</t>
  </si>
  <si>
    <t>QRC台账</t>
  </si>
  <si>
    <t>DMI Count</t>
  </si>
  <si>
    <t>BBG Count</t>
  </si>
  <si>
    <t>WST Date</t>
  </si>
  <si>
    <t>Max 台账序号</t>
  </si>
  <si>
    <t>HK</t>
  </si>
  <si>
    <t>CN</t>
  </si>
  <si>
    <t>中信建投(国际)金融控股有限公司</t>
  </si>
  <si>
    <t>0.9945</t>
  </si>
  <si>
    <t>北京市</t>
  </si>
  <si>
    <t>多元金融</t>
  </si>
  <si>
    <t>CSCIF</t>
  </si>
  <si>
    <t>CHINA SECURITIES INTERNATIONAL INVESTMENT CO LTD</t>
  </si>
  <si>
    <t>中华（澳门）金融资产交易股份有限公司</t>
  </si>
  <si>
    <t>江苏省</t>
  </si>
  <si>
    <t>M3</t>
  </si>
  <si>
    <t>≤1年</t>
  </si>
  <si>
    <t>澳交所</t>
  </si>
  <si>
    <t>VG</t>
  </si>
  <si>
    <t>山东省</t>
  </si>
  <si>
    <t>控制权变更回售@101%</t>
  </si>
  <si>
    <t>CH</t>
  </si>
  <si>
    <t>JUL</t>
  </si>
  <si>
    <t>US</t>
  </si>
  <si>
    <t>周度首次申领失业救济人数</t>
  </si>
  <si>
    <t>INJCJC Index</t>
  </si>
  <si>
    <t>美国</t>
  </si>
  <si>
    <t>美国周度首次申领失业救济人数</t>
  </si>
  <si>
    <t>美国七月</t>
  </si>
  <si>
    <t>周度MBA抵押贷款申请指数环比</t>
  </si>
  <si>
    <t>MBAVCHNG Index</t>
  </si>
  <si>
    <t>美国周度MBA抵押贷款申请指数环比</t>
  </si>
  <si>
    <t>美国八月</t>
  </si>
  <si>
    <t>HCOB欧元区制造业PMI</t>
  </si>
  <si>
    <t>AUG P</t>
  </si>
  <si>
    <t>MPMIEZMA Index</t>
  </si>
  <si>
    <t>八月HCOB欧元区制造业PMI</t>
  </si>
  <si>
    <t>HCOB欧元区综合PMI</t>
  </si>
  <si>
    <t>MPMIEZCA Index</t>
  </si>
  <si>
    <t>八月HCOB欧元区综合PMI</t>
  </si>
  <si>
    <t>HCOB欧元区服务业PMI</t>
  </si>
  <si>
    <t>MPMIEZSA Index</t>
  </si>
  <si>
    <t>八月HCOB欧元区服务业PMI</t>
  </si>
  <si>
    <t>消费者信心指数</t>
  </si>
  <si>
    <t>EUCCEMU Index</t>
  </si>
  <si>
    <t>欧元区八月消费者信心指数</t>
  </si>
  <si>
    <t>AUG F</t>
  </si>
  <si>
    <t>耐用品订单环比</t>
  </si>
  <si>
    <t>DGNOCHNG Index</t>
  </si>
  <si>
    <t>美国七月耐用品订单环比</t>
  </si>
  <si>
    <t>标普全球-美国制造业PMI</t>
  </si>
  <si>
    <t>MPMIUSMA Index</t>
  </si>
  <si>
    <t>八月标普全球-美国制造业PMI</t>
  </si>
  <si>
    <t>增发</t>
  </si>
  <si>
    <t>Health Checker</t>
  </si>
  <si>
    <t>DMI列名更改</t>
  </si>
  <si>
    <t>DMI新增列</t>
  </si>
  <si>
    <t>hardcode3 AE4:AT40
Autocopy: AE4</t>
  </si>
  <si>
    <t>hardcode4 AW4:AZ40
Autocopy: AW4</t>
  </si>
  <si>
    <t>SCMI(Level II)</t>
  </si>
  <si>
    <t>SCMI(waived)</t>
  </si>
  <si>
    <t>直发(红筹)</t>
  </si>
  <si>
    <t>金融机构</t>
  </si>
  <si>
    <t>地方平台</t>
  </si>
  <si>
    <t>产业</t>
  </si>
  <si>
    <t>房地产</t>
  </si>
  <si>
    <t>发行人主上市地</t>
  </si>
  <si>
    <t>香港交易所</t>
  </si>
  <si>
    <t>JPY</t>
  </si>
  <si>
    <t>SBLC+担保</t>
  </si>
  <si>
    <t>3.0Y</t>
  </si>
  <si>
    <t>浙江省</t>
  </si>
  <si>
    <t>济南市</t>
  </si>
  <si>
    <t>深圳市</t>
  </si>
  <si>
    <t>房地产开发</t>
  </si>
  <si>
    <t>--/--/BBB-</t>
  </si>
  <si>
    <t>230k</t>
  </si>
  <si>
    <t>制造业采购经理指数</t>
  </si>
  <si>
    <t>CPMINDX Index</t>
  </si>
  <si>
    <t>中国八月</t>
  </si>
  <si>
    <t>中国八月制造业采购经理指数</t>
  </si>
  <si>
    <t>财新中国PMI制造业</t>
  </si>
  <si>
    <t>MPMICNMA Index</t>
  </si>
  <si>
    <t>八月财新中国PMI制造业</t>
  </si>
  <si>
    <t>非制造业采购经理指数</t>
  </si>
  <si>
    <t>CPMINMAN Index</t>
  </si>
  <si>
    <t>中国八月非制造业采购经理指数</t>
  </si>
  <si>
    <t>欧元区八月CPI 月环比</t>
  </si>
  <si>
    <t>M3货币供应同比</t>
  </si>
  <si>
    <t>ECMAM3YY Index</t>
  </si>
  <si>
    <t>欧元区七月M3货币供应同比</t>
  </si>
  <si>
    <t>CPI预计同比</t>
  </si>
  <si>
    <t>ECCPEST Index</t>
  </si>
  <si>
    <t>欧元区八月CPI预计同比</t>
  </si>
  <si>
    <t>欧元区八月核心CPI同比</t>
  </si>
  <si>
    <t>失业率</t>
  </si>
  <si>
    <t>UMRTEMU Index</t>
  </si>
  <si>
    <t>欧元区七月失业率</t>
  </si>
  <si>
    <t>非农就业人数增减</t>
  </si>
  <si>
    <t>187k</t>
  </si>
  <si>
    <t>NFP TCH Index</t>
  </si>
  <si>
    <t>美国八月非农就业人数增减</t>
  </si>
  <si>
    <t>GDP环比折合年率</t>
  </si>
  <si>
    <t>2Q S</t>
  </si>
  <si>
    <t>GDP CQOQ Index</t>
  </si>
  <si>
    <t>美国二季度</t>
  </si>
  <si>
    <t>美国二季度GDP环比折合年率</t>
  </si>
  <si>
    <t>ISM制造业指数</t>
  </si>
  <si>
    <t>NAPMPMI Index</t>
  </si>
  <si>
    <t>美国八月ISM制造业指数</t>
  </si>
  <si>
    <t>世界大型企业研究会消费者信心指数</t>
  </si>
  <si>
    <t>CONCCONF Index</t>
  </si>
  <si>
    <t>美国八月世界大型企业研究会消费者信心指数</t>
  </si>
  <si>
    <t>USURTOT Index</t>
  </si>
  <si>
    <t>美国八月失业率</t>
  </si>
  <si>
    <t>ADP就业变动指数</t>
  </si>
  <si>
    <t>324k</t>
  </si>
  <si>
    <t>ADP CHNG Index</t>
  </si>
  <si>
    <t>美国八月ADP就业变动指数</t>
  </si>
  <si>
    <t>个人支出环比</t>
  </si>
  <si>
    <t>PCE CRCH Index</t>
  </si>
  <si>
    <t>美国七月个人支出环比</t>
  </si>
  <si>
    <t>个人收入环比</t>
  </si>
  <si>
    <t>PITLCHNG Index</t>
  </si>
  <si>
    <t>美国七月个人收入环比</t>
  </si>
  <si>
    <t>MNI芝加哥PMI</t>
  </si>
  <si>
    <t>CHPMINDX Index</t>
  </si>
  <si>
    <t>美国八月MNI芝加哥PMI</t>
  </si>
  <si>
    <t>港交所</t>
  </si>
  <si>
    <t>恒丰银行</t>
  </si>
  <si>
    <t>4.8%</t>
  </si>
  <si>
    <t>1</t>
  </si>
  <si>
    <t>7%</t>
  </si>
  <si>
    <t>364天</t>
  </si>
  <si>
    <t>40</t>
  </si>
  <si>
    <t>20</t>
  </si>
  <si>
    <t>10</t>
  </si>
  <si>
    <t>补充营运资金</t>
  </si>
  <si>
    <t>2.99Y</t>
  </si>
  <si>
    <t>235k</t>
  </si>
  <si>
    <t>珠海农村商业银行股份有限公司</t>
  </si>
  <si>
    <t>ZRCB 3.5 08/22/2026</t>
  </si>
  <si>
    <t>MO0000000238</t>
  </si>
  <si>
    <t>100/-</t>
  </si>
  <si>
    <t>-/-</t>
  </si>
  <si>
    <t>银行保险</t>
  </si>
  <si>
    <t>230815MO0000000238</t>
  </si>
  <si>
    <t>宿迁裕丰产业投资发展管理集团有限公司</t>
  </si>
  <si>
    <t>SQyufeng 3.98 08/23/2026</t>
  </si>
  <si>
    <t>HK0000942877</t>
  </si>
  <si>
    <t>230816HK0000942877</t>
  </si>
  <si>
    <t>Weeknum</t>
  </si>
  <si>
    <t>上周亿美元</t>
  </si>
  <si>
    <t>上周笔数</t>
  </si>
  <si>
    <r>
      <rPr>
        <sz val="14"/>
        <color theme="9"/>
        <rFont val="Microsoft JhengHei UI"/>
        <family val="2"/>
        <scheme val="minor"/>
      </rPr>
      <t>REVIEW</t>
    </r>
    <r>
      <rPr>
        <sz val="18"/>
        <color theme="9"/>
        <rFont val="Microsoft JhengHei UI"/>
        <family val="2"/>
        <scheme val="minor"/>
      </rPr>
      <t xml:space="preserve">
⬇️</t>
    </r>
  </si>
  <si>
    <t>【】</t>
  </si>
  <si>
    <t>周</t>
  </si>
  <si>
    <t>Name</t>
  </si>
  <si>
    <t>黄荣左</t>
  </si>
  <si>
    <t>刘嘉西</t>
  </si>
  <si>
    <t>孙颖芝</t>
  </si>
  <si>
    <t>余烨洁</t>
  </si>
  <si>
    <t>PRJ对账号</t>
  </si>
  <si>
    <t>SortValue</t>
  </si>
  <si>
    <t>上市类型</t>
  </si>
  <si>
    <t>童富涵</t>
  </si>
  <si>
    <t>SGD</t>
  </si>
  <si>
    <t>MOP</t>
  </si>
  <si>
    <t>GBP</t>
  </si>
  <si>
    <t>AUD</t>
  </si>
  <si>
    <t>NZD</t>
  </si>
  <si>
    <t>CAD</t>
  </si>
  <si>
    <t>上市分类</t>
  </si>
  <si>
    <t>新交所</t>
  </si>
  <si>
    <t>多地上市</t>
  </si>
  <si>
    <t>XS2673420753</t>
  </si>
  <si>
    <t>230830XS2673420753</t>
  </si>
  <si>
    <t>XS2661083621</t>
  </si>
  <si>
    <t>230830XS2661083621</t>
  </si>
  <si>
    <t>Coastline 02</t>
  </si>
  <si>
    <t>XS2671493562</t>
  </si>
  <si>
    <t>海盐县国有资产经营有限公司</t>
  </si>
  <si>
    <t>Ubertech III</t>
  </si>
  <si>
    <t>HK0000946829</t>
  </si>
  <si>
    <t>乌鲁木齐高新投资发展集团有限公司</t>
  </si>
  <si>
    <t>台州市城市建设投资发展集团有限公司</t>
  </si>
  <si>
    <t>TZCONS 5.9 09/05/26</t>
  </si>
  <si>
    <t>XS2673291923</t>
  </si>
  <si>
    <t>台州城投 5.9 2026-09-05</t>
  </si>
  <si>
    <t>香港交易所;中华（澳门）金融资产交易股份有限公司;卢森堡交易所</t>
  </si>
  <si>
    <t>6%区域</t>
  </si>
  <si>
    <t>5.9%</t>
  </si>
  <si>
    <t>台州市</t>
  </si>
  <si>
    <t>Orient Securities (Hong Kong) Limited</t>
  </si>
  <si>
    <t>综合</t>
  </si>
  <si>
    <t>可持续债券</t>
  </si>
  <si>
    <t>为发行人将于2023年10月到期的中长期债券进行再融资，这与可持续金融框架下定义的ESPs的融资和/或再融资有关</t>
  </si>
  <si>
    <t>TZCONS</t>
  </si>
  <si>
    <t>BOSC International Securities Limited;CEB International Capital Corporation Limited;Orient Securities (Hong Kong) Limited;China Industrial Securities International Brokerage Limited;Luso International Banking Ltd;Hua Xia Bank Co., Limited Hong Kong Branch;Industrial Bank Co., Ltd. Hong Kong Branch;CNCB (Hong Kong) Capital Limited;Carlyon Securities Limited;China CITIC Bank International Limited;Shanghai Pudong Development Bank Hong Kong Branch;Bank of China Limited, Singapore Branch;Standard Chartered Asia Ltd;Oversea-Chinese Banking Corporation Limited;Citigroup Global Markets Limited;China Securities (International) Corporate Finance Company Limited</t>
  </si>
  <si>
    <t>230831XS2673291923</t>
  </si>
  <si>
    <t>广东省人民政府</t>
  </si>
  <si>
    <t>GUANGD 2.4 09/07/25</t>
  </si>
  <si>
    <t>MO0000000261</t>
  </si>
  <si>
    <t>广东省政府 2.4 2025-09-07</t>
  </si>
  <si>
    <t>2.0000</t>
  </si>
  <si>
    <t>广州市</t>
  </si>
  <si>
    <t>Bank of China Limited, Macau Branch</t>
  </si>
  <si>
    <t>2.01Y</t>
  </si>
  <si>
    <t>其他分类</t>
  </si>
  <si>
    <t>GUANGD</t>
  </si>
  <si>
    <t>中华人民共和国广东省人民政府</t>
  </si>
  <si>
    <t>Industrial and Commercial Bank of China (Macau) Limited;China Construction Bank Corporation Macau Branch;Agricultural Bank of China Limited Macao Branch;Bank of Communications Co., Ltd. Macau Branch;Luso International Banking Limited;Macau Chinese Bank Limited;Chong Hing Bank Ltd/Macao;China International Capital Corporation Hong Kong Securities Limited;CLSA Limited;China Everbright Bank Co., Ltd Hong Kong Branch;China CITIC Bank International Limited;China Galaxy International Securities (Hong Kong) Co., Limited;Shenwan Hongyuan Securities (H.K.) Limited;Guotai Junan Securities (Hong Kong) Limited;CNCB (Hong Kong) Capital Limited</t>
  </si>
  <si>
    <t>Bank of Communications Co., Ltd. Macau Branch;CLSA Limited;Agricultural Bank of China Limited Macao Branch;Luso International Banking Limited;Shenwan Hongyuan Securities (H.K.) Limited;China Everbright Bank Co., Ltd Hong Kong Branch;Macau Chinese Bank Limited;Industrial and Commercial Bank of China (Macau) Limited;China International Capital Corporation Hong Kong Securities Limited;CNCB (Hong Kong) Capital Limited;Bank of China Limited, Macau Branch;China CITIC Bank International Limited;China Galaxy International Securities (Hong Kong) Co., Limited;Guotai Junan Securities (Hong Kong) Limited;China Construction Bank Corporation Macau Branch;Chong Hing Bank Ltd/Macao</t>
  </si>
  <si>
    <t>利率债</t>
  </si>
  <si>
    <t>230831MO0000000261</t>
  </si>
  <si>
    <t>GUANGD 2.55 09/07/26</t>
  </si>
  <si>
    <t>MO0000000279</t>
  </si>
  <si>
    <t>广东省政府 2.55 2026-09-07</t>
  </si>
  <si>
    <t>230831MO0000000279</t>
  </si>
  <si>
    <t>齐鲁财金(山东)经济发展有限公司</t>
  </si>
  <si>
    <t>LWECDI 4.8 09/05/26</t>
  </si>
  <si>
    <t>HK0000951050</t>
  </si>
  <si>
    <t>齐鲁财金 4.8 2026-09-05</t>
  </si>
  <si>
    <t>恒丰银行股份有限公司济南分行</t>
  </si>
  <si>
    <t>Zheshang International Financial Holdings Co., Limited;Shenwan Hongyuan Securities (H.K.) Limited;CEB International Capital Corporation Limited;China Galaxy International Securities (Hong Kong) Company Limited;CLSA Securities Limited;CMB International Capital Limited;Industrial Bank Co., Ltd. Hong Kong Branch;CNCB (Hong Kong) Capital Limited;China Zheshang Bank Co., Ltd. Hong Kong Branch;Shanghai Pudong Development Bank Hong Kong Branch;SunRiver International Securities Group Limited;Sigma Capital Management Limited</t>
  </si>
  <si>
    <t>LWECDI</t>
  </si>
  <si>
    <t>CMB International Capital Limited;Zheshang International Financial Holdings Co., Limited;Shenwan Hongyuan Securities (H.K.) Limited;Industrial Bank Co., Ltd. Hong Kong Branch;CNCB (Hong Kong) Capital Limited;CEB International Capital Corporation Limited;China Zheshang Bank Co., Ltd. Hong Kong Branch;China Galaxy International Securities (Hong Kong) Company Limited;Shanghai Pudong Development Bank Hong Kong Branch;SunRiver International Securities Group Limited;CLSA Securities Limited;Sigma Capital Management Limited</t>
  </si>
  <si>
    <t>230831HK0000951050</t>
  </si>
  <si>
    <t>合肥市产业投资控股(集团)有限公司</t>
  </si>
  <si>
    <t>HEFIND 5.8 09/05/26</t>
  </si>
  <si>
    <t>合肥产投集团 5.8 2026-09-05</t>
  </si>
  <si>
    <t>5.8%</t>
  </si>
  <si>
    <t>安徽省</t>
  </si>
  <si>
    <t>合肥市</t>
  </si>
  <si>
    <t>China International Capital Corporation;CLSA Securities Limited;CNCB (Hong Kong) Capital Limited;ICBC International Securities Limited;Industrial Bank Co., Ltd. Hong Kong Branch;Shanghai Pudong Development Bank Hong Kong Branch</t>
  </si>
  <si>
    <t>塑料</t>
  </si>
  <si>
    <t>为2023年9月到期的中长期境外债券的再融资</t>
  </si>
  <si>
    <t>HEFIND</t>
  </si>
  <si>
    <t>XIANJIN INDUSTRY INVESTMENT COMPANY LIMITED</t>
  </si>
  <si>
    <t>Bank of China Limited;Industrial and Commercial Bank of China (Macau) Limited;Bank of Communications Co., Ltd. Hong Kong Branch;Luso International Banking Ltd;CEB International Capital Corporation Limited;China Galaxy International Securities (Hong Kong) Company Limited;CMBC Securities Company Limited;China Industrial Securities International Brokerage Limited</t>
  </si>
  <si>
    <t>Bank of China Limited;CEB International Capital Corporation Limited;ICBC International Securities Limited;China Galaxy International Securities (Hong Kong) Company Limited;CLSA Securities Limited;China Industrial Securities International Brokerage Limited;Industrial and Commercial Bank of China (Macau) Limited;Bank of Communications Co., Ltd. Hong Kong Branch;Luso International Banking Ltd;Industrial Bank Co., Ltd. Hong Kong Branch;CNCB (Hong Kong) Capital Limited;China International Capital Corporation;Shanghai Pudong Development Bank Hong Kong Branch;CMBC Securities Company Limited</t>
  </si>
  <si>
    <t>日照城投集团有限公司</t>
  </si>
  <si>
    <t>RZCTJT 2.3 09/04/26</t>
  </si>
  <si>
    <t>日照城投集团 2.3 2026-09-04</t>
  </si>
  <si>
    <t>2.3%</t>
  </si>
  <si>
    <t>SBLC+担保+维好协议</t>
  </si>
  <si>
    <t>齐鲁银行股份有限公司</t>
  </si>
  <si>
    <t>日照市</t>
  </si>
  <si>
    <t>Wilson Securities Limited;Initial Capital Securities Limited;China Zheshang Bank Co., Ltd. Hong Kong Branch;Industrial Bank Co., Ltd. Hong Kong Branch;Fosun International Securities Limited;CEB International Capital Corporation Limited;Shenwan Hongyuan Securities (H.K.) Limited;Zhongtai International Securities Limited</t>
  </si>
  <si>
    <t>用于项目建设和补充营运资金</t>
  </si>
  <si>
    <t>RZCTJT</t>
  </si>
  <si>
    <t>RIZHAO CHENGTOU (BVI) CO., LTD</t>
  </si>
  <si>
    <t>日照市城市建设投资集团有限公司</t>
  </si>
  <si>
    <t>Fosun International Securities Limited;Shenwan Hongyuan Securities (H.K.) Limited;Initial Capital Securities Limited;Industrial Bank Co., Ltd. Hong Kong Branch;China Zheshang Bank Co., Ltd. Hong Kong Branch;CEB International Capital Corporation Limited;Wilson Securities Limited;Zhongtai International Securities Limited</t>
  </si>
  <si>
    <t>中信证券国际有限公司</t>
  </si>
  <si>
    <t>CSILTD 0 12/05/23</t>
  </si>
  <si>
    <t>HK0000951068</t>
  </si>
  <si>
    <t>中信证券国际 0 2023-12-05</t>
  </si>
  <si>
    <t>--/BBB+</t>
  </si>
  <si>
    <t>--/稳定</t>
  </si>
  <si>
    <t>0.2493</t>
  </si>
  <si>
    <t>CLSA Limited</t>
  </si>
  <si>
    <t>证券</t>
  </si>
  <si>
    <t>92D</t>
  </si>
  <si>
    <t>国有相对控股企业</t>
  </si>
  <si>
    <t>CSILTD</t>
  </si>
  <si>
    <t>CSI MTN LTD</t>
  </si>
  <si>
    <t>230829HK0000951068</t>
  </si>
  <si>
    <t>UMQHTH 5.5 09/07/26</t>
  </si>
  <si>
    <t>鲁高新投 5.5 2026-09-07</t>
  </si>
  <si>
    <t>5.6%区域</t>
  </si>
  <si>
    <t>5.50%</t>
  </si>
  <si>
    <t>新疆维吾尔自治区</t>
  </si>
  <si>
    <t>乌鲁木齐市</t>
  </si>
  <si>
    <t>新市区</t>
  </si>
  <si>
    <t>Carnegie Hill Capital Partners Limited;Haitong International Securities Company Limited;Shenwan Hongyuan Securities (H.K.) Limited;BOCOM International Securities Limited;Huaxia Bank Co Ltd/Hong Kong;Guotai Junan Securities (Hong Kong) Limited;China CITIC Bank International Limited</t>
  </si>
  <si>
    <t>高收益</t>
  </si>
  <si>
    <t>为现有离岸债务再融资</t>
  </si>
  <si>
    <t>UMQHTH</t>
  </si>
  <si>
    <t>Guolian Securities International Capital Co., Limited;Industrial Bank Co., Ltd. Hong Kong Branch;CMBC Capital Holdings;Guosen Securities (HK) Capital Company Limited;CNCB (Hong Kong) Capital Limited;China International Capital Corporation Hong Kong Securities Limited;Shanghai Pudong Development Bank Hong Kong Branch;China Industrial Securities International Brokerage Limited</t>
  </si>
  <si>
    <t>Shenwan Hongyuan Securities (H.K.) Limited;CMBC Capital Holdings;Guosen Securities (HK) Capital Company Limited;Huaxia Bank Co Ltd/Hong Kong;China Industrial Securities International Brokerage Limited;Guolian Securities International Capital Co., Limited;Industrial Bank Co., Ltd. Hong Kong Branch;BOCOM International Securities Limited;CNCB (Hong Kong) Capital Limited;China International Capital Corporation Hong Kong Securities Limited;Carnegie Hill Capital Partners Limited;China CITIC Bank International Limited;Guotai Junan Securities (Hong Kong) Limited;Shanghai Pudong Development Bank Hong Kong Branch;Haitong International Securities Company Limited</t>
  </si>
  <si>
    <t>230829HK0000946829</t>
  </si>
  <si>
    <t>信银(香港)投资有限公司</t>
  </si>
  <si>
    <t>CNCBHK 6.237 09/03/24</t>
  </si>
  <si>
    <t>XS2674403105</t>
  </si>
  <si>
    <t>信银投资 6.237 2024-09-03</t>
  </si>
  <si>
    <t>--/BBB</t>
  </si>
  <si>
    <t>--/正面</t>
  </si>
  <si>
    <t>1.0Y</t>
  </si>
  <si>
    <t>中外合资企业</t>
  </si>
  <si>
    <t>CNCBHK</t>
  </si>
  <si>
    <t>CNCB HONG KONG INVESTMENT LTD</t>
  </si>
  <si>
    <t>到期一次还本付息</t>
  </si>
  <si>
    <t>230829XS2674403105</t>
  </si>
  <si>
    <t>天津滨海新区建设投资集团有限公司</t>
  </si>
  <si>
    <t>BINHCO 7 09/03/24</t>
  </si>
  <si>
    <t>XS2673291683</t>
  </si>
  <si>
    <t>滨海建投 7 2024-09-03</t>
  </si>
  <si>
    <t>Baa2/NR</t>
  </si>
  <si>
    <t>观察/无</t>
  </si>
  <si>
    <t>天津银行股份有限公司</t>
  </si>
  <si>
    <t>天津市</t>
  </si>
  <si>
    <t>滨海新区</t>
  </si>
  <si>
    <t>China Galaxy International Securities (Hong Kong) Company Limited;China Zheshang Bank Co., Ltd. Hong Kong Branch;CLSA Limited;Guoyuan Securities Brokerage (Hong Kong) Limited;Hua Xia Bank Co., Limited Hong Kong Branch</t>
  </si>
  <si>
    <t>BINHCO</t>
  </si>
  <si>
    <t>ZHAOHAI INVESTMENT BVI LTD</t>
  </si>
  <si>
    <t>CLSA Limited;Hua Xia Bank Co., Limited Hong Kong Branch;China Zheshang Bank Co., Ltd. Hong Kong Branch;Guoyuan Securities Brokerage (Hong Kong) Limited;China Galaxy International Securities (Hong Kong) Company Limited</t>
  </si>
  <si>
    <t>230829XS2673291683</t>
  </si>
  <si>
    <t>HAYASS 5.9 09/01/26</t>
  </si>
  <si>
    <t>海盐国有资产经营 5.9 2026-09-01</t>
  </si>
  <si>
    <t>6.3%区域</t>
  </si>
  <si>
    <t>嘉兴市</t>
  </si>
  <si>
    <t>海盐县</t>
  </si>
  <si>
    <t>China International Capital Corporation Hong Kong Securities Limited</t>
  </si>
  <si>
    <t>项目建设和补充营运资金</t>
  </si>
  <si>
    <t>HAYASS</t>
  </si>
  <si>
    <t>海盐海滨有限公司</t>
  </si>
  <si>
    <t>Hua Xia Bank Co., Limited Hong Kong Branch;Industrial Bank Co., Ltd. Hong Kong Branch;BOCOM International Securities Limited;CNCB (Hong Kong) Capital Limited;Huatai Financial Holdings (Hong Kong) Limited;SunRiver International Securities Group Limited</t>
  </si>
  <si>
    <t>Hua Xia Bank Co., Limited Hong Kong Branch;Industrial Bank Co., Ltd. Hong Kong Branch;BOCOM International Securities Limited;CNCB (Hong Kong) Capital Limited;China International Capital Corporation Hong Kong Securities Limited;Huatai Financial Holdings (Hong Kong) Limited;SunRiver International Securities Group Limited</t>
  </si>
  <si>
    <t>230829XS2671493562</t>
  </si>
  <si>
    <t>深圳市人民政府</t>
  </si>
  <si>
    <t>SHENZH 2.4 09/05/25</t>
  </si>
  <si>
    <t>HK0000946886</t>
  </si>
  <si>
    <t>深圳市人民政府 2.4 2025-09-05</t>
  </si>
  <si>
    <t>Bank of China (Hong Kong) Limited;China International Capital Corporation Hong Kong Securities Limited;The Hongkong and Shanghai Banking Corporation Limited;CLSA Securities Limited</t>
  </si>
  <si>
    <t>2.0Y</t>
  </si>
  <si>
    <t>SHENZH</t>
  </si>
  <si>
    <t>中华人民共和国广东省深圳市人民政府</t>
  </si>
  <si>
    <t>Bank of Communications Co., Ltd. Hong Kong Branch;Agricultural Bank of China Limited Hong Kong Branch;Industrial and Commercial Bank of China (Asia) Limited;China Construction Bank (Asia) Corporation Limited;CMB Wing Lung Bank Limited;Industrial Bank Co., Ltd. Hong Kong Branch;China CITIC Bank International Limited;J.P. Morgan Securities (Asia Pacific) Limited;Standard Chartered Bank (Hong Kong) Limited;Guotai Junan Securities (Hong Kong) Limited;China Minsheng Banking Corp., Ltd., Hong Kong Branch;Citigroup Global Markets Limited;Haitong International Securities Company Limited;China PA Securities (Hong Kong) Company Limited;Shenwan Hongyuan Securities (H.K.) Limited;Shanghai Pudong Development Bank Co., Ltd., Hong Kong Branch;Mizuho Securities Asia Limited;Huatai Financial Holdings (Hong Kong) Limited;Cinda International Capital Limited;Guosen Securities (HK) Capital Company Limited;China Zheshang Bank Co., Ltd. Hong Kong Branch</t>
  </si>
  <si>
    <t>Shenwan Hongyuan Securities (H.K.) Limited;Bank of Communications Co., Ltd. Hong Kong Branch;Industrial Bank Co., Ltd. Hong Kong Branch;China International Capital Corporation Hong Kong Securities Limited;Industrial and Commercial Bank of China (Asia) Limited;Huatai Financial Holdings (Hong Kong) Limited;China Zheshang Bank Co., Ltd. Hong Kong Branch;Guotai Junan Securities (Hong Kong) Limited;Standard Chartered Bank (Hong Kong) Limited;Mizuho Securities Asia Limited;Bank of China (Hong Kong) Limited;J.P. Morgan Securities (Asia Pacific) Limited;China PA Securities (Hong Kong) Company Limited;Haitong International Securities Company Limited;China Minsheng Banking Corp., Ltd., Hong Kong Branch;Guosen Securities (HK) Capital Company Limited;Cinda International Capital Limited;CLSA Securities Limited;The Hongkong and Shanghai Banking Corporation Limited;China Construction Bank (Asia) Corporation Limited;China CITIC Bank International Limited;Agricultural Bank of China Limited Hong Kong Branch;CMB Wing Lung Bank Limited;Shanghai Pudong Development Bank Co., Ltd., Hong Kong Branch;Citigroup Global Markets Limited</t>
  </si>
  <si>
    <t>230829HK0000946886</t>
  </si>
  <si>
    <t>SHENZH 2.55 09/05/26</t>
  </si>
  <si>
    <t>HK0000946894</t>
  </si>
  <si>
    <t>深圳市人民政府 2.55 2026-09-05</t>
  </si>
  <si>
    <t>230829HK0000946894</t>
  </si>
  <si>
    <t>SHENZH 2.75 09/05/28</t>
  </si>
  <si>
    <t>HK0000946902</t>
  </si>
  <si>
    <t>深圳市人民政府 2.75 2028-09-05</t>
  </si>
  <si>
    <t>5.0000</t>
  </si>
  <si>
    <t>5.0Y</t>
  </si>
  <si>
    <t>230829HK0000946902</t>
  </si>
  <si>
    <t>CSCIF 2.6 12/01/23</t>
  </si>
  <si>
    <t>XS2676395150</t>
  </si>
  <si>
    <t>中信建投国际 2.6 2023-12-01</t>
  </si>
  <si>
    <t>China Securities (International) Brokerage Company Limited;Mizuho Securities Asia Limited</t>
  </si>
  <si>
    <t>88D</t>
  </si>
  <si>
    <t>230828XS2676395150</t>
  </si>
  <si>
    <t>山东海洋集团有限公司</t>
  </si>
  <si>
    <t>SDOCIN 7.25 09/05/26</t>
  </si>
  <si>
    <t>XS2665469636</t>
  </si>
  <si>
    <t>山东海洋集团有限公司 7.25 2026-09-05</t>
  </si>
  <si>
    <t>新加坡交易所</t>
  </si>
  <si>
    <t>7.5%区域</t>
  </si>
  <si>
    <t>7.25%</t>
  </si>
  <si>
    <t>航运</t>
  </si>
  <si>
    <t>用于再融资在一年内到期的长期离岸债务</t>
  </si>
  <si>
    <t>SDOCIN</t>
  </si>
  <si>
    <t>SDOE DEVELOPMENT I COMPANY LIMITED</t>
  </si>
  <si>
    <t>Hua Xia Bank Co., Limited Hong Kong Branch;Industrial Bank Co., Ltd. Hong Kong Branch;CNCB (Hong Kong) Capital Limited;China CITIC Bank International Limited;Huatai Financial Holdings (Hong Kong) Limited;China Industrial Securities International Brokerage Limited</t>
  </si>
  <si>
    <t>Hua Xia Bank Co., Limited Hong Kong Branch;Industrial Bank Co., Ltd. Hong Kong Branch;CNCB (Hong Kong) Capital Limited;China International Capital Corporation Hong Kong Securities Limited;China CITIC Bank International Limited;Huatai Financial Holdings (Hong Kong) Limited;China Industrial Securities International Brokerage Limited</t>
  </si>
  <si>
    <t>230828XS2665469636</t>
  </si>
  <si>
    <t>黑牡丹(集团)股份有限公司</t>
  </si>
  <si>
    <t>BPEOHK 6.95 09/01/26</t>
  </si>
  <si>
    <t>XS2665861246</t>
  </si>
  <si>
    <t>黑牡丹 6.95 2026-09-01</t>
  </si>
  <si>
    <t>7.3%区域</t>
  </si>
  <si>
    <t>6.95%</t>
  </si>
  <si>
    <t>常州市</t>
  </si>
  <si>
    <t>新北区</t>
  </si>
  <si>
    <t>China International Capital Corporation Hong Kong Securities Limited;Guotai Junan Securities (Hong Kong) Limited;Donghai International Securities (Hong Kong) Limited</t>
  </si>
  <si>
    <t>根据国家发展和改革委员会（NDRC）的证书偿还集团的债务</t>
  </si>
  <si>
    <t>BPEOHK</t>
  </si>
  <si>
    <t>黑牡丹(香港)控股有限公司</t>
  </si>
  <si>
    <t>Soochow Securities Company Limited;Industrial Bank Co., Ltd. Hong Kong Branch;China Galaxy International Securities (Hong Kong) Company Limited;CLSA Securities Limited;Soochow CSSD Capital Markets (Asia) Pte. Ltd.;Luso International Banking Limited</t>
  </si>
  <si>
    <t>Soochow Securities Company Limited;Luso International Banking Limited;Industrial Bank Co., Ltd. Hong Kong Branch;China International Capital Corporation Hong Kong Securities Limited;China Galaxy International Securities (Hong Kong) Company Limited;Guotai Junan Securities (Hong Kong) Limited;CLSA Securities Limited;Soochow CSSD Capital Markets (Asia) Pte. Ltd.;Donghai International Securities (Hong Kong) Limited</t>
  </si>
  <si>
    <t>230828XS2665861246</t>
  </si>
  <si>
    <t>--/--/BBB</t>
  </si>
  <si>
    <t>--/BBB/BBB</t>
  </si>
  <si>
    <t>Baa2*-/NR/WD</t>
  </si>
  <si>
    <t>Baa2/--/--</t>
  </si>
  <si>
    <t>--/BBB+/--</t>
  </si>
  <si>
    <t>--/--/BB+</t>
  </si>
  <si>
    <t>台州城投</t>
  </si>
  <si>
    <t>日照城投</t>
  </si>
  <si>
    <t>山东海洋</t>
  </si>
  <si>
    <t>2.55%</t>
  </si>
  <si>
    <t>MOX</t>
  </si>
  <si>
    <t>Sustainable</t>
  </si>
  <si>
    <t>6%a</t>
  </si>
  <si>
    <t>港交所;澳交所;卢交所</t>
  </si>
  <si>
    <t>2</t>
  </si>
  <si>
    <t>2.4%</t>
  </si>
  <si>
    <t>齐鲁银行</t>
  </si>
  <si>
    <t>备证+担保+维好</t>
  </si>
  <si>
    <t>5</t>
  </si>
  <si>
    <t>2.75%</t>
  </si>
  <si>
    <t>5.6%a</t>
  </si>
  <si>
    <t>5.5%</t>
  </si>
  <si>
    <t>天津银行</t>
  </si>
  <si>
    <t>6.3%a</t>
  </si>
  <si>
    <t>7.3%a</t>
  </si>
  <si>
    <t>7.5%a</t>
  </si>
  <si>
    <t>170k</t>
  </si>
  <si>
    <t>157k</t>
  </si>
  <si>
    <t>46235</t>
  </si>
  <si>
    <t>228k</t>
  </si>
  <si>
    <t>232k</t>
  </si>
  <si>
    <t>195k</t>
  </si>
  <si>
    <t>177k</t>
  </si>
  <si>
    <t>371k</t>
  </si>
  <si>
    <t>45870</t>
  </si>
  <si>
    <t>CPI 同比</t>
  </si>
  <si>
    <t>CNCPIYOY Index</t>
  </si>
  <si>
    <t>中国八月CPI 同比</t>
  </si>
  <si>
    <t>PPI同比</t>
  </si>
  <si>
    <t>CHEFTYOY Index</t>
  </si>
  <si>
    <t>中国八月PPI同比</t>
  </si>
  <si>
    <t>货币供应M2同比</t>
  </si>
  <si>
    <t>CNMS2YOY Index</t>
  </si>
  <si>
    <t>中国八月货币供应M2同比</t>
  </si>
  <si>
    <t>贸易余额</t>
  </si>
  <si>
    <t>$71.13b</t>
  </si>
  <si>
    <t>$80.60b</t>
  </si>
  <si>
    <t>CNFRBAL$ Index</t>
  </si>
  <si>
    <t>中国八月贸易余额</t>
  </si>
  <si>
    <t>出口同比</t>
  </si>
  <si>
    <t>CNFREXPY Index</t>
  </si>
  <si>
    <t>中国八月出口同比</t>
  </si>
  <si>
    <t>进口同比</t>
  </si>
  <si>
    <t>CNFRIMPY Index</t>
  </si>
  <si>
    <t>中国八月进口同比</t>
  </si>
  <si>
    <t>财新中国PMI服务业</t>
  </si>
  <si>
    <t>MPMICNSA Index</t>
  </si>
  <si>
    <t>八月财新中国PMI服务业</t>
  </si>
  <si>
    <t>新增人民币贷款</t>
  </si>
  <si>
    <t>1100.0b</t>
  </si>
  <si>
    <t>345.9b</t>
  </si>
  <si>
    <t>CNLNNEW Index</t>
  </si>
  <si>
    <t>中国八月新增人民币贷款</t>
  </si>
  <si>
    <t>外汇储备</t>
  </si>
  <si>
    <t>$3182.00b</t>
  </si>
  <si>
    <t>$3204.27b</t>
  </si>
  <si>
    <t>CNGFOREX Index</t>
  </si>
  <si>
    <t>中国八月外汇储备</t>
  </si>
  <si>
    <t>财新中国PMI综合</t>
  </si>
  <si>
    <t>MPMICNCA Index</t>
  </si>
  <si>
    <t>八月财新中国PMI综合</t>
  </si>
  <si>
    <t>GDP经季调季环比</t>
  </si>
  <si>
    <t>2Q F</t>
  </si>
  <si>
    <t>EUGNEMUQ Index</t>
  </si>
  <si>
    <t>欧元区二季度</t>
  </si>
  <si>
    <t>欧元区二季度GDP经季调季环比</t>
  </si>
  <si>
    <t>GDP经季调同比</t>
  </si>
  <si>
    <t>EUGNEMUY Index</t>
  </si>
  <si>
    <t>欧元区二季度GDP经季调同比</t>
  </si>
  <si>
    <t>37500</t>
  </si>
  <si>
    <t>234k</t>
  </si>
  <si>
    <t>JUL F</t>
  </si>
  <si>
    <t>37135</t>
  </si>
  <si>
    <t>工厂订单</t>
  </si>
  <si>
    <t>TMNOCHNG Index</t>
  </si>
  <si>
    <t>美国七月工厂订单</t>
  </si>
  <si>
    <t>-$68.0b</t>
  </si>
  <si>
    <t>-$65.5b</t>
  </si>
  <si>
    <t>USTBTOT Index</t>
  </si>
  <si>
    <t>美国七月贸易余额</t>
  </si>
  <si>
    <t>8月28日一周Charts</t>
  </si>
  <si>
    <t>8月28日一周一级市场总结</t>
  </si>
  <si>
    <t>2.75%a</t>
  </si>
  <si>
    <t>2.9%a</t>
  </si>
  <si>
    <t>3.15%a</t>
  </si>
  <si>
    <t>乌鲁木齐高新</t>
  </si>
  <si>
    <t>黑牡丹集团</t>
  </si>
  <si>
    <t>Ubertech</t>
  </si>
  <si>
    <t>Coastline</t>
  </si>
  <si>
    <t>III</t>
  </si>
  <si>
    <t>02</t>
  </si>
  <si>
    <t>齐鲁财金(恒丰银行)</t>
  </si>
  <si>
    <t>广东省政府</t>
  </si>
  <si>
    <t>35</t>
  </si>
  <si>
    <t>绿色澳交所债券</t>
  </si>
  <si>
    <t>绿色澳交所点心债</t>
  </si>
  <si>
    <t>日照城投(齐鲁银行)</t>
  </si>
  <si>
    <t>合肥产投</t>
  </si>
  <si>
    <t>深圳市政府</t>
  </si>
  <si>
    <t>绿色点心债</t>
  </si>
  <si>
    <t>海盐国资</t>
  </si>
  <si>
    <t>滨海建投(天津银行)</t>
  </si>
  <si>
    <t>25</t>
  </si>
  <si>
    <t>周一，山东海洋定价2亿美元3年期高级债，价格7.25%，较IPG收窄25个基点</t>
  </si>
  <si>
    <t>周一，黑牡丹集团定价1.26亿美元3年期高级债，价格6.95%，较IPG收窄35个基点</t>
  </si>
  <si>
    <t>周二，滨海建投（Baa2/--/--）定价5000万美元364天信用增强债券（天津银行提供备证），价格7%</t>
  </si>
  <si>
    <t>周二，海盐国资（--/--/BBB-）定价1.22亿美元3年期高级债（--/--/BBB-），价格5.9%，较IPG收窄40个基点，交银国际担任账簿管理人</t>
  </si>
  <si>
    <t>周三，合肥产投（--/--/BBB）定价3亿美元3年期高级债（--/--/BBB），价格5.8%，较IPG收窄20个基点，交通银行担任账簿管理人</t>
  </si>
  <si>
    <t>周三，日照城投定价56.6亿日元3年期信用增强债券（齐鲁银行提供备证），价格2.3%</t>
  </si>
  <si>
    <t>周四，台州城投（--/--/BBB）定价5亿美元3年期可持续债券（--/--/BBB），价格5.9%，较IPG收窄10个基点</t>
  </si>
  <si>
    <t>周四，广东省政府定价10亿美元3年期绿色澳交所债券，价格2.55%，较IPG收窄35个基点，交通银行担任账簿管理人</t>
  </si>
  <si>
    <t>3-5年</t>
  </si>
  <si>
    <t>周四，齐鲁财金定价人民币2亿元3年期点心债（恒丰银行提供备证），价格4.8%</t>
  </si>
  <si>
    <t>周四，广东省政府定价人民币10亿元2年期绿色澳交所点心债，价格2.4%，较IPG收窄35个基点，交通银行担任账簿管理人</t>
  </si>
  <si>
    <t>周二，深圳市政府定价人民币21亿元3年期绿色点心债，价格2.55%，较IPG收窄35个基点，交通银行担任账簿管理人</t>
  </si>
  <si>
    <t>周二，深圳市政府定价人民币20亿元5年期绿色点心债，价格2.75%，较IPG收窄40个基点，交通银行担任账簿管理人</t>
  </si>
  <si>
    <t>周二，深圳市政府定价人民币9亿元2年期绿色点心债，价格2.4%，较IPG收窄35个基点，交通银行担任账簿管理人</t>
  </si>
  <si>
    <t>周二，乌鲁木齐高新（--/--/BB+）定价人民币8.062亿元3年期点心债，价格5.5%，较IPG收窄10个基点，交银国际担任全球协调人</t>
  </si>
  <si>
    <t>0.0255</t>
  </si>
  <si>
    <t>0.024</t>
  </si>
  <si>
    <t>0.0275</t>
  </si>
  <si>
    <t>58</t>
  </si>
  <si>
    <t>59</t>
  </si>
  <si>
    <t>Writer</t>
  </si>
  <si>
    <t>滨海建投</t>
  </si>
  <si>
    <t>齐鲁财金</t>
  </si>
  <si>
    <t>深圳市政府定价三批次离岸债券：
周二，深圳市政府定价人民币21亿元3年期绿色点心债，价格2.55%，较IPG收窄35个基点，交通银行担任账簿管理人
周二，深圳市政府定价人民币20亿元5年期绿色点心债，价格2.75%，较IPG收窄40个基点，交通银行担任账簿管理人
周二，深圳市政府定价人民币9亿元2年期绿色点心债，价格2.4%，较IPG收窄35个基点，交通银行担任账簿管理人</t>
  </si>
  <si>
    <t>NEWWriter</t>
  </si>
  <si>
    <t>违约日期</t>
  </si>
  <si>
    <t>周二，滨海建投（Baa2/--/--）定价5000万美元364天信用增强债券，天津银行提供备证，价格7%</t>
  </si>
  <si>
    <t>周四，齐鲁财金定价人民币2亿元3年期点心债，恒丰银行提供备证，价格4.8%</t>
  </si>
  <si>
    <t>周三，日照城投定价56.6亿日元3年期信用增强债券，齐鲁银行提供备证，价格2.3%</t>
  </si>
  <si>
    <t>CNH;USD</t>
  </si>
  <si>
    <t>广东省政府定价双批次离岸债券：
周四，广东省政府定价人民币10亿元2年期绿色澳交所点心债，价格2.4%，较IPG收窄35个基点，交通银行担任账簿管理人
周四，广东省政府定价10亿美元3年期绿色澳交所债券，价格2.55%，较IPG收窄35个基点，交通银行担任账簿管理人</t>
  </si>
  <si>
    <t>Stats</t>
  </si>
  <si>
    <t>Column1</t>
  </si>
  <si>
    <t>未检测到DMI列名有更改</t>
  </si>
  <si>
    <t>未检测到DMI有新增列</t>
  </si>
  <si>
    <t>Column2</t>
  </si>
  <si>
    <t>添加增发方式</t>
  </si>
  <si>
    <t>新增记录</t>
  </si>
  <si>
    <t>原始ISIN</t>
  </si>
  <si>
    <t>增发ISIN</t>
  </si>
  <si>
    <t>BOCOM International Securities Limited</t>
  </si>
  <si>
    <t>Bank of Communications Co., Ltd. Hong Kong Branch</t>
  </si>
  <si>
    <t>Bank of Communications Co., Ltd. Macau Branch</t>
  </si>
  <si>
    <t>BOCOMJLM</t>
  </si>
  <si>
    <t>维好协议</t>
  </si>
  <si>
    <t>IPT</t>
  </si>
  <si>
    <t>6.5%</t>
  </si>
  <si>
    <t>上城</t>
  </si>
  <si>
    <t>XS2661086483</t>
  </si>
  <si>
    <t>杭州上城城建综合</t>
  </si>
  <si>
    <t>5.85%</t>
  </si>
  <si>
    <t>6.25%a</t>
  </si>
  <si>
    <t>绿色债券</t>
  </si>
  <si>
    <t>XS2618570068</t>
  </si>
  <si>
    <t>杭州上城城投</t>
  </si>
  <si>
    <t>XS2549299480</t>
  </si>
  <si>
    <t>杭州上城国资</t>
  </si>
  <si>
    <t>Baa3/--/--</t>
  </si>
  <si>
    <t>6.5%a</t>
  </si>
  <si>
    <t>0</t>
  </si>
  <si>
    <t>XS2502241412</t>
  </si>
  <si>
    <t>3.99%</t>
  </si>
  <si>
    <t>4.8%a</t>
  </si>
  <si>
    <t>30</t>
  </si>
  <si>
    <t>杭州市</t>
  </si>
  <si>
    <t>输入要查询的ISIN</t>
  </si>
  <si>
    <t>输入主体关键字</t>
  </si>
  <si>
    <t>6.20%</t>
  </si>
  <si>
    <t>3 增发详情：填写每一列</t>
  </si>
  <si>
    <t>2 原始债券：在下表内右键选Refresh</t>
  </si>
  <si>
    <t>4 生成增发记录：在下表内右键选Refresh</t>
  </si>
  <si>
    <t>杭州上城区国有资本运营集团有限公司</t>
  </si>
  <si>
    <t>ZHEKBV</t>
  </si>
  <si>
    <t>ZHEJIANG KUNPENG BVI CO LTD</t>
  </si>
  <si>
    <t>221101XS2549299480</t>
  </si>
  <si>
    <t>ZHEKBV 6.5 11/03/23</t>
  </si>
  <si>
    <t>杭州上城资本 6.5 2023-11-03</t>
  </si>
  <si>
    <t>Baa2/--</t>
  </si>
  <si>
    <t>稳定/--</t>
  </si>
  <si>
    <t>Baa3/--</t>
  </si>
  <si>
    <t>0.9973</t>
  </si>
  <si>
    <t>商业物业经营</t>
  </si>
  <si>
    <t>61D</t>
  </si>
  <si>
    <t>项目开发和一般公司目的</t>
  </si>
  <si>
    <t>条款：控制权变更回售@101%</t>
  </si>
  <si>
    <t>23/9/10 9:00</t>
  </si>
  <si>
    <t>AddToDLD</t>
  </si>
  <si>
    <t>N</t>
  </si>
  <si>
    <t>1 搜索原始债券</t>
  </si>
  <si>
    <t>AddTap To Download</t>
  </si>
  <si>
    <t>5 Refresh Query FOLDER 【2】Download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</si>
</sst>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yyyy/m/d;@"/>
    <numFmt numFmtId="165" formatCode="0.000%"/>
    <numFmt numFmtId="166" formatCode="[$-F400]h:mm:ss\ AM/PM"/>
    <numFmt numFmtId="167" formatCode="m/d;@"/>
    <numFmt numFmtId="168" formatCode="0.0%"/>
  </numFmts>
  <fonts count="55" x14ac:knownFonts="1">
    <font>
      <sz val="11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1"/>
      <color theme="1"/>
      <name val="Microsoft JhengHei UI"/>
      <family val="2"/>
      <scheme val="minor"/>
    </font>
    <font>
      <b/>
      <sz val="11"/>
      <color theme="0"/>
      <name val="Microsoft JhengHei UI"/>
      <family val="2"/>
      <scheme val="minor"/>
    </font>
    <font>
      <sz val="8"/>
      <color theme="1"/>
      <name val="Microsoft JhengHei UI"/>
      <family val="2"/>
      <scheme val="minor"/>
    </font>
    <font>
      <sz val="10"/>
      <color theme="1"/>
      <name val="Microsoft JhengHei UI"/>
      <family val="2"/>
      <scheme val="minor"/>
    </font>
    <font>
      <i/>
      <sz val="10"/>
      <color theme="1" tint="0.39994506668294322"/>
      <name val="Microsoft JhengHei UI"/>
      <family val="2"/>
      <scheme val="minor"/>
    </font>
    <font>
      <b/>
      <i/>
      <sz val="10"/>
      <color theme="0"/>
      <name val="Microsoft JhengHei UI"/>
      <family val="2"/>
      <scheme val="minor"/>
    </font>
    <font>
      <sz val="36"/>
      <color rgb="FF0071BA"/>
      <name val="Microsoft JhengHei UI"/>
      <family val="2"/>
      <scheme val="minor"/>
    </font>
    <font>
      <sz val="36"/>
      <color rgb="FF2A7968"/>
      <name val="Microsoft JhengHei UI"/>
      <family val="2"/>
      <scheme val="minor"/>
    </font>
    <font>
      <sz val="11"/>
      <color rgb="FF2A7968"/>
      <name val="Microsoft JhengHei UI"/>
      <family val="2"/>
      <scheme val="minor"/>
    </font>
    <font>
      <sz val="36"/>
      <color rgb="FFC69E62"/>
      <name val="Microsoft JhengHei UI"/>
      <family val="2"/>
      <scheme val="minor"/>
    </font>
    <font>
      <sz val="8"/>
      <name val="Microsoft JhengHei UI"/>
      <family val="2"/>
      <scheme val="minor"/>
    </font>
    <font>
      <b/>
      <u/>
      <sz val="9"/>
      <color theme="9" tint="-0.249977111117893"/>
      <name val="Segoe UI"/>
      <family val="2"/>
    </font>
    <font>
      <i/>
      <u/>
      <sz val="18"/>
      <color rgb="FFC69E62"/>
      <name val="Microsoft JhengHei UI"/>
      <family val="2"/>
      <scheme val="minor"/>
    </font>
    <font>
      <sz val="18"/>
      <color rgb="FF2A7968"/>
      <name val="Microsoft JhengHei UI"/>
      <family val="2"/>
      <scheme val="minor"/>
    </font>
    <font>
      <sz val="18"/>
      <color rgb="FF888AA6"/>
      <name val="Microsoft JhengHei UI"/>
      <family val="2"/>
      <scheme val="minor"/>
    </font>
    <font>
      <sz val="11"/>
      <color theme="9"/>
      <name val="Microsoft JhengHei UI"/>
      <family val="2"/>
      <scheme val="minor"/>
    </font>
    <font>
      <sz val="36"/>
      <color rgb="FF234473"/>
      <name val="Microsoft JhengHei UI"/>
      <family val="2"/>
      <scheme val="minor"/>
    </font>
    <font>
      <sz val="26"/>
      <color theme="9"/>
      <name val="Microsoft JhengHei UI"/>
      <family val="2"/>
      <scheme val="minor"/>
    </font>
    <font>
      <sz val="11"/>
      <color indexed="8"/>
      <name val="Microsoft JhengHei UI"/>
      <family val="2"/>
      <scheme val="minor"/>
    </font>
    <font>
      <sz val="36"/>
      <color theme="0"/>
      <name val="Microsoft JhengHei UI"/>
      <family val="2"/>
      <scheme val="minor"/>
    </font>
    <font>
      <sz val="36"/>
      <color rgb="FF888AA6"/>
      <name val="Microsoft JhengHei UI"/>
      <family val="2"/>
      <scheme val="minor"/>
    </font>
    <font>
      <sz val="28"/>
      <color rgb="FF2A7968"/>
      <name val="Microsoft JhengHei UI"/>
      <family val="2"/>
      <scheme val="minor"/>
    </font>
    <font>
      <sz val="11"/>
      <color theme="2" tint="0.499984740745262"/>
      <name val="Microsoft JhengHei UI"/>
      <family val="2"/>
      <scheme val="minor"/>
    </font>
    <font>
      <b/>
      <sz val="8"/>
      <color rgb="FFFA7D00"/>
      <name val="Microsoft JhengHei UI"/>
      <family val="2"/>
      <scheme val="minor"/>
    </font>
    <font>
      <b/>
      <sz val="36"/>
      <color rgb="FF888AA6"/>
      <name val="Microsoft JhengHei UI"/>
      <family val="2"/>
      <scheme val="minor"/>
    </font>
    <font>
      <sz val="36"/>
      <color rgb="FFC2B59B"/>
      <name val="Microsoft JhengHei UI"/>
      <family val="2"/>
      <scheme val="minor"/>
    </font>
    <font>
      <b/>
      <sz val="8"/>
      <color rgb="FF3F3F3F"/>
      <name val="Microsoft JhengHei UI"/>
      <family val="2"/>
      <scheme val="minor"/>
    </font>
    <font>
      <b/>
      <sz val="9"/>
      <color indexed="81"/>
      <name val="Tahoma"/>
      <family val="2"/>
    </font>
    <font>
      <sz val="22"/>
      <color theme="0"/>
      <name val="Microsoft JhengHei UI"/>
      <family val="2"/>
      <scheme val="minor"/>
    </font>
    <font>
      <sz val="36"/>
      <color theme="8"/>
      <name val="Microsoft JhengHei UI"/>
      <family val="2"/>
      <scheme val="minor"/>
    </font>
    <font>
      <sz val="14"/>
      <color theme="1"/>
      <name val="Microsoft JhengHei UI"/>
      <family val="2"/>
      <scheme val="minor"/>
    </font>
    <font>
      <sz val="14"/>
      <color rgb="FF888AA6"/>
      <name val="Microsoft JhengHei UI"/>
      <family val="2"/>
      <scheme val="minor"/>
    </font>
    <font>
      <sz val="12"/>
      <color rgb="FF888AA6"/>
      <name val="Microsoft JhengHei UI"/>
      <family val="2"/>
      <scheme val="minor"/>
    </font>
    <font>
      <b/>
      <sz val="14"/>
      <color rgb="FFC2B59B"/>
      <name val="Microsoft JhengHei UI"/>
      <family val="2"/>
      <scheme val="minor"/>
    </font>
    <font>
      <sz val="28"/>
      <color rgb="FF0070C0"/>
      <name val="Microsoft JhengHei UI"/>
      <family val="2"/>
      <scheme val="minor"/>
    </font>
    <font>
      <b/>
      <sz val="8"/>
      <color theme="0" tint="-0.499984740745262"/>
      <name val="Microsoft JhengHei UI"/>
      <family val="2"/>
      <scheme val="minor"/>
    </font>
    <font>
      <sz val="12"/>
      <color indexed="81"/>
      <name val="Tahoma"/>
      <family val="2"/>
    </font>
    <font>
      <sz val="9"/>
      <color indexed="81"/>
      <name val="Tahoma"/>
      <family val="2"/>
    </font>
    <font>
      <sz val="9"/>
      <name val="Microsoft JhengHei UI"/>
      <family val="3"/>
      <charset val="136"/>
      <scheme val="minor"/>
    </font>
    <font>
      <sz val="11"/>
      <color theme="1"/>
      <name val="Microsoft YaHei"/>
      <family val="2"/>
      <charset val="134"/>
    </font>
    <font>
      <sz val="18"/>
      <color theme="9"/>
      <name val="Microsoft JhengHei UI"/>
      <family val="2"/>
      <scheme val="minor"/>
    </font>
    <font>
      <sz val="14"/>
      <color theme="9"/>
      <name val="Microsoft JhengHei UI"/>
      <family val="2"/>
      <scheme val="minor"/>
    </font>
    <font>
      <sz val="20"/>
      <color rgb="FFC69E62"/>
      <name val="Microsoft JhengHei UI"/>
      <family val="2"/>
      <scheme val="minor"/>
    </font>
    <font>
      <sz val="20"/>
      <color rgb="FF2A7968"/>
      <name val="Microsoft JhengHei UI"/>
      <family val="2"/>
      <scheme val="minor"/>
    </font>
    <font>
      <sz val="20"/>
      <color rgb="FF888AA6"/>
      <name val="Microsoft JhengHei UI"/>
      <family val="2"/>
      <scheme val="minor"/>
    </font>
    <font>
      <sz val="16"/>
      <color rgb="FF0071BA"/>
      <name val="Microsoft JhengHei UI"/>
      <family val="2"/>
      <scheme val="minor"/>
    </font>
    <font>
      <sz val="12"/>
      <color theme="0"/>
      <name val="Microsoft JhengHei UI"/>
      <family val="2"/>
      <scheme val="minor"/>
    </font>
    <font>
      <sz val="24"/>
      <color rgb="FF008080"/>
      <name val="Microsoft JhengHei UI"/>
      <family val="2"/>
    </font>
    <font>
      <sz val="16"/>
      <color rgb="FF234473"/>
      <name val="Microsoft JhengHei UI"/>
      <family val="2"/>
      <scheme val="minor"/>
    </font>
    <font>
      <sz val="16"/>
      <color rgb="FF2A7968"/>
      <name val="Microsoft JhengHei UI"/>
      <family val="2"/>
      <scheme val="minor"/>
    </font>
    <font>
      <sz val="16"/>
      <color rgb="FF888AA6"/>
      <name val="Microsoft JhengHei UI"/>
      <family val="2"/>
      <scheme val="minor"/>
    </font>
    <font>
      <sz val="28"/>
      <color rgb="FF234473"/>
      <name val="Microsoft JhengHei U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0"/>
        <bgColor indexed="64"/>
      </patternFill>
    </fill>
    <fill>
      <patternFill patternType="solid">
        <fgColor rgb="FFE1E1E9"/>
        <bgColor indexed="64"/>
      </patternFill>
    </fill>
    <fill>
      <patternFill patternType="solid">
        <fgColor rgb="FF234473"/>
        <bgColor indexed="64"/>
      </patternFill>
    </fill>
    <fill>
      <patternFill patternType="solid">
        <fgColor rgb="FFF4EBDF"/>
        <bgColor indexed="64"/>
      </patternFill>
    </fill>
    <fill>
      <patternFill patternType="solid">
        <fgColor rgb="FFC49162"/>
        <bgColor indexed="64"/>
      </patternFill>
    </fill>
    <fill>
      <patternFill patternType="solid">
        <fgColor rgb="FF2A7968"/>
        <bgColor indexed="64"/>
      </patternFill>
    </fill>
    <fill>
      <patternFill patternType="solid">
        <fgColor rgb="FF888AA6"/>
        <bgColor indexed="64"/>
      </patternFill>
    </fill>
    <fill>
      <patternFill patternType="solid">
        <fgColor rgb="FF0071B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4EBE0"/>
        <bgColor indexed="64"/>
      </patternFill>
    </fill>
    <fill>
      <patternFill patternType="solid">
        <fgColor rgb="FFF2F2F2"/>
      </patternFill>
    </fill>
  </fills>
  <borders count="10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234473"/>
      </left>
      <right style="double">
        <color rgb="FF234473"/>
      </right>
      <top/>
      <bottom style="thin">
        <color rgb="FF234473"/>
      </bottom>
      <diagonal/>
    </border>
    <border>
      <left style="double">
        <color rgb="FF234473"/>
      </left>
      <right style="thin">
        <color rgb="FF234473"/>
      </right>
      <top style="thin">
        <color rgb="FF234473"/>
      </top>
      <bottom style="thin">
        <color rgb="FF234473"/>
      </bottom>
      <diagonal/>
    </border>
    <border>
      <left style="hair">
        <color theme="1" tint="0.39994506668294322"/>
      </left>
      <right style="hair">
        <color theme="1" tint="0.39994506668294322"/>
      </right>
      <top style="thin">
        <color auto="1"/>
      </top>
      <bottom style="thin">
        <color auto="1"/>
      </bottom>
      <diagonal/>
    </border>
    <border>
      <left style="hair">
        <color theme="1" tint="0.39994506668294322"/>
      </left>
      <right style="hair">
        <color theme="1" tint="0.39994506668294322"/>
      </right>
      <top style="hair">
        <color theme="1" tint="0.39994506668294322"/>
      </top>
      <bottom style="hair">
        <color theme="1" tint="0.3999450666829432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1" tint="0.59996337778862885"/>
      </bottom>
      <diagonal/>
    </border>
    <border>
      <left style="thin">
        <color theme="1" tint="0.39994506668294322"/>
      </left>
      <right style="thin">
        <color theme="1" tint="0.39994506668294322"/>
      </right>
      <top style="thin">
        <color theme="1" tint="0.39994506668294322"/>
      </top>
      <bottom style="thin">
        <color theme="1" tint="0.39994506668294322"/>
      </bottom>
      <diagonal/>
    </border>
  </borders>
  <cellStyleXfs count="9">
    <xf numFmtId="0" fontId="0" fillId="0" borderId="0"/>
    <xf numFmtId="0" fontId="3" fillId="2" borderId="1" applyNumberFormat="0" applyFont="0" applyAlignment="0" applyProtection="0"/>
    <xf numFmtId="0" fontId="8" fillId="10" borderId="0">
      <alignment horizontal="center" vertical="center" wrapText="1"/>
    </xf>
    <xf numFmtId="164" fontId="8" fillId="10" borderId="0">
      <alignment horizontal="center" vertical="center"/>
    </xf>
    <xf numFmtId="165" fontId="8" fillId="10" borderId="0">
      <alignment horizontal="center" vertical="center"/>
    </xf>
    <xf numFmtId="0" fontId="7" fillId="11" borderId="0">
      <alignment horizontal="center" vertical="center" wrapText="1"/>
    </xf>
    <xf numFmtId="0" fontId="21" fillId="0" borderId="0"/>
    <xf numFmtId="0" fontId="26" fillId="14" borderId="6" applyNumberFormat="0" applyAlignment="0" applyProtection="0"/>
    <xf numFmtId="0" fontId="29" fillId="14" borderId="7" applyNumberFormat="0" applyAlignment="0" applyProtection="0"/>
  </cellStyleXfs>
  <cellXfs count="137">
    <xf numFmtId="0" fontId="0" fillId="0" borderId="0" xfId="0"/>
    <xf numFmtId="0" fontId="0" fillId="3" borderId="0" xfId="0" applyFill="1"/>
    <xf numFmtId="0" fontId="5" fillId="3" borderId="0" xfId="0" applyFont="1" applyFill="1" applyAlignment="1">
      <alignment vertical="center"/>
    </xf>
    <xf numFmtId="0" fontId="6" fillId="3" borderId="0" xfId="0" applyFont="1" applyFill="1"/>
    <xf numFmtId="0" fontId="9" fillId="3" borderId="0" xfId="0" applyFont="1" applyFill="1" applyAlignment="1">
      <alignment horizontal="left" vertical="center"/>
    </xf>
    <xf numFmtId="0" fontId="10" fillId="3" borderId="0" xfId="0" applyFont="1" applyFill="1" applyAlignment="1">
      <alignment vertical="center"/>
    </xf>
    <xf numFmtId="0" fontId="11" fillId="3" borderId="0" xfId="0" applyFont="1" applyFill="1"/>
    <xf numFmtId="0" fontId="12" fillId="3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2" fillId="10" borderId="0" xfId="0" applyFont="1" applyFill="1" applyAlignment="1">
      <alignment vertical="center"/>
    </xf>
    <xf numFmtId="0" fontId="2" fillId="8" borderId="0" xfId="0" applyFont="1" applyFill="1" applyAlignment="1">
      <alignment vertical="center"/>
    </xf>
    <xf numFmtId="0" fontId="2" fillId="9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6" borderId="0" xfId="0" applyFont="1" applyFill="1" applyAlignment="1">
      <alignment vertic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0" fontId="14" fillId="0" borderId="0" xfId="0" applyFont="1"/>
    <xf numFmtId="0" fontId="15" fillId="3" borderId="0" xfId="0" applyFont="1" applyFill="1" applyAlignment="1">
      <alignment vertical="center"/>
    </xf>
    <xf numFmtId="14" fontId="0" fillId="3" borderId="0" xfId="0" applyNumberFormat="1" applyFill="1"/>
    <xf numFmtId="0" fontId="10" fillId="3" borderId="0" xfId="0" applyFont="1" applyFill="1" applyAlignment="1">
      <alignment horizontal="left" vertical="center"/>
    </xf>
    <xf numFmtId="0" fontId="10" fillId="3" borderId="0" xfId="0" applyFont="1" applyFill="1" applyAlignment="1">
      <alignment horizontal="center" vertical="center"/>
    </xf>
    <xf numFmtId="0" fontId="19" fillId="3" borderId="0" xfId="0" applyFont="1" applyFill="1" applyAlignment="1">
      <alignment vertical="center"/>
    </xf>
    <xf numFmtId="167" fontId="20" fillId="6" borderId="3" xfId="0" applyNumberFormat="1" applyFont="1" applyFill="1" applyBorder="1" applyAlignment="1" applyProtection="1">
      <alignment horizontal="center" vertical="center"/>
      <protection locked="0"/>
    </xf>
    <xf numFmtId="0" fontId="18" fillId="3" borderId="0" xfId="0" applyFont="1" applyFill="1" applyAlignment="1">
      <alignment vertical="center"/>
    </xf>
    <xf numFmtId="0" fontId="1" fillId="3" borderId="0" xfId="0" applyFont="1" applyFill="1" applyAlignment="1">
      <alignment vertical="center"/>
    </xf>
    <xf numFmtId="0" fontId="1" fillId="3" borderId="0" xfId="0" applyFont="1" applyFill="1"/>
    <xf numFmtId="0" fontId="12" fillId="3" borderId="0" xfId="0" applyFont="1" applyFill="1" applyAlignment="1" applyProtection="1">
      <alignment vertical="center"/>
      <protection locked="0"/>
    </xf>
    <xf numFmtId="0" fontId="0" fillId="3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Protection="1">
      <protection locked="0"/>
    </xf>
    <xf numFmtId="0" fontId="0" fillId="3" borderId="0" xfId="0" applyFill="1" applyAlignment="1" applyProtection="1">
      <alignment horizontal="left"/>
      <protection locked="0"/>
    </xf>
    <xf numFmtId="0" fontId="0" fillId="4" borderId="0" xfId="0" applyFill="1" applyAlignment="1">
      <alignment horizontal="left"/>
    </xf>
    <xf numFmtId="0" fontId="0" fillId="13" borderId="0" xfId="0" applyFill="1" applyAlignment="1">
      <alignment horizontal="left"/>
    </xf>
    <xf numFmtId="0" fontId="19" fillId="3" borderId="0" xfId="0" applyFont="1" applyFill="1" applyAlignment="1" applyProtection="1">
      <alignment vertical="center"/>
      <protection locked="0"/>
    </xf>
    <xf numFmtId="0" fontId="9" fillId="3" borderId="0" xfId="0" applyFont="1" applyFill="1" applyAlignment="1">
      <alignment horizontal="right" vertical="center"/>
    </xf>
    <xf numFmtId="0" fontId="0" fillId="0" borderId="0" xfId="0" applyAlignment="1">
      <alignment vertical="center"/>
    </xf>
    <xf numFmtId="0" fontId="0" fillId="3" borderId="0" xfId="0" applyFill="1" applyAlignment="1">
      <alignment horizontal="left"/>
    </xf>
    <xf numFmtId="0" fontId="23" fillId="3" borderId="0" xfId="0" applyFont="1" applyFill="1" applyAlignment="1">
      <alignment horizontal="left" vertical="center"/>
    </xf>
    <xf numFmtId="166" fontId="0" fillId="3" borderId="0" xfId="0" applyNumberFormat="1" applyFill="1" applyProtection="1">
      <protection locked="0"/>
    </xf>
    <xf numFmtId="167" fontId="0" fillId="3" borderId="0" xfId="0" applyNumberFormat="1" applyFill="1" applyAlignment="1">
      <alignment horizontal="left"/>
    </xf>
    <xf numFmtId="14" fontId="0" fillId="3" borderId="0" xfId="0" applyNumberFormat="1" applyFill="1" applyProtection="1">
      <protection locked="0"/>
    </xf>
    <xf numFmtId="0" fontId="0" fillId="3" borderId="5" xfId="0" applyFill="1" applyBorder="1"/>
    <xf numFmtId="0" fontId="4" fillId="9" borderId="4" xfId="0" applyFont="1" applyFill="1" applyBorder="1" applyAlignment="1">
      <alignment horizontal="center" vertical="center"/>
    </xf>
    <xf numFmtId="164" fontId="0" fillId="4" borderId="0" xfId="0" applyNumberFormat="1" applyFill="1" applyAlignment="1">
      <alignment horizontal="left"/>
    </xf>
    <xf numFmtId="164" fontId="0" fillId="13" borderId="0" xfId="0" applyNumberFormat="1" applyFill="1" applyAlignment="1">
      <alignment horizontal="left"/>
    </xf>
    <xf numFmtId="0" fontId="26" fillId="14" borderId="6" xfId="7" applyAlignment="1">
      <alignment horizontal="center" vertical="center"/>
    </xf>
    <xf numFmtId="164" fontId="0" fillId="3" borderId="5" xfId="0" applyNumberFormat="1" applyFill="1" applyBorder="1" applyAlignment="1">
      <alignment vertical="center"/>
    </xf>
    <xf numFmtId="0" fontId="27" fillId="3" borderId="0" xfId="0" applyFont="1" applyFill="1" applyAlignment="1">
      <alignment vertical="center"/>
    </xf>
    <xf numFmtId="0" fontId="28" fillId="3" borderId="0" xfId="0" applyFont="1" applyFill="1" applyAlignment="1">
      <alignment vertical="center"/>
    </xf>
    <xf numFmtId="0" fontId="0" fillId="0" borderId="0" xfId="0" quotePrefix="1" applyAlignment="1">
      <alignment vertical="center"/>
    </xf>
    <xf numFmtId="0" fontId="0" fillId="0" borderId="0" xfId="1" applyFont="1" applyFill="1" applyBorder="1" applyAlignment="1" applyProtection="1">
      <alignment horizontal="center" vertical="center"/>
      <protection locked="0"/>
    </xf>
    <xf numFmtId="0" fontId="0" fillId="0" borderId="0" xfId="1" applyFont="1" applyFill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0" xfId="0" applyNumberFormat="1"/>
    <xf numFmtId="0" fontId="31" fillId="3" borderId="0" xfId="0" applyFont="1" applyFill="1" applyAlignment="1">
      <alignment vertical="center"/>
    </xf>
    <xf numFmtId="0" fontId="23" fillId="3" borderId="0" xfId="0" applyFont="1" applyFill="1" applyAlignment="1">
      <alignment vertical="center"/>
    </xf>
    <xf numFmtId="0" fontId="32" fillId="3" borderId="0" xfId="0" applyFont="1" applyFill="1" applyAlignment="1">
      <alignment vertical="center"/>
    </xf>
    <xf numFmtId="0" fontId="35" fillId="4" borderId="2" xfId="0" applyFont="1" applyFill="1" applyBorder="1" applyAlignment="1">
      <alignment horizontal="center" vertical="center" wrapText="1"/>
    </xf>
    <xf numFmtId="0" fontId="33" fillId="3" borderId="8" xfId="0" applyFont="1" applyFill="1" applyBorder="1" applyAlignment="1">
      <alignment vertical="center"/>
    </xf>
    <xf numFmtId="0" fontId="36" fillId="3" borderId="0" xfId="0" applyFont="1" applyFill="1" applyAlignment="1">
      <alignment horizontal="center" vertical="center"/>
    </xf>
    <xf numFmtId="167" fontId="36" fillId="3" borderId="0" xfId="0" applyNumberFormat="1" applyFont="1" applyFill="1" applyAlignment="1">
      <alignment horizontal="center" vertical="center"/>
    </xf>
    <xf numFmtId="0" fontId="36" fillId="3" borderId="8" xfId="0" applyFont="1" applyFill="1" applyBorder="1" applyAlignment="1">
      <alignment horizontal="center" vertical="center"/>
    </xf>
    <xf numFmtId="0" fontId="24" fillId="3" borderId="0" xfId="0" applyFont="1" applyFill="1" applyProtection="1">
      <protection locked="0"/>
    </xf>
    <xf numFmtId="0" fontId="22" fillId="3" borderId="0" xfId="0" applyFont="1" applyFill="1" applyAlignment="1" applyProtection="1">
      <alignment vertical="center"/>
      <protection locked="0"/>
    </xf>
    <xf numFmtId="0" fontId="11" fillId="3" borderId="0" xfId="0" applyFont="1" applyFill="1" applyProtection="1">
      <protection locked="0"/>
    </xf>
    <xf numFmtId="0" fontId="17" fillId="3" borderId="0" xfId="0" applyFont="1" applyFill="1" applyAlignment="1" applyProtection="1">
      <alignment horizontal="center" vertical="center"/>
      <protection locked="0"/>
    </xf>
    <xf numFmtId="0" fontId="16" fillId="3" borderId="0" xfId="0" applyFont="1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164" fontId="0" fillId="6" borderId="0" xfId="0" applyNumberFormat="1" applyFill="1" applyAlignment="1" applyProtection="1">
      <alignment horizontal="center" vertical="center"/>
      <protection locked="0"/>
    </xf>
    <xf numFmtId="0" fontId="0" fillId="13" borderId="0" xfId="0" applyFill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0" fontId="0" fillId="0" borderId="0" xfId="0" applyNumberFormat="1" applyAlignment="1" applyProtection="1">
      <alignment horizontal="center" vertical="center"/>
      <protection locked="0"/>
    </xf>
    <xf numFmtId="0" fontId="0" fillId="12" borderId="0" xfId="0" quotePrefix="1" applyFill="1" applyAlignment="1" applyProtection="1">
      <alignment horizontal="center" vertical="center"/>
      <protection locked="0"/>
    </xf>
    <xf numFmtId="0" fontId="0" fillId="3" borderId="0" xfId="0" quotePrefix="1" applyFill="1" applyAlignment="1" applyProtection="1">
      <alignment horizontal="center" vertical="center"/>
      <protection locked="0"/>
    </xf>
    <xf numFmtId="0" fontId="0" fillId="12" borderId="0" xfId="0" applyFill="1" applyAlignment="1" applyProtection="1">
      <alignment horizontal="center"/>
      <protection locked="0"/>
    </xf>
    <xf numFmtId="164" fontId="0" fillId="12" borderId="0" xfId="0" quotePrefix="1" applyNumberFormat="1" applyFill="1" applyAlignment="1" applyProtection="1">
      <alignment horizontal="center"/>
      <protection locked="0"/>
    </xf>
    <xf numFmtId="0" fontId="0" fillId="12" borderId="0" xfId="0" quotePrefix="1" applyFill="1" applyAlignment="1" applyProtection="1">
      <alignment horizontal="center"/>
      <protection locked="0"/>
    </xf>
    <xf numFmtId="10" fontId="0" fillId="12" borderId="0" xfId="0" applyNumberFormat="1" applyFill="1" applyAlignment="1" applyProtection="1">
      <alignment horizontal="center" vertical="center"/>
      <protection locked="0"/>
    </xf>
    <xf numFmtId="168" fontId="0" fillId="3" borderId="0" xfId="0" applyNumberFormat="1" applyFill="1" applyAlignment="1" applyProtection="1">
      <alignment horizontal="center" vertical="center"/>
      <protection locked="0"/>
    </xf>
    <xf numFmtId="164" fontId="0" fillId="12" borderId="0" xfId="0" applyNumberFormat="1" applyFill="1" applyAlignment="1" applyProtection="1">
      <alignment horizontal="center"/>
      <protection locked="0"/>
    </xf>
    <xf numFmtId="0" fontId="0" fillId="0" borderId="0" xfId="0" quotePrefix="1" applyAlignment="1" applyProtection="1">
      <alignment horizontal="center" vertical="center"/>
      <protection locked="0"/>
    </xf>
    <xf numFmtId="168" fontId="0" fillId="12" borderId="0" xfId="0" applyNumberFormat="1" applyFill="1" applyAlignment="1" applyProtection="1">
      <alignment horizontal="center" vertical="center"/>
      <protection locked="0"/>
    </xf>
    <xf numFmtId="0" fontId="37" fillId="3" borderId="0" xfId="0" applyFont="1" applyFill="1"/>
    <xf numFmtId="0" fontId="38" fillId="14" borderId="9" xfId="8" applyFont="1" applyBorder="1" applyAlignment="1" applyProtection="1">
      <alignment horizontal="center" vertical="center"/>
      <protection locked="0"/>
    </xf>
    <xf numFmtId="0" fontId="25" fillId="3" borderId="0" xfId="0" applyFont="1" applyFill="1" applyAlignment="1" applyProtection="1">
      <alignment wrapText="1"/>
      <protection locked="0"/>
    </xf>
    <xf numFmtId="0" fontId="25" fillId="3" borderId="0" xfId="0" applyFont="1" applyFill="1" applyAlignment="1" applyProtection="1">
      <alignment vertical="center" wrapText="1"/>
      <protection locked="0"/>
    </xf>
    <xf numFmtId="0" fontId="38" fillId="14" borderId="9" xfId="8" applyFont="1" applyBorder="1" applyAlignment="1" applyProtection="1">
      <alignment horizontal="center" vertical="center" wrapText="1"/>
      <protection locked="0"/>
    </xf>
    <xf numFmtId="0" fontId="33" fillId="3" borderId="0" xfId="0" applyFont="1" applyFill="1" applyAlignment="1">
      <alignment vertical="center"/>
    </xf>
    <xf numFmtId="0" fontId="33" fillId="3" borderId="0" xfId="0" applyFont="1" applyFill="1" applyAlignment="1">
      <alignment horizontal="left" vertical="center"/>
    </xf>
    <xf numFmtId="0" fontId="34" fillId="3" borderId="8" xfId="0" applyFont="1" applyFill="1" applyBorder="1" applyAlignment="1">
      <alignment horizontal="right"/>
    </xf>
    <xf numFmtId="0" fontId="34" fillId="3" borderId="0" xfId="0" applyFont="1" applyFill="1" applyAlignment="1">
      <alignment horizontal="right" vertical="center" wrapText="1"/>
    </xf>
    <xf numFmtId="0" fontId="34" fillId="3" borderId="8" xfId="0" applyFont="1" applyFill="1" applyBorder="1" applyAlignment="1">
      <alignment horizontal="right" vertical="center" wrapText="1"/>
    </xf>
    <xf numFmtId="0" fontId="43" fillId="3" borderId="0" xfId="0" applyFont="1" applyFill="1" applyAlignment="1" applyProtection="1">
      <alignment horizontal="center" wrapText="1"/>
      <protection locked="0"/>
    </xf>
    <xf numFmtId="0" fontId="43" fillId="3" borderId="0" xfId="0" applyFont="1" applyFill="1" applyAlignment="1" applyProtection="1">
      <alignment horizontal="center" vertic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42" fillId="12" borderId="0" xfId="0" quotePrefix="1" applyFont="1" applyFill="1" applyAlignment="1" applyProtection="1">
      <alignment horizontal="center"/>
      <protection locked="0"/>
    </xf>
    <xf numFmtId="0" fontId="4" fillId="9" borderId="0" xfId="0" applyFont="1" applyFill="1" applyAlignment="1">
      <alignment horizontal="center" vertical="center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10" fontId="0" fillId="12" borderId="0" xfId="0" quotePrefix="1" applyNumberFormat="1" applyFill="1" applyAlignment="1" applyProtection="1">
      <alignment horizontal="center" vertical="center"/>
      <protection locked="0"/>
    </xf>
    <xf numFmtId="0" fontId="45" fillId="3" borderId="0" xfId="0" applyFont="1" applyFill="1"/>
    <xf numFmtId="0" fontId="46" fillId="3" borderId="0" xfId="0" applyFont="1" applyFill="1"/>
    <xf numFmtId="0" fontId="47" fillId="3" borderId="0" xfId="0" applyFont="1" applyFill="1"/>
    <xf numFmtId="164" fontId="38" fillId="14" borderId="9" xfId="8" applyNumberFormat="1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64" fontId="0" fillId="0" borderId="0" xfId="0" applyNumberFormat="1" applyAlignment="1">
      <alignment horizontal="left" vertical="center"/>
    </xf>
    <xf numFmtId="0" fontId="0" fillId="12" borderId="0" xfId="0" applyFill="1"/>
    <xf numFmtId="165" fontId="0" fillId="12" borderId="0" xfId="0" applyNumberFormat="1" applyFill="1"/>
    <xf numFmtId="0" fontId="0" fillId="12" borderId="0" xfId="0" applyFill="1" applyAlignment="1">
      <alignment wrapText="1"/>
    </xf>
    <xf numFmtId="0" fontId="48" fillId="3" borderId="0" xfId="0" applyFont="1" applyFill="1" applyAlignment="1">
      <alignment horizontal="center"/>
    </xf>
    <xf numFmtId="164" fontId="0" fillId="0" borderId="0" xfId="0" applyNumberFormat="1"/>
    <xf numFmtId="167" fontId="18" fillId="6" borderId="3" xfId="0" applyNumberFormat="1" applyFont="1" applyFill="1" applyBorder="1" applyAlignment="1" applyProtection="1">
      <alignment horizontal="center" vertical="center"/>
      <protection locked="0"/>
    </xf>
    <xf numFmtId="164" fontId="0" fillId="3" borderId="0" xfId="0" applyNumberFormat="1" applyFill="1"/>
    <xf numFmtId="164" fontId="47" fillId="3" borderId="0" xfId="0" applyNumberFormat="1" applyFont="1" applyFill="1"/>
    <xf numFmtId="164" fontId="48" fillId="3" borderId="0" xfId="0" applyNumberFormat="1" applyFont="1" applyFill="1" applyAlignment="1">
      <alignment horizontal="center"/>
    </xf>
    <xf numFmtId="164" fontId="46" fillId="3" borderId="0" xfId="0" applyNumberFormat="1" applyFont="1" applyFill="1"/>
    <xf numFmtId="164" fontId="0" fillId="12" borderId="0" xfId="0" applyNumberFormat="1" applyFill="1"/>
    <xf numFmtId="164" fontId="0" fillId="12" borderId="0" xfId="8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0" fontId="49" fillId="5" borderId="2" xfId="0" applyFont="1" applyFill="1" applyBorder="1" applyAlignment="1">
      <alignment horizontal="center" vertical="center" wrapText="1"/>
    </xf>
    <xf numFmtId="0" fontId="0" fillId="0" borderId="0" xfId="0" applyNumberFormat="1"/>
    <xf numFmtId="0" fontId="0" fillId="0" borderId="0" xfId="0" applyNumberFormat="1" applyAlignment="1">
      <alignment vertical="center"/>
    </xf>
    <xf numFmtId="0" fontId="0" fillId="0" borderId="0" xfId="0" applyFont="1" applyFill="1"/>
    <xf numFmtId="0" fontId="0" fillId="0" borderId="0" xfId="0" applyFont="1" applyFill="1" applyAlignment="1">
      <alignment wrapText="1"/>
    </xf>
    <xf numFmtId="0" fontId="51" fillId="3" borderId="0" xfId="0" applyFont="1" applyFill="1"/>
    <xf numFmtId="0" fontId="52" fillId="3" borderId="0" xfId="0" applyFont="1" applyFill="1"/>
    <xf numFmtId="0" fontId="53" fillId="3" borderId="0" xfId="0" applyFont="1" applyFill="1"/>
    <xf numFmtId="0" fontId="54" fillId="3" borderId="0" xfId="0" applyFont="1" applyFill="1" applyProtection="1">
      <protection locked="0"/>
    </xf>
  </cellXfs>
  <cellStyles count="9">
    <cellStyle name="Calculation" xfId="7" builtinId="22"/>
    <cellStyle name="For Input" xfId="2" xr:uid="{00000000-0005-0000-0000-000001000000}"/>
    <cellStyle name="Formula" xfId="5" xr:uid="{00000000-0005-0000-0000-000002000000}"/>
    <cellStyle name="Input %" xfId="4" xr:uid="{00000000-0005-0000-0000-000003000000}"/>
    <cellStyle name="Input Date" xfId="3" xr:uid="{00000000-0005-0000-0000-000004000000}"/>
    <cellStyle name="Normal" xfId="0" builtinId="0"/>
    <cellStyle name="Normal 2" xfId="6" xr:uid="{00000000-0005-0000-0000-000006000000}"/>
    <cellStyle name="Note" xfId="1" builtinId="10"/>
    <cellStyle name="Output" xfId="8" builtinId="21"/>
  </cellStyles>
  <dxfs count="4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>
          <bgColor rgb="FFFFFF00"/>
        </patternFill>
      </fill>
    </dxf>
    <dxf>
      <fill>
        <patternFill>
          <bgColor rgb="FFE1E1E9"/>
        </patternFill>
      </fill>
    </dxf>
    <dxf>
      <fill>
        <patternFill>
          <bgColor rgb="FFE1E1E9"/>
        </patternFill>
      </fill>
    </dxf>
    <dxf>
      <font>
        <b val="0"/>
        <i val="0"/>
        <color theme="0"/>
      </font>
      <fill>
        <patternFill>
          <bgColor theme="9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66" formatCode="[$-F400]h:mm:ss\ AM/PM"/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fill>
        <patternFill patternType="solid">
          <fgColor indexed="64"/>
          <bgColor theme="0"/>
        </patternFill>
      </fill>
      <protection locked="0" hidden="0"/>
    </dxf>
    <dxf>
      <numFmt numFmtId="19" formatCode="m/d/yyyy"/>
      <fill>
        <patternFill patternType="solid">
          <fgColor indexed="64"/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6" formatCode="[$-F400]h:mm:ss\ AM/PM"/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7" formatCode="m/d;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9" formatCode="m/d/yyyy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numFmt numFmtId="19" formatCode="m/d/yyyy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6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Microsoft JhengHei UI"/>
        <family val="2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0"/>
        <name val="Microsoft JhengHei UI"/>
        <family val="2"/>
        <scheme val="minor"/>
      </font>
      <fill>
        <patternFill patternType="solid">
          <fgColor indexed="64"/>
          <bgColor rgb="FF234473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164" formatCode="yyyy/m/d;@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F4EBE0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solid">
          <fgColor indexed="64"/>
          <bgColor theme="0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0" formatCode="General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numFmt numFmtId="164" formatCode="yyyy/m/d;@"/>
      <fill>
        <patternFill patternType="solid">
          <fgColor indexed="64"/>
          <bgColor rgb="FFE1E1E9"/>
        </patternFill>
      </fill>
      <alignment horizontal="left" vertical="bottom" textRotation="0" wrapText="0" indent="0" justifyLastLine="0" shrinkToFit="0" readingOrder="0"/>
      <protection locked="1" hidden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  <protection locked="0" hidden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indent="0" justifyLastLine="0" shrinkToFit="0" readingOrder="0"/>
    </dxf>
    <dxf>
      <alignment horizontal="general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4" formatCode="yyyy/m/d;@"/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fill>
        <patternFill patternType="solid">
          <fgColor indexed="64"/>
          <bgColor theme="6" tint="0.79998168889431442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numFmt numFmtId="164" formatCode="yyyy/m/d;@"/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fill>
        <patternFill patternType="solid">
          <fgColor indexed="64"/>
          <bgColor theme="6" tint="0.79998168889431442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0" formatCode="General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numFmt numFmtId="164" formatCode="yyyy/m/d;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Microsoft JhengHei UI"/>
        <scheme val="minor"/>
      </font>
      <protection locked="0" hidden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/>
        <strike val="0"/>
        <outline val="0"/>
        <shadow val="0"/>
        <u val="none"/>
        <vertAlign val="baseline"/>
        <sz val="26"/>
        <color theme="9"/>
        <name val="Microsoft JhengHei UI"/>
        <scheme val="minor"/>
      </font>
      <numFmt numFmtId="167" formatCode="m/d;@"/>
      <fill>
        <patternFill patternType="solid">
          <fgColor indexed="64"/>
          <bgColor rgb="FFF4EBDF"/>
        </patternFill>
      </fill>
      <alignment horizontal="center" vertical="center" textRotation="0" wrapText="0" indent="0" justifyLastLine="0" shrinkToFit="0" readingOrder="0"/>
      <border diagonalUp="0" diagonalDown="0" outline="0">
        <left style="double">
          <color rgb="FF234473"/>
        </left>
        <right style="thin">
          <color rgb="FF234473"/>
        </right>
        <top style="thin">
          <color rgb="FF234473"/>
        </top>
        <bottom style="thin">
          <color rgb="FF234473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9" tint="-0.249977111117893"/>
        <name val="Microsoft JhengHei U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888AA6"/>
        <name val="Microsoft JhengHei UI"/>
        <family val="2"/>
        <scheme val="minor"/>
      </font>
      <fill>
        <patternFill patternType="solid">
          <fgColor indexed="64"/>
          <bgColor rgb="FFE1E1E9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Microsoft JhengHei UI"/>
        <family val="2"/>
        <scheme val="minor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font>
        <strike val="0"/>
        <outline val="0"/>
        <shadow val="0"/>
        <u val="none"/>
        <vertAlign val="baseline"/>
        <sz val="8"/>
        <name val="Microsoft JhengHei UI"/>
        <scheme val="minor"/>
      </font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theme="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A7968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/>
      </font>
      <fill>
        <patternFill>
          <bgColor rgb="FFF4EBE0"/>
        </patternFill>
      </fill>
      <border>
        <bottom style="thin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thin">
          <color theme="1" tint="0.39988402966399123"/>
        </top>
        <bottom style="thin">
          <color theme="1" tint="0.39988402966399123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  <fill>
        <patternFill>
          <bgColor rgb="FFF4EBE0"/>
        </patternFill>
      </fill>
      <border>
        <bottom style="hair">
          <color theme="1" tint="0.399945066682943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 val="0"/>
        <i val="0"/>
        <color theme="1"/>
      </font>
      <fill>
        <patternFill>
          <bgColor theme="0"/>
        </patternFill>
      </fill>
      <border>
        <left/>
        <right/>
        <top style="hair">
          <color theme="1" tint="0.39991454817346722"/>
        </top>
        <bottom style="hair">
          <color theme="1" tint="0.3999145481734672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234473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0071BA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C2B59B"/>
        </patternFill>
      </fill>
      <border>
        <top/>
        <bottom/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  <color theme="0"/>
      </font>
      <fill>
        <patternFill>
          <bgColor rgb="FF888AA6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border>
        <top style="thin">
          <color auto="1"/>
        </top>
        <bottom style="double">
          <color auto="1"/>
        </bottom>
      </border>
    </dxf>
    <dxf>
      <font>
        <b/>
        <i val="0"/>
      </font>
      <fill>
        <patternFill>
          <bgColor rgb="FFE1E1E9"/>
        </patternFill>
      </fill>
      <border>
        <bottom style="thin">
          <color theme="0" tint="-0.499984740745262"/>
        </bottom>
      </border>
    </dxf>
    <dxf>
      <font>
        <color theme="1"/>
      </font>
      <fill>
        <patternFill>
          <bgColor theme="0"/>
        </patternFill>
      </fill>
      <border>
        <left/>
        <right/>
        <top style="thin">
          <color theme="0" tint="-0.499984740745262"/>
        </top>
        <bottom style="thin">
          <color theme="0" tint="-0.499984740745262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ont>
        <b/>
        <i val="0"/>
      </font>
    </dxf>
    <dxf>
      <font>
        <b val="0"/>
        <i val="0"/>
      </font>
      <fill>
        <patternFill>
          <bgColor rgb="FFFFFFCC"/>
        </patternFill>
      </fill>
      <border>
        <left style="thin">
          <color theme="1" tint="0.79998168889431442"/>
        </left>
        <right style="thin">
          <color theme="1" tint="0.79998168889431442"/>
        </right>
        <top style="thin">
          <color theme="1" tint="0.79998168889431442"/>
        </top>
        <bottom style="thin">
          <color theme="1" tint="0.79998168889431442"/>
        </bottom>
        <vertical style="thin">
          <color theme="1" tint="0.79998168889431442"/>
        </vertical>
        <horizontal style="thin">
          <color theme="1" tint="0.79998168889431442"/>
        </horizontal>
      </border>
    </dxf>
    <dxf>
      <font>
        <b/>
        <i val="0"/>
      </font>
      <fill>
        <patternFill>
          <bgColor rgb="FFE1E1E9"/>
        </patternFill>
      </fill>
      <border>
        <bottom style="thin">
          <color auto="1"/>
        </bottom>
      </border>
    </dxf>
    <dxf>
      <font>
        <color theme="1"/>
      </font>
      <fill>
        <patternFill>
          <bgColor theme="7" tint="0.79998168889431442"/>
        </patternFill>
      </fill>
      <border>
        <left/>
        <right/>
        <top style="thin">
          <color auto="1"/>
        </top>
        <bottom style="thin">
          <color auto="1"/>
        </bottom>
        <vertical style="hair">
          <color theme="1" tint="0.39994506668294322"/>
        </vertical>
        <horizontal style="hair">
          <color theme="1" tint="0.39994506668294322"/>
        </horizontal>
      </border>
    </dxf>
    <dxf>
      <fill>
        <patternFill>
          <bgColor theme="0"/>
        </patternFill>
      </fill>
    </dxf>
  </dxfs>
  <tableStyles count="12" defaultTableStyle="Qry Load" defaultPivotStyle="PivotStyleLight16">
    <tableStyle name="Blank" pivot="0" count="1" xr9:uid="{00000000-0011-0000-FFFF-FFFF00000000}">
      <tableStyleElement type="wholeTable" dxfId="467"/>
    </tableStyle>
    <tableStyle name="ECON" pivot="0" count="2" xr9:uid="{00000000-0011-0000-FFFF-FFFF01000000}">
      <tableStyleElement type="wholeTable" dxfId="466"/>
      <tableStyleElement type="headerRow" dxfId="465"/>
    </tableStyle>
    <tableStyle name="Named_dd" pivot="0" count="2" xr9:uid="{00000000-0011-0000-FFFF-FFFF02000000}">
      <tableStyleElement type="wholeTable" dxfId="464"/>
      <tableStyleElement type="headerRow" dxfId="463"/>
    </tableStyle>
    <tableStyle name="Qry Load" pivot="0" count="3" xr9:uid="{00000000-0011-0000-FFFF-FFFF05000000}">
      <tableStyleElement type="wholeTable" dxfId="462"/>
      <tableStyleElement type="headerRow" dxfId="461"/>
      <tableStyleElement type="totalRow" dxfId="460"/>
    </tableStyle>
    <tableStyle name="Qry Load 2" pivot="0" count="3" xr9:uid="{00000000-0011-0000-FFFF-FFFF06000000}">
      <tableStyleElement type="wholeTable" dxfId="459"/>
      <tableStyleElement type="headerRow" dxfId="458"/>
      <tableStyleElement type="totalRow" dxfId="457"/>
    </tableStyle>
    <tableStyle name="Qry Load 3" pivot="0" count="3" xr9:uid="{00000000-0011-0000-FFFF-FFFF07000000}">
      <tableStyleElement type="wholeTable" dxfId="456"/>
      <tableStyleElement type="headerRow" dxfId="455"/>
      <tableStyleElement type="totalRow" dxfId="454"/>
    </tableStyle>
    <tableStyle name="Qry Load 4" pivot="0" count="3" xr9:uid="{00000000-0011-0000-FFFF-FFFF08000000}">
      <tableStyleElement type="wholeTable" dxfId="453"/>
      <tableStyleElement type="headerRow" dxfId="452"/>
      <tableStyleElement type="totalRow" dxfId="451"/>
    </tableStyle>
    <tableStyle name="Qry Load 5" pivot="0" count="3" xr9:uid="{00000000-0011-0000-FFFF-FFFF09000000}">
      <tableStyleElement type="wholeTable" dxfId="450"/>
      <tableStyleElement type="headerRow" dxfId="449"/>
      <tableStyleElement type="totalRow" dxfId="448"/>
    </tableStyle>
    <tableStyle name="Qry Source" pivot="0" count="2" xr9:uid="{00000000-0011-0000-FFFF-FFFF0A000000}">
      <tableStyleElement type="wholeTable" dxfId="447"/>
      <tableStyleElement type="headerRow" dxfId="446"/>
    </tableStyle>
    <tableStyle name="Qry Source 2" pivot="0" count="2" xr9:uid="{00000000-0011-0000-FFFF-FFFF0B000000}">
      <tableStyleElement type="wholeTable" dxfId="445"/>
      <tableStyleElement type="headerRow" dxfId="444"/>
    </tableStyle>
    <tableStyle name="review" pivot="0" count="3" xr9:uid="{00000000-0011-0000-FFFF-FFFF0C000000}">
      <tableStyleElement type="wholeTable" dxfId="443"/>
      <tableStyleElement type="headerRow" dxfId="442"/>
      <tableStyleElement type="totalRow" dxfId="441"/>
    </tableStyle>
    <tableStyle name="review 2" pivot="0" count="3" xr9:uid="{7E48D373-8BD3-405C-AC0B-582D578C48DF}">
      <tableStyleElement type="wholeTable" dxfId="440"/>
      <tableStyleElement type="headerRow" dxfId="439"/>
      <tableStyleElement type="totalRow" dxfId="438"/>
    </tableStyle>
  </tableStyles>
  <colors>
    <mruColors>
      <color rgb="FF234473"/>
      <color rgb="FF0071BA"/>
      <color rgb="FF888AA6"/>
      <color rgb="FF2A7968"/>
      <color rgb="FFC69E62"/>
      <color rgb="FFE1E1E9"/>
      <color rgb="FFC2B59B"/>
      <color rgb="FFF4EBE0"/>
      <color rgb="FFF4EBDF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112058</xdr:colOff>
      <xdr:row>0</xdr:row>
      <xdr:rowOff>44823</xdr:rowOff>
    </xdr:from>
    <xdr:to>
      <xdr:col>5</xdr:col>
      <xdr:colOff>605117</xdr:colOff>
      <xdr:row>2</xdr:row>
      <xdr:rowOff>145676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3563470" y="44823"/>
          <a:ext cx="3070412" cy="17817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ts val="384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32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n-US" sz="16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Change Updator </a:t>
          </a:r>
          <a:endParaRPr lang="en-US" sz="1600">
            <a:solidFill>
              <a:schemeClr val="tx1"/>
            </a:solidFill>
          </a:endParaRPr>
        </a:p>
        <a:p>
          <a:pPr algn="l"/>
          <a:r>
            <a:rPr lang="en-US" sz="1100">
              <a:solidFill>
                <a:schemeClr val="tx1"/>
              </a:solidFill>
            </a:rPr>
            <a:t>will </a:t>
          </a:r>
          <a:r>
            <a:rPr lang="en-US" sz="1100" b="1">
              <a:solidFill>
                <a:schemeClr val="tx1"/>
              </a:solidFill>
            </a:rPr>
            <a:t>wipe out</a:t>
          </a:r>
          <a:r>
            <a:rPr lang="en-US" sz="1100">
              <a:solidFill>
                <a:schemeClr val="tx1"/>
              </a:solidFill>
            </a:rPr>
            <a:t>  </a:t>
          </a:r>
          <a:r>
            <a:rPr lang="en-US" altLang="zh-CN" sz="1100">
              <a:solidFill>
                <a:schemeClr val="tx1"/>
              </a:solidFill>
            </a:rPr>
            <a:t>the following</a:t>
          </a:r>
          <a:r>
            <a:rPr lang="en-US" altLang="zh-CN" sz="1100" baseline="0">
              <a:solidFill>
                <a:schemeClr val="tx1"/>
              </a:solidFill>
            </a:rPr>
            <a:t> Tabs: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REVIEW_LIST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ECON</a:t>
          </a:r>
        </a:p>
        <a:p>
          <a:pPr lvl="0" algn="l"/>
          <a:r>
            <a:rPr lang="en-US" sz="1100">
              <a:solidFill>
                <a:schemeClr val="tx1"/>
              </a:solidFill>
            </a:rPr>
            <a:t>- FUTURE</a:t>
          </a:r>
        </a:p>
      </xdr:txBody>
    </xdr:sp>
    <xdr:clientData fPrintsWithSheet="0"/>
  </xdr:twoCellAnchor>
  <xdr:twoCellAnchor editAs="absolute">
    <xdr:from>
      <xdr:col>4</xdr:col>
      <xdr:colOff>123825</xdr:colOff>
      <xdr:row>2</xdr:row>
      <xdr:rowOff>280146</xdr:rowOff>
    </xdr:from>
    <xdr:to>
      <xdr:col>5</xdr:col>
      <xdr:colOff>593911</xdr:colOff>
      <xdr:row>6</xdr:row>
      <xdr:rowOff>268941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3575237" y="1961028"/>
          <a:ext cx="3047439" cy="11542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1: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Set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【1】</a:t>
          </a:r>
          <a:r>
            <a:rPr lang="en-US" altLang="zh-CN" sz="1600" baseline="0">
              <a:solidFill>
                <a:schemeClr val="accent6">
                  <a:lumMod val="75000"/>
                </a:schemeClr>
              </a:solidFill>
              <a:effectLst/>
            </a:rPr>
            <a:t> Paramether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2: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Refresh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【2】Folder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Step</a:t>
          </a:r>
          <a:r>
            <a:rPr lang="en-US" sz="1600" baseline="0">
              <a:solidFill>
                <a:schemeClr val="accent6">
                  <a:lumMod val="75000"/>
                </a:schemeClr>
              </a:solidFill>
              <a:effectLst/>
              <a:latin typeface="+mn-lt"/>
              <a:ea typeface="+mn-ea"/>
              <a:cs typeface="+mn-cs"/>
            </a:rPr>
            <a:t> 3: </a:t>
          </a:r>
          <a:r>
            <a:rPr lang="en-US" sz="1600">
              <a:solidFill>
                <a:schemeClr val="accent6">
                  <a:lumMod val="75000"/>
                </a:schemeClr>
              </a:solidFill>
              <a:effectLst/>
            </a:rPr>
            <a:t>A</a:t>
          </a:r>
          <a:r>
            <a:rPr lang="en-US" altLang="zh-CN" sz="1600">
              <a:solidFill>
                <a:schemeClr val="accent6">
                  <a:lumMod val="75000"/>
                </a:schemeClr>
              </a:solidFill>
              <a:effectLst/>
            </a:rPr>
            <a:t>utocopy &amp; Review</a:t>
          </a:r>
          <a:endParaRPr lang="en-US" sz="1600">
            <a:solidFill>
              <a:schemeClr val="accent6">
                <a:lumMod val="75000"/>
              </a:schemeClr>
            </a:solidFill>
            <a:effectLst/>
          </a:endParaRP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322707</xdr:rowOff>
    </xdr:from>
    <xdr:to>
      <xdr:col>1</xdr:col>
      <xdr:colOff>156</xdr:colOff>
      <xdr:row>3</xdr:row>
      <xdr:rowOff>716407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0" y="1264001"/>
          <a:ext cx="1501744" cy="718671"/>
          <a:chOff x="4143376" y="1933575"/>
          <a:chExt cx="1457324" cy="714375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 txBox="1"/>
        </xdr:nvSpPr>
        <xdr:spPr>
          <a:xfrm>
            <a:off x="4143376" y="1933575"/>
            <a:ext cx="1457324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8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headers_review</a:t>
            </a: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72012" y="1933575"/>
            <a:ext cx="304800" cy="304800"/>
          </a:xfrm>
          <a:prstGeom prst="rect">
            <a:avLst/>
          </a:prstGeom>
        </xdr:spPr>
      </xdr:pic>
    </xdr:grpSp>
    <xdr:clientData fPrintsWithSheet="0"/>
  </xdr:twoCellAnchor>
  <xdr:twoCellAnchor editAs="oneCell">
    <xdr:from>
      <xdr:col>1</xdr:col>
      <xdr:colOff>735502</xdr:colOff>
      <xdr:row>3</xdr:row>
      <xdr:rowOff>0</xdr:rowOff>
    </xdr:from>
    <xdr:to>
      <xdr:col>3</xdr:col>
      <xdr:colOff>405365</xdr:colOff>
      <xdr:row>3</xdr:row>
      <xdr:rowOff>711201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/>
      </xdr:nvGrpSpPr>
      <xdr:grpSpPr>
        <a:xfrm>
          <a:off x="1846565" y="1266265"/>
          <a:ext cx="1203388" cy="711201"/>
          <a:chOff x="4143376" y="1933574"/>
          <a:chExt cx="1209675" cy="714376"/>
        </a:xfrm>
      </xdr:grpSpPr>
      <xdr:sp macro="" textlink="">
        <xdr:nvSpPr>
          <xdr:cNvPr id="15" name="TextBox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 txBox="1"/>
        </xdr:nvSpPr>
        <xdr:spPr>
          <a:xfrm>
            <a:off x="4143376" y="1933575"/>
            <a:ext cx="1209675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wCurated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16" name="Graphic 15" descr="Repeat outline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466725</xdr:colOff>
          <xdr:row>1</xdr:row>
          <xdr:rowOff>142875</xdr:rowOff>
        </xdr:from>
        <xdr:to>
          <xdr:col>3</xdr:col>
          <xdr:colOff>2238375</xdr:colOff>
          <xdr:row>3</xdr:row>
          <xdr:rowOff>723900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8080"/>
                  </a:solidFill>
                  <a:latin typeface="Microsoft JhengHei UI"/>
                  <a:ea typeface="Microsoft JhengHei UI"/>
                </a:rPr>
                <a:t>Autocopy Button</a:t>
              </a:r>
            </a:p>
          </xdr:txBody>
        </xdr:sp>
        <xdr:clientData fPrintsWithSheet="0"/>
      </xdr:twoCellAnchor>
    </mc:Choice>
    <mc:Fallback/>
  </mc:AlternateContent>
  <xdr:oneCellAnchor>
    <xdr:from>
      <xdr:col>32</xdr:col>
      <xdr:colOff>178325</xdr:colOff>
      <xdr:row>3</xdr:row>
      <xdr:rowOff>18934</xdr:rowOff>
    </xdr:from>
    <xdr:ext cx="1460174" cy="695252"/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pSpPr/>
      </xdr:nvGrpSpPr>
      <xdr:grpSpPr>
        <a:xfrm>
          <a:off x="25604472" y="1285199"/>
          <a:ext cx="1460174" cy="695252"/>
          <a:chOff x="4143375" y="1933575"/>
          <a:chExt cx="1466021" cy="722475"/>
        </a:xfrm>
      </xdr:grpSpPr>
      <xdr:sp macro="" textlink="">
        <xdr:nvSpPr>
          <xdr:cNvPr id="18" name="TextBox 17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 txBox="1"/>
        </xdr:nvSpPr>
        <xdr:spPr>
          <a:xfrm>
            <a:off x="4143375" y="1933575"/>
            <a:ext cx="1466021" cy="7224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7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0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ForReview_wBOCOM</a:t>
            </a:r>
            <a:endParaRPr lang="en-US" sz="1000">
              <a:solidFill>
                <a:schemeClr val="tx1"/>
              </a:solidFill>
            </a:endParaRPr>
          </a:p>
        </xdr:txBody>
      </xdr:sp>
      <xdr:pic>
        <xdr:nvPicPr>
          <xdr:cNvPr id="19" name="Graphic 18" descr="Repeat outline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22315" y="1933575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9525</xdr:colOff>
      <xdr:row>1</xdr:row>
      <xdr:rowOff>39460</xdr:rowOff>
    </xdr:from>
    <xdr:to>
      <xdr:col>12</xdr:col>
      <xdr:colOff>290233</xdr:colOff>
      <xdr:row>1</xdr:row>
      <xdr:rowOff>906235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13230225" y="630010"/>
          <a:ext cx="1447800" cy="8667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</a:t>
          </a:r>
          <a:r>
            <a:rPr lang="zh-CN" altLang="en-US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如有修改</a:t>
          </a:r>
          <a:endParaRPr lang="en-US" sz="160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Ctrl+Alt+F5</a:t>
          </a:r>
        </a:p>
      </xdr:txBody>
    </xdr:sp>
    <xdr:clientData fPrintsWithSheet="0"/>
  </xdr:twoCellAnchor>
  <xdr:twoCellAnchor editAs="oneCell">
    <xdr:from>
      <xdr:col>28</xdr:col>
      <xdr:colOff>535844</xdr:colOff>
      <xdr:row>0</xdr:row>
      <xdr:rowOff>85573</xdr:rowOff>
    </xdr:from>
    <xdr:to>
      <xdr:col>29</xdr:col>
      <xdr:colOff>400049</xdr:colOff>
      <xdr:row>11</xdr:row>
      <xdr:rowOff>176893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6835"/>
        <a:stretch/>
      </xdr:blipFill>
      <xdr:spPr>
        <a:xfrm>
          <a:off x="25681844" y="85573"/>
          <a:ext cx="1594291" cy="3811018"/>
        </a:xfrm>
        <a:prstGeom prst="rect">
          <a:avLst/>
        </a:prstGeom>
        <a:ln w="6350"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  <xdr:twoCellAnchor editAs="oneCell">
    <xdr:from>
      <xdr:col>0</xdr:col>
      <xdr:colOff>27214</xdr:colOff>
      <xdr:row>1</xdr:row>
      <xdr:rowOff>19051</xdr:rowOff>
    </xdr:from>
    <xdr:to>
      <xdr:col>1</xdr:col>
      <xdr:colOff>1504950</xdr:colOff>
      <xdr:row>1</xdr:row>
      <xdr:rowOff>915885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 txBox="1"/>
      </xdr:nvSpPr>
      <xdr:spPr>
        <a:xfrm>
          <a:off x="27214" y="609601"/>
          <a:ext cx="3011261" cy="89683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 - </a:t>
          </a:r>
          <a:r>
            <a:rPr lang="en-US" sz="16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Capscreen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zh-CN" sz="16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主体及发行评级</a:t>
          </a:r>
          <a:r>
            <a:rPr lang="en-US" sz="16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to 🧑Jason</a:t>
          </a:r>
          <a:endParaRPr lang="en-US" sz="1600" b="1">
            <a:solidFill>
              <a:schemeClr val="accent6"/>
            </a:solidFill>
          </a:endParaRPr>
        </a:p>
      </xdr:txBody>
    </xdr:sp>
    <xdr:clientData fPrintsWithSheet="0"/>
  </xdr:twoCellAnchor>
  <xdr:oneCellAnchor>
    <xdr:from>
      <xdr:col>30</xdr:col>
      <xdr:colOff>40821</xdr:colOff>
      <xdr:row>0</xdr:row>
      <xdr:rowOff>571500</xdr:rowOff>
    </xdr:from>
    <xdr:ext cx="2552700" cy="902277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 txBox="1"/>
      </xdr:nvSpPr>
      <xdr:spPr>
        <a:xfrm>
          <a:off x="21199928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🧑Kings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48</xdr:col>
      <xdr:colOff>0</xdr:colOff>
      <xdr:row>0</xdr:row>
      <xdr:rowOff>571500</xdr:rowOff>
    </xdr:from>
    <xdr:ext cx="2552700" cy="902277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29184600" y="571500"/>
          <a:ext cx="2552700" cy="90227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⚠️ When</a:t>
          </a:r>
          <a:r>
            <a:rPr lang="en-US" altLang="zh-CN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done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Capscreen to 🧑Jason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  <xdr:oneCellAnchor>
    <xdr:from>
      <xdr:col>37</xdr:col>
      <xdr:colOff>19050</xdr:colOff>
      <xdr:row>1</xdr:row>
      <xdr:rowOff>400049</xdr:rowOff>
    </xdr:from>
    <xdr:ext cx="7388038" cy="483177"/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30129256" y="993961"/>
          <a:ext cx="7388038" cy="483177"/>
        </a:xfrm>
        <a:prstGeom prst="rect">
          <a:avLst/>
        </a:prstGeom>
        <a:solidFill>
          <a:schemeClr val="lt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600" b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REVIEW ⬇️</a:t>
          </a:r>
          <a:endParaRPr lang="en-US" sz="1600" b="0">
            <a:solidFill>
              <a:schemeClr val="accent6"/>
            </a:solidFill>
          </a:endParaRPr>
        </a:p>
      </xdr:txBody>
    </xdr:sp>
    <xdr:clientData fPrint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47625</xdr:colOff>
      <xdr:row>2</xdr:row>
      <xdr:rowOff>9525</xdr:rowOff>
    </xdr:from>
    <xdr:ext cx="1062610" cy="714376"/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pSpPr/>
      </xdr:nvGrpSpPr>
      <xdr:grpSpPr>
        <a:xfrm>
          <a:off x="47625" y="1712819"/>
          <a:ext cx="1062610" cy="714376"/>
          <a:chOff x="4143376" y="1933574"/>
          <a:chExt cx="1068457" cy="714376"/>
        </a:xfrm>
      </xdr:grpSpPr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400-000006000000}"/>
              </a:ext>
            </a:extLst>
          </xdr:cNvPr>
          <xdr:cNvSpPr txBox="1"/>
        </xdr:nvSpPr>
        <xdr:spPr>
          <a:xfrm>
            <a:off x="4143376" y="1933575"/>
            <a:ext cx="1068457" cy="71437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charts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7" name="Graphic 6" descr="Repeat outline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473228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  <xdr:oneCellAnchor>
    <xdr:from>
      <xdr:col>16</xdr:col>
      <xdr:colOff>123263</xdr:colOff>
      <xdr:row>2</xdr:row>
      <xdr:rowOff>20732</xdr:rowOff>
    </xdr:from>
    <xdr:ext cx="1378325" cy="752474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14153028" y="1724026"/>
          <a:ext cx="1378325" cy="752474"/>
          <a:chOff x="4143376" y="1933575"/>
          <a:chExt cx="1385909" cy="752474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 txBox="1"/>
        </xdr:nvSpPr>
        <xdr:spPr>
          <a:xfrm>
            <a:off x="4143376" y="1933575"/>
            <a:ext cx="1385909" cy="75247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Graph Weeklydeal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4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642241" y="1978398"/>
            <a:ext cx="349321" cy="349321"/>
          </a:xfrm>
          <a:prstGeom prst="rect">
            <a:avLst/>
          </a:prstGeom>
        </xdr:spPr>
      </xdr:pic>
    </xdr:grpSp>
    <xdr:clientData fPrintsWithSheet="0"/>
  </xdr:oneCellAnchor>
  <xdr:twoCellAnchor editAs="absolute">
    <xdr:from>
      <xdr:col>11</xdr:col>
      <xdr:colOff>381000</xdr:colOff>
      <xdr:row>0</xdr:row>
      <xdr:rowOff>33619</xdr:rowOff>
    </xdr:from>
    <xdr:to>
      <xdr:col>14</xdr:col>
      <xdr:colOff>571500</xdr:colOff>
      <xdr:row>5</xdr:row>
      <xdr:rowOff>100853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9648265" y="33619"/>
          <a:ext cx="3709147" cy="2342028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zh-CN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trl +Alt + F5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36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Refresh All</a:t>
          </a:r>
          <a:endParaRPr lang="en-US" sz="3600">
            <a:solidFill>
              <a:schemeClr val="accent6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433316</xdr:colOff>
      <xdr:row>0</xdr:row>
      <xdr:rowOff>75032</xdr:rowOff>
    </xdr:from>
    <xdr:to>
      <xdr:col>3</xdr:col>
      <xdr:colOff>1763908</xdr:colOff>
      <xdr:row>1</xdr:row>
      <xdr:rowOff>510887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2312339" y="75032"/>
          <a:ext cx="4329184" cy="120651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⚠️</a:t>
          </a:r>
          <a:r>
            <a:rPr lang="en-US" sz="20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 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M</a:t>
          </a:r>
          <a:r>
            <a:rPr lang="en-US" altLang="zh-CN" sz="110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anually Refresh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zh-CN" sz="1100" u="sng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AFTER</a:t>
          </a:r>
          <a:r>
            <a:rPr lang="en-US" altLang="zh-CN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revising Tab REVISED_LIST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Combine multi-tranches issuances into one point</a:t>
          </a:r>
        </a:p>
        <a:p>
          <a:pPr marL="171450" marR="0" lvl="0" indent="-17145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Wingdings" panose="05000000000000000000" pitchFamily="2" charset="2"/>
            <a:buChar char="§"/>
            <a:tabLst/>
            <a:defRPr/>
          </a:pPr>
          <a:r>
            <a:rPr lang="en-US" sz="1100" baseline="0">
              <a:solidFill>
                <a:schemeClr val="accent6"/>
              </a:solidFill>
              <a:effectLst/>
              <a:latin typeface="+mn-lt"/>
              <a:ea typeface="+mn-ea"/>
              <a:cs typeface="+mn-cs"/>
            </a:rPr>
            <a:t>Confirm with Fion for IG Eligibility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n-US" sz="1100" baseline="0">
            <a:solidFill>
              <a:schemeClr val="accent6"/>
            </a:solidFill>
            <a:effectLst/>
            <a:latin typeface="+mn-lt"/>
            <a:ea typeface="+mn-ea"/>
            <a:cs typeface="+mn-cs"/>
          </a:endParaRPr>
        </a:p>
      </xdr:txBody>
    </xdr:sp>
    <xdr:clientData fPrintsWithSheet="0"/>
  </xdr:twoCellAnchor>
  <xdr:twoCellAnchor editAs="oneCell">
    <xdr:from>
      <xdr:col>4</xdr:col>
      <xdr:colOff>9307087</xdr:colOff>
      <xdr:row>0</xdr:row>
      <xdr:rowOff>57221</xdr:rowOff>
    </xdr:from>
    <xdr:to>
      <xdr:col>5</xdr:col>
      <xdr:colOff>1687973</xdr:colOff>
      <xdr:row>2</xdr:row>
      <xdr:rowOff>516906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526" b="38729"/>
        <a:stretch/>
      </xdr:blipFill>
      <xdr:spPr>
        <a:xfrm>
          <a:off x="15940969" y="57221"/>
          <a:ext cx="1726592" cy="2006097"/>
        </a:xfrm>
        <a:prstGeom prst="rect">
          <a:avLst/>
        </a:prstGeom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2122395</xdr:colOff>
      <xdr:row>1</xdr:row>
      <xdr:rowOff>81802</xdr:rowOff>
    </xdr:from>
    <xdr:to>
      <xdr:col>13</xdr:col>
      <xdr:colOff>26456</xdr:colOff>
      <xdr:row>5</xdr:row>
      <xdr:rowOff>156881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798924" y="81802"/>
          <a:ext cx="2879473" cy="1419785"/>
        </a:xfrm>
        <a:prstGeom prst="rect">
          <a:avLst/>
        </a:prstGeom>
        <a:ln>
          <a:solidFill>
            <a:schemeClr val="tx1">
              <a:lumMod val="20000"/>
              <a:lumOff val="80000"/>
            </a:schemeClr>
          </a:solidFill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655791" cy="920563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pSpPr/>
      </xdr:nvGrpSpPr>
      <xdr:grpSpPr>
        <a:xfrm>
          <a:off x="628650" y="504825"/>
          <a:ext cx="2655791" cy="920563"/>
          <a:chOff x="4143376" y="1933574"/>
          <a:chExt cx="2670407" cy="920563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0F00-000003000000}"/>
              </a:ext>
            </a:extLst>
          </xdr:cNvPr>
          <xdr:cNvSpPr txBox="1"/>
        </xdr:nvSpPr>
        <xdr:spPr>
          <a:xfrm>
            <a:off x="4143376" y="1933575"/>
            <a:ext cx="2670407" cy="920562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Qry:</a:t>
            </a: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postreview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 MASTER (wCurated)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0F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318294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0</xdr:row>
      <xdr:rowOff>171450</xdr:rowOff>
    </xdr:from>
    <xdr:ext cx="2574551" cy="853328"/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pSpPr/>
      </xdr:nvGrpSpPr>
      <xdr:grpSpPr>
        <a:xfrm>
          <a:off x="95250" y="171450"/>
          <a:ext cx="2574551" cy="853328"/>
          <a:chOff x="4143374" y="1933574"/>
          <a:chExt cx="2588717" cy="853328"/>
        </a:xfrm>
      </xdr:grpSpPr>
      <xdr:sp macro="" textlink="">
        <xdr:nvSpPr>
          <xdr:cNvPr id="3" name="TextBox 2">
            <a:extLst>
              <a:ext uri="{FF2B5EF4-FFF2-40B4-BE49-F238E27FC236}">
                <a16:creationId xmlns:a16="http://schemas.microsoft.com/office/drawing/2014/main" id="{00000000-0008-0000-1000-000003000000}"/>
              </a:ext>
            </a:extLst>
          </xdr:cNvPr>
          <xdr:cNvSpPr txBox="1"/>
        </xdr:nvSpPr>
        <xdr:spPr>
          <a:xfrm>
            <a:off x="4143374" y="1933575"/>
            <a:ext cx="2588717" cy="853327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800" b="1" i="0">
                <a:solidFill>
                  <a:schemeClr val="dk1"/>
                </a:solidFill>
                <a:effectLst/>
                <a:latin typeface="+mn-lt"/>
                <a:ea typeface="+mn-ea"/>
                <a:cs typeface="+mn-cs"/>
              </a:rPr>
              <a:t> 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Q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ry: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review_shortname</a:t>
            </a:r>
          </a:p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（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To DEALs</a:t>
            </a:r>
            <a:r>
              <a:rPr lang="en-US" altLang="zh-CN" sz="1050" baseline="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 MASTER: </a:t>
            </a:r>
            <a:r>
              <a:rPr lang="en-US" altLang="zh-CN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wCredit</a:t>
            </a:r>
            <a:r>
              <a:rPr lang="zh-CN" altLang="en-US" sz="1050">
                <a:solidFill>
                  <a:schemeClr val="tx1"/>
                </a:solidFill>
                <a:effectLst/>
                <a:latin typeface="+mn-lt"/>
                <a:ea typeface="+mn-ea"/>
                <a:cs typeface="+mn-cs"/>
              </a:rPr>
              <a:t>）</a:t>
            </a:r>
            <a:endParaRPr lang="en-US" sz="1050">
              <a:solidFill>
                <a:schemeClr val="tx1"/>
              </a:solidFill>
            </a:endParaRPr>
          </a:p>
        </xdr:txBody>
      </xdr:sp>
      <xdr:pic>
        <xdr:nvPicPr>
          <xdr:cNvPr id="4" name="Graphic 3" descr="Repeat outline">
            <a:extLst>
              <a:ext uri="{FF2B5EF4-FFF2-40B4-BE49-F238E27FC236}">
                <a16:creationId xmlns:a16="http://schemas.microsoft.com/office/drawing/2014/main" id="{00000000-0008-0000-1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5295759" y="1933574"/>
            <a:ext cx="349321" cy="349321"/>
          </a:xfrm>
          <a:prstGeom prst="rect">
            <a:avLst/>
          </a:prstGeom>
        </xdr:spPr>
      </xdr:pic>
    </xdr:grpSp>
    <xdr:clientData fPrintsWithSheet="0"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29" xr16:uid="{F6F408C1-5F5C-4646-8990-EA8FE33BBFF2}" autoFormatId="16" applyNumberFormats="0" applyBorderFormats="0" applyFontFormats="0" applyPatternFormats="0" applyAlignmentFormats="0" applyWidthHeightFormats="0">
  <queryTableRefresh nextId="3">
    <queryTableFields count="2">
      <queryTableField id="1" name="中资属性" tableColumnId="1"/>
      <queryTableField id="2" name="SortValue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4096DD0-AB84-4A53-B115-89BF556605B4}" autoFormatId="16" applyNumberFormats="0" applyBorderFormats="0" applyFontFormats="0" applyPatternFormats="0" applyAlignmentFormats="0" applyWidthHeightFormats="0">
  <queryTableRefresh nextId="3">
    <queryTableFields count="2">
      <queryTableField id="1" name="BISL_ROLE" tableColumnId="1"/>
      <queryTableField id="2" name="SortValue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E4DA41F8-D207-4CA8-8A33-AF4705C2A064}" autoFormatId="16" applyNumberFormats="0" applyBorderFormats="0" applyFontFormats="0" applyPatternFormats="0" applyAlignmentFormats="0" applyWidthHeightFormats="0">
  <queryTableRefresh nextId="2">
    <queryTableFields count="1">
      <queryTableField id="1" name="BOCOM_DEAL?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116" xr16:uid="{6C9BC67F-1F4E-4BE4-B12F-A8FD3BE1E55D}" autoFormatId="16" applyNumberFormats="0" applyBorderFormats="0" applyFontFormats="0" applyPatternFormats="0" applyAlignmentFormats="0" applyWidthHeightFormats="0">
  <queryTableRefresh nextId="3">
    <queryTableFields count="2">
      <queryTableField id="1" name="Updator" tableColumnId="1"/>
      <queryTableField id="2" name="Name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32" xr16:uid="{02401511-D249-4D8A-ADA9-4B5B67AFD70C}" autoFormatId="16" applyNumberFormats="0" applyBorderFormats="0" applyFontFormats="0" applyPatternFormats="0" applyAlignmentFormats="0" applyWidthHeightFormats="0">
  <queryTableRefresh nextId="3">
    <queryTableFields count="2">
      <queryTableField id="1" name="新规角色" tableColumnId="1"/>
      <queryTableField id="2" name="SortValue" tableColumnId="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7" connectionId="135" xr16:uid="{51E4E338-3CAB-48E9-BD5F-A6370EA50F3B}" autoFormatId="16" applyNumberFormats="0" applyBorderFormats="0" applyFontFormats="0" applyPatternFormats="0" applyAlignmentFormats="0" applyWidthHeightFormats="0">
  <queryTableRefresh nextId="2">
    <queryTableFields count="1">
      <queryTableField id="1" name="结构" tableColumnId="1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33" xr16:uid="{A6361912-58D1-4981-A964-B119518F56C6}" autoFormatId="16" applyNumberFormats="0" applyBorderFormats="0" applyFontFormats="0" applyPatternFormats="0" applyAlignmentFormats="0" applyWidthHeightFormats="0">
  <queryTableRefresh nextId="3">
    <queryTableFields count="2">
      <queryTableField id="1" name="板块" tableColumnId="1"/>
      <queryTableField id="2" name="SortValue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136" xr16:uid="{881B56DD-C639-469C-AE85-795E9045CC88}" autoFormatId="16" applyNumberFormats="0" applyBorderFormats="0" applyFontFormats="0" applyPatternFormats="0" applyAlignmentFormats="0" applyWidthHeightFormats="0">
  <queryTableRefresh nextId="3">
    <queryTableFields count="2">
      <queryTableField id="1" name="货币" tableColumnId="1"/>
      <queryTableField id="2" name="SortValue" tableColumnId="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28" xr16:uid="{1E9EFAFB-7E86-4740-B98B-6C2189720EBA}" autoFormatId="16" applyNumberFormats="0" applyBorderFormats="0" applyFontFormats="0" applyPatternFormats="0" applyAlignmentFormats="0" applyWidthHeightFormats="0">
  <queryTableRefresh nextId="3">
    <queryTableFields count="2">
      <queryTableField id="1" name="上市分类" tableColumnId="1"/>
      <queryTableField id="2" name="SortValue" tableColumnId="2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5" connectionId="23" xr16:uid="{00000000-0016-0000-0100-000000000000}" autoFormatId="16" applyNumberFormats="0" applyBorderFormats="0" applyFontFormats="0" applyPatternFormats="0" applyAlignmentFormats="0" applyWidthHeightFormats="0">
  <queryTableRefresh nextId="552">
    <queryTableFields count="81">
      <queryTableField id="107" name="Index" tableColumnId="67"/>
      <queryTableField id="1" name="信用主体" tableColumnId="1"/>
      <queryTableField id="450" name="英文简称" tableColumnId="23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6" name="发行规模(亿)" tableColumnId="26"/>
      <queryTableField id="27" name="货币" tableColumnId="27"/>
      <queryTableField id="28" name="发行期限(年)" tableColumnId="28"/>
      <queryTableField id="402" name="发行票面利率" tableColumnId="18"/>
      <queryTableField id="19" name="兑付日" tableColumnId="19"/>
      <queryTableField id="30" name="发行场所" tableColumnId="30"/>
      <queryTableField id="98" name="IPT_DMI" tableColumnId="20"/>
      <queryTableField id="99" name="FPG_DMI" tableColumnId="21"/>
      <queryTableField id="22" name="收窄幅度(bp)" tableColumnId="22"/>
      <queryTableField id="93" name="发行方式" tableColumnId="72"/>
      <queryTableField id="144" name="发行架构" tableColumnId="62"/>
      <queryTableField id="24" name="SBLC提供者" tableColumnId="24"/>
      <queryTableField id="25" name="偿还顺位" tableColumnId="25"/>
      <queryTableField id="29" name="发行价" tableColumnId="29"/>
      <queryTableField id="31" name="首日涨跌" tableColumnId="31"/>
      <queryTableField id="5" name="省份" tableColumnId="5"/>
      <queryTableField id="6" name="城市" tableColumnId="6"/>
      <queryTableField id="7" name="区县" tableColumnId="7"/>
      <queryTableField id="32" name="认购额(亿)" tableColumnId="32"/>
      <queryTableField id="33" name="认购倍数" tableColumnId="33"/>
      <queryTableField id="34" name="亚洲占比" tableColumnId="34"/>
      <queryTableField id="35" name="基金占比" tableColumnId="35"/>
      <queryTableField id="36" name="联席全球协调人" tableColumnId="36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122" name="剩余期限" tableColumnId="70"/>
      <queryTableField id="2" name="公司类型" tableColumnId="2"/>
      <queryTableField id="11" name="评级类型" tableColumnId="11"/>
      <queryTableField id="123" name="投资者账户数" tableColumnId="73"/>
      <queryTableField id="124" name="投资者类型" tableColumnId="74"/>
      <queryTableField id="125" name="投资者分布" tableColumnId="75"/>
      <queryTableField id="126" name="筹款用途" tableColumnId="76"/>
      <queryTableField id="37" name="ticker" tableColumnId="37"/>
      <queryTableField id="38" name="债券最新面值" tableColumnId="38"/>
      <queryTableField id="39" name="债券余额" tableColumnId="39"/>
      <queryTableField id="40" name="起息日期" tableColumnId="40"/>
      <queryTableField id="41" name="行权兑付日" tableColumnId="41"/>
      <queryTableField id="42" name="最新票面利率" tableColumnId="42"/>
      <queryTableField id="43" name="计息基准" tableColumnId="43"/>
      <queryTableField id="44" name="首次付息日" tableColumnId="44"/>
      <queryTableField id="45" name="发行人" tableColumnId="45"/>
      <queryTableField id="46" name="担保人" tableColumnId="46"/>
      <queryTableField id="47" name="发行起始日" tableColumnId="47"/>
      <queryTableField id="136" name="定价_DMI" tableColumnId="77"/>
      <queryTableField id="48" name="上市日期" tableColumnId="48"/>
      <queryTableField id="49" name="特殊条款说明" tableColumnId="49"/>
      <queryTableField id="50" name="牵头经办人" tableColumnId="50"/>
      <queryTableField id="128" name="联席账簿管理人" tableColumnId="78"/>
      <queryTableField id="51" name="是否永续债" tableColumnId="51"/>
      <queryTableField id="52" name="是否存单" tableColumnId="52"/>
      <queryTableField id="53" name="利率类型" tableColumnId="53"/>
      <queryTableField id="54" name="交易状态" tableColumnId="54"/>
      <queryTableField id="55" name="债券类型" tableColumnId="55"/>
      <queryTableField id="56" name="特殊条款" tableColumnId="56"/>
      <queryTableField id="57" name="付息频率" tableColumnId="57"/>
      <queryTableField id="58" name="维好协议提供者" tableColumnId="58"/>
      <queryTableField id="91" name="地区" tableColumnId="71"/>
      <queryTableField id="550" name="违约日期" tableColumnId="81"/>
      <queryTableField id="100" name="亿美元" tableColumnId="60"/>
      <queryTableField id="105" name="亿元" tableColumnId="64"/>
      <queryTableField id="120" name="亿港币" tableColumnId="69"/>
      <queryTableField id="140" name="注册成立地" tableColumnId="79"/>
      <queryTableField id="507" name="发行人主上市地" tableColumnId="80"/>
      <queryTableField id="111" name="补充OMAS updates" tableColumnId="63"/>
      <queryTableField id="112" name="定价息差" tableColumnId="65"/>
      <queryTableField id="113" name="发行评级" tableColumnId="66"/>
      <queryTableField id="114" name="主体评级" tableColumnId="68"/>
      <queryTableField id="59" name="Check" tableColumnId="59"/>
      <queryTableField id="109" name="IS_FIMTN" tableColumnId="61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0" xr16:uid="{B2D9610A-2DF8-4D52-9C4A-39A50AFAB38B}" autoFormatId="16" applyNumberFormats="0" applyBorderFormats="0" applyFontFormats="0" applyPatternFormats="0" applyAlignmentFormats="0" applyWidthHeightFormats="0">
  <queryTableRefresh nextId="3">
    <queryTableFields count="1">
      <queryTableField id="2" name="DMI列名更改" tableColumnId="2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0" adjustColumnWidth="0" connectionId="31" xr16:uid="{FCE13C74-D69C-46FE-8791-4CF2F506A876}" autoFormatId="16" applyNumberFormats="0" applyBorderFormats="0" applyFontFormats="0" applyPatternFormats="0" applyAlignmentFormats="0" applyWidthHeightFormats="0">
  <queryTableRefresh nextId="3">
    <queryTableFields count="1">
      <queryTableField id="2" name="DMI新增列" tableColumnId="2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adjustColumnWidth="0" connectionId="92" xr16:uid="{00000000-0016-0000-0200-000002000000}" autoFormatId="16" applyNumberFormats="0" applyBorderFormats="0" applyFontFormats="0" applyPatternFormats="0" applyAlignmentFormats="0" applyWidthHeightFormats="0">
  <queryTableRefresh nextId="2">
    <queryTableFields count="1">
      <queryTableField id="1" name="headers_review" tableColumnId="1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9" connectionId="37" xr16:uid="{00000000-0016-0000-0200-000003000000}" autoFormatId="16" applyNumberFormats="0" applyBorderFormats="0" applyFontFormats="0" applyPatternFormats="0" applyAlignmentFormats="0" applyWidthHeightFormats="0">
  <queryTableRefresh nextId="124">
    <queryTableFields count="28">
      <queryTableField id="1" name="定价日" tableColumnId="1"/>
      <queryTableField id="2" name="信用主体" tableColumnId="2"/>
      <queryTableField id="36" name="主体评级" tableColumnId="4"/>
      <queryTableField id="6" name="发行评级" tableColumnId="6"/>
      <queryTableField id="71" name="备证行" tableColumnId="30"/>
      <queryTableField id="55" name="ESG" tableColumnId="15"/>
      <queryTableField id="12" name="IPG" tableColumnId="12"/>
      <queryTableField id="13" name="FPG" tableColumnId="13"/>
      <queryTableField id="14" name="收窄基点" tableColumnId="14"/>
      <queryTableField id="25" name="定价" tableColumnId="25"/>
      <queryTableField id="72" name="增发判定" tableColumnId="31"/>
      <queryTableField id="110" name="结构" tableColumnId="7"/>
      <queryTableField id="8" name="货币" tableColumnId="8"/>
      <queryTableField id="9" name="发行规模(亿)" tableColumnId="9"/>
      <queryTableField id="52" name="年期" tableColumnId="5"/>
      <queryTableField id="11" name="票息" tableColumnId="11"/>
      <queryTableField id="57" name="FEATURED" tableColumnId="20"/>
      <queryTableField id="73" name="上市" tableColumnId="33"/>
      <queryTableField id="26" name="定价基准" tableColumnId="26"/>
      <queryTableField id="27" name="发行票面利率" tableColumnId="27"/>
      <queryTableField id="32" name="境内主体评级" tableColumnId="32"/>
      <queryTableField id="80" name="通过分行" tableColumnId="3"/>
      <queryTableField id="82" name="期限备注" tableColumnId="34"/>
      <queryTableField id="35" name="ISIN" tableColumnId="35"/>
      <queryTableField id="23" name="亿美元" tableColumnId="23"/>
      <queryTableField id="24" name="亿元" tableColumnId="24"/>
      <queryTableField id="84" name="亿港币" tableColumnId="21"/>
      <queryTableField id="49" name="Check" tableColumnId="19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5" xr16:uid="{00000000-0016-0000-0200-000004000000}" autoFormatId="16" applyNumberFormats="0" applyBorderFormats="0" applyFontFormats="0" applyPatternFormats="0" applyAlignmentFormats="0" applyWidthHeightFormats="0">
  <queryTableRefresh nextId="50">
    <queryTableFields count="16">
      <queryTableField id="4" name="信用主体" tableColumnId="4"/>
      <queryTableField id="1" name="Check" tableColumnId="1"/>
      <queryTableField id="2" name="ISIN" tableColumnId="2"/>
      <queryTableField id="3" name="定价日" tableColumnId="3"/>
      <queryTableField id="38" name="台账序号" tableColumnId="18"/>
      <queryTableField id="16" name="COVERAGE" tableColumnId="8"/>
      <queryTableField id="22" name="Project Name" tableColumnId="10"/>
      <queryTableField id="12" name="新规角色" tableColumnId="12"/>
      <queryTableField id="17" name="PROJECT_CODE" tableColumnId="9"/>
      <queryTableField id="15" name="期数" tableColumnId="15"/>
      <queryTableField id="5" name="BISL_ROLE" tableColumnId="5"/>
      <queryTableField id="20" name="港分_ROLE" tableColumnId="6"/>
      <queryTableField id="21" name="澳分_ROLE" tableColumnId="7"/>
      <queryTableField id="30" name="IS_LEAD" tableColumnId="11"/>
      <queryTableField id="31" name="IS_B&amp;D" tableColumnId="13"/>
      <queryTableField id="32" name="是否合名" tableColumnId="14"/>
    </queryTableFields>
  </queryTableRefresh>
</queryTable>
</file>

<file path=xl/queryTables/queryTable1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1" adjustColumnWidth="0" connectionId="36" xr16:uid="{00000000-0016-0000-0200-000005000000}" autoFormatId="16" applyNumberFormats="0" applyBorderFormats="0" applyFontFormats="0" applyPatternFormats="0" applyAlignmentFormats="0" applyWidthHeightFormats="0">
  <queryTableRefresh nextId="9">
    <queryTableFields count="4">
      <queryTableField id="1" name="信用主体" tableColumnId="1"/>
      <queryTableField id="3" name="SHORTNAMER" tableColumnId="3"/>
      <queryTableField id="6" name="中资属性" tableColumnId="2"/>
      <queryTableField id="8" name="板块" tableColumnId="4"/>
    </queryTableFields>
  </queryTableRefresh>
</queryTable>
</file>

<file path=xl/queryTables/queryTable1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connectionId="7" xr16:uid="{00000000-0016-0000-0400-000009000000}" autoFormatId="16" applyNumberFormats="0" applyBorderFormats="0" applyFontFormats="0" applyPatternFormats="0" applyAlignmentFormats="0" applyWidthHeightFormats="0">
  <queryTableRefresh nextId="17">
    <queryTableFields count="10">
      <queryTableField id="1" name="定价日" tableColumnId="1"/>
      <queryTableField id="2" name="ISIN" tableColumnId="2"/>
      <queryTableField id="3" name="债券简称" tableColumnId="3"/>
      <queryTableField id="4" name="年期" tableColumnId="4"/>
      <queryTableField id="5" name="亿美元" tableColumnId="5"/>
      <queryTableField id="10" name="货币" tableColumnId="10"/>
      <queryTableField id="12" name="板块" tableColumnId="11"/>
      <queryTableField id="7" name="评级分类" tableColumnId="7"/>
      <queryTableField id="8" name="品种" tableColumnId="8"/>
      <queryTableField id="9" name="按年" tableColumnId="9"/>
    </queryTableFields>
    <queryTableDeletedFields count="1">
      <deletedField name="行业"/>
    </queryTableDeletedFields>
  </queryTableRefresh>
</queryTable>
</file>

<file path=xl/queryTables/queryTable1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90" xr16:uid="{00000000-0016-0000-0400-000006000000}" autoFormatId="16" applyNumberFormats="0" applyBorderFormats="0" applyFontFormats="0" applyPatternFormats="0" applyAlignmentFormats="0" applyWidthHeightFormats="0">
  <queryTableRefresh nextId="115">
    <queryTableFields count="17">
      <queryTableField id="39" name="Index" tableColumnId="2"/>
      <queryTableField id="33" name="ISIN" tableColumnId="33"/>
      <queryTableField id="1" name="定价日" tableColumnId="1"/>
      <queryTableField id="40" name="信用主体(备证行)" tableColumnId="3"/>
      <queryTableField id="7" name="发行评级" tableColumnId="7"/>
      <queryTableField id="9" name="货币" tableColumnId="9"/>
      <queryTableField id="10" name="发行规模(亿)" tableColumnId="10"/>
      <queryTableField id="11" name="年期" tableColumnId="11"/>
      <queryTableField id="12" name="票息" tableColumnId="12"/>
      <queryTableField id="13" name="IPG" tableColumnId="13"/>
      <queryTableField id="15" name="收窄基点" tableColumnId="15"/>
      <queryTableField id="16" name="结构" tableColumnId="16"/>
      <queryTableField id="17" name="主题" tableColumnId="17"/>
      <queryTableField id="113" name="板块" tableColumnId="4"/>
      <queryTableField id="19" name="地区" tableColumnId="19"/>
      <queryTableField id="38" name="BOCOM_DEAL?" tableColumnId="38"/>
      <queryTableField id="52" name="亿美元" tableColumnId="23"/>
    </queryTableFields>
  </queryTableRefresh>
</queryTable>
</file>

<file path=xl/queryTables/queryTable1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adjustColumnWidth="0" connectionId="94" xr16:uid="{305A6F1E-0290-4344-AFAD-E6716A21DA85}" autoFormatId="16" applyNumberFormats="0" applyBorderFormats="0" applyFontFormats="0" applyPatternFormats="0" applyAlignmentFormats="0" applyWidthHeightFormats="0">
  <queryTableRefresh nextId="4">
    <queryTableFields count="3">
      <queryTableField id="1" name="Weeknum" tableColumnId="1"/>
      <queryTableField id="2" name="上周亿美元" tableColumnId="2"/>
      <queryTableField id="3" name="上周笔数" tableColumnId="3"/>
    </queryTableFields>
  </queryTableRefresh>
</queryTable>
</file>

<file path=xl/queryTables/queryTable2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0" connectionId="95" xr16:uid="{928E6DD1-D421-4D46-A71A-9622F4792FF2}" autoFormatId="16" applyNumberFormats="0" applyBorderFormats="0" applyFontFormats="0" applyPatternFormats="0" applyAlignmentFormats="0" applyWidthHeightFormats="0">
  <queryTableRefresh nextId="4">
    <queryTableFields count="3">
      <queryTableField id="1" name="周" tableColumnId="1"/>
      <queryTableField id="2" name="上周亿美元" tableColumnId="2"/>
      <queryTableField id="3" name="上周笔数" tableColumnId="3"/>
    </queryTableFields>
  </queryTableRefresh>
</queryTable>
</file>

<file path=xl/queryTables/queryTable2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3" connectionId="113" xr16:uid="{07B46A29-4A23-4795-A14B-5C71FC9F049F}" autoFormatId="16" applyNumberFormats="0" applyBorderFormats="0" applyFontFormats="0" applyPatternFormats="0" applyAlignmentFormats="0" applyWidthHeightFormats="0">
  <queryTableRefresh nextId="5">
    <queryTableFields count="4">
      <queryTableField id="1" name="信用主体简称" tableColumnId="1"/>
      <queryTableField id="2" name="板块" tableColumnId="2"/>
      <queryTableField id="3" name="货币" tableColumnId="3"/>
      <queryTableField id="4" name="Writer" tableColumnId="4"/>
    </queryTableFields>
  </queryTableRefresh>
</queryTable>
</file>

<file path=xl/queryTables/queryTable2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8" adjustColumnWidth="0" connectionId="124" xr16:uid="{00000000-0016-0000-0500-00000E000000}" autoFormatId="16" applyNumberFormats="0" applyBorderFormats="0" applyFontFormats="0" applyPatternFormats="0" applyAlignmentFormats="0" applyWidthHeightFormats="0">
  <queryTableRefresh nextId="184">
    <queryTableFields count="6">
      <queryTableField id="32" name="Index" tableColumnId="12"/>
      <queryTableField id="182" name="板块" tableColumnId="2"/>
      <queryTableField id="39" name="货币" tableColumnId="19"/>
      <queryTableField id="101" name="信用主体(备证行)" tableColumnId="52"/>
      <queryTableField id="14" name="描述" tableColumnId="8"/>
      <queryTableField id="180" name="Stats描述" tableColumnId="1"/>
    </queryTableFields>
    <queryTableDeletedFields count="11">
      <deletedField name="描述"/>
      <deletedField name="Index"/>
      <deletedField name="信用主体简称"/>
      <deletedField name="BISL_ROLE"/>
      <deletedField name="其他交银_ROLE"/>
      <deletedField name="地区"/>
      <deletedField name="行业"/>
      <deletedField name="主题"/>
      <deletedField name="货币"/>
      <deletedField name="结构"/>
      <deletedField name="增发判定"/>
    </queryTableDeletedFields>
  </queryTableRefresh>
</queryTable>
</file>

<file path=xl/queryTables/queryTable2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1" adjustColumnWidth="0" connectionId="123" xr16:uid="{00000000-0016-0000-0500-00000C000000}" autoFormatId="16" applyNumberFormats="0" applyBorderFormats="0" applyFontFormats="0" applyPatternFormats="0" applyAlignmentFormats="0" applyWidthHeightFormats="0">
  <queryTableRefresh nextId="216">
    <queryTableFields count="6">
      <queryTableField id="22" name="Index" tableColumnId="12"/>
      <queryTableField id="214" name="板块" tableColumnId="2"/>
      <queryTableField id="3" name="货币" tableColumnId="3"/>
      <queryTableField id="74" name="信用主体(备证行)" tableColumnId="52"/>
      <queryTableField id="5" name="描述" tableColumnId="5"/>
      <queryTableField id="213" name="Stats描述" tableColumnId="1"/>
    </queryTableFields>
  </queryTableRefresh>
</queryTable>
</file>

<file path=xl/queryTables/queryTable2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2" adjustColumnWidth="0" connectionId="125" xr16:uid="{00000000-0016-0000-0500-00000D000000}" autoFormatId="16" applyNumberFormats="0" applyBorderFormats="0" applyFontFormats="0" applyPatternFormats="0" applyAlignmentFormats="0" applyWidthHeightFormats="0">
  <queryTableRefresh nextId="33">
    <queryTableFields count="6">
      <queryTableField id="22" name="Index" tableColumnId="11"/>
      <queryTableField id="31" name="板块" tableColumnId="2"/>
      <queryTableField id="3" name="货币" tableColumnId="3"/>
      <queryTableField id="27" name="信用主体(备证行)" tableColumnId="1"/>
      <queryTableField id="5" name="描述" tableColumnId="5"/>
      <queryTableField id="30" name="Stats描述" tableColumnId="4"/>
    </queryTableFields>
  </queryTableRefresh>
</queryTable>
</file>

<file path=xl/queryTables/queryTable2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3" xr16:uid="{00000000-0016-0000-0600-00000F000000}" autoFormatId="16" applyNumberFormats="0" applyBorderFormats="0" applyFontFormats="0" applyPatternFormats="0" applyAlignmentFormats="0" applyWidthHeightFormats="0">
  <queryTableRefresh nextId="26">
    <queryTableFields count="15">
      <queryTableField id="1" name="Date" tableColumnId="1"/>
      <queryTableField id="13" name="Region" tableColumnId="13"/>
      <queryTableField id="3" name="Event" tableColumnId="3"/>
      <queryTableField id="14" name="Period" tableColumnId="1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5" name="Table" tableColumnId="15"/>
      <queryTableField id="22" name="区间" tableColumnId="17"/>
      <queryTableField id="23" name="范围" tableColumnId="18"/>
      <queryTableField id="16" name="上周主要经济数据" tableColumnId="16"/>
    </queryTableFields>
  </queryTableRefresh>
</queryTable>
</file>

<file path=xl/queryTables/queryTable2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8" xr16:uid="{00000000-0016-0000-0700-000010000000}" autoFormatId="16" applyNumberFormats="0" applyBorderFormats="0" applyFontFormats="0" applyPatternFormats="0" applyAlignmentFormats="0" applyWidthHeightFormats="0">
  <queryTableRefresh nextId="17">
    <queryTableFields count="15">
      <queryTableField id="1" name="Date" tableColumnId="1"/>
      <queryTableField id="2" name="Region" tableColumnId="2"/>
      <queryTableField id="3" name="Event" tableColumnId="3"/>
      <queryTableField id="4" name="Period" tableColumnId="4"/>
      <queryTableField id="5" name="Survey" tableColumnId="5"/>
      <queryTableField id="6" name="Actual" tableColumnId="6"/>
      <queryTableField id="7" name="Prior" tableColumnId="7"/>
      <queryTableField id="8" name="Revised" tableColumnId="8"/>
      <queryTableField id="9" name="Relevance" tableColumnId="9"/>
      <queryTableField id="10" name="Ticker" tableColumnId="10"/>
      <queryTableField id="11" name="Time" tableColumnId="11"/>
      <queryTableField id="12" name="Table" tableColumnId="12"/>
      <queryTableField id="14" name="区间" tableColumnId="14"/>
      <queryTableField id="15" name="范围" tableColumnId="15"/>
      <queryTableField id="16" name="未来一周主要经济数据" tableColumnId="16"/>
    </queryTableFields>
  </queryTableRefresh>
</queryTable>
</file>

<file path=xl/queryTables/queryTable2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2758E73-E6A8-4AA0-AEB1-5E34C4BDF0E8}" autoFormatId="16" applyNumberFormats="0" applyBorderFormats="0" applyFontFormats="0" applyPatternFormats="0" applyAlignmentFormats="0" applyWidthHeightFormats="0">
  <queryTableRefresh preserveSortFilterLayout="0" nextId="13">
    <queryTableFields count="12">
      <queryTableField id="1" name="ISIN" tableColumnId="609"/>
      <queryTableField id="2" name="信用主体(备证行)" tableColumnId="610"/>
      <queryTableField id="3" name="定价日" tableColumnId="611"/>
      <queryTableField id="4" name="发行评级" tableColumnId="612"/>
      <queryTableField id="5" name="货币" tableColumnId="613"/>
      <queryTableField id="6" name="发行规模(亿)" tableColumnId="614"/>
      <queryTableField id="7" name="年期" tableColumnId="615"/>
      <queryTableField id="8" name="票息" tableColumnId="616"/>
      <queryTableField id="9" name="IPG" tableColumnId="617"/>
      <queryTableField id="10" name="收窄基点" tableColumnId="618"/>
      <queryTableField id="11" name="结构" tableColumnId="619"/>
      <queryTableField id="12" name="主题" tableColumnId="620"/>
    </queryTableFields>
  </queryTableRefresh>
</queryTable>
</file>

<file path=xl/queryTables/queryTable2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adjustColumnWidth="0" connectionId="2" xr16:uid="{9C2F7955-BCCD-428B-AD7B-252CCB02224B}" autoFormatId="16" applyNumberFormats="0" applyBorderFormats="0" applyFontFormats="0" applyPatternFormats="0" applyAlignmentFormats="0" applyWidthHeightFormats="0">
  <queryTableRefresh nextId="3">
    <queryTableFields count="2">
      <queryTableField id="1" name="Column1" tableColumnId="23"/>
      <queryTableField id="2" name="Column2" tableColumnId="24"/>
    </queryTableFields>
  </queryTableRefresh>
</queryTable>
</file>

<file path=xl/queryTables/queryTable2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1" xr16:uid="{BCA25F3D-5EA7-4438-BD47-A2F505717EAC}" autoFormatId="16" applyNumberFormats="0" applyBorderFormats="0" applyFontFormats="0" applyPatternFormats="0" applyAlignmentFormats="0" applyWidthHeightFormats="0">
  <queryTableRefresh nextId="17">
    <queryTableFields count="10">
      <queryTableField id="2" name="定价日" tableColumnId="2"/>
      <queryTableField id="3" name="ISIN" tableColumnId="3"/>
      <queryTableField id="4" name="债券简称" tableColumnId="4"/>
      <queryTableField id="5" name="年期" tableColumnId="5"/>
      <queryTableField id="6" name="亿美元" tableColumnId="6"/>
      <queryTableField id="7" name="货币" tableColumnId="7"/>
      <queryTableField id="12" name="板块" tableColumnId="1"/>
      <queryTableField id="9" name="评级分类" tableColumnId="9"/>
      <queryTableField id="10" name="品种" tableColumnId="10"/>
      <queryTableField id="11" name="按年" tableColumnId="11"/>
    </queryTableFields>
  </queryTableRefresh>
</queryTable>
</file>

<file path=xl/queryTables/queryTable3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6" connectionId="24" xr16:uid="{B8FD89C8-856C-4BC4-965B-5913312DB0D0}" autoFormatId="16" applyNumberFormats="0" applyBorderFormats="0" applyFontFormats="0" applyPatternFormats="0" applyAlignmentFormats="0" applyWidthHeightFormats="0">
  <queryTableRefresh nextId="484">
    <queryTableFields count="70">
      <queryTableField id="1" name="信用主体" tableColumnId="1"/>
      <queryTableField id="384" name="英文简称" tableColumnId="24"/>
      <queryTableField id="9" name="ISIN" tableColumnId="9"/>
      <queryTableField id="12" name="定价日" tableColumnId="12"/>
      <queryTableField id="8" name="债券简称" tableColumnId="8"/>
      <queryTableField id="13" name="穆迪/标普" tableColumnId="13"/>
      <queryTableField id="14" name="主体评级展望" tableColumnId="14"/>
      <queryTableField id="15" name="债项评级" tableColumnId="15"/>
      <queryTableField id="27" name="发行规模(亿)" tableColumnId="27"/>
      <queryTableField id="28" name="货币" tableColumnId="28"/>
      <queryTableField id="29" name="发行期限(年)" tableColumnId="29"/>
      <queryTableField id="336" name="发行票面利率" tableColumnId="18"/>
      <queryTableField id="19" name="兑付日" tableColumnId="19"/>
      <queryTableField id="31" name="发行场所" tableColumnId="31"/>
      <queryTableField id="20" name="IPT_DMI" tableColumnId="20"/>
      <queryTableField id="21" name="FPG_DMI" tableColumnId="21"/>
      <queryTableField id="22" name="收窄幅度(bp)" tableColumnId="22"/>
      <queryTableField id="23" name="发行方式" tableColumnId="23"/>
      <queryTableField id="78" name="发行架构" tableColumnId="69"/>
      <queryTableField id="25" name="SBLC提供者" tableColumnId="25"/>
      <queryTableField id="26" name="偿还顺位" tableColumnId="26"/>
      <queryTableField id="30" name="发行价" tableColumnId="30"/>
      <queryTableField id="32" name="首日涨跌" tableColumnId="32"/>
      <queryTableField id="5" name="省份" tableColumnId="5"/>
      <queryTableField id="6" name="城市" tableColumnId="6"/>
      <queryTableField id="7" name="区县" tableColumnId="7"/>
      <queryTableField id="33" name="认购额(亿)" tableColumnId="33"/>
      <queryTableField id="34" name="认购倍数" tableColumnId="34"/>
      <queryTableField id="35" name="亚洲占比" tableColumnId="35"/>
      <queryTableField id="36" name="基金占比" tableColumnId="36"/>
      <queryTableField id="37" name="联席全球协调人" tableColumnId="37"/>
      <queryTableField id="4" name="细分行业" tableColumnId="4"/>
      <queryTableField id="10" name="主题债券" tableColumnId="10"/>
      <queryTableField id="16" name="债项初始评级" tableColumnId="16"/>
      <queryTableField id="17" name="境内主体评级" tableColumnId="17"/>
      <queryTableField id="3" name="行业" tableColumnId="3"/>
      <queryTableField id="62" name="剩余期限" tableColumnId="62"/>
      <queryTableField id="2" name="公司类型" tableColumnId="2"/>
      <queryTableField id="11" name="评级类型" tableColumnId="11"/>
      <queryTableField id="63" name="投资者账户数" tableColumnId="63"/>
      <queryTableField id="64" name="投资者类型" tableColumnId="64"/>
      <queryTableField id="65" name="投资者分布" tableColumnId="65"/>
      <queryTableField id="66" name="筹款用途" tableColumnId="66"/>
      <queryTableField id="38" name="ticker" tableColumnId="38"/>
      <queryTableField id="39" name="债券最新面值" tableColumnId="39"/>
      <queryTableField id="40" name="债券余额" tableColumnId="40"/>
      <queryTableField id="41" name="起息日期" tableColumnId="41"/>
      <queryTableField id="42" name="行权兑付日" tableColumnId="42"/>
      <queryTableField id="43" name="最新票面利率" tableColumnId="43"/>
      <queryTableField id="44" name="计息基准" tableColumnId="44"/>
      <queryTableField id="45" name="首次付息日" tableColumnId="45"/>
      <queryTableField id="46" name="发行人" tableColumnId="46"/>
      <queryTableField id="47" name="担保人" tableColumnId="47"/>
      <queryTableField id="48" name="发行起始日" tableColumnId="48"/>
      <queryTableField id="67" name="定价_DMI" tableColumnId="67"/>
      <queryTableField id="49" name="上市日期" tableColumnId="49"/>
      <queryTableField id="50" name="特殊条款说明" tableColumnId="50"/>
      <queryTableField id="51" name="牵头经办人" tableColumnId="51"/>
      <queryTableField id="68" name="联席账簿管理人" tableColumnId="68"/>
      <queryTableField id="52" name="是否永续债" tableColumnId="52"/>
      <queryTableField id="53" name="是否存单" tableColumnId="53"/>
      <queryTableField id="54" name="利率类型" tableColumnId="54"/>
      <queryTableField id="55" name="交易状态" tableColumnId="55"/>
      <queryTableField id="56" name="债券类型" tableColumnId="56"/>
      <queryTableField id="57" name="特殊条款" tableColumnId="57"/>
      <queryTableField id="58" name="付息频率" tableColumnId="58"/>
      <queryTableField id="59" name="维好协议提供者" tableColumnId="59"/>
      <queryTableField id="60" name="地区" tableColumnId="60"/>
      <queryTableField id="482" name="违约日期" tableColumnId="70"/>
      <queryTableField id="61" name="Check" tableColumnId="61"/>
    </queryTableFields>
  </queryTableRefresh>
</queryTable>
</file>

<file path=xl/queryTables/queryTable3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B373777-6D0E-4373-8161-40D12EDDEF4D}" autoFormatId="16" applyNumberFormats="0" applyBorderFormats="0" applyFontFormats="0" applyPatternFormats="0" applyAlignmentFormats="0" applyWidthHeightFormats="0">
  <queryTableRefresh nextId="19">
    <queryTableFields count="13">
      <queryTableField id="1" name="Index" tableColumnId="1"/>
      <queryTableField id="2" name="定价日" tableColumnId="2"/>
      <queryTableField id="3" name="ISIN" tableColumnId="3"/>
      <queryTableField id="4" name="补充OMAS updates" tableColumnId="4"/>
      <queryTableField id="5" name="发行评级" tableColumnId="5"/>
      <queryTableField id="6" name="发行人注册地" tableColumnId="6"/>
      <queryTableField id="15" name="发行人主上市地" tableColumnId="13"/>
      <queryTableField id="7" name="主体评级" tableColumnId="7"/>
      <queryTableField id="8" name="定价息差" tableColumnId="8"/>
      <queryTableField id="9" name="浮息息差" tableColumnId="9"/>
      <queryTableField id="11" name="债项BBG" tableColumnId="11"/>
      <queryTableField id="12" name="主体BBG" tableColumnId="12"/>
      <queryTableField id="10" name="Check" tableColumnId="10"/>
    </queryTableFields>
  </queryTableRefresh>
</queryTable>
</file>

<file path=xl/queryTables/queryTable3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1" xr16:uid="{F411338F-7C60-4E47-A1F5-A5A87D4E0DE3}" autoFormatId="16" applyNumberFormats="0" applyBorderFormats="0" applyFontFormats="0" applyPatternFormats="0" applyAlignmentFormats="0" applyWidthHeightFormats="0">
  <queryTableRefresh nextId="9">
    <queryTableFields count="8">
      <queryTableField id="1" name="Project Name" tableColumnId="1"/>
      <queryTableField id="2" name="ISIN" tableColumnId="2"/>
      <queryTableField id="3" name="项目名称（集团全称）" tableColumnId="3"/>
      <queryTableField id="4" name="台账序号" tableColumnId="4"/>
      <queryTableField id="5" name="担任角色" tableColumnId="5"/>
      <queryTableField id="6" name="新规角色" tableColumnId="6"/>
      <queryTableField id="7" name="COVERAGE" tableColumnId="7"/>
      <queryTableField id="8" name="项目定价日" tableColumnId="8"/>
    </queryTableFields>
  </queryTableRefresh>
</queryTable>
</file>

<file path=xl/queryTables/queryTable3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27" xr16:uid="{77DE529F-18C5-4C93-9015-01A7C00BE612}" autoFormatId="16" applyNumberFormats="0" applyBorderFormats="0" applyFontFormats="0" applyPatternFormats="0" applyAlignmentFormats="0" applyWidthHeightFormats="0">
  <queryTableRefresh nextId="14">
    <queryTableFields count="13">
      <queryTableField id="1" name="信用主体" tableColumnId="1"/>
      <queryTableField id="2" name="定价日" tableColumnId="2"/>
      <queryTableField id="3" name="债券名称" tableColumnId="3"/>
      <queryTableField id="4" name="ISIN" tableColumnId="4"/>
      <queryTableField id="5" name="发行价" tableColumnId="5"/>
      <queryTableField id="6" name="初始发行价" tableColumnId="6"/>
      <queryTableField id="7" name="认购倍数" tableColumnId="7"/>
      <queryTableField id="8" name="首日表现" tableColumnId="8"/>
      <queryTableField id="9" name="行业" tableColumnId="9"/>
      <queryTableField id="10" name="最终订单量/峰值订单（亿美元）" tableColumnId="10"/>
      <queryTableField id="11" name="WSTIPT" tableColumnId="11"/>
      <queryTableField id="12" name="WSTFPT" tableColumnId="12"/>
      <queryTableField id="13" name="Check" tableColumnId="13"/>
    </queryTableFields>
  </queryTableRefresh>
</queryTable>
</file>

<file path=xl/queryTables/queryTable3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03" xr16:uid="{9A83D6E5-8028-451F-81EB-6106800FC1B7}" autoFormatId="16" applyNumberFormats="0" applyBorderFormats="0" applyFontFormats="0" applyPatternFormats="0" applyAlignmentFormats="0" applyWidthHeightFormats="0">
  <queryTableRefresh nextId="65">
    <queryTableFields count="47">
      <queryTableField id="1" name="Index" tableColumnId="1"/>
      <queryTableField id="2" name="信用主体" tableColumnId="2"/>
      <queryTableField id="3" name="ISIN" tableColumnId="3"/>
      <queryTableField id="4" name="定价日" tableColumnId="4"/>
      <queryTableField id="5" name="发行评级" tableColumnId="5"/>
      <queryTableField id="6" name="主体评级" tableColumnId="6"/>
      <queryTableField id="7" name="境内主体评级" tableColumnId="7"/>
      <queryTableField id="8" name="货币" tableColumnId="8"/>
      <queryTableField id="9" name="发行规模(亿)" tableColumnId="9"/>
      <queryTableField id="10" name="年期" tableColumnId="10"/>
      <queryTableField id="11" name="票息" tableColumnId="11"/>
      <queryTableField id="12" name="IPG" tableColumnId="12"/>
      <queryTableField id="13" name="FPG" tableColumnId="13"/>
      <queryTableField id="14" name="定价" tableColumnId="14"/>
      <queryTableField id="15" name="收窄基点" tableColumnId="15"/>
      <queryTableField id="16" name="定价基准" tableColumnId="16"/>
      <queryTableField id="39" name="发行价" tableColumnId="18"/>
      <queryTableField id="17" name="结构" tableColumnId="17"/>
      <queryTableField id="19" name="上市" tableColumnId="19"/>
      <queryTableField id="20" name="港分_ROLE" tableColumnId="20"/>
      <queryTableField id="21" name="澳分_ROLE" tableColumnId="21"/>
      <queryTableField id="22" name="增发判定" tableColumnId="22"/>
      <queryTableField id="40" name="付息频率" tableColumnId="26"/>
      <queryTableField id="41" name="起息日期" tableColumnId="27"/>
      <queryTableField id="42" name="首次付息日" tableColumnId="39"/>
      <queryTableField id="43" name="兑付日" tableColumnId="40"/>
      <queryTableField id="23" name="亿美元" tableColumnId="23"/>
      <queryTableField id="24" name="亿元" tableColumnId="24"/>
      <queryTableField id="25" name="亿港币" tableColumnId="25"/>
      <queryTableField id="44" name="ticker" tableColumnId="41"/>
      <queryTableField id="57" name="注册成立地" tableColumnId="45"/>
      <queryTableField id="59" name="发行人主上市地" tableColumnId="46"/>
      <queryTableField id="45" name="发行人" tableColumnId="42"/>
      <queryTableField id="46" name="担保人" tableColumnId="43"/>
      <queryTableField id="47" name="维好协议提供者" tableColumnId="44"/>
      <queryTableField id="28" name="备证行" tableColumnId="28"/>
      <queryTableField id="29" name="ESG" tableColumnId="29"/>
      <queryTableField id="30" name="FEATURED" tableColumnId="30"/>
      <queryTableField id="31" name="亮点" tableColumnId="31"/>
      <queryTableField id="32" name="通过分行" tableColumnId="32"/>
      <queryTableField id="33" name="期限备注" tableColumnId="33"/>
      <queryTableField id="34" name="SPECIALs" tableColumnId="34"/>
      <queryTableField id="35" name="OTHER_ISIN" tableColumnId="35"/>
      <queryTableField id="63" name="Stats" tableColumnId="47"/>
      <queryTableField id="36" name="Updator" tableColumnId="36"/>
      <queryTableField id="37" name="Timestamp" tableColumnId="37"/>
      <queryTableField id="38" name="Check" tableColumnId="38"/>
    </queryTableFields>
  </queryTableRefresh>
</queryTable>
</file>

<file path=xl/queryTables/queryTable3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9" connectionId="110" xr16:uid="{00000000-0016-0000-0400-00000A000000}" autoFormatId="16" applyNumberFormats="0" applyBorderFormats="0" applyFontFormats="0" applyPatternFormats="0" applyAlignmentFormats="0" applyWidthHeightFormats="0">
  <queryTableRefresh nextId="62">
    <queryTableFields count="21">
      <queryTableField id="24" name="Index" tableColumnId="1"/>
      <queryTableField id="7" name="信用主体" tableColumnId="7"/>
      <queryTableField id="25" name="信用主体简称" tableColumnId="12"/>
      <queryTableField id="12" name="中资属性" tableColumnId="2"/>
      <queryTableField id="22" name="板块" tableColumnId="3"/>
      <queryTableField id="9" name="细分行业" tableColumnId="9"/>
      <queryTableField id="45" name="行业二级" tableColumnId="13"/>
      <queryTableField id="4" name="地区" tableColumnId="4"/>
      <queryTableField id="5" name="城市" tableColumnId="5"/>
      <queryTableField id="6" name="区县" tableColumnId="6"/>
      <queryTableField id="27" name="平台级别" tableColumnId="14"/>
      <queryTableField id="56" name="系" tableColumnId="20"/>
      <queryTableField id="28" name="首次违约日" tableColumnId="15"/>
      <queryTableField id="11" name="DEBUT_DATE" tableColumnId="11"/>
      <queryTableField id="29" name="曾用名" tableColumnId="16"/>
      <queryTableField id="30" name="主体备注" tableColumnId="17"/>
      <queryTableField id="8" name="行业" tableColumnId="8"/>
      <queryTableField id="58" name="上市类型" tableColumnId="21"/>
      <queryTableField id="10" name="公司类型" tableColumnId="10"/>
      <queryTableField id="31" name="Updator" tableColumnId="18"/>
      <queryTableField id="32" name="Timestamp" tableColumnId="19"/>
    </queryTableFields>
  </queryTableRefresh>
</queryTable>
</file>

<file path=xl/queryTables/queryTable3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6" connectionId="109" xr16:uid="{00000000-0016-0000-0400-000008000000}" autoFormatId="16" applyNumberFormats="0" applyBorderFormats="0" applyFontFormats="0" applyPatternFormats="0" applyAlignmentFormats="0" applyWidthHeightFormats="0">
  <queryTableRefresh nextId="57">
    <queryTableFields count="18">
      <queryTableField id="33" name="Index" tableColumnId="6"/>
      <queryTableField id="2" name="ISIN" tableColumnId="2"/>
      <queryTableField id="3" name="定价日" tableColumnId="3"/>
      <queryTableField id="4" name="信用主体" tableColumnId="4"/>
      <queryTableField id="5" name="BISL_ROLE" tableColumnId="5"/>
      <queryTableField id="14" name="IS_LEAD" tableColumnId="12"/>
      <queryTableField id="15" name="IS_B&amp;D" tableColumnId="14"/>
      <queryTableField id="16" name="是否合名" tableColumnId="15"/>
      <queryTableField id="10" name="新规角色" tableColumnId="10"/>
      <queryTableField id="11" name="COVERAGE" tableColumnId="11"/>
      <queryTableField id="8" name="PROJECT_CODE" tableColumnId="8"/>
      <queryTableField id="9" name="期数" tableColumnId="9"/>
      <queryTableField id="22" name="台账序号" tableColumnId="18"/>
      <queryTableField id="34" name="多笔" tableColumnId="7"/>
      <queryTableField id="35" name="多币种" tableColumnId="13"/>
      <queryTableField id="36" name="多品种" tableColumnId="16"/>
      <queryTableField id="1" name="Check" tableColumnId="1"/>
      <queryTableField id="56" name="PRJ对账号" tableColumnId="17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2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2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2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3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3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3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3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_rels/table3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5.xml"/></Relationships>
</file>

<file path=xl/tables/_rels/table3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6.xml"/></Relationships>
</file>

<file path=xl/tables/_rels/table3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7.xml"/></Relationships>
</file>

<file path=xl/tables/_rels/table4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8.xml"/></Relationships>
</file>

<file path=xl/tables/_rels/table4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9.xml"/></Relationships>
</file>

<file path=xl/tables/_rels/table4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0.xml"/></Relationships>
</file>

<file path=xl/tables/_rels/table4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1.xml"/></Relationships>
</file>

<file path=xl/tables/_rels/table4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2.xml"/></Relationships>
</file>

<file path=xl/tables/_rels/table4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3.xml"/></Relationships>
</file>

<file path=xl/tables/_rels/table4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4.xml"/></Relationships>
</file>

<file path=xl/tables/_rels/table4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5.xml"/></Relationships>
</file>

<file path=xl/tables/_rels/table4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bl_ddsector" displayName="tbl_ddsector" ref="A6:A10" totalsRowShown="0">
  <autoFilter ref="A6:A10" xr:uid="{00000000-0009-0000-0100-000006000000}">
    <filterColumn colId="0" hiddenButton="1"/>
  </autoFilter>
  <tableColumns count="1">
    <tableColumn id="1" xr3:uid="{00000000-0010-0000-0000-000001000000}" name="行业"/>
  </tableColumns>
  <tableStyleInfo name="Named_dd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bl_dd_by_rtg" displayName="tbl_dd_by_rtg" ref="B6:B9" totalsRowShown="0">
  <autoFilter ref="B6:B9" xr:uid="{00000000-0009-0000-0100-000005000000}">
    <filterColumn colId="0" hiddenButton="1"/>
  </autoFilter>
  <tableColumns count="1">
    <tableColumn id="1" xr3:uid="{00000000-0010-0000-0200-000001000000}" name="评级分类"/>
  </tableColumns>
  <tableStyleInfo name="Named_dd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09000000}" name="tbl_dd_region" displayName="tbl_dd_region" ref="A12:A44" totalsRowShown="0" headerRowDxfId="437" dataDxfId="436">
  <autoFilter ref="A12:A44" xr:uid="{00000000-0009-0000-0100-000019000000}">
    <filterColumn colId="0" hiddenButton="1"/>
  </autoFilter>
  <tableColumns count="1">
    <tableColumn id="1" xr3:uid="{00000000-0010-0000-0900-000001000000}" name="地区" dataDxfId="435"/>
  </tableColumns>
  <tableStyleInfo name="Named_dd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0F000000}" name="tbl_dd_coverage" displayName="tbl_dd_coverage" ref="D17:D21" totalsRowShown="0">
  <autoFilter ref="D17:D21" xr:uid="{00000000-0009-0000-0100-00001D000000}">
    <filterColumn colId="0" hiddenButton="1"/>
  </autoFilter>
  <tableColumns count="1">
    <tableColumn id="1" xr3:uid="{00000000-0010-0000-0F00-000001000000}" name="COVERAGE"/>
  </tableColumns>
  <tableStyleInfo name="Named_dd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C185AFF-F2CA-4E91-B091-BF7323F57092}" name="中资属性" displayName="中资属性" ref="F14:G20" tableType="queryTable" totalsRowShown="0">
  <autoFilter ref="F14:G20" xr:uid="{468C1FBA-82A3-4DD0-AF71-D0CA0ACFFFD2}">
    <filterColumn colId="0" hiddenButton="1"/>
  </autoFilter>
  <tableColumns count="2">
    <tableColumn id="1" xr3:uid="{E46ED5D9-5689-449D-A1E6-5A3A303F856D}" uniqueName="1" name="中资属性" queryTableFieldId="1" dataDxfId="8"/>
    <tableColumn id="2" xr3:uid="{E93A5C7A-B5A8-4188-9788-24754CAEF09E}" uniqueName="2" name="SortValue" queryTableFieldId="2"/>
  </tableColumns>
  <tableStyleInfo name="Named_dd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E47FCD76-5C14-4204-AF5E-8A7CCACA1AA0}" name="BISL_ROLE" displayName="BISL_ROLE" ref="F29:G35" tableType="queryTable" totalsRowShown="0">
  <autoFilter ref="F29:G35" xr:uid="{FF208760-EA58-4FEC-8BFC-A2D10CC56FD3}">
    <filterColumn colId="0" hiddenButton="1"/>
  </autoFilter>
  <tableColumns count="2">
    <tableColumn id="1" xr3:uid="{E8A08C19-4FDD-411B-A6E1-3AEE07FBDDD9}" uniqueName="1" name="BISL_ROLE" queryTableFieldId="1" dataDxfId="9"/>
    <tableColumn id="2" xr3:uid="{B911249C-31C6-41A0-80D4-BBD6898CECAB}" uniqueName="2" name="SortValue" queryTableFieldId="2"/>
  </tableColumns>
  <tableStyleInfo name="Named_dd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A0C9D44-CD1D-472C-AE88-CA3B607FE7CC}" name="BOCOM_DEAL" displayName="BOCOM_DEAL" ref="P6:P15" tableType="queryTable" totalsRowShown="0">
  <autoFilter ref="P6:P15" xr:uid="{BBFF4DEA-A6A6-4E4A-BBFF-5F70C9A4075B}">
    <filterColumn colId="0" hiddenButton="1"/>
  </autoFilter>
  <tableColumns count="1">
    <tableColumn id="1" xr3:uid="{16D02616-7CFF-4860-A675-A380E36236C5}" uniqueName="1" name="BOCOM_DEAL?" queryTableFieldId="1" dataDxfId="10"/>
  </tableColumns>
  <tableStyleInfo name="Named_dd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999A9F35-E4E0-4D85-AD86-43F048CB5B5A}" name="Updator" displayName="Updator" ref="F6:G11" tableType="queryTable" totalsRowShown="0">
  <autoFilter ref="F6:G11" xr:uid="{999A9F35-E4E0-4D85-AD86-43F048CB5B5A}">
    <filterColumn colId="0" hiddenButton="1"/>
  </autoFilter>
  <tableColumns count="2">
    <tableColumn id="1" xr3:uid="{2AA3E575-2017-4E83-9753-495BF623DBCA}" uniqueName="1" name="Updator" queryTableFieldId="1" dataDxfId="11"/>
    <tableColumn id="2" xr3:uid="{0219E8DB-E4B8-4848-A5DB-8CDC9DBDA325}" uniqueName="2" name="Name" queryTableFieldId="2"/>
  </tableColumns>
  <tableStyleInfo name="Named_dd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338D98A-94FB-4BC7-BB78-A5D2597DC869}" name="新规角色" displayName="新规角色" ref="F59:G65" tableType="queryTable" totalsRowShown="0">
  <autoFilter ref="F59:G65" xr:uid="{E5A823B0-99ED-4119-B539-A98E411D1243}">
    <filterColumn colId="0" hiddenButton="1"/>
  </autoFilter>
  <tableColumns count="2">
    <tableColumn id="1" xr3:uid="{13497FA3-5E2B-4299-AA74-AB8C753D2866}" uniqueName="1" name="新规角色" queryTableFieldId="1" dataDxfId="12"/>
    <tableColumn id="2" xr3:uid="{48DB0258-5155-48AF-8825-EE1050573BFC}" uniqueName="2" name="SortValue" queryTableFieldId="2"/>
  </tableColumns>
  <tableStyleInfo name="Named_dd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3B9F0E-B55C-4ED4-A2F6-BDA76C0FB0F9}" name="结构" displayName="结构" ref="D6:D15" tableType="queryTable" totalsRowShown="0">
  <autoFilter ref="D6:D15" xr:uid="{C59B98D9-DE6D-4FBE-945C-51BABF760B41}">
    <filterColumn colId="0" hiddenButton="1"/>
  </autoFilter>
  <tableColumns count="1">
    <tableColumn id="1" xr3:uid="{0B5F8960-333E-4BB5-B169-91B90A7CD709}" uniqueName="1" name="结构" queryTableFieldId="1" dataDxfId="13"/>
  </tableColumns>
  <tableStyleInfo name="Named_dd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3720B71-7512-485F-9B25-637F17EE38C6}" name="板块" displayName="板块" ref="F22:G27" tableType="queryTable" totalsRowShown="0">
  <autoFilter ref="F22:G27" xr:uid="{26FE236B-2A97-45BE-82BB-C1AD85E2DB46}"/>
  <tableColumns count="2">
    <tableColumn id="1" xr3:uid="{DE820937-D9CF-434A-8A46-AEA8816786C6}" uniqueName="1" name="板块" queryTableFieldId="1" dataDxfId="14"/>
    <tableColumn id="2" xr3:uid="{0349388C-4B60-43A7-B72C-E63E6C570115}" uniqueName="2" name="SortValue" queryTableFieldId="2"/>
  </tableColumns>
  <tableStyleInfo name="Named_dd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F8038FA-F5FD-4B93-A069-021973B2B269}" name="货币" displayName="货币" ref="F37:G48" tableType="queryTable" totalsRowShown="0">
  <autoFilter ref="F37:G48" xr:uid="{AF8038FA-F5FD-4B93-A069-021973B2B269}"/>
  <tableColumns count="2">
    <tableColumn id="1" xr3:uid="{DD06F972-EA09-468A-B735-0CEFD18E493E}" uniqueName="1" name="货币" queryTableFieldId="1" dataDxfId="15"/>
    <tableColumn id="2" xr3:uid="{6DB657FB-E1F1-4EA3-83FA-7AC2169895B1}" uniqueName="2" name="SortValue" queryTableFieldId="2" dataDxfId="434"/>
  </tableColumns>
  <tableStyleInfo name="Named_dd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603B9A1-E294-40E5-AD4D-4E9927CD4CAF}" name="上市分类" displayName="上市分类" ref="F50:G57" tableType="queryTable" totalsRowShown="0">
  <autoFilter ref="F50:G57" xr:uid="{6603B9A1-E294-40E5-AD4D-4E9927CD4CAF}"/>
  <tableColumns count="2">
    <tableColumn id="1" xr3:uid="{369F5811-C952-4951-A1BB-EF52B7DFEE11}" uniqueName="1" name="上市分类" queryTableFieldId="1" dataDxfId="16"/>
    <tableColumn id="2" xr3:uid="{C1D12E41-5DFD-4B2B-90E5-92838B701E0D}" uniqueName="2" name="SortValue" queryTableFieldId="2" dataDxfId="433"/>
  </tableColumns>
  <tableStyleInfo name="Named_dd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F131EFEA-EDB6-4A52-9DED-ECD123312D50}" name="tbl_BOCOMJLM" displayName="tbl_BOCOMJLM" ref="D24:D28" totalsRowShown="0">
  <autoFilter ref="D24:D28" xr:uid="{F131EFEA-EDB6-4A52-9DED-ECD123312D50}"/>
  <tableColumns count="1">
    <tableColumn id="1" xr3:uid="{FFDAFF75-50D1-41BB-9E49-2BB8B082E04A}" name="BOCOMJLM"/>
  </tableColumns>
  <tableStyleInfo name="Named_dd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2000000}" name="tbl_dt" displayName="tbl_dt" ref="I1:I2" totalsRowShown="0" headerRowDxfId="432" dataDxfId="431">
  <autoFilter ref="I1:I2" xr:uid="{00000000-0009-0000-0100-00001C000000}">
    <filterColumn colId="0" hiddenButton="1"/>
  </autoFilter>
  <tableColumns count="1">
    <tableColumn id="1" xr3:uid="{00000000-0010-0000-1200-000001000000}" name="Updator" dataDxfId="430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14000000}" name="Table_DLDconso" displayName="Table_DLDconso" ref="D10:CF24" tableType="queryTable" totalsRowShown="0">
  <autoFilter ref="D10:CF24" xr:uid="{00000000-0009-0000-0100-00000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70" hiddenButton="1"/>
    <filterColumn colId="71" hiddenButton="1"/>
    <filterColumn colId="72" hiddenButton="1"/>
    <filterColumn colId="73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</autoFilter>
  <tableColumns count="81">
    <tableColumn id="67" xr3:uid="{89571AE0-3879-457F-B318-34D498859252}" uniqueName="67" name="Index" queryTableFieldId="107" dataDxfId="429"/>
    <tableColumn id="1" xr3:uid="{00000000-0010-0000-1400-000001000000}" uniqueName="1" name="信用主体" queryTableFieldId="1" dataDxfId="428"/>
    <tableColumn id="23" xr3:uid="{B5A6303E-E7C0-43D0-A6BB-6FDABEE4ABD9}" uniqueName="23" name="英文简称" queryTableFieldId="450" dataDxfId="69"/>
    <tableColumn id="9" xr3:uid="{00000000-0010-0000-1400-000009000000}" uniqueName="9" name="ISIN" queryTableFieldId="9" dataDxfId="427"/>
    <tableColumn id="12" xr3:uid="{00000000-0010-0000-1400-00000C000000}" uniqueName="12" name="定价日" queryTableFieldId="12" dataDxfId="68"/>
    <tableColumn id="8" xr3:uid="{00000000-0010-0000-1400-000008000000}" uniqueName="8" name="债券简称" queryTableFieldId="8" dataDxfId="67"/>
    <tableColumn id="13" xr3:uid="{00000000-0010-0000-1400-00000D000000}" uniqueName="13" name="穆迪/标普" queryTableFieldId="13" dataDxfId="66"/>
    <tableColumn id="14" xr3:uid="{00000000-0010-0000-1400-00000E000000}" uniqueName="14" name="主体评级展望" queryTableFieldId="14" dataDxfId="65"/>
    <tableColumn id="15" xr3:uid="{00000000-0010-0000-1400-00000F000000}" uniqueName="15" name="债项评级" queryTableFieldId="15" dataDxfId="64"/>
    <tableColumn id="26" xr3:uid="{00000000-0010-0000-1400-00001A000000}" uniqueName="26" name="发行规模(亿)" queryTableFieldId="26" dataDxfId="426"/>
    <tableColumn id="27" xr3:uid="{00000000-0010-0000-1400-00001B000000}" uniqueName="27" name="货币" queryTableFieldId="27" dataDxfId="425"/>
    <tableColumn id="28" xr3:uid="{00000000-0010-0000-1400-00001C000000}" uniqueName="28" name="发行期限(年)" queryTableFieldId="28" dataDxfId="63"/>
    <tableColumn id="18" xr3:uid="{976CC2A1-CB1D-46FB-BCEF-7DD409F4944D}" uniqueName="18" name="发行票面利率" queryTableFieldId="402" dataDxfId="424"/>
    <tableColumn id="19" xr3:uid="{00000000-0010-0000-1400-000013000000}" uniqueName="19" name="兑付日" queryTableFieldId="19" dataDxfId="423"/>
    <tableColumn id="30" xr3:uid="{00000000-0010-0000-1400-00001E000000}" uniqueName="30" name="发行场所" queryTableFieldId="30" dataDxfId="62"/>
    <tableColumn id="20" xr3:uid="{2E21E1F0-B3C8-4D63-81C1-4DEA5849D935}" uniqueName="20" name="IPT_DMI" queryTableFieldId="98" dataDxfId="422"/>
    <tableColumn id="21" xr3:uid="{721CAAAA-9532-4A2C-AF68-00307121AC06}" uniqueName="21" name="FPG_DMI" queryTableFieldId="99" dataDxfId="421"/>
    <tableColumn id="22" xr3:uid="{00000000-0010-0000-1400-000016000000}" uniqueName="22" name="收窄幅度(bp)" queryTableFieldId="22" dataDxfId="420"/>
    <tableColumn id="72" xr3:uid="{00000000-0010-0000-1400-000048000000}" uniqueName="72" name="发行方式" queryTableFieldId="93" dataDxfId="61"/>
    <tableColumn id="62" xr3:uid="{9E4808FC-4C9C-428D-82BA-2929B856B8D6}" uniqueName="62" name="发行架构" queryTableFieldId="144" dataDxfId="60"/>
    <tableColumn id="24" xr3:uid="{00000000-0010-0000-1400-000018000000}" uniqueName="24" name="SBLC提供者" queryTableFieldId="24" dataDxfId="419"/>
    <tableColumn id="25" xr3:uid="{00000000-0010-0000-1400-000019000000}" uniqueName="25" name="偿还顺位" queryTableFieldId="25" dataDxfId="59"/>
    <tableColumn id="29" xr3:uid="{00000000-0010-0000-1400-00001D000000}" uniqueName="29" name="发行价" queryTableFieldId="29" dataDxfId="418"/>
    <tableColumn id="31" xr3:uid="{00000000-0010-0000-1400-00001F000000}" uniqueName="31" name="首日涨跌" queryTableFieldId="31" dataDxfId="417"/>
    <tableColumn id="5" xr3:uid="{00000000-0010-0000-1400-000005000000}" uniqueName="5" name="省份" queryTableFieldId="5" dataDxfId="58"/>
    <tableColumn id="6" xr3:uid="{00000000-0010-0000-1400-000006000000}" uniqueName="6" name="城市" queryTableFieldId="6" dataDxfId="57"/>
    <tableColumn id="7" xr3:uid="{00000000-0010-0000-1400-000007000000}" uniqueName="7" name="区县" queryTableFieldId="7" dataDxfId="416"/>
    <tableColumn id="32" xr3:uid="{00000000-0010-0000-1400-000020000000}" uniqueName="32" name="认购额(亿)" queryTableFieldId="32" dataDxfId="415"/>
    <tableColumn id="33" xr3:uid="{00000000-0010-0000-1400-000021000000}" uniqueName="33" name="认购倍数" queryTableFieldId="33" dataDxfId="414"/>
    <tableColumn id="34" xr3:uid="{00000000-0010-0000-1400-000022000000}" uniqueName="34" name="亚洲占比" queryTableFieldId="34" dataDxfId="413"/>
    <tableColumn id="35" xr3:uid="{00000000-0010-0000-1400-000023000000}" uniqueName="35" name="基金占比" queryTableFieldId="35" dataDxfId="412"/>
    <tableColumn id="36" xr3:uid="{00000000-0010-0000-1400-000024000000}" uniqueName="36" name="联席全球协调人" queryTableFieldId="36" dataDxfId="56"/>
    <tableColumn id="4" xr3:uid="{00000000-0010-0000-1400-000004000000}" uniqueName="4" name="细分行业" queryTableFieldId="4" dataDxfId="55"/>
    <tableColumn id="10" xr3:uid="{00000000-0010-0000-1400-00000A000000}" uniqueName="10" name="主题债券" queryTableFieldId="10" dataDxfId="411"/>
    <tableColumn id="16" xr3:uid="{00000000-0010-0000-1400-000010000000}" uniqueName="16" name="债项初始评级" queryTableFieldId="16" dataDxfId="54"/>
    <tableColumn id="17" xr3:uid="{00000000-0010-0000-1400-000011000000}" uniqueName="17" name="境内主体评级" queryTableFieldId="17" dataDxfId="410"/>
    <tableColumn id="3" xr3:uid="{00000000-0010-0000-1400-000003000000}" uniqueName="3" name="行业" queryTableFieldId="3" dataDxfId="53"/>
    <tableColumn id="70" xr3:uid="{D4D745FA-E2EC-49A7-8DD6-A7E0C561075E}" uniqueName="70" name="剩余期限" queryTableFieldId="122" dataDxfId="52"/>
    <tableColumn id="2" xr3:uid="{00000000-0010-0000-1400-000002000000}" uniqueName="2" name="公司类型" queryTableFieldId="2" dataDxfId="51"/>
    <tableColumn id="11" xr3:uid="{00000000-0010-0000-1400-00000B000000}" uniqueName="11" name="评级类型" queryTableFieldId="11" dataDxfId="50"/>
    <tableColumn id="73" xr3:uid="{EC155D5D-7034-4D98-AE8E-9FD72DE0014F}" uniqueName="73" name="投资者账户数" queryTableFieldId="123" dataDxfId="409"/>
    <tableColumn id="74" xr3:uid="{F3AEB759-21B8-4CF1-A6A6-D6587E7B0569}" uniqueName="74" name="投资者类型" queryTableFieldId="124" dataDxfId="408"/>
    <tableColumn id="75" xr3:uid="{8379EAC2-F6FB-4868-9327-F4926D5314B2}" uniqueName="75" name="投资者分布" queryTableFieldId="125" dataDxfId="407"/>
    <tableColumn id="76" xr3:uid="{99F5C9BF-819A-4B74-90A6-3D912D600F26}" uniqueName="76" name="筹款用途" queryTableFieldId="126" dataDxfId="406"/>
    <tableColumn id="37" xr3:uid="{00000000-0010-0000-1400-000025000000}" uniqueName="37" name="ticker" queryTableFieldId="37" dataDxfId="405"/>
    <tableColumn id="38" xr3:uid="{00000000-0010-0000-1400-000026000000}" uniqueName="38" name="债券最新面值" queryTableFieldId="38" dataDxfId="404"/>
    <tableColumn id="39" xr3:uid="{00000000-0010-0000-1400-000027000000}" uniqueName="39" name="债券余额" queryTableFieldId="39" dataDxfId="403"/>
    <tableColumn id="40" xr3:uid="{00000000-0010-0000-1400-000028000000}" uniqueName="40" name="起息日期" queryTableFieldId="40" dataDxfId="402"/>
    <tableColumn id="41" xr3:uid="{00000000-0010-0000-1400-000029000000}" uniqueName="41" name="行权兑付日" queryTableFieldId="41" dataDxfId="401"/>
    <tableColumn id="42" xr3:uid="{00000000-0010-0000-1400-00002A000000}" uniqueName="42" name="最新票面利率" queryTableFieldId="42" dataDxfId="400"/>
    <tableColumn id="43" xr3:uid="{00000000-0010-0000-1400-00002B000000}" uniqueName="43" name="计息基准" queryTableFieldId="43" dataDxfId="399"/>
    <tableColumn id="44" xr3:uid="{00000000-0010-0000-1400-00002C000000}" uniqueName="44" name="首次付息日" queryTableFieldId="44" dataDxfId="398"/>
    <tableColumn id="45" xr3:uid="{00000000-0010-0000-1400-00002D000000}" uniqueName="45" name="发行人" queryTableFieldId="45" dataDxfId="397"/>
    <tableColumn id="46" xr3:uid="{00000000-0010-0000-1400-00002E000000}" uniqueName="46" name="担保人" queryTableFieldId="46" dataDxfId="396"/>
    <tableColumn id="47" xr3:uid="{00000000-0010-0000-1400-00002F000000}" uniqueName="47" name="发行起始日" queryTableFieldId="47" dataDxfId="395"/>
    <tableColumn id="77" xr3:uid="{96AB1C8E-595F-43D9-A802-E2A6579CD92F}" uniqueName="77" name="定价_DMI" queryTableFieldId="136" dataDxfId="394"/>
    <tableColumn id="48" xr3:uid="{00000000-0010-0000-1400-000030000000}" uniqueName="48" name="上市日期" queryTableFieldId="48" dataDxfId="393"/>
    <tableColumn id="49" xr3:uid="{00000000-0010-0000-1400-000031000000}" uniqueName="49" name="特殊条款说明" queryTableFieldId="49" dataDxfId="49"/>
    <tableColumn id="50" xr3:uid="{00000000-0010-0000-1400-000032000000}" uniqueName="50" name="牵头经办人" queryTableFieldId="50" dataDxfId="392"/>
    <tableColumn id="78" xr3:uid="{A0CF3BD1-5FCF-4795-AF10-20DDD23A6110}" uniqueName="78" name="联席账簿管理人" queryTableFieldId="128" dataDxfId="391"/>
    <tableColumn id="51" xr3:uid="{00000000-0010-0000-1400-000033000000}" uniqueName="51" name="是否永续债" queryTableFieldId="51" dataDxfId="48"/>
    <tableColumn id="52" xr3:uid="{00000000-0010-0000-1400-000034000000}" uniqueName="52" name="是否存单" queryTableFieldId="52" dataDxfId="47"/>
    <tableColumn id="53" xr3:uid="{00000000-0010-0000-1400-000035000000}" uniqueName="53" name="利率类型" queryTableFieldId="53" dataDxfId="46"/>
    <tableColumn id="54" xr3:uid="{00000000-0010-0000-1400-000036000000}" uniqueName="54" name="交易状态" queryTableFieldId="54" dataDxfId="45"/>
    <tableColumn id="55" xr3:uid="{00000000-0010-0000-1400-000037000000}" uniqueName="55" name="债券类型" queryTableFieldId="55" dataDxfId="44"/>
    <tableColumn id="56" xr3:uid="{00000000-0010-0000-1400-000038000000}" uniqueName="56" name="特殊条款" queryTableFieldId="56" dataDxfId="390"/>
    <tableColumn id="57" xr3:uid="{00000000-0010-0000-1400-000039000000}" uniqueName="57" name="付息频率" queryTableFieldId="57" dataDxfId="43"/>
    <tableColumn id="58" xr3:uid="{00000000-0010-0000-1400-00003A000000}" uniqueName="58" name="维好协议提供者" queryTableFieldId="58" dataDxfId="389"/>
    <tableColumn id="71" xr3:uid="{00000000-0010-0000-1400-000047000000}" uniqueName="71" name="地区" queryTableFieldId="91" dataDxfId="388"/>
    <tableColumn id="81" xr3:uid="{9A692B81-7755-46AF-B5A0-027C8CDE2E57}" uniqueName="81" name="违约日期" queryTableFieldId="550" dataDxfId="42"/>
    <tableColumn id="60" xr3:uid="{FFDB6495-96BB-4A1F-8A95-F7E651B4C829}" uniqueName="60" name="亿美元" queryTableFieldId="100" dataDxfId="387"/>
    <tableColumn id="64" xr3:uid="{8A4D7B30-87EA-4608-AF0A-57BD31C54E25}" uniqueName="64" name="亿元" queryTableFieldId="105" dataDxfId="386"/>
    <tableColumn id="69" xr3:uid="{CF2B540E-0281-473E-8195-E64D9272102B}" uniqueName="69" name="亿港币" queryTableFieldId="120" dataDxfId="385"/>
    <tableColumn id="79" xr3:uid="{4D5A05D7-BD47-4CF2-BA37-25E4CD582264}" uniqueName="79" name="注册成立地" queryTableFieldId="140" dataDxfId="384"/>
    <tableColumn id="80" xr3:uid="{7D0B3F21-10BB-4E32-89D1-69E4FA31A948}" uniqueName="80" name="发行人主上市地" queryTableFieldId="507" dataDxfId="383"/>
    <tableColumn id="63" xr3:uid="{222E9603-970D-4782-9F61-BA306470C980}" uniqueName="63" name="补充OMAS updates" queryTableFieldId="111" dataDxfId="382"/>
    <tableColumn id="65" xr3:uid="{80765AA5-3F0E-470B-9194-548C15E96FE2}" uniqueName="65" name="定价息差" queryTableFieldId="112" dataDxfId="381"/>
    <tableColumn id="66" xr3:uid="{835384CB-5EA1-4AA5-80C7-6E7A7E31992D}" uniqueName="66" name="发行评级" queryTableFieldId="113" dataDxfId="380"/>
    <tableColumn id="68" xr3:uid="{3FAE810C-DBB1-4EA1-887E-C959C6AEE507}" uniqueName="68" name="主体评级" queryTableFieldId="114" dataDxfId="379"/>
    <tableColumn id="59" xr3:uid="{00000000-0010-0000-1400-00003B000000}" uniqueName="59" name="Check" queryTableFieldId="59" dataDxfId="378"/>
    <tableColumn id="61" xr3:uid="{C8615552-A40D-44A0-968D-B22B635B4874}" uniqueName="61" name="IS_FIMTN" queryTableFieldId="109" dataDxfId="377"/>
  </tableColumns>
  <tableStyleInfo name="Qry Load" showFirstColumn="0" showLastColumn="0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01B45695-E23F-4488-86FF-EB9FF19D0D29}" name="DMI列名更改_2" displayName="DMI列名更改_2" ref="B10:B12" tableType="queryTable" totalsRowShown="0">
  <autoFilter ref="B10:B12" xr:uid="{01B45695-E23F-4488-86FF-EB9FF19D0D29}">
    <filterColumn colId="0" hiddenButton="1"/>
  </autoFilter>
  <tableColumns count="1">
    <tableColumn id="2" xr3:uid="{DFAF3CC5-F455-4853-8EC1-D311FB3CA37A}" uniqueName="2" name="DMI列名更改" queryTableFieldId="2"/>
  </tableColumns>
  <tableStyleInfo name="review 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C4E3B3E-DF33-41C3-95A7-8A54E29E2305}" name="DMI新增列_2" displayName="DMI新增列_2" ref="B14:B16" tableType="queryTable" totalsRowShown="0">
  <autoFilter ref="B14:B16" xr:uid="{CC4E3B3E-DF33-41C3-95A7-8A54E29E2305}">
    <filterColumn colId="0" hiddenButton="1"/>
  </autoFilter>
  <tableColumns count="1">
    <tableColumn id="2" xr3:uid="{E47B8A04-A7A3-447E-9A93-6C98C57C7BFA}" uniqueName="2" name="DMI新增列" queryTableFieldId="2"/>
  </tableColumns>
  <tableStyleInfo name="review 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16000000}" name="headers_review" displayName="headers_review" ref="A5:A33" tableType="queryTable" totalsRowShown="0">
  <autoFilter ref="A5:A33" xr:uid="{00000000-0009-0000-0100-000028000000}">
    <filterColumn colId="0" hiddenButton="1"/>
  </autoFilter>
  <tableColumns count="1">
    <tableColumn id="1" xr3:uid="{00000000-0010-0000-1600-000001000000}" uniqueName="1" name="headers_review" queryTableFieldId="1" dataDxfId="376"/>
  </tableColumns>
  <tableStyleInfo name="Qry Load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17000000}" name="ForReview_wCurated" displayName="ForReview_wCurated" ref="C5:AD19" tableType="queryTable" totalsRowShown="0">
  <autoFilter ref="C5:AD19" xr:uid="{00000000-0009-0000-0100-00002F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700-000001000000}" uniqueName="1" name="定价日" queryTableFieldId="1" dataDxfId="25"/>
    <tableColumn id="2" xr3:uid="{00000000-0010-0000-1700-000002000000}" uniqueName="2" name="信用主体" queryTableFieldId="2" dataDxfId="375"/>
    <tableColumn id="4" xr3:uid="{00000000-0010-0000-1700-000004000000}" uniqueName="4" name="主体评级" queryTableFieldId="36"/>
    <tableColumn id="6" xr3:uid="{00000000-0010-0000-1700-000006000000}" uniqueName="6" name="发行评级" queryTableFieldId="6"/>
    <tableColumn id="30" xr3:uid="{510F9677-E5E7-4EF2-B231-02CFB970A361}" uniqueName="30" name="备证行" queryTableFieldId="71"/>
    <tableColumn id="15" xr3:uid="{E24E777A-D49C-4B3E-93AA-DFAEBA57F42B}" uniqueName="15" name="ESG" queryTableFieldId="55"/>
    <tableColumn id="12" xr3:uid="{00000000-0010-0000-1700-00000C000000}" uniqueName="12" name="IPG" queryTableFieldId="12"/>
    <tableColumn id="13" xr3:uid="{00000000-0010-0000-1700-00000D000000}" uniqueName="13" name="FPG" queryTableFieldId="13"/>
    <tableColumn id="14" xr3:uid="{00000000-0010-0000-1700-00000E000000}" uniqueName="14" name="收窄基点" queryTableFieldId="14"/>
    <tableColumn id="25" xr3:uid="{00000000-0010-0000-1700-000019000000}" uniqueName="25" name="定价" queryTableFieldId="25"/>
    <tableColumn id="31" xr3:uid="{FFCE47EB-D5CF-4D34-81FA-065EDA65F5D5}" uniqueName="31" name="增发判定" queryTableFieldId="72"/>
    <tableColumn id="7" xr3:uid="{CF54548E-CA29-447B-8DEF-9AFB019B9DDA}" uniqueName="7" name="结构" queryTableFieldId="110"/>
    <tableColumn id="8" xr3:uid="{00000000-0010-0000-1700-000008000000}" uniqueName="8" name="货币" queryTableFieldId="8"/>
    <tableColumn id="9" xr3:uid="{00000000-0010-0000-1700-000009000000}" uniqueName="9" name="发行规模(亿)" queryTableFieldId="9"/>
    <tableColumn id="5" xr3:uid="{A465A109-439B-46CC-B8D9-8536815366D7}" uniqueName="5" name="年期" queryTableFieldId="52"/>
    <tableColumn id="11" xr3:uid="{00000000-0010-0000-1700-00000B000000}" uniqueName="11" name="票息" queryTableFieldId="11"/>
    <tableColumn id="20" xr3:uid="{7E19D719-1D4A-42E1-9F7A-3CD7D5DA6A44}" uniqueName="20" name="FEATURED" queryTableFieldId="57"/>
    <tableColumn id="33" xr3:uid="{F7F8C15B-103F-4121-B909-0AA998B5A268}" uniqueName="33" name="上市" queryTableFieldId="73"/>
    <tableColumn id="26" xr3:uid="{00000000-0010-0000-1700-00001A000000}" uniqueName="26" name="定价基准" queryTableFieldId="26"/>
    <tableColumn id="27" xr3:uid="{00000000-0010-0000-1700-00001B000000}" uniqueName="27" name="发行票面利率" queryTableFieldId="27"/>
    <tableColumn id="32" xr3:uid="{00000000-0010-0000-1700-000020000000}" uniqueName="32" name="境内主体评级" queryTableFieldId="32"/>
    <tableColumn id="3" xr3:uid="{0D8767D9-8A3E-4DE0-A81A-BA74924ABBE9}" uniqueName="3" name="通过分行" queryTableFieldId="80"/>
    <tableColumn id="34" xr3:uid="{54CE4E1B-194A-4B7A-8136-018BFA61D12B}" uniqueName="34" name="期限备注" queryTableFieldId="82"/>
    <tableColumn id="35" xr3:uid="{00000000-0010-0000-1700-000023000000}" uniqueName="35" name="ISIN" queryTableFieldId="35"/>
    <tableColumn id="23" xr3:uid="{00000000-0010-0000-1700-000017000000}" uniqueName="23" name="亿美元" queryTableFieldId="23"/>
    <tableColumn id="24" xr3:uid="{00000000-0010-0000-1700-000018000000}" uniqueName="24" name="亿元" queryTableFieldId="24"/>
    <tableColumn id="21" xr3:uid="{02205151-A1BC-4641-96CA-0A9C736A8B39}" uniqueName="21" name="亿港币" queryTableFieldId="84"/>
    <tableColumn id="19" xr3:uid="{00000000-0010-0000-1700-000013000000}" uniqueName="19" name="Check" queryTableFieldId="49"/>
  </tableColumns>
  <tableStyleInfo name="Qry Load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18000000}" name="ForReview_wBOCOM" displayName="ForReview_wBOCOM" ref="AH5:AW13" tableType="queryTable" totalsRowShown="0">
  <autoFilter ref="AH5:AW13" xr:uid="{00000000-0009-0000-0100-000013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4" xr3:uid="{00000000-0010-0000-1800-000004000000}" uniqueName="4" name="信用主体" queryTableFieldId="4" dataDxfId="41"/>
    <tableColumn id="1" xr3:uid="{00000000-0010-0000-1800-000001000000}" uniqueName="1" name="Check" queryTableFieldId="1" dataDxfId="40"/>
    <tableColumn id="2" xr3:uid="{00000000-0010-0000-1800-000002000000}" uniqueName="2" name="ISIN" queryTableFieldId="2" dataDxfId="39"/>
    <tableColumn id="3" xr3:uid="{00000000-0010-0000-1800-000003000000}" uniqueName="3" name="定价日" queryTableFieldId="3" dataDxfId="38"/>
    <tableColumn id="18" xr3:uid="{CE8319FC-590C-4EDF-A68D-FBC91063B4F2}" uniqueName="18" name="台账序号" queryTableFieldId="38" dataDxfId="37"/>
    <tableColumn id="8" xr3:uid="{00000000-0010-0000-1800-000008000000}" uniqueName="8" name="COVERAGE" queryTableFieldId="16" dataDxfId="36"/>
    <tableColumn id="10" xr3:uid="{00000000-0010-0000-1800-00000A000000}" uniqueName="10" name="Project Name" queryTableFieldId="22" dataDxfId="35"/>
    <tableColumn id="12" xr3:uid="{00000000-0010-0000-1800-00000C000000}" uniqueName="12" name="新规角色" queryTableFieldId="12" dataDxfId="34"/>
    <tableColumn id="9" xr3:uid="{00000000-0010-0000-1800-000009000000}" uniqueName="9" name="PROJECT_CODE" queryTableFieldId="17" dataDxfId="33"/>
    <tableColumn id="15" xr3:uid="{00000000-0010-0000-1800-00000F000000}" uniqueName="15" name="期数" queryTableFieldId="15" dataDxfId="32"/>
    <tableColumn id="5" xr3:uid="{00000000-0010-0000-1800-000005000000}" uniqueName="5" name="BISL_ROLE" queryTableFieldId="5" dataDxfId="31"/>
    <tableColumn id="6" xr3:uid="{00000000-0010-0000-1800-000006000000}" uniqueName="6" name="港分_ROLE" queryTableFieldId="20" dataDxfId="30"/>
    <tableColumn id="7" xr3:uid="{00000000-0010-0000-1800-000007000000}" uniqueName="7" name="澳分_ROLE" queryTableFieldId="21" dataDxfId="29"/>
    <tableColumn id="11" xr3:uid="{00000000-0010-0000-1800-00000B000000}" uniqueName="11" name="IS_LEAD" queryTableFieldId="30" dataDxfId="28"/>
    <tableColumn id="13" xr3:uid="{00000000-0010-0000-1800-00000D000000}" uniqueName="13" name="IS_B&amp;D" queryTableFieldId="31" dataDxfId="27"/>
    <tableColumn id="14" xr3:uid="{00000000-0010-0000-1800-00000E000000}" uniqueName="14" name="是否合名" queryTableFieldId="32" dataDxfId="26"/>
  </tableColumns>
  <tableStyleInfo name="Qry Load 4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19000000}" name="ForReview_wCredit" displayName="ForReview_wCredit" ref="AH18:AK19" tableType="queryTable" insertRow="1" totalsRowShown="0">
  <autoFilter ref="AH18:AK19" xr:uid="{00000000-0009-0000-0100-00000F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900-000001000000}" uniqueName="1" name="信用主体" queryTableFieldId="1"/>
    <tableColumn id="3" xr3:uid="{00000000-0010-0000-1900-000003000000}" uniqueName="3" name="SHORTNAMER" queryTableFieldId="3"/>
    <tableColumn id="2" xr3:uid="{067E2B2D-938B-409B-BBB9-BD65FC38D959}" uniqueName="2" name="中资属性" queryTableFieldId="6"/>
    <tableColumn id="4" xr3:uid="{5D8C0826-4749-4B80-BE52-B2AE7B522193}" uniqueName="4" name="板块" queryTableFieldId="8"/>
  </tableColumns>
  <tableStyleInfo name="review 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1A000000}" name="tbl_review" displayName="tbl_review" ref="A3:AB26" totalsRowShown="0" headerRowDxfId="374" dataDxfId="373">
  <autoFilter ref="A3:AB26" xr:uid="{00000000-0009-0000-0100-00000B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</autoFilter>
  <tableColumns count="28">
    <tableColumn id="1" xr3:uid="{00000000-0010-0000-1A00-000001000000}" name="定价日" dataDxfId="372"/>
    <tableColumn id="2" xr3:uid="{00000000-0010-0000-1A00-000002000000}" name="信用主体" dataDxfId="371"/>
    <tableColumn id="3" xr3:uid="{00000000-0010-0000-1A00-000003000000}" name="主体评级" dataDxfId="370"/>
    <tableColumn id="4" xr3:uid="{00000000-0010-0000-1A00-000004000000}" name="发行评级" dataDxfId="369"/>
    <tableColumn id="6" xr3:uid="{00000000-0010-0000-1A00-000006000000}" name="备证行" dataDxfId="368"/>
    <tableColumn id="16" xr3:uid="{00000000-0010-0000-1A00-000010000000}" name="ESG" dataDxfId="367"/>
    <tableColumn id="11" xr3:uid="{00000000-0010-0000-1A00-00000B000000}" name="IPG" dataDxfId="366"/>
    <tableColumn id="12" xr3:uid="{00000000-0010-0000-1A00-00000C000000}" name="FPG" dataDxfId="365"/>
    <tableColumn id="13" xr3:uid="{00000000-0010-0000-1A00-00000D000000}" name="收窄基点" dataDxfId="364"/>
    <tableColumn id="14" xr3:uid="{00000000-0010-0000-1A00-00000E000000}" name="定价" dataDxfId="363"/>
    <tableColumn id="19" xr3:uid="{00000000-0010-0000-1A00-000013000000}" name="增发判定" dataDxfId="362"/>
    <tableColumn id="5" xr3:uid="{00000000-0010-0000-1A00-000005000000}" name="结构" dataDxfId="361"/>
    <tableColumn id="7" xr3:uid="{00000000-0010-0000-1A00-000007000000}" name="货币" dataDxfId="360"/>
    <tableColumn id="8" xr3:uid="{00000000-0010-0000-1A00-000008000000}" name="发行规模(亿)" dataDxfId="359"/>
    <tableColumn id="9" xr3:uid="{00000000-0010-0000-1A00-000009000000}" name="年期" dataDxfId="358"/>
    <tableColumn id="10" xr3:uid="{00000000-0010-0000-1A00-00000A000000}" name="票息" dataDxfId="357"/>
    <tableColumn id="17" xr3:uid="{00000000-0010-0000-1A00-000011000000}" name="FEATURED" dataDxfId="356"/>
    <tableColumn id="18" xr3:uid="{00000000-0010-0000-1A00-000012000000}" name="上市" dataDxfId="355"/>
    <tableColumn id="15" xr3:uid="{00000000-0010-0000-1A00-00000F000000}" name="定价基准" dataDxfId="354"/>
    <tableColumn id="20" xr3:uid="{00000000-0010-0000-1A00-000014000000}" name="发行票面利率" dataDxfId="353"/>
    <tableColumn id="21" xr3:uid="{00000000-0010-0000-1A00-000015000000}" name="境内主体评级" dataDxfId="352"/>
    <tableColumn id="22" xr3:uid="{00000000-0010-0000-1A00-000016000000}" name="通过分行" dataDxfId="351"/>
    <tableColumn id="23" xr3:uid="{00000000-0010-0000-1A00-000017000000}" name="期限备注" dataDxfId="350"/>
    <tableColumn id="24" xr3:uid="{00000000-0010-0000-1A00-000018000000}" name="ISIN" dataDxfId="349"/>
    <tableColumn id="25" xr3:uid="{00000000-0010-0000-1A00-000019000000}" name="亿美元" dataDxfId="348"/>
    <tableColumn id="26" xr3:uid="{00000000-0010-0000-1A00-00001A000000}" name="亿元" dataDxfId="347"/>
    <tableColumn id="27" xr3:uid="{00000000-0010-0000-1A00-00001B000000}" name="亿港币" dataDxfId="346"/>
    <tableColumn id="28" xr3:uid="{00000000-0010-0000-1A00-00001C000000}" name="Check" dataDxfId="345"/>
  </tableColumns>
  <tableStyleInfo name="review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1B000000}" name="tbl_review_BISL" displayName="tbl_review_BISL" ref="AE3:AT12" totalsRowShown="0" headerRowDxfId="344" dataDxfId="343">
  <tableColumns count="16">
    <tableColumn id="1" xr3:uid="{00000000-0010-0000-1B00-000001000000}" name="信用主体" dataDxfId="342"/>
    <tableColumn id="2" xr3:uid="{00000000-0010-0000-1B00-000002000000}" name="Check" dataDxfId="341"/>
    <tableColumn id="3" xr3:uid="{00000000-0010-0000-1B00-000003000000}" name="ISIN" dataDxfId="340"/>
    <tableColumn id="4" xr3:uid="{00000000-0010-0000-1B00-000004000000}" name="定价日" dataDxfId="339"/>
    <tableColumn id="5" xr3:uid="{00000000-0010-0000-1B00-000005000000}" name="台账序号" dataDxfId="338"/>
    <tableColumn id="6" xr3:uid="{00000000-0010-0000-1B00-000006000000}" name="COVERAGE" dataDxfId="337"/>
    <tableColumn id="7" xr3:uid="{00000000-0010-0000-1B00-000007000000}" name="Project Name" dataDxfId="336"/>
    <tableColumn id="8" xr3:uid="{00000000-0010-0000-1B00-000008000000}" name="新规角色" dataDxfId="335"/>
    <tableColumn id="9" xr3:uid="{00000000-0010-0000-1B00-000009000000}" name="PROJECT_CODE" dataDxfId="334"/>
    <tableColumn id="10" xr3:uid="{00000000-0010-0000-1B00-00000A000000}" name="期数" dataDxfId="333"/>
    <tableColumn id="11" xr3:uid="{00000000-0010-0000-1B00-00000B000000}" name="BISL_ROLE" dataDxfId="332"/>
    <tableColumn id="12" xr3:uid="{00000000-0010-0000-1B00-00000C000000}" name="港分_ROLE" dataDxfId="331"/>
    <tableColumn id="13" xr3:uid="{00000000-0010-0000-1B00-00000D000000}" name="澳分_ROLE" dataDxfId="330"/>
    <tableColumn id="14" xr3:uid="{00000000-0010-0000-1B00-00000E000000}" name="IS_LEAD" dataDxfId="329"/>
    <tableColumn id="15" xr3:uid="{00000000-0010-0000-1B00-00000F000000}" name="IS_B&amp;D" dataDxfId="328"/>
    <tableColumn id="16" xr3:uid="{4944CEE3-9CA6-4C3E-8070-375A0A0EC795}" name="是否合名" dataDxfId="327"/>
  </tableColumns>
  <tableStyleInfo name="review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1C000000}" name="tbl_review_shortname" displayName="tbl_review_shortname" ref="AW3:AZ10" totalsRowShown="0" headerRowDxfId="326" dataDxfId="325">
  <autoFilter ref="AW3:AZ10" xr:uid="{00000000-0009-0000-0100-00000A000000}">
    <filterColumn colId="0" hiddenButton="1"/>
    <filterColumn colId="1" hiddenButton="1"/>
    <filterColumn colId="2" hiddenButton="1"/>
    <filterColumn colId="3" hiddenButton="1"/>
  </autoFilter>
  <tableColumns count="4">
    <tableColumn id="1" xr3:uid="{00000000-0010-0000-1C00-000001000000}" name="信用主体" dataDxfId="324"/>
    <tableColumn id="2" xr3:uid="{00000000-0010-0000-1C00-000002000000}" name="SHORTNAMER" dataDxfId="323"/>
    <tableColumn id="3" xr3:uid="{00000000-0010-0000-1C00-000003000000}" name="中资属性" dataDxfId="322"/>
    <tableColumn id="4" xr3:uid="{00000000-0010-0000-1C00-000004000000}" name="板块" dataDxfId="321"/>
  </tableColumns>
  <tableStyleInfo name="review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20000000}" name="charts" displayName="charts" ref="A8:J24" tableType="queryTable" totalsRowShown="0">
  <autoFilter ref="A8:J24" xr:uid="{00000000-0009-0000-0100-000025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00000000-0010-0000-2000-000001000000}" uniqueName="1" name="定价日" queryTableFieldId="1" dataDxfId="5"/>
    <tableColumn id="2" xr3:uid="{00000000-0010-0000-2000-000002000000}" uniqueName="2" name="ISIN" queryTableFieldId="2" dataDxfId="320"/>
    <tableColumn id="3" xr3:uid="{00000000-0010-0000-2000-000003000000}" uniqueName="3" name="债券简称" queryTableFieldId="3" dataDxfId="319"/>
    <tableColumn id="4" xr3:uid="{00000000-0010-0000-2000-000004000000}" uniqueName="4" name="年期" queryTableFieldId="4" dataDxfId="318"/>
    <tableColumn id="5" xr3:uid="{00000000-0010-0000-2000-000005000000}" uniqueName="5" name="亿美元" queryTableFieldId="5" dataDxfId="317"/>
    <tableColumn id="10" xr3:uid="{4DD127ED-3CFA-482D-824F-8996B3B2FF61}" uniqueName="10" name="货币" queryTableFieldId="10" dataDxfId="316"/>
    <tableColumn id="11" xr3:uid="{736609AE-728A-49BC-8EC6-3BE5EAB61E97}" uniqueName="11" name="板块" queryTableFieldId="12" dataDxfId="315"/>
    <tableColumn id="7" xr3:uid="{00000000-0010-0000-2000-000007000000}" uniqueName="7" name="评级分类" queryTableFieldId="7" dataDxfId="314"/>
    <tableColumn id="8" xr3:uid="{00000000-0010-0000-2000-000008000000}" uniqueName="8" name="品种" queryTableFieldId="8" dataDxfId="313"/>
    <tableColumn id="9" xr3:uid="{00000000-0010-0000-2000-000009000000}" uniqueName="9" name="按年" queryTableFieldId="9" dataDxfId="312"/>
  </tableColumns>
  <tableStyleInfo name="Qry Load 4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1D000000}" name="Table_graph_weeklydeal" displayName="Table_graph_weeklydeal" ref="P8:AF22" tableType="queryTable" totalsRowShown="0">
  <autoFilter ref="P8:AF22" xr:uid="{00000000-0009-0000-0100-00000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7">
    <tableColumn id="2" xr3:uid="{00000000-0010-0000-1D00-000002000000}" uniqueName="2" name="Index" queryTableFieldId="39" dataDxfId="311"/>
    <tableColumn id="33" xr3:uid="{00000000-0010-0000-1D00-000021000000}" uniqueName="33" name="ISIN" queryTableFieldId="33" dataDxfId="310"/>
    <tableColumn id="1" xr3:uid="{00000000-0010-0000-1D00-000001000000}" uniqueName="1" name="定价日" queryTableFieldId="1" dataDxfId="7"/>
    <tableColumn id="3" xr3:uid="{00000000-0010-0000-1D00-000003000000}" uniqueName="3" name="信用主体(备证行)" queryTableFieldId="40" dataDxfId="309"/>
    <tableColumn id="7" xr3:uid="{00000000-0010-0000-1D00-000007000000}" uniqueName="7" name="发行评级" queryTableFieldId="7" dataDxfId="308"/>
    <tableColumn id="9" xr3:uid="{00000000-0010-0000-1D00-000009000000}" uniqueName="9" name="货币" queryTableFieldId="9" dataDxfId="307"/>
    <tableColumn id="10" xr3:uid="{00000000-0010-0000-1D00-00000A000000}" uniqueName="10" name="发行规模(亿)" queryTableFieldId="10" dataDxfId="306"/>
    <tableColumn id="11" xr3:uid="{00000000-0010-0000-1D00-00000B000000}" uniqueName="11" name="年期" queryTableFieldId="11" dataDxfId="305"/>
    <tableColumn id="12" xr3:uid="{00000000-0010-0000-1D00-00000C000000}" uniqueName="12" name="票息" queryTableFieldId="12" dataDxfId="304"/>
    <tableColumn id="13" xr3:uid="{00000000-0010-0000-1D00-00000D000000}" uniqueName="13" name="IPG" queryTableFieldId="13" dataDxfId="303"/>
    <tableColumn id="15" xr3:uid="{00000000-0010-0000-1D00-00000F000000}" uniqueName="15" name="收窄基点" queryTableFieldId="15" dataDxfId="302"/>
    <tableColumn id="16" xr3:uid="{00000000-0010-0000-1D00-000010000000}" uniqueName="16" name="结构" queryTableFieldId="16" dataDxfId="301"/>
    <tableColumn id="17" xr3:uid="{00000000-0010-0000-1D00-000011000000}" uniqueName="17" name="主题" queryTableFieldId="17" dataDxfId="300"/>
    <tableColumn id="4" xr3:uid="{FA4F2C95-A39F-499C-B714-9F3BFC490D1F}" uniqueName="4" name="板块" queryTableFieldId="113" dataDxfId="299"/>
    <tableColumn id="19" xr3:uid="{00000000-0010-0000-1D00-000013000000}" uniqueName="19" name="地区" queryTableFieldId="19" dataDxfId="298"/>
    <tableColumn id="38" xr3:uid="{00000000-0010-0000-1D00-000026000000}" uniqueName="38" name="BOCOM_DEAL?" queryTableFieldId="38" dataDxfId="297"/>
    <tableColumn id="23" xr3:uid="{00000000-0010-0000-1D00-000017000000}" uniqueName="23" name="亿美元" queryTableFieldId="52" dataDxfId="296"/>
  </tableColumns>
  <tableStyleInfo name="Qry Load 5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398AD96D-7863-4558-8788-4248543E0DAC}" name="LastCharts" displayName="LastCharts" ref="C4:E5" tableType="queryTable" totalsRowShown="0">
  <autoFilter ref="C4:E5" xr:uid="{DFAF64BA-0806-4F02-8458-2F8481FBC27C}">
    <filterColumn colId="0" hiddenButton="1"/>
    <filterColumn colId="1" hiddenButton="1"/>
    <filterColumn colId="2" hiddenButton="1"/>
  </autoFilter>
  <tableColumns count="3">
    <tableColumn id="1" xr3:uid="{E945E58F-07A9-49F2-A732-F8DA4CC54BBC}" uniqueName="1" name="Weeknum" queryTableFieldId="1" dataDxfId="295"/>
    <tableColumn id="2" xr3:uid="{857E8300-5E00-451D-A87A-FEB801CB337D}" uniqueName="2" name="上周亿美元" queryTableFieldId="2" dataDxfId="294"/>
    <tableColumn id="3" xr3:uid="{53E88003-C23C-428B-99EE-7DB1B6538F3A}" uniqueName="3" name="上周笔数" queryTableFieldId="3" dataDxfId="293"/>
  </tableColumns>
  <tableStyleInfo name="Qry Load 4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47CE3B67-DD65-448A-AF02-EEB27346519F}" name="LastNIM" displayName="LastNIM" ref="S4:U5" tableType="queryTable" totalsRowShown="0">
  <autoFilter ref="S4:U5" xr:uid="{C37A86CE-2EAA-41E0-AA0E-87ADB5B8B502}">
    <filterColumn colId="0" hiddenButton="1"/>
    <filterColumn colId="1" hiddenButton="1"/>
    <filterColumn colId="2" hiddenButton="1"/>
  </autoFilter>
  <tableColumns count="3">
    <tableColumn id="1" xr3:uid="{D74458EA-1B01-4042-BF1D-3A0FEE3308FD}" uniqueName="1" name="周" queryTableFieldId="1" dataDxfId="292"/>
    <tableColumn id="2" xr3:uid="{47FE5343-0DFD-4CFF-B705-96BEB1393CEC}" uniqueName="2" name="上周亿美元" queryTableFieldId="2" dataDxfId="291"/>
    <tableColumn id="3" xr3:uid="{53E645CE-2F6A-4C47-9C37-6B361745E8FA}" uniqueName="3" name="上周笔数" queryTableFieldId="3" dataDxfId="290"/>
  </tableColumns>
  <tableStyleInfo name="Qry Load 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E62E14E-12FC-48C0-95EB-84A744987471}" name="SmartWriter" displayName="SmartWriter" ref="A6:D17" tableType="queryTable" totalsRowShown="0">
  <autoFilter ref="A6:D17" xr:uid="{808E568B-1200-457F-813E-717EE636BF7C}"/>
  <tableColumns count="4">
    <tableColumn id="1" xr3:uid="{3133AD58-D64F-445E-A0E3-8B36A2E4C89B}" uniqueName="1" name="信用主体简称" queryTableFieldId="1" dataDxfId="289"/>
    <tableColumn id="2" xr3:uid="{38E483B3-A458-4148-BCAA-8CE932CA4FBA}" uniqueName="2" name="板块" queryTableFieldId="2" dataDxfId="288"/>
    <tableColumn id="3" xr3:uid="{5E891849-9559-434F-82D1-4DE41887D454}" uniqueName="3" name="货币" queryTableFieldId="3" dataDxfId="287"/>
    <tableColumn id="4" xr3:uid="{9D21F886-4318-4A17-8974-1FEAF278DF3A}" uniqueName="4" name="Writer" queryTableFieldId="4" dataDxfId="4"/>
  </tableColumns>
  <tableStyleInfo name="Qry Load 5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25000000}" name="writer_fi" displayName="writer_fi" ref="A4:F5" tableType="queryTable" insertRow="1" totalsRowShown="0" headerRowDxfId="286" dataDxfId="285">
  <autoFilter ref="A4:F5" xr:uid="{00000000-0009-0000-0100-000020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500-00000C000000}" uniqueName="12" name="Index" queryTableFieldId="32"/>
    <tableColumn id="2" xr3:uid="{DC9FDCD3-4D4A-4186-A5C9-F5B48634CAC0}" uniqueName="2" name="板块" queryTableFieldId="182"/>
    <tableColumn id="19" xr3:uid="{00000000-0010-0000-2500-000013000000}" uniqueName="19" name="货币" queryTableFieldId="39"/>
    <tableColumn id="52" xr3:uid="{AB26975F-D9EA-48BA-ABD9-CE520C3C1B20}" uniqueName="52" name="信用主体(备证行)" queryTableFieldId="101"/>
    <tableColumn id="8" xr3:uid="{00000000-0010-0000-2500-000008000000}" uniqueName="8" name="描述" queryTableFieldId="14"/>
    <tableColumn id="1" xr3:uid="{AAB49F9D-B49B-4DF6-8D13-D7CB4D93209D}" uniqueName="1" name="Stats描述" queryTableFieldId="180" dataDxfId="284"/>
  </tableColumns>
  <tableStyleInfo name="Qry Load 5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23000000}" name="writer_CNH" displayName="writer_CNH" ref="A9:F15" tableType="queryTable" totalsRowShown="0" headerRowDxfId="283" dataDxfId="282">
  <autoFilter ref="A9:F15" xr:uid="{00000000-0009-0000-0100-000024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2" xr3:uid="{00000000-0010-0000-2300-00000C000000}" uniqueName="12" name="Index" queryTableFieldId="22" dataDxfId="281"/>
    <tableColumn id="2" xr3:uid="{6DD35146-7DF1-4CCE-9356-C22B108F4F39}" uniqueName="2" name="板块" queryTableFieldId="214"/>
    <tableColumn id="3" xr3:uid="{00000000-0010-0000-2300-000003000000}" uniqueName="3" name="货币" queryTableFieldId="3" dataDxfId="280"/>
    <tableColumn id="52" xr3:uid="{747DCABA-F2CB-44A1-BB61-12F09EA77A65}" uniqueName="52" name="信用主体(备证行)" queryTableFieldId="74" dataDxfId="279"/>
    <tableColumn id="5" xr3:uid="{00000000-0010-0000-2300-000005000000}" uniqueName="5" name="描述" queryTableFieldId="5" dataDxfId="278"/>
    <tableColumn id="1" xr3:uid="{DCE0C678-7429-4B20-B919-874EAF955EBE}" uniqueName="1" name="Stats描述" queryTableFieldId="213" dataDxfId="277"/>
  </tableColumns>
  <tableStyleInfo name="Qry Load 5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24000000}" name="writer_NotCNH" displayName="writer_NotCNH" ref="A20:F28" tableType="queryTable" totalsRowShown="0" headerRowDxfId="276" dataDxfId="275">
  <autoFilter ref="A20:F28" xr:uid="{00000000-0009-0000-0100-00002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1" xr3:uid="{00000000-0010-0000-2400-00000B000000}" uniqueName="11" name="Index" queryTableFieldId="22" dataDxfId="274"/>
    <tableColumn id="2" xr3:uid="{2E4D374C-6CDD-42F1-B20B-3BBE7554D480}" uniqueName="2" name="板块" queryTableFieldId="31"/>
    <tableColumn id="3" xr3:uid="{00000000-0010-0000-2400-000003000000}" uniqueName="3" name="货币" queryTableFieldId="3" dataDxfId="273"/>
    <tableColumn id="1" xr3:uid="{2E389034-2B87-4958-B802-5B79867D001B}" uniqueName="1" name="信用主体(备证行)" queryTableFieldId="27" dataDxfId="272"/>
    <tableColumn id="5" xr3:uid="{00000000-0010-0000-2400-000005000000}" uniqueName="5" name="描述" queryTableFieldId="5" dataDxfId="271"/>
    <tableColumn id="4" xr3:uid="{16F5A068-483F-4DF8-A04E-F4CBC2061169}" uniqueName="4" name="Stats描述" queryTableFieldId="30" dataDxfId="270"/>
  </tableColumns>
  <tableStyleInfo name="Qry Load 5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6000000}" name="ECON" displayName="ECON" ref="A12:O34" tableType="queryTable" totalsRowShown="0">
  <autoFilter ref="A12:O34" xr:uid="{00000000-0009-0000-0100-00002C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sortState xmlns:xlrd2="http://schemas.microsoft.com/office/spreadsheetml/2017/richdata2" ref="A13:O34">
    <sortCondition descending="1" ref="I12:I34"/>
  </sortState>
  <tableColumns count="15">
    <tableColumn id="1" xr3:uid="{00000000-0010-0000-2600-000001000000}" uniqueName="1" name="Date" queryTableFieldId="1" dataDxfId="99"/>
    <tableColumn id="13" xr3:uid="{00000000-0010-0000-2600-00000D000000}" uniqueName="13" name="Region" queryTableFieldId="13" dataDxfId="98"/>
    <tableColumn id="3" xr3:uid="{00000000-0010-0000-2600-000003000000}" uniqueName="3" name="Event" queryTableFieldId="3" dataDxfId="97"/>
    <tableColumn id="14" xr3:uid="{00000000-0010-0000-2600-00000E000000}" uniqueName="14" name="Period" queryTableFieldId="14" dataDxfId="96"/>
    <tableColumn id="5" xr3:uid="{00000000-0010-0000-2600-000005000000}" uniqueName="5" name="Survey" queryTableFieldId="5" dataDxfId="95"/>
    <tableColumn id="6" xr3:uid="{00000000-0010-0000-2600-000006000000}" uniqueName="6" name="Actual" queryTableFieldId="6" dataDxfId="94"/>
    <tableColumn id="7" xr3:uid="{00000000-0010-0000-2600-000007000000}" uniqueName="7" name="Prior" queryTableFieldId="7" dataDxfId="93"/>
    <tableColumn id="8" xr3:uid="{00000000-0010-0000-2600-000008000000}" uniqueName="8" name="Revised" queryTableFieldId="8" dataDxfId="92"/>
    <tableColumn id="9" xr3:uid="{00000000-0010-0000-2600-000009000000}" uniqueName="9" name="Relevance" queryTableFieldId="9" dataDxfId="91"/>
    <tableColumn id="10" xr3:uid="{00000000-0010-0000-2600-00000A000000}" uniqueName="10" name="Ticker" queryTableFieldId="10" dataDxfId="90"/>
    <tableColumn id="11" xr3:uid="{00000000-0010-0000-2600-00000B000000}" uniqueName="11" name="Time" queryTableFieldId="11" dataDxfId="89"/>
    <tableColumn id="15" xr3:uid="{00000000-0010-0000-2600-00000F000000}" uniqueName="15" name="Table" queryTableFieldId="15" dataDxfId="88"/>
    <tableColumn id="17" xr3:uid="{00000000-0010-0000-2600-000011000000}" uniqueName="17" name="区间" queryTableFieldId="22" dataDxfId="87"/>
    <tableColumn id="18" xr3:uid="{00000000-0010-0000-2600-000012000000}" uniqueName="18" name="范围" queryTableFieldId="23" dataDxfId="86"/>
    <tableColumn id="16" xr3:uid="{00000000-0010-0000-2600-000010000000}" uniqueName="16" name="上周主要经济数据" queryTableFieldId="16" dataDxfId="85"/>
  </tableColumns>
  <tableStyleInfo name="Qry Load 5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7000000}" name="input_econ" displayName="input_econ" ref="B2:G8" totalsRowShown="0" headerRowDxfId="269" dataDxfId="268">
  <autoFilter ref="B2:G8" xr:uid="{644E2A09-C7EB-4F82-B548-1142239A8942}"/>
  <sortState xmlns:xlrd2="http://schemas.microsoft.com/office/spreadsheetml/2017/richdata2" ref="B3:G8">
    <sortCondition ref="D2:D8"/>
  </sortState>
  <tableColumns count="6">
    <tableColumn id="6" xr3:uid="{00000000-0010-0000-2700-000006000000}" name="Index" dataDxfId="267"/>
    <tableColumn id="1" xr3:uid="{00000000-0010-0000-2700-000001000000}" name="上周主要经济数据" dataDxfId="266"/>
    <tableColumn id="2" xr3:uid="{00000000-0010-0000-2700-000002000000}" name="发布(HKT) " dataDxfId="265">
      <calculatedColumnFormula>IFERROR(INDEX(ECON[Date],MATCH(input_econ[[#This Row],[上周主要经济数据]],ECON[上周主要经济数据],0)),"")</calculatedColumnFormula>
    </tableColumn>
    <tableColumn id="3" xr3:uid="{00000000-0010-0000-2700-000003000000}" name="前值" dataDxfId="264">
      <calculatedColumnFormula>IFERROR(INDEX(ECON[Prior],MATCH(input_econ[[#This Row],[上周主要经济数据]],ECON[上周主要经济数据],0)),"")</calculatedColumnFormula>
    </tableColumn>
    <tableColumn id="4" xr3:uid="{00000000-0010-0000-2700-000004000000}" name="预期" dataDxfId="263">
      <calculatedColumnFormula>IFERROR(INDEX(ECON[Survey],MATCH(input_econ[[#This Row],[上周主要经济数据]],ECON[上周主要经济数据],0)),"")</calculatedColumnFormula>
    </tableColumn>
    <tableColumn id="5" xr3:uid="{00000000-0010-0000-2700-000005000000}" name="现值" dataDxfId="262">
      <calculatedColumnFormula>IFERROR(INDEX(ECON[Actual],MATCH(input_econ[[#This Row],[上周主要经济数据]],ECON[上周主要经济数据],0)),"")</calculatedColumnFormula>
    </tableColumn>
  </tableColumns>
  <tableStyleInfo name="Qry Load 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28000000}" name="FUTURE" displayName="FUTURE" ref="A10:O29" tableType="queryTable" totalsRowShown="0" dataDxfId="261">
  <autoFilter ref="A10:O29" xr:uid="{EC380FD7-61D3-49F7-9E43-37885EA54264}"/>
  <sortState xmlns:xlrd2="http://schemas.microsoft.com/office/spreadsheetml/2017/richdata2" ref="A11:O29">
    <sortCondition descending="1" ref="I10:I29"/>
  </sortState>
  <tableColumns count="15">
    <tableColumn id="1" xr3:uid="{00000000-0010-0000-2800-000001000000}" uniqueName="1" name="Date" queryTableFieldId="1" dataDxfId="84"/>
    <tableColumn id="2" xr3:uid="{00000000-0010-0000-2800-000002000000}" uniqueName="2" name="Region" queryTableFieldId="2" dataDxfId="83"/>
    <tableColumn id="3" xr3:uid="{00000000-0010-0000-2800-000003000000}" uniqueName="3" name="Event" queryTableFieldId="3" dataDxfId="82"/>
    <tableColumn id="4" xr3:uid="{00000000-0010-0000-2800-000004000000}" uniqueName="4" name="Period" queryTableFieldId="4" dataDxfId="81"/>
    <tableColumn id="5" xr3:uid="{00000000-0010-0000-2800-000005000000}" uniqueName="5" name="Survey" queryTableFieldId="5" dataDxfId="80"/>
    <tableColumn id="6" xr3:uid="{00000000-0010-0000-2800-000006000000}" uniqueName="6" name="Actual" queryTableFieldId="6" dataDxfId="79"/>
    <tableColumn id="7" xr3:uid="{00000000-0010-0000-2800-000007000000}" uniqueName="7" name="Prior" queryTableFieldId="7" dataDxfId="78"/>
    <tableColumn id="8" xr3:uid="{00000000-0010-0000-2800-000008000000}" uniqueName="8" name="Revised" queryTableFieldId="8" dataDxfId="77"/>
    <tableColumn id="9" xr3:uid="{00000000-0010-0000-2800-000009000000}" uniqueName="9" name="Relevance" queryTableFieldId="9" dataDxfId="76"/>
    <tableColumn id="10" xr3:uid="{00000000-0010-0000-2800-00000A000000}" uniqueName="10" name="Ticker" queryTableFieldId="10" dataDxfId="75"/>
    <tableColumn id="11" xr3:uid="{00000000-0010-0000-2800-00000B000000}" uniqueName="11" name="Time" queryTableFieldId="11" dataDxfId="74"/>
    <tableColumn id="12" xr3:uid="{00000000-0010-0000-2800-00000C000000}" uniqueName="12" name="Table" queryTableFieldId="12" dataDxfId="73"/>
    <tableColumn id="14" xr3:uid="{00000000-0010-0000-2800-00000E000000}" uniqueName="14" name="区间" queryTableFieldId="14" dataDxfId="72"/>
    <tableColumn id="15" xr3:uid="{00000000-0010-0000-2800-00000F000000}" uniqueName="15" name="范围" queryTableFieldId="15" dataDxfId="71"/>
    <tableColumn id="16" xr3:uid="{00000000-0010-0000-2800-000010000000}" uniqueName="16" name="未来一周主要经济数据" queryTableFieldId="16" dataDxfId="70"/>
  </tableColumns>
  <tableStyleInfo name="Qry Load 3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29000000}" name="input_future" displayName="input_future" ref="B2:F8" totalsRowShown="0" headerRowDxfId="260" dataDxfId="259">
  <autoFilter ref="B2:F8" xr:uid="{39A1B0C9-8B1C-4C7A-AB01-A5DC6D5CE22B}"/>
  <sortState xmlns:xlrd2="http://schemas.microsoft.com/office/spreadsheetml/2017/richdata2" ref="B3:F8">
    <sortCondition ref="D2:D8"/>
  </sortState>
  <tableColumns count="5">
    <tableColumn id="6" xr3:uid="{00000000-0010-0000-2900-000006000000}" name="Index" dataDxfId="258"/>
    <tableColumn id="1" xr3:uid="{00000000-0010-0000-2900-000001000000}" name="未来一周主要经济数据" dataDxfId="257"/>
    <tableColumn id="2" xr3:uid="{00000000-0010-0000-2900-000002000000}" name="预计发布(HKT) " dataDxfId="256">
      <calculatedColumnFormula>IFERROR(INDEX(FUTURE[Date],MATCH(input_future[[#This Row],[未来一周主要经济数据]],FUTURE[未来一周主要经济数据],0)),"")</calculatedColumnFormula>
    </tableColumn>
    <tableColumn id="3" xr3:uid="{00000000-0010-0000-2900-000003000000}" name="前值" dataDxfId="255">
      <calculatedColumnFormula>IFERROR(INDEX(FUTURE[Prior],MATCH(input_future[[#This Row],[未来一周主要经济数据]],FUTURE[未来一周主要经济数据],0)),"")</calculatedColumnFormula>
    </tableColumn>
    <tableColumn id="4" xr3:uid="{00000000-0010-0000-2900-000004000000}" name="预期" dataDxfId="254">
      <calculatedColumnFormula>IFERROR(INDEX(FUTURE[Survey],MATCH(input_future[[#This Row],[未来一周主要经济数据]],FUTURE[未来一周主要经济数据],0)),"")</calculatedColumnFormula>
    </tableColumn>
  </tableColumns>
  <tableStyleInfo name="Qry Load 3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323D2C52-55F5-448C-89A1-53E3222370A9}" name="AddTapISIN" displayName="AddTapISIN" ref="B9:M13" tableType="queryTable" totalsRowShown="0">
  <autoFilter ref="B9:M13" xr:uid="{323D2C52-55F5-448C-89A1-53E3222370A9}"/>
  <tableColumns count="12">
    <tableColumn id="609" xr3:uid="{C7257A0E-8B72-4643-8B14-B61129E08F22}" uniqueName="609" name="ISIN" queryTableFieldId="1" dataDxfId="253"/>
    <tableColumn id="610" xr3:uid="{F617642D-4035-45A4-8028-B8D2952E37D6}" uniqueName="610" name="信用主体(备证行)" queryTableFieldId="2" dataDxfId="252"/>
    <tableColumn id="611" xr3:uid="{6476EDEA-698E-4483-AD54-F1708251A728}" uniqueName="611" name="定价日" queryTableFieldId="3" dataDxfId="251"/>
    <tableColumn id="612" xr3:uid="{4FC1199A-539F-42E8-B330-8B221792C7E9}" uniqueName="612" name="发行评级" queryTableFieldId="4" dataDxfId="250"/>
    <tableColumn id="613" xr3:uid="{12A3D87D-35F4-4912-B832-D645B5ED7965}" uniqueName="613" name="货币" queryTableFieldId="5" dataDxfId="249"/>
    <tableColumn id="614" xr3:uid="{C9866005-A976-4944-8726-202FCC05A769}" uniqueName="614" name="发行规模(亿)" queryTableFieldId="6" dataDxfId="248"/>
    <tableColumn id="615" xr3:uid="{B82762D0-DBDD-4ABF-ADEA-30BB26702A4B}" uniqueName="615" name="年期" queryTableFieldId="7" dataDxfId="247"/>
    <tableColumn id="616" xr3:uid="{D66DB3D3-5DCE-42B6-B235-4B2AB25F62DC}" uniqueName="616" name="票息" queryTableFieldId="8" dataDxfId="246"/>
    <tableColumn id="617" xr3:uid="{046B84F6-78E6-4AA3-9385-B29B56D7771A}" uniqueName="617" name="IPG" queryTableFieldId="9" dataDxfId="245"/>
    <tableColumn id="618" xr3:uid="{3C87ADC8-189A-4F5A-A84E-04A7F3F26C61}" uniqueName="618" name="收窄基点" queryTableFieldId="10" dataDxfId="244"/>
    <tableColumn id="619" xr3:uid="{761BFA4F-AD5E-4494-8C59-B45E3E3F3562}" uniqueName="619" name="结构" queryTableFieldId="11" dataDxfId="243"/>
    <tableColumn id="620" xr3:uid="{43132362-8736-4B96-A133-667616F2AE1A}" uniqueName="620" name="主题" queryTableFieldId="12" dataDxfId="242"/>
  </tableColumns>
  <tableStyleInfo name="Qry Load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EA10B7D3-FD5B-45E9-8E3A-378946E76D8A}" name="AddTapInput" displayName="AddTapInput" ref="B16:K17" totalsRowShown="0" dataDxfId="241">
  <autoFilter ref="B16:K17" xr:uid="{EA10B7D3-FD5B-45E9-8E3A-378946E76D8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1" xr3:uid="{6254DFF7-9352-4851-BEC4-261CF8E55BA5}" name="原始ISIN" dataDxfId="240"/>
    <tableColumn id="10" xr3:uid="{C2C4EF50-FD6F-4B1E-A545-2ECC96F9A905}" name="添加增发方式" dataDxfId="239"/>
    <tableColumn id="11" xr3:uid="{79B76218-E0E4-4A89-BE76-301D01940875}" name="增发判定" dataDxfId="238"/>
    <tableColumn id="12" xr3:uid="{EDA4F6FC-E9AF-428D-8455-7CAE58E2C730}" name="增发ISIN" dataDxfId="237"/>
    <tableColumn id="2" xr3:uid="{27B5EFE8-4072-49BD-B6A9-5FF970467B1C}" name="定价日" dataDxfId="236"/>
    <tableColumn id="3" xr3:uid="{AD0350DC-2C22-4D91-9AA2-3F091B8A9FED}" name="发行规模(亿)" dataDxfId="235"/>
    <tableColumn id="4" xr3:uid="{C498A0CC-CED1-41FB-877E-641A32287CEF}" name="IPT" dataDxfId="234"/>
    <tableColumn id="5" xr3:uid="{EDF855A7-BA7A-40AF-8D1C-50F6E2692F36}" name="FPG" dataDxfId="233"/>
    <tableColumn id="6" xr3:uid="{19553095-3CC0-4C17-9C9F-D62F43223F22}" name="联席全球协调人" dataDxfId="232"/>
    <tableColumn id="8" xr3:uid="{2ABEAA2D-F8C8-4F6E-BB0B-5ED3A2C55235}" name="牵头经办人" dataDxfId="231"/>
  </tableColumns>
  <tableStyleInfo name="review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13E57BC5-5381-4B21-915A-56BB1155E16E}" name="AddTapLoad" displayName="AddTapLoad" ref="B20:C85" tableType="queryTable" totalsRowShown="0">
  <autoFilter ref="B20:C85" xr:uid="{13E57BC5-5381-4B21-915A-56BB1155E16E}"/>
  <tableColumns count="2">
    <tableColumn id="23" xr3:uid="{2B4F470D-5393-407C-81AA-C0830E8F96A1}" uniqueName="23" name="Column1" queryTableFieldId="1" dataDxfId="24"/>
    <tableColumn id="24" xr3:uid="{EAD53C83-0843-49F8-80DF-27B7042770D9}" uniqueName="24" name="Column2" queryTableFieldId="2" dataDxfId="23"/>
  </tableColumns>
  <tableStyleInfo name="Qry Load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29D391CF-32BA-4286-9797-532B3C31EE21}" name="TapLookup" displayName="TapLookup" ref="B5:D6" totalsRowShown="0" headerRowDxfId="230">
  <autoFilter ref="B5:D6" xr:uid="{29D391CF-32BA-4286-9797-532B3C31EE21}">
    <filterColumn colId="0" hiddenButton="1"/>
    <filterColumn colId="1" hiddenButton="1"/>
    <filterColumn colId="2" hiddenButton="1"/>
  </autoFilter>
  <tableColumns count="3">
    <tableColumn id="1" xr3:uid="{4278FB0A-9B7E-450A-B43F-C75C5EC2AB2D}" name="输入要查询的ISIN" dataDxfId="229"/>
    <tableColumn id="2" xr3:uid="{D1462E68-AD85-4F5B-9217-1461281B8D2F}" name="输入主体关键字" dataDxfId="228"/>
    <tableColumn id="3" xr3:uid="{7082A380-A3A2-4FAF-A950-6756985F63E9}" name="AddToDLD" dataDxfId="138"/>
  </tableColumns>
  <tableStyleInfo name="Qry Load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104A2-68B4-43DE-A626-D8C1F553DB0E}" name="Table_WeeklyFIMTN" displayName="Table_WeeklyFIMTN" ref="A5:J8" tableType="queryTable" totalsRowShown="0">
  <autoFilter ref="A5:J8" xr:uid="{6AE104A2-68B4-43DE-A626-D8C1F553DB0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</autoFilter>
  <tableColumns count="10">
    <tableColumn id="2" xr3:uid="{1BDBF4C9-A94A-4461-8D96-48885513318D}" uniqueName="2" name="定价日" queryTableFieldId="2" dataDxfId="101"/>
    <tableColumn id="3" xr3:uid="{A4050823-CF41-4CB7-9327-CCA27CCCD0E4}" uniqueName="3" name="ISIN" queryTableFieldId="3" dataDxfId="227"/>
    <tableColumn id="4" xr3:uid="{9D24D768-6BC8-4791-8E2E-C86E5BF82512}" uniqueName="4" name="债券简称" queryTableFieldId="4" dataDxfId="100"/>
    <tableColumn id="5" xr3:uid="{B89E485D-90FD-42CA-8E06-07E227BFAC56}" uniqueName="5" name="年期" queryTableFieldId="5" dataDxfId="226"/>
    <tableColumn id="6" xr3:uid="{48E5A60E-B3FA-4455-ABB7-055B82F3F12D}" uniqueName="6" name="亿美元" queryTableFieldId="6" dataDxfId="225"/>
    <tableColumn id="7" xr3:uid="{E1A849A5-2B7E-46F5-AA30-62AB73378003}" uniqueName="7" name="货币" queryTableFieldId="7" dataDxfId="224"/>
    <tableColumn id="1" xr3:uid="{21EC3522-50EE-494B-B37E-A2DBB3CAFDF6}" uniqueName="1" name="板块" queryTableFieldId="12" dataDxfId="223"/>
    <tableColumn id="9" xr3:uid="{8518B990-BE3D-498F-99C1-D5BB48BDB6F4}" uniqueName="9" name="评级分类" queryTableFieldId="9" dataDxfId="222"/>
    <tableColumn id="10" xr3:uid="{B1604B6E-D553-4497-BF5C-15D6A76CC790}" uniqueName="10" name="品种" queryTableFieldId="10" dataDxfId="221"/>
    <tableColumn id="11" xr3:uid="{CE10F02A-05E7-45BB-9E38-F4B08F95D57D}" uniqueName="11" name="按年" queryTableFieldId="11" dataDxfId="220"/>
  </tableColumns>
  <tableStyleInfo name="Qry Load 4" showFirstColumn="0" showLastColumn="0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760A78EB-B646-4F10-831A-D22B21A96B57}" name="Table_dmi" displayName="Table_dmi" ref="A5:BR22" tableType="queryTable" totalsRowShown="0">
  <autoFilter ref="A5:BR22" xr:uid="{760A78EB-B646-4F10-831A-D22B21A96B57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9" hiddenButton="1"/>
  </autoFilter>
  <tableColumns count="70">
    <tableColumn id="1" xr3:uid="{65CE1E33-8359-4C0B-9221-1E30F7E1CEF4}" uniqueName="1" name="信用主体" queryTableFieldId="1" dataDxfId="219"/>
    <tableColumn id="24" xr3:uid="{A81CDE9A-F459-467A-95A6-76B9882E80D7}" uniqueName="24" name="英文简称" queryTableFieldId="384" dataDxfId="135"/>
    <tableColumn id="9" xr3:uid="{6CF5A73E-65DE-485F-A790-2A65D986DCCA}" uniqueName="9" name="ISIN" queryTableFieldId="9" dataDxfId="218"/>
    <tableColumn id="12" xr3:uid="{2FAEB098-B99A-49BC-8F9E-60BB22B8B1A8}" uniqueName="12" name="定价日" queryTableFieldId="12" dataDxfId="134"/>
    <tableColumn id="8" xr3:uid="{5ABB02D5-4AA9-47AD-B0BA-BE18B2B3C4DE}" uniqueName="8" name="债券简称" queryTableFieldId="8" dataDxfId="133"/>
    <tableColumn id="13" xr3:uid="{5E4165C1-E3B4-48D3-8D3A-10EB35D470E0}" uniqueName="13" name="穆迪/标普" queryTableFieldId="13" dataDxfId="132"/>
    <tableColumn id="14" xr3:uid="{D0CD7E0A-5738-4057-9BC0-77E832B4C25E}" uniqueName="14" name="主体评级展望" queryTableFieldId="14" dataDxfId="131"/>
    <tableColumn id="15" xr3:uid="{32ECF4B7-EF13-4935-98C6-7E853C1916B9}" uniqueName="15" name="债项评级" queryTableFieldId="15" dataDxfId="130"/>
    <tableColumn id="27" xr3:uid="{00C79F5A-7701-4B0D-8C7E-8C5F683178C5}" uniqueName="27" name="发行规模(亿)" queryTableFieldId="27" dataDxfId="217"/>
    <tableColumn id="28" xr3:uid="{E7406E52-8977-4808-A788-298B36157479}" uniqueName="28" name="货币" queryTableFieldId="28" dataDxfId="216"/>
    <tableColumn id="29" xr3:uid="{697EF4DB-C377-4637-A8D4-B512822D8F0E}" uniqueName="29" name="发行期限(年)" queryTableFieldId="29" dataDxfId="129"/>
    <tableColumn id="18" xr3:uid="{50B52BF9-BA98-4CD8-B6A2-4F8187974C4E}" uniqueName="18" name="发行票面利率" queryTableFieldId="336" dataDxfId="215"/>
    <tableColumn id="19" xr3:uid="{4C2677D7-B95D-4CBD-97D0-A324C689DECD}" uniqueName="19" name="兑付日" queryTableFieldId="19" dataDxfId="128"/>
    <tableColumn id="31" xr3:uid="{9394B226-D977-440D-BBB4-696AAAD92014}" uniqueName="31" name="发行场所" queryTableFieldId="31" dataDxfId="127"/>
    <tableColumn id="20" xr3:uid="{140F0A6F-50E8-4D1A-8A9F-8D00CEE04850}" uniqueName="20" name="IPT_DMI" queryTableFieldId="20" dataDxfId="214"/>
    <tableColumn id="21" xr3:uid="{536CD873-CE57-4DE2-A54F-18E33D004325}" uniqueName="21" name="FPG_DMI" queryTableFieldId="21" dataDxfId="213"/>
    <tableColumn id="22" xr3:uid="{82FAF641-AB3E-4935-B71A-3C539F35361C}" uniqueName="22" name="收窄幅度(bp)" queryTableFieldId="22" dataDxfId="212"/>
    <tableColumn id="23" xr3:uid="{50116619-6391-40C5-AAE1-F0D778876139}" uniqueName="23" name="发行方式" queryTableFieldId="23" dataDxfId="126"/>
    <tableColumn id="69" xr3:uid="{66B79F56-B661-4ED8-8D3C-3F444AAC1C7D}" uniqueName="69" name="发行架构" queryTableFieldId="78" dataDxfId="125"/>
    <tableColumn id="25" xr3:uid="{89B2DB1E-4CFE-4140-9A07-0F1E43F6C9AC}" uniqueName="25" name="SBLC提供者" queryTableFieldId="25" dataDxfId="211"/>
    <tableColumn id="26" xr3:uid="{C94A4441-8480-4C30-99DA-F2FF91A5E801}" uniqueName="26" name="偿还顺位" queryTableFieldId="26" dataDxfId="124"/>
    <tableColumn id="30" xr3:uid="{6BA1C82B-55CF-4344-AFEE-FD6746AB9A6C}" uniqueName="30" name="发行价" queryTableFieldId="30" dataDxfId="210"/>
    <tableColumn id="32" xr3:uid="{A6056AD5-48AD-4001-A74C-ECA77FC26CB2}" uniqueName="32" name="首日涨跌" queryTableFieldId="32" dataDxfId="209"/>
    <tableColumn id="5" xr3:uid="{FFD49085-9527-4367-B0C2-2E8443581C7C}" uniqueName="5" name="省份" queryTableFieldId="5" dataDxfId="123"/>
    <tableColumn id="6" xr3:uid="{851B0F66-A6A0-4EE3-AEC3-02593C4D8B13}" uniqueName="6" name="城市" queryTableFieldId="6" dataDxfId="122"/>
    <tableColumn id="7" xr3:uid="{015C4268-F544-4F8B-A375-27371977DA3A}" uniqueName="7" name="区县" queryTableFieldId="7" dataDxfId="208"/>
    <tableColumn id="33" xr3:uid="{072BF78A-2040-4CCF-95BA-462ACF02A26B}" uniqueName="33" name="认购额(亿)" queryTableFieldId="33" dataDxfId="207"/>
    <tableColumn id="34" xr3:uid="{79315342-FB4B-48FA-9D0E-BB5182F1342A}" uniqueName="34" name="认购倍数" queryTableFieldId="34" dataDxfId="206"/>
    <tableColumn id="35" xr3:uid="{3B7B9C0D-05D5-4554-9DD5-4648FC9FD35A}" uniqueName="35" name="亚洲占比" queryTableFieldId="35" dataDxfId="205"/>
    <tableColumn id="36" xr3:uid="{7E161805-3582-4E8B-AD1E-8D44C6578511}" uniqueName="36" name="基金占比" queryTableFieldId="36" dataDxfId="204"/>
    <tableColumn id="37" xr3:uid="{678B1454-0186-4392-9084-8A4631663D07}" uniqueName="37" name="联席全球协调人" queryTableFieldId="37" dataDxfId="121"/>
    <tableColumn id="4" xr3:uid="{F2F32A9C-87BC-497A-A806-ABCC694FD9DD}" uniqueName="4" name="细分行业" queryTableFieldId="4" dataDxfId="120"/>
    <tableColumn id="10" xr3:uid="{43CE6995-65BA-4391-BADA-3C1BCBA73A55}" uniqueName="10" name="主题债券" queryTableFieldId="10" dataDxfId="203"/>
    <tableColumn id="16" xr3:uid="{31CB77BA-C75C-4904-BE05-EA3D31CB0E8E}" uniqueName="16" name="债项初始评级" queryTableFieldId="16" dataDxfId="119"/>
    <tableColumn id="17" xr3:uid="{EAB58105-9561-4364-BE64-FA9715A8F45D}" uniqueName="17" name="境内主体评级" queryTableFieldId="17" dataDxfId="202"/>
    <tableColumn id="3" xr3:uid="{0D6292F2-14C6-4D00-9C2B-D4771C6FCBEB}" uniqueName="3" name="行业" queryTableFieldId="3" dataDxfId="118"/>
    <tableColumn id="62" xr3:uid="{788704BA-E54A-4436-9FC7-E5EEF473C596}" uniqueName="62" name="剩余期限" queryTableFieldId="62" dataDxfId="117"/>
    <tableColumn id="2" xr3:uid="{D2679A15-B28C-4B9B-90D8-85DA1F060224}" uniqueName="2" name="公司类型" queryTableFieldId="2" dataDxfId="116"/>
    <tableColumn id="11" xr3:uid="{A0E133D3-082C-430A-8830-87B8C99C392A}" uniqueName="11" name="评级类型" queryTableFieldId="11" dataDxfId="115"/>
    <tableColumn id="63" xr3:uid="{EE264CCC-DCFC-4688-9A0B-4A404F87045B}" uniqueName="63" name="投资者账户数" queryTableFieldId="63" dataDxfId="201"/>
    <tableColumn id="64" xr3:uid="{EAE71064-4CB1-4B07-944E-84D6F3C49081}" uniqueName="64" name="投资者类型" queryTableFieldId="64" dataDxfId="200"/>
    <tableColumn id="65" xr3:uid="{E7174B24-DE40-43F6-8633-438CBA936C58}" uniqueName="65" name="投资者分布" queryTableFieldId="65" dataDxfId="199"/>
    <tableColumn id="66" xr3:uid="{CC4128EA-9B08-4BCD-B35C-71CF4AAFA24C}" uniqueName="66" name="筹款用途" queryTableFieldId="66" dataDxfId="198"/>
    <tableColumn id="38" xr3:uid="{975ADB86-B00A-4806-9500-96E93B0E8E67}" uniqueName="38" name="ticker" queryTableFieldId="38" dataDxfId="197"/>
    <tableColumn id="39" xr3:uid="{72AA5BB3-7E54-4DE0-9CE8-13DDE5A6A94C}" uniqueName="39" name="债券最新面值" queryTableFieldId="39" dataDxfId="196"/>
    <tableColumn id="40" xr3:uid="{4EE46BC2-E1CF-462A-A03E-DF0563BE31D9}" uniqueName="40" name="债券余额" queryTableFieldId="40" dataDxfId="195"/>
    <tableColumn id="41" xr3:uid="{4BFB0F89-8CA1-4D0F-9EB3-325F7C449AB2}" uniqueName="41" name="起息日期" queryTableFieldId="41" dataDxfId="114"/>
    <tableColumn id="42" xr3:uid="{2E685F7F-FFBA-484A-A377-6390F6A585BE}" uniqueName="42" name="行权兑付日" queryTableFieldId="42" dataDxfId="113"/>
    <tableColumn id="43" xr3:uid="{7A00E475-6904-4819-BC88-02B7AD3D67B7}" uniqueName="43" name="最新票面利率" queryTableFieldId="43" dataDxfId="194"/>
    <tableColumn id="44" xr3:uid="{0E120977-4EC2-4818-BC4D-6CCE5264355E}" uniqueName="44" name="计息基准" queryTableFieldId="44" dataDxfId="193"/>
    <tableColumn id="45" xr3:uid="{1C61FECB-9E8B-4B0A-A577-E0EADEE6ACB0}" uniqueName="45" name="首次付息日" queryTableFieldId="45" dataDxfId="112"/>
    <tableColumn id="46" xr3:uid="{20F5098B-FF11-4DA0-A626-7DF045DB0FB3}" uniqueName="46" name="发行人" queryTableFieldId="46" dataDxfId="192"/>
    <tableColumn id="47" xr3:uid="{17C9AFD4-5642-48EA-8D06-494AAC11A915}" uniqueName="47" name="担保人" queryTableFieldId="47" dataDxfId="191"/>
    <tableColumn id="48" xr3:uid="{E3D34E72-CB63-4E18-AED9-A3EC74CFDD3C}" uniqueName="48" name="发行起始日" queryTableFieldId="48" dataDxfId="111"/>
    <tableColumn id="67" xr3:uid="{AD599695-8522-46E7-B118-DE2179D8EA71}" uniqueName="67" name="定价_DMI" queryTableFieldId="67" dataDxfId="190"/>
    <tableColumn id="49" xr3:uid="{1682CF98-DB54-47C3-8A44-144BB70D0821}" uniqueName="49" name="上市日期" queryTableFieldId="49" dataDxfId="110"/>
    <tableColumn id="50" xr3:uid="{2215B6A7-05C9-4C6B-8AE1-E60AE330BE07}" uniqueName="50" name="特殊条款说明" queryTableFieldId="50" dataDxfId="109"/>
    <tableColumn id="51" xr3:uid="{E59ECFC4-F0C9-41B1-9733-1AEB70C7437B}" uniqueName="51" name="牵头经办人" queryTableFieldId="51" dataDxfId="189"/>
    <tableColumn id="68" xr3:uid="{DDA77D44-FA04-425D-9DA1-4DAB31A61BB6}" uniqueName="68" name="联席账簿管理人" queryTableFieldId="68" dataDxfId="188"/>
    <tableColumn id="52" xr3:uid="{A98F2AA1-AD8E-4BE7-8B74-C3458DC2EC64}" uniqueName="52" name="是否永续债" queryTableFieldId="52" dataDxfId="108"/>
    <tableColumn id="53" xr3:uid="{74446647-F415-46DC-A41C-CE06D819E843}" uniqueName="53" name="是否存单" queryTableFieldId="53" dataDxfId="107"/>
    <tableColumn id="54" xr3:uid="{D1474CED-58C4-4A46-81D9-D99210D02234}" uniqueName="54" name="利率类型" queryTableFieldId="54" dataDxfId="106"/>
    <tableColumn id="55" xr3:uid="{40CC185A-EE88-4DE1-8A90-03B8F737740F}" uniqueName="55" name="交易状态" queryTableFieldId="55" dataDxfId="105"/>
    <tableColumn id="56" xr3:uid="{6CE7EEB7-7E14-4960-892D-D2B4A752EA7F}" uniqueName="56" name="债券类型" queryTableFieldId="56" dataDxfId="104"/>
    <tableColumn id="57" xr3:uid="{145EA911-7D60-43D2-854F-080D2E91B1E5}" uniqueName="57" name="特殊条款" queryTableFieldId="57" dataDxfId="187"/>
    <tableColumn id="58" xr3:uid="{019381F3-72FB-4C5F-9AB8-FA53CD073BE5}" uniqueName="58" name="付息频率" queryTableFieldId="58" dataDxfId="103"/>
    <tableColumn id="59" xr3:uid="{C8D1AF04-7E6F-4D88-B06F-C8310837A162}" uniqueName="59" name="维好协议提供者" queryTableFieldId="59" dataDxfId="186"/>
    <tableColumn id="60" xr3:uid="{92CFA544-119D-46AF-AD53-05E6F7709CB5}" uniqueName="60" name="地区" queryTableFieldId="60" dataDxfId="185"/>
    <tableColumn id="70" xr3:uid="{FDFE2857-9DAD-4B41-AF70-A4DBA7B07557}" uniqueName="70" name="违约日期" queryTableFieldId="482" dataDxfId="102"/>
    <tableColumn id="61" xr3:uid="{EFAB649D-F0FE-4812-A2D5-2D3BCB496CCA}" uniqueName="61" name="Check" queryTableFieldId="61" dataDxfId="184"/>
  </tableColumns>
  <tableStyleInfo name="review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679C65D-7F6A-4598-8413-1F8EB9AAFBB2}" name="BBGcorp" displayName="BBGcorp" ref="A5:M22" tableType="queryTable" totalsRowShown="0">
  <autoFilter ref="A5:M22" xr:uid="{FD7ECA0B-0FF6-411A-8C06-812B258A1B5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</autoFilter>
  <tableColumns count="13">
    <tableColumn id="1" xr3:uid="{708FCF03-69E0-45CA-8914-D229D5C86DFC}" uniqueName="1" name="Index" queryTableFieldId="1"/>
    <tableColumn id="2" xr3:uid="{C3F732B3-45FA-4844-A166-E4D90A2FF4A7}" uniqueName="2" name="定价日" queryTableFieldId="2" dataDxfId="136"/>
    <tableColumn id="3" xr3:uid="{693984F3-D10B-45D9-B70A-607684C923C4}" uniqueName="3" name="ISIN" queryTableFieldId="3"/>
    <tableColumn id="4" xr3:uid="{B82F24B2-2DE7-431E-BEF8-F7696535CFF8}" uniqueName="4" name="补充OMAS updates" queryTableFieldId="4"/>
    <tableColumn id="5" xr3:uid="{51954C56-B4CD-447B-A9B9-324865237CD6}" uniqueName="5" name="发行评级" queryTableFieldId="5"/>
    <tableColumn id="6" xr3:uid="{AED08928-756A-48CC-A444-204CF6809787}" uniqueName="6" name="发行人注册地" queryTableFieldId="6"/>
    <tableColumn id="13" xr3:uid="{369EC4CC-5DB7-4BCD-99FE-A3F32004470B}" uniqueName="13" name="发行人主上市地" queryTableFieldId="15"/>
    <tableColumn id="7" xr3:uid="{A5B0308D-B1F8-4208-A561-DF94E20F0BAA}" uniqueName="7" name="主体评级" queryTableFieldId="7"/>
    <tableColumn id="8" xr3:uid="{8DD9D5B0-06FC-4925-B90A-757DFCE21989}" uniqueName="8" name="定价息差" queryTableFieldId="8"/>
    <tableColumn id="9" xr3:uid="{6E3DDE2C-C376-4E7A-80DB-DA717BE2BC0D}" uniqueName="9" name="浮息息差" queryTableFieldId="9"/>
    <tableColumn id="11" xr3:uid="{5DB9999E-F7D2-433B-8890-B1C56C19BF69}" uniqueName="11" name="债项BBG" queryTableFieldId="11"/>
    <tableColumn id="12" xr3:uid="{A644B0B6-8830-44E1-848F-4DD23B0FA826}" uniqueName="12" name="主体BBG" queryTableFieldId="12"/>
    <tableColumn id="10" xr3:uid="{FB6745CE-81E9-4406-ACE4-86067C25D3F3}" uniqueName="10" name="Check" queryTableFieldId="10"/>
  </tableColumns>
  <tableStyleInfo name="Qry Load 2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8122B9D-D88A-4417-A590-C14D4FEDCC2B}" name="台账23" displayName="台账23" ref="A5:H6" tableType="queryTable" insertRow="1" totalsRowShown="0">
  <autoFilter ref="A5:H6" xr:uid="{78CB3706-FAC2-467E-9AB9-E7D9BDB149B1}"/>
  <tableColumns count="8">
    <tableColumn id="1" xr3:uid="{452685CD-B6AF-41B0-9DCA-05BCB9D70F7E}" uniqueName="1" name="Project Name" queryTableFieldId="1"/>
    <tableColumn id="2" xr3:uid="{986CDE42-782A-49E7-91BC-67A8850799D0}" uniqueName="2" name="ISIN" queryTableFieldId="2"/>
    <tableColumn id="3" xr3:uid="{61325DEE-E54D-4931-99A5-C22FE3CF3CB3}" uniqueName="3" name="项目名称（集团全称）" queryTableFieldId="3"/>
    <tableColumn id="4" xr3:uid="{6444732D-9545-4654-97A1-5FB2111E8A94}" uniqueName="4" name="台账序号" queryTableFieldId="4"/>
    <tableColumn id="5" xr3:uid="{0F08114E-4D0F-44F0-ABEC-1B6A077D3B97}" uniqueName="5" name="担任角色" queryTableFieldId="5"/>
    <tableColumn id="6" xr3:uid="{3D2B4DC5-D21C-4000-9D31-864D1C6A7896}" uniqueName="6" name="新规角色" queryTableFieldId="6"/>
    <tableColumn id="7" xr3:uid="{AAF702ED-6B9D-4AB7-B165-E5357C3BC81D}" uniqueName="7" name="COVERAGE" queryTableFieldId="7"/>
    <tableColumn id="8" xr3:uid="{7627D9B7-40E3-4CE4-A8E1-8C41A826F986}" uniqueName="8" name="项目定价日" queryTableFieldId="8"/>
  </tableColumns>
  <tableStyleInfo name="review 2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F3CEA282-4DD0-444D-8E1A-CD6CC475A516}" name="WST" displayName="WST" ref="A5:M7" tableType="queryTable" totalsRowShown="0">
  <autoFilter ref="A5:M7" xr:uid="{5F9F53E5-3FF9-4DA7-9FCA-ADC3C794787C}"/>
  <tableColumns count="13">
    <tableColumn id="1" xr3:uid="{73CD5201-082E-498B-9B10-CEEE707D3AE5}" uniqueName="1" name="信用主体" queryTableFieldId="1"/>
    <tableColumn id="2" xr3:uid="{315FC98E-B8F8-486A-B226-FDF59406D65F}" uniqueName="2" name="定价日" queryTableFieldId="2" dataDxfId="137"/>
    <tableColumn id="3" xr3:uid="{B54A3A77-1989-4DFF-8375-331766138419}" uniqueName="3" name="债券名称" queryTableFieldId="3"/>
    <tableColumn id="4" xr3:uid="{0D6706BF-6495-4C1A-A63C-43284EE2FE35}" uniqueName="4" name="ISIN" queryTableFieldId="4"/>
    <tableColumn id="5" xr3:uid="{EB58C7EE-E358-43AD-9703-17A9EDF69E5D}" uniqueName="5" name="发行价" queryTableFieldId="5"/>
    <tableColumn id="6" xr3:uid="{3F74B019-98B1-4372-AF0A-53DC78AB3064}" uniqueName="6" name="初始发行价" queryTableFieldId="6"/>
    <tableColumn id="7" xr3:uid="{0F80C7C4-A7BE-4F40-822B-B7C5F8247FF7}" uniqueName="7" name="认购倍数" queryTableFieldId="7"/>
    <tableColumn id="8" xr3:uid="{28C62948-F18B-4A4D-88AD-A4FC4E6A0737}" uniqueName="8" name="首日表现" queryTableFieldId="8"/>
    <tableColumn id="9" xr3:uid="{C69C4FB6-08B5-45AF-9AF7-4C1F46AAE1AB}" uniqueName="9" name="行业" queryTableFieldId="9"/>
    <tableColumn id="10" xr3:uid="{DC0041C0-4531-4065-B9BF-CD8778A86D35}" uniqueName="10" name="最终订单量/峰值订单（亿美元）" queryTableFieldId="10"/>
    <tableColumn id="11" xr3:uid="{28B7D2D8-085E-4201-8DA8-9CB4698F6516}" uniqueName="11" name="WSTIPT" queryTableFieldId="11"/>
    <tableColumn id="12" xr3:uid="{CF71063B-0A8C-44D6-B40D-94C01A017AA1}" uniqueName="12" name="WSTFPT" queryTableFieldId="12"/>
    <tableColumn id="13" xr3:uid="{FC486DC8-207A-41B0-97F5-FD11AD7CAD15}" uniqueName="13" name="Check" queryTableFieldId="13"/>
  </tableColumns>
  <tableStyleInfo name="Qry Source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7688D936-206D-4D1F-B6DB-3CCA6BF8C461}" name="Table_postreview" displayName="Table_postreview" ref="A4:AU18" tableType="queryTable" totalsRowShown="0">
  <autoFilter ref="A4:AU18" xr:uid="{BED11331-0A79-433D-AD27-4FE128D28EA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4" hiddenButton="1"/>
    <filterColumn colId="45" hiddenButton="1"/>
    <filterColumn colId="46" hiddenButton="1"/>
  </autoFilter>
  <tableColumns count="47">
    <tableColumn id="1" xr3:uid="{791E5B07-BD81-4C7D-914D-F61E0BD81704}" uniqueName="1" name="Index" queryTableFieldId="1" dataDxfId="183"/>
    <tableColumn id="2" xr3:uid="{E4F1AA1A-4561-4DCC-BD36-6E0C0BF9681D}" uniqueName="2" name="信用主体" queryTableFieldId="2" dataDxfId="182"/>
    <tableColumn id="3" xr3:uid="{BCA724F0-8962-4CF8-9F27-DFAB5A7EE57F}" uniqueName="3" name="ISIN" queryTableFieldId="3" dataDxfId="181"/>
    <tableColumn id="4" xr3:uid="{7B86C8AE-E7F7-4B8E-A455-4336C7F9D6D4}" uniqueName="4" name="定价日" queryTableFieldId="4" dataDxfId="3"/>
    <tableColumn id="5" xr3:uid="{8479A384-B664-40C5-817C-35D95E248CA9}" uniqueName="5" name="发行评级" queryTableFieldId="5" dataDxfId="180"/>
    <tableColumn id="6" xr3:uid="{560F1DF2-A9DC-4732-81D4-617CC1DDABEC}" uniqueName="6" name="主体评级" queryTableFieldId="6" dataDxfId="179"/>
    <tableColumn id="7" xr3:uid="{78286578-0202-44D4-898F-7BC8053C30D1}" uniqueName="7" name="境内主体评级" queryTableFieldId="7" dataDxfId="178"/>
    <tableColumn id="8" xr3:uid="{11202A1D-7F53-4AFC-889F-FD580FC6F359}" uniqueName="8" name="货币" queryTableFieldId="8" dataDxfId="177"/>
    <tableColumn id="9" xr3:uid="{00F822E0-673A-426E-97E0-C7C03264A9B7}" uniqueName="9" name="发行规模(亿)" queryTableFieldId="9" dataDxfId="176"/>
    <tableColumn id="10" xr3:uid="{A4600EBC-E807-4C67-B01C-5CD1E3909F2C}" uniqueName="10" name="年期" queryTableFieldId="10" dataDxfId="175"/>
    <tableColumn id="11" xr3:uid="{3882855A-6F78-4733-843C-A5CCC8C71BBE}" uniqueName="11" name="票息" queryTableFieldId="11" dataDxfId="174"/>
    <tableColumn id="12" xr3:uid="{AA7813E9-B7C0-4485-97E4-3E4D3C485DA4}" uniqueName="12" name="IPG" queryTableFieldId="12" dataDxfId="173"/>
    <tableColumn id="13" xr3:uid="{6BC3F1E2-AC4E-42E4-8B1C-4FFDBF40A64D}" uniqueName="13" name="FPG" queryTableFieldId="13" dataDxfId="172"/>
    <tableColumn id="14" xr3:uid="{A56676CE-514E-4236-AF6A-12F9A2068657}" uniqueName="14" name="定价" queryTableFieldId="14" dataDxfId="171"/>
    <tableColumn id="15" xr3:uid="{8DC4F8E2-94E1-4CA7-8249-B35B934BB7A7}" uniqueName="15" name="收窄基点" queryTableFieldId="15" dataDxfId="170"/>
    <tableColumn id="16" xr3:uid="{2A30FA30-EA68-445A-B3B2-07A216AE817C}" uniqueName="16" name="定价基准" queryTableFieldId="16" dataDxfId="169"/>
    <tableColumn id="18" xr3:uid="{68B928C8-F110-4275-943D-B563184CF448}" uniqueName="18" name="发行价" queryTableFieldId="39" dataDxfId="168"/>
    <tableColumn id="17" xr3:uid="{0ACF0E03-B0D4-4057-BF46-E322F4936C17}" uniqueName="17" name="结构" queryTableFieldId="17" dataDxfId="167"/>
    <tableColumn id="19" xr3:uid="{979EE12C-AD42-4833-8A99-EC817C6F2D45}" uniqueName="19" name="上市" queryTableFieldId="19" dataDxfId="166"/>
    <tableColumn id="20" xr3:uid="{E6204F0C-29FB-48D4-9E0E-4731335D7A28}" uniqueName="20" name="港分_ROLE" queryTableFieldId="20" dataDxfId="165"/>
    <tableColumn id="21" xr3:uid="{DBF246C1-9F14-46AE-BBC3-92DB6B28A9F5}" uniqueName="21" name="澳分_ROLE" queryTableFieldId="21" dataDxfId="164"/>
    <tableColumn id="22" xr3:uid="{A427B15A-1E3B-4176-8AAF-3C66C694FA16}" uniqueName="22" name="增发判定" queryTableFieldId="22" dataDxfId="163"/>
    <tableColumn id="26" xr3:uid="{D81B8EC4-1E43-4536-91C9-D9443CB5B5E6}" uniqueName="26" name="付息频率" queryTableFieldId="40" dataDxfId="162"/>
    <tableColumn id="27" xr3:uid="{1B4F1862-A915-4343-BD42-60FE8D9C5914}" uniqueName="27" name="起息日期" queryTableFieldId="41" dataDxfId="2"/>
    <tableColumn id="39" xr3:uid="{63B90420-8840-4507-9FE7-AEEA98D3C1EA}" uniqueName="39" name="首次付息日" queryTableFieldId="42" dataDxfId="1"/>
    <tableColumn id="40" xr3:uid="{BD1F8AC9-D7AC-4D02-8E73-E640E429EA37}" uniqueName="40" name="兑付日" queryTableFieldId="43" dataDxfId="0"/>
    <tableColumn id="23" xr3:uid="{32278D46-AAFB-46AC-B876-F0B2F5B3D38C}" uniqueName="23" name="亿美元" queryTableFieldId="23" dataDxfId="161"/>
    <tableColumn id="24" xr3:uid="{1F885E33-0B82-4272-882B-8A2CC2097721}" uniqueName="24" name="亿元" queryTableFieldId="24" dataDxfId="160"/>
    <tableColumn id="25" xr3:uid="{636B29DB-50B6-49B5-9EE5-519500C5F4C5}" uniqueName="25" name="亿港币" queryTableFieldId="25" dataDxfId="159"/>
    <tableColumn id="41" xr3:uid="{88894D22-D148-449D-8AFE-C1E41A6237D0}" uniqueName="41" name="ticker" queryTableFieldId="44" dataDxfId="158"/>
    <tableColumn id="45" xr3:uid="{D35F78CD-33DF-4BE5-B09E-5792350E6F5E}" uniqueName="45" name="注册成立地" queryTableFieldId="57" dataDxfId="157"/>
    <tableColumn id="46" xr3:uid="{8292EA6A-E652-4AD6-980B-A367229A037B}" uniqueName="46" name="发行人主上市地" queryTableFieldId="59" dataDxfId="156"/>
    <tableColumn id="42" xr3:uid="{A2CC7DB9-0BC7-4182-BD08-B5982994B9A6}" uniqueName="42" name="发行人" queryTableFieldId="45" dataDxfId="155"/>
    <tableColumn id="43" xr3:uid="{D8401749-5222-4202-B6A6-652D8A1D8E68}" uniqueName="43" name="担保人" queryTableFieldId="46" dataDxfId="154"/>
    <tableColumn id="44" xr3:uid="{38FFC5B5-8532-438A-9D5B-F9205283973B}" uniqueName="44" name="维好协议提供者" queryTableFieldId="47" dataDxfId="153"/>
    <tableColumn id="28" xr3:uid="{636A1BFB-2DD2-4E7A-8C04-E4AD77737D6B}" uniqueName="28" name="备证行" queryTableFieldId="28" dataDxfId="152"/>
    <tableColumn id="29" xr3:uid="{22C55275-6BA9-4912-9032-F35F16DFEF5E}" uniqueName="29" name="ESG" queryTableFieldId="29" dataDxfId="151"/>
    <tableColumn id="30" xr3:uid="{E89FFB45-1C1B-48CF-9DCC-B98D4629418D}" uniqueName="30" name="FEATURED" queryTableFieldId="30" dataDxfId="150"/>
    <tableColumn id="31" xr3:uid="{C11B3DB5-9721-4EF1-B0A1-D0EB6C66C057}" uniqueName="31" name="亮点" queryTableFieldId="31" dataDxfId="149"/>
    <tableColumn id="32" xr3:uid="{DF9610CA-17E8-4B49-910E-BA6EB58E92E6}" uniqueName="32" name="通过分行" queryTableFieldId="32" dataDxfId="148"/>
    <tableColumn id="33" xr3:uid="{F3F9AA75-29DA-43EE-BB6E-5BA6DF5BB1E3}" uniqueName="33" name="期限备注" queryTableFieldId="33" dataDxfId="147"/>
    <tableColumn id="34" xr3:uid="{4A3208F5-5206-4EA3-95FD-A6BD27F0D520}" uniqueName="34" name="SPECIALs" queryTableFieldId="34" dataDxfId="146"/>
    <tableColumn id="35" xr3:uid="{73AAEBCD-2442-42BC-AB08-3A3863CB5C99}" uniqueName="35" name="OTHER_ISIN" queryTableFieldId="35" dataDxfId="145"/>
    <tableColumn id="47" xr3:uid="{33FE7EE0-D247-4253-A49C-D22E34625FB1}" uniqueName="47" name="Stats" queryTableFieldId="63" dataDxfId="144"/>
    <tableColumn id="36" xr3:uid="{61919150-9D6F-4CBE-8719-CA359C7CA25C}" uniqueName="36" name="Updator" queryTableFieldId="36" dataDxfId="143"/>
    <tableColumn id="37" xr3:uid="{CB28926C-FFC9-47EB-9DA3-BF96F8567F5C}" uniqueName="37" name="Timestamp" queryTableFieldId="37" dataDxfId="142"/>
    <tableColumn id="38" xr3:uid="{3EA076FB-AA17-4F08-9B14-AE62CEE4EA94}" uniqueName="38" name="Check" queryTableFieldId="38" dataDxfId="141"/>
  </tableColumns>
  <tableStyleInfo name="Qry Load 3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21000000}" name="review_shortname" displayName="review_shortname" ref="A4:U9" tableType="queryTable" totalsRowShown="0">
  <autoFilter ref="A4:U9" xr:uid="{00000000-0009-0000-0100-00001E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8" hiddenButton="1"/>
    <filterColumn colId="19" hiddenButton="1"/>
    <filterColumn colId="20" hiddenButton="1"/>
  </autoFilter>
  <tableColumns count="21">
    <tableColumn id="1" xr3:uid="{839D15CD-929C-426E-BE35-D71776CF4847}" uniqueName="1" name="Index" queryTableFieldId="24"/>
    <tableColumn id="7" xr3:uid="{00000000-0010-0000-2100-000007000000}" uniqueName="7" name="信用主体" queryTableFieldId="7"/>
    <tableColumn id="12" xr3:uid="{D8848C67-C257-40AA-BA2E-11E9707D0C96}" uniqueName="12" name="信用主体简称" queryTableFieldId="25"/>
    <tableColumn id="2" xr3:uid="{2E2AEFE9-AB5E-4BE5-BAE0-A95DCF912FA9}" uniqueName="2" name="中资属性" queryTableFieldId="12"/>
    <tableColumn id="3" xr3:uid="{B0A40063-19C6-436A-B9D7-8F869CBB7078}" uniqueName="3" name="板块" queryTableFieldId="22" dataDxfId="140"/>
    <tableColumn id="9" xr3:uid="{00000000-0010-0000-2100-000009000000}" uniqueName="9" name="细分行业" queryTableFieldId="9"/>
    <tableColumn id="13" xr3:uid="{EF898015-116B-4F44-8180-3FBDA10D157E}" uniqueName="13" name="行业二级" queryTableFieldId="45"/>
    <tableColumn id="4" xr3:uid="{00000000-0010-0000-2100-000004000000}" uniqueName="4" name="地区" queryTableFieldId="4"/>
    <tableColumn id="5" xr3:uid="{00000000-0010-0000-2100-000005000000}" uniqueName="5" name="城市" queryTableFieldId="5"/>
    <tableColumn id="6" xr3:uid="{00000000-0010-0000-2100-000006000000}" uniqueName="6" name="区县" queryTableFieldId="6" dataDxfId="139"/>
    <tableColumn id="14" xr3:uid="{FA0B5668-222B-4765-812C-C03B5B97EC30}" uniqueName="14" name="平台级别" queryTableFieldId="27"/>
    <tableColumn id="20" xr3:uid="{0AE5210F-C482-43A4-AC19-BA6841B87837}" uniqueName="20" name="系" queryTableFieldId="56"/>
    <tableColumn id="15" xr3:uid="{9EB1F89B-CC53-4B89-9385-E7B40FF125C7}" uniqueName="15" name="首次违约日" queryTableFieldId="28"/>
    <tableColumn id="11" xr3:uid="{00000000-0010-0000-2100-00000B000000}" uniqueName="11" name="DEBUT_DATE" queryTableFieldId="11" dataDxfId="6"/>
    <tableColumn id="16" xr3:uid="{0B2ECDC0-ECBB-49D2-AE22-30BDCBF42B44}" uniqueName="16" name="曾用名" queryTableFieldId="29"/>
    <tableColumn id="17" xr3:uid="{1E2A9035-C305-4E84-8A00-32F6B16469B0}" uniqueName="17" name="主体备注" queryTableFieldId="30"/>
    <tableColumn id="8" xr3:uid="{00000000-0010-0000-2100-000008000000}" uniqueName="8" name="行业" queryTableFieldId="8"/>
    <tableColumn id="21" xr3:uid="{9AC37E26-17B2-4BDC-A03C-B8A89D879C0C}" uniqueName="21" name="上市类型" queryTableFieldId="58"/>
    <tableColumn id="10" xr3:uid="{00000000-0010-0000-2100-00000A000000}" uniqueName="10" name="公司类型" queryTableFieldId="10"/>
    <tableColumn id="18" xr3:uid="{8745C1D2-A151-43DA-9DB4-BE5C10F1E3EA}" uniqueName="18" name="Updator" queryTableFieldId="31"/>
    <tableColumn id="19" xr3:uid="{DE99903B-F628-4B59-9730-5822264C6BC0}" uniqueName="19" name="Timestamp" queryTableFieldId="32"/>
  </tableColumns>
  <tableStyleInfo name="review 2"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1F000000}" name="Table_review_BISL" displayName="Table_review_BISL" ref="A5:R7" tableType="queryTable" totalsRowShown="0">
  <autoFilter ref="A5:R7" xr:uid="{00000000-0009-0000-0100-000002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</autoFilter>
  <tableColumns count="18">
    <tableColumn id="6" xr3:uid="{3411C0CF-976A-4264-975A-7FF83ECA3A4F}" uniqueName="6" name="Index" queryTableFieldId="33"/>
    <tableColumn id="2" xr3:uid="{00000000-0010-0000-1F00-000002000000}" uniqueName="2" name="ISIN" queryTableFieldId="2"/>
    <tableColumn id="3" xr3:uid="{00000000-0010-0000-1F00-000003000000}" uniqueName="3" name="定价日" queryTableFieldId="3"/>
    <tableColumn id="4" xr3:uid="{00000000-0010-0000-1F00-000004000000}" uniqueName="4" name="信用主体" queryTableFieldId="4"/>
    <tableColumn id="5" xr3:uid="{00000000-0010-0000-1F00-000005000000}" uniqueName="5" name="BISL_ROLE" queryTableFieldId="5"/>
    <tableColumn id="12" xr3:uid="{00000000-0010-0000-1F00-00000C000000}" uniqueName="12" name="IS_LEAD" queryTableFieldId="14"/>
    <tableColumn id="14" xr3:uid="{00000000-0010-0000-1F00-00000E000000}" uniqueName="14" name="IS_B&amp;D" queryTableFieldId="15"/>
    <tableColumn id="15" xr3:uid="{00000000-0010-0000-1F00-00000F000000}" uniqueName="15" name="是否合名" queryTableFieldId="16"/>
    <tableColumn id="10" xr3:uid="{00000000-0010-0000-1F00-00000A000000}" uniqueName="10" name="新规角色" queryTableFieldId="10"/>
    <tableColumn id="11" xr3:uid="{00000000-0010-0000-1F00-00000B000000}" uniqueName="11" name="COVERAGE" queryTableFieldId="11"/>
    <tableColumn id="8" xr3:uid="{00000000-0010-0000-1F00-000008000000}" uniqueName="8" name="PROJECT_CODE" queryTableFieldId="8"/>
    <tableColumn id="9" xr3:uid="{00000000-0010-0000-1F00-000009000000}" uniqueName="9" name="期数" queryTableFieldId="9"/>
    <tableColumn id="18" xr3:uid="{BD2A2563-6D0C-4C70-8C7F-DBFEB75BF9F7}" uniqueName="18" name="台账序号" queryTableFieldId="22"/>
    <tableColumn id="7" xr3:uid="{6DE07327-A6E4-4356-AA50-0A878930CEA5}" uniqueName="7" name="多笔" queryTableFieldId="34"/>
    <tableColumn id="13" xr3:uid="{46C7532C-3BEE-4236-939A-E9519058A4F0}" uniqueName="13" name="多币种" queryTableFieldId="35"/>
    <tableColumn id="16" xr3:uid="{A77870FD-F6DE-4CA1-B614-9C21258B5A9A}" uniqueName="16" name="多品种" queryTableFieldId="36"/>
    <tableColumn id="1" xr3:uid="{00000000-0010-0000-1F00-000001000000}" uniqueName="1" name="Check" queryTableFieldId="1"/>
    <tableColumn id="17" xr3:uid="{9E2825BA-C5C6-41D3-8AB9-1E787BE55C19}" uniqueName="17" name="PRJ对账号" queryTableFieldId="56"/>
  </tableColumns>
  <tableStyleInfo name="Qry Load 4" showFirstColumn="0" showLastColumn="0" showRowStripes="1" showColumnStripes="0"/>
</table>
</file>

<file path=xl/theme/theme1.xml><?xml version="1.0" encoding="utf-8"?>
<a:theme xmlns:a="http://schemas.openxmlformats.org/drawingml/2006/main" name="BOCOMI DCM">
  <a:themeElements>
    <a:clrScheme name="BOCOMI DCM">
      <a:dk1>
        <a:srgbClr val="404040"/>
      </a:dk1>
      <a:lt1>
        <a:srgbClr val="FFFFFF"/>
      </a:lt1>
      <a:dk2>
        <a:srgbClr val="0F141E"/>
      </a:dk2>
      <a:lt2>
        <a:srgbClr val="000000"/>
      </a:lt2>
      <a:accent1>
        <a:srgbClr val="6096E6"/>
      </a:accent1>
      <a:accent2>
        <a:srgbClr val="58B6E5"/>
      </a:accent2>
      <a:accent3>
        <a:srgbClr val="56CA95"/>
      </a:accent3>
      <a:accent4>
        <a:srgbClr val="FFBA55"/>
      </a:accent4>
      <a:accent5>
        <a:srgbClr val="F18870"/>
      </a:accent5>
      <a:accent6>
        <a:srgbClr val="EC5F74"/>
      </a:accent6>
      <a:hlink>
        <a:srgbClr val="0563C1"/>
      </a:hlink>
      <a:folHlink>
        <a:srgbClr val="954D72"/>
      </a:folHlink>
    </a:clrScheme>
    <a:fontScheme name="Execution">
      <a:majorFont>
        <a:latin typeface="Microsoft JhengHei UI"/>
        <a:ea typeface="Microsoft JhengHei UI"/>
        <a:cs typeface=""/>
      </a:majorFont>
      <a:minorFont>
        <a:latin typeface="Microsoft JhengHei UI"/>
        <a:ea typeface="Microsoft JhengHei UI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BOCOMI DCM" id="{6C8F52D0-0E37-4C2F-BA85-5E53D98C4ED5}" vid="{2F00F42E-6EA7-4C9F-B862-BBFEA557747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13" Type="http://schemas.openxmlformats.org/officeDocument/2006/relationships/table" Target="../tables/table12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5" Type="http://schemas.openxmlformats.org/officeDocument/2006/relationships/table" Target="../tables/table1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Relationship Id="rId14" Type="http://schemas.openxmlformats.org/officeDocument/2006/relationships/table" Target="../tables/table1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8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7.xml"/><Relationship Id="rId5" Type="http://schemas.openxmlformats.org/officeDocument/2006/relationships/table" Target="../tables/table16.xml"/><Relationship Id="rId4" Type="http://schemas.openxmlformats.org/officeDocument/2006/relationships/table" Target="../tables/table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0.xml"/><Relationship Id="rId5" Type="http://schemas.openxmlformats.org/officeDocument/2006/relationships/table" Target="../tables/table19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29.xml"/><Relationship Id="rId5" Type="http://schemas.openxmlformats.org/officeDocument/2006/relationships/table" Target="../tables/table28.xml"/><Relationship Id="rId4" Type="http://schemas.openxmlformats.org/officeDocument/2006/relationships/table" Target="../tables/table27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3.xml"/><Relationship Id="rId5" Type="http://schemas.openxmlformats.org/officeDocument/2006/relationships/table" Target="../tables/table32.xml"/><Relationship Id="rId4" Type="http://schemas.openxmlformats.org/officeDocument/2006/relationships/table" Target="../tables/table3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5.xml"/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drawing" Target="../drawings/drawing6.xml"/><Relationship Id="rId5" Type="http://schemas.openxmlformats.org/officeDocument/2006/relationships/table" Target="../tables/table41.xml"/><Relationship Id="rId4" Type="http://schemas.openxmlformats.org/officeDocument/2006/relationships/table" Target="../tables/table4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6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drawing" Target="../drawings/drawing7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T65"/>
  <sheetViews>
    <sheetView topLeftCell="A7" zoomScale="115" zoomScaleNormal="115" workbookViewId="0">
      <selection activeCell="D29" sqref="D29"/>
    </sheetView>
  </sheetViews>
  <sheetFormatPr defaultColWidth="8.21875" defaultRowHeight="18.75" customHeight="1" outlineLevelRow="1" x14ac:dyDescent="0.25"/>
  <cols>
    <col min="1" max="1" width="8.109375" style="17" bestFit="1" customWidth="1"/>
    <col min="2" max="2" width="8.109375" style="16" bestFit="1" customWidth="1"/>
    <col min="3" max="3" width="11.44140625" style="17" bestFit="1" customWidth="1"/>
    <col min="4" max="5" width="13.5546875" style="10" bestFit="1" customWidth="1"/>
    <col min="6" max="6" width="7.6640625" style="10" bestFit="1" customWidth="1"/>
    <col min="7" max="7" width="10.6640625" style="10" bestFit="1" customWidth="1"/>
    <col min="8" max="8" width="15" style="10" bestFit="1" customWidth="1"/>
    <col min="9" max="9" width="8.33203125" style="10" bestFit="1" customWidth="1"/>
    <col min="10" max="10" width="7.44140625" style="10" bestFit="1" customWidth="1"/>
    <col min="11" max="11" width="8.21875" style="10" bestFit="1" customWidth="1"/>
    <col min="12" max="12" width="10.88671875" style="10" bestFit="1" customWidth="1"/>
    <col min="13" max="13" width="10.6640625" style="10" bestFit="1" customWidth="1"/>
    <col min="14" max="14" width="7.88671875" style="10" bestFit="1" customWidth="1"/>
    <col min="15" max="15" width="7.5546875" style="10" bestFit="1" customWidth="1"/>
    <col min="16" max="16" width="20.44140625" style="10" bestFit="1" customWidth="1"/>
    <col min="17" max="17" width="11.88671875" style="10" bestFit="1" customWidth="1"/>
    <col min="18" max="18" width="10.6640625" style="10" bestFit="1" customWidth="1"/>
    <col min="19" max="19" width="8.88671875" style="10" bestFit="1" customWidth="1"/>
    <col min="20" max="20" width="7.109375" style="10" bestFit="1" customWidth="1"/>
    <col min="21" max="21" width="7.88671875" style="10" bestFit="1" customWidth="1"/>
    <col min="22" max="22" width="23.109375" style="10" bestFit="1" customWidth="1"/>
    <col min="23" max="23" width="7.21875" style="10" bestFit="1" customWidth="1"/>
    <col min="24" max="24" width="15.5546875" style="10" bestFit="1" customWidth="1"/>
    <col min="25" max="25" width="15.5546875" style="10" customWidth="1"/>
    <col min="26" max="26" width="8.109375" style="10" bestFit="1" customWidth="1"/>
    <col min="27" max="27" width="9" style="10" bestFit="1" customWidth="1"/>
    <col min="28" max="28" width="7.109375" style="10" bestFit="1" customWidth="1"/>
    <col min="29" max="29" width="10.6640625" style="10" bestFit="1" customWidth="1"/>
    <col min="30" max="30" width="7.109375" style="10" bestFit="1" customWidth="1"/>
    <col min="31" max="31" width="15.21875" style="10" bestFit="1" customWidth="1"/>
    <col min="32" max="32" width="7.109375" style="10" bestFit="1" customWidth="1"/>
    <col min="33" max="33" width="5.77734375" style="10" bestFit="1" customWidth="1"/>
    <col min="34" max="34" width="7.109375" style="10" bestFit="1" customWidth="1"/>
    <col min="35" max="16384" width="8.21875" style="10"/>
  </cols>
  <sheetData>
    <row r="1" spans="1:20" ht="18.75" customHeight="1" x14ac:dyDescent="0.25">
      <c r="A1" s="48" t="str">
        <f ca="1" xml:space="preserve"> IF(ISNUMBER(FIND("ktkt2",CELL("filename"))),"Remote",IF(ISNUMBER(FIND("docs.live",CELL("filename"))),"Remote","Global"))</f>
        <v>Remote</v>
      </c>
      <c r="B1" s="8"/>
      <c r="C1" s="9"/>
      <c r="D1" s="14"/>
      <c r="E1" s="11"/>
      <c r="F1" s="12"/>
      <c r="G1" s="15"/>
      <c r="H1" s="13"/>
      <c r="I1" s="14"/>
      <c r="L1" s="45" t="s">
        <v>161</v>
      </c>
      <c r="M1" s="45" t="s">
        <v>202</v>
      </c>
      <c r="N1" s="45" t="s">
        <v>203</v>
      </c>
      <c r="O1" s="45" t="s">
        <v>187</v>
      </c>
      <c r="P1" s="45" t="s">
        <v>188</v>
      </c>
      <c r="Q1" s="45" t="s">
        <v>221</v>
      </c>
      <c r="R1" s="45" t="s">
        <v>222</v>
      </c>
      <c r="S1" s="45" t="s">
        <v>223</v>
      </c>
      <c r="T1" s="103"/>
    </row>
    <row r="2" spans="1:20" ht="18.75" customHeight="1" outlineLevel="1" x14ac:dyDescent="0.25">
      <c r="A2" s="10"/>
      <c r="B2" s="10"/>
      <c r="C2" s="10"/>
      <c r="L2" s="44" t="s">
        <v>163</v>
      </c>
      <c r="M2" s="44" t="s">
        <v>164</v>
      </c>
      <c r="N2" s="44" t="s">
        <v>7</v>
      </c>
      <c r="O2" s="44" t="s">
        <v>196</v>
      </c>
      <c r="P2" s="44" t="s">
        <v>197</v>
      </c>
      <c r="Q2" s="44"/>
      <c r="R2" s="44"/>
      <c r="S2" s="44"/>
      <c r="T2" s="1"/>
    </row>
    <row r="3" spans="1:20" ht="18.75" customHeight="1" outlineLevel="1" x14ac:dyDescent="0.25">
      <c r="A3" s="10"/>
      <c r="B3" s="10"/>
      <c r="C3" s="10"/>
    </row>
    <row r="4" spans="1:20" ht="18.75" customHeight="1" outlineLevel="1" x14ac:dyDescent="0.25">
      <c r="A4" s="10"/>
      <c r="B4" s="10"/>
      <c r="C4" s="10"/>
    </row>
    <row r="5" spans="1:20" ht="18.75" customHeight="1" outlineLevel="1" x14ac:dyDescent="0.25">
      <c r="A5" s="16"/>
      <c r="B5" s="17"/>
    </row>
    <row r="6" spans="1:20" ht="15" x14ac:dyDescent="0.25">
      <c r="A6" s="54" t="s">
        <v>45</v>
      </c>
      <c r="B6" s="53" t="s">
        <v>97</v>
      </c>
      <c r="D6" s="38" t="s">
        <v>94</v>
      </c>
      <c r="F6" s="38" t="s">
        <v>185</v>
      </c>
      <c r="G6" t="s">
        <v>467</v>
      </c>
      <c r="P6" s="38" t="s">
        <v>162</v>
      </c>
    </row>
    <row r="7" spans="1:20" ht="15" x14ac:dyDescent="0.25">
      <c r="A7" s="54" t="s">
        <v>1</v>
      </c>
      <c r="B7" s="53" t="s">
        <v>145</v>
      </c>
      <c r="D7" s="38" t="s">
        <v>116</v>
      </c>
      <c r="F7" s="38" t="s">
        <v>0</v>
      </c>
      <c r="G7" t="s">
        <v>475</v>
      </c>
      <c r="P7" s="38" t="s">
        <v>7</v>
      </c>
    </row>
    <row r="8" spans="1:20" ht="15" x14ac:dyDescent="0.25">
      <c r="A8" s="54" t="s">
        <v>88</v>
      </c>
      <c r="B8" s="53" t="s">
        <v>146</v>
      </c>
      <c r="D8" s="38" t="s">
        <v>117</v>
      </c>
      <c r="F8" s="38" t="s">
        <v>4</v>
      </c>
      <c r="G8" t="s">
        <v>468</v>
      </c>
      <c r="P8" s="38" t="s">
        <v>262</v>
      </c>
    </row>
    <row r="9" spans="1:20" ht="15" x14ac:dyDescent="0.25">
      <c r="A9" s="54" t="s">
        <v>2</v>
      </c>
      <c r="B9" s="53" t="s">
        <v>120</v>
      </c>
      <c r="D9" s="38" t="s">
        <v>703</v>
      </c>
      <c r="F9" s="38" t="s">
        <v>5</v>
      </c>
      <c r="G9" t="s">
        <v>469</v>
      </c>
      <c r="P9" s="38" t="s">
        <v>252</v>
      </c>
    </row>
    <row r="10" spans="1:20" ht="15" x14ac:dyDescent="0.25">
      <c r="A10" s="54" t="s">
        <v>3</v>
      </c>
      <c r="D10" s="38" t="s">
        <v>118</v>
      </c>
      <c r="F10" s="38" t="s">
        <v>6</v>
      </c>
      <c r="G10" t="s">
        <v>470</v>
      </c>
      <c r="P10" s="38" t="s">
        <v>263</v>
      </c>
    </row>
    <row r="11" spans="1:20" ht="15" x14ac:dyDescent="0.25">
      <c r="B11" s="10"/>
      <c r="D11" s="38" t="s">
        <v>41</v>
      </c>
      <c r="F11" s="38" t="s">
        <v>260</v>
      </c>
      <c r="G11" t="s">
        <v>471</v>
      </c>
      <c r="P11" s="38" t="s">
        <v>267</v>
      </c>
    </row>
    <row r="12" spans="1:20" ht="15" x14ac:dyDescent="0.25">
      <c r="A12" s="18" t="s">
        <v>93</v>
      </c>
      <c r="B12" s="10"/>
      <c r="D12" s="38" t="s">
        <v>38</v>
      </c>
      <c r="P12" s="38" t="s">
        <v>293</v>
      </c>
    </row>
    <row r="13" spans="1:20" ht="15" x14ac:dyDescent="0.25">
      <c r="A13" s="18" t="s">
        <v>13</v>
      </c>
      <c r="B13" s="10"/>
      <c r="D13" s="38" t="s">
        <v>371</v>
      </c>
      <c r="P13" s="38" t="s">
        <v>265</v>
      </c>
    </row>
    <row r="14" spans="1:20" ht="15" x14ac:dyDescent="0.25">
      <c r="A14" s="18" t="s">
        <v>10</v>
      </c>
      <c r="B14" s="10"/>
      <c r="D14" s="38" t="s">
        <v>42</v>
      </c>
      <c r="F14" s="38" t="s">
        <v>226</v>
      </c>
      <c r="G14" t="s">
        <v>473</v>
      </c>
      <c r="P14" s="38" t="s">
        <v>264</v>
      </c>
    </row>
    <row r="15" spans="1:20" ht="15" x14ac:dyDescent="0.25">
      <c r="A15" s="18" t="s">
        <v>29</v>
      </c>
      <c r="B15" s="10"/>
      <c r="D15" s="38" t="s">
        <v>39</v>
      </c>
      <c r="F15" s="38" t="s">
        <v>213</v>
      </c>
      <c r="G15">
        <v>1</v>
      </c>
      <c r="P15" s="38" t="s">
        <v>266</v>
      </c>
    </row>
    <row r="16" spans="1:20" ht="15" x14ac:dyDescent="0.25">
      <c r="A16" s="18" t="s">
        <v>18</v>
      </c>
      <c r="B16" s="10"/>
      <c r="F16" s="38" t="s">
        <v>214</v>
      </c>
      <c r="G16">
        <v>2</v>
      </c>
    </row>
    <row r="17" spans="1:7" ht="15" x14ac:dyDescent="0.25">
      <c r="A17" s="18" t="s">
        <v>24</v>
      </c>
      <c r="B17" s="10"/>
      <c r="D17" s="38" t="s">
        <v>188</v>
      </c>
      <c r="F17" s="38" t="s">
        <v>215</v>
      </c>
      <c r="G17">
        <v>3</v>
      </c>
    </row>
    <row r="18" spans="1:7" ht="15" x14ac:dyDescent="0.25">
      <c r="A18" s="18" t="s">
        <v>23</v>
      </c>
      <c r="B18" s="10"/>
      <c r="D18" s="38" t="s">
        <v>197</v>
      </c>
      <c r="F18" s="38" t="s">
        <v>216</v>
      </c>
      <c r="G18">
        <v>4</v>
      </c>
    </row>
    <row r="19" spans="1:7" ht="15" x14ac:dyDescent="0.25">
      <c r="A19" s="18" t="s">
        <v>34</v>
      </c>
      <c r="B19" s="10"/>
      <c r="D19" s="38" t="s">
        <v>200</v>
      </c>
      <c r="F19" s="38" t="s">
        <v>2</v>
      </c>
      <c r="G19">
        <v>5</v>
      </c>
    </row>
    <row r="20" spans="1:7" ht="15" x14ac:dyDescent="0.25">
      <c r="A20" s="18" t="s">
        <v>28</v>
      </c>
      <c r="B20" s="10"/>
      <c r="D20" s="38" t="s">
        <v>208</v>
      </c>
      <c r="F20" s="38" t="s">
        <v>217</v>
      </c>
      <c r="G20">
        <v>6</v>
      </c>
    </row>
    <row r="21" spans="1:7" ht="18.75" customHeight="1" x14ac:dyDescent="0.25">
      <c r="A21" s="18" t="s">
        <v>12</v>
      </c>
      <c r="B21" s="10"/>
      <c r="D21" s="52" t="s">
        <v>7</v>
      </c>
    </row>
    <row r="22" spans="1:7" ht="15" x14ac:dyDescent="0.25">
      <c r="A22" s="18" t="s">
        <v>19</v>
      </c>
      <c r="B22" s="10"/>
      <c r="F22" s="38" t="s">
        <v>253</v>
      </c>
      <c r="G22" t="s">
        <v>473</v>
      </c>
    </row>
    <row r="23" spans="1:7" ht="15" x14ac:dyDescent="0.25">
      <c r="A23" s="18" t="s">
        <v>154</v>
      </c>
      <c r="B23" s="10"/>
      <c r="F23" s="38" t="s">
        <v>254</v>
      </c>
      <c r="G23">
        <v>1</v>
      </c>
    </row>
    <row r="24" spans="1:7" ht="15" x14ac:dyDescent="0.25">
      <c r="A24" s="18" t="s">
        <v>35</v>
      </c>
      <c r="D24" s="38" t="s">
        <v>842</v>
      </c>
      <c r="F24" s="38" t="s">
        <v>372</v>
      </c>
      <c r="G24">
        <v>2</v>
      </c>
    </row>
    <row r="25" spans="1:7" ht="15" x14ac:dyDescent="0.25">
      <c r="A25" s="18" t="s">
        <v>30</v>
      </c>
      <c r="D25" s="38" t="s">
        <v>839</v>
      </c>
      <c r="F25" s="38" t="s">
        <v>373</v>
      </c>
      <c r="G25">
        <v>3</v>
      </c>
    </row>
    <row r="26" spans="1:7" ht="15" x14ac:dyDescent="0.25">
      <c r="A26" s="18" t="s">
        <v>22</v>
      </c>
      <c r="D26" s="38" t="s">
        <v>840</v>
      </c>
      <c r="F26" s="38" t="s">
        <v>374</v>
      </c>
      <c r="G26">
        <v>4</v>
      </c>
    </row>
    <row r="27" spans="1:7" ht="15" x14ac:dyDescent="0.25">
      <c r="A27" s="18" t="s">
        <v>20</v>
      </c>
      <c r="D27" s="38" t="s">
        <v>841</v>
      </c>
      <c r="F27" s="38" t="s">
        <v>375</v>
      </c>
      <c r="G27">
        <v>5</v>
      </c>
    </row>
    <row r="28" spans="1:7" ht="18.75" customHeight="1" x14ac:dyDescent="0.25">
      <c r="A28" s="18" t="s">
        <v>17</v>
      </c>
      <c r="D28" s="52" t="s">
        <v>7</v>
      </c>
      <c r="F28" s="27"/>
      <c r="G28" s="27"/>
    </row>
    <row r="29" spans="1:7" ht="15" x14ac:dyDescent="0.25">
      <c r="A29" s="18" t="s">
        <v>155</v>
      </c>
      <c r="F29" s="38" t="s">
        <v>161</v>
      </c>
      <c r="G29" t="s">
        <v>473</v>
      </c>
    </row>
    <row r="30" spans="1:7" ht="15" x14ac:dyDescent="0.25">
      <c r="A30" s="18" t="s">
        <v>9</v>
      </c>
      <c r="F30" s="38" t="s">
        <v>233</v>
      </c>
      <c r="G30">
        <v>1</v>
      </c>
    </row>
    <row r="31" spans="1:7" ht="15" x14ac:dyDescent="0.25">
      <c r="A31" s="18" t="s">
        <v>33</v>
      </c>
      <c r="F31" s="38" t="s">
        <v>164</v>
      </c>
      <c r="G31">
        <v>2</v>
      </c>
    </row>
    <row r="32" spans="1:7" ht="15" x14ac:dyDescent="0.25">
      <c r="A32" s="18" t="s">
        <v>26</v>
      </c>
      <c r="F32" s="38" t="s">
        <v>163</v>
      </c>
      <c r="G32">
        <v>3</v>
      </c>
    </row>
    <row r="33" spans="1:7" ht="15" x14ac:dyDescent="0.25">
      <c r="A33" s="18" t="s">
        <v>156</v>
      </c>
      <c r="F33" s="38" t="s">
        <v>234</v>
      </c>
      <c r="G33">
        <v>4</v>
      </c>
    </row>
    <row r="34" spans="1:7" ht="15" x14ac:dyDescent="0.25">
      <c r="A34" s="18" t="s">
        <v>25</v>
      </c>
      <c r="F34" s="38" t="s">
        <v>206</v>
      </c>
      <c r="G34">
        <v>5</v>
      </c>
    </row>
    <row r="35" spans="1:7" ht="15" x14ac:dyDescent="0.25">
      <c r="A35" s="18" t="s">
        <v>11</v>
      </c>
      <c r="F35" s="38" t="s">
        <v>205</v>
      </c>
      <c r="G35">
        <v>6</v>
      </c>
    </row>
    <row r="36" spans="1:7" ht="11.25" x14ac:dyDescent="0.25">
      <c r="A36" s="18" t="s">
        <v>15</v>
      </c>
    </row>
    <row r="37" spans="1:7" ht="15" x14ac:dyDescent="0.25">
      <c r="A37" s="18" t="s">
        <v>8</v>
      </c>
      <c r="F37" s="38" t="s">
        <v>67</v>
      </c>
      <c r="G37" s="38" t="s">
        <v>473</v>
      </c>
    </row>
    <row r="38" spans="1:7" ht="15" x14ac:dyDescent="0.25">
      <c r="A38" s="18" t="s">
        <v>27</v>
      </c>
      <c r="F38" s="38" t="s">
        <v>89</v>
      </c>
      <c r="G38">
        <v>1</v>
      </c>
    </row>
    <row r="39" spans="1:7" ht="15" x14ac:dyDescent="0.25">
      <c r="A39" s="18" t="s">
        <v>21</v>
      </c>
      <c r="F39" s="38" t="s">
        <v>110</v>
      </c>
      <c r="G39">
        <v>2</v>
      </c>
    </row>
    <row r="40" spans="1:7" ht="15" x14ac:dyDescent="0.25">
      <c r="A40" s="18" t="s">
        <v>14</v>
      </c>
      <c r="F40" s="38" t="s">
        <v>113</v>
      </c>
      <c r="G40">
        <v>3</v>
      </c>
    </row>
    <row r="41" spans="1:7" ht="15" x14ac:dyDescent="0.25">
      <c r="A41" s="18" t="s">
        <v>32</v>
      </c>
      <c r="F41" s="38" t="s">
        <v>115</v>
      </c>
      <c r="G41">
        <v>4</v>
      </c>
    </row>
    <row r="42" spans="1:7" ht="15" x14ac:dyDescent="0.25">
      <c r="A42" s="18" t="s">
        <v>31</v>
      </c>
      <c r="F42" s="38" t="s">
        <v>378</v>
      </c>
      <c r="G42">
        <v>5</v>
      </c>
    </row>
    <row r="43" spans="1:7" ht="15" x14ac:dyDescent="0.25">
      <c r="A43" s="18" t="s">
        <v>16</v>
      </c>
      <c r="F43" s="38" t="s">
        <v>476</v>
      </c>
      <c r="G43">
        <v>6</v>
      </c>
    </row>
    <row r="44" spans="1:7" ht="15" x14ac:dyDescent="0.25">
      <c r="A44" s="18" t="s">
        <v>157</v>
      </c>
      <c r="F44" s="38" t="s">
        <v>477</v>
      </c>
      <c r="G44">
        <v>7</v>
      </c>
    </row>
    <row r="45" spans="1:7" ht="15" x14ac:dyDescent="0.25">
      <c r="F45" s="38" t="s">
        <v>478</v>
      </c>
      <c r="G45">
        <v>8</v>
      </c>
    </row>
    <row r="46" spans="1:7" ht="15" x14ac:dyDescent="0.25">
      <c r="F46" s="38" t="s">
        <v>479</v>
      </c>
      <c r="G46">
        <v>9</v>
      </c>
    </row>
    <row r="47" spans="1:7" ht="15" x14ac:dyDescent="0.25">
      <c r="F47" s="38" t="s">
        <v>480</v>
      </c>
      <c r="G47">
        <v>10</v>
      </c>
    </row>
    <row r="48" spans="1:7" ht="15" x14ac:dyDescent="0.25">
      <c r="F48" s="38" t="s">
        <v>481</v>
      </c>
      <c r="G48">
        <v>11</v>
      </c>
    </row>
    <row r="49" spans="6:7" ht="11.25" x14ac:dyDescent="0.25"/>
    <row r="50" spans="6:7" ht="15" x14ac:dyDescent="0.25">
      <c r="F50" s="38" t="s">
        <v>482</v>
      </c>
      <c r="G50" s="38" t="s">
        <v>473</v>
      </c>
    </row>
    <row r="51" spans="6:7" ht="15" x14ac:dyDescent="0.25">
      <c r="F51" s="38" t="s">
        <v>438</v>
      </c>
      <c r="G51">
        <v>1</v>
      </c>
    </row>
    <row r="52" spans="6:7" ht="15" x14ac:dyDescent="0.25">
      <c r="F52" s="38" t="s">
        <v>483</v>
      </c>
      <c r="G52">
        <v>2</v>
      </c>
    </row>
    <row r="53" spans="6:7" ht="15" x14ac:dyDescent="0.25">
      <c r="F53" s="38" t="s">
        <v>327</v>
      </c>
      <c r="G53">
        <v>3</v>
      </c>
    </row>
    <row r="54" spans="6:7" ht="15" x14ac:dyDescent="0.25">
      <c r="F54" s="38" t="s">
        <v>2</v>
      </c>
      <c r="G54">
        <v>4</v>
      </c>
    </row>
    <row r="55" spans="6:7" ht="15" x14ac:dyDescent="0.25">
      <c r="F55" s="38" t="s">
        <v>484</v>
      </c>
      <c r="G55">
        <v>5</v>
      </c>
    </row>
    <row r="56" spans="6:7" ht="15" x14ac:dyDescent="0.25">
      <c r="F56" s="38" t="s">
        <v>114</v>
      </c>
      <c r="G56">
        <v>6</v>
      </c>
    </row>
    <row r="57" spans="6:7" ht="15" x14ac:dyDescent="0.25">
      <c r="F57" s="38" t="s">
        <v>7</v>
      </c>
      <c r="G57">
        <v>7</v>
      </c>
    </row>
    <row r="59" spans="6:7" ht="15" x14ac:dyDescent="0.25">
      <c r="F59" s="38" t="s">
        <v>187</v>
      </c>
      <c r="G59" t="s">
        <v>473</v>
      </c>
    </row>
    <row r="60" spans="6:7" ht="15" x14ac:dyDescent="0.25">
      <c r="F60" s="38" t="s">
        <v>199</v>
      </c>
      <c r="G60">
        <v>1</v>
      </c>
    </row>
    <row r="61" spans="6:7" ht="15" x14ac:dyDescent="0.25">
      <c r="F61" s="38" t="s">
        <v>196</v>
      </c>
      <c r="G61">
        <v>2</v>
      </c>
    </row>
    <row r="62" spans="6:7" ht="15" x14ac:dyDescent="0.25">
      <c r="F62" s="38" t="s">
        <v>370</v>
      </c>
      <c r="G62">
        <v>3</v>
      </c>
    </row>
    <row r="63" spans="6:7" ht="15" x14ac:dyDescent="0.25">
      <c r="F63" s="38" t="s">
        <v>369</v>
      </c>
      <c r="G63">
        <v>4</v>
      </c>
    </row>
    <row r="64" spans="6:7" ht="15" x14ac:dyDescent="0.25">
      <c r="F64" s="38" t="s">
        <v>207</v>
      </c>
      <c r="G64">
        <v>5</v>
      </c>
    </row>
    <row r="65" spans="6:7" ht="15" x14ac:dyDescent="0.25">
      <c r="F65" s="38" t="s">
        <v>217</v>
      </c>
      <c r="G65">
        <v>6</v>
      </c>
    </row>
  </sheetData>
  <sortState xmlns:xlrd2="http://schemas.microsoft.com/office/spreadsheetml/2017/richdata2" ref="F7:F16">
    <sortCondition ref="F7"/>
  </sortState>
  <phoneticPr fontId="13" type="noConversion"/>
  <dataValidations disablePrompts="1" count="7">
    <dataValidation type="list" allowBlank="1" showInputMessage="1" showErrorMessage="1" sqref="P2" xr:uid="{00000000-0002-0000-0000-000001000000}">
      <formula1>dd_coverage</formula1>
    </dataValidation>
    <dataValidation type="list" allowBlank="1" showInputMessage="1" showErrorMessage="1" sqref="O2" xr:uid="{00000000-0002-0000-0000-000002000000}">
      <formula1>dd_sfcrole</formula1>
    </dataValidation>
    <dataValidation type="list" allowBlank="1" showInputMessage="1" showErrorMessage="1" sqref="M2:N2" xr:uid="{00000000-0002-0000-0000-000003000000}">
      <formula1>dd_bocomrole</formula1>
    </dataValidation>
    <dataValidation type="list" allowBlank="1" showInputMessage="1" showErrorMessage="1" sqref="L2" xr:uid="{00000000-0002-0000-0000-000004000000}">
      <formula1>dd_BISL_ROLE</formula1>
    </dataValidation>
    <dataValidation type="list" allowBlank="1" showInputMessage="1" showErrorMessage="1" sqref="Q2" xr:uid="{00000000-0002-0000-0000-000005000000}">
      <formula1>"--,Left-lead,Lead"</formula1>
    </dataValidation>
    <dataValidation type="list" allowBlank="1" showInputMessage="1" showErrorMessage="1" sqref="R2" xr:uid="{00000000-0002-0000-0000-000006000000}">
      <formula1>"--,B&amp;D FOP,B&amp;D DvP,CCDC"</formula1>
    </dataValidation>
    <dataValidation type="list" allowBlank="1" showInputMessage="1" showErrorMessage="1" sqref="S2:T2" xr:uid="{00000000-0002-0000-0000-000007000000}">
      <formula1>"--,合名"</formula1>
    </dataValidation>
  </dataValidations>
  <pageMargins left="0.7" right="0.7" top="0.75" bottom="0.75" header="0.3" footer="0.3"/>
  <pageSetup orientation="portrait" r:id="rId1"/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E1E1E9"/>
  </sheetPr>
  <dimension ref="A1:CF28"/>
  <sheetViews>
    <sheetView tabSelected="1" topLeftCell="K1" zoomScale="85" zoomScaleNormal="85" workbookViewId="0">
      <selection activeCell="R13" sqref="R13"/>
    </sheetView>
  </sheetViews>
  <sheetFormatPr defaultColWidth="8.88671875" defaultRowHeight="18" customHeight="1" outlineLevelCol="1" x14ac:dyDescent="0.25"/>
  <cols>
    <col min="1" max="1" width="5.6640625" style="2" bestFit="1" customWidth="1"/>
    <col min="2" max="2" width="19.88671875" style="2" bestFit="1" customWidth="1"/>
    <col min="3" max="3" width="9.109375" style="2" customWidth="1"/>
    <col min="4" max="4" width="5.6640625" style="2" bestFit="1" customWidth="1"/>
    <col min="5" max="5" width="30" style="2" bestFit="1" customWidth="1"/>
    <col min="6" max="6" width="20.21875" style="2" bestFit="1" customWidth="1"/>
    <col min="7" max="7" width="14.109375" style="2" bestFit="1" customWidth="1"/>
    <col min="8" max="8" width="9.44140625" style="2" bestFit="1" customWidth="1"/>
    <col min="9" max="9" width="31.88671875" style="2" bestFit="1" customWidth="1"/>
    <col min="10" max="10" width="8.5546875" style="2" bestFit="1" customWidth="1"/>
    <col min="11" max="11" width="11.109375" style="2" bestFit="1" customWidth="1"/>
    <col min="12" max="12" width="7.77734375" style="2" bestFit="1" customWidth="1"/>
    <col min="13" max="13" width="10.5546875" style="2" bestFit="1" customWidth="1" outlineLevel="1"/>
    <col min="14" max="14" width="4.77734375" style="2" bestFit="1" customWidth="1" outlineLevel="1"/>
    <col min="15" max="15" width="10.5546875" style="2" bestFit="1" customWidth="1" outlineLevel="1"/>
    <col min="16" max="16" width="11.109375" style="2" bestFit="1" customWidth="1" outlineLevel="1"/>
    <col min="17" max="17" width="8.44140625" style="2" bestFit="1" customWidth="1" outlineLevel="1"/>
    <col min="18" max="18" width="51.21875" style="2" bestFit="1" customWidth="1" outlineLevel="1"/>
    <col min="19" max="19" width="8.21875" style="2" bestFit="1" customWidth="1" outlineLevel="1"/>
    <col min="20" max="20" width="8.5546875" style="2" bestFit="1" customWidth="1" outlineLevel="1"/>
    <col min="21" max="21" width="11.109375" style="2" bestFit="1" customWidth="1" outlineLevel="1"/>
    <col min="22" max="22" width="7.77734375" style="2" bestFit="1" customWidth="1" outlineLevel="1"/>
    <col min="23" max="23" width="17.77734375" style="2" bestFit="1" customWidth="1" outlineLevel="1"/>
    <col min="24" max="24" width="24.77734375" style="2" bestFit="1" customWidth="1" outlineLevel="1"/>
    <col min="25" max="25" width="15" style="2" bestFit="1" customWidth="1" outlineLevel="1"/>
    <col min="26" max="26" width="6.109375" style="2" bestFit="1" customWidth="1" outlineLevel="1"/>
    <col min="27" max="27" width="7.77734375" style="2" bestFit="1" customWidth="1" outlineLevel="1"/>
    <col min="28" max="28" width="14.5546875" style="2" bestFit="1" customWidth="1" outlineLevel="1"/>
    <col min="29" max="29" width="9.44140625" style="2" bestFit="1" customWidth="1" outlineLevel="1"/>
    <col min="30" max="30" width="6.109375" style="2" bestFit="1" customWidth="1" outlineLevel="1"/>
    <col min="31" max="31" width="8.88671875" style="2" bestFit="1" customWidth="1" outlineLevel="1"/>
    <col min="32" max="34" width="7.77734375" style="2" bestFit="1" customWidth="1" outlineLevel="1"/>
    <col min="35" max="35" width="80.88671875" style="2" customWidth="1" outlineLevel="1"/>
    <col min="36" max="37" width="9.44140625" style="2" bestFit="1" customWidth="1" outlineLevel="1"/>
    <col min="38" max="39" width="11.109375" style="2" bestFit="1" customWidth="1" outlineLevel="1"/>
    <col min="40" max="40" width="4.44140625" style="2" bestFit="1" customWidth="1" outlineLevel="1"/>
    <col min="41" max="41" width="7.77734375" style="2" bestFit="1" customWidth="1" outlineLevel="1"/>
    <col min="42" max="42" width="11.109375" style="2" bestFit="1" customWidth="1" outlineLevel="1"/>
    <col min="43" max="43" width="7.77734375" style="2" bestFit="1" customWidth="1" outlineLevel="1"/>
    <col min="44" max="44" width="11.109375" style="2" bestFit="1" customWidth="1" outlineLevel="1"/>
    <col min="45" max="46" width="9.44140625" style="2" bestFit="1" customWidth="1" outlineLevel="1"/>
    <col min="47" max="47" width="80.88671875" style="2" bestFit="1" customWidth="1" outlineLevel="1"/>
    <col min="48" max="48" width="8.5546875" style="2" bestFit="1" customWidth="1" outlineLevel="1"/>
    <col min="49" max="49" width="11.109375" style="2" bestFit="1" customWidth="1" outlineLevel="1"/>
    <col min="50" max="50" width="7.77734375" style="2" bestFit="1" customWidth="1" outlineLevel="1"/>
    <col min="51" max="51" width="8.44140625" style="2" bestFit="1" customWidth="1" outlineLevel="1"/>
    <col min="52" max="52" width="9.44140625" style="2" bestFit="1" customWidth="1" outlineLevel="1"/>
    <col min="53" max="53" width="11.109375" style="2" bestFit="1" customWidth="1" outlineLevel="1"/>
    <col min="54" max="54" width="7.77734375" style="2" bestFit="1" customWidth="1" outlineLevel="1"/>
    <col min="55" max="55" width="9.44140625" style="2" bestFit="1" customWidth="1" outlineLevel="1"/>
    <col min="56" max="56" width="43.5546875" style="2" bestFit="1" customWidth="1" outlineLevel="1"/>
    <col min="57" max="57" width="28.21875" style="2" bestFit="1" customWidth="1" outlineLevel="1"/>
    <col min="58" max="58" width="9.44140625" style="2" bestFit="1" customWidth="1" outlineLevel="1"/>
    <col min="59" max="59" width="8.77734375" style="2" bestFit="1" customWidth="1" outlineLevel="1"/>
    <col min="60" max="60" width="8.44140625" style="2" bestFit="1" customWidth="1" outlineLevel="1"/>
    <col min="61" max="61" width="19.109375" style="2" bestFit="1" customWidth="1" outlineLevel="1"/>
    <col min="62" max="63" width="80.88671875" style="2" bestFit="1" customWidth="1" outlineLevel="1"/>
    <col min="64" max="64" width="9.44140625" style="2" bestFit="1" customWidth="1" outlineLevel="1"/>
    <col min="65" max="70" width="7.77734375" style="2" bestFit="1" customWidth="1" outlineLevel="1"/>
    <col min="71" max="71" width="18" style="2" bestFit="1" customWidth="1" outlineLevel="1"/>
    <col min="72" max="72" width="4.44140625" style="2" bestFit="1" customWidth="1" outlineLevel="1"/>
    <col min="73" max="73" width="9.44140625" style="2" bestFit="1" customWidth="1" outlineLevel="1"/>
    <col min="74" max="74" width="6.109375" style="2" bestFit="1" customWidth="1" outlineLevel="1"/>
    <col min="75" max="76" width="7.109375" style="2" bestFit="1" customWidth="1" outlineLevel="1"/>
    <col min="77" max="77" width="9.44140625" style="2" bestFit="1" customWidth="1"/>
    <col min="78" max="78" width="14.44140625" style="2" bestFit="1" customWidth="1"/>
    <col min="79" max="79" width="16.77734375" style="2" bestFit="1" customWidth="1"/>
    <col min="80" max="80" width="7.77734375" style="2" bestFit="1" customWidth="1"/>
    <col min="81" max="81" width="8.77734375" style="2" bestFit="1" customWidth="1"/>
    <col min="82" max="82" width="8.88671875" style="2" bestFit="1" customWidth="1"/>
    <col min="83" max="83" width="20.21875" style="2" bestFit="1" customWidth="1"/>
    <col min="84" max="84" width="8.88671875" style="2" bestFit="1" customWidth="1"/>
    <col min="85" max="85" width="10.5546875" style="2" bestFit="1" customWidth="1"/>
    <col min="86" max="87" width="10.33203125" style="2" bestFit="1" customWidth="1"/>
    <col min="88" max="88" width="10.5546875" style="2" bestFit="1" customWidth="1"/>
    <col min="89" max="89" width="19.5546875" style="2" bestFit="1" customWidth="1"/>
    <col min="90" max="90" width="10.5546875" style="2" bestFit="1" customWidth="1"/>
    <col min="91" max="91" width="10.33203125" style="2" bestFit="1" customWidth="1"/>
    <col min="92" max="93" width="10.5546875" style="2" bestFit="1" customWidth="1"/>
    <col min="94" max="94" width="16.6640625" style="2" bestFit="1" customWidth="1"/>
    <col min="95" max="95" width="7.6640625" style="2" bestFit="1" customWidth="1"/>
    <col min="96" max="97" width="10.44140625" style="2" bestFit="1" customWidth="1"/>
    <col min="98" max="98" width="17.33203125" style="2" bestFit="1" customWidth="1"/>
    <col min="99" max="100" width="10.109375" style="2" bestFit="1" customWidth="1"/>
    <col min="101" max="102" width="12.44140625" style="2" bestFit="1" customWidth="1"/>
    <col min="103" max="103" width="8.6640625" style="2" bestFit="1" customWidth="1"/>
    <col min="104" max="106" width="8.6640625" style="2" customWidth="1"/>
    <col min="107" max="107" width="9.21875" style="2" customWidth="1"/>
    <col min="108" max="108" width="28.6640625" style="2" customWidth="1"/>
    <col min="109" max="109" width="9" style="2" customWidth="1"/>
    <col min="110" max="110" width="11.6640625" style="2" customWidth="1"/>
    <col min="111" max="112" width="9.21875" style="2" customWidth="1"/>
    <col min="113" max="113" width="10.44140625" style="2" customWidth="1"/>
    <col min="114" max="114" width="11.6640625" style="2" customWidth="1"/>
    <col min="115" max="115" width="9.21875" style="2" customWidth="1"/>
    <col min="116" max="116" width="10.44140625" style="2" customWidth="1"/>
    <col min="117" max="117" width="20.109375" style="2" customWidth="1"/>
    <col min="118" max="118" width="37.77734375" style="2" customWidth="1"/>
    <col min="119" max="119" width="43.21875" style="2" customWidth="1"/>
    <col min="120" max="120" width="9.21875" style="2" customWidth="1"/>
    <col min="121" max="121" width="13.77734375" style="2" customWidth="1"/>
    <col min="122" max="122" width="37.109375" style="2" customWidth="1"/>
    <col min="123" max="123" width="10.44140625" style="2" customWidth="1"/>
    <col min="124" max="129" width="9.21875" style="2" customWidth="1"/>
    <col min="130" max="130" width="12.33203125" style="2" bestFit="1" customWidth="1"/>
    <col min="131" max="131" width="11.109375" style="2" customWidth="1"/>
    <col min="132" max="132" width="11.6640625" style="2" bestFit="1" customWidth="1"/>
    <col min="133" max="133" width="11.6640625" style="2" customWidth="1"/>
    <col min="134" max="134" width="4.77734375" style="2" bestFit="1" customWidth="1"/>
    <col min="135" max="135" width="7.44140625" style="2" bestFit="1" customWidth="1"/>
    <col min="136" max="16384" width="8.88671875" style="2"/>
  </cols>
  <sheetData>
    <row r="1" spans="1:84" ht="66" customHeight="1" x14ac:dyDescent="0.25">
      <c r="A1" s="50" t="s">
        <v>224</v>
      </c>
      <c r="B1" s="7"/>
      <c r="I1" s="60" t="s">
        <v>185</v>
      </c>
      <c r="M1" s="49">
        <v>44951</v>
      </c>
    </row>
    <row r="2" spans="1:84" ht="66" customHeight="1" x14ac:dyDescent="0.25">
      <c r="A2" s="51" t="s">
        <v>112</v>
      </c>
      <c r="I2" s="25" t="s">
        <v>6</v>
      </c>
    </row>
    <row r="3" spans="1:84" ht="23.25" customHeight="1" x14ac:dyDescent="0.3">
      <c r="B3" s="96" t="s">
        <v>364</v>
      </c>
      <c r="C3" s="61"/>
      <c r="D3" s="94"/>
      <c r="G3" s="26"/>
    </row>
    <row r="4" spans="1:84" ht="23.25" customHeight="1" x14ac:dyDescent="0.25">
      <c r="B4" s="97" t="s">
        <v>311</v>
      </c>
      <c r="C4" s="62">
        <f>MAX(Table_DLDconso[Index])</f>
        <v>14</v>
      </c>
      <c r="D4" s="94"/>
    </row>
    <row r="5" spans="1:84" ht="23.25" customHeight="1" x14ac:dyDescent="0.25">
      <c r="B5" s="97" t="s">
        <v>312</v>
      </c>
      <c r="C5" s="62">
        <f>MAX(BBGcorp[Index])</f>
        <v>17</v>
      </c>
      <c r="D5" s="95">
        <f>$C$5-C$4</f>
        <v>3</v>
      </c>
    </row>
    <row r="6" spans="1:84" ht="23.25" customHeight="1" x14ac:dyDescent="0.25">
      <c r="B6" s="97" t="s">
        <v>313</v>
      </c>
      <c r="C6" s="63">
        <f>MAX(WST[定价日])</f>
        <v>45154</v>
      </c>
      <c r="D6" s="95">
        <f>WEEKNUM(C$6)-WEEKNUM(MAX(Table_DLDconso[定价日]))</f>
        <v>-2</v>
      </c>
    </row>
    <row r="7" spans="1:84" ht="23.25" customHeight="1" x14ac:dyDescent="0.25">
      <c r="B7" s="98" t="s">
        <v>314</v>
      </c>
      <c r="C7" s="64">
        <f>MAX(台账23[台账序号])</f>
        <v>0</v>
      </c>
      <c r="D7" s="94"/>
    </row>
    <row r="8" spans="1:84" ht="14.25" customHeight="1" x14ac:dyDescent="0.25"/>
    <row r="9" spans="1:84" ht="11.25" x14ac:dyDescent="0.25"/>
    <row r="10" spans="1:84" ht="15" x14ac:dyDescent="0.25">
      <c r="B10" t="s">
        <v>365</v>
      </c>
      <c r="D10" t="s">
        <v>90</v>
      </c>
      <c r="E10" s="38" t="s">
        <v>98</v>
      </c>
      <c r="F10" t="s">
        <v>280</v>
      </c>
      <c r="G10" s="38" t="s">
        <v>50</v>
      </c>
      <c r="H10" s="38" t="s">
        <v>51</v>
      </c>
      <c r="I10" s="38" t="s">
        <v>49</v>
      </c>
      <c r="J10" s="38" t="s">
        <v>102</v>
      </c>
      <c r="K10" s="38" t="s">
        <v>103</v>
      </c>
      <c r="L10" s="38" t="s">
        <v>52</v>
      </c>
      <c r="M10" s="38" t="s">
        <v>60</v>
      </c>
      <c r="N10" s="38" t="s">
        <v>67</v>
      </c>
      <c r="O10" s="38" t="s">
        <v>61</v>
      </c>
      <c r="P10" t="s">
        <v>54</v>
      </c>
      <c r="Q10" s="38" t="s">
        <v>55</v>
      </c>
      <c r="R10" s="38" t="s">
        <v>104</v>
      </c>
      <c r="S10" t="s">
        <v>227</v>
      </c>
      <c r="T10" t="s">
        <v>228</v>
      </c>
      <c r="U10" s="38" t="s">
        <v>57</v>
      </c>
      <c r="V10" t="s">
        <v>219</v>
      </c>
      <c r="W10" t="s">
        <v>281</v>
      </c>
      <c r="X10" s="38" t="s">
        <v>58</v>
      </c>
      <c r="Y10" s="38" t="s">
        <v>59</v>
      </c>
      <c r="Z10" s="38" t="s">
        <v>62</v>
      </c>
      <c r="AA10" s="38" t="s">
        <v>63</v>
      </c>
      <c r="AB10" s="38" t="s">
        <v>99</v>
      </c>
      <c r="AC10" s="38" t="s">
        <v>47</v>
      </c>
      <c r="AD10" s="38" t="s">
        <v>48</v>
      </c>
      <c r="AE10" s="38" t="s">
        <v>144</v>
      </c>
      <c r="AF10" s="38" t="s">
        <v>64</v>
      </c>
      <c r="AG10" s="38" t="s">
        <v>65</v>
      </c>
      <c r="AH10" s="38" t="s">
        <v>66</v>
      </c>
      <c r="AI10" s="38" t="s">
        <v>68</v>
      </c>
      <c r="AJ10" s="38" t="s">
        <v>46</v>
      </c>
      <c r="AK10" s="38" t="s">
        <v>100</v>
      </c>
      <c r="AL10" s="38" t="s">
        <v>192</v>
      </c>
      <c r="AM10" s="38" t="s">
        <v>53</v>
      </c>
      <c r="AN10" s="38" t="s">
        <v>45</v>
      </c>
      <c r="AO10" t="s">
        <v>244</v>
      </c>
      <c r="AP10" s="38" t="s">
        <v>44</v>
      </c>
      <c r="AQ10" s="38" t="s">
        <v>101</v>
      </c>
      <c r="AR10" t="s">
        <v>245</v>
      </c>
      <c r="AS10" t="s">
        <v>246</v>
      </c>
      <c r="AT10" t="s">
        <v>247</v>
      </c>
      <c r="AU10" t="s">
        <v>248</v>
      </c>
      <c r="AV10" s="38" t="s">
        <v>69</v>
      </c>
      <c r="AW10" s="38" t="s">
        <v>105</v>
      </c>
      <c r="AX10" s="38" t="s">
        <v>106</v>
      </c>
      <c r="AY10" s="38" t="s">
        <v>70</v>
      </c>
      <c r="AZ10" s="38" t="s">
        <v>71</v>
      </c>
      <c r="BA10" s="38" t="s">
        <v>107</v>
      </c>
      <c r="BB10" s="38" t="s">
        <v>72</v>
      </c>
      <c r="BC10" s="38" t="s">
        <v>73</v>
      </c>
      <c r="BD10" s="38" t="s">
        <v>74</v>
      </c>
      <c r="BE10" s="38" t="s">
        <v>75</v>
      </c>
      <c r="BF10" s="38" t="s">
        <v>76</v>
      </c>
      <c r="BG10" t="s">
        <v>250</v>
      </c>
      <c r="BH10" s="38" t="s">
        <v>77</v>
      </c>
      <c r="BI10" s="38" t="s">
        <v>108</v>
      </c>
      <c r="BJ10" s="38" t="s">
        <v>78</v>
      </c>
      <c r="BK10" t="s">
        <v>249</v>
      </c>
      <c r="BL10" s="38" t="s">
        <v>79</v>
      </c>
      <c r="BM10" s="38" t="s">
        <v>80</v>
      </c>
      <c r="BN10" s="38" t="s">
        <v>81</v>
      </c>
      <c r="BO10" s="38" t="s">
        <v>82</v>
      </c>
      <c r="BP10" s="38" t="s">
        <v>83</v>
      </c>
      <c r="BQ10" s="38" t="s">
        <v>109</v>
      </c>
      <c r="BR10" s="38" t="s">
        <v>84</v>
      </c>
      <c r="BS10" s="38" t="s">
        <v>85</v>
      </c>
      <c r="BT10" t="s">
        <v>93</v>
      </c>
      <c r="BU10" t="s">
        <v>824</v>
      </c>
      <c r="BV10" t="s">
        <v>189</v>
      </c>
      <c r="BW10" t="s">
        <v>190</v>
      </c>
      <c r="BX10" t="s">
        <v>232</v>
      </c>
      <c r="BY10" t="s">
        <v>261</v>
      </c>
      <c r="BZ10" t="s">
        <v>376</v>
      </c>
      <c r="CA10" t="s">
        <v>158</v>
      </c>
      <c r="CB10" t="s">
        <v>123</v>
      </c>
      <c r="CC10" t="s">
        <v>147</v>
      </c>
      <c r="CD10" t="s">
        <v>193</v>
      </c>
      <c r="CE10" s="38" t="s">
        <v>152</v>
      </c>
      <c r="CF10" t="s">
        <v>191</v>
      </c>
    </row>
    <row r="11" spans="1:84" ht="15" x14ac:dyDescent="0.25">
      <c r="B11" t="s">
        <v>884</v>
      </c>
      <c r="D11">
        <v>1</v>
      </c>
      <c r="E11" s="38" t="s">
        <v>495</v>
      </c>
      <c r="F11" s="129" t="s">
        <v>496</v>
      </c>
      <c r="G11" s="38" t="s">
        <v>497</v>
      </c>
      <c r="H11" s="126">
        <v>45169</v>
      </c>
      <c r="I11" s="130" t="s">
        <v>498</v>
      </c>
      <c r="J11" s="130" t="s">
        <v>137</v>
      </c>
      <c r="K11" s="130" t="s">
        <v>137</v>
      </c>
      <c r="L11" s="130" t="s">
        <v>137</v>
      </c>
      <c r="M11">
        <v>5</v>
      </c>
      <c r="N11" s="38" t="s">
        <v>89</v>
      </c>
      <c r="O11" s="130" t="s">
        <v>218</v>
      </c>
      <c r="P11">
        <v>5.9</v>
      </c>
      <c r="Q11" s="127">
        <v>46270</v>
      </c>
      <c r="R11" s="130" t="s">
        <v>499</v>
      </c>
      <c r="S11" t="s">
        <v>500</v>
      </c>
      <c r="T11" t="s">
        <v>501</v>
      </c>
      <c r="U11">
        <v>10</v>
      </c>
      <c r="V11" s="129" t="s">
        <v>220</v>
      </c>
      <c r="W11" s="129" t="s">
        <v>268</v>
      </c>
      <c r="X11" s="38" t="s">
        <v>96</v>
      </c>
      <c r="Y11" s="130" t="s">
        <v>138</v>
      </c>
      <c r="Z11">
        <v>100</v>
      </c>
      <c r="AA11" s="38"/>
      <c r="AB11" s="130" t="s">
        <v>381</v>
      </c>
      <c r="AC11" s="130" t="s">
        <v>502</v>
      </c>
      <c r="AD11" s="38"/>
      <c r="AE11" s="38"/>
      <c r="AF11" s="38"/>
      <c r="AG11" s="38"/>
      <c r="AH11" s="38"/>
      <c r="AI11" s="130" t="s">
        <v>503</v>
      </c>
      <c r="AJ11" s="130" t="s">
        <v>504</v>
      </c>
      <c r="AK11" s="38" t="s">
        <v>505</v>
      </c>
      <c r="AL11" s="130" t="s">
        <v>137</v>
      </c>
      <c r="AM11" s="38" t="s">
        <v>283</v>
      </c>
      <c r="AN11" s="130" t="s">
        <v>1</v>
      </c>
      <c r="AO11" s="129" t="s">
        <v>380</v>
      </c>
      <c r="AP11" s="130" t="s">
        <v>136</v>
      </c>
      <c r="AQ11" s="130" t="s">
        <v>165</v>
      </c>
      <c r="AR11"/>
      <c r="AS11" t="s">
        <v>96</v>
      </c>
      <c r="AT11" t="s">
        <v>96</v>
      </c>
      <c r="AU11" t="s">
        <v>506</v>
      </c>
      <c r="AV11" s="38" t="s">
        <v>507</v>
      </c>
      <c r="AW11">
        <v>1000</v>
      </c>
      <c r="AX11">
        <v>5</v>
      </c>
      <c r="AY11" s="127">
        <v>45174</v>
      </c>
      <c r="AZ11" s="127"/>
      <c r="BA11">
        <v>5.9</v>
      </c>
      <c r="BB11" s="38" t="s">
        <v>96</v>
      </c>
      <c r="BC11" s="127">
        <v>45356</v>
      </c>
      <c r="BD11" s="38" t="s">
        <v>495</v>
      </c>
      <c r="BE11" s="38" t="s">
        <v>96</v>
      </c>
      <c r="BF11" s="127">
        <v>45174</v>
      </c>
      <c r="BG11" t="s">
        <v>501</v>
      </c>
      <c r="BH11" s="127">
        <v>45174</v>
      </c>
      <c r="BI11" s="130" t="s">
        <v>330</v>
      </c>
      <c r="BJ11" s="38" t="s">
        <v>508</v>
      </c>
      <c r="BK11" t="s">
        <v>508</v>
      </c>
      <c r="BL11" s="130" t="s">
        <v>139</v>
      </c>
      <c r="BM11" s="130" t="s">
        <v>139</v>
      </c>
      <c r="BN11" s="130" t="s">
        <v>140</v>
      </c>
      <c r="BO11" s="130" t="s">
        <v>141</v>
      </c>
      <c r="BP11" s="130" t="s">
        <v>142</v>
      </c>
      <c r="BQ11" s="38" t="s">
        <v>96</v>
      </c>
      <c r="BR11" s="130" t="s">
        <v>143</v>
      </c>
      <c r="BS11" s="38" t="s">
        <v>96</v>
      </c>
      <c r="BT11" t="s">
        <v>8</v>
      </c>
      <c r="BU11" s="56"/>
      <c r="BV11">
        <v>5</v>
      </c>
      <c r="BW11">
        <v>36.414999999999999</v>
      </c>
      <c r="BX11">
        <v>39.21</v>
      </c>
      <c r="BY11" t="s">
        <v>316</v>
      </c>
      <c r="BZ11" t="s">
        <v>7</v>
      </c>
      <c r="CA11"/>
      <c r="CB11"/>
      <c r="CC11" t="s">
        <v>87</v>
      </c>
      <c r="CD11" t="s">
        <v>686</v>
      </c>
      <c r="CE11" t="s">
        <v>509</v>
      </c>
      <c r="CF11" t="s">
        <v>7</v>
      </c>
    </row>
    <row r="12" spans="1:84" ht="15" x14ac:dyDescent="0.25">
      <c r="B12" t="s">
        <v>832</v>
      </c>
      <c r="D12">
        <v>2</v>
      </c>
      <c r="E12" s="38" t="s">
        <v>510</v>
      </c>
      <c r="F12" s="129" t="s">
        <v>511</v>
      </c>
      <c r="G12" s="38" t="s">
        <v>512</v>
      </c>
      <c r="H12" s="126">
        <v>45169</v>
      </c>
      <c r="I12" s="130" t="s">
        <v>513</v>
      </c>
      <c r="J12" s="130" t="s">
        <v>137</v>
      </c>
      <c r="K12" s="130" t="s">
        <v>137</v>
      </c>
      <c r="L12" s="130" t="s">
        <v>137</v>
      </c>
      <c r="M12">
        <v>10</v>
      </c>
      <c r="N12" s="38" t="s">
        <v>110</v>
      </c>
      <c r="O12" s="130" t="s">
        <v>514</v>
      </c>
      <c r="P12">
        <v>2.4</v>
      </c>
      <c r="Q12" s="127">
        <v>45907</v>
      </c>
      <c r="R12" s="130" t="s">
        <v>323</v>
      </c>
      <c r="S12" t="s">
        <v>96</v>
      </c>
      <c r="T12" t="s">
        <v>96</v>
      </c>
      <c r="U12"/>
      <c r="V12" s="129" t="s">
        <v>220</v>
      </c>
      <c r="W12" s="129" t="s">
        <v>268</v>
      </c>
      <c r="X12" s="38" t="s">
        <v>96</v>
      </c>
      <c r="Y12" s="130" t="s">
        <v>138</v>
      </c>
      <c r="Z12">
        <v>100</v>
      </c>
      <c r="AA12" s="38"/>
      <c r="AB12" s="130" t="s">
        <v>276</v>
      </c>
      <c r="AC12" s="130" t="s">
        <v>515</v>
      </c>
      <c r="AD12" s="38"/>
      <c r="AE12" s="38"/>
      <c r="AF12" s="38"/>
      <c r="AG12" s="38"/>
      <c r="AH12" s="38"/>
      <c r="AI12" s="130" t="s">
        <v>516</v>
      </c>
      <c r="AJ12" s="130" t="s">
        <v>504</v>
      </c>
      <c r="AK12" s="38" t="s">
        <v>37</v>
      </c>
      <c r="AL12" s="130" t="s">
        <v>137</v>
      </c>
      <c r="AM12" s="38" t="s">
        <v>96</v>
      </c>
      <c r="AN12" s="130" t="s">
        <v>2</v>
      </c>
      <c r="AO12" s="129" t="s">
        <v>517</v>
      </c>
      <c r="AP12" s="130" t="s">
        <v>518</v>
      </c>
      <c r="AQ12" s="130" t="s">
        <v>86</v>
      </c>
      <c r="AR12"/>
      <c r="AS12" t="s">
        <v>96</v>
      </c>
      <c r="AT12" t="s">
        <v>96</v>
      </c>
      <c r="AU12"/>
      <c r="AV12" s="38" t="s">
        <v>519</v>
      </c>
      <c r="AW12">
        <v>10000</v>
      </c>
      <c r="AX12">
        <v>10</v>
      </c>
      <c r="AY12" s="127">
        <v>45176</v>
      </c>
      <c r="AZ12" s="127"/>
      <c r="BA12">
        <v>2.4</v>
      </c>
      <c r="BB12" s="38" t="s">
        <v>96</v>
      </c>
      <c r="BC12" s="127">
        <v>45358</v>
      </c>
      <c r="BD12" s="38" t="s">
        <v>520</v>
      </c>
      <c r="BE12" s="38" t="s">
        <v>96</v>
      </c>
      <c r="BF12" s="127">
        <v>45176</v>
      </c>
      <c r="BG12"/>
      <c r="BH12" s="127">
        <v>45176</v>
      </c>
      <c r="BI12" s="130" t="s">
        <v>96</v>
      </c>
      <c r="BJ12" s="38" t="s">
        <v>521</v>
      </c>
      <c r="BK12" t="s">
        <v>522</v>
      </c>
      <c r="BL12" s="130" t="s">
        <v>139</v>
      </c>
      <c r="BM12" s="130" t="s">
        <v>139</v>
      </c>
      <c r="BN12" s="130" t="s">
        <v>140</v>
      </c>
      <c r="BO12" s="130" t="s">
        <v>141</v>
      </c>
      <c r="BP12" s="130" t="s">
        <v>523</v>
      </c>
      <c r="BQ12" s="38" t="s">
        <v>96</v>
      </c>
      <c r="BR12" s="130" t="s">
        <v>143</v>
      </c>
      <c r="BS12" s="38" t="s">
        <v>96</v>
      </c>
      <c r="BT12" t="s">
        <v>18</v>
      </c>
      <c r="BU12" s="56"/>
      <c r="BV12">
        <v>1.37</v>
      </c>
      <c r="BW12">
        <v>10</v>
      </c>
      <c r="BX12">
        <v>10.77</v>
      </c>
      <c r="BY12" t="s">
        <v>316</v>
      </c>
      <c r="BZ12" t="s">
        <v>7</v>
      </c>
      <c r="CA12"/>
      <c r="CB12"/>
      <c r="CC12" t="s">
        <v>87</v>
      </c>
      <c r="CD12" t="s">
        <v>87</v>
      </c>
      <c r="CE12" t="s">
        <v>524</v>
      </c>
      <c r="CF12" t="s">
        <v>7</v>
      </c>
    </row>
    <row r="13" spans="1:84" ht="15" x14ac:dyDescent="0.25">
      <c r="B13"/>
      <c r="D13">
        <v>3</v>
      </c>
      <c r="E13" s="38" t="s">
        <v>510</v>
      </c>
      <c r="F13" s="129" t="s">
        <v>525</v>
      </c>
      <c r="G13" s="38" t="s">
        <v>526</v>
      </c>
      <c r="H13" s="126">
        <v>45169</v>
      </c>
      <c r="I13" s="130" t="s">
        <v>527</v>
      </c>
      <c r="J13" s="130" t="s">
        <v>137</v>
      </c>
      <c r="K13" s="130" t="s">
        <v>137</v>
      </c>
      <c r="L13" s="130" t="s">
        <v>137</v>
      </c>
      <c r="M13">
        <v>10</v>
      </c>
      <c r="N13" s="38" t="s">
        <v>89</v>
      </c>
      <c r="O13" s="130" t="s">
        <v>218</v>
      </c>
      <c r="P13">
        <v>2.5499999999999998</v>
      </c>
      <c r="Q13" s="127">
        <v>46272</v>
      </c>
      <c r="R13" s="130" t="s">
        <v>323</v>
      </c>
      <c r="S13" t="s">
        <v>96</v>
      </c>
      <c r="T13" t="s">
        <v>96</v>
      </c>
      <c r="U13"/>
      <c r="V13" s="129" t="s">
        <v>220</v>
      </c>
      <c r="W13" s="129" t="s">
        <v>268</v>
      </c>
      <c r="X13" s="38" t="s">
        <v>96</v>
      </c>
      <c r="Y13" s="130" t="s">
        <v>138</v>
      </c>
      <c r="Z13">
        <v>100</v>
      </c>
      <c r="AA13" s="38"/>
      <c r="AB13" s="130" t="s">
        <v>276</v>
      </c>
      <c r="AC13" s="130" t="s">
        <v>515</v>
      </c>
      <c r="AD13" s="38"/>
      <c r="AE13" s="38"/>
      <c r="AF13" s="38"/>
      <c r="AG13" s="38"/>
      <c r="AH13" s="38"/>
      <c r="AI13" s="130" t="s">
        <v>516</v>
      </c>
      <c r="AJ13" s="130" t="s">
        <v>504</v>
      </c>
      <c r="AK13" s="38" t="s">
        <v>37</v>
      </c>
      <c r="AL13" s="130" t="s">
        <v>137</v>
      </c>
      <c r="AM13" s="38" t="s">
        <v>96</v>
      </c>
      <c r="AN13" s="130" t="s">
        <v>2</v>
      </c>
      <c r="AO13" s="129" t="s">
        <v>282</v>
      </c>
      <c r="AP13" s="130" t="s">
        <v>518</v>
      </c>
      <c r="AQ13" s="130" t="s">
        <v>86</v>
      </c>
      <c r="AR13"/>
      <c r="AS13" t="s">
        <v>96</v>
      </c>
      <c r="AT13" t="s">
        <v>96</v>
      </c>
      <c r="AU13"/>
      <c r="AV13" s="38" t="s">
        <v>519</v>
      </c>
      <c r="AW13">
        <v>10000</v>
      </c>
      <c r="AX13">
        <v>10</v>
      </c>
      <c r="AY13" s="127">
        <v>45176</v>
      </c>
      <c r="AZ13" s="127"/>
      <c r="BA13">
        <v>2.5499999999999998</v>
      </c>
      <c r="BB13" s="38" t="s">
        <v>96</v>
      </c>
      <c r="BC13" s="127">
        <v>45358</v>
      </c>
      <c r="BD13" s="38" t="s">
        <v>520</v>
      </c>
      <c r="BE13" s="38" t="s">
        <v>96</v>
      </c>
      <c r="BF13" s="127">
        <v>45176</v>
      </c>
      <c r="BG13"/>
      <c r="BH13" s="127">
        <v>45176</v>
      </c>
      <c r="BI13" s="130" t="s">
        <v>96</v>
      </c>
      <c r="BJ13" s="38" t="s">
        <v>521</v>
      </c>
      <c r="BK13" t="s">
        <v>522</v>
      </c>
      <c r="BL13" s="130" t="s">
        <v>139</v>
      </c>
      <c r="BM13" s="130" t="s">
        <v>139</v>
      </c>
      <c r="BN13" s="130" t="s">
        <v>140</v>
      </c>
      <c r="BO13" s="130" t="s">
        <v>141</v>
      </c>
      <c r="BP13" s="130" t="s">
        <v>523</v>
      </c>
      <c r="BQ13" s="38" t="s">
        <v>96</v>
      </c>
      <c r="BR13" s="130" t="s">
        <v>143</v>
      </c>
      <c r="BS13" s="38" t="s">
        <v>96</v>
      </c>
      <c r="BT13" t="s">
        <v>18</v>
      </c>
      <c r="BU13" s="56"/>
      <c r="BV13">
        <v>10</v>
      </c>
      <c r="BW13">
        <v>72.83</v>
      </c>
      <c r="BX13">
        <v>78.42</v>
      </c>
      <c r="BY13" t="s">
        <v>316</v>
      </c>
      <c r="BZ13" t="s">
        <v>7</v>
      </c>
      <c r="CA13"/>
      <c r="CB13"/>
      <c r="CC13" t="s">
        <v>87</v>
      </c>
      <c r="CD13" t="s">
        <v>87</v>
      </c>
      <c r="CE13" t="s">
        <v>528</v>
      </c>
      <c r="CF13" t="s">
        <v>7</v>
      </c>
    </row>
    <row r="14" spans="1:84" ht="15" x14ac:dyDescent="0.25">
      <c r="B14" t="s">
        <v>366</v>
      </c>
      <c r="D14">
        <v>4</v>
      </c>
      <c r="E14" s="38" t="s">
        <v>529</v>
      </c>
      <c r="F14" s="129" t="s">
        <v>530</v>
      </c>
      <c r="G14" s="38" t="s">
        <v>531</v>
      </c>
      <c r="H14" s="126">
        <v>45169</v>
      </c>
      <c r="I14" s="130" t="s">
        <v>532</v>
      </c>
      <c r="J14" s="130" t="s">
        <v>137</v>
      </c>
      <c r="K14" s="130" t="s">
        <v>137</v>
      </c>
      <c r="L14" s="130" t="s">
        <v>137</v>
      </c>
      <c r="M14">
        <v>2</v>
      </c>
      <c r="N14" s="38" t="s">
        <v>110</v>
      </c>
      <c r="O14" s="130" t="s">
        <v>218</v>
      </c>
      <c r="P14">
        <v>4.8</v>
      </c>
      <c r="Q14" s="127">
        <v>46270</v>
      </c>
      <c r="R14" s="130" t="s">
        <v>114</v>
      </c>
      <c r="S14" t="s">
        <v>96</v>
      </c>
      <c r="T14" t="s">
        <v>440</v>
      </c>
      <c r="U14"/>
      <c r="V14" s="129" t="s">
        <v>220</v>
      </c>
      <c r="W14" s="129" t="s">
        <v>269</v>
      </c>
      <c r="X14" s="38" t="s">
        <v>533</v>
      </c>
      <c r="Y14" s="130" t="s">
        <v>138</v>
      </c>
      <c r="Z14">
        <v>100</v>
      </c>
      <c r="AA14" s="38"/>
      <c r="AB14" s="130" t="s">
        <v>329</v>
      </c>
      <c r="AC14" s="130" t="s">
        <v>382</v>
      </c>
      <c r="AD14" s="38"/>
      <c r="AE14" s="38"/>
      <c r="AF14" s="38"/>
      <c r="AG14" s="38"/>
      <c r="AH14" s="38"/>
      <c r="AI14" s="130" t="s">
        <v>534</v>
      </c>
      <c r="AJ14" s="130" t="s">
        <v>275</v>
      </c>
      <c r="AK14" s="38" t="s">
        <v>96</v>
      </c>
      <c r="AL14" s="130" t="s">
        <v>137</v>
      </c>
      <c r="AM14" s="38" t="s">
        <v>277</v>
      </c>
      <c r="AN14" s="130" t="s">
        <v>1</v>
      </c>
      <c r="AO14" s="129" t="s">
        <v>380</v>
      </c>
      <c r="AP14" s="130" t="s">
        <v>136</v>
      </c>
      <c r="AQ14" s="130" t="s">
        <v>86</v>
      </c>
      <c r="AR14"/>
      <c r="AS14" t="s">
        <v>96</v>
      </c>
      <c r="AT14" t="s">
        <v>96</v>
      </c>
      <c r="AU14" t="s">
        <v>447</v>
      </c>
      <c r="AV14" s="38" t="s">
        <v>535</v>
      </c>
      <c r="AW14">
        <v>10000</v>
      </c>
      <c r="AX14">
        <v>2</v>
      </c>
      <c r="AY14" s="127">
        <v>45174</v>
      </c>
      <c r="AZ14" s="127"/>
      <c r="BA14">
        <v>4.8</v>
      </c>
      <c r="BB14" s="38" t="s">
        <v>96</v>
      </c>
      <c r="BC14" s="127">
        <v>45356</v>
      </c>
      <c r="BD14" s="38" t="s">
        <v>529</v>
      </c>
      <c r="BE14" s="38" t="s">
        <v>96</v>
      </c>
      <c r="BF14" s="127">
        <v>45174</v>
      </c>
      <c r="BG14" t="s">
        <v>440</v>
      </c>
      <c r="BH14" s="127">
        <v>45174</v>
      </c>
      <c r="BI14" s="130" t="s">
        <v>274</v>
      </c>
      <c r="BJ14" s="38" t="s">
        <v>96</v>
      </c>
      <c r="BK14" t="s">
        <v>536</v>
      </c>
      <c r="BL14" s="130" t="s">
        <v>139</v>
      </c>
      <c r="BM14" s="130" t="s">
        <v>139</v>
      </c>
      <c r="BN14" s="130" t="s">
        <v>140</v>
      </c>
      <c r="BO14" s="130" t="s">
        <v>141</v>
      </c>
      <c r="BP14" s="130" t="s">
        <v>142</v>
      </c>
      <c r="BQ14" s="38" t="s">
        <v>96</v>
      </c>
      <c r="BR14" s="130" t="s">
        <v>143</v>
      </c>
      <c r="BS14" s="38" t="s">
        <v>96</v>
      </c>
      <c r="BT14" t="s">
        <v>10</v>
      </c>
      <c r="BU14" s="56"/>
      <c r="BV14">
        <v>0.27400000000000002</v>
      </c>
      <c r="BW14">
        <v>2</v>
      </c>
      <c r="BX14">
        <v>2.1539999999999999</v>
      </c>
      <c r="BY14" t="s">
        <v>316</v>
      </c>
      <c r="BZ14" t="s">
        <v>7</v>
      </c>
      <c r="CA14"/>
      <c r="CB14"/>
      <c r="CC14" t="s">
        <v>87</v>
      </c>
      <c r="CD14" t="s">
        <v>87</v>
      </c>
      <c r="CE14" t="s">
        <v>537</v>
      </c>
      <c r="CF14" t="s">
        <v>7</v>
      </c>
    </row>
    <row r="15" spans="1:84" ht="15" x14ac:dyDescent="0.25">
      <c r="B15" t="s">
        <v>884</v>
      </c>
      <c r="D15">
        <v>5</v>
      </c>
      <c r="E15" t="s">
        <v>538</v>
      </c>
      <c r="F15" s="129" t="s">
        <v>539</v>
      </c>
      <c r="G15" t="s">
        <v>487</v>
      </c>
      <c r="H15" s="126">
        <v>45168</v>
      </c>
      <c r="I15" s="129" t="s">
        <v>540</v>
      </c>
      <c r="J15" s="129" t="s">
        <v>137</v>
      </c>
      <c r="K15" s="129" t="s">
        <v>137</v>
      </c>
      <c r="L15" s="129" t="s">
        <v>137</v>
      </c>
      <c r="M15">
        <v>3</v>
      </c>
      <c r="N15" t="s">
        <v>89</v>
      </c>
      <c r="O15" s="129" t="s">
        <v>218</v>
      </c>
      <c r="P15">
        <v>5.8</v>
      </c>
      <c r="Q15">
        <v>46270</v>
      </c>
      <c r="R15" s="129" t="s">
        <v>377</v>
      </c>
      <c r="S15" t="s">
        <v>500</v>
      </c>
      <c r="T15" t="s">
        <v>541</v>
      </c>
      <c r="U15">
        <v>20</v>
      </c>
      <c r="V15" s="129" t="s">
        <v>220</v>
      </c>
      <c r="W15" s="129" t="s">
        <v>40</v>
      </c>
      <c r="X15" t="s">
        <v>96</v>
      </c>
      <c r="Y15" s="129" t="s">
        <v>138</v>
      </c>
      <c r="Z15">
        <v>100</v>
      </c>
      <c r="AA15"/>
      <c r="AB15" s="129" t="s">
        <v>542</v>
      </c>
      <c r="AC15" s="129" t="s">
        <v>543</v>
      </c>
      <c r="AD15"/>
      <c r="AE15"/>
      <c r="AF15"/>
      <c r="AG15"/>
      <c r="AH15"/>
      <c r="AI15" s="129" t="s">
        <v>544</v>
      </c>
      <c r="AJ15" s="129" t="s">
        <v>545</v>
      </c>
      <c r="AK15" t="s">
        <v>96</v>
      </c>
      <c r="AL15" s="129" t="s">
        <v>137</v>
      </c>
      <c r="AM15" t="s">
        <v>273</v>
      </c>
      <c r="AN15" s="129" t="s">
        <v>2</v>
      </c>
      <c r="AO15" s="129" t="s">
        <v>380</v>
      </c>
      <c r="AP15" s="129" t="s">
        <v>136</v>
      </c>
      <c r="AQ15" s="129" t="s">
        <v>165</v>
      </c>
      <c r="AR15"/>
      <c r="AS15" t="s">
        <v>96</v>
      </c>
      <c r="AT15" t="s">
        <v>96</v>
      </c>
      <c r="AU15" t="s">
        <v>546</v>
      </c>
      <c r="AV15" t="s">
        <v>547</v>
      </c>
      <c r="AW15">
        <v>1000</v>
      </c>
      <c r="AX15">
        <v>3</v>
      </c>
      <c r="AY15">
        <v>45174</v>
      </c>
      <c r="AZ15"/>
      <c r="BA15">
        <v>5.8</v>
      </c>
      <c r="BB15" t="s">
        <v>96</v>
      </c>
      <c r="BC15">
        <v>45356</v>
      </c>
      <c r="BD15" t="s">
        <v>548</v>
      </c>
      <c r="BE15" t="s">
        <v>538</v>
      </c>
      <c r="BF15">
        <v>45174</v>
      </c>
      <c r="BG15" t="s">
        <v>541</v>
      </c>
      <c r="BH15">
        <v>45174</v>
      </c>
      <c r="BI15" s="129" t="s">
        <v>330</v>
      </c>
      <c r="BJ15" t="s">
        <v>549</v>
      </c>
      <c r="BK15" t="s">
        <v>550</v>
      </c>
      <c r="BL15" s="129" t="s">
        <v>139</v>
      </c>
      <c r="BM15" s="129" t="s">
        <v>139</v>
      </c>
      <c r="BN15" s="129" t="s">
        <v>140</v>
      </c>
      <c r="BO15" s="129" t="s">
        <v>141</v>
      </c>
      <c r="BP15" s="129" t="s">
        <v>142</v>
      </c>
      <c r="BQ15" t="s">
        <v>96</v>
      </c>
      <c r="BR15" s="129" t="s">
        <v>143</v>
      </c>
      <c r="BS15" t="s">
        <v>96</v>
      </c>
      <c r="BT15" t="s">
        <v>22</v>
      </c>
      <c r="BU15" s="56"/>
      <c r="BV15">
        <v>3</v>
      </c>
      <c r="BW15">
        <v>21.890999999999998</v>
      </c>
      <c r="BX15">
        <v>23.541</v>
      </c>
      <c r="BY15" t="s">
        <v>328</v>
      </c>
      <c r="BZ15" t="s">
        <v>7</v>
      </c>
      <c r="CA15"/>
      <c r="CB15"/>
      <c r="CC15" t="s">
        <v>686</v>
      </c>
      <c r="CD15" t="s">
        <v>686</v>
      </c>
      <c r="CE15" t="s">
        <v>488</v>
      </c>
      <c r="CF15" t="s">
        <v>7</v>
      </c>
    </row>
    <row r="16" spans="1:84" ht="15" x14ac:dyDescent="0.25">
      <c r="B16" t="s">
        <v>833</v>
      </c>
      <c r="D16">
        <v>6</v>
      </c>
      <c r="E16" t="s">
        <v>551</v>
      </c>
      <c r="F16" s="129" t="s">
        <v>552</v>
      </c>
      <c r="G16" t="s">
        <v>485</v>
      </c>
      <c r="H16" s="126">
        <v>45168</v>
      </c>
      <c r="I16" s="129" t="s">
        <v>553</v>
      </c>
      <c r="J16" s="129" t="s">
        <v>137</v>
      </c>
      <c r="K16" s="129" t="s">
        <v>137</v>
      </c>
      <c r="L16" s="129" t="s">
        <v>137</v>
      </c>
      <c r="M16">
        <v>56.6</v>
      </c>
      <c r="N16" t="s">
        <v>378</v>
      </c>
      <c r="O16" s="129" t="s">
        <v>218</v>
      </c>
      <c r="P16">
        <v>2.2999999999999998</v>
      </c>
      <c r="Q16">
        <v>46269</v>
      </c>
      <c r="R16" s="129" t="s">
        <v>323</v>
      </c>
      <c r="S16" t="s">
        <v>96</v>
      </c>
      <c r="T16" t="s">
        <v>554</v>
      </c>
      <c r="U16"/>
      <c r="V16" s="129" t="s">
        <v>220</v>
      </c>
      <c r="W16" s="129" t="s">
        <v>555</v>
      </c>
      <c r="X16" t="s">
        <v>556</v>
      </c>
      <c r="Y16" s="129" t="s">
        <v>138</v>
      </c>
      <c r="Z16">
        <v>100</v>
      </c>
      <c r="AA16"/>
      <c r="AB16" s="129" t="s">
        <v>329</v>
      </c>
      <c r="AC16" s="129" t="s">
        <v>557</v>
      </c>
      <c r="AD16"/>
      <c r="AE16"/>
      <c r="AF16"/>
      <c r="AG16"/>
      <c r="AH16"/>
      <c r="AI16" s="129" t="s">
        <v>558</v>
      </c>
      <c r="AJ16" s="129" t="s">
        <v>275</v>
      </c>
      <c r="AK16" t="s">
        <v>96</v>
      </c>
      <c r="AL16" s="129" t="s">
        <v>137</v>
      </c>
      <c r="AM16" t="s">
        <v>283</v>
      </c>
      <c r="AN16" s="129" t="s">
        <v>1</v>
      </c>
      <c r="AO16" s="129" t="s">
        <v>380</v>
      </c>
      <c r="AP16" s="129" t="s">
        <v>136</v>
      </c>
      <c r="AQ16" s="129" t="s">
        <v>86</v>
      </c>
      <c r="AR16"/>
      <c r="AS16" t="s">
        <v>96</v>
      </c>
      <c r="AT16" t="s">
        <v>96</v>
      </c>
      <c r="AU16" t="s">
        <v>559</v>
      </c>
      <c r="AV16" t="s">
        <v>560</v>
      </c>
      <c r="AW16">
        <v>10000000</v>
      </c>
      <c r="AX16">
        <v>56.6</v>
      </c>
      <c r="AY16">
        <v>45173</v>
      </c>
      <c r="AZ16"/>
      <c r="BA16">
        <v>2.2999999999999998</v>
      </c>
      <c r="BB16" t="s">
        <v>96</v>
      </c>
      <c r="BC16">
        <v>45355</v>
      </c>
      <c r="BD16" t="s">
        <v>561</v>
      </c>
      <c r="BE16" t="s">
        <v>562</v>
      </c>
      <c r="BF16">
        <v>45173</v>
      </c>
      <c r="BG16" t="s">
        <v>554</v>
      </c>
      <c r="BH16">
        <v>45173</v>
      </c>
      <c r="BI16" s="129" t="s">
        <v>274</v>
      </c>
      <c r="BJ16" t="s">
        <v>96</v>
      </c>
      <c r="BK16" t="s">
        <v>563</v>
      </c>
      <c r="BL16" s="129" t="s">
        <v>139</v>
      </c>
      <c r="BM16" s="129" t="s">
        <v>139</v>
      </c>
      <c r="BN16" s="129" t="s">
        <v>140</v>
      </c>
      <c r="BO16" s="129" t="s">
        <v>141</v>
      </c>
      <c r="BP16" s="129" t="s">
        <v>142</v>
      </c>
      <c r="BQ16" t="s">
        <v>96</v>
      </c>
      <c r="BR16" s="129" t="s">
        <v>143</v>
      </c>
      <c r="BS16" t="s">
        <v>551</v>
      </c>
      <c r="BT16" t="s">
        <v>10</v>
      </c>
      <c r="BU16" s="56"/>
      <c r="BV16">
        <v>0.39600000000000002</v>
      </c>
      <c r="BW16">
        <v>2.83</v>
      </c>
      <c r="BX16">
        <v>3.056</v>
      </c>
      <c r="BY16" t="s">
        <v>328</v>
      </c>
      <c r="BZ16" t="s">
        <v>7</v>
      </c>
      <c r="CA16"/>
      <c r="CB16"/>
      <c r="CC16" t="s">
        <v>87</v>
      </c>
      <c r="CD16" t="s">
        <v>87</v>
      </c>
      <c r="CE16" t="s">
        <v>486</v>
      </c>
      <c r="CF16" t="s">
        <v>7</v>
      </c>
    </row>
    <row r="17" spans="4:84" ht="15" x14ac:dyDescent="0.25">
      <c r="D17">
        <v>7</v>
      </c>
      <c r="E17" t="s">
        <v>494</v>
      </c>
      <c r="F17" s="129" t="s">
        <v>578</v>
      </c>
      <c r="G17" t="s">
        <v>493</v>
      </c>
      <c r="H17" s="126">
        <v>45167</v>
      </c>
      <c r="I17" s="129" t="s">
        <v>579</v>
      </c>
      <c r="J17" s="129" t="s">
        <v>137</v>
      </c>
      <c r="K17" s="129" t="s">
        <v>137</v>
      </c>
      <c r="L17" s="129" t="s">
        <v>137</v>
      </c>
      <c r="M17">
        <v>8.0619999999999994</v>
      </c>
      <c r="N17" t="s">
        <v>110</v>
      </c>
      <c r="O17" s="129" t="s">
        <v>218</v>
      </c>
      <c r="P17">
        <v>5.5</v>
      </c>
      <c r="Q17">
        <v>46272</v>
      </c>
      <c r="R17" s="129" t="s">
        <v>377</v>
      </c>
      <c r="S17" t="s">
        <v>580</v>
      </c>
      <c r="T17" t="s">
        <v>581</v>
      </c>
      <c r="U17">
        <v>10</v>
      </c>
      <c r="V17" s="129" t="s">
        <v>220</v>
      </c>
      <c r="W17" s="129" t="s">
        <v>268</v>
      </c>
      <c r="X17" t="s">
        <v>96</v>
      </c>
      <c r="Y17" s="129" t="s">
        <v>138</v>
      </c>
      <c r="Z17">
        <v>100</v>
      </c>
      <c r="AA17"/>
      <c r="AB17" s="129" t="s">
        <v>582</v>
      </c>
      <c r="AC17" s="129" t="s">
        <v>583</v>
      </c>
      <c r="AD17" t="s">
        <v>584</v>
      </c>
      <c r="AE17"/>
      <c r="AF17"/>
      <c r="AG17"/>
      <c r="AH17"/>
      <c r="AI17" s="129" t="s">
        <v>585</v>
      </c>
      <c r="AJ17" s="129" t="s">
        <v>275</v>
      </c>
      <c r="AK17" t="s">
        <v>96</v>
      </c>
      <c r="AL17" s="129" t="s">
        <v>137</v>
      </c>
      <c r="AM17" t="s">
        <v>283</v>
      </c>
      <c r="AN17" s="129" t="s">
        <v>1</v>
      </c>
      <c r="AO17" s="129" t="s">
        <v>282</v>
      </c>
      <c r="AP17" s="129" t="s">
        <v>136</v>
      </c>
      <c r="AQ17" s="129" t="s">
        <v>586</v>
      </c>
      <c r="AR17"/>
      <c r="AS17" t="s">
        <v>96</v>
      </c>
      <c r="AT17" t="s">
        <v>96</v>
      </c>
      <c r="AU17" t="s">
        <v>587</v>
      </c>
      <c r="AV17" t="s">
        <v>588</v>
      </c>
      <c r="AW17">
        <v>10000</v>
      </c>
      <c r="AX17">
        <v>8.0619999999999994</v>
      </c>
      <c r="AY17">
        <v>45176</v>
      </c>
      <c r="AZ17"/>
      <c r="BA17">
        <v>5.5</v>
      </c>
      <c r="BB17" t="s">
        <v>96</v>
      </c>
      <c r="BC17">
        <v>45358</v>
      </c>
      <c r="BD17" t="s">
        <v>494</v>
      </c>
      <c r="BE17" t="s">
        <v>96</v>
      </c>
      <c r="BF17">
        <v>45176</v>
      </c>
      <c r="BG17" t="s">
        <v>581</v>
      </c>
      <c r="BH17">
        <v>45176</v>
      </c>
      <c r="BI17" s="129" t="s">
        <v>330</v>
      </c>
      <c r="BJ17" t="s">
        <v>589</v>
      </c>
      <c r="BK17" t="s">
        <v>590</v>
      </c>
      <c r="BL17" s="129" t="s">
        <v>139</v>
      </c>
      <c r="BM17" s="129" t="s">
        <v>139</v>
      </c>
      <c r="BN17" s="129" t="s">
        <v>140</v>
      </c>
      <c r="BO17" s="129" t="s">
        <v>141</v>
      </c>
      <c r="BP17" s="129" t="s">
        <v>142</v>
      </c>
      <c r="BQ17" t="s">
        <v>96</v>
      </c>
      <c r="BR17" s="129" t="s">
        <v>143</v>
      </c>
      <c r="BS17" t="s">
        <v>96</v>
      </c>
      <c r="BT17" t="s">
        <v>31</v>
      </c>
      <c r="BU17" s="56"/>
      <c r="BV17">
        <v>1.1040000000000001</v>
      </c>
      <c r="BW17">
        <v>8.0619999999999994</v>
      </c>
      <c r="BX17">
        <v>8.6829999999999998</v>
      </c>
      <c r="BY17" t="s">
        <v>316</v>
      </c>
      <c r="BZ17" t="s">
        <v>7</v>
      </c>
      <c r="CA17"/>
      <c r="CB17"/>
      <c r="CC17" t="s">
        <v>87</v>
      </c>
      <c r="CD17" t="s">
        <v>691</v>
      </c>
      <c r="CE17" t="s">
        <v>591</v>
      </c>
      <c r="CF17" t="s">
        <v>7</v>
      </c>
    </row>
    <row r="18" spans="4:84" ht="15" x14ac:dyDescent="0.25">
      <c r="D18">
        <v>8</v>
      </c>
      <c r="E18" t="s">
        <v>604</v>
      </c>
      <c r="F18" s="129" t="s">
        <v>605</v>
      </c>
      <c r="G18" t="s">
        <v>606</v>
      </c>
      <c r="H18" s="126">
        <v>45167</v>
      </c>
      <c r="I18" s="129" t="s">
        <v>607</v>
      </c>
      <c r="J18" s="129" t="s">
        <v>608</v>
      </c>
      <c r="K18" s="129" t="s">
        <v>609</v>
      </c>
      <c r="L18" s="129" t="s">
        <v>137</v>
      </c>
      <c r="M18">
        <v>0.5</v>
      </c>
      <c r="N18" t="s">
        <v>89</v>
      </c>
      <c r="O18" s="129" t="s">
        <v>318</v>
      </c>
      <c r="P18">
        <v>7</v>
      </c>
      <c r="Q18">
        <v>45538</v>
      </c>
      <c r="R18" s="129" t="s">
        <v>377</v>
      </c>
      <c r="S18" t="s">
        <v>96</v>
      </c>
      <c r="T18" t="s">
        <v>96</v>
      </c>
      <c r="U18"/>
      <c r="V18" s="129" t="s">
        <v>220</v>
      </c>
      <c r="W18" s="129" t="s">
        <v>379</v>
      </c>
      <c r="X18" t="s">
        <v>610</v>
      </c>
      <c r="Y18" s="129" t="s">
        <v>138</v>
      </c>
      <c r="Z18"/>
      <c r="AA18"/>
      <c r="AB18" s="129" t="s">
        <v>611</v>
      </c>
      <c r="AC18" s="129" t="s">
        <v>612</v>
      </c>
      <c r="AD18"/>
      <c r="AE18"/>
      <c r="AF18"/>
      <c r="AG18"/>
      <c r="AH18"/>
      <c r="AI18" s="129" t="s">
        <v>613</v>
      </c>
      <c r="AJ18" s="129" t="s">
        <v>504</v>
      </c>
      <c r="AK18" t="s">
        <v>96</v>
      </c>
      <c r="AL18" s="129" t="s">
        <v>137</v>
      </c>
      <c r="AM18" t="s">
        <v>273</v>
      </c>
      <c r="AN18" s="129" t="s">
        <v>1</v>
      </c>
      <c r="AO18" s="129" t="s">
        <v>598</v>
      </c>
      <c r="AP18" s="129" t="s">
        <v>136</v>
      </c>
      <c r="AQ18" s="129" t="s">
        <v>165</v>
      </c>
      <c r="AR18"/>
      <c r="AS18" t="s">
        <v>96</v>
      </c>
      <c r="AT18" t="s">
        <v>96</v>
      </c>
      <c r="AU18"/>
      <c r="AV18" t="s">
        <v>614</v>
      </c>
      <c r="AW18">
        <v>1000</v>
      </c>
      <c r="AX18">
        <v>0.5</v>
      </c>
      <c r="AY18">
        <v>45174</v>
      </c>
      <c r="AZ18"/>
      <c r="BA18">
        <v>7</v>
      </c>
      <c r="BB18" t="s">
        <v>96</v>
      </c>
      <c r="BC18">
        <v>45356</v>
      </c>
      <c r="BD18" t="s">
        <v>615</v>
      </c>
      <c r="BE18" t="s">
        <v>604</v>
      </c>
      <c r="BF18">
        <v>45174</v>
      </c>
      <c r="BG18"/>
      <c r="BH18">
        <v>45174</v>
      </c>
      <c r="BI18" s="129" t="s">
        <v>96</v>
      </c>
      <c r="BJ18" t="s">
        <v>96</v>
      </c>
      <c r="BK18" t="s">
        <v>616</v>
      </c>
      <c r="BL18" s="129" t="s">
        <v>139</v>
      </c>
      <c r="BM18" s="129" t="s">
        <v>139</v>
      </c>
      <c r="BN18" s="129" t="s">
        <v>140</v>
      </c>
      <c r="BO18" s="129" t="s">
        <v>141</v>
      </c>
      <c r="BP18" s="129" t="s">
        <v>142</v>
      </c>
      <c r="BQ18" t="s">
        <v>96</v>
      </c>
      <c r="BR18" s="129" t="s">
        <v>143</v>
      </c>
      <c r="BS18" t="s">
        <v>96</v>
      </c>
      <c r="BT18" t="s">
        <v>28</v>
      </c>
      <c r="BU18" s="56"/>
      <c r="BV18">
        <v>0.5</v>
      </c>
      <c r="BW18">
        <v>3.6440000000000001</v>
      </c>
      <c r="BX18">
        <v>3.923</v>
      </c>
      <c r="BY18" t="s">
        <v>328</v>
      </c>
      <c r="BZ18" t="s">
        <v>7</v>
      </c>
      <c r="CA18"/>
      <c r="CB18"/>
      <c r="CC18" t="s">
        <v>87</v>
      </c>
      <c r="CD18" t="s">
        <v>689</v>
      </c>
      <c r="CE18" t="s">
        <v>617</v>
      </c>
      <c r="CF18" t="s">
        <v>7</v>
      </c>
    </row>
    <row r="19" spans="4:84" ht="15" x14ac:dyDescent="0.25">
      <c r="D19">
        <v>9</v>
      </c>
      <c r="E19" t="s">
        <v>491</v>
      </c>
      <c r="F19" s="129" t="s">
        <v>618</v>
      </c>
      <c r="G19" t="s">
        <v>490</v>
      </c>
      <c r="H19" s="126">
        <v>45167</v>
      </c>
      <c r="I19" s="129" t="s">
        <v>619</v>
      </c>
      <c r="J19" s="129" t="s">
        <v>137</v>
      </c>
      <c r="K19" s="129" t="s">
        <v>137</v>
      </c>
      <c r="L19" s="129" t="s">
        <v>137</v>
      </c>
      <c r="M19">
        <v>1.22</v>
      </c>
      <c r="N19" t="s">
        <v>89</v>
      </c>
      <c r="O19" s="129" t="s">
        <v>218</v>
      </c>
      <c r="P19">
        <v>5.9</v>
      </c>
      <c r="Q19">
        <v>46266</v>
      </c>
      <c r="R19" s="129" t="s">
        <v>377</v>
      </c>
      <c r="S19" t="s">
        <v>620</v>
      </c>
      <c r="T19" t="s">
        <v>501</v>
      </c>
      <c r="U19">
        <v>40</v>
      </c>
      <c r="V19" s="129" t="s">
        <v>220</v>
      </c>
      <c r="W19" s="129" t="s">
        <v>40</v>
      </c>
      <c r="X19" t="s">
        <v>96</v>
      </c>
      <c r="Y19" s="129" t="s">
        <v>138</v>
      </c>
      <c r="Z19">
        <v>100</v>
      </c>
      <c r="AA19"/>
      <c r="AB19" s="129" t="s">
        <v>381</v>
      </c>
      <c r="AC19" s="129" t="s">
        <v>621</v>
      </c>
      <c r="AD19" t="s">
        <v>622</v>
      </c>
      <c r="AE19"/>
      <c r="AF19"/>
      <c r="AG19"/>
      <c r="AH19"/>
      <c r="AI19" s="129" t="s">
        <v>623</v>
      </c>
      <c r="AJ19" s="129" t="s">
        <v>275</v>
      </c>
      <c r="AK19" t="s">
        <v>96</v>
      </c>
      <c r="AL19" s="129" t="s">
        <v>137</v>
      </c>
      <c r="AM19" t="s">
        <v>283</v>
      </c>
      <c r="AN19" s="129" t="s">
        <v>1</v>
      </c>
      <c r="AO19" s="129" t="s">
        <v>448</v>
      </c>
      <c r="AP19" s="129" t="s">
        <v>136</v>
      </c>
      <c r="AQ19" s="129" t="s">
        <v>165</v>
      </c>
      <c r="AR19"/>
      <c r="AS19" t="s">
        <v>96</v>
      </c>
      <c r="AT19" t="s">
        <v>96</v>
      </c>
      <c r="AU19" t="s">
        <v>624</v>
      </c>
      <c r="AV19" t="s">
        <v>625</v>
      </c>
      <c r="AW19">
        <v>1000</v>
      </c>
      <c r="AX19">
        <v>1.22</v>
      </c>
      <c r="AY19">
        <v>45170</v>
      </c>
      <c r="AZ19"/>
      <c r="BA19">
        <v>5.9</v>
      </c>
      <c r="BB19" t="s">
        <v>96</v>
      </c>
      <c r="BC19">
        <v>45352</v>
      </c>
      <c r="BD19" t="s">
        <v>626</v>
      </c>
      <c r="BE19" t="s">
        <v>491</v>
      </c>
      <c r="BF19">
        <v>45170</v>
      </c>
      <c r="BG19" t="s">
        <v>501</v>
      </c>
      <c r="BH19">
        <v>45170</v>
      </c>
      <c r="BI19" s="129" t="s">
        <v>330</v>
      </c>
      <c r="BJ19" t="s">
        <v>627</v>
      </c>
      <c r="BK19" t="s">
        <v>628</v>
      </c>
      <c r="BL19" s="129" t="s">
        <v>139</v>
      </c>
      <c r="BM19" s="129" t="s">
        <v>139</v>
      </c>
      <c r="BN19" s="129" t="s">
        <v>140</v>
      </c>
      <c r="BO19" s="129" t="s">
        <v>141</v>
      </c>
      <c r="BP19" s="129" t="s">
        <v>142</v>
      </c>
      <c r="BQ19" t="s">
        <v>96</v>
      </c>
      <c r="BR19" s="129" t="s">
        <v>143</v>
      </c>
      <c r="BS19" t="s">
        <v>96</v>
      </c>
      <c r="BT19" t="s">
        <v>8</v>
      </c>
      <c r="BU19" s="56"/>
      <c r="BV19">
        <v>1.22</v>
      </c>
      <c r="BW19">
        <v>8.89</v>
      </c>
      <c r="BX19">
        <v>9.5719999999999992</v>
      </c>
      <c r="BY19" t="s">
        <v>315</v>
      </c>
      <c r="BZ19" t="s">
        <v>7</v>
      </c>
      <c r="CA19"/>
      <c r="CB19"/>
      <c r="CC19" t="s">
        <v>385</v>
      </c>
      <c r="CD19" t="s">
        <v>385</v>
      </c>
      <c r="CE19" t="s">
        <v>629</v>
      </c>
      <c r="CF19" t="s">
        <v>7</v>
      </c>
    </row>
    <row r="20" spans="4:84" ht="15" x14ac:dyDescent="0.25">
      <c r="D20">
        <v>10</v>
      </c>
      <c r="E20" t="s">
        <v>630</v>
      </c>
      <c r="F20" s="129" t="s">
        <v>631</v>
      </c>
      <c r="G20" t="s">
        <v>632</v>
      </c>
      <c r="H20" s="126">
        <v>45167</v>
      </c>
      <c r="I20" s="129" t="s">
        <v>633</v>
      </c>
      <c r="J20" s="129" t="s">
        <v>137</v>
      </c>
      <c r="K20" s="129" t="s">
        <v>137</v>
      </c>
      <c r="L20" s="129" t="s">
        <v>137</v>
      </c>
      <c r="M20">
        <v>9</v>
      </c>
      <c r="N20" t="s">
        <v>110</v>
      </c>
      <c r="O20" s="129" t="s">
        <v>514</v>
      </c>
      <c r="P20">
        <v>2.4</v>
      </c>
      <c r="Q20">
        <v>45905</v>
      </c>
      <c r="R20" s="129" t="s">
        <v>377</v>
      </c>
      <c r="S20" t="s">
        <v>96</v>
      </c>
      <c r="T20" t="s">
        <v>96</v>
      </c>
      <c r="U20"/>
      <c r="V20" s="129" t="s">
        <v>220</v>
      </c>
      <c r="W20" s="129" t="s">
        <v>268</v>
      </c>
      <c r="X20" t="s">
        <v>96</v>
      </c>
      <c r="Y20" s="129" t="s">
        <v>138</v>
      </c>
      <c r="Z20">
        <v>100</v>
      </c>
      <c r="AA20"/>
      <c r="AB20" s="129" t="s">
        <v>276</v>
      </c>
      <c r="AC20" s="129" t="s">
        <v>383</v>
      </c>
      <c r="AD20"/>
      <c r="AE20"/>
      <c r="AF20"/>
      <c r="AG20"/>
      <c r="AH20"/>
      <c r="AI20" s="129" t="s">
        <v>634</v>
      </c>
      <c r="AJ20" s="129" t="s">
        <v>504</v>
      </c>
      <c r="AK20" t="s">
        <v>37</v>
      </c>
      <c r="AL20" s="129" t="s">
        <v>137</v>
      </c>
      <c r="AM20" t="s">
        <v>96</v>
      </c>
      <c r="AN20" s="129" t="s">
        <v>2</v>
      </c>
      <c r="AO20" s="129" t="s">
        <v>635</v>
      </c>
      <c r="AP20" s="129" t="s">
        <v>518</v>
      </c>
      <c r="AQ20" s="129" t="s">
        <v>86</v>
      </c>
      <c r="AR20"/>
      <c r="AS20" t="s">
        <v>96</v>
      </c>
      <c r="AT20" t="s">
        <v>96</v>
      </c>
      <c r="AU20"/>
      <c r="AV20" t="s">
        <v>636</v>
      </c>
      <c r="AW20">
        <v>10000</v>
      </c>
      <c r="AX20">
        <v>9</v>
      </c>
      <c r="AY20">
        <v>45174</v>
      </c>
      <c r="AZ20"/>
      <c r="BA20">
        <v>2.4</v>
      </c>
      <c r="BB20" t="s">
        <v>96</v>
      </c>
      <c r="BC20">
        <v>45356</v>
      </c>
      <c r="BD20" t="s">
        <v>637</v>
      </c>
      <c r="BE20" t="s">
        <v>96</v>
      </c>
      <c r="BF20">
        <v>45174</v>
      </c>
      <c r="BG20"/>
      <c r="BH20">
        <v>45174</v>
      </c>
      <c r="BI20" s="129" t="s">
        <v>96</v>
      </c>
      <c r="BJ20" t="s">
        <v>638</v>
      </c>
      <c r="BK20" t="s">
        <v>639</v>
      </c>
      <c r="BL20" s="129" t="s">
        <v>139</v>
      </c>
      <c r="BM20" s="129" t="s">
        <v>139</v>
      </c>
      <c r="BN20" s="129" t="s">
        <v>140</v>
      </c>
      <c r="BO20" s="129" t="s">
        <v>141</v>
      </c>
      <c r="BP20" s="129" t="s">
        <v>523</v>
      </c>
      <c r="BQ20" t="s">
        <v>96</v>
      </c>
      <c r="BR20" s="129" t="s">
        <v>143</v>
      </c>
      <c r="BS20" t="s">
        <v>96</v>
      </c>
      <c r="BT20" t="s">
        <v>18</v>
      </c>
      <c r="BU20" s="56"/>
      <c r="BV20">
        <v>1.2330000000000001</v>
      </c>
      <c r="BW20">
        <v>9</v>
      </c>
      <c r="BX20">
        <v>9.6929999999999996</v>
      </c>
      <c r="BY20" t="s">
        <v>316</v>
      </c>
      <c r="BZ20" t="s">
        <v>7</v>
      </c>
      <c r="CA20"/>
      <c r="CB20"/>
      <c r="CC20" t="s">
        <v>87</v>
      </c>
      <c r="CD20" t="s">
        <v>87</v>
      </c>
      <c r="CE20" t="s">
        <v>640</v>
      </c>
      <c r="CF20" t="s">
        <v>7</v>
      </c>
    </row>
    <row r="21" spans="4:84" ht="15" x14ac:dyDescent="0.25">
      <c r="D21">
        <v>11</v>
      </c>
      <c r="E21" t="s">
        <v>630</v>
      </c>
      <c r="F21" s="129" t="s">
        <v>641</v>
      </c>
      <c r="G21" t="s">
        <v>642</v>
      </c>
      <c r="H21" s="126">
        <v>45167</v>
      </c>
      <c r="I21" s="129" t="s">
        <v>643</v>
      </c>
      <c r="J21" s="129" t="s">
        <v>137</v>
      </c>
      <c r="K21" s="129" t="s">
        <v>137</v>
      </c>
      <c r="L21" s="129" t="s">
        <v>137</v>
      </c>
      <c r="M21">
        <v>21</v>
      </c>
      <c r="N21" t="s">
        <v>110</v>
      </c>
      <c r="O21" s="129" t="s">
        <v>218</v>
      </c>
      <c r="P21">
        <v>2.5499999999999998</v>
      </c>
      <c r="Q21">
        <v>46270</v>
      </c>
      <c r="R21" s="129" t="s">
        <v>377</v>
      </c>
      <c r="S21" t="s">
        <v>96</v>
      </c>
      <c r="T21" t="s">
        <v>96</v>
      </c>
      <c r="U21"/>
      <c r="V21" s="129" t="s">
        <v>220</v>
      </c>
      <c r="W21" s="129" t="s">
        <v>268</v>
      </c>
      <c r="X21" t="s">
        <v>96</v>
      </c>
      <c r="Y21" s="129" t="s">
        <v>138</v>
      </c>
      <c r="Z21">
        <v>100</v>
      </c>
      <c r="AA21"/>
      <c r="AB21" s="129" t="s">
        <v>276</v>
      </c>
      <c r="AC21" s="129" t="s">
        <v>383</v>
      </c>
      <c r="AD21"/>
      <c r="AE21"/>
      <c r="AF21"/>
      <c r="AG21"/>
      <c r="AH21"/>
      <c r="AI21" s="129" t="s">
        <v>634</v>
      </c>
      <c r="AJ21" s="129" t="s">
        <v>504</v>
      </c>
      <c r="AK21" t="s">
        <v>37</v>
      </c>
      <c r="AL21" s="129" t="s">
        <v>137</v>
      </c>
      <c r="AM21" t="s">
        <v>96</v>
      </c>
      <c r="AN21" s="129" t="s">
        <v>2</v>
      </c>
      <c r="AO21" s="129" t="s">
        <v>380</v>
      </c>
      <c r="AP21" s="129" t="s">
        <v>518</v>
      </c>
      <c r="AQ21" s="129" t="s">
        <v>86</v>
      </c>
      <c r="AR21"/>
      <c r="AS21" t="s">
        <v>96</v>
      </c>
      <c r="AT21" t="s">
        <v>96</v>
      </c>
      <c r="AU21"/>
      <c r="AV21" t="s">
        <v>636</v>
      </c>
      <c r="AW21">
        <v>10000</v>
      </c>
      <c r="AX21">
        <v>21</v>
      </c>
      <c r="AY21">
        <v>45174</v>
      </c>
      <c r="AZ21"/>
      <c r="BA21">
        <v>2.5499999999999998</v>
      </c>
      <c r="BB21" t="s">
        <v>96</v>
      </c>
      <c r="BC21">
        <v>45356</v>
      </c>
      <c r="BD21" t="s">
        <v>637</v>
      </c>
      <c r="BE21" t="s">
        <v>96</v>
      </c>
      <c r="BF21">
        <v>45174</v>
      </c>
      <c r="BG21"/>
      <c r="BH21">
        <v>45174</v>
      </c>
      <c r="BI21" s="129" t="s">
        <v>96</v>
      </c>
      <c r="BJ21" t="s">
        <v>638</v>
      </c>
      <c r="BK21" t="s">
        <v>639</v>
      </c>
      <c r="BL21" s="129" t="s">
        <v>139</v>
      </c>
      <c r="BM21" s="129" t="s">
        <v>139</v>
      </c>
      <c r="BN21" s="129" t="s">
        <v>140</v>
      </c>
      <c r="BO21" s="129" t="s">
        <v>141</v>
      </c>
      <c r="BP21" s="129" t="s">
        <v>523</v>
      </c>
      <c r="BQ21" t="s">
        <v>96</v>
      </c>
      <c r="BR21" s="129" t="s">
        <v>143</v>
      </c>
      <c r="BS21" t="s">
        <v>96</v>
      </c>
      <c r="BT21" t="s">
        <v>18</v>
      </c>
      <c r="BU21" s="56"/>
      <c r="BV21">
        <v>2.8769999999999998</v>
      </c>
      <c r="BW21">
        <v>21</v>
      </c>
      <c r="BX21">
        <v>22.617000000000001</v>
      </c>
      <c r="BY21" t="s">
        <v>316</v>
      </c>
      <c r="BZ21" t="s">
        <v>7</v>
      </c>
      <c r="CA21"/>
      <c r="CB21"/>
      <c r="CC21" t="s">
        <v>87</v>
      </c>
      <c r="CD21" t="s">
        <v>87</v>
      </c>
      <c r="CE21" t="s">
        <v>644</v>
      </c>
      <c r="CF21" t="s">
        <v>7</v>
      </c>
    </row>
    <row r="22" spans="4:84" ht="15" x14ac:dyDescent="0.25">
      <c r="D22">
        <v>12</v>
      </c>
      <c r="E22" t="s">
        <v>630</v>
      </c>
      <c r="F22" s="129" t="s">
        <v>645</v>
      </c>
      <c r="G22" t="s">
        <v>646</v>
      </c>
      <c r="H22" s="126">
        <v>45167</v>
      </c>
      <c r="I22" s="129" t="s">
        <v>647</v>
      </c>
      <c r="J22" s="129" t="s">
        <v>137</v>
      </c>
      <c r="K22" s="129" t="s">
        <v>137</v>
      </c>
      <c r="L22" s="129" t="s">
        <v>137</v>
      </c>
      <c r="M22">
        <v>20</v>
      </c>
      <c r="N22" t="s">
        <v>110</v>
      </c>
      <c r="O22" s="129" t="s">
        <v>648</v>
      </c>
      <c r="P22">
        <v>2.75</v>
      </c>
      <c r="Q22">
        <v>47001</v>
      </c>
      <c r="R22" s="129" t="s">
        <v>377</v>
      </c>
      <c r="S22" t="s">
        <v>96</v>
      </c>
      <c r="T22" t="s">
        <v>96</v>
      </c>
      <c r="U22"/>
      <c r="V22" s="129" t="s">
        <v>220</v>
      </c>
      <c r="W22" s="129" t="s">
        <v>268</v>
      </c>
      <c r="X22" t="s">
        <v>96</v>
      </c>
      <c r="Y22" s="129" t="s">
        <v>138</v>
      </c>
      <c r="Z22">
        <v>100</v>
      </c>
      <c r="AA22"/>
      <c r="AB22" s="129" t="s">
        <v>276</v>
      </c>
      <c r="AC22" s="129" t="s">
        <v>383</v>
      </c>
      <c r="AD22"/>
      <c r="AE22"/>
      <c r="AF22"/>
      <c r="AG22"/>
      <c r="AH22"/>
      <c r="AI22" s="129" t="s">
        <v>634</v>
      </c>
      <c r="AJ22" s="129" t="s">
        <v>504</v>
      </c>
      <c r="AK22" t="s">
        <v>37</v>
      </c>
      <c r="AL22" s="129" t="s">
        <v>137</v>
      </c>
      <c r="AM22" t="s">
        <v>96</v>
      </c>
      <c r="AN22" s="129" t="s">
        <v>2</v>
      </c>
      <c r="AO22" s="129" t="s">
        <v>649</v>
      </c>
      <c r="AP22" s="129" t="s">
        <v>518</v>
      </c>
      <c r="AQ22" s="129" t="s">
        <v>86</v>
      </c>
      <c r="AR22"/>
      <c r="AS22" t="s">
        <v>96</v>
      </c>
      <c r="AT22" t="s">
        <v>96</v>
      </c>
      <c r="AU22"/>
      <c r="AV22" t="s">
        <v>636</v>
      </c>
      <c r="AW22">
        <v>10000</v>
      </c>
      <c r="AX22">
        <v>20</v>
      </c>
      <c r="AY22">
        <v>45174</v>
      </c>
      <c r="AZ22"/>
      <c r="BA22">
        <v>2.75</v>
      </c>
      <c r="BB22" t="s">
        <v>96</v>
      </c>
      <c r="BC22">
        <v>45356</v>
      </c>
      <c r="BD22" t="s">
        <v>637</v>
      </c>
      <c r="BE22" t="s">
        <v>96</v>
      </c>
      <c r="BF22">
        <v>45174</v>
      </c>
      <c r="BG22"/>
      <c r="BH22">
        <v>45174</v>
      </c>
      <c r="BI22" s="129" t="s">
        <v>96</v>
      </c>
      <c r="BJ22" t="s">
        <v>638</v>
      </c>
      <c r="BK22" t="s">
        <v>639</v>
      </c>
      <c r="BL22" s="129" t="s">
        <v>139</v>
      </c>
      <c r="BM22" s="129" t="s">
        <v>139</v>
      </c>
      <c r="BN22" s="129" t="s">
        <v>140</v>
      </c>
      <c r="BO22" s="129" t="s">
        <v>141</v>
      </c>
      <c r="BP22" s="129" t="s">
        <v>523</v>
      </c>
      <c r="BQ22" t="s">
        <v>96</v>
      </c>
      <c r="BR22" s="129" t="s">
        <v>143</v>
      </c>
      <c r="BS22" t="s">
        <v>96</v>
      </c>
      <c r="BT22" t="s">
        <v>18</v>
      </c>
      <c r="BU22" s="56"/>
      <c r="BV22">
        <v>2.74</v>
      </c>
      <c r="BW22">
        <v>20</v>
      </c>
      <c r="BX22">
        <v>21.54</v>
      </c>
      <c r="BY22" t="s">
        <v>316</v>
      </c>
      <c r="BZ22" t="s">
        <v>7</v>
      </c>
      <c r="CA22"/>
      <c r="CB22"/>
      <c r="CC22" t="s">
        <v>87</v>
      </c>
      <c r="CD22" t="s">
        <v>87</v>
      </c>
      <c r="CE22" t="s">
        <v>650</v>
      </c>
      <c r="CF22" t="s">
        <v>7</v>
      </c>
    </row>
    <row r="23" spans="4:84" ht="15" x14ac:dyDescent="0.25">
      <c r="D23">
        <v>13</v>
      </c>
      <c r="E23" t="s">
        <v>657</v>
      </c>
      <c r="F23" s="129" t="s">
        <v>658</v>
      </c>
      <c r="G23" t="s">
        <v>659</v>
      </c>
      <c r="H23" s="126">
        <v>45166</v>
      </c>
      <c r="I23" s="129" t="s">
        <v>660</v>
      </c>
      <c r="J23" s="129" t="s">
        <v>137</v>
      </c>
      <c r="K23" s="129" t="s">
        <v>137</v>
      </c>
      <c r="L23" s="129" t="s">
        <v>137</v>
      </c>
      <c r="M23">
        <v>2</v>
      </c>
      <c r="N23" t="s">
        <v>89</v>
      </c>
      <c r="O23" s="129" t="s">
        <v>218</v>
      </c>
      <c r="P23">
        <v>7.25</v>
      </c>
      <c r="Q23">
        <v>46270</v>
      </c>
      <c r="R23" s="129" t="s">
        <v>661</v>
      </c>
      <c r="S23" t="s">
        <v>662</v>
      </c>
      <c r="T23" t="s">
        <v>663</v>
      </c>
      <c r="U23">
        <v>25</v>
      </c>
      <c r="V23" s="129" t="s">
        <v>220</v>
      </c>
      <c r="W23" s="129" t="s">
        <v>40</v>
      </c>
      <c r="X23" t="s">
        <v>96</v>
      </c>
      <c r="Y23" s="129" t="s">
        <v>138</v>
      </c>
      <c r="Z23">
        <v>100</v>
      </c>
      <c r="AA23"/>
      <c r="AB23" s="129" t="s">
        <v>329</v>
      </c>
      <c r="AC23" s="129" t="s">
        <v>382</v>
      </c>
      <c r="AD23"/>
      <c r="AE23"/>
      <c r="AF23"/>
      <c r="AG23"/>
      <c r="AH23"/>
      <c r="AI23" s="129" t="s">
        <v>623</v>
      </c>
      <c r="AJ23" s="129" t="s">
        <v>664</v>
      </c>
      <c r="AK23" t="s">
        <v>96</v>
      </c>
      <c r="AL23" s="129" t="s">
        <v>137</v>
      </c>
      <c r="AM23" t="s">
        <v>283</v>
      </c>
      <c r="AN23" s="129" t="s">
        <v>2</v>
      </c>
      <c r="AO23" s="129" t="s">
        <v>380</v>
      </c>
      <c r="AP23" s="129" t="s">
        <v>136</v>
      </c>
      <c r="AQ23" s="129" t="s">
        <v>86</v>
      </c>
      <c r="AR23"/>
      <c r="AS23" t="s">
        <v>96</v>
      </c>
      <c r="AT23" t="s">
        <v>96</v>
      </c>
      <c r="AU23" t="s">
        <v>665</v>
      </c>
      <c r="AV23" t="s">
        <v>666</v>
      </c>
      <c r="AW23">
        <v>1000</v>
      </c>
      <c r="AX23">
        <v>2</v>
      </c>
      <c r="AY23">
        <v>45174</v>
      </c>
      <c r="AZ23"/>
      <c r="BA23">
        <v>7.25</v>
      </c>
      <c r="BB23" t="s">
        <v>96</v>
      </c>
      <c r="BC23">
        <v>45356</v>
      </c>
      <c r="BD23" t="s">
        <v>667</v>
      </c>
      <c r="BE23" t="s">
        <v>657</v>
      </c>
      <c r="BF23">
        <v>45174</v>
      </c>
      <c r="BG23" t="s">
        <v>663</v>
      </c>
      <c r="BH23">
        <v>45174</v>
      </c>
      <c r="BI23" s="129" t="s">
        <v>96</v>
      </c>
      <c r="BJ23" t="s">
        <v>668</v>
      </c>
      <c r="BK23" t="s">
        <v>669</v>
      </c>
      <c r="BL23" s="129" t="s">
        <v>139</v>
      </c>
      <c r="BM23" s="129" t="s">
        <v>139</v>
      </c>
      <c r="BN23" s="129" t="s">
        <v>140</v>
      </c>
      <c r="BO23" s="129" t="s">
        <v>141</v>
      </c>
      <c r="BP23" s="129" t="s">
        <v>142</v>
      </c>
      <c r="BQ23" t="s">
        <v>96</v>
      </c>
      <c r="BR23" s="129" t="s">
        <v>143</v>
      </c>
      <c r="BS23" t="s">
        <v>96</v>
      </c>
      <c r="BT23" t="s">
        <v>10</v>
      </c>
      <c r="BU23" s="56"/>
      <c r="BV23">
        <v>2</v>
      </c>
      <c r="BW23">
        <v>14.584</v>
      </c>
      <c r="BX23">
        <v>15.692</v>
      </c>
      <c r="BY23" t="s">
        <v>328</v>
      </c>
      <c r="BZ23" t="s">
        <v>7</v>
      </c>
      <c r="CA23"/>
      <c r="CB23"/>
      <c r="CC23" t="s">
        <v>87</v>
      </c>
      <c r="CD23" t="s">
        <v>87</v>
      </c>
      <c r="CE23" t="s">
        <v>670</v>
      </c>
      <c r="CF23" t="s">
        <v>7</v>
      </c>
    </row>
    <row r="24" spans="4:84" ht="15" x14ac:dyDescent="0.25">
      <c r="D24">
        <v>14</v>
      </c>
      <c r="E24" t="s">
        <v>671</v>
      </c>
      <c r="F24" s="129" t="s">
        <v>672</v>
      </c>
      <c r="G24" t="s">
        <v>673</v>
      </c>
      <c r="H24" s="126">
        <v>45166</v>
      </c>
      <c r="I24" s="129" t="s">
        <v>674</v>
      </c>
      <c r="J24" s="129" t="s">
        <v>137</v>
      </c>
      <c r="K24" s="129" t="s">
        <v>137</v>
      </c>
      <c r="L24" s="129" t="s">
        <v>137</v>
      </c>
      <c r="M24">
        <v>1.26</v>
      </c>
      <c r="N24" t="s">
        <v>89</v>
      </c>
      <c r="O24" s="129" t="s">
        <v>218</v>
      </c>
      <c r="P24">
        <v>6.95</v>
      </c>
      <c r="Q24">
        <v>46266</v>
      </c>
      <c r="R24" s="129" t="s">
        <v>377</v>
      </c>
      <c r="S24" t="s">
        <v>675</v>
      </c>
      <c r="T24" t="s">
        <v>676</v>
      </c>
      <c r="U24">
        <v>35</v>
      </c>
      <c r="V24" s="129" t="s">
        <v>220</v>
      </c>
      <c r="W24" s="129" t="s">
        <v>40</v>
      </c>
      <c r="X24" t="s">
        <v>96</v>
      </c>
      <c r="Y24" s="129" t="s">
        <v>138</v>
      </c>
      <c r="Z24">
        <v>100</v>
      </c>
      <c r="AA24"/>
      <c r="AB24" s="129" t="s">
        <v>324</v>
      </c>
      <c r="AC24" s="129" t="s">
        <v>677</v>
      </c>
      <c r="AD24" t="s">
        <v>678</v>
      </c>
      <c r="AE24"/>
      <c r="AF24"/>
      <c r="AG24"/>
      <c r="AH24"/>
      <c r="AI24" s="129" t="s">
        <v>679</v>
      </c>
      <c r="AJ24" s="129" t="s">
        <v>384</v>
      </c>
      <c r="AK24" t="s">
        <v>96</v>
      </c>
      <c r="AL24" s="129" t="s">
        <v>137</v>
      </c>
      <c r="AM24" t="s">
        <v>283</v>
      </c>
      <c r="AN24" s="129" t="s">
        <v>1</v>
      </c>
      <c r="AO24" s="129" t="s">
        <v>448</v>
      </c>
      <c r="AP24" s="129" t="s">
        <v>136</v>
      </c>
      <c r="AQ24" s="129" t="s">
        <v>86</v>
      </c>
      <c r="AR24"/>
      <c r="AS24" t="s">
        <v>96</v>
      </c>
      <c r="AT24" t="s">
        <v>96</v>
      </c>
      <c r="AU24" t="s">
        <v>680</v>
      </c>
      <c r="AV24" t="s">
        <v>681</v>
      </c>
      <c r="AW24">
        <v>1000</v>
      </c>
      <c r="AX24">
        <v>1.26</v>
      </c>
      <c r="AY24">
        <v>45170</v>
      </c>
      <c r="AZ24"/>
      <c r="BA24">
        <v>6.95</v>
      </c>
      <c r="BB24" t="s">
        <v>96</v>
      </c>
      <c r="BC24">
        <v>45352</v>
      </c>
      <c r="BD24" t="s">
        <v>682</v>
      </c>
      <c r="BE24" t="s">
        <v>671</v>
      </c>
      <c r="BF24">
        <v>45170</v>
      </c>
      <c r="BG24" t="s">
        <v>676</v>
      </c>
      <c r="BH24">
        <v>45170</v>
      </c>
      <c r="BI24" s="129" t="s">
        <v>96</v>
      </c>
      <c r="BJ24" t="s">
        <v>683</v>
      </c>
      <c r="BK24" t="s">
        <v>684</v>
      </c>
      <c r="BL24" s="129" t="s">
        <v>139</v>
      </c>
      <c r="BM24" s="129" t="s">
        <v>139</v>
      </c>
      <c r="BN24" s="129" t="s">
        <v>140</v>
      </c>
      <c r="BO24" s="129" t="s">
        <v>141</v>
      </c>
      <c r="BP24" s="129" t="s">
        <v>142</v>
      </c>
      <c r="BQ24" t="s">
        <v>96</v>
      </c>
      <c r="BR24" s="129" t="s">
        <v>143</v>
      </c>
      <c r="BS24" t="s">
        <v>96</v>
      </c>
      <c r="BT24" t="s">
        <v>17</v>
      </c>
      <c r="BU24" s="56"/>
      <c r="BV24">
        <v>1.26</v>
      </c>
      <c r="BW24">
        <v>9.1880000000000006</v>
      </c>
      <c r="BX24">
        <v>9.8859999999999992</v>
      </c>
      <c r="BY24" t="s">
        <v>315</v>
      </c>
      <c r="BZ24" t="s">
        <v>7</v>
      </c>
      <c r="CA24"/>
      <c r="CB24"/>
      <c r="CC24" t="s">
        <v>87</v>
      </c>
      <c r="CD24" t="s">
        <v>87</v>
      </c>
      <c r="CE24" t="s">
        <v>685</v>
      </c>
      <c r="CF24" t="s">
        <v>7</v>
      </c>
    </row>
    <row r="25" spans="4:84" ht="11.25" x14ac:dyDescent="0.25"/>
    <row r="26" spans="4:84" ht="11.25" x14ac:dyDescent="0.25"/>
    <row r="27" spans="4:84" ht="11.25" x14ac:dyDescent="0.25"/>
    <row r="28" spans="4:84" ht="11.25" x14ac:dyDescent="0.25"/>
  </sheetData>
  <phoneticPr fontId="13" type="noConversion"/>
  <conditionalFormatting sqref="D6">
    <cfRule type="iconSet" priority="4">
      <iconSet showValue="0">
        <cfvo type="percent" val="0"/>
        <cfvo type="num" val="-1"/>
        <cfvo type="num" val="0"/>
      </iconSet>
    </cfRule>
  </conditionalFormatting>
  <conditionalFormatting sqref="D5">
    <cfRule type="iconSet" priority="3">
      <iconSet showValue="0">
        <cfvo type="percent" val="0"/>
        <cfvo type="num" val="-1"/>
        <cfvo type="num" val="0"/>
      </iconSet>
    </cfRule>
  </conditionalFormatting>
  <conditionalFormatting sqref="B11 B15">
    <cfRule type="notContainsText" dxfId="22" priority="2" operator="notContains" text="/">
      <formula>ISERROR(SEARCH("/",B11))</formula>
    </cfRule>
  </conditionalFormatting>
  <conditionalFormatting sqref="B12 B16">
    <cfRule type="notContainsText" dxfId="21" priority="1" operator="notContains" text="DMI">
      <formula>ISERROR(SEARCH("DMI",B12))</formula>
    </cfRule>
  </conditionalFormatting>
  <dataValidations disablePrompts="1" count="1">
    <dataValidation type="list" allowBlank="1" showInputMessage="1" showErrorMessage="1" sqref="I2" xr:uid="{00000000-0002-0000-0100-000002000000}">
      <formula1>dd_updator</formula1>
    </dataValidation>
  </dataValidations>
  <pageMargins left="0.7" right="0.7" top="0.75" bottom="0.75" header="0.3" footer="0.3"/>
  <pageSetup orientation="portrait" r:id="rId1"/>
  <drawing r:id="rId2"/>
  <legacyDrawing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E1E1E9"/>
  </sheetPr>
  <dimension ref="A1:CV73"/>
  <sheetViews>
    <sheetView zoomScale="85" zoomScaleNormal="100" workbookViewId="0">
      <selection activeCell="S9" sqref="S9"/>
    </sheetView>
  </sheetViews>
  <sheetFormatPr defaultColWidth="8.88671875" defaultRowHeight="15.75" customHeight="1" outlineLevelCol="1" x14ac:dyDescent="0.25"/>
  <cols>
    <col min="1" max="1" width="17.5546875" style="3" bestFit="1" customWidth="1"/>
    <col min="2" max="2" width="4" style="3" customWidth="1"/>
    <col min="3" max="3" width="9.33203125" style="3" bestFit="1" customWidth="1"/>
    <col min="4" max="4" width="29.88671875" style="3" bestFit="1" customWidth="1"/>
    <col min="5" max="5" width="8.77734375" style="3" bestFit="1" customWidth="1"/>
    <col min="6" max="6" width="8.6640625" style="3" bestFit="1" customWidth="1"/>
    <col min="7" max="7" width="7.6640625" style="3" bestFit="1" customWidth="1" outlineLevel="1"/>
    <col min="8" max="8" width="9.88671875" style="3" bestFit="1" customWidth="1" outlineLevel="1"/>
    <col min="9" max="9" width="5.6640625" style="3" bestFit="1" customWidth="1" outlineLevel="1"/>
    <col min="10" max="10" width="5.77734375" style="3" bestFit="1" customWidth="1" outlineLevel="1"/>
    <col min="11" max="11" width="7.6640625" style="3" bestFit="1" customWidth="1" outlineLevel="1"/>
    <col min="12" max="12" width="4.33203125" style="3" bestFit="1" customWidth="1" outlineLevel="1"/>
    <col min="13" max="13" width="7.6640625" style="3" bestFit="1" customWidth="1" outlineLevel="1"/>
    <col min="14" max="14" width="13.5546875" style="3" bestFit="1" customWidth="1" outlineLevel="1"/>
    <col min="15" max="15" width="4.6640625" style="3" bestFit="1" customWidth="1" outlineLevel="1"/>
    <col min="16" max="16" width="10.44140625" style="3" bestFit="1" customWidth="1" outlineLevel="1"/>
    <col min="17" max="17" width="4.33203125" style="3" bestFit="1" customWidth="1" outlineLevel="1"/>
    <col min="18" max="18" width="5.77734375" style="3" bestFit="1" customWidth="1" outlineLevel="1"/>
    <col min="19" max="19" width="9.5546875" style="3" bestFit="1" customWidth="1" outlineLevel="1"/>
    <col min="20" max="20" width="16.77734375" style="3" bestFit="1" customWidth="1" outlineLevel="1"/>
    <col min="21" max="21" width="7.6640625" style="3" bestFit="1" customWidth="1" outlineLevel="1"/>
    <col min="22" max="23" width="11" style="3" bestFit="1" customWidth="1" outlineLevel="1"/>
    <col min="24" max="25" width="7.6640625" style="3" bestFit="1" customWidth="1" outlineLevel="1"/>
    <col min="26" max="26" width="14" style="3" bestFit="1" customWidth="1" outlineLevel="1"/>
    <col min="27" max="27" width="6" style="3" bestFit="1" customWidth="1" outlineLevel="1"/>
    <col min="28" max="28" width="7" style="3" bestFit="1" customWidth="1" outlineLevel="1"/>
    <col min="29" max="29" width="7" style="3" bestFit="1" customWidth="1"/>
    <col min="30" max="30" width="20.109375" style="3" bestFit="1" customWidth="1"/>
    <col min="31" max="33" width="2.5546875" style="3" customWidth="1"/>
    <col min="34" max="34" width="28.109375" style="3" bestFit="1" customWidth="1"/>
    <col min="35" max="35" width="20.109375" style="3" bestFit="1" customWidth="1"/>
    <col min="36" max="36" width="14" style="3" bestFit="1" customWidth="1"/>
    <col min="37" max="37" width="9.33203125" style="3" bestFit="1" customWidth="1"/>
    <col min="38" max="38" width="7.6640625" style="3" bestFit="1" customWidth="1"/>
    <col min="39" max="39" width="9.88671875" style="3" bestFit="1" customWidth="1"/>
    <col min="40" max="40" width="12" style="3" bestFit="1" customWidth="1"/>
    <col min="41" max="41" width="7.6640625" style="3" bestFit="1" customWidth="1"/>
    <col min="42" max="42" width="13.6640625" style="3" bestFit="1" customWidth="1"/>
    <col min="43" max="43" width="4.33203125" style="3" bestFit="1" customWidth="1"/>
    <col min="44" max="44" width="9.5546875" style="3" bestFit="1" customWidth="1"/>
    <col min="45" max="45" width="9.33203125" style="3" bestFit="1" customWidth="1"/>
    <col min="46" max="46" width="9.33203125" style="28" bestFit="1" customWidth="1"/>
    <col min="47" max="47" width="7.6640625" style="28" bestFit="1" customWidth="1"/>
    <col min="48" max="48" width="7.21875" style="28" bestFit="1" customWidth="1"/>
    <col min="49" max="49" width="7.6640625" style="28" bestFit="1" customWidth="1"/>
    <col min="50" max="50" width="9.21875" style="28" bestFit="1" customWidth="1"/>
    <col min="51" max="52" width="9.44140625" style="28" bestFit="1" customWidth="1"/>
    <col min="53" max="54" width="11.109375" style="28" bestFit="1" customWidth="1"/>
    <col min="55" max="55" width="9.44140625" style="28" bestFit="1" customWidth="1"/>
    <col min="56" max="56" width="9" style="28" bestFit="1" customWidth="1"/>
    <col min="57" max="58" width="9.44140625" style="28" bestFit="1" customWidth="1"/>
    <col min="59" max="59" width="9.21875" style="28" bestFit="1" customWidth="1"/>
    <col min="60" max="60" width="8.77734375" style="28" bestFit="1" customWidth="1"/>
    <col min="61" max="61" width="9.21875" style="28" bestFit="1" customWidth="1"/>
    <col min="62" max="62" width="42.77734375" style="28" bestFit="1" customWidth="1"/>
    <col min="63" max="63" width="9.21875" style="28" bestFit="1" customWidth="1"/>
    <col min="64" max="64" width="9.44140625" style="28" bestFit="1" customWidth="1"/>
    <col min="65" max="65" width="8.77734375" style="28" bestFit="1" customWidth="1"/>
    <col min="66" max="66" width="9.21875" style="28" bestFit="1" customWidth="1"/>
    <col min="67" max="67" width="15.21875" style="28" bestFit="1" customWidth="1"/>
    <col min="68" max="68" width="5.88671875" style="28" bestFit="1" customWidth="1"/>
    <col min="69" max="69" width="10.77734375" style="28" bestFit="1" customWidth="1"/>
    <col min="70" max="70" width="10.88671875" style="28" bestFit="1" customWidth="1"/>
    <col min="71" max="71" width="11.44140625" style="28" bestFit="1" customWidth="1"/>
    <col min="72" max="72" width="13.5546875" style="28" bestFit="1" customWidth="1"/>
    <col min="73" max="73" width="42.77734375" style="28" bestFit="1" customWidth="1"/>
    <col min="74" max="74" width="9.21875" style="28" bestFit="1" customWidth="1"/>
    <col min="75" max="75" width="10.88671875" style="28" bestFit="1" customWidth="1"/>
    <col min="76" max="76" width="11.44140625" style="28" bestFit="1" customWidth="1"/>
    <col min="77" max="77" width="13.5546875" style="28" bestFit="1" customWidth="1"/>
    <col min="78" max="78" width="51.44140625" style="28" bestFit="1" customWidth="1"/>
    <col min="79" max="79" width="9.21875" style="28" bestFit="1" customWidth="1"/>
    <col min="80" max="80" width="51.44140625" style="28" bestFit="1" customWidth="1"/>
    <col min="81" max="81" width="9.21875" style="28" bestFit="1" customWidth="1"/>
    <col min="82" max="82" width="11.6640625" style="28" bestFit="1" customWidth="1"/>
    <col min="83" max="83" width="15.5546875" style="28" bestFit="1" customWidth="1"/>
    <col min="84" max="84" width="9.44140625" style="28" bestFit="1" customWidth="1"/>
    <col min="85" max="85" width="11.6640625" style="28" bestFit="1" customWidth="1"/>
    <col min="86" max="86" width="15.5546875" style="28" bestFit="1" customWidth="1"/>
    <col min="87" max="87" width="9.44140625" style="28" bestFit="1" customWidth="1"/>
    <col min="88" max="88" width="15.44140625" style="28" bestFit="1" customWidth="1"/>
    <col min="89" max="89" width="6.109375" style="28" bestFit="1" customWidth="1"/>
    <col min="90" max="90" width="15.21875" style="28" bestFit="1" customWidth="1"/>
    <col min="91" max="91" width="5.88671875" style="28" bestFit="1" customWidth="1"/>
    <col min="92" max="92" width="13.109375" style="28" bestFit="1" customWidth="1"/>
    <col min="93" max="93" width="5.88671875" style="28" bestFit="1" customWidth="1"/>
    <col min="94" max="94" width="9.6640625" style="28" bestFit="1" customWidth="1"/>
    <col min="95" max="95" width="14" style="28" bestFit="1" customWidth="1"/>
    <col min="96" max="96" width="14.109375" style="28" bestFit="1" customWidth="1"/>
    <col min="97" max="97" width="13.33203125" style="28" bestFit="1" customWidth="1"/>
    <col min="98" max="99" width="8.109375" style="28" customWidth="1"/>
    <col min="100" max="100" width="8.88671875" style="28" bestFit="1" customWidth="1"/>
    <col min="101" max="121" width="8.109375" style="3" customWidth="1"/>
    <col min="122" max="125" width="9" style="3" customWidth="1"/>
    <col min="126" max="126" width="2.88671875" style="3" customWidth="1"/>
    <col min="127" max="127" width="8.109375" style="3" customWidth="1"/>
    <col min="128" max="128" width="9" style="3" customWidth="1"/>
    <col min="129" max="129" width="6.109375" style="3" bestFit="1" customWidth="1"/>
    <col min="130" max="130" width="7.77734375" style="3" bestFit="1" customWidth="1"/>
    <col min="131" max="16384" width="8.88671875" style="3"/>
  </cols>
  <sheetData>
    <row r="1" spans="1:100" s="1" customFormat="1" ht="48.75" customHeight="1" x14ac:dyDescent="0.25">
      <c r="A1" s="40" t="s">
        <v>160</v>
      </c>
      <c r="B1" s="5"/>
      <c r="D1" s="57">
        <f>IF(LEN($E$6)-LEN(SUBSTITUTE($E$6,"/",""))=1,"请检查1.Download是否已Paste Value",0)</f>
        <v>0</v>
      </c>
      <c r="P1" s="7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</row>
    <row r="2" spans="1:100" s="1" customFormat="1" ht="25.5" customHeight="1" x14ac:dyDescent="0.25"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  <c r="BN2" s="28"/>
      <c r="BO2" s="28"/>
      <c r="BP2" s="28"/>
      <c r="BQ2" s="28"/>
      <c r="BR2" s="28"/>
      <c r="BS2" s="28"/>
      <c r="BT2" s="28"/>
      <c r="BU2" s="28"/>
      <c r="BV2" s="28"/>
      <c r="BW2" s="28"/>
      <c r="BX2" s="28"/>
      <c r="BY2" s="28"/>
      <c r="BZ2" s="28"/>
      <c r="CA2" s="28"/>
      <c r="CB2" s="28"/>
      <c r="CC2" s="28"/>
      <c r="CD2" s="28"/>
      <c r="CJ2" s="28"/>
      <c r="CK2" s="28"/>
      <c r="CL2" s="28"/>
      <c r="CM2" s="28"/>
      <c r="CN2" s="28"/>
      <c r="CO2" s="28"/>
      <c r="CP2" s="28"/>
      <c r="CQ2" s="28"/>
      <c r="CR2" s="28"/>
      <c r="CS2" s="28"/>
      <c r="CT2" s="28"/>
      <c r="CU2" s="28"/>
      <c r="CV2" s="28"/>
    </row>
    <row r="3" spans="1:100" s="1" customFormat="1" ht="25.5" customHeight="1" x14ac:dyDescent="0.25"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  <c r="BN3" s="28"/>
      <c r="BO3" s="28"/>
      <c r="BP3" s="28"/>
      <c r="BQ3" s="28"/>
      <c r="BR3" s="28"/>
      <c r="BS3" s="28"/>
      <c r="BT3" s="28"/>
      <c r="BU3" s="28"/>
      <c r="BV3" s="28"/>
      <c r="BW3" s="28"/>
      <c r="BX3" s="28"/>
      <c r="BY3" s="28"/>
      <c r="BZ3" s="28"/>
      <c r="CA3" s="28"/>
      <c r="CB3" s="28"/>
      <c r="CC3" s="28"/>
      <c r="CD3" s="28"/>
      <c r="CJ3" s="28"/>
      <c r="CK3" s="28"/>
      <c r="CL3" s="28"/>
      <c r="CM3" s="28"/>
      <c r="CN3" s="28"/>
      <c r="CO3" s="28"/>
      <c r="CP3" s="28"/>
      <c r="CQ3" s="28"/>
      <c r="CR3" s="28"/>
      <c r="CS3" s="28"/>
      <c r="CT3" s="28"/>
      <c r="CU3" s="28"/>
      <c r="CV3" s="28"/>
    </row>
    <row r="4" spans="1:100" ht="61.5" customHeight="1" x14ac:dyDescent="0.25">
      <c r="O4" s="4"/>
      <c r="P4" s="7"/>
      <c r="Q4" s="7"/>
      <c r="S4" s="3" t="str">
        <f ca="1">RIGHT(CELL("filename",tbl_review[[#Headers],[定价日]]),LEN(CELL("filename",tbl_review[[#Headers],[定价日]]))-FIND("]",CELL("filename",tbl_review[[#Headers],[定价日]])))</f>
        <v>REVIEW_LIST</v>
      </c>
    </row>
    <row r="5" spans="1:100" ht="15" x14ac:dyDescent="0.25">
      <c r="A5" t="s">
        <v>159</v>
      </c>
      <c r="C5" t="s">
        <v>51</v>
      </c>
      <c r="D5" t="s">
        <v>98</v>
      </c>
      <c r="E5" t="s">
        <v>193</v>
      </c>
      <c r="F5" t="s">
        <v>147</v>
      </c>
      <c r="G5" t="s">
        <v>43</v>
      </c>
      <c r="H5" t="s">
        <v>151</v>
      </c>
      <c r="I5" t="s">
        <v>92</v>
      </c>
      <c r="J5" t="s">
        <v>56</v>
      </c>
      <c r="K5" t="s">
        <v>182</v>
      </c>
      <c r="L5" t="s">
        <v>167</v>
      </c>
      <c r="M5" t="s">
        <v>153</v>
      </c>
      <c r="N5" t="s">
        <v>94</v>
      </c>
      <c r="O5" t="s">
        <v>67</v>
      </c>
      <c r="P5" t="s">
        <v>60</v>
      </c>
      <c r="Q5" t="s">
        <v>91</v>
      </c>
      <c r="R5" t="s">
        <v>124</v>
      </c>
      <c r="S5" t="s">
        <v>168</v>
      </c>
      <c r="T5" t="s">
        <v>95</v>
      </c>
      <c r="U5" t="s">
        <v>184</v>
      </c>
      <c r="V5" t="s">
        <v>54</v>
      </c>
      <c r="W5" t="s">
        <v>53</v>
      </c>
      <c r="X5" t="s">
        <v>229</v>
      </c>
      <c r="Y5" t="s">
        <v>231</v>
      </c>
      <c r="Z5" t="s">
        <v>50</v>
      </c>
      <c r="AA5" t="s">
        <v>189</v>
      </c>
      <c r="AB5" t="s">
        <v>190</v>
      </c>
      <c r="AC5" t="s">
        <v>232</v>
      </c>
      <c r="AD5" t="s">
        <v>152</v>
      </c>
      <c r="AE5" s="39"/>
      <c r="AH5" s="111" t="s">
        <v>98</v>
      </c>
      <c r="AI5" s="111" t="s">
        <v>152</v>
      </c>
      <c r="AJ5" s="111" t="s">
        <v>50</v>
      </c>
      <c r="AK5" s="111" t="s">
        <v>51</v>
      </c>
      <c r="AL5" s="112" t="s">
        <v>225</v>
      </c>
      <c r="AM5" s="112" t="s">
        <v>188</v>
      </c>
      <c r="AN5" s="112" t="s">
        <v>204</v>
      </c>
      <c r="AO5" s="111" t="s">
        <v>187</v>
      </c>
      <c r="AP5" s="112" t="s">
        <v>198</v>
      </c>
      <c r="AQ5" s="112" t="s">
        <v>186</v>
      </c>
      <c r="AR5" s="111" t="s">
        <v>161</v>
      </c>
      <c r="AS5" s="112" t="s">
        <v>202</v>
      </c>
      <c r="AT5" s="112" t="s">
        <v>203</v>
      </c>
      <c r="AU5" s="112" t="s">
        <v>221</v>
      </c>
      <c r="AV5" s="112" t="s">
        <v>222</v>
      </c>
      <c r="AW5" s="112" t="s">
        <v>223</v>
      </c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</row>
    <row r="6" spans="1:100" ht="15" x14ac:dyDescent="0.25">
      <c r="A6" t="s">
        <v>51</v>
      </c>
      <c r="C6" s="56">
        <v>45169</v>
      </c>
      <c r="D6" t="s">
        <v>510</v>
      </c>
      <c r="E6" t="s">
        <v>87</v>
      </c>
      <c r="F6" t="s">
        <v>87</v>
      </c>
      <c r="G6" t="s">
        <v>96</v>
      </c>
      <c r="H6" t="s">
        <v>292</v>
      </c>
      <c r="I6"/>
      <c r="J6"/>
      <c r="K6"/>
      <c r="L6"/>
      <c r="M6"/>
      <c r="N6" t="s">
        <v>38</v>
      </c>
      <c r="O6" t="s">
        <v>89</v>
      </c>
      <c r="P6">
        <v>10</v>
      </c>
      <c r="Q6" t="s">
        <v>166</v>
      </c>
      <c r="R6" t="s">
        <v>695</v>
      </c>
      <c r="S6" t="s">
        <v>696</v>
      </c>
      <c r="T6" t="s">
        <v>327</v>
      </c>
      <c r="U6" t="s">
        <v>119</v>
      </c>
      <c r="V6">
        <v>2.5499999999999998</v>
      </c>
      <c r="W6" t="s">
        <v>96</v>
      </c>
      <c r="X6" t="s">
        <v>96</v>
      </c>
      <c r="Y6" t="s">
        <v>96</v>
      </c>
      <c r="Z6" t="s">
        <v>526</v>
      </c>
      <c r="AA6">
        <v>10</v>
      </c>
      <c r="AB6">
        <v>72.83</v>
      </c>
      <c r="AC6">
        <v>78.42</v>
      </c>
      <c r="AD6" t="s">
        <v>528</v>
      </c>
      <c r="AE6" s="39"/>
      <c r="AH6" s="111" t="s">
        <v>494</v>
      </c>
      <c r="AI6" s="112" t="s">
        <v>591</v>
      </c>
      <c r="AJ6" s="111" t="s">
        <v>493</v>
      </c>
      <c r="AK6" s="113">
        <v>45167</v>
      </c>
      <c r="AL6" s="112"/>
      <c r="AM6" s="112"/>
      <c r="AN6" s="112"/>
      <c r="AO6" s="112"/>
      <c r="AP6" s="112" t="s">
        <v>465</v>
      </c>
      <c r="AQ6" s="112" t="s">
        <v>465</v>
      </c>
      <c r="AR6" s="112" t="s">
        <v>164</v>
      </c>
      <c r="AS6" s="112" t="s">
        <v>7</v>
      </c>
      <c r="AT6" s="112" t="s">
        <v>7</v>
      </c>
      <c r="AU6" s="112"/>
      <c r="AV6" s="112"/>
      <c r="AW6" s="112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</row>
    <row r="7" spans="1:100" ht="15" x14ac:dyDescent="0.25">
      <c r="A7" t="s">
        <v>98</v>
      </c>
      <c r="C7" s="56">
        <v>45169</v>
      </c>
      <c r="D7" t="s">
        <v>529</v>
      </c>
      <c r="E7" t="s">
        <v>87</v>
      </c>
      <c r="F7" t="s">
        <v>87</v>
      </c>
      <c r="G7" t="s">
        <v>439</v>
      </c>
      <c r="H7" t="s">
        <v>7</v>
      </c>
      <c r="I7"/>
      <c r="J7" t="s">
        <v>440</v>
      </c>
      <c r="K7"/>
      <c r="L7"/>
      <c r="M7"/>
      <c r="N7" t="s">
        <v>116</v>
      </c>
      <c r="O7" t="s">
        <v>110</v>
      </c>
      <c r="P7">
        <v>2</v>
      </c>
      <c r="Q7" t="s">
        <v>166</v>
      </c>
      <c r="R7" t="s">
        <v>440</v>
      </c>
      <c r="S7" t="s">
        <v>7</v>
      </c>
      <c r="T7" t="s">
        <v>114</v>
      </c>
      <c r="U7" t="s">
        <v>119</v>
      </c>
      <c r="V7">
        <v>4.8</v>
      </c>
      <c r="W7" t="s">
        <v>277</v>
      </c>
      <c r="X7" t="s">
        <v>96</v>
      </c>
      <c r="Y7" t="s">
        <v>96</v>
      </c>
      <c r="Z7" t="s">
        <v>531</v>
      </c>
      <c r="AA7">
        <v>0.27400000000000002</v>
      </c>
      <c r="AB7">
        <v>2</v>
      </c>
      <c r="AC7">
        <v>2.1539999999999999</v>
      </c>
      <c r="AD7" t="s">
        <v>537</v>
      </c>
      <c r="AE7" s="39"/>
      <c r="AH7" s="111" t="s">
        <v>491</v>
      </c>
      <c r="AI7" s="112" t="s">
        <v>629</v>
      </c>
      <c r="AJ7" s="111" t="s">
        <v>490</v>
      </c>
      <c r="AK7" s="113">
        <v>45167</v>
      </c>
      <c r="AL7" s="112"/>
      <c r="AM7" s="112"/>
      <c r="AN7" s="112"/>
      <c r="AO7" s="112"/>
      <c r="AP7" s="112" t="s">
        <v>465</v>
      </c>
      <c r="AQ7" s="112" t="s">
        <v>465</v>
      </c>
      <c r="AR7" s="112" t="s">
        <v>163</v>
      </c>
      <c r="AS7" s="112" t="s">
        <v>7</v>
      </c>
      <c r="AT7" s="112" t="s">
        <v>7</v>
      </c>
      <c r="AU7" s="112"/>
      <c r="AV7" s="112"/>
      <c r="AW7" s="112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</row>
    <row r="8" spans="1:100" ht="15" x14ac:dyDescent="0.25">
      <c r="A8" t="s">
        <v>193</v>
      </c>
      <c r="C8" s="56">
        <v>45169</v>
      </c>
      <c r="D8" t="s">
        <v>495</v>
      </c>
      <c r="E8" t="s">
        <v>686</v>
      </c>
      <c r="F8" t="s">
        <v>87</v>
      </c>
      <c r="G8" t="s">
        <v>96</v>
      </c>
      <c r="H8" t="s">
        <v>697</v>
      </c>
      <c r="I8" t="s">
        <v>698</v>
      </c>
      <c r="J8" t="s">
        <v>501</v>
      </c>
      <c r="K8">
        <v>10</v>
      </c>
      <c r="L8"/>
      <c r="M8"/>
      <c r="N8" t="s">
        <v>38</v>
      </c>
      <c r="O8" t="s">
        <v>89</v>
      </c>
      <c r="P8">
        <v>5</v>
      </c>
      <c r="Q8" t="s">
        <v>166</v>
      </c>
      <c r="R8" t="s">
        <v>501</v>
      </c>
      <c r="S8" t="s">
        <v>7</v>
      </c>
      <c r="T8" t="s">
        <v>699</v>
      </c>
      <c r="U8" t="s">
        <v>119</v>
      </c>
      <c r="V8">
        <v>5.9</v>
      </c>
      <c r="W8" t="s">
        <v>283</v>
      </c>
      <c r="X8" t="s">
        <v>96</v>
      </c>
      <c r="Y8" t="s">
        <v>96</v>
      </c>
      <c r="Z8" t="s">
        <v>497</v>
      </c>
      <c r="AA8">
        <v>5</v>
      </c>
      <c r="AB8">
        <v>36.414999999999999</v>
      </c>
      <c r="AC8">
        <v>39.21</v>
      </c>
      <c r="AD8" t="s">
        <v>509</v>
      </c>
      <c r="AE8" s="39"/>
      <c r="AH8" s="111" t="s">
        <v>630</v>
      </c>
      <c r="AI8" s="112" t="s">
        <v>644</v>
      </c>
      <c r="AJ8" s="111" t="s">
        <v>642</v>
      </c>
      <c r="AK8" s="113">
        <v>45167</v>
      </c>
      <c r="AL8" s="112"/>
      <c r="AM8" s="112"/>
      <c r="AN8" s="112"/>
      <c r="AO8" s="112"/>
      <c r="AP8" s="112"/>
      <c r="AQ8" s="112"/>
      <c r="AR8" s="112" t="s">
        <v>7</v>
      </c>
      <c r="AS8" s="112" t="s">
        <v>163</v>
      </c>
      <c r="AT8" s="112" t="s">
        <v>7</v>
      </c>
      <c r="AU8" s="112"/>
      <c r="AV8" s="112"/>
      <c r="AW8" s="112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</row>
    <row r="9" spans="1:100" ht="15" x14ac:dyDescent="0.25">
      <c r="A9" t="s">
        <v>147</v>
      </c>
      <c r="C9" s="56">
        <v>45169</v>
      </c>
      <c r="D9" t="s">
        <v>510</v>
      </c>
      <c r="E9" t="s">
        <v>87</v>
      </c>
      <c r="F9" t="s">
        <v>87</v>
      </c>
      <c r="G9" t="s">
        <v>96</v>
      </c>
      <c r="H9" t="s">
        <v>292</v>
      </c>
      <c r="I9"/>
      <c r="J9"/>
      <c r="K9"/>
      <c r="L9"/>
      <c r="M9"/>
      <c r="N9" t="s">
        <v>38</v>
      </c>
      <c r="O9" t="s">
        <v>110</v>
      </c>
      <c r="P9">
        <v>10</v>
      </c>
      <c r="Q9" t="s">
        <v>700</v>
      </c>
      <c r="R9" t="s">
        <v>701</v>
      </c>
      <c r="S9" t="s">
        <v>696</v>
      </c>
      <c r="T9" t="s">
        <v>327</v>
      </c>
      <c r="U9" t="s">
        <v>119</v>
      </c>
      <c r="V9">
        <v>2.4</v>
      </c>
      <c r="W9" t="s">
        <v>96</v>
      </c>
      <c r="X9" t="s">
        <v>96</v>
      </c>
      <c r="Y9" t="s">
        <v>96</v>
      </c>
      <c r="Z9" t="s">
        <v>512</v>
      </c>
      <c r="AA9">
        <v>1.37</v>
      </c>
      <c r="AB9">
        <v>10</v>
      </c>
      <c r="AC9">
        <v>10.77</v>
      </c>
      <c r="AD9" t="s">
        <v>524</v>
      </c>
      <c r="AE9" s="39"/>
      <c r="AH9" s="111" t="s">
        <v>630</v>
      </c>
      <c r="AI9" s="112" t="s">
        <v>640</v>
      </c>
      <c r="AJ9" s="111" t="s">
        <v>632</v>
      </c>
      <c r="AK9" s="113">
        <v>45167</v>
      </c>
      <c r="AL9" s="112"/>
      <c r="AM9" s="112"/>
      <c r="AN9" s="112"/>
      <c r="AO9" s="112"/>
      <c r="AP9" s="112"/>
      <c r="AQ9" s="112"/>
      <c r="AR9" s="112" t="s">
        <v>7</v>
      </c>
      <c r="AS9" s="112" t="s">
        <v>163</v>
      </c>
      <c r="AT9" s="112" t="s">
        <v>7</v>
      </c>
      <c r="AU9" s="112"/>
      <c r="AV9" s="112"/>
      <c r="AW9" s="112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</row>
    <row r="10" spans="1:100" ht="15" x14ac:dyDescent="0.25">
      <c r="A10" t="s">
        <v>43</v>
      </c>
      <c r="C10" s="56">
        <v>45168</v>
      </c>
      <c r="D10" t="s">
        <v>551</v>
      </c>
      <c r="E10" t="s">
        <v>87</v>
      </c>
      <c r="F10" t="s">
        <v>87</v>
      </c>
      <c r="G10" t="s">
        <v>702</v>
      </c>
      <c r="H10" t="s">
        <v>7</v>
      </c>
      <c r="I10"/>
      <c r="J10" t="s">
        <v>554</v>
      </c>
      <c r="K10"/>
      <c r="L10"/>
      <c r="M10"/>
      <c r="N10" t="s">
        <v>703</v>
      </c>
      <c r="O10" t="s">
        <v>378</v>
      </c>
      <c r="P10">
        <v>56.6</v>
      </c>
      <c r="Q10" t="s">
        <v>166</v>
      </c>
      <c r="R10" t="s">
        <v>554</v>
      </c>
      <c r="S10" t="s">
        <v>7</v>
      </c>
      <c r="T10" t="s">
        <v>327</v>
      </c>
      <c r="U10" t="s">
        <v>119</v>
      </c>
      <c r="V10">
        <v>2.2999999999999998</v>
      </c>
      <c r="W10" t="s">
        <v>283</v>
      </c>
      <c r="X10" t="s">
        <v>96</v>
      </c>
      <c r="Y10" t="s">
        <v>96</v>
      </c>
      <c r="Z10" t="s">
        <v>485</v>
      </c>
      <c r="AA10">
        <v>0.39600000000000002</v>
      </c>
      <c r="AB10">
        <v>2.83</v>
      </c>
      <c r="AC10">
        <v>3.056</v>
      </c>
      <c r="AD10" t="s">
        <v>486</v>
      </c>
      <c r="AE10" s="28"/>
      <c r="AF10" s="28"/>
      <c r="AG10" s="28"/>
      <c r="AH10" s="111" t="s">
        <v>630</v>
      </c>
      <c r="AI10" s="112" t="s">
        <v>650</v>
      </c>
      <c r="AJ10" s="111" t="s">
        <v>646</v>
      </c>
      <c r="AK10" s="113">
        <v>45167</v>
      </c>
      <c r="AL10" s="112"/>
      <c r="AM10" s="112"/>
      <c r="AN10" s="112"/>
      <c r="AO10" s="112"/>
      <c r="AP10" s="112"/>
      <c r="AQ10" s="112"/>
      <c r="AR10" s="112" t="s">
        <v>7</v>
      </c>
      <c r="AS10" s="112" t="s">
        <v>163</v>
      </c>
      <c r="AT10" s="112" t="s">
        <v>7</v>
      </c>
      <c r="AU10" s="112"/>
      <c r="AV10" s="112"/>
      <c r="AW10" s="112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</row>
    <row r="11" spans="1:100" ht="15" x14ac:dyDescent="0.25">
      <c r="A11" t="s">
        <v>151</v>
      </c>
      <c r="C11" s="56">
        <v>45168</v>
      </c>
      <c r="D11" t="s">
        <v>538</v>
      </c>
      <c r="E11" t="s">
        <v>686</v>
      </c>
      <c r="F11" t="s">
        <v>686</v>
      </c>
      <c r="G11" t="s">
        <v>96</v>
      </c>
      <c r="H11" t="s">
        <v>7</v>
      </c>
      <c r="I11" t="s">
        <v>698</v>
      </c>
      <c r="J11" t="s">
        <v>541</v>
      </c>
      <c r="K11">
        <v>20</v>
      </c>
      <c r="L11"/>
      <c r="M11"/>
      <c r="N11" t="s">
        <v>41</v>
      </c>
      <c r="O11" t="s">
        <v>89</v>
      </c>
      <c r="P11">
        <v>3</v>
      </c>
      <c r="Q11" t="s">
        <v>166</v>
      </c>
      <c r="R11" t="s">
        <v>541</v>
      </c>
      <c r="S11" t="s">
        <v>7</v>
      </c>
      <c r="T11" t="s">
        <v>438</v>
      </c>
      <c r="U11" t="s">
        <v>119</v>
      </c>
      <c r="V11">
        <v>5.8</v>
      </c>
      <c r="W11" t="s">
        <v>273</v>
      </c>
      <c r="X11" t="s">
        <v>96</v>
      </c>
      <c r="Y11" t="s">
        <v>96</v>
      </c>
      <c r="Z11" t="s">
        <v>487</v>
      </c>
      <c r="AA11">
        <v>3</v>
      </c>
      <c r="AB11">
        <v>21.890999999999998</v>
      </c>
      <c r="AC11">
        <v>23.541</v>
      </c>
      <c r="AD11" t="s">
        <v>488</v>
      </c>
      <c r="AE11" s="28"/>
      <c r="AF11" s="28"/>
      <c r="AG11" s="28"/>
      <c r="AH11" s="111" t="s">
        <v>510</v>
      </c>
      <c r="AI11" s="112" t="s">
        <v>528</v>
      </c>
      <c r="AJ11" s="111" t="s">
        <v>526</v>
      </c>
      <c r="AK11" s="113">
        <v>45169</v>
      </c>
      <c r="AL11" s="112"/>
      <c r="AM11" s="112"/>
      <c r="AN11" s="112"/>
      <c r="AO11" s="112"/>
      <c r="AP11" s="112"/>
      <c r="AQ11" s="112"/>
      <c r="AR11" s="112" t="s">
        <v>7</v>
      </c>
      <c r="AS11" s="112" t="s">
        <v>7</v>
      </c>
      <c r="AT11" s="112" t="s">
        <v>163</v>
      </c>
      <c r="AU11" s="112"/>
      <c r="AV11" s="112"/>
      <c r="AW11" s="112"/>
      <c r="AZ11" s="39"/>
      <c r="BA11" s="3"/>
      <c r="BB11" s="3"/>
      <c r="BF11" s="3"/>
      <c r="BH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</row>
    <row r="12" spans="1:100" ht="15" x14ac:dyDescent="0.25">
      <c r="A12" t="s">
        <v>92</v>
      </c>
      <c r="C12" s="56">
        <v>45167</v>
      </c>
      <c r="D12" t="s">
        <v>630</v>
      </c>
      <c r="E12" t="s">
        <v>87</v>
      </c>
      <c r="F12" t="s">
        <v>87</v>
      </c>
      <c r="G12" t="s">
        <v>96</v>
      </c>
      <c r="H12" t="s">
        <v>292</v>
      </c>
      <c r="I12"/>
      <c r="J12"/>
      <c r="K12"/>
      <c r="L12"/>
      <c r="M12"/>
      <c r="N12" t="s">
        <v>38</v>
      </c>
      <c r="O12" t="s">
        <v>110</v>
      </c>
      <c r="P12">
        <v>9</v>
      </c>
      <c r="Q12" t="s">
        <v>700</v>
      </c>
      <c r="R12" t="s">
        <v>701</v>
      </c>
      <c r="S12" t="s">
        <v>7</v>
      </c>
      <c r="T12" t="s">
        <v>438</v>
      </c>
      <c r="U12" t="s">
        <v>119</v>
      </c>
      <c r="V12">
        <v>2.4</v>
      </c>
      <c r="W12" t="s">
        <v>96</v>
      </c>
      <c r="X12" t="s">
        <v>96</v>
      </c>
      <c r="Y12" t="s">
        <v>96</v>
      </c>
      <c r="Z12" t="s">
        <v>632</v>
      </c>
      <c r="AA12">
        <v>1.2330000000000001</v>
      </c>
      <c r="AB12">
        <v>9</v>
      </c>
      <c r="AC12">
        <v>9.6929999999999996</v>
      </c>
      <c r="AD12" t="s">
        <v>640</v>
      </c>
      <c r="AE12" s="28"/>
      <c r="AF12" s="28"/>
      <c r="AG12" s="28"/>
      <c r="AH12" s="111" t="s">
        <v>538</v>
      </c>
      <c r="AI12" s="112" t="s">
        <v>488</v>
      </c>
      <c r="AJ12" s="111" t="s">
        <v>487</v>
      </c>
      <c r="AK12" s="113">
        <v>45168</v>
      </c>
      <c r="AL12" s="112"/>
      <c r="AM12" s="112"/>
      <c r="AN12" s="112"/>
      <c r="AO12" s="112"/>
      <c r="AP12" s="112"/>
      <c r="AQ12" s="112"/>
      <c r="AR12" s="112" t="s">
        <v>7</v>
      </c>
      <c r="AS12" s="112" t="s">
        <v>163</v>
      </c>
      <c r="AT12" s="112" t="s">
        <v>7</v>
      </c>
      <c r="AU12" s="112"/>
      <c r="AV12" s="112"/>
      <c r="AW12" s="112"/>
      <c r="BB12" s="3"/>
      <c r="BF12" s="3"/>
      <c r="BH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</row>
    <row r="13" spans="1:100" ht="15" x14ac:dyDescent="0.25">
      <c r="A13" t="s">
        <v>56</v>
      </c>
      <c r="C13" s="56">
        <v>45167</v>
      </c>
      <c r="D13" t="s">
        <v>630</v>
      </c>
      <c r="E13" t="s">
        <v>87</v>
      </c>
      <c r="F13" t="s">
        <v>87</v>
      </c>
      <c r="G13" t="s">
        <v>96</v>
      </c>
      <c r="H13" t="s">
        <v>292</v>
      </c>
      <c r="I13"/>
      <c r="J13"/>
      <c r="K13"/>
      <c r="L13"/>
      <c r="M13"/>
      <c r="N13" t="s">
        <v>38</v>
      </c>
      <c r="O13" t="s">
        <v>110</v>
      </c>
      <c r="P13">
        <v>21</v>
      </c>
      <c r="Q13" t="s">
        <v>166</v>
      </c>
      <c r="R13" t="s">
        <v>695</v>
      </c>
      <c r="S13" t="s">
        <v>7</v>
      </c>
      <c r="T13" t="s">
        <v>438</v>
      </c>
      <c r="U13" t="s">
        <v>119</v>
      </c>
      <c r="V13">
        <v>2.5499999999999998</v>
      </c>
      <c r="W13" t="s">
        <v>96</v>
      </c>
      <c r="X13" t="s">
        <v>96</v>
      </c>
      <c r="Y13" t="s">
        <v>96</v>
      </c>
      <c r="Z13" t="s">
        <v>642</v>
      </c>
      <c r="AA13">
        <v>2.8769999999999998</v>
      </c>
      <c r="AB13">
        <v>21</v>
      </c>
      <c r="AC13">
        <v>22.617000000000001</v>
      </c>
      <c r="AD13" t="s">
        <v>644</v>
      </c>
      <c r="AE13" s="28"/>
      <c r="AF13" s="28"/>
      <c r="AG13" s="28"/>
      <c r="AH13" s="111" t="s">
        <v>510</v>
      </c>
      <c r="AI13" s="112" t="s">
        <v>524</v>
      </c>
      <c r="AJ13" s="111" t="s">
        <v>512</v>
      </c>
      <c r="AK13" s="113">
        <v>45169</v>
      </c>
      <c r="AL13" s="112"/>
      <c r="AM13" s="112"/>
      <c r="AN13" s="112"/>
      <c r="AO13" s="112"/>
      <c r="AP13" s="112"/>
      <c r="AQ13" s="112"/>
      <c r="AR13" s="112" t="s">
        <v>7</v>
      </c>
      <c r="AS13" s="112" t="s">
        <v>7</v>
      </c>
      <c r="AT13" s="112" t="s">
        <v>163</v>
      </c>
      <c r="AU13" s="112"/>
      <c r="AV13" s="112"/>
      <c r="AW13" s="112"/>
      <c r="BC13" s="3"/>
      <c r="BE13" s="3"/>
      <c r="BF13" s="3"/>
      <c r="BG13" s="3"/>
      <c r="BH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</row>
    <row r="14" spans="1:100" ht="15" x14ac:dyDescent="0.25">
      <c r="A14" t="s">
        <v>182</v>
      </c>
      <c r="C14" s="56">
        <v>45167</v>
      </c>
      <c r="D14" t="s">
        <v>630</v>
      </c>
      <c r="E14" t="s">
        <v>87</v>
      </c>
      <c r="F14" t="s">
        <v>87</v>
      </c>
      <c r="G14" t="s">
        <v>96</v>
      </c>
      <c r="H14" t="s">
        <v>292</v>
      </c>
      <c r="I14"/>
      <c r="J14"/>
      <c r="K14"/>
      <c r="L14"/>
      <c r="M14"/>
      <c r="N14" t="s">
        <v>38</v>
      </c>
      <c r="O14" t="s">
        <v>110</v>
      </c>
      <c r="P14">
        <v>20</v>
      </c>
      <c r="Q14" t="s">
        <v>704</v>
      </c>
      <c r="R14" t="s">
        <v>705</v>
      </c>
      <c r="S14" t="s">
        <v>7</v>
      </c>
      <c r="T14" t="s">
        <v>438</v>
      </c>
      <c r="U14" t="s">
        <v>119</v>
      </c>
      <c r="V14">
        <v>2.75</v>
      </c>
      <c r="W14" t="s">
        <v>96</v>
      </c>
      <c r="X14" t="s">
        <v>96</v>
      </c>
      <c r="Y14" t="s">
        <v>96</v>
      </c>
      <c r="Z14" t="s">
        <v>646</v>
      </c>
      <c r="AA14">
        <v>2.74</v>
      </c>
      <c r="AB14">
        <v>20</v>
      </c>
      <c r="AC14">
        <v>21.54</v>
      </c>
      <c r="AD14" t="s">
        <v>650</v>
      </c>
      <c r="AE14" s="28"/>
      <c r="AF14" s="28"/>
      <c r="AG14" s="28"/>
      <c r="AT14" s="3"/>
      <c r="AU14" s="3"/>
      <c r="AV14" s="3"/>
      <c r="AW14" s="3"/>
      <c r="BC14" s="3"/>
      <c r="BE14" s="3"/>
      <c r="BF14" s="3"/>
      <c r="BG14" s="3"/>
      <c r="BH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</row>
    <row r="15" spans="1:100" ht="15" x14ac:dyDescent="0.25">
      <c r="A15" t="s">
        <v>167</v>
      </c>
      <c r="C15" s="56">
        <v>45167</v>
      </c>
      <c r="D15" t="s">
        <v>494</v>
      </c>
      <c r="E15" t="s">
        <v>691</v>
      </c>
      <c r="F15" t="s">
        <v>87</v>
      </c>
      <c r="G15" t="s">
        <v>96</v>
      </c>
      <c r="H15" t="s">
        <v>7</v>
      </c>
      <c r="I15" t="s">
        <v>706</v>
      </c>
      <c r="J15" t="s">
        <v>707</v>
      </c>
      <c r="K15">
        <v>10</v>
      </c>
      <c r="L15"/>
      <c r="M15"/>
      <c r="N15" t="s">
        <v>38</v>
      </c>
      <c r="O15" t="s">
        <v>110</v>
      </c>
      <c r="P15">
        <v>8.0619999999999994</v>
      </c>
      <c r="Q15" t="s">
        <v>166</v>
      </c>
      <c r="R15" t="s">
        <v>707</v>
      </c>
      <c r="S15" t="s">
        <v>7</v>
      </c>
      <c r="T15" t="s">
        <v>438</v>
      </c>
      <c r="U15" t="s">
        <v>119</v>
      </c>
      <c r="V15">
        <v>5.5</v>
      </c>
      <c r="W15" t="s">
        <v>283</v>
      </c>
      <c r="X15" t="s">
        <v>96</v>
      </c>
      <c r="Y15" t="s">
        <v>96</v>
      </c>
      <c r="Z15" t="s">
        <v>493</v>
      </c>
      <c r="AA15">
        <v>1.1040000000000001</v>
      </c>
      <c r="AB15">
        <v>8.0619999999999994</v>
      </c>
      <c r="AC15">
        <v>8.6829999999999998</v>
      </c>
      <c r="AD15" t="s">
        <v>591</v>
      </c>
      <c r="AE15" s="28"/>
      <c r="AF15" s="28"/>
      <c r="AG15" s="28"/>
      <c r="AH15" s="28"/>
      <c r="AI15" s="28"/>
      <c r="AJ15" s="28"/>
      <c r="AK15" s="39"/>
      <c r="AT15" s="3"/>
      <c r="AU15" s="3"/>
      <c r="AV15" s="3"/>
      <c r="AW15" s="3"/>
      <c r="BC15" s="3"/>
      <c r="BE15" s="3"/>
      <c r="BF15" s="3"/>
      <c r="BG15" s="3"/>
      <c r="BH15" s="3"/>
      <c r="BI15" s="3"/>
      <c r="BJ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</row>
    <row r="16" spans="1:100" ht="15" x14ac:dyDescent="0.25">
      <c r="A16" t="s">
        <v>153</v>
      </c>
      <c r="C16" s="56">
        <v>45167</v>
      </c>
      <c r="D16" t="s">
        <v>604</v>
      </c>
      <c r="E16" t="s">
        <v>689</v>
      </c>
      <c r="F16" t="s">
        <v>87</v>
      </c>
      <c r="G16" t="s">
        <v>708</v>
      </c>
      <c r="H16" t="s">
        <v>7</v>
      </c>
      <c r="I16"/>
      <c r="J16"/>
      <c r="K16"/>
      <c r="L16"/>
      <c r="M16"/>
      <c r="N16" t="s">
        <v>117</v>
      </c>
      <c r="O16" t="s">
        <v>89</v>
      </c>
      <c r="P16">
        <v>0.5</v>
      </c>
      <c r="Q16" t="s">
        <v>441</v>
      </c>
      <c r="R16" t="s">
        <v>442</v>
      </c>
      <c r="S16" t="s">
        <v>7</v>
      </c>
      <c r="T16" t="s">
        <v>438</v>
      </c>
      <c r="U16" t="s">
        <v>119</v>
      </c>
      <c r="V16">
        <v>7</v>
      </c>
      <c r="W16" t="s">
        <v>273</v>
      </c>
      <c r="X16" t="s">
        <v>96</v>
      </c>
      <c r="Y16" t="s">
        <v>443</v>
      </c>
      <c r="Z16" t="s">
        <v>606</v>
      </c>
      <c r="AA16">
        <v>0.5</v>
      </c>
      <c r="AB16">
        <v>3.6440000000000001</v>
      </c>
      <c r="AC16">
        <v>3.923</v>
      </c>
      <c r="AD16" t="s">
        <v>617</v>
      </c>
      <c r="AE16" s="28"/>
      <c r="AF16" s="28"/>
      <c r="AG16" s="28"/>
      <c r="AH16" s="28"/>
      <c r="AN16" s="28"/>
      <c r="AS16" s="28"/>
      <c r="BC16" s="3"/>
      <c r="BE16" s="3"/>
      <c r="BF16" s="3"/>
      <c r="BG16" s="3"/>
      <c r="BH16" s="3"/>
      <c r="BI16" s="3"/>
      <c r="BJ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</row>
    <row r="17" spans="1:100" ht="15" x14ac:dyDescent="0.25">
      <c r="A17" t="s">
        <v>94</v>
      </c>
      <c r="C17" s="56">
        <v>45167</v>
      </c>
      <c r="D17" t="s">
        <v>491</v>
      </c>
      <c r="E17" t="s">
        <v>385</v>
      </c>
      <c r="F17" t="s">
        <v>385</v>
      </c>
      <c r="G17" t="s">
        <v>96</v>
      </c>
      <c r="H17" t="s">
        <v>7</v>
      </c>
      <c r="I17" t="s">
        <v>709</v>
      </c>
      <c r="J17" t="s">
        <v>501</v>
      </c>
      <c r="K17">
        <v>40</v>
      </c>
      <c r="L17"/>
      <c r="M17"/>
      <c r="N17" t="s">
        <v>41</v>
      </c>
      <c r="O17" t="s">
        <v>89</v>
      </c>
      <c r="P17">
        <v>1.22</v>
      </c>
      <c r="Q17" t="s">
        <v>166</v>
      </c>
      <c r="R17" t="s">
        <v>501</v>
      </c>
      <c r="S17" t="s">
        <v>7</v>
      </c>
      <c r="T17" t="s">
        <v>438</v>
      </c>
      <c r="U17" t="s">
        <v>119</v>
      </c>
      <c r="V17">
        <v>5.9</v>
      </c>
      <c r="W17" t="s">
        <v>283</v>
      </c>
      <c r="X17" t="s">
        <v>96</v>
      </c>
      <c r="Y17" t="s">
        <v>96</v>
      </c>
      <c r="Z17" t="s">
        <v>490</v>
      </c>
      <c r="AA17">
        <v>1.22</v>
      </c>
      <c r="AB17">
        <v>8.89</v>
      </c>
      <c r="AC17">
        <v>9.5719999999999992</v>
      </c>
      <c r="AD17" t="s">
        <v>629</v>
      </c>
      <c r="AE17" s="28"/>
      <c r="AF17" s="28"/>
      <c r="AG17" s="28"/>
      <c r="AH17" s="28"/>
      <c r="AO17" s="28"/>
      <c r="BC17" s="3"/>
      <c r="BE17" s="3"/>
      <c r="BF17" s="3"/>
      <c r="BG17" s="3"/>
      <c r="BH17" s="3"/>
      <c r="BI17" s="3"/>
      <c r="BJ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</row>
    <row r="18" spans="1:100" ht="15" x14ac:dyDescent="0.25">
      <c r="A18" t="s">
        <v>67</v>
      </c>
      <c r="C18" s="56">
        <v>45166</v>
      </c>
      <c r="D18" t="s">
        <v>671</v>
      </c>
      <c r="E18" t="s">
        <v>87</v>
      </c>
      <c r="F18" t="s">
        <v>87</v>
      </c>
      <c r="G18" t="s">
        <v>96</v>
      </c>
      <c r="H18" t="s">
        <v>7</v>
      </c>
      <c r="I18" t="s">
        <v>710</v>
      </c>
      <c r="J18" t="s">
        <v>676</v>
      </c>
      <c r="K18">
        <v>35</v>
      </c>
      <c r="L18"/>
      <c r="M18"/>
      <c r="N18" t="s">
        <v>41</v>
      </c>
      <c r="O18" t="s">
        <v>89</v>
      </c>
      <c r="P18">
        <v>1.26</v>
      </c>
      <c r="Q18" t="s">
        <v>166</v>
      </c>
      <c r="R18" t="s">
        <v>676</v>
      </c>
      <c r="S18" t="s">
        <v>7</v>
      </c>
      <c r="T18" t="s">
        <v>438</v>
      </c>
      <c r="U18" t="s">
        <v>119</v>
      </c>
      <c r="V18">
        <v>6.95</v>
      </c>
      <c r="W18" t="s">
        <v>283</v>
      </c>
      <c r="X18" t="s">
        <v>96</v>
      </c>
      <c r="Y18" t="s">
        <v>96</v>
      </c>
      <c r="Z18" t="s">
        <v>673</v>
      </c>
      <c r="AA18">
        <v>1.26</v>
      </c>
      <c r="AB18">
        <v>9.1880000000000006</v>
      </c>
      <c r="AC18">
        <v>9.8859999999999992</v>
      </c>
      <c r="AD18" t="s">
        <v>685</v>
      </c>
      <c r="AE18" s="28"/>
      <c r="AF18" s="28"/>
      <c r="AG18" s="28"/>
      <c r="AH18" t="s">
        <v>98</v>
      </c>
      <c r="AI18" t="s">
        <v>194</v>
      </c>
      <c r="AJ18" t="s">
        <v>226</v>
      </c>
      <c r="AK18" t="s">
        <v>253</v>
      </c>
      <c r="AO18" s="28"/>
      <c r="BC18" s="3"/>
      <c r="BE18" s="3"/>
      <c r="BF18" s="3"/>
      <c r="BG18" s="3"/>
      <c r="BH18" s="3"/>
      <c r="BI18" s="3"/>
      <c r="BJ18" s="3"/>
      <c r="BK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</row>
    <row r="19" spans="1:100" ht="15" x14ac:dyDescent="0.25">
      <c r="A19" t="s">
        <v>60</v>
      </c>
      <c r="C19" s="56">
        <v>45166</v>
      </c>
      <c r="D19" t="s">
        <v>657</v>
      </c>
      <c r="E19" t="s">
        <v>87</v>
      </c>
      <c r="F19" t="s">
        <v>87</v>
      </c>
      <c r="G19" t="s">
        <v>96</v>
      </c>
      <c r="H19" t="s">
        <v>7</v>
      </c>
      <c r="I19" t="s">
        <v>711</v>
      </c>
      <c r="J19" t="s">
        <v>663</v>
      </c>
      <c r="K19">
        <v>25</v>
      </c>
      <c r="L19"/>
      <c r="M19"/>
      <c r="N19" t="s">
        <v>41</v>
      </c>
      <c r="O19" t="s">
        <v>89</v>
      </c>
      <c r="P19">
        <v>2</v>
      </c>
      <c r="Q19" t="s">
        <v>166</v>
      </c>
      <c r="R19" t="s">
        <v>663</v>
      </c>
      <c r="S19" t="s">
        <v>7</v>
      </c>
      <c r="T19" t="s">
        <v>483</v>
      </c>
      <c r="U19" t="s">
        <v>119</v>
      </c>
      <c r="V19">
        <v>7.25</v>
      </c>
      <c r="W19" t="s">
        <v>283</v>
      </c>
      <c r="X19" t="s">
        <v>96</v>
      </c>
      <c r="Y19" t="s">
        <v>96</v>
      </c>
      <c r="Z19" t="s">
        <v>659</v>
      </c>
      <c r="AA19">
        <v>2</v>
      </c>
      <c r="AB19">
        <v>14.584</v>
      </c>
      <c r="AC19">
        <v>15.692</v>
      </c>
      <c r="AD19" t="s">
        <v>670</v>
      </c>
      <c r="AE19" s="28"/>
      <c r="AF19" s="28"/>
      <c r="AG19" s="28"/>
      <c r="AH19"/>
      <c r="AI19"/>
      <c r="AJ19"/>
      <c r="AK19"/>
      <c r="AM19" s="28"/>
      <c r="AO19" s="28"/>
      <c r="BF19" s="3"/>
      <c r="BH19" s="3"/>
      <c r="BI19" s="3"/>
      <c r="BJ19" s="3"/>
      <c r="BK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</row>
    <row r="20" spans="1:100" ht="15" x14ac:dyDescent="0.25">
      <c r="A20" t="s">
        <v>91</v>
      </c>
      <c r="L20" s="28"/>
      <c r="M20" s="28"/>
      <c r="N20" s="28"/>
      <c r="O20" s="28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O20" s="28"/>
      <c r="BN20" s="3"/>
      <c r="BO20" s="3"/>
      <c r="BR20" s="3"/>
      <c r="BS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</row>
    <row r="21" spans="1:100" ht="15" x14ac:dyDescent="0.25">
      <c r="A21" t="s">
        <v>124</v>
      </c>
      <c r="L21" s="28"/>
      <c r="M21" s="28"/>
      <c r="N21" s="28"/>
      <c r="O21" s="28"/>
      <c r="P21" s="28"/>
      <c r="Q21" s="28"/>
      <c r="R21" s="28"/>
      <c r="S21" s="28"/>
      <c r="T21" s="28"/>
      <c r="U21" s="28"/>
      <c r="V21" s="28"/>
      <c r="W21" s="28"/>
      <c r="X21" s="28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N21" s="28"/>
      <c r="AO21" s="28"/>
      <c r="AP21" s="28"/>
      <c r="AQ21" s="28"/>
      <c r="AR21" s="28"/>
      <c r="AS21" s="28"/>
      <c r="BN21" s="3"/>
      <c r="BO21" s="3"/>
      <c r="BR21" s="3"/>
      <c r="BS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</row>
    <row r="22" spans="1:100" ht="15" x14ac:dyDescent="0.25">
      <c r="A22" t="s">
        <v>168</v>
      </c>
      <c r="L22" s="28"/>
      <c r="M22" s="28"/>
      <c r="N22" s="28"/>
      <c r="O22" s="28"/>
      <c r="P22" s="28"/>
      <c r="Q22" s="28"/>
      <c r="R22" s="28"/>
      <c r="S22" s="28"/>
      <c r="T22" s="28"/>
      <c r="U22" s="28"/>
      <c r="V22" s="28"/>
      <c r="W22" s="28"/>
      <c r="X22" s="28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N22" s="28"/>
      <c r="AO22" s="28"/>
      <c r="AP22" s="28"/>
      <c r="AQ22" s="28"/>
      <c r="AR22" s="28"/>
      <c r="AS22" s="28"/>
      <c r="BS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</row>
    <row r="23" spans="1:100" ht="15" x14ac:dyDescent="0.25">
      <c r="A23" t="s">
        <v>95</v>
      </c>
      <c r="L23" s="28"/>
      <c r="M23" s="28"/>
      <c r="N23" s="28"/>
      <c r="O23" s="28"/>
      <c r="P23" s="28"/>
      <c r="Q23" s="28"/>
      <c r="R23" s="28"/>
      <c r="S23" s="28"/>
      <c r="T23" s="28"/>
      <c r="U23" s="28"/>
      <c r="V23" s="28"/>
      <c r="W23" s="28"/>
      <c r="X23" s="28"/>
      <c r="Y23" s="28"/>
      <c r="Z23" s="28"/>
      <c r="AA23" s="28"/>
      <c r="AB23" s="28"/>
      <c r="AC23" s="28"/>
      <c r="AD23" s="28"/>
      <c r="AE23" s="28"/>
      <c r="AF23" s="28"/>
      <c r="AG23" s="28"/>
      <c r="AH23" s="28"/>
      <c r="AI23" s="28"/>
      <c r="AJ23" s="28"/>
      <c r="AK23" s="28"/>
      <c r="AL23" s="28"/>
      <c r="AM23" s="28"/>
      <c r="AN23" s="28"/>
      <c r="AO23" s="28"/>
      <c r="AP23" s="28"/>
      <c r="AQ23" s="28"/>
      <c r="AR23" s="28"/>
      <c r="AS23" s="28"/>
      <c r="BS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</row>
    <row r="24" spans="1:100" ht="15" x14ac:dyDescent="0.25">
      <c r="A24" t="s">
        <v>184</v>
      </c>
      <c r="L24" s="28"/>
      <c r="M24" s="28"/>
      <c r="N24" s="28"/>
      <c r="O24" s="28"/>
      <c r="P24" s="28"/>
      <c r="Q24" s="28"/>
      <c r="R24" s="28"/>
      <c r="S24" s="28"/>
      <c r="T24" s="28"/>
      <c r="U24" s="28"/>
      <c r="V24" s="28"/>
      <c r="W24" s="28"/>
      <c r="X24" s="28"/>
      <c r="Y24" s="28"/>
      <c r="Z24" s="28"/>
      <c r="AA24" s="28"/>
      <c r="AB24" s="28"/>
      <c r="AC24" s="28"/>
      <c r="AD24" s="28"/>
      <c r="AE24" s="28"/>
      <c r="AF24" s="28"/>
      <c r="AG24" s="28"/>
      <c r="AH24" s="28"/>
      <c r="AI24" s="28"/>
      <c r="AJ24" s="28"/>
      <c r="AK24" s="28"/>
      <c r="AL24" s="28"/>
      <c r="AM24" s="28"/>
      <c r="AN24" s="28"/>
      <c r="AO24" s="28"/>
      <c r="AP24" s="28"/>
      <c r="AQ24" s="28"/>
      <c r="AR24" s="28"/>
      <c r="AS24" s="28"/>
      <c r="BS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</row>
    <row r="25" spans="1:100" ht="15" x14ac:dyDescent="0.25">
      <c r="A25" t="s">
        <v>54</v>
      </c>
      <c r="L25" s="28"/>
      <c r="M25" s="28"/>
      <c r="N25" s="28"/>
      <c r="O25" s="28"/>
      <c r="P25" s="28"/>
      <c r="Q25" s="28"/>
      <c r="R25" s="28"/>
      <c r="S25" s="28"/>
      <c r="T25" s="28"/>
      <c r="U25" s="28"/>
      <c r="V25" s="28"/>
      <c r="W25" s="28"/>
      <c r="X25" s="28"/>
      <c r="Y25" s="28"/>
      <c r="Z25" s="28"/>
      <c r="AA25" s="28"/>
      <c r="AB25" s="28"/>
      <c r="AC25" s="28"/>
      <c r="AD25" s="28"/>
      <c r="AE25" s="28"/>
      <c r="AF25" s="28"/>
      <c r="AG25" s="28"/>
      <c r="AH25" s="28"/>
      <c r="AI25" s="28"/>
      <c r="AJ25" s="28"/>
      <c r="AK25" s="28"/>
      <c r="AL25" s="28"/>
      <c r="AM25" s="28"/>
      <c r="AN25" s="28"/>
      <c r="AO25" s="28"/>
      <c r="AP25" s="28"/>
      <c r="AQ25" s="28"/>
      <c r="AR25" s="28"/>
      <c r="AS25" s="28"/>
      <c r="BS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</row>
    <row r="26" spans="1:100" ht="15" x14ac:dyDescent="0.25">
      <c r="A26" t="s">
        <v>53</v>
      </c>
      <c r="L26" s="28"/>
      <c r="M26" s="28"/>
      <c r="N26" s="28"/>
      <c r="O26" s="28"/>
      <c r="P26" s="28"/>
      <c r="Q26" s="28"/>
      <c r="R26" s="28"/>
      <c r="S26" s="28"/>
      <c r="T26" s="28"/>
      <c r="U26" s="28"/>
      <c r="V26" s="28"/>
      <c r="W26" s="28"/>
      <c r="X26" s="28"/>
      <c r="Y26" s="28"/>
      <c r="Z26" s="28"/>
      <c r="AA26" s="28"/>
      <c r="AB26" s="28"/>
      <c r="AC26" s="28"/>
      <c r="AD26" s="28"/>
      <c r="AE26" s="28"/>
      <c r="AF26" s="28"/>
      <c r="AG26" s="28"/>
      <c r="AH26" s="28"/>
      <c r="AI26" s="28"/>
      <c r="AJ26" s="28"/>
      <c r="AK26" s="28"/>
      <c r="AL26" s="28"/>
      <c r="AM26" s="28"/>
      <c r="AN26" s="28"/>
      <c r="AO26" s="28"/>
      <c r="AP26" s="28"/>
      <c r="AQ26" s="28"/>
      <c r="AR26" s="28"/>
      <c r="AS26" s="28"/>
      <c r="BS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</row>
    <row r="27" spans="1:100" ht="15" x14ac:dyDescent="0.25">
      <c r="A27" t="s">
        <v>229</v>
      </c>
      <c r="L27" s="28"/>
      <c r="M27" s="28"/>
      <c r="N27" s="28"/>
      <c r="O27" s="28"/>
      <c r="P27" s="28"/>
      <c r="Q27" s="28"/>
      <c r="R27" s="28"/>
      <c r="S27" s="28"/>
      <c r="T27" s="28"/>
      <c r="U27" s="28"/>
      <c r="V27" s="28"/>
      <c r="W27" s="28"/>
      <c r="X27" s="28"/>
      <c r="Y27" s="28"/>
      <c r="Z27" s="28"/>
      <c r="AA27" s="28"/>
      <c r="AB27" s="28"/>
      <c r="AC27" s="28"/>
      <c r="AD27" s="28"/>
      <c r="AE27" s="28"/>
      <c r="AF27" s="28"/>
      <c r="AG27" s="28"/>
      <c r="AH27" s="28"/>
      <c r="AI27" s="28"/>
      <c r="AJ27" s="28"/>
      <c r="AK27" s="28"/>
      <c r="AL27" s="28"/>
      <c r="AM27" s="28"/>
      <c r="AN27" s="28"/>
      <c r="AO27" s="28"/>
      <c r="AP27" s="28"/>
      <c r="AQ27" s="28"/>
      <c r="AR27" s="28"/>
      <c r="AS27" s="28"/>
      <c r="BT27" s="3"/>
      <c r="BU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</row>
    <row r="28" spans="1:100" ht="15" x14ac:dyDescent="0.25">
      <c r="A28" t="s">
        <v>231</v>
      </c>
      <c r="L28" s="28"/>
      <c r="M28" s="28"/>
      <c r="N28" s="28"/>
      <c r="O28" s="28"/>
      <c r="P28" s="28"/>
      <c r="Q28" s="28"/>
      <c r="R28" s="28"/>
      <c r="S28" s="28"/>
      <c r="T28" s="28"/>
      <c r="U28" s="28"/>
      <c r="V28" s="28"/>
      <c r="W28" s="28"/>
      <c r="X28" s="28"/>
      <c r="Y28" s="28"/>
      <c r="Z28" s="28"/>
      <c r="AA28" s="28"/>
      <c r="AB28" s="28"/>
      <c r="AC28" s="28"/>
      <c r="AD28" s="28"/>
      <c r="AE28" s="28"/>
      <c r="AF28" s="28"/>
      <c r="AG28" s="28"/>
      <c r="AH28" s="28"/>
      <c r="AI28" s="28"/>
      <c r="AJ28" s="28"/>
      <c r="AK28" s="28"/>
      <c r="AL28" s="28"/>
      <c r="AM28" s="28"/>
      <c r="AN28" s="28"/>
      <c r="AO28" s="28"/>
      <c r="AP28" s="28"/>
      <c r="AQ28" s="28"/>
      <c r="AR28" s="28"/>
      <c r="AS28" s="28"/>
      <c r="BT28" s="3"/>
      <c r="BU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</row>
    <row r="29" spans="1:100" ht="15" x14ac:dyDescent="0.25">
      <c r="A29" t="s">
        <v>50</v>
      </c>
      <c r="L29" s="28"/>
      <c r="M29" s="28"/>
      <c r="N29" s="28"/>
      <c r="O29" s="28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28"/>
      <c r="AF29" s="28"/>
      <c r="AG29" s="28"/>
      <c r="AH29" s="28"/>
      <c r="AI29" s="28"/>
      <c r="AJ29" s="28"/>
      <c r="AK29" s="28"/>
      <c r="AL29" s="28"/>
      <c r="AM29" s="28"/>
      <c r="AN29" s="28"/>
      <c r="AO29" s="28"/>
      <c r="AP29" s="28"/>
      <c r="AQ29" s="28"/>
      <c r="AR29" s="28"/>
      <c r="AS29" s="28"/>
      <c r="BT29" s="3"/>
      <c r="BU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</row>
    <row r="30" spans="1:100" ht="15" x14ac:dyDescent="0.25">
      <c r="A30" t="s">
        <v>189</v>
      </c>
      <c r="L30" s="28"/>
      <c r="M30" s="28"/>
      <c r="N30" s="28"/>
      <c r="O30" s="28"/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28"/>
      <c r="AF30" s="28"/>
      <c r="AG30" s="28"/>
      <c r="AH30" s="28"/>
      <c r="AI30" s="28"/>
      <c r="AJ30" s="28"/>
      <c r="AK30" s="28"/>
      <c r="AL30" s="28"/>
      <c r="AM30" s="28"/>
      <c r="AN30" s="28"/>
      <c r="AO30" s="28"/>
      <c r="AP30" s="28"/>
      <c r="AQ30" s="28"/>
      <c r="AR30" s="28"/>
      <c r="AS30" s="28"/>
      <c r="BT30" s="3"/>
      <c r="BU30" s="3"/>
      <c r="BW30" s="3"/>
      <c r="BX30" s="3"/>
      <c r="BY30" s="3"/>
      <c r="BZ30" s="3"/>
      <c r="CA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</row>
    <row r="31" spans="1:100" ht="15" x14ac:dyDescent="0.25">
      <c r="A31" t="s">
        <v>190</v>
      </c>
      <c r="L31" s="28"/>
      <c r="M31" s="28"/>
      <c r="N31" s="28"/>
      <c r="O31" s="28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28"/>
      <c r="AF31" s="28"/>
      <c r="AG31" s="28"/>
      <c r="AH31" s="28"/>
      <c r="AI31" s="28"/>
      <c r="AJ31" s="28"/>
      <c r="AK31" s="28"/>
      <c r="AL31" s="28"/>
      <c r="AM31" s="28"/>
      <c r="AN31" s="28"/>
      <c r="AO31" s="28"/>
      <c r="AP31" s="28"/>
      <c r="AQ31" s="28"/>
      <c r="AR31" s="28"/>
      <c r="AS31" s="28"/>
      <c r="BT31" s="3"/>
      <c r="BU31" s="3"/>
      <c r="BW31" s="3"/>
      <c r="BX31" s="3"/>
      <c r="BY31" s="3"/>
      <c r="BZ31" s="3"/>
      <c r="CA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</row>
    <row r="32" spans="1:100" ht="15" x14ac:dyDescent="0.25">
      <c r="A32" t="s">
        <v>232</v>
      </c>
      <c r="L32" s="28"/>
      <c r="M32" s="28"/>
      <c r="N32" s="28"/>
      <c r="O32" s="28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28"/>
      <c r="AF32" s="28"/>
      <c r="AG32" s="28"/>
      <c r="AH32" s="28"/>
      <c r="AI32" s="28"/>
      <c r="AJ32" s="28"/>
      <c r="AK32" s="28"/>
      <c r="AL32" s="28"/>
      <c r="AM32" s="28"/>
      <c r="AN32" s="28"/>
      <c r="AO32" s="28"/>
      <c r="AP32" s="28"/>
      <c r="AQ32" s="28"/>
      <c r="AR32" s="28"/>
      <c r="AS32" s="28"/>
      <c r="BT32" s="3"/>
      <c r="BU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</row>
    <row r="33" spans="1:100" ht="15" x14ac:dyDescent="0.25">
      <c r="A33" t="s">
        <v>152</v>
      </c>
      <c r="L33" s="28"/>
      <c r="M33" s="28"/>
      <c r="N33" s="28"/>
      <c r="O33" s="28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28"/>
      <c r="AF33" s="28"/>
      <c r="AG33" s="28"/>
      <c r="AH33" s="28"/>
      <c r="AI33" s="28"/>
      <c r="AJ33" s="28"/>
      <c r="AK33" s="28"/>
      <c r="AL33" s="28"/>
      <c r="AM33" s="28"/>
      <c r="AN33" s="28"/>
      <c r="AO33" s="28"/>
      <c r="AP33" s="28"/>
      <c r="AQ33" s="28"/>
      <c r="AR33" s="28"/>
      <c r="AS33" s="28"/>
      <c r="BT33" s="3"/>
      <c r="BU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</row>
    <row r="34" spans="1:100" ht="13.5" x14ac:dyDescent="0.25">
      <c r="L34" s="28"/>
      <c r="M34" s="28"/>
      <c r="N34" s="28"/>
      <c r="O34" s="28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28"/>
      <c r="AF34" s="28"/>
      <c r="AG34" s="28"/>
      <c r="AH34" s="28"/>
      <c r="AI34" s="28"/>
      <c r="AJ34" s="28"/>
      <c r="AK34" s="28"/>
      <c r="AL34" s="28"/>
      <c r="AM34" s="28"/>
      <c r="AN34" s="28"/>
      <c r="AO34" s="28"/>
      <c r="AP34" s="28"/>
      <c r="AQ34" s="28"/>
      <c r="AR34" s="28"/>
      <c r="AS34" s="28"/>
      <c r="BT34" s="3"/>
      <c r="BU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</row>
    <row r="35" spans="1:100" ht="13.5" x14ac:dyDescent="0.25">
      <c r="L35" s="28"/>
      <c r="M35" s="28"/>
      <c r="N35" s="28"/>
      <c r="O35" s="28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28"/>
      <c r="AF35" s="28"/>
      <c r="AG35" s="28"/>
      <c r="AH35" s="28"/>
      <c r="AI35" s="28"/>
      <c r="AJ35" s="28"/>
      <c r="AK35" s="28"/>
      <c r="AL35" s="28"/>
      <c r="AM35" s="28"/>
      <c r="AN35" s="28"/>
      <c r="AO35" s="28"/>
      <c r="AP35" s="28"/>
      <c r="AQ35" s="28"/>
      <c r="AR35" s="28"/>
      <c r="AS35" s="28"/>
      <c r="BT35" s="3"/>
      <c r="BU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</row>
    <row r="36" spans="1:100" ht="13.5" x14ac:dyDescent="0.25">
      <c r="L36" s="28"/>
      <c r="M36" s="28"/>
      <c r="N36" s="28"/>
      <c r="O36" s="28"/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28"/>
      <c r="AF36" s="28"/>
      <c r="AG36" s="28"/>
      <c r="AH36" s="28"/>
      <c r="AI36" s="28"/>
      <c r="AJ36" s="28"/>
      <c r="AK36" s="28"/>
      <c r="AL36" s="28"/>
      <c r="AM36" s="28"/>
      <c r="AN36" s="28"/>
      <c r="AO36" s="28"/>
      <c r="AP36" s="28"/>
      <c r="AQ36" s="28"/>
      <c r="AR36" s="28"/>
      <c r="AS36" s="28"/>
      <c r="BT36" s="3"/>
      <c r="BU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</row>
    <row r="37" spans="1:100" ht="15.75" customHeight="1" x14ac:dyDescent="0.25">
      <c r="L37" s="28"/>
      <c r="M37" s="28"/>
      <c r="N37" s="28"/>
      <c r="O37" s="28"/>
      <c r="P37" s="28"/>
      <c r="Q37" s="28"/>
      <c r="R37" s="28"/>
      <c r="S37" s="28"/>
      <c r="T37" s="28"/>
      <c r="U37" s="28"/>
      <c r="V37" s="28"/>
      <c r="W37" s="28"/>
      <c r="X37" s="28"/>
      <c r="Y37" s="28"/>
      <c r="Z37" s="28"/>
      <c r="AA37" s="28"/>
      <c r="AB37" s="28"/>
      <c r="AC37" s="28"/>
      <c r="AD37" s="28"/>
      <c r="AE37" s="28"/>
      <c r="AF37" s="28"/>
      <c r="AG37" s="28"/>
      <c r="AH37" s="28"/>
      <c r="AI37" s="28"/>
      <c r="AJ37" s="28"/>
      <c r="AK37" s="28"/>
      <c r="AL37" s="28"/>
      <c r="AM37" s="28"/>
      <c r="AN37" s="28"/>
      <c r="AO37" s="28"/>
      <c r="AP37" s="28"/>
      <c r="AQ37" s="28"/>
      <c r="AR37" s="28"/>
      <c r="AS37" s="28"/>
      <c r="BT37" s="3"/>
      <c r="BU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</row>
    <row r="38" spans="1:100" ht="15.75" customHeight="1" x14ac:dyDescent="0.25">
      <c r="L38" s="28"/>
      <c r="M38" s="28"/>
      <c r="N38" s="28"/>
      <c r="O38" s="28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28"/>
      <c r="AF38" s="28"/>
      <c r="AG38" s="28"/>
      <c r="AH38" s="28"/>
      <c r="AI38" s="28"/>
      <c r="AJ38" s="28"/>
      <c r="AK38" s="28"/>
      <c r="AL38" s="28"/>
      <c r="AM38" s="28"/>
      <c r="AN38" s="28"/>
      <c r="AO38" s="28"/>
      <c r="AP38" s="28"/>
      <c r="AQ38" s="28"/>
      <c r="AR38" s="28"/>
      <c r="AS38" s="28"/>
      <c r="BT38" s="3"/>
      <c r="BU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</row>
    <row r="39" spans="1:100" ht="15.75" customHeight="1" x14ac:dyDescent="0.25">
      <c r="L39" s="28"/>
      <c r="M39" s="28"/>
      <c r="N39" s="28"/>
      <c r="O39" s="28"/>
      <c r="P39" s="28"/>
      <c r="Q39" s="28"/>
      <c r="R39" s="28"/>
      <c r="S39" s="28"/>
      <c r="T39" s="28"/>
      <c r="U39" s="28"/>
      <c r="V39" s="28"/>
      <c r="W39" s="28"/>
      <c r="X39" s="28"/>
      <c r="Y39" s="28"/>
      <c r="Z39" s="28"/>
      <c r="AA39" s="28"/>
      <c r="AB39" s="28"/>
      <c r="AC39" s="28"/>
      <c r="AD39" s="28"/>
      <c r="AE39" s="28"/>
      <c r="AF39" s="28"/>
      <c r="AG39" s="28"/>
      <c r="AH39" s="28"/>
      <c r="AI39" s="28"/>
      <c r="AJ39" s="28"/>
      <c r="AK39" s="28"/>
      <c r="AL39" s="28"/>
      <c r="AM39" s="28"/>
      <c r="AN39" s="28"/>
      <c r="AO39" s="28"/>
      <c r="AP39" s="28"/>
      <c r="AQ39" s="28"/>
      <c r="AR39" s="28"/>
      <c r="AS39" s="28"/>
      <c r="BT39" s="3"/>
      <c r="BU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</row>
    <row r="40" spans="1:100" ht="15.75" customHeight="1" x14ac:dyDescent="0.25">
      <c r="L40" s="28"/>
      <c r="M40" s="28"/>
      <c r="N40" s="28"/>
      <c r="O40" s="28"/>
      <c r="P40" s="28"/>
      <c r="Q40" s="28"/>
      <c r="R40" s="28"/>
      <c r="S40" s="28"/>
      <c r="T40" s="28"/>
      <c r="U40" s="28"/>
      <c r="V40" s="28"/>
      <c r="W40" s="28"/>
      <c r="X40" s="28"/>
      <c r="Y40" s="28"/>
      <c r="Z40" s="28"/>
      <c r="AA40" s="28"/>
      <c r="AB40" s="28"/>
      <c r="AC40" s="28"/>
      <c r="AD40" s="28"/>
      <c r="AE40" s="28"/>
      <c r="AF40" s="28"/>
      <c r="AG40" s="28"/>
      <c r="AH40" s="28"/>
      <c r="AI40" s="28"/>
      <c r="AJ40" s="28"/>
      <c r="AK40" s="28"/>
      <c r="AL40" s="28"/>
      <c r="AM40" s="28"/>
      <c r="AN40" s="28"/>
      <c r="AO40" s="28"/>
      <c r="AP40" s="28"/>
      <c r="AQ40" s="28"/>
      <c r="AR40" s="28"/>
      <c r="AS40" s="28"/>
      <c r="BT40" s="3"/>
      <c r="BU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</row>
    <row r="41" spans="1:100" ht="15.75" customHeight="1" x14ac:dyDescent="0.25">
      <c r="L41" s="28"/>
      <c r="M41" s="28"/>
      <c r="N41" s="28"/>
      <c r="O41" s="28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28"/>
      <c r="AF41" s="28"/>
      <c r="AG41" s="28"/>
      <c r="AH41" s="28"/>
      <c r="AI41" s="28"/>
      <c r="AJ41" s="28"/>
      <c r="AK41" s="28"/>
      <c r="AL41" s="28"/>
      <c r="AM41" s="28"/>
      <c r="AN41" s="28"/>
      <c r="AO41" s="28"/>
      <c r="AP41" s="28"/>
      <c r="AQ41" s="28"/>
      <c r="AR41" s="28"/>
      <c r="AS41" s="28"/>
      <c r="BT41" s="3"/>
      <c r="BU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</row>
    <row r="42" spans="1:100" ht="15.75" customHeight="1" x14ac:dyDescent="0.25">
      <c r="L42" s="28"/>
      <c r="M42" s="28"/>
      <c r="N42" s="28"/>
      <c r="O42" s="28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28"/>
      <c r="AF42" s="28"/>
      <c r="AG42" s="28"/>
      <c r="AH42" s="28"/>
      <c r="AI42" s="28"/>
      <c r="AJ42" s="28"/>
      <c r="AK42" s="28"/>
      <c r="AL42" s="28"/>
      <c r="AM42" s="28"/>
      <c r="AN42" s="28"/>
      <c r="AO42" s="28"/>
      <c r="AP42" s="28"/>
      <c r="AQ42" s="28"/>
      <c r="AR42" s="28"/>
      <c r="AS42" s="28"/>
      <c r="BT42" s="3"/>
      <c r="BU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</row>
    <row r="43" spans="1:100" ht="15.75" customHeight="1" x14ac:dyDescent="0.25">
      <c r="L43" s="28"/>
      <c r="M43" s="28"/>
      <c r="N43" s="28"/>
      <c r="O43" s="28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28"/>
      <c r="AF43" s="28"/>
      <c r="AG43" s="28"/>
      <c r="AH43" s="28"/>
      <c r="AI43" s="28"/>
      <c r="AJ43" s="28"/>
      <c r="AK43" s="28"/>
      <c r="AL43" s="28"/>
      <c r="AM43" s="28"/>
      <c r="AN43" s="28"/>
      <c r="AO43" s="28"/>
      <c r="AP43" s="28"/>
      <c r="AQ43" s="28"/>
      <c r="AR43" s="28"/>
      <c r="AS43" s="28"/>
      <c r="BT43" s="3"/>
      <c r="BU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</row>
    <row r="44" spans="1:100" ht="15.75" customHeight="1" x14ac:dyDescent="0.25">
      <c r="L44" s="28"/>
      <c r="M44" s="28"/>
      <c r="N44" s="28"/>
      <c r="O44" s="28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28"/>
      <c r="AF44" s="28"/>
      <c r="AG44" s="28"/>
      <c r="AH44" s="28"/>
      <c r="AI44" s="28"/>
      <c r="AJ44" s="28"/>
      <c r="AK44" s="28"/>
      <c r="AL44" s="28"/>
      <c r="AM44" s="28"/>
      <c r="AN44" s="28"/>
      <c r="AO44" s="28"/>
      <c r="AP44" s="28"/>
      <c r="AQ44" s="28"/>
      <c r="AR44" s="28"/>
      <c r="AS44" s="28"/>
      <c r="BT44" s="3"/>
      <c r="BU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</row>
    <row r="45" spans="1:100" ht="15.75" customHeight="1" x14ac:dyDescent="0.25">
      <c r="L45" s="28"/>
      <c r="M45" s="28"/>
      <c r="N45" s="28"/>
      <c r="O45" s="28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28"/>
      <c r="AF45" s="28"/>
      <c r="AG45" s="28"/>
      <c r="AH45" s="28"/>
      <c r="AI45" s="28"/>
      <c r="AJ45" s="28"/>
      <c r="AK45" s="28"/>
      <c r="AL45" s="28"/>
      <c r="AM45" s="28"/>
      <c r="AN45" s="28"/>
      <c r="AO45" s="28"/>
      <c r="AP45" s="28"/>
      <c r="AQ45" s="28"/>
      <c r="AR45" s="28"/>
      <c r="AS45" s="28"/>
      <c r="BT45" s="3"/>
      <c r="BU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</row>
    <row r="46" spans="1:100" ht="15.75" customHeight="1" x14ac:dyDescent="0.25">
      <c r="L46" s="28"/>
      <c r="M46" s="28"/>
      <c r="N46" s="28"/>
      <c r="O46" s="28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28"/>
      <c r="AF46" s="28"/>
      <c r="AG46" s="28"/>
      <c r="AH46" s="28"/>
      <c r="AI46" s="28"/>
      <c r="AJ46" s="28"/>
      <c r="AK46" s="28"/>
      <c r="AL46" s="28"/>
      <c r="AM46" s="28"/>
      <c r="AN46" s="28"/>
      <c r="AO46" s="28"/>
      <c r="AP46" s="28"/>
      <c r="AQ46" s="28"/>
      <c r="AR46" s="28"/>
      <c r="AS46" s="28"/>
      <c r="BT46" s="3"/>
      <c r="BU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</row>
    <row r="47" spans="1:100" ht="15.75" customHeight="1" x14ac:dyDescent="0.25">
      <c r="L47" s="28"/>
      <c r="M47" s="28"/>
      <c r="N47" s="28"/>
      <c r="O47" s="28"/>
      <c r="P47" s="28"/>
      <c r="Q47" s="28"/>
      <c r="R47" s="28"/>
      <c r="S47" s="28"/>
      <c r="T47" s="28"/>
      <c r="U47" s="28"/>
      <c r="V47" s="28"/>
      <c r="W47" s="28"/>
      <c r="X47" s="28"/>
      <c r="Y47" s="28"/>
      <c r="Z47" s="28"/>
      <c r="AA47" s="28"/>
      <c r="AB47" s="28"/>
      <c r="AC47" s="28"/>
      <c r="AD47" s="28"/>
      <c r="AE47" s="28"/>
      <c r="AF47" s="28"/>
      <c r="AG47" s="28"/>
      <c r="AH47" s="28"/>
      <c r="AI47" s="28"/>
      <c r="AJ47" s="28"/>
      <c r="AK47" s="28"/>
      <c r="AL47" s="28"/>
      <c r="AM47" s="28"/>
      <c r="AN47" s="28"/>
      <c r="AO47" s="28"/>
      <c r="AP47" s="28"/>
      <c r="AQ47" s="28"/>
      <c r="AR47" s="28"/>
      <c r="AS47" s="28"/>
      <c r="BT47" s="3"/>
      <c r="BU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</row>
    <row r="48" spans="1:100" ht="15.75" customHeight="1" x14ac:dyDescent="0.25">
      <c r="L48" s="28"/>
      <c r="M48" s="28"/>
      <c r="N48" s="28"/>
      <c r="O48" s="28"/>
      <c r="P48" s="28"/>
      <c r="Q48" s="28"/>
      <c r="R48" s="28"/>
      <c r="S48" s="28"/>
      <c r="T48" s="28"/>
      <c r="U48" s="28"/>
      <c r="V48" s="28"/>
      <c r="W48" s="28"/>
      <c r="X48" s="28"/>
      <c r="Y48" s="28"/>
      <c r="Z48" s="28"/>
      <c r="AA48" s="28"/>
      <c r="AB48" s="28"/>
      <c r="AC48" s="28"/>
      <c r="AD48" s="28"/>
      <c r="AE48" s="28"/>
      <c r="AF48" s="28"/>
      <c r="AG48" s="28"/>
      <c r="AH48" s="28"/>
      <c r="AI48" s="28"/>
      <c r="AJ48" s="28"/>
      <c r="AK48" s="28"/>
      <c r="AL48" s="28"/>
      <c r="AM48" s="28"/>
      <c r="AN48" s="28"/>
      <c r="AO48" s="28"/>
      <c r="AP48" s="28"/>
      <c r="AQ48" s="28"/>
      <c r="AR48" s="28"/>
      <c r="AS48" s="28"/>
      <c r="BT48" s="3"/>
      <c r="BU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</row>
    <row r="49" spans="12:100" ht="15.75" customHeight="1" x14ac:dyDescent="0.25">
      <c r="L49" s="28"/>
      <c r="M49" s="28"/>
      <c r="N49" s="28"/>
      <c r="O49" s="28"/>
      <c r="P49" s="28"/>
      <c r="Q49" s="28"/>
      <c r="R49" s="28"/>
      <c r="S49" s="28"/>
      <c r="T49" s="28"/>
      <c r="U49" s="28"/>
      <c r="V49" s="28"/>
      <c r="W49" s="28"/>
      <c r="X49" s="28"/>
      <c r="Y49" s="28"/>
      <c r="Z49" s="28"/>
      <c r="AA49" s="28"/>
      <c r="AB49" s="28"/>
      <c r="AC49" s="28"/>
      <c r="AD49" s="28"/>
      <c r="AE49" s="28"/>
      <c r="AF49" s="28"/>
      <c r="AG49" s="28"/>
      <c r="AH49" s="28"/>
      <c r="AI49" s="28"/>
      <c r="AJ49" s="28"/>
      <c r="AK49" s="28"/>
      <c r="AL49" s="28"/>
      <c r="AM49" s="28"/>
      <c r="AN49" s="28"/>
      <c r="AO49" s="28"/>
      <c r="AP49" s="28"/>
      <c r="AQ49" s="28"/>
      <c r="AR49" s="28"/>
      <c r="AS49" s="28"/>
      <c r="BT49" s="3"/>
      <c r="BU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</row>
    <row r="50" spans="12:100" ht="15.75" customHeight="1" x14ac:dyDescent="0.25">
      <c r="L50" s="28"/>
      <c r="M50" s="28"/>
      <c r="N50" s="28"/>
      <c r="O50" s="28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28"/>
      <c r="AF50" s="28"/>
      <c r="AG50" s="28"/>
      <c r="AH50" s="28"/>
      <c r="AI50" s="28"/>
      <c r="AJ50" s="28"/>
      <c r="AK50" s="28"/>
      <c r="AL50" s="28"/>
      <c r="AM50" s="28"/>
      <c r="AN50" s="28"/>
      <c r="AO50" s="28"/>
      <c r="AP50" s="28"/>
      <c r="AQ50" s="28"/>
      <c r="AR50" s="28"/>
      <c r="AS50" s="28"/>
      <c r="BT50" s="3"/>
      <c r="BU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</row>
    <row r="51" spans="12:100" ht="15.75" customHeight="1" x14ac:dyDescent="0.25">
      <c r="L51" s="28"/>
      <c r="M51" s="28"/>
      <c r="N51" s="28"/>
      <c r="O51" s="28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28"/>
      <c r="AF51" s="28"/>
      <c r="AG51" s="28"/>
      <c r="AH51" s="28"/>
      <c r="AI51" s="28"/>
      <c r="AJ51" s="28"/>
      <c r="AK51" s="28"/>
      <c r="AL51" s="28"/>
      <c r="AM51" s="28"/>
      <c r="AN51" s="28"/>
      <c r="AO51" s="28"/>
      <c r="AP51" s="28"/>
      <c r="AQ51" s="28"/>
      <c r="AR51" s="28"/>
      <c r="AS51" s="28"/>
      <c r="BT51" s="3"/>
      <c r="BU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</row>
    <row r="52" spans="12:100" ht="15.75" customHeight="1" x14ac:dyDescent="0.25">
      <c r="L52" s="28"/>
      <c r="M52" s="28"/>
      <c r="N52" s="28"/>
      <c r="O52" s="28"/>
      <c r="P52" s="28"/>
      <c r="Q52" s="28"/>
      <c r="R52" s="28"/>
      <c r="S52" s="28"/>
      <c r="T52" s="28"/>
      <c r="U52" s="28"/>
      <c r="V52" s="28"/>
      <c r="W52" s="28"/>
      <c r="X52" s="28"/>
      <c r="Y52" s="28"/>
      <c r="Z52" s="28"/>
      <c r="AA52" s="28"/>
      <c r="AB52" s="28"/>
      <c r="AC52" s="28"/>
      <c r="AD52" s="28"/>
      <c r="AE52" s="28"/>
      <c r="AF52" s="28"/>
      <c r="AG52" s="28"/>
      <c r="AH52" s="28"/>
      <c r="AI52" s="28"/>
      <c r="AJ52" s="28"/>
      <c r="AK52" s="28"/>
      <c r="AL52" s="28"/>
      <c r="AM52" s="28"/>
      <c r="AN52" s="28"/>
      <c r="AO52" s="28"/>
      <c r="AP52" s="28"/>
      <c r="AQ52" s="28"/>
      <c r="AR52" s="28"/>
      <c r="AS52" s="28"/>
      <c r="BT52" s="3"/>
      <c r="BU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</row>
    <row r="53" spans="12:100" ht="15.75" customHeight="1" x14ac:dyDescent="0.25">
      <c r="L53" s="28"/>
      <c r="M53" s="28"/>
      <c r="N53" s="28"/>
      <c r="O53" s="28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28"/>
      <c r="AF53" s="28"/>
      <c r="AG53" s="28"/>
      <c r="AH53" s="28"/>
      <c r="AI53" s="28"/>
      <c r="AJ53" s="28"/>
      <c r="AK53" s="28"/>
      <c r="AL53" s="28"/>
      <c r="AM53" s="28"/>
      <c r="AN53" s="28"/>
      <c r="AO53" s="28"/>
      <c r="AP53" s="28"/>
      <c r="AQ53" s="28"/>
      <c r="AR53" s="28"/>
      <c r="AS53" s="28"/>
      <c r="BT53" s="3"/>
      <c r="BU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</row>
    <row r="54" spans="12:100" ht="15.75" customHeight="1" x14ac:dyDescent="0.25">
      <c r="L54" s="28"/>
      <c r="M54" s="28"/>
      <c r="N54" s="28"/>
      <c r="O54" s="28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28"/>
      <c r="AF54" s="28"/>
      <c r="AG54" s="28"/>
      <c r="AH54" s="28"/>
      <c r="AI54" s="28"/>
      <c r="AJ54" s="28"/>
      <c r="AK54" s="28"/>
      <c r="AL54" s="28"/>
      <c r="AM54" s="28"/>
      <c r="AN54" s="28"/>
      <c r="AO54" s="28"/>
      <c r="AP54" s="28"/>
      <c r="AQ54" s="28"/>
      <c r="AR54" s="28"/>
      <c r="AS54" s="28"/>
      <c r="BT54" s="3"/>
      <c r="BU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</row>
    <row r="55" spans="12:100" ht="15.75" customHeight="1" x14ac:dyDescent="0.25">
      <c r="L55" s="28"/>
      <c r="M55" s="28"/>
      <c r="N55" s="28"/>
      <c r="O55" s="28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28"/>
      <c r="AF55" s="28"/>
      <c r="AG55" s="28"/>
      <c r="AH55" s="28"/>
      <c r="AI55" s="28"/>
      <c r="AJ55" s="28"/>
      <c r="AK55" s="28"/>
      <c r="AL55" s="28"/>
      <c r="AM55" s="28"/>
      <c r="AN55" s="28"/>
      <c r="AO55" s="28"/>
      <c r="AP55" s="28"/>
      <c r="AQ55" s="28"/>
      <c r="AR55" s="28"/>
      <c r="AS55" s="28"/>
      <c r="BT55" s="3"/>
      <c r="BU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</row>
    <row r="56" spans="12:100" ht="15.75" customHeight="1" x14ac:dyDescent="0.25">
      <c r="L56" s="28"/>
      <c r="M56" s="28"/>
      <c r="N56" s="28"/>
      <c r="O56" s="28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28"/>
      <c r="AF56" s="28"/>
      <c r="AG56" s="28"/>
      <c r="AH56" s="28"/>
      <c r="AI56" s="28"/>
      <c r="AJ56" s="28"/>
      <c r="AK56" s="28"/>
      <c r="AL56" s="28"/>
      <c r="AM56" s="28"/>
      <c r="AN56" s="28"/>
      <c r="AO56" s="28"/>
      <c r="AP56" s="28"/>
      <c r="AQ56" s="28"/>
      <c r="AR56" s="28"/>
      <c r="AS56" s="28"/>
      <c r="BT56" s="3"/>
      <c r="BU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</row>
    <row r="57" spans="12:100" ht="15.75" customHeight="1" x14ac:dyDescent="0.25">
      <c r="L57" s="28"/>
      <c r="M57" s="28"/>
      <c r="N57" s="28"/>
      <c r="O57" s="28"/>
      <c r="P57" s="28"/>
      <c r="Q57" s="28"/>
      <c r="R57" s="28"/>
      <c r="S57" s="28"/>
      <c r="T57" s="28"/>
      <c r="U57" s="28"/>
      <c r="V57" s="28"/>
      <c r="W57" s="28"/>
      <c r="X57" s="28"/>
      <c r="Y57" s="28"/>
      <c r="Z57" s="28"/>
      <c r="AA57" s="28"/>
      <c r="AB57" s="28"/>
      <c r="AC57" s="28"/>
      <c r="AD57" s="28"/>
      <c r="AE57" s="28"/>
      <c r="AF57" s="28"/>
      <c r="AG57" s="28"/>
      <c r="AH57" s="28"/>
      <c r="AI57" s="28"/>
      <c r="AJ57" s="28"/>
      <c r="AK57" s="28"/>
      <c r="AL57" s="28"/>
      <c r="AM57" s="28"/>
      <c r="AN57" s="28"/>
      <c r="AO57" s="28"/>
      <c r="AP57" s="28"/>
      <c r="AQ57" s="28"/>
      <c r="AR57" s="28"/>
      <c r="AS57" s="28"/>
      <c r="BT57" s="3"/>
      <c r="BU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</row>
    <row r="58" spans="12:100" ht="15.75" customHeight="1" x14ac:dyDescent="0.25">
      <c r="L58" s="28"/>
      <c r="M58" s="28"/>
      <c r="N58" s="28"/>
      <c r="O58" s="28"/>
      <c r="P58" s="28"/>
      <c r="Q58" s="28"/>
      <c r="R58" s="28"/>
      <c r="S58" s="28"/>
      <c r="T58" s="28"/>
      <c r="U58" s="28"/>
      <c r="V58" s="28"/>
      <c r="W58" s="28"/>
      <c r="X58" s="28"/>
      <c r="Y58" s="28"/>
      <c r="Z58" s="28"/>
      <c r="AA58" s="28"/>
      <c r="AB58" s="28"/>
      <c r="AC58" s="28"/>
      <c r="AD58" s="28"/>
      <c r="AF58" s="28"/>
      <c r="AH58" s="28"/>
      <c r="AI58" s="28"/>
      <c r="AJ58" s="28"/>
      <c r="AK58" s="28"/>
      <c r="AL58" s="28"/>
      <c r="AM58" s="28"/>
      <c r="AN58" s="28"/>
      <c r="AO58" s="28"/>
      <c r="AP58" s="28"/>
      <c r="AQ58" s="28"/>
      <c r="AR58" s="28"/>
      <c r="AS58" s="28"/>
      <c r="BT58" s="3"/>
      <c r="BU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</row>
    <row r="59" spans="12:100" ht="13.5" x14ac:dyDescent="0.25">
      <c r="L59" s="28"/>
      <c r="M59" s="28"/>
      <c r="N59" s="28"/>
      <c r="O59" s="28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/>
      <c r="AB59" s="28"/>
      <c r="AC59" s="28"/>
      <c r="AD59" s="28"/>
      <c r="AH59" s="28"/>
      <c r="AI59" s="28"/>
      <c r="AJ59" s="28"/>
      <c r="AK59" s="28"/>
      <c r="AL59" s="28"/>
      <c r="AM59" s="28"/>
      <c r="AN59" s="28"/>
      <c r="AO59" s="28"/>
      <c r="AP59" s="28"/>
      <c r="AQ59" s="28"/>
      <c r="AR59" s="28"/>
      <c r="AS59" s="28"/>
      <c r="BT59" s="3"/>
      <c r="BU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</row>
    <row r="60" spans="12:100" ht="13.5" x14ac:dyDescent="0.25">
      <c r="L60" s="28"/>
      <c r="M60" s="28"/>
      <c r="N60" s="28"/>
      <c r="O60" s="28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H60" s="28"/>
      <c r="AI60" s="28"/>
      <c r="AL60" s="28"/>
      <c r="AM60" s="28"/>
      <c r="AN60" s="28"/>
      <c r="AO60" s="28"/>
      <c r="AP60" s="28"/>
      <c r="AQ60" s="28"/>
      <c r="AR60" s="28"/>
      <c r="AS60" s="28"/>
      <c r="BT60" s="3"/>
      <c r="BU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</row>
    <row r="61" spans="12:100" ht="13.5" x14ac:dyDescent="0.25">
      <c r="L61" s="28"/>
      <c r="M61" s="28"/>
      <c r="N61" s="28"/>
      <c r="O61" s="28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H61" s="28"/>
      <c r="AI61" s="28"/>
      <c r="AM61" s="28"/>
      <c r="AN61" s="28"/>
      <c r="AO61" s="28"/>
      <c r="AP61" s="28"/>
      <c r="AQ61" s="28"/>
      <c r="AR61" s="28"/>
      <c r="AS61" s="28"/>
      <c r="BT61" s="3"/>
      <c r="BU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</row>
    <row r="62" spans="12:100" ht="13.5" x14ac:dyDescent="0.25">
      <c r="L62" s="28"/>
      <c r="M62" s="28"/>
      <c r="N62" s="28"/>
      <c r="O62" s="28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H62" s="28"/>
      <c r="AM62" s="28"/>
      <c r="AN62" s="28"/>
      <c r="AO62" s="28"/>
      <c r="AP62" s="28"/>
      <c r="AQ62" s="28"/>
      <c r="AR62" s="28"/>
      <c r="AS62" s="28"/>
      <c r="BT62" s="3"/>
      <c r="BU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</row>
    <row r="63" spans="12:100" ht="13.5" x14ac:dyDescent="0.25">
      <c r="L63" s="28"/>
      <c r="M63" s="28"/>
      <c r="N63" s="28"/>
      <c r="O63" s="28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H63" s="28"/>
      <c r="AM63" s="28"/>
      <c r="AN63" s="28"/>
      <c r="AO63" s="28"/>
      <c r="AP63" s="28"/>
      <c r="AQ63" s="28"/>
      <c r="AR63" s="28"/>
      <c r="AS63" s="28"/>
      <c r="BT63" s="3"/>
      <c r="BU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</row>
    <row r="64" spans="12:100" ht="13.5" x14ac:dyDescent="0.25">
      <c r="L64" s="28"/>
      <c r="M64" s="28"/>
      <c r="N64" s="28"/>
      <c r="O64" s="28"/>
      <c r="P64" s="28"/>
      <c r="Q64" s="28"/>
      <c r="R64" s="28"/>
      <c r="S64" s="28"/>
      <c r="T64" s="28"/>
      <c r="U64" s="28"/>
      <c r="V64" s="28"/>
      <c r="W64" s="28"/>
      <c r="X64" s="28"/>
      <c r="Y64" s="28"/>
      <c r="Z64" s="28"/>
      <c r="AA64" s="28"/>
      <c r="AB64" s="28"/>
      <c r="AC64" s="28"/>
      <c r="AD64" s="28"/>
      <c r="AM64" s="28"/>
      <c r="AP64" s="28"/>
      <c r="AQ64" s="28"/>
      <c r="AR64" s="28"/>
      <c r="AS64" s="28"/>
      <c r="BT64" s="3"/>
      <c r="BU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</row>
    <row r="65" spans="12:100" ht="13.5" x14ac:dyDescent="0.25">
      <c r="L65" s="28"/>
      <c r="M65" s="28"/>
      <c r="N65" s="28"/>
      <c r="O65" s="28"/>
      <c r="P65" s="28"/>
      <c r="Q65" s="28"/>
      <c r="R65" s="28"/>
      <c r="S65" s="28"/>
      <c r="T65" s="28"/>
      <c r="U65" s="28"/>
      <c r="V65" s="28"/>
      <c r="W65" s="28"/>
      <c r="X65" s="28"/>
      <c r="Y65" s="28"/>
      <c r="Z65" s="28"/>
      <c r="AA65" s="28"/>
      <c r="AB65" s="28"/>
      <c r="AC65" s="28"/>
      <c r="AD65" s="28"/>
      <c r="AM65" s="28"/>
      <c r="AP65" s="28"/>
      <c r="AQ65" s="28"/>
      <c r="AR65" s="28"/>
      <c r="AS65" s="28"/>
      <c r="BT65" s="3"/>
      <c r="BU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</row>
    <row r="66" spans="12:100" ht="13.5" x14ac:dyDescent="0.25">
      <c r="L66" s="28"/>
      <c r="M66" s="28"/>
      <c r="N66" s="28"/>
      <c r="O66" s="28"/>
      <c r="P66" s="28"/>
      <c r="Q66" s="28"/>
      <c r="R66" s="28"/>
      <c r="S66" s="28"/>
      <c r="T66" s="28"/>
      <c r="U66" s="28"/>
      <c r="V66" s="28"/>
      <c r="W66" s="28"/>
      <c r="X66" s="28"/>
      <c r="Y66" s="28"/>
      <c r="Z66" s="28"/>
      <c r="AA66" s="28"/>
      <c r="AB66" s="28"/>
      <c r="AC66" s="28"/>
      <c r="AD66" s="28"/>
      <c r="AM66" s="28"/>
      <c r="AP66" s="28"/>
      <c r="AQ66" s="28"/>
      <c r="AR66" s="28"/>
      <c r="AS66" s="28"/>
      <c r="BT66" s="3"/>
      <c r="BU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</row>
    <row r="67" spans="12:100" ht="13.5" x14ac:dyDescent="0.25">
      <c r="L67" s="28"/>
      <c r="M67" s="28"/>
      <c r="N67" s="28"/>
      <c r="O67" s="28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M67" s="28"/>
      <c r="AP67" s="28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</row>
    <row r="68" spans="12:100" ht="13.5" x14ac:dyDescent="0.25">
      <c r="AM68" s="28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</row>
    <row r="69" spans="12:100" ht="13.5" x14ac:dyDescent="0.25"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</row>
    <row r="70" spans="12:100" ht="13.5" x14ac:dyDescent="0.25"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</row>
    <row r="71" spans="12:100" ht="13.5" x14ac:dyDescent="0.25"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</row>
    <row r="72" spans="12:100" ht="13.5" x14ac:dyDescent="0.25"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</row>
    <row r="73" spans="12:100" ht="13.5" x14ac:dyDescent="0.25"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</row>
  </sheetData>
  <phoneticPr fontId="13" type="noConversion"/>
  <conditionalFormatting sqref="D1:I1">
    <cfRule type="expression" dxfId="20" priority="1">
      <formula>$D$1&lt;&gt;0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utoCopy">
                <anchor moveWithCells="1" sizeWithCells="1">
                  <from>
                    <xdr:col>3</xdr:col>
                    <xdr:colOff>466725</xdr:colOff>
                    <xdr:row>1</xdr:row>
                    <xdr:rowOff>142875</xdr:rowOff>
                  </from>
                  <to>
                    <xdr:col>3</xdr:col>
                    <xdr:colOff>2238375</xdr:colOff>
                    <xdr:row>3</xdr:row>
                    <xdr:rowOff>723900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2A7968"/>
  </sheetPr>
  <dimension ref="A1:AZ52"/>
  <sheetViews>
    <sheetView zoomScale="85" zoomScaleNormal="85" workbookViewId="0">
      <selection activeCell="O17" sqref="O17"/>
    </sheetView>
  </sheetViews>
  <sheetFormatPr defaultColWidth="8.88671875" defaultRowHeight="20.100000000000001" customHeight="1" outlineLevelCol="1" x14ac:dyDescent="0.25"/>
  <cols>
    <col min="1" max="1" width="17.88671875" style="30" customWidth="1"/>
    <col min="2" max="2" width="31.5546875" style="30" bestFit="1" customWidth="1"/>
    <col min="3" max="5" width="11" style="30" bestFit="1" customWidth="1"/>
    <col min="6" max="6" width="12" style="1" customWidth="1"/>
    <col min="7" max="7" width="11" style="30" bestFit="1" customWidth="1"/>
    <col min="8" max="8" width="11" style="1" bestFit="1" customWidth="1"/>
    <col min="9" max="10" width="13" style="1" customWidth="1"/>
    <col min="11" max="11" width="11.77734375" style="30" customWidth="1"/>
    <col min="12" max="12" width="13.5546875" style="30" bestFit="1" customWidth="1"/>
    <col min="13" max="13" width="6.109375" style="1" customWidth="1"/>
    <col min="14" max="14" width="10.44140625" style="1" bestFit="1" customWidth="1"/>
    <col min="15" max="15" width="4.33203125" style="30" bestFit="1" customWidth="1"/>
    <col min="16" max="16" width="9.5546875" style="30" bestFit="1" customWidth="1"/>
    <col min="17" max="17" width="9.5546875" style="30" hidden="1" customWidth="1" outlineLevel="1"/>
    <col min="18" max="18" width="6" style="30" hidden="1" customWidth="1" outlineLevel="1"/>
    <col min="19" max="19" width="7.6640625" style="1" hidden="1" customWidth="1" outlineLevel="1"/>
    <col min="20" max="20" width="11" style="1" hidden="1" customWidth="1" outlineLevel="1"/>
    <col min="21" max="21" width="11" style="30" hidden="1" customWidth="1" outlineLevel="1"/>
    <col min="22" max="22" width="7.6640625" style="30" hidden="1" customWidth="1" outlineLevel="1"/>
    <col min="23" max="23" width="7.6640625" style="1" hidden="1" customWidth="1" outlineLevel="1"/>
    <col min="24" max="24" width="14" style="30" hidden="1" customWidth="1" outlineLevel="1"/>
    <col min="25" max="25" width="6" style="30" hidden="1" customWidth="1" outlineLevel="1"/>
    <col min="26" max="26" width="7" style="1" hidden="1" customWidth="1" outlineLevel="1"/>
    <col min="27" max="27" width="6" style="30" hidden="1" customWidth="1" outlineLevel="1"/>
    <col min="28" max="28" width="20.109375" style="30" customWidth="1" collapsed="1"/>
    <col min="29" max="29" width="20.109375" style="30" customWidth="1"/>
    <col min="30" max="30" width="11" style="30" customWidth="1"/>
    <col min="31" max="31" width="33.109375" style="30" customWidth="1"/>
    <col min="32" max="32" width="19.33203125" style="30" bestFit="1" customWidth="1"/>
    <col min="33" max="33" width="13.21875" style="30" bestFit="1" customWidth="1"/>
    <col min="34" max="34" width="9.33203125" style="30" bestFit="1" customWidth="1"/>
    <col min="35" max="35" width="7.6640625" style="30" bestFit="1" customWidth="1"/>
    <col min="36" max="36" width="9.88671875" style="30" bestFit="1" customWidth="1"/>
    <col min="37" max="37" width="12" style="30" bestFit="1" customWidth="1"/>
    <col min="38" max="38" width="9.109375" style="30" customWidth="1"/>
    <col min="39" max="39" width="14.44140625" style="30" customWidth="1"/>
    <col min="40" max="40" width="8.109375" style="30" customWidth="1"/>
    <col min="41" max="41" width="9.5546875" style="30" bestFit="1" customWidth="1"/>
    <col min="42" max="43" width="9.33203125" style="30" bestFit="1" customWidth="1"/>
    <col min="44" max="44" width="9.88671875" style="30" customWidth="1"/>
    <col min="45" max="45" width="8.77734375" style="30" bestFit="1" customWidth="1"/>
    <col min="46" max="46" width="7.6640625" style="30" bestFit="1" customWidth="1"/>
    <col min="47" max="47" width="12" style="30" bestFit="1" customWidth="1"/>
    <col min="48" max="48" width="7.6640625" style="30" bestFit="1" customWidth="1"/>
    <col min="49" max="49" width="31.5546875" style="30" bestFit="1" customWidth="1"/>
    <col min="50" max="50" width="15.6640625" style="30" bestFit="1" customWidth="1"/>
    <col min="51" max="51" width="10.44140625" style="30" customWidth="1"/>
    <col min="52" max="52" width="11.5546875" style="30" customWidth="1"/>
    <col min="53" max="53" width="12.44140625" style="30" bestFit="1" customWidth="1"/>
    <col min="54" max="54" width="10.77734375" style="30" bestFit="1" customWidth="1"/>
    <col min="55" max="55" width="10.33203125" style="30" bestFit="1" customWidth="1"/>
    <col min="56" max="56" width="10.77734375" style="30" bestFit="1" customWidth="1"/>
    <col min="57" max="57" width="13.109375" style="30" bestFit="1" customWidth="1"/>
    <col min="58" max="58" width="12.6640625" style="30" bestFit="1" customWidth="1"/>
    <col min="59" max="59" width="35.77734375" style="30" customWidth="1"/>
    <col min="60" max="60" width="15.6640625" style="30" customWidth="1"/>
    <col min="61" max="61" width="15.21875" style="30" customWidth="1"/>
    <col min="62" max="62" width="15.6640625" style="30" customWidth="1"/>
    <col min="63" max="64" width="15.5546875" style="30" customWidth="1"/>
    <col min="65" max="16384" width="8.88671875" style="30"/>
  </cols>
  <sheetData>
    <row r="1" spans="1:52" s="67" customFormat="1" ht="46.5" x14ac:dyDescent="0.55000000000000004">
      <c r="A1" s="65" t="s">
        <v>211</v>
      </c>
      <c r="B1" s="66"/>
      <c r="C1" s="91"/>
      <c r="F1" s="90" t="s">
        <v>292</v>
      </c>
      <c r="G1" s="90" t="s">
        <v>92</v>
      </c>
      <c r="H1" s="90" t="s">
        <v>56</v>
      </c>
      <c r="K1" s="90" t="s">
        <v>363</v>
      </c>
      <c r="L1" s="90" t="s">
        <v>94</v>
      </c>
      <c r="M1" s="90" t="s">
        <v>67</v>
      </c>
      <c r="AE1" s="65" t="s">
        <v>210</v>
      </c>
      <c r="AF1" s="91" t="s">
        <v>367</v>
      </c>
      <c r="AJ1" s="90" t="s">
        <v>188</v>
      </c>
      <c r="AL1" s="90" t="s">
        <v>187</v>
      </c>
      <c r="AO1" s="90" t="s">
        <v>161</v>
      </c>
      <c r="AR1" s="90" t="s">
        <v>221</v>
      </c>
      <c r="AS1" s="90" t="s">
        <v>222</v>
      </c>
      <c r="AT1" s="90" t="s">
        <v>223</v>
      </c>
      <c r="AW1" s="65" t="s">
        <v>209</v>
      </c>
      <c r="AX1" s="92" t="s">
        <v>368</v>
      </c>
      <c r="AY1" s="90" t="s">
        <v>226</v>
      </c>
      <c r="AZ1" s="90" t="s">
        <v>253</v>
      </c>
    </row>
    <row r="2" spans="1:52" s="68" customFormat="1" ht="75" customHeight="1" x14ac:dyDescent="0.35">
      <c r="B2" s="69"/>
      <c r="C2" s="99" t="s">
        <v>464</v>
      </c>
      <c r="D2" s="99" t="s">
        <v>464</v>
      </c>
      <c r="E2" s="99" t="s">
        <v>464</v>
      </c>
      <c r="F2" s="99" t="s">
        <v>464</v>
      </c>
      <c r="G2" s="99" t="s">
        <v>464</v>
      </c>
      <c r="H2" s="99" t="s">
        <v>464</v>
      </c>
      <c r="I2" s="99" t="s">
        <v>464</v>
      </c>
      <c r="J2" s="100"/>
      <c r="K2" s="99" t="s">
        <v>464</v>
      </c>
      <c r="AL2" s="99"/>
      <c r="AM2" s="99"/>
      <c r="AN2" s="99"/>
      <c r="AO2" s="99"/>
      <c r="AP2" s="99"/>
      <c r="AQ2" s="99"/>
      <c r="AR2" s="99"/>
      <c r="AS2" s="99"/>
      <c r="AT2" s="99"/>
      <c r="AX2" s="99" t="s">
        <v>464</v>
      </c>
      <c r="AY2" s="99" t="s">
        <v>464</v>
      </c>
      <c r="AZ2" s="99" t="s">
        <v>464</v>
      </c>
    </row>
    <row r="3" spans="1:52" s="71" customFormat="1" ht="33" customHeight="1" x14ac:dyDescent="0.25">
      <c r="A3" s="70" t="s">
        <v>51</v>
      </c>
      <c r="B3" s="70" t="s">
        <v>98</v>
      </c>
      <c r="C3" s="70" t="s">
        <v>193</v>
      </c>
      <c r="D3" s="70" t="s">
        <v>147</v>
      </c>
      <c r="E3" s="70" t="s">
        <v>43</v>
      </c>
      <c r="F3" s="70" t="s">
        <v>151</v>
      </c>
      <c r="G3" s="70" t="s">
        <v>92</v>
      </c>
      <c r="H3" s="70" t="s">
        <v>56</v>
      </c>
      <c r="I3" s="70" t="s">
        <v>182</v>
      </c>
      <c r="J3" s="70" t="s">
        <v>167</v>
      </c>
      <c r="K3" s="70" t="s">
        <v>153</v>
      </c>
      <c r="L3" s="70" t="s">
        <v>94</v>
      </c>
      <c r="M3" s="70" t="s">
        <v>67</v>
      </c>
      <c r="N3" s="70" t="s">
        <v>60</v>
      </c>
      <c r="O3" s="70" t="s">
        <v>91</v>
      </c>
      <c r="P3" s="70" t="s">
        <v>124</v>
      </c>
      <c r="Q3" s="70" t="s">
        <v>168</v>
      </c>
      <c r="R3" s="70" t="s">
        <v>95</v>
      </c>
      <c r="S3" s="70" t="s">
        <v>184</v>
      </c>
      <c r="T3" s="70" t="s">
        <v>54</v>
      </c>
      <c r="U3" s="70" t="s">
        <v>53</v>
      </c>
      <c r="V3" s="70" t="s">
        <v>229</v>
      </c>
      <c r="W3" s="70" t="s">
        <v>231</v>
      </c>
      <c r="X3" s="70" t="s">
        <v>50</v>
      </c>
      <c r="Y3" s="70" t="s">
        <v>189</v>
      </c>
      <c r="Z3" s="70" t="s">
        <v>190</v>
      </c>
      <c r="AA3" s="70" t="s">
        <v>232</v>
      </c>
      <c r="AB3" s="70" t="s">
        <v>152</v>
      </c>
      <c r="AE3" s="70" t="s">
        <v>98</v>
      </c>
      <c r="AF3" s="70" t="s">
        <v>152</v>
      </c>
      <c r="AG3" s="70" t="s">
        <v>50</v>
      </c>
      <c r="AH3" s="70" t="s">
        <v>51</v>
      </c>
      <c r="AI3" s="70" t="s">
        <v>225</v>
      </c>
      <c r="AJ3" s="70" t="s">
        <v>188</v>
      </c>
      <c r="AK3" s="70" t="s">
        <v>204</v>
      </c>
      <c r="AL3" s="70" t="s">
        <v>187</v>
      </c>
      <c r="AM3" s="70" t="s">
        <v>198</v>
      </c>
      <c r="AN3" s="70" t="s">
        <v>186</v>
      </c>
      <c r="AO3" s="70" t="s">
        <v>161</v>
      </c>
      <c r="AP3" s="70" t="s">
        <v>202</v>
      </c>
      <c r="AQ3" s="70" t="s">
        <v>203</v>
      </c>
      <c r="AR3" s="70" t="s">
        <v>221</v>
      </c>
      <c r="AS3" s="70" t="s">
        <v>222</v>
      </c>
      <c r="AT3" s="70" t="s">
        <v>223</v>
      </c>
      <c r="AU3" s="68"/>
      <c r="AW3" s="70" t="s">
        <v>98</v>
      </c>
      <c r="AX3" s="70" t="s">
        <v>194</v>
      </c>
      <c r="AY3" s="70" t="s">
        <v>226</v>
      </c>
      <c r="AZ3" s="70" t="s">
        <v>253</v>
      </c>
    </row>
    <row r="4" spans="1:52" ht="20.100000000000001" customHeight="1" x14ac:dyDescent="0.25">
      <c r="A4" s="72" t="s">
        <v>51</v>
      </c>
      <c r="B4" s="72" t="s">
        <v>98</v>
      </c>
      <c r="C4" s="72" t="s">
        <v>193</v>
      </c>
      <c r="D4" s="72" t="s">
        <v>147</v>
      </c>
      <c r="E4" s="72" t="s">
        <v>43</v>
      </c>
      <c r="F4" s="72" t="s">
        <v>151</v>
      </c>
      <c r="G4" s="72" t="s">
        <v>92</v>
      </c>
      <c r="H4" s="72" t="s">
        <v>56</v>
      </c>
      <c r="I4" s="72" t="s">
        <v>182</v>
      </c>
      <c r="J4" s="72" t="s">
        <v>167</v>
      </c>
      <c r="K4" s="72" t="s">
        <v>153</v>
      </c>
      <c r="L4" s="72" t="s">
        <v>94</v>
      </c>
      <c r="M4" s="72" t="s">
        <v>67</v>
      </c>
      <c r="N4" s="72" t="s">
        <v>60</v>
      </c>
      <c r="O4" s="72" t="s">
        <v>91</v>
      </c>
      <c r="P4" s="72" t="s">
        <v>124</v>
      </c>
      <c r="Q4" s="72" t="s">
        <v>168</v>
      </c>
      <c r="R4" s="72" t="s">
        <v>95</v>
      </c>
      <c r="S4" s="72" t="s">
        <v>184</v>
      </c>
      <c r="T4" s="72" t="s">
        <v>54</v>
      </c>
      <c r="U4" s="72" t="s">
        <v>53</v>
      </c>
      <c r="V4" s="72" t="s">
        <v>229</v>
      </c>
      <c r="W4" s="72" t="s">
        <v>231</v>
      </c>
      <c r="X4" s="72" t="s">
        <v>50</v>
      </c>
      <c r="Y4" s="72" t="s">
        <v>189</v>
      </c>
      <c r="Z4" s="72" t="s">
        <v>190</v>
      </c>
      <c r="AA4" s="72" t="s">
        <v>232</v>
      </c>
      <c r="AB4" s="72" t="s">
        <v>152</v>
      </c>
      <c r="AC4" s="71"/>
      <c r="AD4" s="71"/>
      <c r="AE4" s="73" t="s">
        <v>98</v>
      </c>
      <c r="AF4" s="73" t="s">
        <v>152</v>
      </c>
      <c r="AG4" s="73" t="s">
        <v>50</v>
      </c>
      <c r="AH4" s="73" t="s">
        <v>51</v>
      </c>
      <c r="AI4" s="73" t="s">
        <v>225</v>
      </c>
      <c r="AJ4" s="73" t="s">
        <v>188</v>
      </c>
      <c r="AK4" s="73" t="s">
        <v>204</v>
      </c>
      <c r="AL4" s="73" t="s">
        <v>187</v>
      </c>
      <c r="AM4" s="73" t="s">
        <v>198</v>
      </c>
      <c r="AN4" s="73" t="s">
        <v>186</v>
      </c>
      <c r="AO4" s="73" t="s">
        <v>161</v>
      </c>
      <c r="AP4" s="73" t="s">
        <v>202</v>
      </c>
      <c r="AQ4" s="73" t="s">
        <v>203</v>
      </c>
      <c r="AR4" s="73" t="s">
        <v>221</v>
      </c>
      <c r="AS4" s="73" t="s">
        <v>222</v>
      </c>
      <c r="AT4" s="73" t="s">
        <v>223</v>
      </c>
      <c r="AU4" s="68"/>
      <c r="AW4" s="73" t="s">
        <v>98</v>
      </c>
      <c r="AX4" s="73" t="s">
        <v>194</v>
      </c>
      <c r="AY4" s="73" t="s">
        <v>226</v>
      </c>
      <c r="AZ4" s="73" t="s">
        <v>253</v>
      </c>
    </row>
    <row r="5" spans="1:52" ht="20.100000000000001" customHeight="1" x14ac:dyDescent="0.3">
      <c r="A5" s="74">
        <v>45169</v>
      </c>
      <c r="B5" s="74" t="s">
        <v>510</v>
      </c>
      <c r="C5" s="75" t="s">
        <v>87</v>
      </c>
      <c r="D5" s="75" t="s">
        <v>87</v>
      </c>
      <c r="E5" s="75" t="s">
        <v>96</v>
      </c>
      <c r="F5" s="75" t="s">
        <v>292</v>
      </c>
      <c r="G5" s="75" t="s">
        <v>779</v>
      </c>
      <c r="H5" s="106">
        <v>2.5499999999999998E-2</v>
      </c>
      <c r="I5" s="75">
        <v>35</v>
      </c>
      <c r="J5" s="80"/>
      <c r="K5" s="77"/>
      <c r="L5" s="76" t="s">
        <v>38</v>
      </c>
      <c r="M5" s="77" t="s">
        <v>89</v>
      </c>
      <c r="N5" s="77">
        <v>10</v>
      </c>
      <c r="O5" s="77" t="s">
        <v>166</v>
      </c>
      <c r="P5" s="78" t="s">
        <v>695</v>
      </c>
      <c r="Q5" s="76" t="s">
        <v>696</v>
      </c>
      <c r="R5" s="77" t="s">
        <v>327</v>
      </c>
      <c r="S5" s="76" t="s">
        <v>119</v>
      </c>
      <c r="T5" s="77">
        <v>2.5499999999999998</v>
      </c>
      <c r="U5" s="77" t="s">
        <v>96</v>
      </c>
      <c r="V5" s="77" t="s">
        <v>96</v>
      </c>
      <c r="W5" s="77" t="s">
        <v>96</v>
      </c>
      <c r="X5" s="77" t="s">
        <v>526</v>
      </c>
      <c r="Y5" s="77">
        <v>10</v>
      </c>
      <c r="Z5" s="77">
        <v>72.83</v>
      </c>
      <c r="AA5" s="77">
        <v>78.42</v>
      </c>
      <c r="AB5" s="77" t="s">
        <v>528</v>
      </c>
      <c r="AC5" s="71"/>
      <c r="AD5" s="71"/>
      <c r="AE5" s="70" t="s">
        <v>494</v>
      </c>
      <c r="AF5" s="70" t="s">
        <v>591</v>
      </c>
      <c r="AG5" s="101" t="s">
        <v>493</v>
      </c>
      <c r="AH5" s="101">
        <v>45167</v>
      </c>
      <c r="AI5" s="71">
        <v>59</v>
      </c>
      <c r="AJ5" s="71" t="s">
        <v>200</v>
      </c>
      <c r="AK5" s="71" t="s">
        <v>492</v>
      </c>
      <c r="AL5" s="83" t="s">
        <v>196</v>
      </c>
      <c r="AM5" s="102" t="s">
        <v>783</v>
      </c>
      <c r="AN5" s="102" t="s">
        <v>785</v>
      </c>
      <c r="AO5" s="81" t="s">
        <v>164</v>
      </c>
      <c r="AP5" s="81" t="s">
        <v>7</v>
      </c>
      <c r="AQ5" s="81" t="s">
        <v>7</v>
      </c>
      <c r="AR5" s="82"/>
      <c r="AS5" s="83"/>
      <c r="AT5" s="83"/>
      <c r="AU5" s="68"/>
      <c r="AW5" s="70" t="s">
        <v>495</v>
      </c>
      <c r="AX5" s="81" t="s">
        <v>692</v>
      </c>
      <c r="AY5" s="81" t="s">
        <v>215</v>
      </c>
      <c r="AZ5" s="81" t="s">
        <v>373</v>
      </c>
    </row>
    <row r="6" spans="1:52" ht="20.100000000000001" customHeight="1" x14ac:dyDescent="0.3">
      <c r="A6" s="74">
        <v>45169</v>
      </c>
      <c r="B6" s="74" t="s">
        <v>529</v>
      </c>
      <c r="C6" s="79" t="s">
        <v>87</v>
      </c>
      <c r="D6" s="79" t="s">
        <v>87</v>
      </c>
      <c r="E6" s="75" t="s">
        <v>439</v>
      </c>
      <c r="F6" s="75" t="s">
        <v>7</v>
      </c>
      <c r="G6" s="75"/>
      <c r="H6" s="84" t="s">
        <v>440</v>
      </c>
      <c r="I6" s="75"/>
      <c r="J6" s="85"/>
      <c r="K6" s="77"/>
      <c r="L6" s="76" t="s">
        <v>116</v>
      </c>
      <c r="M6" s="77" t="s">
        <v>110</v>
      </c>
      <c r="N6" s="77">
        <v>2</v>
      </c>
      <c r="O6" s="77" t="s">
        <v>166</v>
      </c>
      <c r="P6" s="77" t="s">
        <v>440</v>
      </c>
      <c r="Q6" s="76" t="s">
        <v>7</v>
      </c>
      <c r="R6" s="77" t="s">
        <v>114</v>
      </c>
      <c r="S6" s="76" t="s">
        <v>119</v>
      </c>
      <c r="T6" s="77">
        <v>4.8</v>
      </c>
      <c r="U6" s="77" t="s">
        <v>277</v>
      </c>
      <c r="V6" s="77" t="s">
        <v>96</v>
      </c>
      <c r="W6" s="77" t="s">
        <v>96</v>
      </c>
      <c r="X6" s="77" t="s">
        <v>531</v>
      </c>
      <c r="Y6" s="77">
        <v>0.27400000000000002</v>
      </c>
      <c r="Z6" s="77">
        <v>2</v>
      </c>
      <c r="AA6" s="77">
        <v>2.1539999999999999</v>
      </c>
      <c r="AB6" s="77" t="s">
        <v>537</v>
      </c>
      <c r="AC6" s="71"/>
      <c r="AD6" s="71"/>
      <c r="AE6" s="70" t="s">
        <v>491</v>
      </c>
      <c r="AF6" s="70" t="s">
        <v>629</v>
      </c>
      <c r="AG6" s="101" t="s">
        <v>490</v>
      </c>
      <c r="AH6" s="101">
        <v>45167</v>
      </c>
      <c r="AI6" s="71">
        <v>58</v>
      </c>
      <c r="AJ6" s="71" t="s">
        <v>200</v>
      </c>
      <c r="AK6" s="71" t="s">
        <v>489</v>
      </c>
      <c r="AL6" s="83" t="s">
        <v>196</v>
      </c>
      <c r="AM6" s="102" t="s">
        <v>784</v>
      </c>
      <c r="AN6" s="102" t="s">
        <v>786</v>
      </c>
      <c r="AO6" s="81" t="s">
        <v>163</v>
      </c>
      <c r="AP6" s="81" t="s">
        <v>7</v>
      </c>
      <c r="AQ6" s="81" t="s">
        <v>7</v>
      </c>
      <c r="AR6" s="86"/>
      <c r="AS6" s="83"/>
      <c r="AT6" s="81"/>
      <c r="AU6" s="68"/>
      <c r="AW6" s="70" t="s">
        <v>551</v>
      </c>
      <c r="AX6" s="81" t="s">
        <v>693</v>
      </c>
      <c r="AY6" s="81" t="s">
        <v>215</v>
      </c>
      <c r="AZ6" s="81" t="s">
        <v>373</v>
      </c>
    </row>
    <row r="7" spans="1:52" ht="20.100000000000001" customHeight="1" x14ac:dyDescent="0.3">
      <c r="A7" s="74">
        <v>45169</v>
      </c>
      <c r="B7" s="74" t="s">
        <v>495</v>
      </c>
      <c r="C7" s="75" t="s">
        <v>686</v>
      </c>
      <c r="D7" s="79" t="s">
        <v>686</v>
      </c>
      <c r="E7" s="75" t="s">
        <v>96</v>
      </c>
      <c r="F7" s="75" t="s">
        <v>697</v>
      </c>
      <c r="G7" s="75" t="s">
        <v>698</v>
      </c>
      <c r="H7" s="84" t="s">
        <v>501</v>
      </c>
      <c r="I7" s="75">
        <v>10</v>
      </c>
      <c r="J7" s="76"/>
      <c r="K7" s="77"/>
      <c r="L7" s="76" t="s">
        <v>38</v>
      </c>
      <c r="M7" s="77" t="s">
        <v>89</v>
      </c>
      <c r="N7" s="77">
        <v>5</v>
      </c>
      <c r="O7" s="77" t="s">
        <v>166</v>
      </c>
      <c r="P7" s="77" t="s">
        <v>501</v>
      </c>
      <c r="Q7" s="76" t="s">
        <v>7</v>
      </c>
      <c r="R7" s="77" t="s">
        <v>699</v>
      </c>
      <c r="S7" s="76" t="s">
        <v>119</v>
      </c>
      <c r="T7" s="77">
        <v>5.9</v>
      </c>
      <c r="U7" s="77" t="s">
        <v>283</v>
      </c>
      <c r="V7" s="77" t="s">
        <v>96</v>
      </c>
      <c r="W7" s="77" t="s">
        <v>96</v>
      </c>
      <c r="X7" s="77" t="s">
        <v>497</v>
      </c>
      <c r="Y7" s="77">
        <v>5</v>
      </c>
      <c r="Z7" s="77">
        <v>36.414999999999999</v>
      </c>
      <c r="AA7" s="77">
        <v>39.21</v>
      </c>
      <c r="AB7" s="77" t="s">
        <v>509</v>
      </c>
      <c r="AC7" s="71"/>
      <c r="AD7" s="71"/>
      <c r="AE7" s="70" t="s">
        <v>630</v>
      </c>
      <c r="AF7" s="70" t="s">
        <v>644</v>
      </c>
      <c r="AG7" s="101" t="s">
        <v>642</v>
      </c>
      <c r="AH7" s="101">
        <v>45167</v>
      </c>
      <c r="AI7" s="71"/>
      <c r="AJ7" s="71"/>
      <c r="AK7" s="71"/>
      <c r="AL7" s="83"/>
      <c r="AM7" s="102"/>
      <c r="AN7" s="83"/>
      <c r="AO7" s="81" t="s">
        <v>7</v>
      </c>
      <c r="AP7" s="81" t="s">
        <v>163</v>
      </c>
      <c r="AQ7" s="81" t="s">
        <v>7</v>
      </c>
      <c r="AR7" s="86"/>
      <c r="AS7" s="83"/>
      <c r="AT7" s="83"/>
      <c r="AU7" s="68"/>
      <c r="AW7" s="70" t="s">
        <v>494</v>
      </c>
      <c r="AX7" s="81" t="s">
        <v>781</v>
      </c>
      <c r="AY7" s="81" t="s">
        <v>215</v>
      </c>
      <c r="AZ7" s="81" t="s">
        <v>373</v>
      </c>
    </row>
    <row r="8" spans="1:52" ht="20.100000000000001" customHeight="1" x14ac:dyDescent="0.25">
      <c r="A8" s="74">
        <v>45169</v>
      </c>
      <c r="B8" s="74" t="s">
        <v>510</v>
      </c>
      <c r="C8" s="79" t="s">
        <v>87</v>
      </c>
      <c r="D8" s="79" t="s">
        <v>87</v>
      </c>
      <c r="E8" s="75" t="s">
        <v>96</v>
      </c>
      <c r="F8" s="75" t="s">
        <v>292</v>
      </c>
      <c r="G8" s="75" t="s">
        <v>778</v>
      </c>
      <c r="H8" s="84">
        <v>2.4E-2</v>
      </c>
      <c r="I8" s="75">
        <v>35</v>
      </c>
      <c r="J8" s="76"/>
      <c r="K8" s="77"/>
      <c r="L8" s="76" t="s">
        <v>38</v>
      </c>
      <c r="M8" s="77" t="s">
        <v>110</v>
      </c>
      <c r="N8" s="77">
        <v>10</v>
      </c>
      <c r="O8" s="77" t="s">
        <v>700</v>
      </c>
      <c r="P8" s="77" t="s">
        <v>701</v>
      </c>
      <c r="Q8" s="76" t="s">
        <v>696</v>
      </c>
      <c r="R8" s="77" t="s">
        <v>327</v>
      </c>
      <c r="S8" s="76" t="s">
        <v>119</v>
      </c>
      <c r="T8" s="77">
        <v>2.4</v>
      </c>
      <c r="U8" s="77" t="s">
        <v>96</v>
      </c>
      <c r="V8" s="77" t="s">
        <v>96</v>
      </c>
      <c r="W8" s="77" t="s">
        <v>96</v>
      </c>
      <c r="X8" s="77" t="s">
        <v>512</v>
      </c>
      <c r="Y8" s="77">
        <v>1.37</v>
      </c>
      <c r="Z8" s="77">
        <v>10</v>
      </c>
      <c r="AA8" s="77">
        <v>10.77</v>
      </c>
      <c r="AB8" s="77" t="s">
        <v>524</v>
      </c>
      <c r="AC8" s="71"/>
      <c r="AD8" s="71"/>
      <c r="AE8" s="70" t="s">
        <v>630</v>
      </c>
      <c r="AF8" s="70" t="s">
        <v>640</v>
      </c>
      <c r="AG8" s="101" t="s">
        <v>632</v>
      </c>
      <c r="AH8" s="101">
        <v>45167</v>
      </c>
      <c r="AI8" s="71"/>
      <c r="AJ8" s="71"/>
      <c r="AK8" s="71"/>
      <c r="AL8" s="83"/>
      <c r="AM8" s="83"/>
      <c r="AN8" s="83"/>
      <c r="AO8" s="81" t="s">
        <v>7</v>
      </c>
      <c r="AP8" s="81" t="s">
        <v>163</v>
      </c>
      <c r="AQ8" s="81" t="s">
        <v>7</v>
      </c>
      <c r="AR8" s="82"/>
      <c r="AS8" s="83"/>
      <c r="AT8" s="81"/>
      <c r="AU8" s="68"/>
      <c r="AW8" s="70" t="s">
        <v>657</v>
      </c>
      <c r="AX8" s="81" t="s">
        <v>694</v>
      </c>
      <c r="AY8" s="81" t="s">
        <v>215</v>
      </c>
      <c r="AZ8" s="81" t="s">
        <v>373</v>
      </c>
    </row>
    <row r="9" spans="1:52" ht="20.100000000000001" customHeight="1" x14ac:dyDescent="0.25">
      <c r="A9" s="74">
        <v>45168</v>
      </c>
      <c r="B9" s="74" t="s">
        <v>551</v>
      </c>
      <c r="C9" s="79" t="s">
        <v>87</v>
      </c>
      <c r="D9" s="79" t="s">
        <v>87</v>
      </c>
      <c r="E9" s="75" t="s">
        <v>702</v>
      </c>
      <c r="F9" s="75" t="s">
        <v>7</v>
      </c>
      <c r="G9" s="75"/>
      <c r="H9" s="75" t="s">
        <v>554</v>
      </c>
      <c r="I9" s="79"/>
      <c r="J9" s="76"/>
      <c r="K9" s="77"/>
      <c r="L9" s="76" t="s">
        <v>703</v>
      </c>
      <c r="M9" s="77" t="s">
        <v>378</v>
      </c>
      <c r="N9" s="77">
        <v>56.6</v>
      </c>
      <c r="O9" s="77" t="s">
        <v>166</v>
      </c>
      <c r="P9" s="87" t="s">
        <v>554</v>
      </c>
      <c r="Q9" s="76" t="s">
        <v>7</v>
      </c>
      <c r="R9" s="77" t="s">
        <v>327</v>
      </c>
      <c r="S9" s="76" t="s">
        <v>119</v>
      </c>
      <c r="T9" s="77">
        <v>2.2999999999999998</v>
      </c>
      <c r="U9" s="77" t="s">
        <v>283</v>
      </c>
      <c r="V9" s="77" t="s">
        <v>96</v>
      </c>
      <c r="W9" s="77" t="s">
        <v>96</v>
      </c>
      <c r="X9" s="77" t="s">
        <v>485</v>
      </c>
      <c r="Y9" s="77">
        <v>0.39600000000000002</v>
      </c>
      <c r="Z9" s="77">
        <v>2.83</v>
      </c>
      <c r="AA9" s="77">
        <v>3.056</v>
      </c>
      <c r="AB9" s="77" t="s">
        <v>486</v>
      </c>
      <c r="AC9" s="71"/>
      <c r="AD9" s="71"/>
      <c r="AE9" s="70" t="s">
        <v>630</v>
      </c>
      <c r="AF9" s="70" t="s">
        <v>650</v>
      </c>
      <c r="AG9" s="101" t="s">
        <v>646</v>
      </c>
      <c r="AH9" s="101">
        <v>45167</v>
      </c>
      <c r="AI9" s="71"/>
      <c r="AJ9" s="71"/>
      <c r="AK9" s="71"/>
      <c r="AL9" s="83"/>
      <c r="AM9" s="83"/>
      <c r="AN9" s="83"/>
      <c r="AO9" s="81" t="s">
        <v>7</v>
      </c>
      <c r="AP9" s="81" t="s">
        <v>163</v>
      </c>
      <c r="AQ9" s="81" t="s">
        <v>7</v>
      </c>
      <c r="AR9" s="82"/>
      <c r="AS9" s="83"/>
      <c r="AT9" s="81"/>
      <c r="AU9" s="68"/>
      <c r="AW9" s="70" t="s">
        <v>671</v>
      </c>
      <c r="AX9" s="81" t="s">
        <v>782</v>
      </c>
      <c r="AY9" s="81" t="s">
        <v>215</v>
      </c>
      <c r="AZ9" s="81" t="s">
        <v>373</v>
      </c>
    </row>
    <row r="10" spans="1:52" ht="20.100000000000001" customHeight="1" x14ac:dyDescent="0.25">
      <c r="A10" s="74">
        <v>45168</v>
      </c>
      <c r="B10" s="74" t="s">
        <v>538</v>
      </c>
      <c r="C10" s="79" t="s">
        <v>686</v>
      </c>
      <c r="D10" s="79" t="s">
        <v>686</v>
      </c>
      <c r="E10" s="75" t="s">
        <v>96</v>
      </c>
      <c r="F10" s="75" t="s">
        <v>7</v>
      </c>
      <c r="G10" s="75" t="s">
        <v>698</v>
      </c>
      <c r="H10" s="88" t="s">
        <v>541</v>
      </c>
      <c r="I10" s="75">
        <v>20</v>
      </c>
      <c r="J10" s="85"/>
      <c r="K10" s="77"/>
      <c r="L10" s="76" t="s">
        <v>41</v>
      </c>
      <c r="M10" s="77" t="s">
        <v>89</v>
      </c>
      <c r="N10" s="77">
        <v>3</v>
      </c>
      <c r="O10" s="77" t="s">
        <v>166</v>
      </c>
      <c r="P10" s="77" t="s">
        <v>541</v>
      </c>
      <c r="Q10" s="76" t="s">
        <v>7</v>
      </c>
      <c r="R10" s="77" t="s">
        <v>438</v>
      </c>
      <c r="S10" s="76" t="s">
        <v>119</v>
      </c>
      <c r="T10" s="77">
        <v>5.8</v>
      </c>
      <c r="U10" s="77" t="s">
        <v>273</v>
      </c>
      <c r="V10" s="77" t="s">
        <v>96</v>
      </c>
      <c r="W10" s="77" t="s">
        <v>96</v>
      </c>
      <c r="X10" s="77" t="s">
        <v>487</v>
      </c>
      <c r="Y10" s="77">
        <v>3</v>
      </c>
      <c r="Z10" s="77">
        <v>21.890999999999998</v>
      </c>
      <c r="AA10" s="77">
        <v>23.541</v>
      </c>
      <c r="AB10" s="77" t="s">
        <v>488</v>
      </c>
      <c r="AC10" s="71"/>
      <c r="AD10" s="71"/>
      <c r="AE10" s="70" t="s">
        <v>510</v>
      </c>
      <c r="AF10" s="70" t="s">
        <v>528</v>
      </c>
      <c r="AG10" s="101" t="s">
        <v>526</v>
      </c>
      <c r="AH10" s="101">
        <v>45169</v>
      </c>
      <c r="AI10" s="71"/>
      <c r="AJ10" s="71"/>
      <c r="AK10" s="71"/>
      <c r="AL10" s="83"/>
      <c r="AM10" s="81"/>
      <c r="AN10" s="81"/>
      <c r="AO10" s="81" t="s">
        <v>7</v>
      </c>
      <c r="AP10" s="81" t="s">
        <v>7</v>
      </c>
      <c r="AQ10" s="81" t="s">
        <v>163</v>
      </c>
      <c r="AR10" s="82"/>
      <c r="AS10" s="81"/>
      <c r="AT10" s="81"/>
      <c r="AU10" s="68"/>
      <c r="AW10" s="70"/>
      <c r="AX10" s="81"/>
      <c r="AY10" s="81"/>
      <c r="AZ10" s="81"/>
    </row>
    <row r="11" spans="1:52" ht="20.100000000000001" customHeight="1" x14ac:dyDescent="0.25">
      <c r="A11" s="74">
        <v>45167</v>
      </c>
      <c r="B11" s="74" t="s">
        <v>630</v>
      </c>
      <c r="C11" s="75" t="s">
        <v>87</v>
      </c>
      <c r="D11" s="75" t="s">
        <v>87</v>
      </c>
      <c r="E11" s="75" t="s">
        <v>96</v>
      </c>
      <c r="F11" s="75" t="s">
        <v>292</v>
      </c>
      <c r="G11" s="84" t="s">
        <v>778</v>
      </c>
      <c r="H11" s="84">
        <v>2.4E-2</v>
      </c>
      <c r="I11" s="75">
        <v>35</v>
      </c>
      <c r="J11" s="76"/>
      <c r="K11" s="77"/>
      <c r="L11" s="76" t="s">
        <v>38</v>
      </c>
      <c r="M11" s="77" t="s">
        <v>110</v>
      </c>
      <c r="N11" s="77">
        <v>9</v>
      </c>
      <c r="O11" s="77" t="s">
        <v>700</v>
      </c>
      <c r="P11" s="77" t="s">
        <v>701</v>
      </c>
      <c r="Q11" s="76" t="s">
        <v>7</v>
      </c>
      <c r="R11" s="77" t="s">
        <v>438</v>
      </c>
      <c r="S11" s="76" t="s">
        <v>119</v>
      </c>
      <c r="T11" s="77">
        <v>2.4</v>
      </c>
      <c r="U11" s="77" t="s">
        <v>96</v>
      </c>
      <c r="V11" s="77" t="s">
        <v>96</v>
      </c>
      <c r="W11" s="77" t="s">
        <v>96</v>
      </c>
      <c r="X11" s="77" t="s">
        <v>632</v>
      </c>
      <c r="Y11" s="77">
        <v>1.2330000000000001</v>
      </c>
      <c r="Z11" s="77">
        <v>9</v>
      </c>
      <c r="AA11" s="77">
        <v>9.6929999999999996</v>
      </c>
      <c r="AB11" s="77" t="s">
        <v>640</v>
      </c>
      <c r="AC11" s="71"/>
      <c r="AD11" s="71"/>
      <c r="AE11" s="70" t="s">
        <v>538</v>
      </c>
      <c r="AF11" s="70" t="s">
        <v>488</v>
      </c>
      <c r="AG11" s="101" t="s">
        <v>487</v>
      </c>
      <c r="AH11" s="70">
        <v>45168</v>
      </c>
      <c r="AI11" s="71"/>
      <c r="AJ11" s="71"/>
      <c r="AK11" s="71"/>
      <c r="AL11" s="83"/>
      <c r="AM11" s="81"/>
      <c r="AN11" s="81"/>
      <c r="AO11" s="81" t="s">
        <v>7</v>
      </c>
      <c r="AP11" s="81" t="s">
        <v>163</v>
      </c>
      <c r="AQ11" s="81" t="s">
        <v>7</v>
      </c>
      <c r="AR11" s="86"/>
      <c r="AS11" s="81"/>
      <c r="AT11" s="81"/>
      <c r="AU11" s="68"/>
    </row>
    <row r="12" spans="1:52" ht="20.100000000000001" customHeight="1" x14ac:dyDescent="0.25">
      <c r="A12" s="74">
        <v>45167</v>
      </c>
      <c r="B12" s="74" t="s">
        <v>630</v>
      </c>
      <c r="C12" s="75" t="s">
        <v>87</v>
      </c>
      <c r="D12" s="79" t="s">
        <v>87</v>
      </c>
      <c r="E12" s="75" t="s">
        <v>96</v>
      </c>
      <c r="F12" s="75" t="s">
        <v>292</v>
      </c>
      <c r="G12" s="75" t="s">
        <v>779</v>
      </c>
      <c r="H12" s="84">
        <v>2.5499999999999998E-2</v>
      </c>
      <c r="I12" s="75">
        <v>35</v>
      </c>
      <c r="J12" s="76"/>
      <c r="K12" s="77"/>
      <c r="L12" s="76" t="s">
        <v>38</v>
      </c>
      <c r="M12" s="77" t="s">
        <v>110</v>
      </c>
      <c r="N12" s="77">
        <v>21</v>
      </c>
      <c r="O12" s="77" t="s">
        <v>166</v>
      </c>
      <c r="P12" s="77" t="s">
        <v>695</v>
      </c>
      <c r="Q12" s="76" t="s">
        <v>7</v>
      </c>
      <c r="R12" s="77" t="s">
        <v>438</v>
      </c>
      <c r="S12" s="76" t="s">
        <v>119</v>
      </c>
      <c r="T12" s="77">
        <v>2.5499999999999998</v>
      </c>
      <c r="U12" s="77" t="s">
        <v>96</v>
      </c>
      <c r="V12" s="77" t="s">
        <v>96</v>
      </c>
      <c r="W12" s="77" t="s">
        <v>96</v>
      </c>
      <c r="X12" s="77" t="s">
        <v>642</v>
      </c>
      <c r="Y12" s="77">
        <v>2.8769999999999998</v>
      </c>
      <c r="Z12" s="77">
        <v>21</v>
      </c>
      <c r="AA12" s="77">
        <v>22.617000000000001</v>
      </c>
      <c r="AB12" s="77" t="s">
        <v>644</v>
      </c>
      <c r="AC12" s="71"/>
      <c r="AD12" s="71"/>
      <c r="AE12" s="70" t="s">
        <v>510</v>
      </c>
      <c r="AF12" s="70" t="s">
        <v>524</v>
      </c>
      <c r="AG12" s="101" t="s">
        <v>512</v>
      </c>
      <c r="AH12" s="70">
        <v>45169</v>
      </c>
      <c r="AI12" s="81"/>
      <c r="AJ12" s="81"/>
      <c r="AK12" s="81"/>
      <c r="AL12" s="83"/>
      <c r="AM12" s="81"/>
      <c r="AN12" s="81"/>
      <c r="AO12" s="81" t="s">
        <v>7</v>
      </c>
      <c r="AP12" s="81" t="s">
        <v>7</v>
      </c>
      <c r="AQ12" s="81" t="s">
        <v>163</v>
      </c>
      <c r="AR12" s="86"/>
      <c r="AS12" s="81"/>
      <c r="AT12" s="81"/>
      <c r="AU12" s="68"/>
    </row>
    <row r="13" spans="1:52" ht="20.100000000000001" customHeight="1" x14ac:dyDescent="0.25">
      <c r="A13" s="74">
        <v>45167</v>
      </c>
      <c r="B13" s="74" t="s">
        <v>630</v>
      </c>
      <c r="C13" s="75" t="s">
        <v>87</v>
      </c>
      <c r="D13" s="75" t="s">
        <v>87</v>
      </c>
      <c r="E13" s="75" t="s">
        <v>96</v>
      </c>
      <c r="F13" s="75" t="s">
        <v>292</v>
      </c>
      <c r="G13" s="75" t="s">
        <v>780</v>
      </c>
      <c r="H13" s="106">
        <v>2.75E-2</v>
      </c>
      <c r="I13" s="75">
        <v>40</v>
      </c>
      <c r="J13" s="76"/>
      <c r="K13" s="77"/>
      <c r="L13" s="76" t="s">
        <v>38</v>
      </c>
      <c r="M13" s="77" t="s">
        <v>110</v>
      </c>
      <c r="N13" s="77">
        <v>20</v>
      </c>
      <c r="O13" s="77" t="s">
        <v>704</v>
      </c>
      <c r="P13" s="77" t="s">
        <v>705</v>
      </c>
      <c r="Q13" s="76" t="s">
        <v>7</v>
      </c>
      <c r="R13" s="77" t="s">
        <v>438</v>
      </c>
      <c r="S13" s="76" t="s">
        <v>119</v>
      </c>
      <c r="T13" s="77">
        <v>2.75</v>
      </c>
      <c r="U13" s="77" t="s">
        <v>96</v>
      </c>
      <c r="V13" s="77" t="s">
        <v>96</v>
      </c>
      <c r="W13" s="77" t="s">
        <v>96</v>
      </c>
      <c r="X13" s="77" t="s">
        <v>646</v>
      </c>
      <c r="Y13" s="77">
        <v>2.74</v>
      </c>
      <c r="Z13" s="77">
        <v>20</v>
      </c>
      <c r="AA13" s="77">
        <v>21.54</v>
      </c>
      <c r="AB13" s="77" t="s">
        <v>650</v>
      </c>
      <c r="AC13" s="71"/>
      <c r="AD13" s="71"/>
      <c r="AQ13" s="71"/>
      <c r="AR13" s="71"/>
      <c r="AT13" s="71"/>
      <c r="AU13" s="68"/>
    </row>
    <row r="14" spans="1:52" ht="20.100000000000001" customHeight="1" x14ac:dyDescent="0.25">
      <c r="A14" s="74">
        <v>45167</v>
      </c>
      <c r="B14" s="74" t="s">
        <v>494</v>
      </c>
      <c r="C14" s="75" t="s">
        <v>691</v>
      </c>
      <c r="D14" s="75" t="s">
        <v>87</v>
      </c>
      <c r="E14" s="75" t="s">
        <v>96</v>
      </c>
      <c r="F14" s="75" t="s">
        <v>7</v>
      </c>
      <c r="G14" s="75" t="s">
        <v>706</v>
      </c>
      <c r="H14" s="75" t="s">
        <v>707</v>
      </c>
      <c r="I14" s="75">
        <v>10</v>
      </c>
      <c r="J14" s="76"/>
      <c r="K14" s="77"/>
      <c r="L14" s="76" t="s">
        <v>38</v>
      </c>
      <c r="M14" s="77" t="s">
        <v>110</v>
      </c>
      <c r="N14" s="77">
        <v>8.0619999999999994</v>
      </c>
      <c r="O14" s="77" t="s">
        <v>166</v>
      </c>
      <c r="P14" s="77" t="s">
        <v>707</v>
      </c>
      <c r="Q14" s="76" t="s">
        <v>7</v>
      </c>
      <c r="R14" s="77" t="s">
        <v>438</v>
      </c>
      <c r="S14" s="76" t="s">
        <v>119</v>
      </c>
      <c r="T14" s="77">
        <v>5.5</v>
      </c>
      <c r="U14" s="77" t="s">
        <v>283</v>
      </c>
      <c r="V14" s="77" t="s">
        <v>96</v>
      </c>
      <c r="W14" s="77" t="s">
        <v>96</v>
      </c>
      <c r="X14" s="77" t="s">
        <v>493</v>
      </c>
      <c r="Y14" s="77">
        <v>1.1040000000000001</v>
      </c>
      <c r="Z14" s="77">
        <v>8.0619999999999994</v>
      </c>
      <c r="AA14" s="77">
        <v>8.6829999999999998</v>
      </c>
      <c r="AB14" s="77" t="s">
        <v>591</v>
      </c>
      <c r="AC14" s="71"/>
      <c r="AD14" s="71"/>
      <c r="AR14" s="71"/>
      <c r="AT14" s="71"/>
    </row>
    <row r="15" spans="1:52" ht="20.100000000000001" customHeight="1" x14ac:dyDescent="0.25">
      <c r="A15" s="74">
        <v>45167</v>
      </c>
      <c r="B15" s="74" t="s">
        <v>604</v>
      </c>
      <c r="C15" s="75" t="s">
        <v>689</v>
      </c>
      <c r="D15" s="75" t="s">
        <v>87</v>
      </c>
      <c r="E15" s="75" t="s">
        <v>708</v>
      </c>
      <c r="F15" s="75" t="s">
        <v>7</v>
      </c>
      <c r="G15" s="75"/>
      <c r="H15" s="84"/>
      <c r="I15" s="75"/>
      <c r="J15" s="76"/>
      <c r="K15" s="77"/>
      <c r="L15" s="76" t="s">
        <v>117</v>
      </c>
      <c r="M15" s="77" t="s">
        <v>89</v>
      </c>
      <c r="N15" s="77">
        <v>0.5</v>
      </c>
      <c r="O15" s="77" t="s">
        <v>441</v>
      </c>
      <c r="P15" s="77" t="s">
        <v>442</v>
      </c>
      <c r="Q15" s="76" t="s">
        <v>7</v>
      </c>
      <c r="R15" s="77" t="s">
        <v>438</v>
      </c>
      <c r="S15" s="76" t="s">
        <v>119</v>
      </c>
      <c r="T15" s="77">
        <v>7</v>
      </c>
      <c r="U15" s="77" t="s">
        <v>273</v>
      </c>
      <c r="V15" s="77" t="s">
        <v>96</v>
      </c>
      <c r="W15" s="77" t="s">
        <v>443</v>
      </c>
      <c r="X15" s="77" t="s">
        <v>606</v>
      </c>
      <c r="Y15" s="77">
        <v>0.5</v>
      </c>
      <c r="Z15" s="77">
        <v>3.6440000000000001</v>
      </c>
      <c r="AA15" s="77">
        <v>3.923</v>
      </c>
      <c r="AB15" s="77" t="s">
        <v>617</v>
      </c>
      <c r="AC15" s="71"/>
      <c r="AD15" s="71"/>
      <c r="AR15" s="71"/>
      <c r="AT15" s="71"/>
    </row>
    <row r="16" spans="1:52" ht="20.100000000000001" customHeight="1" x14ac:dyDescent="0.25">
      <c r="A16" s="74">
        <v>45167</v>
      </c>
      <c r="B16" s="74" t="s">
        <v>491</v>
      </c>
      <c r="C16" s="75" t="s">
        <v>385</v>
      </c>
      <c r="D16" s="75" t="s">
        <v>385</v>
      </c>
      <c r="E16" s="75" t="s">
        <v>96</v>
      </c>
      <c r="F16" s="75" t="s">
        <v>7</v>
      </c>
      <c r="G16" s="75" t="s">
        <v>709</v>
      </c>
      <c r="H16" s="75" t="s">
        <v>501</v>
      </c>
      <c r="I16" s="75">
        <v>40</v>
      </c>
      <c r="J16" s="76"/>
      <c r="K16" s="77"/>
      <c r="L16" s="76" t="s">
        <v>41</v>
      </c>
      <c r="M16" s="77" t="s">
        <v>89</v>
      </c>
      <c r="N16" s="77">
        <v>1.22</v>
      </c>
      <c r="O16" s="77" t="s">
        <v>166</v>
      </c>
      <c r="P16" s="77" t="s">
        <v>501</v>
      </c>
      <c r="Q16" s="76" t="s">
        <v>7</v>
      </c>
      <c r="R16" s="77" t="s">
        <v>438</v>
      </c>
      <c r="S16" s="76" t="s">
        <v>119</v>
      </c>
      <c r="T16" s="77">
        <v>5.9</v>
      </c>
      <c r="U16" s="77" t="s">
        <v>283</v>
      </c>
      <c r="V16" s="77" t="s">
        <v>96</v>
      </c>
      <c r="W16" s="77" t="s">
        <v>96</v>
      </c>
      <c r="X16" s="77" t="s">
        <v>490</v>
      </c>
      <c r="Y16" s="77">
        <v>1.22</v>
      </c>
      <c r="Z16" s="77">
        <v>8.89</v>
      </c>
      <c r="AA16" s="77">
        <v>9.5719999999999992</v>
      </c>
      <c r="AB16" s="77" t="s">
        <v>629</v>
      </c>
      <c r="AC16" s="71"/>
      <c r="AD16" s="71"/>
    </row>
    <row r="17" spans="1:42" ht="20.100000000000001" customHeight="1" x14ac:dyDescent="0.25">
      <c r="A17" s="74">
        <v>45166</v>
      </c>
      <c r="B17" s="74" t="s">
        <v>671</v>
      </c>
      <c r="C17" s="75" t="s">
        <v>87</v>
      </c>
      <c r="D17" s="75" t="s">
        <v>87</v>
      </c>
      <c r="E17" s="75" t="s">
        <v>96</v>
      </c>
      <c r="F17" s="75" t="s">
        <v>7</v>
      </c>
      <c r="G17" s="75" t="s">
        <v>710</v>
      </c>
      <c r="H17" s="75" t="s">
        <v>676</v>
      </c>
      <c r="I17" s="75">
        <v>35</v>
      </c>
      <c r="J17" s="76"/>
      <c r="K17" s="77"/>
      <c r="L17" s="76" t="s">
        <v>41</v>
      </c>
      <c r="M17" s="77" t="s">
        <v>89</v>
      </c>
      <c r="N17" s="77">
        <v>1.26</v>
      </c>
      <c r="O17" s="77" t="s">
        <v>166</v>
      </c>
      <c r="P17" s="77" t="s">
        <v>676</v>
      </c>
      <c r="Q17" s="76" t="s">
        <v>7</v>
      </c>
      <c r="R17" s="77" t="s">
        <v>438</v>
      </c>
      <c r="S17" s="76" t="s">
        <v>119</v>
      </c>
      <c r="T17" s="77">
        <v>6.95</v>
      </c>
      <c r="U17" s="77" t="s">
        <v>283</v>
      </c>
      <c r="V17" s="77" t="s">
        <v>96</v>
      </c>
      <c r="W17" s="77" t="s">
        <v>96</v>
      </c>
      <c r="X17" s="77" t="s">
        <v>673</v>
      </c>
      <c r="Y17" s="77">
        <v>1.26</v>
      </c>
      <c r="Z17" s="77">
        <v>9.1880000000000006</v>
      </c>
      <c r="AA17" s="77">
        <v>9.8859999999999992</v>
      </c>
      <c r="AB17" s="77" t="s">
        <v>685</v>
      </c>
      <c r="AC17" s="71"/>
      <c r="AD17" s="71"/>
    </row>
    <row r="18" spans="1:42" ht="20.100000000000001" customHeight="1" x14ac:dyDescent="0.25">
      <c r="A18" s="74">
        <v>45166</v>
      </c>
      <c r="B18" s="74" t="s">
        <v>657</v>
      </c>
      <c r="C18" s="75" t="s">
        <v>87</v>
      </c>
      <c r="D18" s="75" t="s">
        <v>87</v>
      </c>
      <c r="E18" s="75" t="s">
        <v>96</v>
      </c>
      <c r="F18" s="75" t="s">
        <v>7</v>
      </c>
      <c r="G18" s="75" t="s">
        <v>711</v>
      </c>
      <c r="H18" s="75" t="s">
        <v>663</v>
      </c>
      <c r="I18" s="75">
        <v>25</v>
      </c>
      <c r="J18" s="76"/>
      <c r="K18" s="77"/>
      <c r="L18" s="76" t="s">
        <v>41</v>
      </c>
      <c r="M18" s="77" t="s">
        <v>89</v>
      </c>
      <c r="N18" s="77">
        <v>2</v>
      </c>
      <c r="O18" s="77" t="s">
        <v>166</v>
      </c>
      <c r="P18" s="77" t="s">
        <v>663</v>
      </c>
      <c r="Q18" s="76" t="s">
        <v>7</v>
      </c>
      <c r="R18" s="77" t="s">
        <v>483</v>
      </c>
      <c r="S18" s="76" t="s">
        <v>119</v>
      </c>
      <c r="T18" s="77">
        <v>7.25</v>
      </c>
      <c r="U18" s="77" t="s">
        <v>283</v>
      </c>
      <c r="V18" s="77" t="s">
        <v>96</v>
      </c>
      <c r="W18" s="77" t="s">
        <v>96</v>
      </c>
      <c r="X18" s="77" t="s">
        <v>659</v>
      </c>
      <c r="Y18" s="77">
        <v>2</v>
      </c>
      <c r="Z18" s="77">
        <v>14.584</v>
      </c>
      <c r="AA18" s="77">
        <v>15.692</v>
      </c>
      <c r="AB18" s="77" t="s">
        <v>670</v>
      </c>
      <c r="AC18" s="71"/>
      <c r="AD18" s="71"/>
    </row>
    <row r="19" spans="1:42" ht="20.100000000000001" customHeight="1" x14ac:dyDescent="0.25">
      <c r="A19" s="74"/>
      <c r="B19" s="74"/>
      <c r="C19" s="75"/>
      <c r="D19" s="75"/>
      <c r="E19" s="75"/>
      <c r="F19" s="75"/>
      <c r="G19" s="75"/>
      <c r="H19" s="75"/>
      <c r="I19" s="75"/>
      <c r="J19" s="76"/>
      <c r="K19" s="77"/>
      <c r="L19" s="76"/>
      <c r="M19" s="77"/>
      <c r="N19" s="77"/>
      <c r="O19" s="77"/>
      <c r="P19" s="77"/>
      <c r="Q19" s="76"/>
      <c r="R19" s="77"/>
      <c r="S19" s="76"/>
      <c r="T19" s="77"/>
      <c r="U19" s="77"/>
      <c r="V19" s="77"/>
      <c r="W19" s="77"/>
      <c r="X19" s="77"/>
      <c r="Y19" s="77"/>
      <c r="Z19" s="77"/>
      <c r="AA19" s="77"/>
      <c r="AB19" s="77"/>
      <c r="AC19" s="71"/>
      <c r="AD19" s="71"/>
    </row>
    <row r="20" spans="1:42" ht="20.100000000000001" customHeight="1" x14ac:dyDescent="0.25">
      <c r="A20" s="74"/>
      <c r="B20" s="74"/>
      <c r="C20" s="75"/>
      <c r="D20" s="75"/>
      <c r="E20" s="75"/>
      <c r="F20" s="75"/>
      <c r="G20" s="75"/>
      <c r="H20" s="75"/>
      <c r="I20" s="75"/>
      <c r="J20" s="76"/>
      <c r="K20" s="77"/>
      <c r="L20" s="76"/>
      <c r="M20" s="77"/>
      <c r="N20" s="77"/>
      <c r="O20" s="77"/>
      <c r="P20" s="77"/>
      <c r="Q20" s="76"/>
      <c r="R20" s="77"/>
      <c r="S20" s="76"/>
      <c r="T20" s="77"/>
      <c r="U20" s="77"/>
      <c r="V20" s="77"/>
      <c r="W20" s="77"/>
      <c r="X20" s="77"/>
      <c r="Y20" s="77"/>
      <c r="Z20" s="77"/>
      <c r="AA20" s="77"/>
      <c r="AB20" s="77"/>
      <c r="AC20" s="71"/>
      <c r="AD20" s="71"/>
    </row>
    <row r="21" spans="1:42" ht="20.100000000000001" customHeight="1" x14ac:dyDescent="0.25">
      <c r="A21" s="74"/>
      <c r="B21" s="74"/>
      <c r="C21" s="75"/>
      <c r="D21" s="75"/>
      <c r="E21" s="75"/>
      <c r="F21" s="75"/>
      <c r="G21" s="75"/>
      <c r="H21" s="75"/>
      <c r="I21" s="75"/>
      <c r="J21" s="76"/>
      <c r="K21" s="77"/>
      <c r="L21" s="76"/>
      <c r="M21" s="77"/>
      <c r="N21" s="77"/>
      <c r="O21" s="77"/>
      <c r="P21" s="77"/>
      <c r="Q21" s="76"/>
      <c r="R21" s="77"/>
      <c r="S21" s="76"/>
      <c r="T21" s="77"/>
      <c r="U21" s="77"/>
      <c r="V21" s="77"/>
      <c r="W21" s="77"/>
      <c r="X21" s="77"/>
      <c r="Y21" s="77"/>
      <c r="Z21" s="77"/>
      <c r="AA21" s="77"/>
      <c r="AB21" s="77"/>
      <c r="AC21" s="71"/>
      <c r="AD21" s="71"/>
    </row>
    <row r="22" spans="1:42" ht="20.100000000000001" customHeight="1" x14ac:dyDescent="0.25">
      <c r="A22" s="74"/>
      <c r="B22" s="74"/>
      <c r="C22" s="75"/>
      <c r="D22" s="75"/>
      <c r="E22" s="75"/>
      <c r="F22" s="75"/>
      <c r="G22" s="75"/>
      <c r="H22" s="75"/>
      <c r="I22" s="75"/>
      <c r="J22" s="76"/>
      <c r="K22" s="77"/>
      <c r="L22" s="76"/>
      <c r="M22" s="77"/>
      <c r="N22" s="77"/>
      <c r="O22" s="77"/>
      <c r="P22" s="77"/>
      <c r="Q22" s="76"/>
      <c r="R22" s="77"/>
      <c r="S22" s="76"/>
      <c r="T22" s="77"/>
      <c r="U22" s="77"/>
      <c r="V22" s="77"/>
      <c r="W22" s="77"/>
      <c r="X22" s="77"/>
      <c r="Y22" s="77"/>
      <c r="Z22" s="77"/>
      <c r="AA22" s="77"/>
      <c r="AB22" s="77"/>
      <c r="AC22" s="71"/>
      <c r="AD22" s="71"/>
    </row>
    <row r="23" spans="1:42" ht="20.100000000000001" customHeight="1" x14ac:dyDescent="0.25">
      <c r="A23" s="74"/>
      <c r="B23" s="74"/>
      <c r="C23" s="75"/>
      <c r="D23" s="75"/>
      <c r="E23" s="75"/>
      <c r="F23" s="75"/>
      <c r="G23" s="75"/>
      <c r="H23" s="75"/>
      <c r="I23" s="75"/>
      <c r="J23" s="76"/>
      <c r="K23" s="77"/>
      <c r="L23" s="76"/>
      <c r="M23" s="77"/>
      <c r="N23" s="77"/>
      <c r="O23" s="77"/>
      <c r="P23" s="77"/>
      <c r="Q23" s="76"/>
      <c r="R23" s="77"/>
      <c r="S23" s="76"/>
      <c r="T23" s="77"/>
      <c r="U23" s="77"/>
      <c r="V23" s="77"/>
      <c r="W23" s="77"/>
      <c r="X23" s="77"/>
      <c r="Y23" s="77"/>
      <c r="Z23" s="77"/>
      <c r="AA23" s="77"/>
      <c r="AB23" s="77"/>
      <c r="AC23" s="71"/>
      <c r="AD23" s="71"/>
    </row>
    <row r="24" spans="1:42" ht="20.100000000000001" customHeight="1" x14ac:dyDescent="0.25">
      <c r="A24" s="74"/>
      <c r="B24" s="74"/>
      <c r="C24" s="75"/>
      <c r="D24" s="75"/>
      <c r="E24" s="75"/>
      <c r="F24" s="75"/>
      <c r="G24" s="75"/>
      <c r="H24" s="75"/>
      <c r="I24" s="75"/>
      <c r="J24" s="76"/>
      <c r="K24" s="77"/>
      <c r="L24" s="76"/>
      <c r="M24" s="77"/>
      <c r="N24" s="77"/>
      <c r="O24" s="77"/>
      <c r="P24" s="77"/>
      <c r="Q24" s="76"/>
      <c r="R24" s="77"/>
      <c r="S24" s="76"/>
      <c r="T24" s="77"/>
      <c r="U24" s="77"/>
      <c r="V24" s="77"/>
      <c r="W24" s="77"/>
      <c r="X24" s="77"/>
      <c r="Y24" s="77"/>
      <c r="Z24" s="77"/>
      <c r="AA24" s="77"/>
      <c r="AB24" s="77"/>
      <c r="AC24" s="71"/>
      <c r="AD24" s="71"/>
    </row>
    <row r="25" spans="1:42" ht="20.100000000000001" customHeight="1" x14ac:dyDescent="0.25">
      <c r="A25" s="74"/>
      <c r="B25" s="74"/>
      <c r="C25" s="75"/>
      <c r="D25" s="75"/>
      <c r="E25" s="75"/>
      <c r="F25" s="75"/>
      <c r="G25" s="75"/>
      <c r="H25" s="75"/>
      <c r="I25" s="75"/>
      <c r="J25" s="76"/>
      <c r="K25" s="77"/>
      <c r="L25" s="76"/>
      <c r="M25" s="77"/>
      <c r="N25" s="77"/>
      <c r="O25" s="77"/>
      <c r="P25" s="77"/>
      <c r="Q25" s="76"/>
      <c r="R25" s="77"/>
      <c r="S25" s="76"/>
      <c r="T25" s="77"/>
      <c r="U25" s="77"/>
      <c r="V25" s="77"/>
      <c r="W25" s="77"/>
      <c r="X25" s="77"/>
      <c r="Y25" s="77"/>
      <c r="Z25" s="77"/>
      <c r="AA25" s="77"/>
      <c r="AB25" s="77"/>
      <c r="AC25" s="71"/>
      <c r="AD25" s="71"/>
    </row>
    <row r="26" spans="1:42" ht="20.100000000000001" customHeight="1" x14ac:dyDescent="0.25">
      <c r="A26" s="74"/>
      <c r="B26" s="74"/>
      <c r="C26" s="75"/>
      <c r="D26" s="75"/>
      <c r="E26" s="75"/>
      <c r="F26" s="75"/>
      <c r="G26" s="75"/>
      <c r="H26" s="75"/>
      <c r="I26" s="75"/>
      <c r="J26" s="76"/>
      <c r="K26" s="77"/>
      <c r="L26" s="76"/>
      <c r="M26" s="77"/>
      <c r="N26" s="77"/>
      <c r="O26" s="77"/>
      <c r="P26" s="77"/>
      <c r="Q26" s="76"/>
      <c r="R26" s="77"/>
      <c r="S26" s="76"/>
      <c r="T26" s="77"/>
      <c r="U26" s="77"/>
      <c r="V26" s="77"/>
      <c r="W26" s="77"/>
      <c r="X26" s="77"/>
      <c r="Y26" s="77"/>
      <c r="Z26" s="77"/>
      <c r="AA26" s="77"/>
      <c r="AB26" s="77"/>
      <c r="AC26" s="71"/>
      <c r="AD26" s="71"/>
    </row>
    <row r="27" spans="1:42" ht="20.100000000000001" customHeight="1" x14ac:dyDescent="0.25">
      <c r="A27" s="71"/>
      <c r="B27" s="71"/>
      <c r="C27" s="71"/>
      <c r="D27" s="71"/>
      <c r="E27" s="71"/>
      <c r="G27" s="71"/>
      <c r="K27" s="71"/>
      <c r="L27" s="71"/>
      <c r="O27" s="71"/>
      <c r="P27" s="71"/>
      <c r="Q27" s="71"/>
      <c r="R27" s="71"/>
      <c r="U27" s="71"/>
      <c r="V27" s="71"/>
      <c r="AA27" s="71"/>
      <c r="AB27" s="71"/>
      <c r="AC27" s="71"/>
      <c r="AD27" s="71"/>
    </row>
    <row r="28" spans="1:42" ht="20.100000000000001" customHeight="1" x14ac:dyDescent="0.25">
      <c r="A28" s="71"/>
      <c r="B28" s="71"/>
      <c r="C28" s="71"/>
      <c r="D28" s="71"/>
      <c r="E28" s="71"/>
      <c r="G28" s="71"/>
      <c r="K28" s="71"/>
      <c r="L28" s="71"/>
      <c r="O28" s="71"/>
      <c r="P28" s="71"/>
      <c r="Q28" s="71"/>
      <c r="R28" s="71"/>
      <c r="U28" s="71"/>
      <c r="V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</row>
    <row r="29" spans="1:42" ht="20.100000000000001" customHeight="1" x14ac:dyDescent="0.25">
      <c r="A29" s="71"/>
      <c r="B29" s="71"/>
      <c r="C29" s="71"/>
      <c r="D29" s="71"/>
      <c r="E29" s="71"/>
      <c r="G29" s="71"/>
      <c r="K29" s="71"/>
      <c r="L29" s="71"/>
      <c r="O29" s="71"/>
      <c r="P29" s="71"/>
      <c r="Q29" s="71"/>
      <c r="R29" s="71"/>
      <c r="U29" s="71"/>
      <c r="V29" s="71"/>
      <c r="AA29" s="71"/>
      <c r="AB29" s="71"/>
      <c r="AC29" s="71"/>
      <c r="AD29" s="71"/>
      <c r="AE29" s="71"/>
      <c r="AF29" s="71"/>
      <c r="AG29" s="71"/>
      <c r="AH29" s="71"/>
      <c r="AI29" s="71"/>
      <c r="AJ29" s="71"/>
      <c r="AK29" s="71"/>
      <c r="AL29" s="71"/>
      <c r="AM29" s="71"/>
      <c r="AN29" s="71"/>
      <c r="AO29" s="71"/>
      <c r="AP29" s="71"/>
    </row>
    <row r="30" spans="1:42" ht="20.100000000000001" customHeight="1" x14ac:dyDescent="0.25">
      <c r="A30" s="71"/>
      <c r="B30" s="71"/>
      <c r="C30" s="71"/>
      <c r="D30" s="71"/>
      <c r="E30" s="71"/>
      <c r="G30" s="71"/>
      <c r="K30" s="71"/>
      <c r="L30" s="71"/>
      <c r="O30" s="71"/>
      <c r="P30" s="71"/>
      <c r="Q30" s="71"/>
      <c r="R30" s="71"/>
      <c r="U30" s="71"/>
      <c r="V30" s="71"/>
      <c r="AA30" s="71"/>
      <c r="AB30" s="71"/>
      <c r="AC30" s="71"/>
      <c r="AD30" s="71"/>
      <c r="AE30" s="71"/>
      <c r="AF30" s="71"/>
      <c r="AG30" s="71"/>
      <c r="AH30" s="71"/>
      <c r="AI30" s="71"/>
      <c r="AJ30" s="71"/>
      <c r="AK30" s="71"/>
      <c r="AL30" s="71"/>
      <c r="AM30" s="71"/>
      <c r="AN30" s="71"/>
      <c r="AO30" s="71"/>
      <c r="AP30" s="71"/>
    </row>
    <row r="31" spans="1:42" ht="20.100000000000001" customHeight="1" x14ac:dyDescent="0.25">
      <c r="A31" s="71"/>
      <c r="B31" s="71"/>
      <c r="C31" s="71"/>
      <c r="D31" s="71"/>
      <c r="E31" s="71"/>
      <c r="G31" s="71"/>
      <c r="K31" s="71"/>
      <c r="L31" s="71"/>
      <c r="O31" s="71"/>
      <c r="P31" s="71"/>
      <c r="Q31" s="71"/>
      <c r="R31" s="71"/>
      <c r="U31" s="71"/>
      <c r="V31" s="71"/>
      <c r="AA31" s="71"/>
      <c r="AB31" s="71"/>
      <c r="AC31" s="71"/>
      <c r="AD31" s="71"/>
      <c r="AE31" s="71"/>
      <c r="AF31" s="71"/>
      <c r="AG31" s="71"/>
      <c r="AH31" s="71"/>
      <c r="AI31" s="71"/>
      <c r="AJ31" s="71"/>
      <c r="AK31" s="71"/>
      <c r="AL31" s="71"/>
      <c r="AM31" s="71"/>
      <c r="AN31" s="71"/>
      <c r="AO31" s="71"/>
      <c r="AP31" s="71"/>
    </row>
    <row r="32" spans="1:42" ht="20.100000000000001" customHeight="1" x14ac:dyDescent="0.25">
      <c r="A32" s="71"/>
      <c r="B32" s="71"/>
      <c r="C32" s="71"/>
      <c r="D32" s="71"/>
      <c r="E32" s="71"/>
      <c r="G32" s="71"/>
      <c r="K32" s="71"/>
      <c r="L32" s="71"/>
      <c r="O32" s="71"/>
      <c r="P32" s="71"/>
      <c r="Q32" s="71"/>
      <c r="R32" s="71"/>
      <c r="U32" s="71"/>
      <c r="V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</row>
    <row r="33" spans="1:42" ht="20.100000000000001" customHeight="1" x14ac:dyDescent="0.25">
      <c r="A33" s="71"/>
      <c r="B33" s="71"/>
      <c r="C33" s="71"/>
      <c r="D33" s="71"/>
      <c r="E33" s="71"/>
      <c r="G33" s="71"/>
      <c r="K33" s="71"/>
      <c r="L33" s="71"/>
      <c r="O33" s="71"/>
      <c r="P33" s="71"/>
      <c r="Q33" s="71"/>
      <c r="R33" s="71"/>
      <c r="U33" s="71"/>
      <c r="V33" s="71"/>
      <c r="AA33" s="71"/>
      <c r="AB33" s="71"/>
      <c r="AC33" s="71"/>
      <c r="AD33" s="71"/>
      <c r="AE33" s="71"/>
      <c r="AF33" s="71"/>
      <c r="AG33" s="71"/>
      <c r="AH33" s="71"/>
      <c r="AI33" s="71"/>
      <c r="AJ33" s="71"/>
      <c r="AK33" s="71"/>
      <c r="AL33" s="71"/>
      <c r="AM33" s="71"/>
      <c r="AN33" s="71"/>
      <c r="AO33" s="71"/>
      <c r="AP33" s="71"/>
    </row>
    <row r="34" spans="1:42" ht="20.100000000000001" customHeight="1" x14ac:dyDescent="0.25">
      <c r="A34" s="71"/>
      <c r="B34" s="71"/>
      <c r="C34" s="71"/>
      <c r="D34" s="71"/>
      <c r="E34" s="71"/>
      <c r="G34" s="71"/>
      <c r="K34" s="71"/>
      <c r="L34" s="71"/>
      <c r="O34" s="71"/>
      <c r="P34" s="71"/>
      <c r="Q34" s="71"/>
      <c r="R34" s="71"/>
      <c r="U34" s="71"/>
      <c r="V34" s="71"/>
      <c r="AA34" s="71"/>
      <c r="AB34" s="71"/>
      <c r="AC34" s="71"/>
      <c r="AD34" s="71"/>
      <c r="AE34" s="71"/>
      <c r="AF34" s="71"/>
      <c r="AG34" s="71"/>
      <c r="AH34" s="71"/>
      <c r="AI34" s="71"/>
      <c r="AJ34" s="71"/>
      <c r="AK34" s="71"/>
      <c r="AL34" s="71"/>
      <c r="AM34" s="71"/>
      <c r="AN34" s="71"/>
      <c r="AO34" s="71"/>
      <c r="AP34" s="71"/>
    </row>
    <row r="35" spans="1:42" ht="20.100000000000001" customHeight="1" x14ac:dyDescent="0.25">
      <c r="A35" s="76"/>
      <c r="C35" s="43"/>
      <c r="AE35" s="71"/>
      <c r="AF35" s="71"/>
      <c r="AG35" s="71"/>
      <c r="AH35" s="71"/>
      <c r="AI35" s="71"/>
      <c r="AJ35" s="71"/>
      <c r="AK35" s="71"/>
      <c r="AL35" s="71"/>
      <c r="AM35" s="71"/>
      <c r="AN35" s="71"/>
      <c r="AO35" s="71"/>
      <c r="AP35" s="71"/>
    </row>
    <row r="36" spans="1:42" ht="20.100000000000001" customHeight="1" x14ac:dyDescent="0.25">
      <c r="A36" s="76"/>
      <c r="C36" s="43"/>
    </row>
    <row r="37" spans="1:42" ht="20.100000000000001" customHeight="1" x14ac:dyDescent="0.25">
      <c r="C37" s="43"/>
    </row>
    <row r="38" spans="1:42" ht="20.100000000000001" customHeight="1" x14ac:dyDescent="0.25">
      <c r="C38" s="43"/>
    </row>
    <row r="39" spans="1:42" ht="20.100000000000001" customHeight="1" x14ac:dyDescent="0.25">
      <c r="C39" s="43"/>
    </row>
    <row r="40" spans="1:42" ht="20.100000000000001" customHeight="1" x14ac:dyDescent="0.25">
      <c r="C40" s="43"/>
    </row>
    <row r="41" spans="1:42" ht="20.100000000000001" customHeight="1" x14ac:dyDescent="0.25">
      <c r="C41" s="43"/>
    </row>
    <row r="42" spans="1:42" ht="20.100000000000001" customHeight="1" x14ac:dyDescent="0.25">
      <c r="C42" s="43"/>
    </row>
    <row r="43" spans="1:42" ht="20.100000000000001" customHeight="1" x14ac:dyDescent="0.25">
      <c r="C43" s="43"/>
    </row>
    <row r="44" spans="1:42" ht="20.100000000000001" customHeight="1" x14ac:dyDescent="0.25">
      <c r="C44" s="43"/>
    </row>
    <row r="45" spans="1:42" ht="20.100000000000001" customHeight="1" x14ac:dyDescent="0.25">
      <c r="C45" s="43"/>
    </row>
    <row r="46" spans="1:42" ht="20.100000000000001" customHeight="1" x14ac:dyDescent="0.25">
      <c r="C46" s="43"/>
    </row>
    <row r="47" spans="1:42" ht="20.100000000000001" customHeight="1" x14ac:dyDescent="0.25">
      <c r="C47" s="43"/>
    </row>
    <row r="48" spans="1:42" ht="20.100000000000001" customHeight="1" x14ac:dyDescent="0.25">
      <c r="C48" s="43"/>
    </row>
    <row r="49" spans="3:3" ht="20.100000000000001" customHeight="1" x14ac:dyDescent="0.25">
      <c r="C49" s="43"/>
    </row>
    <row r="50" spans="3:3" ht="20.100000000000001" customHeight="1" x14ac:dyDescent="0.25">
      <c r="C50" s="43"/>
    </row>
    <row r="51" spans="3:3" ht="20.100000000000001" customHeight="1" x14ac:dyDescent="0.25">
      <c r="C51" s="43"/>
    </row>
    <row r="52" spans="3:3" ht="20.100000000000001" customHeight="1" x14ac:dyDescent="0.25">
      <c r="C52" s="43"/>
    </row>
  </sheetData>
  <phoneticPr fontId="13" type="noConversion"/>
  <dataValidations count="18">
    <dataValidation type="list" allowBlank="1" showInputMessage="1" showErrorMessage="1" sqref="AK11:AK12" xr:uid="{00000000-0002-0000-0300-000001000000}">
      <formula1>dd_bocomrole</formula1>
    </dataValidation>
    <dataValidation type="list" allowBlank="1" showInputMessage="1" showErrorMessage="1" sqref="AY1 AY4:AY10" xr:uid="{00000000-0002-0000-0300-000002000000}">
      <formula1>dd_中资属性</formula1>
    </dataValidation>
    <dataValidation type="list" allowBlank="1" showInputMessage="1" showErrorMessage="1" sqref="AZ1 AZ5:AZ10" xr:uid="{00000000-0002-0000-0300-000003000000}">
      <formula1>dd_板块</formula1>
    </dataValidation>
    <dataValidation type="list" allowBlank="1" showInputMessage="1" showErrorMessage="1" sqref="Q5:Q26" xr:uid="{00000000-0002-0000-0300-000004000000}">
      <formula1>dd_theme</formula1>
    </dataValidation>
    <dataValidation type="list" allowBlank="1" showInputMessage="1" showErrorMessage="1" sqref="AN8:AN12" xr:uid="{00000000-0002-0000-0300-00000A000000}">
      <formula1>"'--,合名"</formula1>
    </dataValidation>
    <dataValidation type="list" allowBlank="1" showInputMessage="1" showErrorMessage="1" sqref="AR1 AR4:AR12" xr:uid="{99BFFB53-B38D-40D3-8663-38F15ACF9F54}">
      <formula1>"--,Sole,Left-lead,Lead"</formula1>
    </dataValidation>
    <dataValidation type="list" allowBlank="1" showInputMessage="1" sqref="AS1 AS5:AS12" xr:uid="{CB096AB9-FDB8-4552-9C42-68264AF37713}">
      <formula1>"--,B&amp;D FOP,B&amp;D DvP,Arranger,DM,CCDC"</formula1>
    </dataValidation>
    <dataValidation type="list" allowBlank="1" showInputMessage="1" sqref="AT1 AT5:AT12" xr:uid="{6411A959-20E5-4337-AA9F-75101C5E704D}">
      <formula1>"--,合名"</formula1>
    </dataValidation>
    <dataValidation type="list" allowBlank="1" showInputMessage="1" sqref="AO1 AO5:AO12" xr:uid="{3E454A5F-36EA-4840-AEAE-0DBBC1E9E30B}">
      <formula1>dd_BISL_ROLE</formula1>
    </dataValidation>
    <dataValidation type="list" allowBlank="1" showInputMessage="1" sqref="AZ4" xr:uid="{7F58D390-3378-43F6-9007-729FF4991E98}">
      <formula1>dd_板块</formula1>
    </dataValidation>
    <dataValidation allowBlank="1" showInputMessage="1" showErrorMessage="1" promptTitle="IPG Format" prompt="No need to write bp_x000a_Decimal follow BBG_x000a_Use &quot;a&quot; for &quot;area&quot;_x000a__x000a_3.50%a_x000a_4%a_x000a_T+120a_x000a_" sqref="G4:G8 G10:G26 G1" xr:uid="{6BE86BC5-A580-4469-A83C-50849458266E}"/>
    <dataValidation allowBlank="1" showInputMessage="1" showErrorMessage="1" promptTitle="FPG Format" prompt="No need to write bp_x000a_Decimal follow BBG_x000a__x000a_3.20%_x000a_3.8%_x000a_T+100_x000a_" sqref="H4:H26 G9 H1" xr:uid="{9DC2CDDF-02A4-46D0-9060-1915C70FB108}"/>
    <dataValidation type="list" allowBlank="1" showInputMessage="1" showErrorMessage="1" sqref="K5:K26 K1" xr:uid="{9603EDB2-06F0-4BAF-8AE1-2933FEC0AE55}">
      <formula1>$K$1</formula1>
    </dataValidation>
    <dataValidation type="list" allowBlank="1" showInputMessage="1" showErrorMessage="1" sqref="F1 F4:F26" xr:uid="{21CF6E36-BFBE-43D8-81D2-7C0C7797C6AF}">
      <formula1>"Green,Sustainable,SLB,--"</formula1>
    </dataValidation>
    <dataValidation type="list" allowBlank="1" showInputMessage="1" showErrorMessage="1" sqref="AJ1 AJ5:AJ12" xr:uid="{9AD15052-9D16-43CA-833E-3464C184A18B}">
      <formula1>dd_coverage</formula1>
    </dataValidation>
    <dataValidation type="list" allowBlank="1" showInputMessage="1" showErrorMessage="1" sqref="AL1 AL5:AL12" xr:uid="{4C13DF36-2ABE-480F-A19C-E364241326EC}">
      <formula1>dd_sfcrole</formula1>
    </dataValidation>
    <dataValidation type="list" allowBlank="1" showInputMessage="1" sqref="M1 M4:M26" xr:uid="{B7F52B64-A9FC-42A7-8464-E03AF3CC47DD}">
      <formula1>dd_货币</formula1>
    </dataValidation>
    <dataValidation type="list" allowBlank="1" showInputMessage="1" sqref="L1 L4:L26" xr:uid="{5AA57038-BDF6-4CDB-8A0F-5183238A2768}">
      <formula1>dd_结构</formula1>
    </dataValidation>
  </dataValidations>
  <pageMargins left="0.7" right="0.7" top="0.75" bottom="0.75" header="0.3" footer="0.3"/>
  <pageSetup paperSize="9" orientation="portrait" r:id="rId1"/>
  <drawing r:id="rId2"/>
  <tableParts count="3"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>
    <tabColor rgb="FF0070C0"/>
  </sheetPr>
  <dimension ref="A1:AV54"/>
  <sheetViews>
    <sheetView topLeftCell="S1" zoomScale="85" zoomScaleNormal="85" workbookViewId="0">
      <selection activeCell="AK24" sqref="AK24"/>
    </sheetView>
  </sheetViews>
  <sheetFormatPr defaultColWidth="8.88671875" defaultRowHeight="15" x14ac:dyDescent="0.25"/>
  <cols>
    <col min="1" max="1" width="9.33203125" style="1" bestFit="1" customWidth="1"/>
    <col min="2" max="2" width="14" style="1" bestFit="1" customWidth="1"/>
    <col min="3" max="3" width="31.77734375" style="1" bestFit="1" customWidth="1"/>
    <col min="4" max="4" width="7" style="1" bestFit="1" customWidth="1"/>
    <col min="5" max="5" width="8" style="1" bestFit="1" customWidth="1"/>
    <col min="6" max="6" width="4.6640625" style="1" bestFit="1" customWidth="1"/>
    <col min="7" max="7" width="8.33203125" style="1" bestFit="1" customWidth="1"/>
    <col min="8" max="8" width="7.6640625" style="1" bestFit="1" customWidth="1"/>
    <col min="9" max="9" width="6" style="1" bestFit="1" customWidth="1"/>
    <col min="10" max="10" width="5.33203125" style="1" bestFit="1" customWidth="1"/>
    <col min="11" max="11" width="5.88671875" style="1" bestFit="1" customWidth="1"/>
    <col min="12" max="12" width="20.88671875" style="1" bestFit="1" customWidth="1"/>
    <col min="13" max="13" width="10.88671875" style="1" bestFit="1" customWidth="1"/>
    <col min="14" max="14" width="9.21875" style="1" bestFit="1" customWidth="1"/>
    <col min="15" max="15" width="8.88671875" style="1"/>
    <col min="16" max="16" width="5.5546875" style="1" bestFit="1" customWidth="1"/>
    <col min="17" max="17" width="14" style="1" bestFit="1" customWidth="1"/>
    <col min="18" max="18" width="9.33203125" style="1" bestFit="1" customWidth="1"/>
    <col min="19" max="19" width="15.5546875" style="1" bestFit="1" customWidth="1"/>
    <col min="20" max="20" width="8.6640625" style="1" bestFit="1" customWidth="1"/>
    <col min="21" max="21" width="4.6640625" style="1" bestFit="1" customWidth="1"/>
    <col min="22" max="22" width="10.44140625" style="1" bestFit="1" customWidth="1"/>
    <col min="23" max="23" width="4.33203125" style="1" bestFit="1" customWidth="1"/>
    <col min="24" max="24" width="5.77734375" style="1" bestFit="1" customWidth="1"/>
    <col min="25" max="25" width="6.6640625" style="1" bestFit="1" customWidth="1"/>
    <col min="26" max="26" width="7.6640625" style="1" bestFit="1" customWidth="1"/>
    <col min="27" max="27" width="13.5546875" style="1" bestFit="1" customWidth="1"/>
    <col min="28" max="28" width="14.44140625" style="1" bestFit="1" customWidth="1"/>
    <col min="29" max="29" width="8.33203125" style="1" bestFit="1" customWidth="1"/>
    <col min="30" max="30" width="4.33203125" style="1" bestFit="1" customWidth="1"/>
    <col min="31" max="31" width="13.5546875" style="1" bestFit="1" customWidth="1"/>
    <col min="32" max="32" width="6" style="1" bestFit="1" customWidth="1"/>
    <col min="33" max="33" width="7.77734375" style="1" bestFit="1" customWidth="1"/>
    <col min="34" max="34" width="15.109375" style="1" bestFit="1" customWidth="1"/>
    <col min="35" max="35" width="15.33203125" style="1" bestFit="1" customWidth="1"/>
    <col min="36" max="36" width="6.109375" style="1" bestFit="1" customWidth="1"/>
    <col min="37" max="37" width="5.88671875" style="1" bestFit="1" customWidth="1"/>
    <col min="38" max="38" width="9.44140625" style="1" bestFit="1" customWidth="1"/>
    <col min="39" max="39" width="36.77734375" style="1" bestFit="1" customWidth="1"/>
    <col min="40" max="40" width="12.5546875" style="1" bestFit="1" customWidth="1"/>
    <col min="41" max="41" width="9.21875" style="1" bestFit="1" customWidth="1"/>
    <col min="42" max="42" width="7.5546875" style="1" bestFit="1" customWidth="1"/>
    <col min="43" max="43" width="9.21875" style="1" bestFit="1" customWidth="1"/>
    <col min="44" max="44" width="5.88671875" style="1" bestFit="1" customWidth="1"/>
    <col min="45" max="45" width="12" style="1" bestFit="1" customWidth="1"/>
    <col min="46" max="47" width="5.88671875" style="1" bestFit="1" customWidth="1"/>
    <col min="48" max="49" width="5.77734375" style="1" bestFit="1" customWidth="1"/>
    <col min="50" max="50" width="9.21875" style="1" bestFit="1" customWidth="1"/>
    <col min="51" max="51" width="9" style="1" bestFit="1" customWidth="1"/>
    <col min="52" max="54" width="5.88671875" style="1" bestFit="1" customWidth="1"/>
    <col min="55" max="55" width="9.21875" style="1" bestFit="1" customWidth="1"/>
    <col min="56" max="56" width="7.5546875" style="1" bestFit="1" customWidth="1"/>
    <col min="57" max="57" width="7.109375" style="1" bestFit="1" customWidth="1"/>
    <col min="58" max="58" width="7.5546875" style="1" bestFit="1" customWidth="1"/>
    <col min="59" max="59" width="5.88671875" style="1" bestFit="1" customWidth="1"/>
    <col min="60" max="60" width="9.21875" style="1" bestFit="1" customWidth="1"/>
    <col min="61" max="61" width="12.5546875" style="1" bestFit="1" customWidth="1"/>
    <col min="62" max="62" width="5.88671875" style="1" bestFit="1" customWidth="1"/>
    <col min="63" max="63" width="5.77734375" style="1" bestFit="1" customWidth="1"/>
    <col min="64" max="64" width="5.44140625" style="1" bestFit="1" customWidth="1"/>
    <col min="65" max="65" width="11.109375" style="1" bestFit="1" customWidth="1"/>
    <col min="66" max="66" width="12.5546875" style="1" bestFit="1" customWidth="1"/>
    <col min="67" max="67" width="10.33203125" style="1" bestFit="1" customWidth="1"/>
    <col min="68" max="68" width="13.33203125" style="1" bestFit="1" customWidth="1"/>
    <col min="69" max="72" width="9.21875" style="1" bestFit="1" customWidth="1"/>
    <col min="73" max="73" width="11.44140625" style="1" bestFit="1" customWidth="1"/>
    <col min="74" max="74" width="9.21875" style="1" bestFit="1" customWidth="1"/>
    <col min="75" max="75" width="15.21875" style="1" bestFit="1" customWidth="1"/>
    <col min="76" max="76" width="13.5546875" style="1" bestFit="1" customWidth="1"/>
    <col min="77" max="77" width="11.109375" style="1" bestFit="1" customWidth="1"/>
    <col min="78" max="79" width="10.88671875" style="1" bestFit="1" customWidth="1"/>
    <col min="80" max="80" width="9.21875" style="1" bestFit="1" customWidth="1"/>
    <col min="81" max="81" width="8.77734375" style="1" bestFit="1" customWidth="1"/>
    <col min="82" max="82" width="9.21875" style="1" bestFit="1" customWidth="1"/>
    <col min="83" max="83" width="10.109375" style="1" bestFit="1" customWidth="1"/>
    <col min="84" max="84" width="10.33203125" style="1" bestFit="1" customWidth="1"/>
    <col min="85" max="85" width="15.109375" style="1" bestFit="1" customWidth="1"/>
    <col min="86" max="86" width="10.44140625" style="1" bestFit="1" customWidth="1"/>
    <col min="87" max="87" width="5.88671875" style="1" bestFit="1" customWidth="1"/>
    <col min="88" max="88" width="9.21875" style="1" bestFit="1" customWidth="1"/>
    <col min="89" max="89" width="10.44140625" style="1" bestFit="1" customWidth="1"/>
    <col min="90" max="90" width="14.5546875" style="1" bestFit="1" customWidth="1"/>
    <col min="91" max="91" width="16.21875" style="1" bestFit="1" customWidth="1"/>
    <col min="92" max="92" width="17.44140625" style="1" bestFit="1" customWidth="1"/>
    <col min="93" max="93" width="15.44140625" style="1" bestFit="1" customWidth="1"/>
    <col min="94" max="94" width="7.109375" style="1" bestFit="1" customWidth="1"/>
    <col min="95" max="95" width="17.44140625" style="1" bestFit="1" customWidth="1"/>
    <col min="96" max="96" width="15.44140625" style="1" bestFit="1" customWidth="1"/>
    <col min="97" max="97" width="7.109375" style="1" bestFit="1" customWidth="1"/>
    <col min="98" max="98" width="12.77734375" style="1" bestFit="1" customWidth="1"/>
    <col min="99" max="100" width="7.109375" style="1" bestFit="1" customWidth="1"/>
    <col min="101" max="101" width="7.33203125" style="1" bestFit="1" customWidth="1"/>
    <col min="102" max="102" width="9.21875" style="1" bestFit="1" customWidth="1"/>
    <col min="103" max="103" width="15.109375" style="1" bestFit="1" customWidth="1"/>
    <col min="104" max="104" width="17.44140625" style="1" bestFit="1" customWidth="1"/>
    <col min="105" max="105" width="19.109375" style="1" bestFit="1" customWidth="1"/>
    <col min="106" max="106" width="9.21875" style="1" bestFit="1" customWidth="1"/>
    <col min="107" max="107" width="7.109375" style="1" bestFit="1" customWidth="1"/>
    <col min="108" max="108" width="15.33203125" style="1" bestFit="1" customWidth="1"/>
    <col min="109" max="109" width="18.21875" style="1" bestFit="1" customWidth="1"/>
    <col min="110" max="110" width="19.109375" style="1" bestFit="1" customWidth="1"/>
    <col min="111" max="111" width="9.44140625" style="1" bestFit="1" customWidth="1"/>
    <col min="112" max="113" width="7.33203125" style="1" bestFit="1" customWidth="1"/>
    <col min="114" max="114" width="18.109375" style="1" bestFit="1" customWidth="1"/>
    <col min="115" max="115" width="19" style="1" bestFit="1" customWidth="1"/>
    <col min="116" max="116" width="9.44140625" style="1" bestFit="1" customWidth="1"/>
    <col min="117" max="117" width="7.33203125" style="1" bestFit="1" customWidth="1"/>
    <col min="118" max="16384" width="8.88671875" style="1"/>
  </cols>
  <sheetData>
    <row r="1" spans="1:48" ht="91.5" customHeight="1" x14ac:dyDescent="0.25">
      <c r="A1" s="37">
        <f>COUNTA(charts[ISIN])</f>
        <v>16</v>
      </c>
      <c r="B1" s="7" t="s">
        <v>148</v>
      </c>
      <c r="Q1" s="22" t="str">
        <f>COUNTA(Table_graph_weeklydeal[Index])&amp;"笔"</f>
        <v>14笔</v>
      </c>
      <c r="R1" s="23">
        <f>ROUND(SUM(Table_graph_weeklydeal[亿美元]),1)</f>
        <v>33</v>
      </c>
      <c r="S1" s="22" t="s">
        <v>189</v>
      </c>
      <c r="AV1" s="4"/>
    </row>
    <row r="2" spans="1:48" ht="42" customHeight="1" x14ac:dyDescent="0.25">
      <c r="A2" s="4" t="s">
        <v>195</v>
      </c>
      <c r="Q2" s="4" t="s">
        <v>201</v>
      </c>
    </row>
    <row r="4" spans="1:48" x14ac:dyDescent="0.25">
      <c r="C4" t="s">
        <v>461</v>
      </c>
      <c r="D4" t="s">
        <v>462</v>
      </c>
      <c r="E4" t="s">
        <v>463</v>
      </c>
      <c r="S4" t="s">
        <v>466</v>
      </c>
      <c r="T4" t="s">
        <v>462</v>
      </c>
      <c r="U4" t="s">
        <v>463</v>
      </c>
    </row>
    <row r="5" spans="1:48" x14ac:dyDescent="0.25">
      <c r="C5" t="s">
        <v>776</v>
      </c>
      <c r="D5">
        <v>10.671999999999999</v>
      </c>
      <c r="E5">
        <v>13</v>
      </c>
      <c r="S5" t="s">
        <v>777</v>
      </c>
      <c r="T5">
        <v>12.955</v>
      </c>
      <c r="U5">
        <v>13</v>
      </c>
    </row>
    <row r="8" spans="1:48" x14ac:dyDescent="0.25">
      <c r="A8" t="s">
        <v>51</v>
      </c>
      <c r="B8" t="s">
        <v>50</v>
      </c>
      <c r="C8" t="s">
        <v>49</v>
      </c>
      <c r="D8" t="s">
        <v>91</v>
      </c>
      <c r="E8" t="s">
        <v>189</v>
      </c>
      <c r="F8" t="s">
        <v>67</v>
      </c>
      <c r="G8" t="s">
        <v>253</v>
      </c>
      <c r="H8" t="s">
        <v>97</v>
      </c>
      <c r="I8" t="s">
        <v>111</v>
      </c>
      <c r="J8" t="s">
        <v>122</v>
      </c>
      <c r="P8" t="s">
        <v>90</v>
      </c>
      <c r="Q8" t="s">
        <v>50</v>
      </c>
      <c r="R8" t="s">
        <v>51</v>
      </c>
      <c r="S8" t="s">
        <v>181</v>
      </c>
      <c r="T8" t="s">
        <v>147</v>
      </c>
      <c r="U8" t="s">
        <v>67</v>
      </c>
      <c r="V8" t="s">
        <v>60</v>
      </c>
      <c r="W8" t="s">
        <v>91</v>
      </c>
      <c r="X8" t="s">
        <v>124</v>
      </c>
      <c r="Y8" t="s">
        <v>92</v>
      </c>
      <c r="Z8" t="s">
        <v>182</v>
      </c>
      <c r="AA8" t="s">
        <v>94</v>
      </c>
      <c r="AB8" t="s">
        <v>36</v>
      </c>
      <c r="AC8" t="s">
        <v>253</v>
      </c>
      <c r="AD8" t="s">
        <v>93</v>
      </c>
      <c r="AE8" t="s">
        <v>162</v>
      </c>
      <c r="AF8" t="s">
        <v>189</v>
      </c>
    </row>
    <row r="9" spans="1:48" x14ac:dyDescent="0.25">
      <c r="A9" s="56">
        <v>45169</v>
      </c>
      <c r="B9" t="s">
        <v>526</v>
      </c>
      <c r="C9" t="s">
        <v>513</v>
      </c>
      <c r="D9">
        <v>3</v>
      </c>
      <c r="E9">
        <v>10</v>
      </c>
      <c r="F9" t="s">
        <v>89</v>
      </c>
      <c r="G9" t="s">
        <v>254</v>
      </c>
      <c r="H9" t="s">
        <v>120</v>
      </c>
      <c r="I9" t="s">
        <v>235</v>
      </c>
      <c r="J9" t="s">
        <v>236</v>
      </c>
      <c r="P9">
        <v>14</v>
      </c>
      <c r="Q9" t="s">
        <v>531</v>
      </c>
      <c r="R9" s="56">
        <v>45169</v>
      </c>
      <c r="S9" t="s">
        <v>787</v>
      </c>
      <c r="T9" t="s">
        <v>87</v>
      </c>
      <c r="U9" t="s">
        <v>110</v>
      </c>
      <c r="V9">
        <v>2</v>
      </c>
      <c r="W9" t="s">
        <v>166</v>
      </c>
      <c r="X9" t="s">
        <v>440</v>
      </c>
      <c r="Y9" t="s">
        <v>7</v>
      </c>
      <c r="Z9" t="s">
        <v>7</v>
      </c>
      <c r="AA9" t="s">
        <v>116</v>
      </c>
      <c r="AB9" t="s">
        <v>279</v>
      </c>
      <c r="AC9" t="s">
        <v>373</v>
      </c>
      <c r="AD9" t="s">
        <v>10</v>
      </c>
      <c r="AE9" t="s">
        <v>7</v>
      </c>
      <c r="AF9">
        <v>0.27400000000000002</v>
      </c>
    </row>
    <row r="10" spans="1:48" x14ac:dyDescent="0.25">
      <c r="A10" s="56">
        <v>45169</v>
      </c>
      <c r="B10" t="s">
        <v>497</v>
      </c>
      <c r="C10" t="s">
        <v>498</v>
      </c>
      <c r="D10">
        <v>3</v>
      </c>
      <c r="E10">
        <v>5</v>
      </c>
      <c r="F10" t="s">
        <v>89</v>
      </c>
      <c r="G10" t="s">
        <v>373</v>
      </c>
      <c r="H10" t="s">
        <v>145</v>
      </c>
      <c r="I10" t="s">
        <v>235</v>
      </c>
      <c r="J10" t="s">
        <v>236</v>
      </c>
      <c r="P10">
        <v>13</v>
      </c>
      <c r="Q10" t="s">
        <v>512</v>
      </c>
      <c r="R10" s="56">
        <v>45169</v>
      </c>
      <c r="S10" t="s">
        <v>788</v>
      </c>
      <c r="T10" t="s">
        <v>87</v>
      </c>
      <c r="U10" t="s">
        <v>110</v>
      </c>
      <c r="V10">
        <v>10</v>
      </c>
      <c r="W10" t="s">
        <v>700</v>
      </c>
      <c r="X10" t="s">
        <v>701</v>
      </c>
      <c r="Y10" t="s">
        <v>778</v>
      </c>
      <c r="Z10" t="s">
        <v>789</v>
      </c>
      <c r="AA10" t="s">
        <v>38</v>
      </c>
      <c r="AB10" t="s">
        <v>791</v>
      </c>
      <c r="AC10" t="s">
        <v>254</v>
      </c>
      <c r="AD10" t="s">
        <v>18</v>
      </c>
      <c r="AE10" t="s">
        <v>266</v>
      </c>
      <c r="AF10">
        <v>1.37</v>
      </c>
    </row>
    <row r="11" spans="1:48" x14ac:dyDescent="0.25">
      <c r="A11" s="56">
        <v>45169</v>
      </c>
      <c r="B11" t="s">
        <v>531</v>
      </c>
      <c r="C11" t="s">
        <v>532</v>
      </c>
      <c r="D11">
        <v>3</v>
      </c>
      <c r="E11">
        <v>0.27400000000000002</v>
      </c>
      <c r="F11" t="s">
        <v>110</v>
      </c>
      <c r="G11" t="s">
        <v>373</v>
      </c>
      <c r="H11" t="s">
        <v>120</v>
      </c>
      <c r="I11" t="s">
        <v>279</v>
      </c>
      <c r="J11" t="s">
        <v>236</v>
      </c>
      <c r="P11">
        <v>12</v>
      </c>
      <c r="Q11" t="s">
        <v>526</v>
      </c>
      <c r="R11" s="56">
        <v>45169</v>
      </c>
      <c r="S11" t="s">
        <v>788</v>
      </c>
      <c r="T11" t="s">
        <v>87</v>
      </c>
      <c r="U11" t="s">
        <v>89</v>
      </c>
      <c r="V11">
        <v>10</v>
      </c>
      <c r="W11" t="s">
        <v>166</v>
      </c>
      <c r="X11" t="s">
        <v>695</v>
      </c>
      <c r="Y11" t="s">
        <v>779</v>
      </c>
      <c r="Z11" t="s">
        <v>789</v>
      </c>
      <c r="AA11" t="s">
        <v>38</v>
      </c>
      <c r="AB11" t="s">
        <v>790</v>
      </c>
      <c r="AC11" t="s">
        <v>254</v>
      </c>
      <c r="AD11" t="s">
        <v>18</v>
      </c>
      <c r="AE11" t="s">
        <v>266</v>
      </c>
      <c r="AF11">
        <v>10</v>
      </c>
    </row>
    <row r="12" spans="1:48" x14ac:dyDescent="0.25">
      <c r="A12" s="56">
        <v>45169</v>
      </c>
      <c r="B12" t="s">
        <v>512</v>
      </c>
      <c r="C12" t="s">
        <v>513</v>
      </c>
      <c r="D12">
        <v>2</v>
      </c>
      <c r="E12">
        <v>1.37</v>
      </c>
      <c r="F12" t="s">
        <v>110</v>
      </c>
      <c r="G12" t="s">
        <v>254</v>
      </c>
      <c r="H12" t="s">
        <v>120</v>
      </c>
      <c r="I12" t="s">
        <v>279</v>
      </c>
      <c r="J12" t="s">
        <v>236</v>
      </c>
      <c r="P12">
        <v>11</v>
      </c>
      <c r="Q12" t="s">
        <v>497</v>
      </c>
      <c r="R12" s="56">
        <v>45169</v>
      </c>
      <c r="S12" t="s">
        <v>692</v>
      </c>
      <c r="T12" t="s">
        <v>686</v>
      </c>
      <c r="U12" t="s">
        <v>89</v>
      </c>
      <c r="V12">
        <v>5</v>
      </c>
      <c r="W12" t="s">
        <v>166</v>
      </c>
      <c r="X12" t="s">
        <v>501</v>
      </c>
      <c r="Y12" t="s">
        <v>698</v>
      </c>
      <c r="Z12" t="s">
        <v>446</v>
      </c>
      <c r="AA12" t="s">
        <v>38</v>
      </c>
      <c r="AB12" t="s">
        <v>505</v>
      </c>
      <c r="AC12" t="s">
        <v>373</v>
      </c>
      <c r="AD12" t="s">
        <v>8</v>
      </c>
      <c r="AE12" t="s">
        <v>7</v>
      </c>
      <c r="AF12">
        <v>5</v>
      </c>
    </row>
    <row r="13" spans="1:48" x14ac:dyDescent="0.25">
      <c r="A13" s="56">
        <v>45168</v>
      </c>
      <c r="B13" t="s">
        <v>487</v>
      </c>
      <c r="C13" t="s">
        <v>540</v>
      </c>
      <c r="D13">
        <v>3</v>
      </c>
      <c r="E13">
        <v>3</v>
      </c>
      <c r="F13" t="s">
        <v>89</v>
      </c>
      <c r="G13" t="s">
        <v>373</v>
      </c>
      <c r="H13" t="s">
        <v>145</v>
      </c>
      <c r="I13" t="s">
        <v>235</v>
      </c>
      <c r="J13" t="s">
        <v>236</v>
      </c>
      <c r="P13">
        <v>10</v>
      </c>
      <c r="Q13" t="s">
        <v>485</v>
      </c>
      <c r="R13" s="56">
        <v>45168</v>
      </c>
      <c r="S13" t="s">
        <v>792</v>
      </c>
      <c r="T13" t="s">
        <v>87</v>
      </c>
      <c r="U13" t="s">
        <v>378</v>
      </c>
      <c r="V13">
        <v>56.6</v>
      </c>
      <c r="W13" t="s">
        <v>166</v>
      </c>
      <c r="X13" t="s">
        <v>554</v>
      </c>
      <c r="Y13" t="s">
        <v>7</v>
      </c>
      <c r="Z13" t="s">
        <v>7</v>
      </c>
      <c r="AA13" t="s">
        <v>703</v>
      </c>
      <c r="AB13" t="s">
        <v>7</v>
      </c>
      <c r="AC13" t="s">
        <v>373</v>
      </c>
      <c r="AD13" t="s">
        <v>10</v>
      </c>
      <c r="AE13" t="s">
        <v>7</v>
      </c>
      <c r="AF13">
        <v>0.39600000000000002</v>
      </c>
    </row>
    <row r="14" spans="1:48" x14ac:dyDescent="0.25">
      <c r="A14" s="56">
        <v>45167</v>
      </c>
      <c r="B14" t="s">
        <v>594</v>
      </c>
      <c r="C14" t="s">
        <v>595</v>
      </c>
      <c r="D14">
        <v>1</v>
      </c>
      <c r="E14">
        <v>3</v>
      </c>
      <c r="F14" t="s">
        <v>89</v>
      </c>
      <c r="G14" t="s">
        <v>372</v>
      </c>
      <c r="H14" t="s">
        <v>120</v>
      </c>
      <c r="I14" t="s">
        <v>235</v>
      </c>
      <c r="J14" t="s">
        <v>326</v>
      </c>
      <c r="P14">
        <v>9</v>
      </c>
      <c r="Q14" t="s">
        <v>487</v>
      </c>
      <c r="R14" s="56">
        <v>45168</v>
      </c>
      <c r="S14" t="s">
        <v>793</v>
      </c>
      <c r="T14" t="s">
        <v>686</v>
      </c>
      <c r="U14" t="s">
        <v>89</v>
      </c>
      <c r="V14">
        <v>3</v>
      </c>
      <c r="W14" t="s">
        <v>166</v>
      </c>
      <c r="X14" t="s">
        <v>541</v>
      </c>
      <c r="Y14" t="s">
        <v>698</v>
      </c>
      <c r="Z14" t="s">
        <v>445</v>
      </c>
      <c r="AA14" t="s">
        <v>41</v>
      </c>
      <c r="AB14" t="s">
        <v>7</v>
      </c>
      <c r="AC14" t="s">
        <v>373</v>
      </c>
      <c r="AD14" t="s">
        <v>22</v>
      </c>
      <c r="AE14" t="s">
        <v>265</v>
      </c>
      <c r="AF14">
        <v>3</v>
      </c>
    </row>
    <row r="15" spans="1:48" x14ac:dyDescent="0.25">
      <c r="A15" s="56">
        <v>45167</v>
      </c>
      <c r="B15" t="s">
        <v>490</v>
      </c>
      <c r="C15" t="s">
        <v>619</v>
      </c>
      <c r="D15">
        <v>3</v>
      </c>
      <c r="E15">
        <v>1.22</v>
      </c>
      <c r="F15" t="s">
        <v>89</v>
      </c>
      <c r="G15" t="s">
        <v>373</v>
      </c>
      <c r="H15" t="s">
        <v>145</v>
      </c>
      <c r="I15" t="s">
        <v>235</v>
      </c>
      <c r="J15" t="s">
        <v>236</v>
      </c>
      <c r="P15">
        <v>8</v>
      </c>
      <c r="Q15" t="s">
        <v>642</v>
      </c>
      <c r="R15" s="56">
        <v>45167</v>
      </c>
      <c r="S15" t="s">
        <v>794</v>
      </c>
      <c r="T15" t="s">
        <v>87</v>
      </c>
      <c r="U15" t="s">
        <v>110</v>
      </c>
      <c r="V15">
        <v>21</v>
      </c>
      <c r="W15" t="s">
        <v>166</v>
      </c>
      <c r="X15" t="s">
        <v>695</v>
      </c>
      <c r="Y15" t="s">
        <v>779</v>
      </c>
      <c r="Z15" t="s">
        <v>789</v>
      </c>
      <c r="AA15" t="s">
        <v>38</v>
      </c>
      <c r="AB15" t="s">
        <v>795</v>
      </c>
      <c r="AC15" t="s">
        <v>254</v>
      </c>
      <c r="AD15" t="s">
        <v>18</v>
      </c>
      <c r="AE15" t="s">
        <v>265</v>
      </c>
      <c r="AF15">
        <v>2.8769999999999998</v>
      </c>
    </row>
    <row r="16" spans="1:48" x14ac:dyDescent="0.25">
      <c r="A16" s="56">
        <v>45167</v>
      </c>
      <c r="B16" t="s">
        <v>566</v>
      </c>
      <c r="C16" t="s">
        <v>567</v>
      </c>
      <c r="D16">
        <v>0.24929999999999999</v>
      </c>
      <c r="E16">
        <v>7.0000000000000007E-2</v>
      </c>
      <c r="F16" t="s">
        <v>89</v>
      </c>
      <c r="G16" t="s">
        <v>372</v>
      </c>
      <c r="H16" t="s">
        <v>120</v>
      </c>
      <c r="I16" t="s">
        <v>235</v>
      </c>
      <c r="J16" t="s">
        <v>326</v>
      </c>
      <c r="P16">
        <v>7</v>
      </c>
      <c r="Q16" t="s">
        <v>646</v>
      </c>
      <c r="R16" s="56">
        <v>45167</v>
      </c>
      <c r="S16" t="s">
        <v>794</v>
      </c>
      <c r="T16" t="s">
        <v>87</v>
      </c>
      <c r="U16" t="s">
        <v>110</v>
      </c>
      <c r="V16">
        <v>20</v>
      </c>
      <c r="W16" t="s">
        <v>704</v>
      </c>
      <c r="X16" t="s">
        <v>705</v>
      </c>
      <c r="Y16" t="s">
        <v>780</v>
      </c>
      <c r="Z16" t="s">
        <v>444</v>
      </c>
      <c r="AA16" t="s">
        <v>38</v>
      </c>
      <c r="AB16" t="s">
        <v>795</v>
      </c>
      <c r="AC16" t="s">
        <v>254</v>
      </c>
      <c r="AD16" t="s">
        <v>18</v>
      </c>
      <c r="AE16" t="s">
        <v>265</v>
      </c>
      <c r="AF16">
        <v>2.74</v>
      </c>
    </row>
    <row r="17" spans="1:32" x14ac:dyDescent="0.25">
      <c r="A17" s="56">
        <v>45167</v>
      </c>
      <c r="B17" t="s">
        <v>606</v>
      </c>
      <c r="C17" t="s">
        <v>607</v>
      </c>
      <c r="D17">
        <v>1</v>
      </c>
      <c r="E17">
        <v>0.5</v>
      </c>
      <c r="F17" t="s">
        <v>89</v>
      </c>
      <c r="G17" t="s">
        <v>373</v>
      </c>
      <c r="H17" t="s">
        <v>120</v>
      </c>
      <c r="I17" t="s">
        <v>235</v>
      </c>
      <c r="J17" t="s">
        <v>326</v>
      </c>
      <c r="P17">
        <v>6</v>
      </c>
      <c r="Q17" t="s">
        <v>632</v>
      </c>
      <c r="R17" s="56">
        <v>45167</v>
      </c>
      <c r="S17" t="s">
        <v>794</v>
      </c>
      <c r="T17" t="s">
        <v>87</v>
      </c>
      <c r="U17" t="s">
        <v>110</v>
      </c>
      <c r="V17">
        <v>9</v>
      </c>
      <c r="W17" t="s">
        <v>700</v>
      </c>
      <c r="X17" t="s">
        <v>701</v>
      </c>
      <c r="Y17" t="s">
        <v>778</v>
      </c>
      <c r="Z17" t="s">
        <v>789</v>
      </c>
      <c r="AA17" t="s">
        <v>38</v>
      </c>
      <c r="AB17" t="s">
        <v>795</v>
      </c>
      <c r="AC17" t="s">
        <v>254</v>
      </c>
      <c r="AD17" t="s">
        <v>18</v>
      </c>
      <c r="AE17" t="s">
        <v>265</v>
      </c>
      <c r="AF17">
        <v>1.2330000000000001</v>
      </c>
    </row>
    <row r="18" spans="1:32" x14ac:dyDescent="0.25">
      <c r="A18" s="56">
        <v>45167</v>
      </c>
      <c r="B18" t="s">
        <v>493</v>
      </c>
      <c r="C18" t="s">
        <v>579</v>
      </c>
      <c r="D18">
        <v>3</v>
      </c>
      <c r="E18">
        <v>1.1040000000000001</v>
      </c>
      <c r="F18" t="s">
        <v>110</v>
      </c>
      <c r="G18" t="s">
        <v>373</v>
      </c>
      <c r="H18" t="s">
        <v>120</v>
      </c>
      <c r="I18" t="s">
        <v>279</v>
      </c>
      <c r="J18" t="s">
        <v>236</v>
      </c>
      <c r="P18">
        <v>5</v>
      </c>
      <c r="Q18" t="s">
        <v>490</v>
      </c>
      <c r="R18" s="56">
        <v>45167</v>
      </c>
      <c r="S18" t="s">
        <v>796</v>
      </c>
      <c r="T18" t="s">
        <v>385</v>
      </c>
      <c r="U18" t="s">
        <v>89</v>
      </c>
      <c r="V18">
        <v>1.22</v>
      </c>
      <c r="W18" t="s">
        <v>166</v>
      </c>
      <c r="X18" t="s">
        <v>501</v>
      </c>
      <c r="Y18" t="s">
        <v>709</v>
      </c>
      <c r="Z18" t="s">
        <v>444</v>
      </c>
      <c r="AA18" t="s">
        <v>41</v>
      </c>
      <c r="AB18" t="s">
        <v>7</v>
      </c>
      <c r="AC18" t="s">
        <v>373</v>
      </c>
      <c r="AD18" t="s">
        <v>8</v>
      </c>
      <c r="AE18" t="s">
        <v>262</v>
      </c>
      <c r="AF18">
        <v>1.22</v>
      </c>
    </row>
    <row r="19" spans="1:32" x14ac:dyDescent="0.25">
      <c r="A19" s="56">
        <v>45167</v>
      </c>
      <c r="B19" t="s">
        <v>642</v>
      </c>
      <c r="C19" t="s">
        <v>633</v>
      </c>
      <c r="D19">
        <v>3</v>
      </c>
      <c r="E19">
        <v>2.8769999999999998</v>
      </c>
      <c r="F19" t="s">
        <v>110</v>
      </c>
      <c r="G19" t="s">
        <v>254</v>
      </c>
      <c r="H19" t="s">
        <v>120</v>
      </c>
      <c r="I19" t="s">
        <v>279</v>
      </c>
      <c r="J19" t="s">
        <v>236</v>
      </c>
      <c r="P19">
        <v>4</v>
      </c>
      <c r="Q19" t="s">
        <v>606</v>
      </c>
      <c r="R19" s="56">
        <v>45167</v>
      </c>
      <c r="S19" t="s">
        <v>797</v>
      </c>
      <c r="T19" t="s">
        <v>87</v>
      </c>
      <c r="U19" t="s">
        <v>89</v>
      </c>
      <c r="V19">
        <v>0.5</v>
      </c>
      <c r="W19" t="s">
        <v>441</v>
      </c>
      <c r="X19" t="s">
        <v>442</v>
      </c>
      <c r="Y19" t="s">
        <v>7</v>
      </c>
      <c r="Z19" t="s">
        <v>7</v>
      </c>
      <c r="AA19" t="s">
        <v>117</v>
      </c>
      <c r="AB19" t="s">
        <v>7</v>
      </c>
      <c r="AC19" t="s">
        <v>373</v>
      </c>
      <c r="AD19" t="s">
        <v>28</v>
      </c>
      <c r="AE19" t="s">
        <v>7</v>
      </c>
      <c r="AF19">
        <v>0.5</v>
      </c>
    </row>
    <row r="20" spans="1:32" x14ac:dyDescent="0.25">
      <c r="A20" s="56">
        <v>45167</v>
      </c>
      <c r="B20" t="s">
        <v>646</v>
      </c>
      <c r="C20" t="s">
        <v>633</v>
      </c>
      <c r="D20">
        <v>5</v>
      </c>
      <c r="E20">
        <v>2.74</v>
      </c>
      <c r="F20" t="s">
        <v>110</v>
      </c>
      <c r="G20" t="s">
        <v>254</v>
      </c>
      <c r="H20" t="s">
        <v>120</v>
      </c>
      <c r="I20" t="s">
        <v>279</v>
      </c>
      <c r="J20" t="s">
        <v>807</v>
      </c>
      <c r="P20">
        <v>3</v>
      </c>
      <c r="Q20" t="s">
        <v>493</v>
      </c>
      <c r="R20" s="56">
        <v>45167</v>
      </c>
      <c r="S20" t="s">
        <v>781</v>
      </c>
      <c r="T20" t="s">
        <v>87</v>
      </c>
      <c r="U20" t="s">
        <v>110</v>
      </c>
      <c r="V20">
        <v>8.0619999999999994</v>
      </c>
      <c r="W20" t="s">
        <v>166</v>
      </c>
      <c r="X20" t="s">
        <v>707</v>
      </c>
      <c r="Y20" t="s">
        <v>706</v>
      </c>
      <c r="Z20" t="s">
        <v>446</v>
      </c>
      <c r="AA20" t="s">
        <v>38</v>
      </c>
      <c r="AB20" t="s">
        <v>279</v>
      </c>
      <c r="AC20" t="s">
        <v>373</v>
      </c>
      <c r="AD20" t="s">
        <v>31</v>
      </c>
      <c r="AE20" t="s">
        <v>262</v>
      </c>
      <c r="AF20">
        <v>1.1040000000000001</v>
      </c>
    </row>
    <row r="21" spans="1:32" x14ac:dyDescent="0.25">
      <c r="A21" s="56">
        <v>45167</v>
      </c>
      <c r="B21" t="s">
        <v>632</v>
      </c>
      <c r="C21" t="s">
        <v>633</v>
      </c>
      <c r="D21">
        <v>2</v>
      </c>
      <c r="E21">
        <v>1.2330000000000001</v>
      </c>
      <c r="F21" t="s">
        <v>110</v>
      </c>
      <c r="G21" t="s">
        <v>254</v>
      </c>
      <c r="H21" t="s">
        <v>120</v>
      </c>
      <c r="I21" t="s">
        <v>279</v>
      </c>
      <c r="J21" t="s">
        <v>236</v>
      </c>
      <c r="P21">
        <v>2</v>
      </c>
      <c r="Q21" t="s">
        <v>673</v>
      </c>
      <c r="R21" s="56">
        <v>45166</v>
      </c>
      <c r="S21" t="s">
        <v>782</v>
      </c>
      <c r="T21" t="s">
        <v>87</v>
      </c>
      <c r="U21" t="s">
        <v>89</v>
      </c>
      <c r="V21">
        <v>1.26</v>
      </c>
      <c r="W21" t="s">
        <v>166</v>
      </c>
      <c r="X21" t="s">
        <v>676</v>
      </c>
      <c r="Y21" t="s">
        <v>710</v>
      </c>
      <c r="Z21" t="s">
        <v>789</v>
      </c>
      <c r="AA21" t="s">
        <v>41</v>
      </c>
      <c r="AB21" t="s">
        <v>7</v>
      </c>
      <c r="AC21" t="s">
        <v>373</v>
      </c>
      <c r="AD21" t="s">
        <v>17</v>
      </c>
      <c r="AE21" t="s">
        <v>7</v>
      </c>
      <c r="AF21">
        <v>1.26</v>
      </c>
    </row>
    <row r="22" spans="1:32" x14ac:dyDescent="0.25">
      <c r="A22" s="56">
        <v>45166</v>
      </c>
      <c r="B22" t="s">
        <v>652</v>
      </c>
      <c r="C22" t="s">
        <v>653</v>
      </c>
      <c r="D22">
        <v>0.2</v>
      </c>
      <c r="E22">
        <v>8.2199999999999999E-3</v>
      </c>
      <c r="F22" t="s">
        <v>110</v>
      </c>
      <c r="G22" t="s">
        <v>372</v>
      </c>
      <c r="H22" t="s">
        <v>120</v>
      </c>
      <c r="I22" t="s">
        <v>279</v>
      </c>
      <c r="J22" t="s">
        <v>326</v>
      </c>
      <c r="P22">
        <v>1</v>
      </c>
      <c r="Q22" t="s">
        <v>659</v>
      </c>
      <c r="R22" s="56">
        <v>45166</v>
      </c>
      <c r="S22" t="s">
        <v>694</v>
      </c>
      <c r="T22" t="s">
        <v>87</v>
      </c>
      <c r="U22" t="s">
        <v>89</v>
      </c>
      <c r="V22">
        <v>2</v>
      </c>
      <c r="W22" t="s">
        <v>166</v>
      </c>
      <c r="X22" t="s">
        <v>663</v>
      </c>
      <c r="Y22" t="s">
        <v>711</v>
      </c>
      <c r="Z22" t="s">
        <v>798</v>
      </c>
      <c r="AA22" t="s">
        <v>41</v>
      </c>
      <c r="AB22" t="s">
        <v>7</v>
      </c>
      <c r="AC22" t="s">
        <v>373</v>
      </c>
      <c r="AD22" t="s">
        <v>10</v>
      </c>
      <c r="AE22" t="s">
        <v>7</v>
      </c>
      <c r="AF22">
        <v>2</v>
      </c>
    </row>
    <row r="23" spans="1:32" x14ac:dyDescent="0.25">
      <c r="A23" s="56">
        <v>45166</v>
      </c>
      <c r="B23" t="s">
        <v>659</v>
      </c>
      <c r="C23" t="s">
        <v>660</v>
      </c>
      <c r="D23">
        <v>3</v>
      </c>
      <c r="E23">
        <v>2</v>
      </c>
      <c r="F23" t="s">
        <v>89</v>
      </c>
      <c r="G23" t="s">
        <v>373</v>
      </c>
      <c r="H23" t="s">
        <v>120</v>
      </c>
      <c r="I23" t="s">
        <v>235</v>
      </c>
      <c r="J23" t="s">
        <v>236</v>
      </c>
    </row>
    <row r="24" spans="1:32" x14ac:dyDescent="0.25">
      <c r="A24" s="56">
        <v>45166</v>
      </c>
      <c r="B24" t="s">
        <v>673</v>
      </c>
      <c r="C24" t="s">
        <v>674</v>
      </c>
      <c r="D24">
        <v>3</v>
      </c>
      <c r="E24">
        <v>1.26</v>
      </c>
      <c r="F24" t="s">
        <v>89</v>
      </c>
      <c r="G24" t="s">
        <v>373</v>
      </c>
      <c r="H24" t="s">
        <v>120</v>
      </c>
      <c r="I24" t="s">
        <v>235</v>
      </c>
      <c r="J24" t="s">
        <v>236</v>
      </c>
    </row>
    <row r="54" spans="15:15" x14ac:dyDescent="0.25">
      <c r="O54"/>
    </row>
  </sheetData>
  <phoneticPr fontId="13" type="noConversion"/>
  <pageMargins left="0.7" right="0.7" top="0.75" bottom="0.75" header="0.3" footer="0.3"/>
  <pageSetup orientation="portrait" r:id="rId1"/>
  <drawing r:id="rId2"/>
  <tableParts count="4">
    <tablePart r:id="rId3"/>
    <tablePart r:id="rId4"/>
    <tablePart r:id="rId5"/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50F76-D8DC-4C45-B2AD-D9249E46C226}">
  <sheetPr>
    <tabColor rgb="FF234473"/>
  </sheetPr>
  <dimension ref="A1:G17"/>
  <sheetViews>
    <sheetView workbookViewId="0">
      <selection activeCell="H16" sqref="H16"/>
    </sheetView>
  </sheetViews>
  <sheetFormatPr defaultRowHeight="15" x14ac:dyDescent="0.25"/>
  <cols>
    <col min="1" max="1" width="12.77734375" style="1" bestFit="1" customWidth="1"/>
    <col min="2" max="2" width="8.33203125" style="1" bestFit="1" customWidth="1"/>
    <col min="3" max="3" width="8.44140625" style="1" bestFit="1" customWidth="1"/>
    <col min="4" max="4" width="80.88671875" style="1" bestFit="1" customWidth="1"/>
    <col min="5" max="16384" width="8.88671875" style="1"/>
  </cols>
  <sheetData>
    <row r="1" spans="1:7" ht="46.5" x14ac:dyDescent="0.25">
      <c r="A1" s="24" t="s">
        <v>823</v>
      </c>
      <c r="B1" s="7"/>
      <c r="C1" s="7"/>
      <c r="D1" s="7"/>
      <c r="E1" s="6"/>
      <c r="F1" s="6"/>
      <c r="G1" s="6"/>
    </row>
    <row r="6" spans="1:7" x14ac:dyDescent="0.25">
      <c r="A6" t="s">
        <v>121</v>
      </c>
      <c r="B6" t="s">
        <v>253</v>
      </c>
      <c r="C6" t="s">
        <v>67</v>
      </c>
      <c r="D6" t="s">
        <v>819</v>
      </c>
    </row>
    <row r="7" spans="1:7" ht="30" x14ac:dyDescent="0.25">
      <c r="A7" t="s">
        <v>796</v>
      </c>
      <c r="B7" t="s">
        <v>373</v>
      </c>
      <c r="C7" t="s">
        <v>89</v>
      </c>
      <c r="D7" s="55" t="s">
        <v>802</v>
      </c>
    </row>
    <row r="8" spans="1:7" x14ac:dyDescent="0.25">
      <c r="A8" t="s">
        <v>694</v>
      </c>
      <c r="B8" t="s">
        <v>373</v>
      </c>
      <c r="C8" t="s">
        <v>89</v>
      </c>
      <c r="D8" s="55" t="s">
        <v>799</v>
      </c>
    </row>
    <row r="9" spans="1:7" x14ac:dyDescent="0.25">
      <c r="A9" t="s">
        <v>820</v>
      </c>
      <c r="B9" t="s">
        <v>373</v>
      </c>
      <c r="C9" t="s">
        <v>89</v>
      </c>
      <c r="D9" s="55" t="s">
        <v>825</v>
      </c>
    </row>
    <row r="10" spans="1:7" x14ac:dyDescent="0.25">
      <c r="A10" t="s">
        <v>782</v>
      </c>
      <c r="B10" t="s">
        <v>373</v>
      </c>
      <c r="C10" t="s">
        <v>89</v>
      </c>
      <c r="D10" s="55" t="s">
        <v>800</v>
      </c>
    </row>
    <row r="11" spans="1:7" ht="30" x14ac:dyDescent="0.25">
      <c r="A11" t="s">
        <v>781</v>
      </c>
      <c r="B11" t="s">
        <v>373</v>
      </c>
      <c r="C11" t="s">
        <v>110</v>
      </c>
      <c r="D11" s="55" t="s">
        <v>813</v>
      </c>
    </row>
    <row r="12" spans="1:7" ht="30" x14ac:dyDescent="0.25">
      <c r="A12" t="s">
        <v>692</v>
      </c>
      <c r="B12" t="s">
        <v>373</v>
      </c>
      <c r="C12" t="s">
        <v>89</v>
      </c>
      <c r="D12" s="55" t="s">
        <v>805</v>
      </c>
    </row>
    <row r="13" spans="1:7" x14ac:dyDescent="0.25">
      <c r="A13" t="s">
        <v>821</v>
      </c>
      <c r="B13" t="s">
        <v>373</v>
      </c>
      <c r="C13" t="s">
        <v>110</v>
      </c>
      <c r="D13" s="55" t="s">
        <v>826</v>
      </c>
    </row>
    <row r="14" spans="1:7" ht="30" x14ac:dyDescent="0.25">
      <c r="A14" t="s">
        <v>793</v>
      </c>
      <c r="B14" t="s">
        <v>373</v>
      </c>
      <c r="C14" t="s">
        <v>89</v>
      </c>
      <c r="D14" s="55" t="s">
        <v>803</v>
      </c>
    </row>
    <row r="15" spans="1:7" x14ac:dyDescent="0.25">
      <c r="A15" t="s">
        <v>693</v>
      </c>
      <c r="B15" t="s">
        <v>373</v>
      </c>
      <c r="C15" t="s">
        <v>378</v>
      </c>
      <c r="D15" s="55" t="s">
        <v>827</v>
      </c>
    </row>
    <row r="16" spans="1:7" ht="105" x14ac:dyDescent="0.25">
      <c r="A16" t="s">
        <v>794</v>
      </c>
      <c r="B16" t="s">
        <v>254</v>
      </c>
      <c r="C16" t="s">
        <v>110</v>
      </c>
      <c r="D16" s="55" t="s">
        <v>822</v>
      </c>
    </row>
    <row r="17" spans="1:4" ht="75" x14ac:dyDescent="0.25">
      <c r="A17" t="s">
        <v>788</v>
      </c>
      <c r="B17" t="s">
        <v>254</v>
      </c>
      <c r="C17" t="s">
        <v>828</v>
      </c>
      <c r="D17" s="55" t="s">
        <v>829</v>
      </c>
    </row>
  </sheetData>
  <conditionalFormatting sqref="D7:D17">
    <cfRule type="containsText" dxfId="19" priority="1" operator="containsText" text="担任">
      <formula>NOT(ISERROR(SEARCH("担任",D7)))</formula>
    </cfRule>
  </conditionalFormatting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rgb="FF234473"/>
  </sheetPr>
  <dimension ref="A1:G28"/>
  <sheetViews>
    <sheetView zoomScale="85" zoomScaleNormal="85" workbookViewId="0">
      <selection activeCell="E10" sqref="E10"/>
    </sheetView>
  </sheetViews>
  <sheetFormatPr defaultColWidth="8.88671875" defaultRowHeight="15" x14ac:dyDescent="0.25"/>
  <cols>
    <col min="1" max="1" width="21.88671875" style="1" bestFit="1" customWidth="1"/>
    <col min="2" max="2" width="11" style="1" bestFit="1" customWidth="1"/>
    <col min="3" max="3" width="23.88671875" style="1" bestFit="1" customWidth="1"/>
    <col min="4" max="4" width="20.6640625" style="1" bestFit="1" customWidth="1"/>
    <col min="5" max="5" width="109" style="1" bestFit="1" customWidth="1"/>
    <col min="6" max="6" width="55.21875" style="1" bestFit="1" customWidth="1"/>
    <col min="7" max="7" width="111.33203125" style="1" customWidth="1"/>
    <col min="8" max="16384" width="8.88671875" style="1"/>
  </cols>
  <sheetData>
    <row r="1" spans="1:7" ht="60.75" customHeight="1" x14ac:dyDescent="0.25">
      <c r="A1" s="24" t="s">
        <v>150</v>
      </c>
      <c r="B1" s="7"/>
      <c r="C1" s="7"/>
      <c r="D1" s="7"/>
      <c r="E1" s="6"/>
      <c r="F1" s="6"/>
      <c r="G1" s="6"/>
    </row>
    <row r="2" spans="1:7" ht="60.75" customHeight="1" x14ac:dyDescent="0.25">
      <c r="A2" s="19"/>
    </row>
    <row r="3" spans="1:7" ht="57" customHeight="1" x14ac:dyDescent="0.25">
      <c r="A3" s="7" t="s">
        <v>88</v>
      </c>
      <c r="E3" s="20"/>
      <c r="F3" s="20"/>
      <c r="G3" s="20"/>
    </row>
    <row r="4" spans="1:7" x14ac:dyDescent="0.25">
      <c r="A4" t="s">
        <v>90</v>
      </c>
      <c r="B4" t="s">
        <v>253</v>
      </c>
      <c r="C4" t="s">
        <v>67</v>
      </c>
      <c r="D4" t="s">
        <v>181</v>
      </c>
      <c r="E4" t="s">
        <v>149</v>
      </c>
      <c r="F4" t="s">
        <v>272</v>
      </c>
    </row>
    <row r="5" spans="1:7" x14ac:dyDescent="0.25">
      <c r="A5"/>
      <c r="B5"/>
      <c r="C5"/>
      <c r="D5"/>
      <c r="E5"/>
      <c r="F5" s="55"/>
    </row>
    <row r="8" spans="1:7" ht="46.5" x14ac:dyDescent="0.25">
      <c r="A8" s="7" t="s">
        <v>110</v>
      </c>
      <c r="E8" s="20"/>
      <c r="F8" s="20"/>
      <c r="G8" s="20"/>
    </row>
    <row r="9" spans="1:7" x14ac:dyDescent="0.25">
      <c r="A9" s="55" t="s">
        <v>90</v>
      </c>
      <c r="B9" t="s">
        <v>253</v>
      </c>
      <c r="C9" s="55" t="s">
        <v>67</v>
      </c>
      <c r="D9" s="55" t="s">
        <v>181</v>
      </c>
      <c r="E9" s="55" t="s">
        <v>149</v>
      </c>
      <c r="F9" s="55" t="s">
        <v>272</v>
      </c>
    </row>
    <row r="10" spans="1:7" x14ac:dyDescent="0.25">
      <c r="A10" s="55">
        <v>14</v>
      </c>
      <c r="B10" t="s">
        <v>373</v>
      </c>
      <c r="C10" s="55" t="s">
        <v>110</v>
      </c>
      <c r="D10" s="55" t="s">
        <v>787</v>
      </c>
      <c r="E10" s="55" t="s">
        <v>808</v>
      </c>
      <c r="F10" s="55" t="s">
        <v>7</v>
      </c>
    </row>
    <row r="11" spans="1:7" x14ac:dyDescent="0.25">
      <c r="A11" s="55">
        <v>12</v>
      </c>
      <c r="B11" t="s">
        <v>254</v>
      </c>
      <c r="C11" s="55" t="s">
        <v>110</v>
      </c>
      <c r="D11" s="55" t="s">
        <v>788</v>
      </c>
      <c r="E11" s="55" t="s">
        <v>809</v>
      </c>
      <c r="F11" s="55" t="s">
        <v>7</v>
      </c>
    </row>
    <row r="12" spans="1:7" x14ac:dyDescent="0.25">
      <c r="A12" s="55">
        <v>8</v>
      </c>
      <c r="B12" t="s">
        <v>254</v>
      </c>
      <c r="C12" s="55" t="s">
        <v>110</v>
      </c>
      <c r="D12" s="55" t="s">
        <v>794</v>
      </c>
      <c r="E12" s="55" t="s">
        <v>810</v>
      </c>
      <c r="F12" s="55" t="s">
        <v>7</v>
      </c>
    </row>
    <row r="13" spans="1:7" x14ac:dyDescent="0.25">
      <c r="A13" s="55">
        <v>7</v>
      </c>
      <c r="B13" t="s">
        <v>254</v>
      </c>
      <c r="C13" s="55" t="s">
        <v>110</v>
      </c>
      <c r="D13" s="55" t="s">
        <v>794</v>
      </c>
      <c r="E13" s="55" t="s">
        <v>811</v>
      </c>
      <c r="F13" s="55" t="s">
        <v>7</v>
      </c>
    </row>
    <row r="14" spans="1:7" x14ac:dyDescent="0.25">
      <c r="A14" s="55">
        <v>6</v>
      </c>
      <c r="B14" t="s">
        <v>254</v>
      </c>
      <c r="C14" s="55" t="s">
        <v>110</v>
      </c>
      <c r="D14" s="55" t="s">
        <v>794</v>
      </c>
      <c r="E14" s="55" t="s">
        <v>812</v>
      </c>
      <c r="F14" s="55" t="s">
        <v>7</v>
      </c>
    </row>
    <row r="15" spans="1:7" x14ac:dyDescent="0.25">
      <c r="A15" s="55">
        <v>3</v>
      </c>
      <c r="B15" t="s">
        <v>373</v>
      </c>
      <c r="C15" s="55" t="s">
        <v>110</v>
      </c>
      <c r="D15" s="55" t="s">
        <v>781</v>
      </c>
      <c r="E15" s="55" t="s">
        <v>813</v>
      </c>
      <c r="F15" s="55" t="s">
        <v>7</v>
      </c>
    </row>
    <row r="19" spans="1:6" ht="46.5" x14ac:dyDescent="0.25">
      <c r="A19" s="7" t="s">
        <v>230</v>
      </c>
    </row>
    <row r="20" spans="1:6" x14ac:dyDescent="0.25">
      <c r="A20" t="s">
        <v>90</v>
      </c>
      <c r="B20" t="s">
        <v>253</v>
      </c>
      <c r="C20" t="s">
        <v>67</v>
      </c>
      <c r="D20" t="s">
        <v>181</v>
      </c>
      <c r="E20" t="s">
        <v>149</v>
      </c>
      <c r="F20" t="s">
        <v>272</v>
      </c>
    </row>
    <row r="21" spans="1:6" x14ac:dyDescent="0.25">
      <c r="A21">
        <v>1</v>
      </c>
      <c r="B21" t="s">
        <v>373</v>
      </c>
      <c r="C21" t="s">
        <v>89</v>
      </c>
      <c r="D21" t="s">
        <v>694</v>
      </c>
      <c r="E21" s="55" t="s">
        <v>799</v>
      </c>
      <c r="F21" s="55" t="s">
        <v>7</v>
      </c>
    </row>
    <row r="22" spans="1:6" x14ac:dyDescent="0.25">
      <c r="A22">
        <v>2</v>
      </c>
      <c r="B22" t="s">
        <v>373</v>
      </c>
      <c r="C22" t="s">
        <v>89</v>
      </c>
      <c r="D22" t="s">
        <v>782</v>
      </c>
      <c r="E22" s="55" t="s">
        <v>800</v>
      </c>
      <c r="F22" s="55" t="s">
        <v>7</v>
      </c>
    </row>
    <row r="23" spans="1:6" x14ac:dyDescent="0.25">
      <c r="A23">
        <v>4</v>
      </c>
      <c r="B23" t="s">
        <v>373</v>
      </c>
      <c r="C23" t="s">
        <v>89</v>
      </c>
      <c r="D23" t="s">
        <v>797</v>
      </c>
      <c r="E23" s="55" t="s">
        <v>801</v>
      </c>
      <c r="F23" s="55" t="s">
        <v>7</v>
      </c>
    </row>
    <row r="24" spans="1:6" x14ac:dyDescent="0.25">
      <c r="A24">
        <v>5</v>
      </c>
      <c r="B24" t="s">
        <v>373</v>
      </c>
      <c r="C24" t="s">
        <v>89</v>
      </c>
      <c r="D24" t="s">
        <v>796</v>
      </c>
      <c r="E24" s="55" t="s">
        <v>802</v>
      </c>
      <c r="F24" s="55" t="s">
        <v>7</v>
      </c>
    </row>
    <row r="25" spans="1:6" x14ac:dyDescent="0.25">
      <c r="A25">
        <v>9</v>
      </c>
      <c r="B25" t="s">
        <v>373</v>
      </c>
      <c r="C25" t="s">
        <v>89</v>
      </c>
      <c r="D25" t="s">
        <v>793</v>
      </c>
      <c r="E25" s="55" t="s">
        <v>803</v>
      </c>
      <c r="F25" s="55" t="s">
        <v>7</v>
      </c>
    </row>
    <row r="26" spans="1:6" x14ac:dyDescent="0.25">
      <c r="A26">
        <v>10</v>
      </c>
      <c r="B26" t="s">
        <v>373</v>
      </c>
      <c r="C26" t="s">
        <v>378</v>
      </c>
      <c r="D26" t="s">
        <v>792</v>
      </c>
      <c r="E26" s="55" t="s">
        <v>804</v>
      </c>
      <c r="F26" s="55" t="s">
        <v>7</v>
      </c>
    </row>
    <row r="27" spans="1:6" x14ac:dyDescent="0.25">
      <c r="A27">
        <v>11</v>
      </c>
      <c r="B27" t="s">
        <v>373</v>
      </c>
      <c r="C27" t="s">
        <v>89</v>
      </c>
      <c r="D27" t="s">
        <v>692</v>
      </c>
      <c r="E27" s="55" t="s">
        <v>805</v>
      </c>
      <c r="F27" s="55" t="s">
        <v>7</v>
      </c>
    </row>
    <row r="28" spans="1:6" x14ac:dyDescent="0.25">
      <c r="A28">
        <v>13</v>
      </c>
      <c r="B28" t="s">
        <v>254</v>
      </c>
      <c r="C28" t="s">
        <v>89</v>
      </c>
      <c r="D28" t="s">
        <v>788</v>
      </c>
      <c r="E28" s="55" t="s">
        <v>806</v>
      </c>
      <c r="F28" s="55" t="s">
        <v>7</v>
      </c>
    </row>
  </sheetData>
  <phoneticPr fontId="13" type="noConversion"/>
  <conditionalFormatting sqref="G9:G11 E4:E5 E20:E28 E9:E15">
    <cfRule type="containsText" dxfId="18" priority="11" operator="containsText" text="担任">
      <formula>NOT(ISERROR(SEARCH("担任",E4)))</formula>
    </cfRule>
  </conditionalFormatting>
  <pageMargins left="0.7" right="0.7" top="0.75" bottom="0.75" header="0.3" footer="0.3"/>
  <pageSetup orientation="portrait" r:id="rId1"/>
  <drawing r:id="rId2"/>
  <legacyDrawing r:id="rId3"/>
  <tableParts count="3"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rgb="FFC69E62"/>
  </sheetPr>
  <dimension ref="A1:V53"/>
  <sheetViews>
    <sheetView zoomScale="115" zoomScaleNormal="115" workbookViewId="0">
      <selection activeCell="F17" sqref="F17"/>
    </sheetView>
  </sheetViews>
  <sheetFormatPr defaultColWidth="8.88671875" defaultRowHeight="28.5" customHeight="1" x14ac:dyDescent="0.25"/>
  <cols>
    <col min="1" max="1" width="4.88671875" style="30" bestFit="1" customWidth="1"/>
    <col min="2" max="2" width="6.77734375" style="30" bestFit="1" customWidth="1"/>
    <col min="3" max="3" width="28.109375" style="30" bestFit="1" customWidth="1"/>
    <col min="4" max="4" width="6.33203125" style="30" bestFit="1" customWidth="1"/>
    <col min="5" max="5" width="6.44140625" style="30" bestFit="1" customWidth="1"/>
    <col min="6" max="7" width="6.6640625" style="30" bestFit="1" customWidth="1"/>
    <col min="8" max="8" width="7.33203125" style="30" bestFit="1" customWidth="1"/>
    <col min="9" max="9" width="9.21875" style="30" bestFit="1" customWidth="1"/>
    <col min="10" max="10" width="15.77734375" style="30" hidden="1" customWidth="1"/>
    <col min="11" max="11" width="10.6640625" style="30" hidden="1" customWidth="1"/>
    <col min="12" max="12" width="7.21875" style="30" hidden="1" customWidth="1"/>
    <col min="13" max="13" width="6" style="30" hidden="1" customWidth="1"/>
    <col min="14" max="14" width="11" style="30" hidden="1" customWidth="1"/>
    <col min="15" max="15" width="35" style="30" bestFit="1" customWidth="1" collapsed="1"/>
    <col min="16" max="16" width="6.5546875" style="30" customWidth="1"/>
    <col min="17" max="17" width="6.77734375" style="30" customWidth="1"/>
    <col min="18" max="18" width="28.109375" style="30" bestFit="1" customWidth="1"/>
    <col min="19" max="19" width="12.6640625" style="30" bestFit="1" customWidth="1"/>
    <col min="20" max="22" width="7.6640625" style="30" customWidth="1"/>
    <col min="23" max="23" width="6.109375" style="30" bestFit="1" customWidth="1"/>
    <col min="24" max="24" width="9.44140625" style="30" bestFit="1" customWidth="1"/>
    <col min="25" max="25" width="35.109375" style="30" bestFit="1" customWidth="1"/>
    <col min="26" max="16384" width="8.88671875" style="30"/>
  </cols>
  <sheetData>
    <row r="1" spans="1:22" ht="59.25" customHeight="1" x14ac:dyDescent="0.25">
      <c r="A1" s="36" t="s">
        <v>125</v>
      </c>
      <c r="I1" s="93" t="s">
        <v>169</v>
      </c>
    </row>
    <row r="2" spans="1:22" ht="15" x14ac:dyDescent="0.25">
      <c r="B2" s="31" t="s">
        <v>90</v>
      </c>
      <c r="C2" s="31" t="s">
        <v>169</v>
      </c>
      <c r="D2" s="31" t="s">
        <v>170</v>
      </c>
      <c r="E2" s="31" t="s">
        <v>171</v>
      </c>
      <c r="F2" s="31" t="s">
        <v>172</v>
      </c>
      <c r="G2" s="31" t="s">
        <v>173</v>
      </c>
    </row>
    <row r="3" spans="1:22" ht="15" x14ac:dyDescent="0.25">
      <c r="B3" s="31">
        <v>2</v>
      </c>
      <c r="C3" s="32" t="s">
        <v>416</v>
      </c>
      <c r="D3" s="46">
        <f>IFERROR(INDEX(ECON[Date],MATCH(input_econ[[#This Row],[上周主要经济数据]],ECON[上周主要经济数据],0)),"")</f>
        <v>45168</v>
      </c>
      <c r="E3" s="34">
        <f>IFERROR(INDEX(ECON[Prior],MATCH(input_econ[[#This Row],[上周主要经济数据]],ECON[上周主要经济数据],0)),"")</f>
        <v>2.4E-2</v>
      </c>
      <c r="F3" s="34">
        <f>IFERROR(INDEX(ECON[Survey],MATCH(input_econ[[#This Row],[上周主要经济数据]],ECON[上周主要经济数据],0)),"")</f>
        <v>2.4E-2</v>
      </c>
      <c r="G3" s="34">
        <f>IFERROR(INDEX(ECON[Actual],MATCH(input_econ[[#This Row],[上周主要经济数据]],ECON[上周主要经济数据],0)),"")</f>
        <v>2.1000000000000001E-2</v>
      </c>
    </row>
    <row r="4" spans="1:22" ht="15" x14ac:dyDescent="0.25">
      <c r="B4" s="31">
        <v>3</v>
      </c>
      <c r="C4" s="32" t="s">
        <v>337</v>
      </c>
      <c r="D4" s="46">
        <f>IFERROR(INDEX(ECON[Date],MATCH(input_econ[[#This Row],[上周主要经济数据]],ECON[上周主要经济数据],0)),"")</f>
        <v>45169</v>
      </c>
      <c r="E4" s="34" t="str">
        <f>IFERROR(INDEX(ECON[Prior],MATCH(input_econ[[#This Row],[上周主要经济数据]],ECON[上周主要经济数据],0)),"")</f>
        <v>230k</v>
      </c>
      <c r="F4" s="34" t="str">
        <f>IFERROR(INDEX(ECON[Survey],MATCH(input_econ[[#This Row],[上周主要经济数据]],ECON[上周主要经济数据],0)),"")</f>
        <v>235k</v>
      </c>
      <c r="G4" s="34" t="str">
        <f>IFERROR(INDEX(ECON[Actual],MATCH(input_econ[[#This Row],[上周主要经济数据]],ECON[上周主要经济数据],0)),"")</f>
        <v>228k</v>
      </c>
    </row>
    <row r="5" spans="1:22" ht="15" x14ac:dyDescent="0.25">
      <c r="B5" s="31">
        <v>6</v>
      </c>
      <c r="C5" s="32" t="s">
        <v>390</v>
      </c>
      <c r="D5" s="46">
        <f>IFERROR(INDEX(ECON[Date],MATCH(input_econ[[#This Row],[上周主要经济数据]],ECON[上周主要经济数据],0)),"")</f>
        <v>45169</v>
      </c>
      <c r="E5" s="34">
        <f>IFERROR(INDEX(ECON[Prior],MATCH(input_econ[[#This Row],[上周主要经济数据]],ECON[上周主要经济数据],0)),"")</f>
        <v>49.3</v>
      </c>
      <c r="F5" s="34">
        <f>IFERROR(INDEX(ECON[Survey],MATCH(input_econ[[#This Row],[上周主要经济数据]],ECON[上周主要经济数据],0)),"")</f>
        <v>49.2</v>
      </c>
      <c r="G5" s="34">
        <f>IFERROR(INDEX(ECON[Actual],MATCH(input_econ[[#This Row],[上周主要经济数据]],ECON[上周主要经济数据],0)),"")</f>
        <v>49.7</v>
      </c>
    </row>
    <row r="6" spans="1:22" ht="15" x14ac:dyDescent="0.25">
      <c r="B6" s="31">
        <v>4</v>
      </c>
      <c r="C6" s="32" t="s">
        <v>411</v>
      </c>
      <c r="D6" s="46">
        <f>IFERROR(INDEX(ECON[Date],MATCH(input_econ[[#This Row],[上周主要经济数据]],ECON[上周主要经济数据],0)),"")</f>
        <v>45170</v>
      </c>
      <c r="E6" s="34" t="str">
        <f>IFERROR(INDEX(ECON[Prior],MATCH(input_econ[[#This Row],[上周主要经济数据]],ECON[上周主要经济数据],0)),"")</f>
        <v>187k</v>
      </c>
      <c r="F6" s="34" t="str">
        <f>IFERROR(INDEX(ECON[Survey],MATCH(input_econ[[#This Row],[上周主要经济数据]],ECON[上周主要经济数据],0)),"")</f>
        <v>170k</v>
      </c>
      <c r="G6" s="34" t="str">
        <f>IFERROR(INDEX(ECON[Actual],MATCH(input_econ[[#This Row],[上周主要经济数据]],ECON[上周主要经济数据],0)),"")</f>
        <v>187k</v>
      </c>
    </row>
    <row r="7" spans="1:22" ht="15" x14ac:dyDescent="0.25">
      <c r="B7" s="31">
        <v>5</v>
      </c>
      <c r="C7" s="32" t="s">
        <v>419</v>
      </c>
      <c r="D7" s="46">
        <f>IFERROR(INDEX(ECON[Date],MATCH(input_econ[[#This Row],[上周主要经济数据]],ECON[上周主要经济数据],0)),"")</f>
        <v>45170</v>
      </c>
      <c r="E7" s="34">
        <f>IFERROR(INDEX(ECON[Prior],MATCH(input_econ[[#This Row],[上周主要经济数据]],ECON[上周主要经济数据],0)),"")</f>
        <v>46.4</v>
      </c>
      <c r="F7" s="34">
        <f>IFERROR(INDEX(ECON[Survey],MATCH(input_econ[[#This Row],[上周主要经济数据]],ECON[上周主要经济数据],0)),"")</f>
        <v>47</v>
      </c>
      <c r="G7" s="34">
        <f>IFERROR(INDEX(ECON[Actual],MATCH(input_econ[[#This Row],[上周主要经济数据]],ECON[上周主要经济数据],0)),"")</f>
        <v>47.6</v>
      </c>
    </row>
    <row r="8" spans="1:22" ht="15" x14ac:dyDescent="0.25">
      <c r="B8" s="31">
        <v>1</v>
      </c>
      <c r="C8" s="32" t="s">
        <v>393</v>
      </c>
      <c r="D8" s="46">
        <f>IFERROR(INDEX(ECON[Date],MATCH(input_econ[[#This Row],[上周主要经济数据]],ECON[上周主要经济数据],0)),"")</f>
        <v>45170</v>
      </c>
      <c r="E8" s="34">
        <f>IFERROR(INDEX(ECON[Prior],MATCH(input_econ[[#This Row],[上周主要经济数据]],ECON[上周主要经济数据],0)),"")</f>
        <v>49.2</v>
      </c>
      <c r="F8" s="34">
        <f>IFERROR(INDEX(ECON[Survey],MATCH(input_econ[[#This Row],[上周主要经济数据]],ECON[上周主要经济数据],0)),"")</f>
        <v>49</v>
      </c>
      <c r="G8" s="34">
        <f>IFERROR(INDEX(ECON[Actual],MATCH(input_econ[[#This Row],[上周主要经济数据]],ECON[上周主要经济数据],0)),"")</f>
        <v>51</v>
      </c>
    </row>
    <row r="9" spans="1:22" ht="15" x14ac:dyDescent="0.25">
      <c r="Q9" s="33"/>
      <c r="R9" s="33"/>
      <c r="S9" s="33"/>
      <c r="T9" s="33"/>
      <c r="U9" s="33"/>
      <c r="V9" s="33"/>
    </row>
    <row r="10" spans="1:22" ht="15" x14ac:dyDescent="0.25">
      <c r="Q10" s="33"/>
      <c r="R10" s="33"/>
      <c r="S10" s="33"/>
      <c r="T10" s="33"/>
      <c r="U10" s="33"/>
      <c r="V10" s="33"/>
    </row>
    <row r="11" spans="1:22" ht="15" x14ac:dyDescent="0.25">
      <c r="Q11" s="33"/>
      <c r="R11" s="33"/>
      <c r="S11" s="33"/>
      <c r="T11" s="33"/>
      <c r="U11" s="33"/>
      <c r="V11" s="33"/>
    </row>
    <row r="12" spans="1:22" ht="15" x14ac:dyDescent="0.25">
      <c r="A12" s="31" t="s">
        <v>126</v>
      </c>
      <c r="B12" s="32" t="s">
        <v>174</v>
      </c>
      <c r="C12" s="32" t="s">
        <v>127</v>
      </c>
      <c r="D12" s="32" t="s">
        <v>175</v>
      </c>
      <c r="E12" s="32" t="s">
        <v>128</v>
      </c>
      <c r="F12" s="32" t="s">
        <v>129</v>
      </c>
      <c r="G12" s="32" t="s">
        <v>130</v>
      </c>
      <c r="H12" s="32" t="s">
        <v>131</v>
      </c>
      <c r="I12" s="32" t="s">
        <v>132</v>
      </c>
      <c r="J12" s="32" t="s">
        <v>133</v>
      </c>
      <c r="K12" s="32" t="s">
        <v>134</v>
      </c>
      <c r="L12" s="32" t="s">
        <v>176</v>
      </c>
      <c r="M12" s="32" t="s">
        <v>178</v>
      </c>
      <c r="N12" s="32" t="s">
        <v>179</v>
      </c>
      <c r="O12" s="32" t="s">
        <v>169</v>
      </c>
      <c r="Q12" s="33"/>
      <c r="R12" s="33"/>
      <c r="S12" s="33"/>
      <c r="T12" s="33"/>
      <c r="U12" s="33"/>
      <c r="V12" s="33"/>
    </row>
    <row r="13" spans="1:22" ht="15" x14ac:dyDescent="0.25">
      <c r="A13" s="104">
        <v>45170</v>
      </c>
      <c r="B13" s="32" t="s">
        <v>333</v>
      </c>
      <c r="C13" s="32" t="s">
        <v>408</v>
      </c>
      <c r="D13" s="32" t="s">
        <v>290</v>
      </c>
      <c r="E13" s="32" t="s">
        <v>712</v>
      </c>
      <c r="F13" s="32" t="s">
        <v>409</v>
      </c>
      <c r="G13" s="32" t="s">
        <v>409</v>
      </c>
      <c r="H13" s="32" t="s">
        <v>713</v>
      </c>
      <c r="I13" s="32">
        <v>99</v>
      </c>
      <c r="J13" s="32" t="s">
        <v>410</v>
      </c>
      <c r="K13" s="105">
        <v>0.85416666666666663</v>
      </c>
      <c r="L13" s="32" t="s">
        <v>125</v>
      </c>
      <c r="M13" s="32" t="s">
        <v>278</v>
      </c>
      <c r="N13" s="32" t="s">
        <v>342</v>
      </c>
      <c r="O13" s="32" t="s">
        <v>411</v>
      </c>
      <c r="Q13" s="33"/>
      <c r="R13" s="33"/>
      <c r="S13" s="33"/>
      <c r="T13" s="33"/>
      <c r="U13" s="33"/>
      <c r="V13" s="33"/>
    </row>
    <row r="14" spans="1:22" ht="15" x14ac:dyDescent="0.25">
      <c r="A14" s="104">
        <v>45169</v>
      </c>
      <c r="B14" s="32" t="s">
        <v>333</v>
      </c>
      <c r="C14" s="32" t="s">
        <v>334</v>
      </c>
      <c r="D14" s="32" t="s">
        <v>714</v>
      </c>
      <c r="E14" s="32" t="s">
        <v>449</v>
      </c>
      <c r="F14" s="32" t="s">
        <v>715</v>
      </c>
      <c r="G14" s="32" t="s">
        <v>386</v>
      </c>
      <c r="H14" s="32" t="s">
        <v>716</v>
      </c>
      <c r="I14" s="32">
        <v>98</v>
      </c>
      <c r="J14" s="32" t="s">
        <v>335</v>
      </c>
      <c r="K14" s="105">
        <v>0.85416666666666663</v>
      </c>
      <c r="L14" s="32" t="s">
        <v>125</v>
      </c>
      <c r="M14" s="32" t="s">
        <v>96</v>
      </c>
      <c r="N14" s="32" t="s">
        <v>336</v>
      </c>
      <c r="O14" s="32" t="s">
        <v>337</v>
      </c>
      <c r="Q14" s="33"/>
      <c r="R14" s="33"/>
      <c r="S14" s="33"/>
      <c r="T14" s="33"/>
      <c r="U14" s="33"/>
      <c r="V14" s="33"/>
    </row>
    <row r="15" spans="1:22" ht="15" x14ac:dyDescent="0.25">
      <c r="A15" s="104">
        <v>45168</v>
      </c>
      <c r="B15" s="32" t="s">
        <v>333</v>
      </c>
      <c r="C15" s="32" t="s">
        <v>412</v>
      </c>
      <c r="D15" s="32" t="s">
        <v>413</v>
      </c>
      <c r="E15" s="32">
        <v>2.4E-2</v>
      </c>
      <c r="F15" s="32">
        <v>2.1000000000000001E-2</v>
      </c>
      <c r="G15" s="32">
        <v>2.4E-2</v>
      </c>
      <c r="H15" s="32" t="s">
        <v>7</v>
      </c>
      <c r="I15" s="32">
        <v>96</v>
      </c>
      <c r="J15" s="32" t="s">
        <v>414</v>
      </c>
      <c r="K15" s="105">
        <v>0.85416666666666663</v>
      </c>
      <c r="L15" s="32" t="s">
        <v>125</v>
      </c>
      <c r="M15" s="32" t="s">
        <v>286</v>
      </c>
      <c r="N15" s="32" t="s">
        <v>415</v>
      </c>
      <c r="O15" s="32" t="s">
        <v>416</v>
      </c>
      <c r="Q15" s="33"/>
      <c r="R15" s="33"/>
      <c r="S15" s="33"/>
      <c r="T15" s="33"/>
      <c r="U15" s="33"/>
      <c r="V15" s="33"/>
    </row>
    <row r="16" spans="1:22" ht="15" x14ac:dyDescent="0.25">
      <c r="A16" s="104">
        <v>45170</v>
      </c>
      <c r="B16" s="32" t="s">
        <v>333</v>
      </c>
      <c r="C16" s="32" t="s">
        <v>417</v>
      </c>
      <c r="D16" s="32" t="s">
        <v>290</v>
      </c>
      <c r="E16" s="32">
        <v>47</v>
      </c>
      <c r="F16" s="32">
        <v>47.6</v>
      </c>
      <c r="G16" s="32">
        <v>46.4</v>
      </c>
      <c r="H16" s="32" t="s">
        <v>7</v>
      </c>
      <c r="I16" s="32">
        <v>95</v>
      </c>
      <c r="J16" s="32" t="s">
        <v>418</v>
      </c>
      <c r="K16" s="105">
        <v>0.91666666666666663</v>
      </c>
      <c r="L16" s="32" t="s">
        <v>125</v>
      </c>
      <c r="M16" s="32" t="s">
        <v>278</v>
      </c>
      <c r="N16" s="32" t="s">
        <v>342</v>
      </c>
      <c r="O16" s="32" t="s">
        <v>419</v>
      </c>
      <c r="Q16" s="33"/>
      <c r="R16" s="33"/>
      <c r="S16" s="33"/>
      <c r="T16" s="33"/>
      <c r="U16" s="33"/>
      <c r="V16" s="33"/>
    </row>
    <row r="17" spans="1:22" ht="15" x14ac:dyDescent="0.25">
      <c r="A17" s="104">
        <v>45169</v>
      </c>
      <c r="B17" s="32" t="s">
        <v>331</v>
      </c>
      <c r="C17" s="32" t="s">
        <v>387</v>
      </c>
      <c r="D17" s="32" t="s">
        <v>290</v>
      </c>
      <c r="E17" s="32">
        <v>49.2</v>
      </c>
      <c r="F17" s="32">
        <v>49.7</v>
      </c>
      <c r="G17" s="32">
        <v>49.3</v>
      </c>
      <c r="H17" s="32" t="s">
        <v>7</v>
      </c>
      <c r="I17" s="32">
        <v>94</v>
      </c>
      <c r="J17" s="32" t="s">
        <v>388</v>
      </c>
      <c r="K17" s="105">
        <v>0.39583333333333331</v>
      </c>
      <c r="L17" s="32" t="s">
        <v>125</v>
      </c>
      <c r="M17" s="32" t="s">
        <v>278</v>
      </c>
      <c r="N17" s="32" t="s">
        <v>389</v>
      </c>
      <c r="O17" s="32" t="s">
        <v>390</v>
      </c>
      <c r="Q17" s="33"/>
      <c r="R17" s="33"/>
      <c r="S17" s="33"/>
      <c r="T17" s="33"/>
      <c r="U17" s="33"/>
      <c r="V17" s="33"/>
    </row>
    <row r="18" spans="1:22" ht="15" x14ac:dyDescent="0.25">
      <c r="A18" s="104">
        <v>45170</v>
      </c>
      <c r="B18" s="32" t="s">
        <v>331</v>
      </c>
      <c r="C18" s="32" t="s">
        <v>391</v>
      </c>
      <c r="D18" s="32" t="s">
        <v>290</v>
      </c>
      <c r="E18" s="32">
        <v>49</v>
      </c>
      <c r="F18" s="32">
        <v>51</v>
      </c>
      <c r="G18" s="32">
        <v>49.2</v>
      </c>
      <c r="H18" s="32" t="s">
        <v>7</v>
      </c>
      <c r="I18" s="32">
        <v>92</v>
      </c>
      <c r="J18" s="32" t="s">
        <v>392</v>
      </c>
      <c r="K18" s="105">
        <v>0.40625</v>
      </c>
      <c r="L18" s="32" t="s">
        <v>125</v>
      </c>
      <c r="M18" s="32" t="s">
        <v>278</v>
      </c>
      <c r="N18" s="32" t="s">
        <v>278</v>
      </c>
      <c r="O18" s="32" t="s">
        <v>393</v>
      </c>
    </row>
    <row r="19" spans="1:22" ht="15" x14ac:dyDescent="0.25">
      <c r="A19" s="104">
        <v>45167</v>
      </c>
      <c r="B19" s="32" t="s">
        <v>333</v>
      </c>
      <c r="C19" s="32" t="s">
        <v>420</v>
      </c>
      <c r="D19" s="32" t="s">
        <v>290</v>
      </c>
      <c r="E19" s="32">
        <v>116</v>
      </c>
      <c r="F19" s="32">
        <v>106.1</v>
      </c>
      <c r="G19" s="32">
        <v>117</v>
      </c>
      <c r="H19" s="32">
        <v>114</v>
      </c>
      <c r="I19" s="32">
        <v>92</v>
      </c>
      <c r="J19" s="32" t="s">
        <v>421</v>
      </c>
      <c r="K19" s="105">
        <v>0.91666666666666663</v>
      </c>
      <c r="L19" s="32" t="s">
        <v>125</v>
      </c>
      <c r="M19" s="32" t="s">
        <v>278</v>
      </c>
      <c r="N19" s="32" t="s">
        <v>342</v>
      </c>
      <c r="O19" s="32" t="s">
        <v>422</v>
      </c>
      <c r="Q19" s="33"/>
      <c r="R19" s="33"/>
      <c r="S19" s="33"/>
      <c r="T19" s="33"/>
      <c r="U19" s="33"/>
      <c r="V19" s="33"/>
    </row>
    <row r="20" spans="1:22" ht="15" x14ac:dyDescent="0.25">
      <c r="A20" s="104">
        <v>45168</v>
      </c>
      <c r="B20" s="32" t="s">
        <v>333</v>
      </c>
      <c r="C20" s="32" t="s">
        <v>425</v>
      </c>
      <c r="D20" s="32" t="s">
        <v>290</v>
      </c>
      <c r="E20" s="32" t="s">
        <v>717</v>
      </c>
      <c r="F20" s="32" t="s">
        <v>718</v>
      </c>
      <c r="G20" s="32" t="s">
        <v>426</v>
      </c>
      <c r="H20" s="32" t="s">
        <v>719</v>
      </c>
      <c r="I20" s="32">
        <v>91</v>
      </c>
      <c r="J20" s="32" t="s">
        <v>427</v>
      </c>
      <c r="K20" s="105">
        <v>0.84375</v>
      </c>
      <c r="L20" s="32" t="s">
        <v>125</v>
      </c>
      <c r="M20" s="32" t="s">
        <v>278</v>
      </c>
      <c r="N20" s="32" t="s">
        <v>342</v>
      </c>
      <c r="O20" s="32" t="s">
        <v>428</v>
      </c>
      <c r="V20" s="33"/>
    </row>
    <row r="21" spans="1:22" ht="15" x14ac:dyDescent="0.25">
      <c r="A21" s="104">
        <v>45170</v>
      </c>
      <c r="B21" s="32" t="s">
        <v>284</v>
      </c>
      <c r="C21" s="32" t="s">
        <v>343</v>
      </c>
      <c r="D21" s="32" t="s">
        <v>356</v>
      </c>
      <c r="E21" s="32">
        <v>43.7</v>
      </c>
      <c r="F21" s="32">
        <v>43.5</v>
      </c>
      <c r="G21" s="32">
        <v>43.7</v>
      </c>
      <c r="H21" s="32" t="s">
        <v>7</v>
      </c>
      <c r="I21" s="32">
        <v>90</v>
      </c>
      <c r="J21" s="32" t="s">
        <v>345</v>
      </c>
      <c r="K21" s="105">
        <v>0.66666666666666663</v>
      </c>
      <c r="L21" s="32" t="s">
        <v>125</v>
      </c>
      <c r="M21" s="32" t="s">
        <v>278</v>
      </c>
      <c r="N21" s="32" t="s">
        <v>278</v>
      </c>
      <c r="O21" s="32" t="s">
        <v>346</v>
      </c>
      <c r="V21" s="33"/>
    </row>
    <row r="22" spans="1:22" ht="15" x14ac:dyDescent="0.25">
      <c r="A22" s="104">
        <v>45168</v>
      </c>
      <c r="B22" s="32" t="s">
        <v>333</v>
      </c>
      <c r="C22" s="32" t="s">
        <v>339</v>
      </c>
      <c r="D22" s="32" t="s">
        <v>720</v>
      </c>
      <c r="E22" s="32" t="s">
        <v>7</v>
      </c>
      <c r="F22" s="32">
        <v>2.3E-2</v>
      </c>
      <c r="G22" s="32">
        <v>-4.2000000000000003E-2</v>
      </c>
      <c r="H22" s="32" t="s">
        <v>7</v>
      </c>
      <c r="I22" s="32">
        <v>90</v>
      </c>
      <c r="J22" s="32" t="s">
        <v>340</v>
      </c>
      <c r="K22" s="105">
        <v>0.79166666666666663</v>
      </c>
      <c r="L22" s="32" t="s">
        <v>125</v>
      </c>
      <c r="M22" s="32" t="s">
        <v>96</v>
      </c>
      <c r="N22" s="32" t="s">
        <v>336</v>
      </c>
      <c r="O22" s="32" t="s">
        <v>341</v>
      </c>
      <c r="V22" s="33"/>
    </row>
    <row r="23" spans="1:22" ht="15" x14ac:dyDescent="0.25">
      <c r="A23" s="104">
        <v>45170</v>
      </c>
      <c r="B23" s="32" t="s">
        <v>333</v>
      </c>
      <c r="C23" s="32" t="s">
        <v>360</v>
      </c>
      <c r="D23" s="32" t="s">
        <v>356</v>
      </c>
      <c r="E23" s="32">
        <v>47</v>
      </c>
      <c r="F23" s="32">
        <v>47.9</v>
      </c>
      <c r="G23" s="32">
        <v>47</v>
      </c>
      <c r="H23" s="32" t="s">
        <v>7</v>
      </c>
      <c r="I23" s="32">
        <v>90</v>
      </c>
      <c r="J23" s="32" t="s">
        <v>361</v>
      </c>
      <c r="K23" s="105">
        <v>0.90625</v>
      </c>
      <c r="L23" s="32" t="s">
        <v>125</v>
      </c>
      <c r="M23" s="32" t="s">
        <v>278</v>
      </c>
      <c r="N23" s="32" t="s">
        <v>278</v>
      </c>
      <c r="O23" s="32" t="s">
        <v>362</v>
      </c>
      <c r="V23" s="33"/>
    </row>
    <row r="24" spans="1:22" ht="15" x14ac:dyDescent="0.25">
      <c r="A24" s="104">
        <v>45170</v>
      </c>
      <c r="B24" s="32" t="s">
        <v>333</v>
      </c>
      <c r="C24" s="32" t="s">
        <v>405</v>
      </c>
      <c r="D24" s="32" t="s">
        <v>290</v>
      </c>
      <c r="E24" s="32">
        <v>3.5000000000000003E-2</v>
      </c>
      <c r="F24" s="32">
        <v>3.7999999999999999E-2</v>
      </c>
      <c r="G24" s="32">
        <v>3.5000000000000003E-2</v>
      </c>
      <c r="H24" s="32" t="s">
        <v>7</v>
      </c>
      <c r="I24" s="32">
        <v>89</v>
      </c>
      <c r="J24" s="32" t="s">
        <v>423</v>
      </c>
      <c r="K24" s="105">
        <v>0.85416666666666663</v>
      </c>
      <c r="L24" s="32" t="s">
        <v>125</v>
      </c>
      <c r="M24" s="32" t="s">
        <v>278</v>
      </c>
      <c r="N24" s="32" t="s">
        <v>342</v>
      </c>
      <c r="O24" s="32" t="s">
        <v>424</v>
      </c>
      <c r="V24" s="33"/>
    </row>
    <row r="25" spans="1:22" ht="15" x14ac:dyDescent="0.25">
      <c r="A25" s="104">
        <v>45169</v>
      </c>
      <c r="B25" s="32" t="s">
        <v>284</v>
      </c>
      <c r="C25" s="32" t="s">
        <v>135</v>
      </c>
      <c r="D25" s="32" t="s">
        <v>344</v>
      </c>
      <c r="E25" s="32">
        <v>4.0000000000000001E-3</v>
      </c>
      <c r="F25" s="32">
        <v>6.0000000000000001E-3</v>
      </c>
      <c r="G25" s="32">
        <v>-1E-3</v>
      </c>
      <c r="H25" s="32" t="s">
        <v>7</v>
      </c>
      <c r="I25" s="32">
        <v>85</v>
      </c>
      <c r="J25" s="32" t="s">
        <v>287</v>
      </c>
      <c r="K25" s="105">
        <v>0.70833333333333337</v>
      </c>
      <c r="L25" s="32" t="s">
        <v>125</v>
      </c>
      <c r="M25" s="32" t="s">
        <v>278</v>
      </c>
      <c r="N25" s="32" t="s">
        <v>291</v>
      </c>
      <c r="O25" s="32" t="s">
        <v>397</v>
      </c>
      <c r="V25" s="33"/>
    </row>
    <row r="26" spans="1:22" ht="15" x14ac:dyDescent="0.25">
      <c r="A26" s="104">
        <v>45169</v>
      </c>
      <c r="B26" s="32" t="s">
        <v>333</v>
      </c>
      <c r="C26" s="32" t="s">
        <v>429</v>
      </c>
      <c r="D26" s="32" t="s">
        <v>332</v>
      </c>
      <c r="E26" s="32">
        <v>7.0000000000000001E-3</v>
      </c>
      <c r="F26" s="32">
        <v>8.0000000000000002E-3</v>
      </c>
      <c r="G26" s="32">
        <v>5.0000000000000001E-3</v>
      </c>
      <c r="H26" s="32">
        <v>6.0000000000000001E-3</v>
      </c>
      <c r="I26" s="32">
        <v>85</v>
      </c>
      <c r="J26" s="32" t="s">
        <v>430</v>
      </c>
      <c r="K26" s="105">
        <v>0.85416666666666663</v>
      </c>
      <c r="L26" s="32" t="s">
        <v>125</v>
      </c>
      <c r="M26" s="32" t="s">
        <v>251</v>
      </c>
      <c r="N26" s="32" t="s">
        <v>338</v>
      </c>
      <c r="O26" s="32" t="s">
        <v>431</v>
      </c>
      <c r="V26" s="33"/>
    </row>
    <row r="27" spans="1:22" ht="15" x14ac:dyDescent="0.25">
      <c r="A27" s="104">
        <v>45169</v>
      </c>
      <c r="B27" s="32" t="s">
        <v>333</v>
      </c>
      <c r="C27" s="32" t="s">
        <v>432</v>
      </c>
      <c r="D27" s="32" t="s">
        <v>332</v>
      </c>
      <c r="E27" s="32">
        <v>3.0000000000000001E-3</v>
      </c>
      <c r="F27" s="32">
        <v>2E-3</v>
      </c>
      <c r="G27" s="32">
        <v>3.0000000000000001E-3</v>
      </c>
      <c r="H27" s="32" t="s">
        <v>7</v>
      </c>
      <c r="I27" s="32">
        <v>85</v>
      </c>
      <c r="J27" s="32" t="s">
        <v>433</v>
      </c>
      <c r="K27" s="105">
        <v>0.85416666666666663</v>
      </c>
      <c r="L27" s="32" t="s">
        <v>125</v>
      </c>
      <c r="M27" s="32" t="s">
        <v>251</v>
      </c>
      <c r="N27" s="32" t="s">
        <v>338</v>
      </c>
      <c r="O27" s="32" t="s">
        <v>434</v>
      </c>
      <c r="V27" s="33"/>
    </row>
    <row r="28" spans="1:22" ht="15" x14ac:dyDescent="0.25">
      <c r="A28" s="104">
        <v>45166</v>
      </c>
      <c r="B28" s="32" t="s">
        <v>284</v>
      </c>
      <c r="C28" s="32" t="s">
        <v>398</v>
      </c>
      <c r="D28" s="32" t="s">
        <v>332</v>
      </c>
      <c r="E28" s="32">
        <v>0</v>
      </c>
      <c r="F28" s="32">
        <v>-4.0000000000000001E-3</v>
      </c>
      <c r="G28" s="32">
        <v>6.0000000000000001E-3</v>
      </c>
      <c r="H28" s="32" t="s">
        <v>7</v>
      </c>
      <c r="I28" s="32">
        <v>83</v>
      </c>
      <c r="J28" s="32" t="s">
        <v>399</v>
      </c>
      <c r="K28" s="105">
        <v>0.66666666666666663</v>
      </c>
      <c r="L28" s="32" t="s">
        <v>125</v>
      </c>
      <c r="M28" s="32" t="s">
        <v>251</v>
      </c>
      <c r="N28" s="32" t="s">
        <v>285</v>
      </c>
      <c r="O28" s="32" t="s">
        <v>400</v>
      </c>
    </row>
    <row r="29" spans="1:22" ht="15" x14ac:dyDescent="0.25">
      <c r="A29" s="104">
        <v>45169</v>
      </c>
      <c r="B29" s="32" t="s">
        <v>333</v>
      </c>
      <c r="C29" s="32" t="s">
        <v>435</v>
      </c>
      <c r="D29" s="32" t="s">
        <v>290</v>
      </c>
      <c r="E29" s="32">
        <v>44.2</v>
      </c>
      <c r="F29" s="32">
        <v>48.7</v>
      </c>
      <c r="G29" s="32">
        <v>42.8</v>
      </c>
      <c r="H29" s="32" t="s">
        <v>7</v>
      </c>
      <c r="I29" s="32">
        <v>81</v>
      </c>
      <c r="J29" s="32" t="s">
        <v>436</v>
      </c>
      <c r="K29" s="105">
        <v>0.90625</v>
      </c>
      <c r="L29" s="32" t="s">
        <v>125</v>
      </c>
      <c r="M29" s="32" t="s">
        <v>278</v>
      </c>
      <c r="N29" s="32" t="s">
        <v>342</v>
      </c>
      <c r="O29" s="32" t="s">
        <v>437</v>
      </c>
    </row>
    <row r="30" spans="1:22" ht="15" x14ac:dyDescent="0.25">
      <c r="A30" s="104">
        <v>45169</v>
      </c>
      <c r="B30" s="32" t="s">
        <v>331</v>
      </c>
      <c r="C30" s="32" t="s">
        <v>394</v>
      </c>
      <c r="D30" s="32" t="s">
        <v>290</v>
      </c>
      <c r="E30" s="32">
        <v>51.2</v>
      </c>
      <c r="F30" s="32">
        <v>51</v>
      </c>
      <c r="G30" s="32">
        <v>51.5</v>
      </c>
      <c r="H30" s="32" t="s">
        <v>7</v>
      </c>
      <c r="I30" s="32">
        <v>76</v>
      </c>
      <c r="J30" s="32" t="s">
        <v>395</v>
      </c>
      <c r="K30" s="105">
        <v>0.39583333333333331</v>
      </c>
      <c r="L30" s="32" t="s">
        <v>125</v>
      </c>
      <c r="M30" s="32" t="s">
        <v>278</v>
      </c>
      <c r="N30" s="32" t="s">
        <v>389</v>
      </c>
      <c r="O30" s="32" t="s">
        <v>396</v>
      </c>
    </row>
    <row r="31" spans="1:22" ht="15" x14ac:dyDescent="0.25">
      <c r="A31" s="104">
        <v>45169</v>
      </c>
      <c r="B31" s="32" t="s">
        <v>284</v>
      </c>
      <c r="C31" s="32" t="s">
        <v>401</v>
      </c>
      <c r="D31" s="32" t="s">
        <v>290</v>
      </c>
      <c r="E31" s="32">
        <v>5.0999999999999997E-2</v>
      </c>
      <c r="F31" s="32">
        <v>5.2999999999999999E-2</v>
      </c>
      <c r="G31" s="32">
        <v>5.2999999999999999E-2</v>
      </c>
      <c r="H31" s="32" t="s">
        <v>7</v>
      </c>
      <c r="I31" s="32">
        <v>76</v>
      </c>
      <c r="J31" s="32" t="s">
        <v>402</v>
      </c>
      <c r="K31" s="105">
        <v>0.70833333333333337</v>
      </c>
      <c r="L31" s="32" t="s">
        <v>125</v>
      </c>
      <c r="M31" s="32" t="s">
        <v>278</v>
      </c>
      <c r="N31" s="32" t="s">
        <v>291</v>
      </c>
      <c r="O31" s="32" t="s">
        <v>403</v>
      </c>
    </row>
    <row r="32" spans="1:22" ht="15" x14ac:dyDescent="0.25">
      <c r="A32" s="104">
        <v>45169</v>
      </c>
      <c r="B32" s="32" t="s">
        <v>284</v>
      </c>
      <c r="C32" s="32" t="s">
        <v>288</v>
      </c>
      <c r="D32" s="32" t="s">
        <v>344</v>
      </c>
      <c r="E32" s="32">
        <v>5.2999999999999999E-2</v>
      </c>
      <c r="F32" s="32">
        <v>5.2999999999999999E-2</v>
      </c>
      <c r="G32" s="32">
        <v>5.5E-2</v>
      </c>
      <c r="H32" s="32" t="s">
        <v>7</v>
      </c>
      <c r="I32" s="32">
        <v>71</v>
      </c>
      <c r="J32" s="32" t="s">
        <v>289</v>
      </c>
      <c r="K32" s="105">
        <v>0.70833333333333337</v>
      </c>
      <c r="L32" s="32" t="s">
        <v>125</v>
      </c>
      <c r="M32" s="32" t="s">
        <v>278</v>
      </c>
      <c r="N32" s="32" t="s">
        <v>291</v>
      </c>
      <c r="O32" s="32" t="s">
        <v>404</v>
      </c>
    </row>
    <row r="33" spans="1:15" ht="15" x14ac:dyDescent="0.25">
      <c r="A33" s="104">
        <v>45169</v>
      </c>
      <c r="B33" s="32" t="s">
        <v>284</v>
      </c>
      <c r="C33" s="32" t="s">
        <v>405</v>
      </c>
      <c r="D33" s="32" t="s">
        <v>332</v>
      </c>
      <c r="E33" s="32">
        <v>6.4000000000000001E-2</v>
      </c>
      <c r="F33" s="32">
        <v>6.4000000000000001E-2</v>
      </c>
      <c r="G33" s="32">
        <v>6.4000000000000001E-2</v>
      </c>
      <c r="H33" s="32" t="s">
        <v>7</v>
      </c>
      <c r="I33" s="32">
        <v>68</v>
      </c>
      <c r="J33" s="32" t="s">
        <v>406</v>
      </c>
      <c r="K33" s="105">
        <v>0.70833333333333337</v>
      </c>
      <c r="L33" s="32" t="s">
        <v>125</v>
      </c>
      <c r="M33" s="32" t="s">
        <v>251</v>
      </c>
      <c r="N33" s="32" t="s">
        <v>285</v>
      </c>
      <c r="O33" s="32" t="s">
        <v>407</v>
      </c>
    </row>
    <row r="34" spans="1:15" ht="15" x14ac:dyDescent="0.25">
      <c r="A34" s="104">
        <v>45168</v>
      </c>
      <c r="B34" s="32" t="s">
        <v>284</v>
      </c>
      <c r="C34" s="32" t="s">
        <v>353</v>
      </c>
      <c r="D34" s="32" t="s">
        <v>356</v>
      </c>
      <c r="E34" s="32" t="s">
        <v>7</v>
      </c>
      <c r="F34" s="32">
        <v>-16</v>
      </c>
      <c r="G34" s="32">
        <v>-16</v>
      </c>
      <c r="H34" s="32" t="s">
        <v>7</v>
      </c>
      <c r="I34" s="32">
        <v>66</v>
      </c>
      <c r="J34" s="32" t="s">
        <v>354</v>
      </c>
      <c r="K34" s="105">
        <v>0.70833333333333337</v>
      </c>
      <c r="L34" s="32" t="s">
        <v>125</v>
      </c>
      <c r="M34" s="32" t="s">
        <v>278</v>
      </c>
      <c r="N34" s="32" t="s">
        <v>291</v>
      </c>
      <c r="O34" s="32" t="s">
        <v>355</v>
      </c>
    </row>
    <row r="35" spans="1:15" ht="15" x14ac:dyDescent="0.25"/>
    <row r="36" spans="1:15" ht="15" x14ac:dyDescent="0.25"/>
    <row r="37" spans="1:15" ht="15" x14ac:dyDescent="0.25"/>
    <row r="38" spans="1:15" ht="15" x14ac:dyDescent="0.25"/>
    <row r="39" spans="1:15" ht="15" x14ac:dyDescent="0.25"/>
    <row r="40" spans="1:15" ht="15" x14ac:dyDescent="0.25"/>
    <row r="41" spans="1:15" ht="15" x14ac:dyDescent="0.25"/>
    <row r="42" spans="1:15" ht="15" x14ac:dyDescent="0.25"/>
    <row r="43" spans="1:15" ht="15" x14ac:dyDescent="0.25"/>
    <row r="44" spans="1:15" ht="15" x14ac:dyDescent="0.25"/>
    <row r="45" spans="1:15" ht="15" x14ac:dyDescent="0.25"/>
    <row r="46" spans="1:15" ht="15" x14ac:dyDescent="0.25"/>
    <row r="47" spans="1:15" ht="15" x14ac:dyDescent="0.25"/>
    <row r="48" spans="1:15" ht="15" x14ac:dyDescent="0.25"/>
    <row r="49" ht="15" x14ac:dyDescent="0.25"/>
    <row r="50" ht="15" x14ac:dyDescent="0.25"/>
    <row r="51" ht="15" x14ac:dyDescent="0.25"/>
    <row r="52" ht="15" x14ac:dyDescent="0.25"/>
    <row r="53" ht="15" x14ac:dyDescent="0.25"/>
  </sheetData>
  <phoneticPr fontId="13" type="noConversion"/>
  <conditionalFormatting sqref="I13:I34">
    <cfRule type="dataBar" priority="2">
      <dataBar>
        <cfvo type="num" val="50"/>
        <cfvo type="num" val="100"/>
        <color rgb="FFE1E1E9"/>
      </dataBar>
      <extLst>
        <ext xmlns:x14="http://schemas.microsoft.com/office/spreadsheetml/2009/9/main" uri="{B025F937-C7B1-47D3-B67F-A62EFF666E3E}">
          <x14:id>{9CA240DC-4A4E-42C1-841C-E9EAF55E2755}</x14:id>
        </ext>
      </extLst>
    </cfRule>
  </conditionalFormatting>
  <dataValidations count="1">
    <dataValidation type="list" allowBlank="1" showInputMessage="1" sqref="I1" xr:uid="{247CD28C-E434-4B8B-BA8E-BA3C6FA30DA7}">
      <formula1>dd_econ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CA240DC-4A4E-42C1-841C-E9EAF55E2755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888AA6"/>
              <x14:negativeFillColor rgb="FFFF0000"/>
              <x14:negativeBorderColor rgb="FFFF0000"/>
              <x14:axisColor rgb="FF000000"/>
            </x14:dataBar>
          </x14:cfRule>
          <xm:sqref>I13:I34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69E62"/>
  </sheetPr>
  <dimension ref="A1:V43"/>
  <sheetViews>
    <sheetView workbookViewId="0">
      <selection activeCell="I20" sqref="I20"/>
    </sheetView>
  </sheetViews>
  <sheetFormatPr defaultColWidth="8.88671875" defaultRowHeight="15" x14ac:dyDescent="0.25"/>
  <cols>
    <col min="1" max="1" width="8.44140625" style="30" bestFit="1" customWidth="1"/>
    <col min="2" max="2" width="8.5546875" style="30" bestFit="1" customWidth="1"/>
    <col min="3" max="3" width="25.109375" style="30" bestFit="1" customWidth="1"/>
    <col min="4" max="4" width="8.109375" style="30" bestFit="1" customWidth="1"/>
    <col min="5" max="5" width="9.44140625" style="30" bestFit="1" customWidth="1"/>
    <col min="6" max="6" width="7.88671875" style="30" bestFit="1" customWidth="1"/>
    <col min="7" max="7" width="9.44140625" style="30" bestFit="1" customWidth="1"/>
    <col min="8" max="8" width="9.109375" style="30" bestFit="1" customWidth="1"/>
    <col min="9" max="9" width="11" style="30" bestFit="1" customWidth="1" collapsed="1"/>
    <col min="10" max="10" width="15.88671875" style="30" bestFit="1" customWidth="1"/>
    <col min="11" max="11" width="10.77734375" style="30" bestFit="1" customWidth="1"/>
    <col min="12" max="12" width="7.33203125" style="30" bestFit="1" customWidth="1"/>
    <col min="13" max="13" width="6.109375" style="30" bestFit="1" customWidth="1"/>
    <col min="14" max="14" width="11.109375" style="30" bestFit="1" customWidth="1"/>
    <col min="15" max="15" width="28.5546875" style="30" bestFit="1" customWidth="1" collapsed="1"/>
    <col min="16" max="16" width="6.5546875" style="30" customWidth="1"/>
    <col min="17" max="17" width="6.77734375" style="30" customWidth="1"/>
    <col min="18" max="18" width="28.109375" style="30" bestFit="1" customWidth="1"/>
    <col min="19" max="19" width="12.6640625" style="30" bestFit="1" customWidth="1"/>
    <col min="20" max="22" width="7.6640625" style="30" customWidth="1"/>
    <col min="23" max="23" width="6.109375" style="30" bestFit="1" customWidth="1"/>
    <col min="24" max="24" width="9.44140625" style="30" bestFit="1" customWidth="1"/>
    <col min="25" max="25" width="35.109375" style="30" bestFit="1" customWidth="1"/>
    <col min="26" max="16384" width="8.88671875" style="30"/>
  </cols>
  <sheetData>
    <row r="1" spans="1:22" ht="59.25" customHeight="1" x14ac:dyDescent="0.25">
      <c r="A1" s="29" t="s">
        <v>177</v>
      </c>
      <c r="H1" s="93" t="s">
        <v>180</v>
      </c>
    </row>
    <row r="2" spans="1:22" x14ac:dyDescent="0.25">
      <c r="B2" s="31" t="s">
        <v>90</v>
      </c>
      <c r="C2" s="31" t="s">
        <v>180</v>
      </c>
      <c r="D2" s="31" t="s">
        <v>183</v>
      </c>
      <c r="E2" s="31" t="s">
        <v>171</v>
      </c>
      <c r="F2" s="31" t="s">
        <v>172</v>
      </c>
      <c r="V2" s="33"/>
    </row>
    <row r="3" spans="1:22" x14ac:dyDescent="0.25">
      <c r="B3" s="31">
        <v>1</v>
      </c>
      <c r="C3" s="30" t="s">
        <v>359</v>
      </c>
      <c r="D3" s="47">
        <f>IFERROR(INDEX(FUTURE[Date],MATCH(input_future[[#This Row],[未来一周主要经济数据]],FUTURE[未来一周主要经济数据],0)),"")</f>
        <v>45174</v>
      </c>
      <c r="E3" s="35">
        <f>IFERROR(INDEX(FUTURE[Prior],MATCH(input_future[[#This Row],[未来一周主要经济数据]],FUTURE[未来一周主要经济数据],0)),"")</f>
        <v>-5.1999999999999998E-2</v>
      </c>
      <c r="F3" s="35" t="str">
        <f>IFERROR(INDEX(FUTURE[Survey],MATCH(input_future[[#This Row],[未来一周主要经济数据]],FUTURE[未来一周主要经济数据],0)),"")</f>
        <v>--</v>
      </c>
      <c r="V3" s="39"/>
    </row>
    <row r="4" spans="1:22" x14ac:dyDescent="0.25">
      <c r="B4" s="31">
        <v>2</v>
      </c>
      <c r="C4" s="30" t="s">
        <v>337</v>
      </c>
      <c r="D4" s="47">
        <f>IFERROR(INDEX(FUTURE[Date],MATCH(input_future[[#This Row],[未来一周主要经济数据]],FUTURE[未来一周主要经济数据],0)),"")</f>
        <v>45176</v>
      </c>
      <c r="E4" s="35" t="str">
        <f>IFERROR(INDEX(FUTURE[Prior],MATCH(input_future[[#This Row],[未来一周主要经济数据]],FUTURE[未来一周主要经济数据],0)),"")</f>
        <v>228k</v>
      </c>
      <c r="F4" s="35" t="str">
        <f>IFERROR(INDEX(FUTURE[Survey],MATCH(input_future[[#This Row],[未来一周主要经济数据]],FUTURE[未来一周主要经济数据],0)),"")</f>
        <v>234k</v>
      </c>
      <c r="V4" s="39"/>
    </row>
    <row r="5" spans="1:22" x14ac:dyDescent="0.25">
      <c r="B5" s="31">
        <v>4</v>
      </c>
      <c r="C5" s="30" t="s">
        <v>761</v>
      </c>
      <c r="D5" s="47">
        <f>IFERROR(INDEX(FUTURE[Date],MATCH(input_future[[#This Row],[未来一周主要经济数据]],FUTURE[未来一周主要经济数据],0)),"")</f>
        <v>45176</v>
      </c>
      <c r="E5" s="35">
        <f>IFERROR(INDEX(FUTURE[Prior],MATCH(input_future[[#This Row],[未来一周主要经济数据]],FUTURE[未来一周主要经济数据],0)),"")</f>
        <v>3.0000000000000001E-3</v>
      </c>
      <c r="F5" s="35">
        <f>IFERROR(INDEX(FUTURE[Survey],MATCH(input_future[[#This Row],[未来一周主要经济数据]],FUTURE[未来一周主要经济数据],0)),"")</f>
        <v>3.0000000000000001E-3</v>
      </c>
      <c r="V5" s="39"/>
    </row>
    <row r="6" spans="1:22" x14ac:dyDescent="0.25">
      <c r="B6" s="31">
        <v>5</v>
      </c>
      <c r="C6" s="30" t="s">
        <v>764</v>
      </c>
      <c r="D6" s="47">
        <f>IFERROR(INDEX(FUTURE[Date],MATCH(input_future[[#This Row],[未来一周主要经济数据]],FUTURE[未来一周主要经济数据],0)),"")</f>
        <v>45176</v>
      </c>
      <c r="E6" s="35">
        <f>IFERROR(INDEX(FUTURE[Prior],MATCH(input_future[[#This Row],[未来一周主要经济数据]],FUTURE[未来一周主要经济数据],0)),"")</f>
        <v>6.0000000000000001E-3</v>
      </c>
      <c r="F6" s="35">
        <f>IFERROR(INDEX(FUTURE[Survey],MATCH(input_future[[#This Row],[未来一周主要经济数据]],FUTURE[未来一周主要经济数据],0)),"")</f>
        <v>6.0000000000000001E-3</v>
      </c>
      <c r="V6" s="39"/>
    </row>
    <row r="7" spans="1:22" x14ac:dyDescent="0.25">
      <c r="B7" s="31">
        <v>6</v>
      </c>
      <c r="C7" s="30" t="s">
        <v>723</v>
      </c>
      <c r="D7" s="47">
        <f>IFERROR(INDEX(FUTURE[Date],MATCH(input_future[[#This Row],[未来一周主要经济数据]],FUTURE[未来一周主要经济数据],0)),"")</f>
        <v>45178</v>
      </c>
      <c r="E7" s="35">
        <f>IFERROR(INDEX(FUTURE[Prior],MATCH(input_future[[#This Row],[未来一周主要经济数据]],FUTURE[未来一周主要经济数据],0)),"")</f>
        <v>-3.0000000000000001E-3</v>
      </c>
      <c r="F7" s="35">
        <f>IFERROR(INDEX(FUTURE[Survey],MATCH(input_future[[#This Row],[未来一周主要经济数据]],FUTURE[未来一周主要经济数据],0)),"")</f>
        <v>2E-3</v>
      </c>
      <c r="V7" s="39"/>
    </row>
    <row r="8" spans="1:22" x14ac:dyDescent="0.25">
      <c r="B8" s="31">
        <v>3</v>
      </c>
      <c r="C8" s="30" t="s">
        <v>726</v>
      </c>
      <c r="D8" s="47">
        <f>IFERROR(INDEX(FUTURE[Date],MATCH(input_future[[#This Row],[未来一周主要经济数据]],FUTURE[未来一周主要经济数据],0)),"")</f>
        <v>45178</v>
      </c>
      <c r="E8" s="35">
        <f>IFERROR(INDEX(FUTURE[Prior],MATCH(input_future[[#This Row],[未来一周主要经济数据]],FUTURE[未来一周主要经济数据],0)),"")</f>
        <v>-4.3999999999999997E-2</v>
      </c>
      <c r="F8" s="35">
        <f>IFERROR(INDEX(FUTURE[Survey],MATCH(input_future[[#This Row],[未来一周主要经济数据]],FUTURE[未来一周主要经济数据],0)),"")</f>
        <v>-2.9000000000000001E-2</v>
      </c>
      <c r="V8" s="39"/>
    </row>
    <row r="9" spans="1:22" x14ac:dyDescent="0.25">
      <c r="Q9" s="33"/>
      <c r="R9" s="33"/>
      <c r="S9" s="33"/>
      <c r="T9" s="33"/>
      <c r="U9" s="33"/>
      <c r="V9" s="33"/>
    </row>
    <row r="10" spans="1:22" x14ac:dyDescent="0.25">
      <c r="A10" s="32" t="s">
        <v>126</v>
      </c>
      <c r="B10" s="32" t="s">
        <v>174</v>
      </c>
      <c r="C10" s="32" t="s">
        <v>127</v>
      </c>
      <c r="D10" s="32" t="s">
        <v>175</v>
      </c>
      <c r="E10" s="32" t="s">
        <v>128</v>
      </c>
      <c r="F10" s="32" t="s">
        <v>129</v>
      </c>
      <c r="G10" s="32" t="s">
        <v>130</v>
      </c>
      <c r="H10" s="32" t="s">
        <v>131</v>
      </c>
      <c r="I10" s="32" t="s">
        <v>132</v>
      </c>
      <c r="J10" s="32" t="s">
        <v>133</v>
      </c>
      <c r="K10" s="32" t="s">
        <v>134</v>
      </c>
      <c r="L10" s="32" t="s">
        <v>176</v>
      </c>
      <c r="M10" s="32" t="s">
        <v>178</v>
      </c>
      <c r="N10" s="32" t="s">
        <v>179</v>
      </c>
      <c r="O10" s="32" t="s">
        <v>180</v>
      </c>
      <c r="Q10" s="33"/>
      <c r="R10" s="33"/>
      <c r="S10" s="33"/>
      <c r="T10" s="33"/>
      <c r="U10" s="33"/>
      <c r="V10" s="33"/>
    </row>
    <row r="11" spans="1:22" x14ac:dyDescent="0.25">
      <c r="A11" s="43">
        <v>45178</v>
      </c>
      <c r="B11" s="30" t="s">
        <v>331</v>
      </c>
      <c r="C11" s="30" t="s">
        <v>721</v>
      </c>
      <c r="D11" s="30" t="s">
        <v>290</v>
      </c>
      <c r="E11" s="30">
        <v>2E-3</v>
      </c>
      <c r="F11" s="30" t="s">
        <v>7</v>
      </c>
      <c r="G11" s="30">
        <v>-3.0000000000000001E-3</v>
      </c>
      <c r="H11" s="30" t="s">
        <v>7</v>
      </c>
      <c r="I11" s="30">
        <v>98</v>
      </c>
      <c r="J11" s="30" t="s">
        <v>722</v>
      </c>
      <c r="K11" s="41">
        <v>0.39583333333333331</v>
      </c>
      <c r="L11" s="30" t="s">
        <v>177</v>
      </c>
      <c r="M11" s="30" t="s">
        <v>278</v>
      </c>
      <c r="N11" s="30" t="s">
        <v>389</v>
      </c>
      <c r="O11" s="30" t="s">
        <v>723</v>
      </c>
      <c r="Q11" s="33"/>
      <c r="R11" s="33"/>
      <c r="S11" s="33"/>
      <c r="T11" s="33"/>
      <c r="U11" s="33"/>
      <c r="V11" s="33"/>
    </row>
    <row r="12" spans="1:22" x14ac:dyDescent="0.25">
      <c r="A12" s="43">
        <v>45176</v>
      </c>
      <c r="B12" s="30" t="s">
        <v>333</v>
      </c>
      <c r="C12" s="30" t="s">
        <v>334</v>
      </c>
      <c r="D12" s="30" t="s">
        <v>765</v>
      </c>
      <c r="E12" s="30" t="s">
        <v>766</v>
      </c>
      <c r="F12" s="30" t="s">
        <v>7</v>
      </c>
      <c r="G12" s="30" t="s">
        <v>715</v>
      </c>
      <c r="H12" s="30" t="s">
        <v>7</v>
      </c>
      <c r="I12" s="30">
        <v>98</v>
      </c>
      <c r="J12" s="30" t="s">
        <v>335</v>
      </c>
      <c r="K12" s="41">
        <v>0.85416666666666663</v>
      </c>
      <c r="L12" s="30" t="s">
        <v>177</v>
      </c>
      <c r="M12" s="30" t="s">
        <v>96</v>
      </c>
      <c r="N12" s="30" t="s">
        <v>336</v>
      </c>
      <c r="O12" s="30" t="s">
        <v>337</v>
      </c>
      <c r="Q12" s="33"/>
      <c r="R12" s="33"/>
      <c r="S12" s="33"/>
      <c r="T12" s="33"/>
      <c r="U12" s="33"/>
      <c r="V12" s="33"/>
    </row>
    <row r="13" spans="1:22" x14ac:dyDescent="0.25">
      <c r="A13" s="43">
        <v>45176</v>
      </c>
      <c r="B13" s="30" t="s">
        <v>284</v>
      </c>
      <c r="C13" s="30" t="s">
        <v>757</v>
      </c>
      <c r="D13" s="30" t="s">
        <v>758</v>
      </c>
      <c r="E13" s="30">
        <v>3.0000000000000001E-3</v>
      </c>
      <c r="F13" s="30" t="s">
        <v>7</v>
      </c>
      <c r="G13" s="30">
        <v>3.0000000000000001E-3</v>
      </c>
      <c r="H13" s="30" t="s">
        <v>7</v>
      </c>
      <c r="I13" s="30">
        <v>93</v>
      </c>
      <c r="J13" s="30" t="s">
        <v>759</v>
      </c>
      <c r="K13" s="41">
        <v>0.70833333333333337</v>
      </c>
      <c r="L13" s="30" t="s">
        <v>177</v>
      </c>
      <c r="M13" s="30" t="s">
        <v>286</v>
      </c>
      <c r="N13" s="30" t="s">
        <v>760</v>
      </c>
      <c r="O13" s="30" t="s">
        <v>761</v>
      </c>
      <c r="Q13" s="33"/>
      <c r="R13" s="33"/>
      <c r="S13" s="33"/>
      <c r="T13" s="33"/>
      <c r="U13" s="33"/>
      <c r="V13" s="33"/>
    </row>
    <row r="14" spans="1:22" x14ac:dyDescent="0.25">
      <c r="A14" s="43">
        <v>45174</v>
      </c>
      <c r="B14" s="30" t="s">
        <v>333</v>
      </c>
      <c r="C14" s="30" t="s">
        <v>357</v>
      </c>
      <c r="D14" s="30" t="s">
        <v>767</v>
      </c>
      <c r="E14" s="30" t="s">
        <v>7</v>
      </c>
      <c r="F14" s="30" t="s">
        <v>7</v>
      </c>
      <c r="G14" s="30">
        <v>-5.1999999999999998E-2</v>
      </c>
      <c r="H14" s="30" t="s">
        <v>7</v>
      </c>
      <c r="I14" s="30">
        <v>91</v>
      </c>
      <c r="J14" s="30" t="s">
        <v>358</v>
      </c>
      <c r="K14" s="41">
        <v>0.91666666666666663</v>
      </c>
      <c r="L14" s="30" t="s">
        <v>177</v>
      </c>
      <c r="M14" s="30" t="s">
        <v>251</v>
      </c>
      <c r="N14" s="30" t="s">
        <v>338</v>
      </c>
      <c r="O14" s="30" t="s">
        <v>359</v>
      </c>
      <c r="Q14" s="33"/>
      <c r="R14" s="33"/>
      <c r="S14" s="33"/>
      <c r="T14" s="33"/>
      <c r="U14" s="33"/>
      <c r="V14" s="33"/>
    </row>
    <row r="15" spans="1:22" x14ac:dyDescent="0.25">
      <c r="A15" s="43">
        <v>45178</v>
      </c>
      <c r="B15" s="30" t="s">
        <v>331</v>
      </c>
      <c r="C15" s="30" t="s">
        <v>724</v>
      </c>
      <c r="D15" s="30" t="s">
        <v>290</v>
      </c>
      <c r="E15" s="30">
        <v>-2.9000000000000001E-2</v>
      </c>
      <c r="F15" s="30" t="s">
        <v>7</v>
      </c>
      <c r="G15" s="30">
        <v>-4.3999999999999997E-2</v>
      </c>
      <c r="H15" s="30" t="s">
        <v>7</v>
      </c>
      <c r="I15" s="30">
        <v>90</v>
      </c>
      <c r="J15" s="30" t="s">
        <v>725</v>
      </c>
      <c r="K15" s="41">
        <v>0.39583333333333331</v>
      </c>
      <c r="L15" s="30" t="s">
        <v>177</v>
      </c>
      <c r="M15" s="30" t="s">
        <v>278</v>
      </c>
      <c r="N15" s="30" t="s">
        <v>389</v>
      </c>
      <c r="O15" s="30" t="s">
        <v>726</v>
      </c>
      <c r="Q15" s="33"/>
      <c r="R15" s="33"/>
      <c r="S15" s="33"/>
      <c r="T15" s="33"/>
      <c r="U15" s="33"/>
      <c r="V15" s="33"/>
    </row>
    <row r="16" spans="1:22" x14ac:dyDescent="0.25">
      <c r="A16" s="43">
        <v>45176</v>
      </c>
      <c r="B16" s="30" t="s">
        <v>284</v>
      </c>
      <c r="C16" s="30" t="s">
        <v>762</v>
      </c>
      <c r="D16" s="30" t="s">
        <v>758</v>
      </c>
      <c r="E16" s="30">
        <v>6.0000000000000001E-3</v>
      </c>
      <c r="F16" s="30" t="s">
        <v>7</v>
      </c>
      <c r="G16" s="30">
        <v>6.0000000000000001E-3</v>
      </c>
      <c r="H16" s="30" t="s">
        <v>7</v>
      </c>
      <c r="I16" s="30">
        <v>90</v>
      </c>
      <c r="J16" s="30" t="s">
        <v>763</v>
      </c>
      <c r="K16" s="41">
        <v>0.70833333333333337</v>
      </c>
      <c r="L16" s="30" t="s">
        <v>177</v>
      </c>
      <c r="M16" s="30" t="s">
        <v>286</v>
      </c>
      <c r="N16" s="30" t="s">
        <v>760</v>
      </c>
      <c r="O16" s="30" t="s">
        <v>764</v>
      </c>
      <c r="Q16" s="33"/>
      <c r="R16" s="33"/>
      <c r="S16" s="33"/>
      <c r="T16" s="33"/>
      <c r="U16" s="33"/>
      <c r="V16" s="33"/>
    </row>
    <row r="17" spans="1:22" x14ac:dyDescent="0.25">
      <c r="A17" s="43">
        <v>45175</v>
      </c>
      <c r="B17" s="30" t="s">
        <v>333</v>
      </c>
      <c r="C17" s="30" t="s">
        <v>339</v>
      </c>
      <c r="D17" s="30" t="s">
        <v>768</v>
      </c>
      <c r="E17" s="30" t="s">
        <v>7</v>
      </c>
      <c r="F17" s="30" t="s">
        <v>7</v>
      </c>
      <c r="G17" s="30">
        <v>2.3E-2</v>
      </c>
      <c r="H17" s="30" t="s">
        <v>7</v>
      </c>
      <c r="I17" s="30">
        <v>90</v>
      </c>
      <c r="J17" s="30" t="s">
        <v>340</v>
      </c>
      <c r="K17" s="41">
        <v>0.79166666666666663</v>
      </c>
      <c r="L17" s="30" t="s">
        <v>177</v>
      </c>
      <c r="M17" s="30" t="s">
        <v>96</v>
      </c>
      <c r="N17" s="30" t="s">
        <v>336</v>
      </c>
      <c r="O17" s="30" t="s">
        <v>341</v>
      </c>
      <c r="Q17" s="33"/>
      <c r="R17" s="33"/>
      <c r="S17" s="33"/>
      <c r="T17" s="33"/>
      <c r="U17" s="33"/>
      <c r="V17" s="33"/>
    </row>
    <row r="18" spans="1:22" x14ac:dyDescent="0.25">
      <c r="A18" s="43">
        <v>45178</v>
      </c>
      <c r="B18" s="30" t="s">
        <v>331</v>
      </c>
      <c r="C18" s="30" t="s">
        <v>727</v>
      </c>
      <c r="D18" s="30" t="s">
        <v>290</v>
      </c>
      <c r="E18" s="30">
        <v>0.107</v>
      </c>
      <c r="F18" s="30" t="s">
        <v>7</v>
      </c>
      <c r="G18" s="30">
        <v>0.107</v>
      </c>
      <c r="H18" s="30" t="s">
        <v>7</v>
      </c>
      <c r="I18" s="30">
        <v>86</v>
      </c>
      <c r="J18" s="30" t="s">
        <v>728</v>
      </c>
      <c r="K18" s="41"/>
      <c r="L18" s="30" t="s">
        <v>177</v>
      </c>
      <c r="M18" s="30" t="s">
        <v>278</v>
      </c>
      <c r="N18" s="30" t="s">
        <v>389</v>
      </c>
      <c r="O18" s="30" t="s">
        <v>729</v>
      </c>
    </row>
    <row r="19" spans="1:22" x14ac:dyDescent="0.25">
      <c r="A19" s="43">
        <v>45174</v>
      </c>
      <c r="B19" s="30" t="s">
        <v>333</v>
      </c>
      <c r="C19" s="30" t="s">
        <v>769</v>
      </c>
      <c r="D19" s="30" t="s">
        <v>332</v>
      </c>
      <c r="E19" s="30">
        <v>-2.5000000000000001E-2</v>
      </c>
      <c r="F19" s="30" t="s">
        <v>7</v>
      </c>
      <c r="G19" s="30">
        <v>2.3E-2</v>
      </c>
      <c r="H19" s="30" t="s">
        <v>7</v>
      </c>
      <c r="I19" s="30">
        <v>84</v>
      </c>
      <c r="J19" s="30" t="s">
        <v>770</v>
      </c>
      <c r="K19" s="41">
        <v>0.91666666666666663</v>
      </c>
      <c r="L19" s="30" t="s">
        <v>177</v>
      </c>
      <c r="M19" s="30" t="s">
        <v>251</v>
      </c>
      <c r="N19" s="30" t="s">
        <v>338</v>
      </c>
      <c r="O19" s="30" t="s">
        <v>771</v>
      </c>
      <c r="Q19" s="33"/>
      <c r="R19" s="33"/>
      <c r="S19" s="33"/>
      <c r="T19" s="33"/>
      <c r="U19" s="33"/>
      <c r="V19" s="33"/>
    </row>
    <row r="20" spans="1:22" x14ac:dyDescent="0.25">
      <c r="A20" s="43">
        <v>45175</v>
      </c>
      <c r="B20" s="30" t="s">
        <v>333</v>
      </c>
      <c r="C20" s="30" t="s">
        <v>730</v>
      </c>
      <c r="D20" s="30" t="s">
        <v>332</v>
      </c>
      <c r="E20" s="30" t="s">
        <v>772</v>
      </c>
      <c r="F20" s="30" t="s">
        <v>7</v>
      </c>
      <c r="G20" s="30" t="s">
        <v>773</v>
      </c>
      <c r="H20" s="30" t="s">
        <v>7</v>
      </c>
      <c r="I20" s="30">
        <v>84</v>
      </c>
      <c r="J20" s="30" t="s">
        <v>774</v>
      </c>
      <c r="K20" s="41">
        <v>0.85416666666666663</v>
      </c>
      <c r="L20" s="30" t="s">
        <v>177</v>
      </c>
      <c r="M20" s="30" t="s">
        <v>251</v>
      </c>
      <c r="N20" s="30" t="s">
        <v>338</v>
      </c>
      <c r="O20" s="30" t="s">
        <v>775</v>
      </c>
      <c r="V20" s="33"/>
    </row>
    <row r="21" spans="1:22" x14ac:dyDescent="0.25">
      <c r="A21" s="43">
        <v>45176</v>
      </c>
      <c r="B21" s="30" t="s">
        <v>331</v>
      </c>
      <c r="C21" s="30" t="s">
        <v>730</v>
      </c>
      <c r="D21" s="30" t="s">
        <v>290</v>
      </c>
      <c r="E21" s="30" t="s">
        <v>731</v>
      </c>
      <c r="F21" s="30" t="s">
        <v>7</v>
      </c>
      <c r="G21" s="30" t="s">
        <v>732</v>
      </c>
      <c r="H21" s="30" t="s">
        <v>7</v>
      </c>
      <c r="I21" s="30">
        <v>82</v>
      </c>
      <c r="J21" s="30" t="s">
        <v>733</v>
      </c>
      <c r="K21" s="41"/>
      <c r="L21" s="30" t="s">
        <v>177</v>
      </c>
      <c r="M21" s="30" t="s">
        <v>278</v>
      </c>
      <c r="N21" s="30" t="s">
        <v>389</v>
      </c>
      <c r="O21" s="30" t="s">
        <v>734</v>
      </c>
      <c r="V21" s="33"/>
    </row>
    <row r="22" spans="1:22" x14ac:dyDescent="0.25">
      <c r="A22" s="43">
        <v>45176</v>
      </c>
      <c r="B22" s="30" t="s">
        <v>331</v>
      </c>
      <c r="C22" s="30" t="s">
        <v>735</v>
      </c>
      <c r="D22" s="30" t="s">
        <v>290</v>
      </c>
      <c r="E22" s="30">
        <v>-0.09</v>
      </c>
      <c r="F22" s="30" t="s">
        <v>7</v>
      </c>
      <c r="G22" s="30">
        <v>-0.14499999999999999</v>
      </c>
      <c r="H22" s="30" t="s">
        <v>7</v>
      </c>
      <c r="I22" s="30">
        <v>80</v>
      </c>
      <c r="J22" s="30" t="s">
        <v>736</v>
      </c>
      <c r="K22" s="41"/>
      <c r="L22" s="30" t="s">
        <v>177</v>
      </c>
      <c r="M22" s="30" t="s">
        <v>278</v>
      </c>
      <c r="N22" s="30" t="s">
        <v>389</v>
      </c>
      <c r="O22" s="30" t="s">
        <v>737</v>
      </c>
      <c r="V22" s="33"/>
    </row>
    <row r="23" spans="1:22" x14ac:dyDescent="0.25">
      <c r="A23" s="43">
        <v>45176</v>
      </c>
      <c r="B23" s="30" t="s">
        <v>331</v>
      </c>
      <c r="C23" s="30" t="s">
        <v>738</v>
      </c>
      <c r="D23" s="30" t="s">
        <v>290</v>
      </c>
      <c r="E23" s="30">
        <v>-9.4E-2</v>
      </c>
      <c r="F23" s="30" t="s">
        <v>7</v>
      </c>
      <c r="G23" s="30">
        <v>-0.124</v>
      </c>
      <c r="H23" s="30" t="s">
        <v>7</v>
      </c>
      <c r="I23" s="30">
        <v>78</v>
      </c>
      <c r="J23" s="30" t="s">
        <v>739</v>
      </c>
      <c r="K23" s="41"/>
      <c r="L23" s="30" t="s">
        <v>177</v>
      </c>
      <c r="M23" s="30" t="s">
        <v>278</v>
      </c>
      <c r="N23" s="30" t="s">
        <v>389</v>
      </c>
      <c r="O23" s="30" t="s">
        <v>740</v>
      </c>
      <c r="V23" s="33"/>
    </row>
    <row r="24" spans="1:22" x14ac:dyDescent="0.25">
      <c r="A24" s="43">
        <v>45174</v>
      </c>
      <c r="B24" s="30" t="s">
        <v>331</v>
      </c>
      <c r="C24" s="30" t="s">
        <v>741</v>
      </c>
      <c r="D24" s="30" t="s">
        <v>290</v>
      </c>
      <c r="E24" s="30">
        <v>53.5</v>
      </c>
      <c r="F24" s="30" t="s">
        <v>7</v>
      </c>
      <c r="G24" s="30">
        <v>54.1</v>
      </c>
      <c r="H24" s="30" t="s">
        <v>7</v>
      </c>
      <c r="I24" s="30">
        <v>74</v>
      </c>
      <c r="J24" s="30" t="s">
        <v>742</v>
      </c>
      <c r="K24" s="41">
        <v>0.40625</v>
      </c>
      <c r="L24" s="30" t="s">
        <v>177</v>
      </c>
      <c r="M24" s="30" t="s">
        <v>278</v>
      </c>
      <c r="N24" s="30" t="s">
        <v>278</v>
      </c>
      <c r="O24" s="30" t="s">
        <v>743</v>
      </c>
      <c r="Q24" s="33"/>
      <c r="R24" s="33"/>
      <c r="S24" s="33"/>
      <c r="T24" s="33"/>
      <c r="U24" s="33"/>
      <c r="V24" s="33"/>
    </row>
    <row r="25" spans="1:22" x14ac:dyDescent="0.25">
      <c r="A25" s="43">
        <v>45174</v>
      </c>
      <c r="B25" s="30" t="s">
        <v>284</v>
      </c>
      <c r="C25" s="30" t="s">
        <v>347</v>
      </c>
      <c r="D25" s="30" t="s">
        <v>356</v>
      </c>
      <c r="E25" s="30">
        <v>47</v>
      </c>
      <c r="F25" s="30" t="s">
        <v>7</v>
      </c>
      <c r="G25" s="30">
        <v>47</v>
      </c>
      <c r="H25" s="30" t="s">
        <v>7</v>
      </c>
      <c r="I25" s="30">
        <v>73</v>
      </c>
      <c r="J25" s="30" t="s">
        <v>348</v>
      </c>
      <c r="K25" s="41">
        <v>0.66666666666666663</v>
      </c>
      <c r="L25" s="30" t="s">
        <v>177</v>
      </c>
      <c r="M25" s="30" t="s">
        <v>278</v>
      </c>
      <c r="N25" s="30" t="s">
        <v>278</v>
      </c>
      <c r="O25" s="30" t="s">
        <v>349</v>
      </c>
      <c r="Q25" s="33"/>
      <c r="R25" s="33"/>
      <c r="S25" s="42"/>
      <c r="T25" s="39"/>
      <c r="U25" s="39"/>
      <c r="V25" s="33"/>
    </row>
    <row r="26" spans="1:22" x14ac:dyDescent="0.25">
      <c r="A26" s="43">
        <v>45178</v>
      </c>
      <c r="B26" s="30" t="s">
        <v>331</v>
      </c>
      <c r="C26" s="30" t="s">
        <v>744</v>
      </c>
      <c r="D26" s="30" t="s">
        <v>290</v>
      </c>
      <c r="E26" s="30" t="s">
        <v>745</v>
      </c>
      <c r="F26" s="30" t="s">
        <v>7</v>
      </c>
      <c r="G26" s="30" t="s">
        <v>746</v>
      </c>
      <c r="H26" s="30" t="s">
        <v>7</v>
      </c>
      <c r="I26" s="30">
        <v>72</v>
      </c>
      <c r="J26" s="30" t="s">
        <v>747</v>
      </c>
      <c r="K26" s="41"/>
      <c r="L26" s="30" t="s">
        <v>177</v>
      </c>
      <c r="M26" s="30" t="s">
        <v>278</v>
      </c>
      <c r="N26" s="30" t="s">
        <v>389</v>
      </c>
      <c r="O26" s="30" t="s">
        <v>748</v>
      </c>
      <c r="Q26" s="33"/>
      <c r="R26" s="33"/>
      <c r="S26" s="42"/>
      <c r="T26" s="39"/>
      <c r="U26" s="39"/>
      <c r="V26" s="33"/>
    </row>
    <row r="27" spans="1:22" x14ac:dyDescent="0.25">
      <c r="A27" s="43">
        <v>45176</v>
      </c>
      <c r="B27" s="30" t="s">
        <v>331</v>
      </c>
      <c r="C27" s="30" t="s">
        <v>749</v>
      </c>
      <c r="D27" s="30" t="s">
        <v>290</v>
      </c>
      <c r="E27" s="30" t="s">
        <v>750</v>
      </c>
      <c r="F27" s="30" t="s">
        <v>7</v>
      </c>
      <c r="G27" s="30" t="s">
        <v>751</v>
      </c>
      <c r="H27" s="30" t="s">
        <v>7</v>
      </c>
      <c r="I27" s="30">
        <v>70</v>
      </c>
      <c r="J27" s="30" t="s">
        <v>752</v>
      </c>
      <c r="K27" s="41"/>
      <c r="L27" s="30" t="s">
        <v>177</v>
      </c>
      <c r="M27" s="30" t="s">
        <v>278</v>
      </c>
      <c r="N27" s="30" t="s">
        <v>389</v>
      </c>
      <c r="O27" s="30" t="s">
        <v>753</v>
      </c>
      <c r="Q27" s="33"/>
      <c r="R27" s="33"/>
      <c r="S27" s="42"/>
      <c r="T27" s="39"/>
      <c r="U27" s="39"/>
      <c r="V27" s="33"/>
    </row>
    <row r="28" spans="1:22" x14ac:dyDescent="0.25">
      <c r="A28" s="43">
        <v>45174</v>
      </c>
      <c r="B28" s="30" t="s">
        <v>331</v>
      </c>
      <c r="C28" s="30" t="s">
        <v>754</v>
      </c>
      <c r="D28" s="30" t="s">
        <v>290</v>
      </c>
      <c r="E28" s="30" t="s">
        <v>7</v>
      </c>
      <c r="F28" s="30" t="s">
        <v>7</v>
      </c>
      <c r="G28" s="30">
        <v>51.9</v>
      </c>
      <c r="H28" s="30" t="s">
        <v>7</v>
      </c>
      <c r="I28" s="30">
        <v>70</v>
      </c>
      <c r="J28" s="30" t="s">
        <v>755</v>
      </c>
      <c r="K28" s="41">
        <v>0.40625</v>
      </c>
      <c r="L28" s="30" t="s">
        <v>177</v>
      </c>
      <c r="M28" s="30" t="s">
        <v>278</v>
      </c>
      <c r="N28" s="30" t="s">
        <v>278</v>
      </c>
      <c r="O28" s="30" t="s">
        <v>756</v>
      </c>
      <c r="Q28" s="33"/>
      <c r="R28" s="33"/>
      <c r="S28" s="42"/>
      <c r="T28" s="39"/>
      <c r="U28" s="39"/>
    </row>
    <row r="29" spans="1:22" x14ac:dyDescent="0.25">
      <c r="A29" s="43">
        <v>45174</v>
      </c>
      <c r="B29" s="30" t="s">
        <v>284</v>
      </c>
      <c r="C29" s="30" t="s">
        <v>350</v>
      </c>
      <c r="D29" s="30" t="s">
        <v>356</v>
      </c>
      <c r="E29" s="30">
        <v>48.3</v>
      </c>
      <c r="F29" s="30" t="s">
        <v>7</v>
      </c>
      <c r="G29" s="30">
        <v>48.3</v>
      </c>
      <c r="H29" s="30" t="s">
        <v>7</v>
      </c>
      <c r="I29" s="30">
        <v>70</v>
      </c>
      <c r="J29" s="30" t="s">
        <v>351</v>
      </c>
      <c r="K29" s="41">
        <v>0.66666666666666663</v>
      </c>
      <c r="L29" s="30" t="s">
        <v>177</v>
      </c>
      <c r="M29" s="30" t="s">
        <v>278</v>
      </c>
      <c r="N29" s="30" t="s">
        <v>278</v>
      </c>
      <c r="O29" s="30" t="s">
        <v>352</v>
      </c>
      <c r="Q29" s="33"/>
      <c r="R29" s="33"/>
      <c r="S29" s="42"/>
      <c r="T29" s="39"/>
      <c r="U29" s="39"/>
    </row>
    <row r="30" spans="1:22" x14ac:dyDescent="0.25">
      <c r="Q30" s="33"/>
      <c r="R30" s="33"/>
      <c r="S30" s="42"/>
      <c r="T30" s="39"/>
      <c r="U30" s="39"/>
    </row>
    <row r="31" spans="1:22" x14ac:dyDescent="0.25">
      <c r="A31" s="43"/>
      <c r="K31" s="41"/>
    </row>
    <row r="32" spans="1:22" x14ac:dyDescent="0.25">
      <c r="A32" s="43"/>
      <c r="K32" s="41"/>
    </row>
    <row r="33" spans="1:11" x14ac:dyDescent="0.25">
      <c r="A33" s="43"/>
      <c r="K33" s="41"/>
    </row>
    <row r="34" spans="1:11" x14ac:dyDescent="0.25">
      <c r="A34" s="43"/>
      <c r="K34" s="41"/>
    </row>
    <row r="35" spans="1:11" x14ac:dyDescent="0.25">
      <c r="A35" s="43"/>
      <c r="K35" s="41"/>
    </row>
    <row r="36" spans="1:11" x14ac:dyDescent="0.25">
      <c r="A36" s="43"/>
      <c r="K36" s="41"/>
    </row>
    <row r="37" spans="1:11" x14ac:dyDescent="0.25">
      <c r="A37" s="43"/>
      <c r="K37" s="41"/>
    </row>
    <row r="38" spans="1:11" x14ac:dyDescent="0.25">
      <c r="A38" s="43"/>
      <c r="K38" s="41"/>
    </row>
    <row r="39" spans="1:11" x14ac:dyDescent="0.25">
      <c r="A39" s="43"/>
      <c r="K39" s="41"/>
    </row>
    <row r="40" spans="1:11" x14ac:dyDescent="0.25">
      <c r="A40" s="43"/>
      <c r="K40" s="41"/>
    </row>
    <row r="41" spans="1:11" x14ac:dyDescent="0.25">
      <c r="A41" s="43"/>
      <c r="K41" s="41"/>
    </row>
    <row r="42" spans="1:11" x14ac:dyDescent="0.25">
      <c r="A42" s="43"/>
      <c r="K42" s="41"/>
    </row>
    <row r="43" spans="1:11" x14ac:dyDescent="0.25">
      <c r="A43" s="43"/>
      <c r="K43" s="41"/>
    </row>
  </sheetData>
  <phoneticPr fontId="41" type="noConversion"/>
  <conditionalFormatting sqref="I31:I43 I11:I29">
    <cfRule type="dataBar" priority="2">
      <dataBar>
        <cfvo type="num" val="50"/>
        <cfvo type="num" val="100"/>
        <color rgb="FFF4EBE0"/>
      </dataBar>
      <extLst>
        <ext xmlns:x14="http://schemas.microsoft.com/office/spreadsheetml/2009/9/main" uri="{B025F937-C7B1-47D3-B67F-A62EFF666E3E}">
          <x14:id>{40B6F04A-DD4C-48B9-9DC1-BD707B9C6366}</x14:id>
        </ext>
      </extLst>
    </cfRule>
  </conditionalFormatting>
  <dataValidations count="1">
    <dataValidation type="list" allowBlank="1" showInputMessage="1" sqref="H1" xr:uid="{190CA822-8438-459E-9664-4295D566F166}">
      <formula1>dd_econfuture</formula1>
    </dataValidation>
  </dataValidations>
  <pageMargins left="0.7" right="0.7" top="0.75" bottom="0.75" header="0.3" footer="0.3"/>
  <pageSetup orientation="portrait"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B6F04A-DD4C-48B9-9DC1-BD707B9C6366}">
            <x14:dataBar minLength="0" maxLength="100" border="1" negativeBarBorderColorSameAsPositive="0">
              <x14:cfvo type="num">
                <xm:f>50</xm:f>
              </x14:cfvo>
              <x14:cfvo type="num">
                <xm:f>100</xm:f>
              </x14:cfvo>
              <x14:borderColor rgb="FFC69E62"/>
              <x14:negativeFillColor rgb="FFFF0000"/>
              <x14:negativeBorderColor rgb="FFFF0000"/>
              <x14:axisColor rgb="FF000000"/>
            </x14:dataBar>
          </x14:cfRule>
          <xm:sqref>I31:I43 I11:I29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4F7478-9FEC-4678-AECD-F92BCCAA3D40}">
  <sheetPr>
    <tabColor rgb="FFFFFF00"/>
  </sheetPr>
  <dimension ref="A1:DU85"/>
  <sheetViews>
    <sheetView topLeftCell="A2" zoomScale="85" zoomScaleNormal="85" workbookViewId="0">
      <selection activeCell="D29" sqref="D29"/>
    </sheetView>
  </sheetViews>
  <sheetFormatPr defaultRowHeight="15" outlineLevelRow="1" x14ac:dyDescent="0.25"/>
  <cols>
    <col min="1" max="1" width="8.109375" style="1" customWidth="1"/>
    <col min="2" max="2" width="15.77734375" style="1" customWidth="1"/>
    <col min="3" max="3" width="22.33203125" style="1" customWidth="1"/>
    <col min="4" max="4" width="11.109375" style="120" customWidth="1"/>
    <col min="5" max="5" width="12.88671875" style="1" customWidth="1"/>
    <col min="6" max="6" width="9.5546875" style="1" customWidth="1"/>
    <col min="7" max="7" width="15.77734375" style="1" customWidth="1"/>
    <col min="8" max="8" width="9.109375" style="1" customWidth="1"/>
    <col min="9" max="9" width="8.77734375" style="1" customWidth="1"/>
    <col min="10" max="10" width="22.6640625" style="1" customWidth="1"/>
    <col min="11" max="11" width="26.44140625" style="1" customWidth="1"/>
    <col min="12" max="13" width="15.77734375" style="1" customWidth="1"/>
    <col min="14" max="14" width="26.109375" style="1" customWidth="1"/>
    <col min="15" max="15" width="9.33203125" style="1" bestFit="1" customWidth="1"/>
    <col min="16" max="16" width="9.44140625" style="1" bestFit="1" customWidth="1"/>
    <col min="17" max="17" width="10.33203125" style="1" bestFit="1" customWidth="1"/>
    <col min="18" max="18" width="10.44140625" style="1" bestFit="1" customWidth="1"/>
    <col min="19" max="20" width="10.44140625" style="1" customWidth="1"/>
    <col min="21" max="21" width="15.77734375" style="1" customWidth="1"/>
    <col min="22" max="22" width="12.6640625" style="1" bestFit="1" customWidth="1"/>
    <col min="23" max="23" width="7.77734375" style="1" customWidth="1"/>
    <col min="24" max="25" width="6.109375" style="1" bestFit="1" customWidth="1"/>
    <col min="26" max="26" width="7.77734375" style="1" bestFit="1" customWidth="1"/>
    <col min="27" max="27" width="6.109375" style="1" bestFit="1" customWidth="1"/>
    <col min="28" max="28" width="12.21875" style="1" bestFit="1" customWidth="1"/>
    <col min="29" max="29" width="5.6640625" style="1" bestFit="1" customWidth="1"/>
    <col min="30" max="30" width="5.88671875" style="1" bestFit="1" customWidth="1"/>
    <col min="31" max="31" width="9.44140625" style="1" bestFit="1" customWidth="1"/>
    <col min="32" max="33" width="11.109375" style="1" bestFit="1" customWidth="1"/>
    <col min="34" max="34" width="7.77734375" style="1" bestFit="1" customWidth="1"/>
    <col min="35" max="35" width="6.109375" style="1" bestFit="1" customWidth="1"/>
    <col min="36" max="36" width="7.77734375" style="1" bestFit="1" customWidth="1"/>
    <col min="37" max="37" width="9.44140625" style="1" bestFit="1" customWidth="1"/>
    <col min="38" max="39" width="6.109375" style="1" bestFit="1" customWidth="1"/>
    <col min="40" max="40" width="5.6640625" style="1" bestFit="1" customWidth="1"/>
    <col min="41" max="41" width="5.88671875" style="1" bestFit="1" customWidth="1"/>
    <col min="42" max="42" width="6.109375" style="1" bestFit="1" customWidth="1"/>
    <col min="43" max="44" width="9.44140625" style="1" bestFit="1" customWidth="1"/>
    <col min="45" max="45" width="7.77734375" style="1" bestFit="1" customWidth="1"/>
    <col min="46" max="47" width="6.109375" style="1" bestFit="1" customWidth="1"/>
    <col min="48" max="48" width="9.44140625" style="1" bestFit="1" customWidth="1"/>
    <col min="49" max="49" width="5.88671875" style="1" bestFit="1" customWidth="1"/>
    <col min="50" max="50" width="10.5546875" style="1" bestFit="1" customWidth="1"/>
    <col min="51" max="51" width="11.33203125" style="1" bestFit="1" customWidth="1"/>
    <col min="52" max="52" width="9.44140625" style="1" bestFit="1" customWidth="1"/>
    <col min="53" max="54" width="11.109375" style="1" bestFit="1" customWidth="1"/>
    <col min="55" max="55" width="14.44140625" style="1" bestFit="1" customWidth="1"/>
    <col min="56" max="56" width="8.33203125" style="1" bestFit="1" customWidth="1"/>
    <col min="57" max="57" width="9.44140625" style="1" bestFit="1" customWidth="1"/>
    <col min="58" max="58" width="15.44140625" style="1" bestFit="1" customWidth="1"/>
    <col min="59" max="59" width="6.109375" style="1" bestFit="1" customWidth="1"/>
    <col min="60" max="60" width="15.88671875" style="1" bestFit="1" customWidth="1"/>
    <col min="61" max="61" width="11.6640625" style="1" bestFit="1" customWidth="1"/>
    <col min="62" max="62" width="6.109375" style="1" bestFit="1" customWidth="1"/>
    <col min="63" max="64" width="9.44140625" style="1" bestFit="1" customWidth="1"/>
    <col min="65" max="65" width="10.21875" style="1" bestFit="1" customWidth="1"/>
    <col min="66" max="66" width="12.6640625" style="1" bestFit="1" customWidth="1"/>
    <col min="67" max="67" width="6.77734375" style="1" bestFit="1" customWidth="1"/>
    <col min="68" max="69" width="12.77734375" style="1" bestFit="1" customWidth="1"/>
    <col min="70" max="70" width="11.33203125" style="1" bestFit="1" customWidth="1"/>
    <col min="71" max="71" width="9.44140625" style="1" bestFit="1" customWidth="1"/>
    <col min="72" max="72" width="9" style="1" bestFit="1" customWidth="1"/>
    <col min="73" max="73" width="9.44140625" style="1" bestFit="1" customWidth="1"/>
    <col min="74" max="75" width="11.109375" style="1" bestFit="1" customWidth="1"/>
    <col min="76" max="76" width="15.33203125" style="1" bestFit="1" customWidth="1"/>
    <col min="77" max="78" width="9.44140625" style="1" bestFit="1" customWidth="1"/>
    <col min="79" max="79" width="6.109375" style="1" bestFit="1" customWidth="1"/>
    <col min="80" max="81" width="7.77734375" style="1" bestFit="1" customWidth="1"/>
    <col min="82" max="82" width="10.5546875" style="1" bestFit="1" customWidth="1"/>
    <col min="83" max="83" width="19.5546875" style="1" bestFit="1" customWidth="1"/>
    <col min="84" max="84" width="23" style="1" bestFit="1" customWidth="1"/>
    <col min="85" max="85" width="11.109375" style="1" bestFit="1" customWidth="1"/>
    <col min="86" max="86" width="12.77734375" style="1" bestFit="1" customWidth="1"/>
    <col min="87" max="87" width="9.44140625" style="1" bestFit="1" customWidth="1"/>
    <col min="88" max="88" width="7.6640625" style="1" bestFit="1" customWidth="1"/>
    <col min="89" max="91" width="6.109375" style="1" bestFit="1" customWidth="1"/>
    <col min="92" max="93" width="9.44140625" style="1" bestFit="1" customWidth="1"/>
    <col min="94" max="94" width="11.109375" style="1" bestFit="1" customWidth="1"/>
    <col min="95" max="95" width="9.44140625" style="1" bestFit="1" customWidth="1"/>
    <col min="96" max="96" width="13.5546875" style="1" bestFit="1" customWidth="1"/>
    <col min="97" max="97" width="6.109375" style="1" bestFit="1" customWidth="1"/>
    <col min="98" max="98" width="9.44140625" style="1" bestFit="1" customWidth="1"/>
    <col min="99" max="100" width="4.44140625" style="1" bestFit="1" customWidth="1"/>
    <col min="101" max="102" width="4.6640625" style="1" bestFit="1" customWidth="1"/>
    <col min="103" max="103" width="7.33203125" style="1" bestFit="1" customWidth="1"/>
    <col min="104" max="105" width="12.77734375" style="1" bestFit="1" customWidth="1"/>
    <col min="106" max="106" width="7.44140625" style="1" bestFit="1" customWidth="1"/>
    <col min="107" max="107" width="14.44140625" style="1" bestFit="1" customWidth="1"/>
    <col min="108" max="108" width="10.33203125" style="1" bestFit="1" customWidth="1"/>
    <col min="109" max="109" width="23" style="1" bestFit="1" customWidth="1"/>
    <col min="110" max="110" width="11.109375" style="1" bestFit="1" customWidth="1"/>
    <col min="111" max="111" width="14.44140625" style="1" bestFit="1" customWidth="1"/>
    <col min="112" max="112" width="7.77734375" style="1" bestFit="1" customWidth="1"/>
    <col min="113" max="113" width="6.109375" style="1" bestFit="1" customWidth="1"/>
    <col min="114" max="115" width="9.44140625" style="1" bestFit="1" customWidth="1"/>
    <col min="116" max="116" width="9.21875" style="1" bestFit="1" customWidth="1"/>
    <col min="117" max="117" width="9.44140625" style="1" bestFit="1" customWidth="1"/>
    <col min="118" max="118" width="12.77734375" style="1" bestFit="1" customWidth="1"/>
    <col min="119" max="119" width="9.33203125" style="1" bestFit="1" customWidth="1"/>
    <col min="120" max="120" width="6.109375" style="1" bestFit="1" customWidth="1"/>
    <col min="121" max="121" width="9.44140625" style="1" bestFit="1" customWidth="1"/>
    <col min="122" max="122" width="19.33203125" style="1" bestFit="1" customWidth="1"/>
    <col min="123" max="123" width="13.77734375" style="1" bestFit="1" customWidth="1"/>
    <col min="124" max="124" width="10.77734375" style="1" bestFit="1" customWidth="1"/>
    <col min="125" max="125" width="18.88671875" style="1" bestFit="1" customWidth="1"/>
    <col min="126" max="126" width="7.77734375" style="1" bestFit="1" customWidth="1"/>
    <col min="127" max="127" width="15.6640625" style="1" bestFit="1" customWidth="1"/>
    <col min="128" max="128" width="9.44140625" style="1" bestFit="1" customWidth="1"/>
    <col min="129" max="129" width="12.77734375" style="1" bestFit="1" customWidth="1"/>
    <col min="130" max="131" width="9.44140625" style="1" bestFit="1" customWidth="1"/>
    <col min="132" max="132" width="6.109375" style="1" bestFit="1" customWidth="1"/>
    <col min="133" max="133" width="12.21875" style="1" bestFit="1" customWidth="1"/>
    <col min="134" max="134" width="7.77734375" style="1" bestFit="1" customWidth="1"/>
    <col min="135" max="135" width="6.109375" style="1" bestFit="1" customWidth="1"/>
    <col min="136" max="136" width="7.77734375" style="1" bestFit="1" customWidth="1"/>
    <col min="137" max="137" width="9.44140625" style="1" bestFit="1" customWidth="1"/>
    <col min="138" max="139" width="6.109375" style="1" bestFit="1" customWidth="1"/>
    <col min="140" max="140" width="5.6640625" style="1" bestFit="1" customWidth="1"/>
    <col min="141" max="141" width="5.88671875" style="1" bestFit="1" customWidth="1"/>
    <col min="142" max="142" width="6.109375" style="1" bestFit="1" customWidth="1"/>
    <col min="143" max="144" width="9.44140625" style="1" bestFit="1" customWidth="1"/>
    <col min="145" max="145" width="7.77734375" style="1" bestFit="1" customWidth="1"/>
    <col min="146" max="147" width="6.109375" style="1" bestFit="1" customWidth="1"/>
    <col min="148" max="148" width="9.44140625" style="1" bestFit="1" customWidth="1"/>
    <col min="149" max="149" width="5.88671875" style="1" bestFit="1" customWidth="1"/>
    <col min="150" max="150" width="10.5546875" style="1" bestFit="1" customWidth="1"/>
    <col min="151" max="151" width="11.33203125" style="1" bestFit="1" customWidth="1"/>
    <col min="152" max="152" width="9.44140625" style="1" bestFit="1" customWidth="1"/>
    <col min="153" max="154" width="11.109375" style="1" bestFit="1" customWidth="1"/>
    <col min="155" max="155" width="14.44140625" style="1" bestFit="1" customWidth="1"/>
    <col min="156" max="156" width="7.77734375" style="1" bestFit="1" customWidth="1"/>
    <col min="157" max="157" width="9.44140625" style="1" bestFit="1" customWidth="1"/>
    <col min="158" max="158" width="15.44140625" style="1" bestFit="1" customWidth="1"/>
    <col min="159" max="159" width="6.109375" style="1" bestFit="1" customWidth="1"/>
    <col min="160" max="160" width="15.88671875" style="1" bestFit="1" customWidth="1"/>
    <col min="161" max="161" width="11.6640625" style="1" bestFit="1" customWidth="1"/>
    <col min="162" max="162" width="6.109375" style="1" bestFit="1" customWidth="1"/>
    <col min="163" max="164" width="9.44140625" style="1" bestFit="1" customWidth="1"/>
    <col min="165" max="165" width="10.21875" style="1" bestFit="1" customWidth="1"/>
    <col min="166" max="166" width="12.6640625" style="1" bestFit="1" customWidth="1"/>
    <col min="167" max="167" width="6.77734375" style="1" bestFit="1" customWidth="1"/>
    <col min="168" max="169" width="12.77734375" style="1" bestFit="1" customWidth="1"/>
    <col min="170" max="170" width="11.33203125" style="1" bestFit="1" customWidth="1"/>
    <col min="171" max="171" width="9.44140625" style="1" bestFit="1" customWidth="1"/>
    <col min="172" max="172" width="9" style="1" bestFit="1" customWidth="1"/>
    <col min="173" max="173" width="9.44140625" style="1" bestFit="1" customWidth="1"/>
    <col min="174" max="175" width="11.109375" style="1" bestFit="1" customWidth="1"/>
    <col min="176" max="176" width="15.33203125" style="1" bestFit="1" customWidth="1"/>
    <col min="177" max="178" width="9.44140625" style="1" bestFit="1" customWidth="1"/>
    <col min="179" max="179" width="6.109375" style="1" bestFit="1" customWidth="1"/>
    <col min="180" max="181" width="7.77734375" style="1" bestFit="1" customWidth="1"/>
    <col min="182" max="182" width="10.5546875" style="1" bestFit="1" customWidth="1"/>
    <col min="183" max="183" width="19.5546875" style="1" bestFit="1" customWidth="1"/>
    <col min="184" max="184" width="23" style="1" bestFit="1" customWidth="1"/>
    <col min="185" max="185" width="11.109375" style="1" bestFit="1" customWidth="1"/>
    <col min="186" max="186" width="12.77734375" style="1" bestFit="1" customWidth="1"/>
    <col min="187" max="187" width="9.44140625" style="1" bestFit="1" customWidth="1"/>
    <col min="188" max="188" width="7.6640625" style="1" bestFit="1" customWidth="1"/>
    <col min="189" max="191" width="6.109375" style="1" bestFit="1" customWidth="1"/>
    <col min="192" max="193" width="9.44140625" style="1" bestFit="1" customWidth="1"/>
    <col min="194" max="194" width="11.109375" style="1" bestFit="1" customWidth="1"/>
    <col min="195" max="195" width="9.44140625" style="1" bestFit="1" customWidth="1"/>
    <col min="196" max="196" width="13.5546875" style="1" bestFit="1" customWidth="1"/>
    <col min="197" max="197" width="6.109375" style="1" bestFit="1" customWidth="1"/>
    <col min="198" max="198" width="9.44140625" style="1" bestFit="1" customWidth="1"/>
    <col min="199" max="200" width="4.44140625" style="1" bestFit="1" customWidth="1"/>
    <col min="201" max="202" width="4.6640625" style="1" bestFit="1" customWidth="1"/>
    <col min="203" max="203" width="7.33203125" style="1" bestFit="1" customWidth="1"/>
    <col min="204" max="205" width="12.77734375" style="1" bestFit="1" customWidth="1"/>
    <col min="206" max="206" width="7.44140625" style="1" bestFit="1" customWidth="1"/>
    <col min="207" max="207" width="14.44140625" style="1" bestFit="1" customWidth="1"/>
    <col min="208" max="208" width="10.33203125" style="1" bestFit="1" customWidth="1"/>
    <col min="209" max="209" width="23" style="1" bestFit="1" customWidth="1"/>
    <col min="210" max="210" width="11.109375" style="1" bestFit="1" customWidth="1"/>
    <col min="211" max="211" width="14.44140625" style="1" bestFit="1" customWidth="1"/>
    <col min="212" max="212" width="7.77734375" style="1" bestFit="1" customWidth="1"/>
    <col min="213" max="213" width="6.109375" style="1" bestFit="1" customWidth="1"/>
    <col min="214" max="215" width="9.44140625" style="1" bestFit="1" customWidth="1"/>
    <col min="216" max="216" width="9.21875" style="1" bestFit="1" customWidth="1"/>
    <col min="217" max="217" width="9.44140625" style="1" bestFit="1" customWidth="1"/>
    <col min="218" max="218" width="12.77734375" style="1" bestFit="1" customWidth="1"/>
    <col min="219" max="219" width="9.33203125" style="1" bestFit="1" customWidth="1"/>
    <col min="220" max="220" width="6.109375" style="1" bestFit="1" customWidth="1"/>
    <col min="221" max="221" width="9.44140625" style="1" bestFit="1" customWidth="1"/>
    <col min="222" max="222" width="19.33203125" style="1" bestFit="1" customWidth="1"/>
    <col min="223" max="223" width="13.77734375" style="1" bestFit="1" customWidth="1"/>
    <col min="224" max="224" width="10.77734375" style="1" bestFit="1" customWidth="1"/>
    <col min="225" max="225" width="18.88671875" style="1" bestFit="1" customWidth="1"/>
    <col min="226" max="16384" width="8.88671875" style="1"/>
  </cols>
  <sheetData>
    <row r="1" spans="1:125" ht="27.75" hidden="1" outlineLevel="1" x14ac:dyDescent="0.45">
      <c r="G1" s="110">
        <v>45167</v>
      </c>
      <c r="H1" s="107"/>
      <c r="I1" s="90" t="s">
        <v>844</v>
      </c>
      <c r="J1" s="90" t="s">
        <v>56</v>
      </c>
      <c r="K1" s="90" t="s">
        <v>68</v>
      </c>
      <c r="L1" s="90" t="s">
        <v>78</v>
      </c>
    </row>
    <row r="2" spans="1:125" ht="36" collapsed="1" x14ac:dyDescent="0.55000000000000004">
      <c r="A2" s="136" t="s">
        <v>888</v>
      </c>
      <c r="D2" s="121"/>
      <c r="E2" s="109"/>
      <c r="F2" s="109"/>
      <c r="M2" s="109"/>
      <c r="N2" s="107"/>
      <c r="O2" s="107"/>
      <c r="P2" s="107"/>
      <c r="W2" s="107"/>
      <c r="X2" s="107"/>
      <c r="Y2" s="107"/>
      <c r="Z2" s="107"/>
      <c r="AA2" s="107"/>
      <c r="AB2" s="107"/>
      <c r="AC2" s="107"/>
      <c r="AD2" s="107"/>
      <c r="AE2" s="107"/>
      <c r="AF2" s="107"/>
      <c r="AG2" s="107"/>
      <c r="AH2" s="107"/>
      <c r="AI2" s="107"/>
      <c r="AJ2" s="107"/>
      <c r="AK2" s="107"/>
      <c r="AL2" s="107"/>
      <c r="AM2" s="107"/>
      <c r="AN2" s="107"/>
      <c r="AO2" s="107"/>
      <c r="AP2" s="107"/>
      <c r="AQ2" s="107"/>
      <c r="AR2" s="107"/>
      <c r="AS2" s="107"/>
      <c r="AT2" s="107"/>
      <c r="AU2" s="107"/>
      <c r="AV2" s="107"/>
      <c r="AW2" s="107"/>
      <c r="AX2" s="107"/>
      <c r="AY2" s="107"/>
      <c r="AZ2" s="107"/>
      <c r="BA2" s="107"/>
      <c r="BB2" s="107"/>
      <c r="BC2" s="107"/>
      <c r="BD2" s="107"/>
      <c r="BE2" s="107"/>
      <c r="BF2" s="107"/>
      <c r="BG2" s="107"/>
      <c r="BH2" s="107"/>
      <c r="BI2" s="107"/>
      <c r="BJ2" s="107"/>
      <c r="BK2" s="107"/>
      <c r="BL2" s="107"/>
      <c r="BM2" s="107"/>
      <c r="BN2" s="107"/>
      <c r="BO2" s="107"/>
      <c r="BP2" s="107"/>
      <c r="BQ2" s="107"/>
      <c r="BR2" s="107"/>
      <c r="BS2" s="107"/>
      <c r="BT2" s="107"/>
      <c r="BU2" s="107"/>
      <c r="BV2" s="107"/>
      <c r="BW2" s="107"/>
      <c r="BX2" s="107"/>
      <c r="BY2" s="107"/>
      <c r="BZ2" s="107"/>
      <c r="CA2" s="107"/>
      <c r="CB2" s="107"/>
      <c r="CC2" s="107"/>
      <c r="CD2" s="107"/>
      <c r="CE2" s="107"/>
      <c r="CF2" s="107"/>
      <c r="CG2" s="107"/>
      <c r="CH2" s="107"/>
      <c r="CI2" s="107"/>
      <c r="CJ2" s="107"/>
      <c r="CK2" s="107"/>
      <c r="CL2" s="107"/>
      <c r="CM2" s="107"/>
      <c r="CN2" s="107"/>
      <c r="CO2" s="107"/>
      <c r="CP2" s="107"/>
      <c r="CQ2" s="107"/>
      <c r="CR2" s="107"/>
      <c r="CS2" s="107"/>
      <c r="CT2" s="107"/>
      <c r="CU2" s="107"/>
      <c r="CV2" s="107"/>
      <c r="CW2" s="107"/>
      <c r="CX2" s="107"/>
      <c r="CY2" s="107"/>
      <c r="CZ2" s="107"/>
      <c r="DA2" s="107"/>
      <c r="DB2" s="107"/>
      <c r="DC2" s="107"/>
      <c r="DD2" s="107"/>
      <c r="DE2" s="107"/>
      <c r="DF2" s="107"/>
      <c r="DG2" s="107"/>
      <c r="DH2" s="107"/>
      <c r="DI2" s="107"/>
      <c r="DJ2" s="107"/>
      <c r="DK2" s="107"/>
      <c r="DL2" s="107"/>
      <c r="DM2" s="107"/>
      <c r="DN2" s="107"/>
      <c r="DO2" s="107"/>
      <c r="DP2" s="107"/>
      <c r="DQ2" s="107"/>
      <c r="DR2" s="107"/>
      <c r="DS2" s="107"/>
      <c r="DT2" s="107"/>
      <c r="DU2" s="107"/>
    </row>
    <row r="4" spans="1:125" ht="27.75" customHeight="1" x14ac:dyDescent="0.45">
      <c r="B4" s="133" t="s">
        <v>887</v>
      </c>
      <c r="D4" s="121"/>
      <c r="E4" s="109"/>
      <c r="F4" s="109"/>
      <c r="G4" s="109"/>
      <c r="H4" s="109"/>
      <c r="I4" s="109"/>
      <c r="J4" s="109"/>
      <c r="K4" s="109"/>
      <c r="L4" s="109"/>
      <c r="M4" s="109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  <c r="AV4" s="107"/>
      <c r="AW4" s="107"/>
      <c r="AX4" s="107"/>
      <c r="AY4" s="107"/>
      <c r="AZ4" s="107"/>
      <c r="BA4" s="107"/>
      <c r="BB4" s="107"/>
      <c r="BC4" s="107"/>
      <c r="BD4" s="107"/>
      <c r="BE4" s="107"/>
      <c r="BF4" s="107"/>
      <c r="BG4" s="107"/>
      <c r="BH4" s="107"/>
      <c r="BI4" s="107"/>
      <c r="BJ4" s="107"/>
      <c r="BK4" s="107"/>
      <c r="BL4" s="107"/>
      <c r="BM4" s="107"/>
      <c r="BN4" s="107"/>
      <c r="BO4" s="107"/>
      <c r="BP4" s="107"/>
      <c r="BQ4" s="107"/>
      <c r="BR4" s="107"/>
      <c r="BS4" s="107"/>
      <c r="BT4" s="107"/>
      <c r="BU4" s="107"/>
      <c r="BV4" s="107"/>
      <c r="BW4" s="107"/>
      <c r="BX4" s="107"/>
      <c r="BY4" s="107"/>
      <c r="BZ4" s="107"/>
      <c r="CA4" s="107"/>
      <c r="CB4" s="107"/>
      <c r="CC4" s="107"/>
      <c r="CD4" s="107"/>
      <c r="CE4" s="107"/>
      <c r="CF4" s="107"/>
      <c r="CG4" s="107"/>
      <c r="CH4" s="107"/>
      <c r="CI4" s="107"/>
      <c r="CJ4" s="107"/>
      <c r="CK4" s="107"/>
      <c r="CL4" s="107"/>
      <c r="CM4" s="107"/>
      <c r="CN4" s="107"/>
      <c r="CO4" s="107"/>
      <c r="CP4" s="107"/>
      <c r="CQ4" s="107"/>
      <c r="CR4" s="107"/>
      <c r="CS4" s="107"/>
      <c r="CT4" s="107"/>
      <c r="CU4" s="107"/>
      <c r="CV4" s="107"/>
      <c r="CW4" s="107"/>
      <c r="CX4" s="107"/>
      <c r="CY4" s="107"/>
      <c r="CZ4" s="107"/>
      <c r="DA4" s="107"/>
      <c r="DB4" s="107"/>
      <c r="DC4" s="107"/>
      <c r="DD4" s="107"/>
      <c r="DE4" s="107"/>
      <c r="DF4" s="107"/>
      <c r="DG4" s="107"/>
      <c r="DH4" s="107"/>
      <c r="DI4" s="107"/>
      <c r="DJ4" s="107"/>
      <c r="DK4" s="107"/>
      <c r="DL4" s="107"/>
      <c r="DM4" s="107"/>
      <c r="DN4" s="107"/>
      <c r="DO4" s="107"/>
      <c r="DP4" s="107"/>
      <c r="DQ4" s="107"/>
      <c r="DR4" s="107"/>
      <c r="DS4" s="107"/>
      <c r="DT4" s="107"/>
      <c r="DU4" s="107"/>
    </row>
    <row r="5" spans="1:125" ht="27.75" customHeight="1" x14ac:dyDescent="0.45">
      <c r="B5" s="128" t="s">
        <v>864</v>
      </c>
      <c r="C5" s="128" t="s">
        <v>865</v>
      </c>
      <c r="D5" s="128" t="s">
        <v>885</v>
      </c>
      <c r="E5" s="109"/>
      <c r="F5" s="109"/>
      <c r="G5" s="109"/>
      <c r="H5" s="109"/>
      <c r="I5" s="109"/>
      <c r="J5" s="109"/>
      <c r="K5" s="109"/>
      <c r="L5" s="109"/>
      <c r="M5" s="109"/>
      <c r="N5" s="107"/>
      <c r="O5" s="107"/>
      <c r="P5" s="107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7"/>
      <c r="AG5" s="107"/>
      <c r="AH5" s="107"/>
      <c r="AI5" s="107"/>
      <c r="AJ5" s="107"/>
      <c r="AK5" s="107"/>
      <c r="AL5" s="107"/>
      <c r="AM5" s="107"/>
      <c r="AN5" s="107"/>
      <c r="AO5" s="107"/>
      <c r="AP5" s="107"/>
      <c r="AQ5" s="107"/>
      <c r="AR5" s="107"/>
      <c r="AS5" s="107"/>
      <c r="AT5" s="107"/>
      <c r="AU5" s="107"/>
      <c r="AV5" s="107"/>
      <c r="AW5" s="107"/>
      <c r="AX5" s="107"/>
      <c r="AY5" s="107"/>
      <c r="AZ5" s="107"/>
      <c r="BA5" s="107"/>
      <c r="BB5" s="107"/>
      <c r="BC5" s="107"/>
      <c r="BD5" s="107"/>
      <c r="BE5" s="107"/>
      <c r="BF5" s="107"/>
      <c r="BG5" s="107"/>
      <c r="BH5" s="107"/>
      <c r="BI5" s="107"/>
      <c r="BJ5" s="107"/>
      <c r="BK5" s="107"/>
      <c r="BL5" s="107"/>
      <c r="BM5" s="107"/>
      <c r="BN5" s="107"/>
      <c r="BO5" s="107"/>
      <c r="BP5" s="107"/>
      <c r="BQ5" s="107"/>
      <c r="BR5" s="107"/>
      <c r="BS5" s="107"/>
      <c r="BT5" s="107"/>
      <c r="BU5" s="107"/>
      <c r="BV5" s="107"/>
      <c r="BW5" s="107"/>
      <c r="BX5" s="107"/>
      <c r="BY5" s="107"/>
      <c r="BZ5" s="107"/>
      <c r="CA5" s="107"/>
      <c r="CB5" s="107"/>
      <c r="CC5" s="107"/>
      <c r="CD5" s="107"/>
      <c r="CE5" s="107"/>
      <c r="CF5" s="107"/>
      <c r="CG5" s="107"/>
      <c r="CH5" s="107"/>
      <c r="CI5" s="107"/>
      <c r="CJ5" s="107"/>
      <c r="CK5" s="107"/>
      <c r="CL5" s="107"/>
      <c r="CM5" s="107"/>
      <c r="CN5" s="107"/>
      <c r="CO5" s="107"/>
      <c r="CP5" s="107"/>
      <c r="CQ5" s="107"/>
      <c r="CR5" s="107"/>
      <c r="CS5" s="107"/>
      <c r="CT5" s="107"/>
      <c r="CU5" s="107"/>
      <c r="CV5" s="107"/>
      <c r="CW5" s="107"/>
      <c r="CX5" s="107"/>
      <c r="CY5" s="107"/>
      <c r="CZ5" s="107"/>
      <c r="DA5" s="107"/>
      <c r="DB5" s="107"/>
      <c r="DC5" s="107"/>
      <c r="DD5" s="107"/>
      <c r="DE5" s="107"/>
      <c r="DF5" s="107"/>
      <c r="DG5" s="107"/>
      <c r="DH5" s="107"/>
      <c r="DI5" s="107"/>
      <c r="DJ5" s="107"/>
      <c r="DK5" s="107"/>
      <c r="DL5" s="107"/>
      <c r="DM5" s="107"/>
      <c r="DN5" s="107"/>
      <c r="DO5" s="107"/>
      <c r="DP5" s="107"/>
      <c r="DQ5" s="107"/>
      <c r="DR5" s="107"/>
      <c r="DS5" s="107"/>
      <c r="DT5" s="107"/>
      <c r="DU5" s="107"/>
    </row>
    <row r="6" spans="1:125" ht="27.75" customHeight="1" x14ac:dyDescent="0.45">
      <c r="B6" s="119" t="s">
        <v>854</v>
      </c>
      <c r="C6" s="119" t="s">
        <v>846</v>
      </c>
      <c r="D6" s="119" t="s">
        <v>886</v>
      </c>
      <c r="E6" s="109"/>
      <c r="F6" s="109"/>
      <c r="G6" s="109"/>
      <c r="H6" s="109"/>
      <c r="I6" s="109"/>
      <c r="J6" s="109"/>
      <c r="K6" s="109"/>
      <c r="L6" s="109"/>
      <c r="M6" s="109"/>
      <c r="N6" s="107"/>
      <c r="O6" s="107"/>
      <c r="P6" s="107"/>
      <c r="Q6" s="107"/>
      <c r="R6" s="107"/>
      <c r="S6" s="107"/>
      <c r="T6" s="107"/>
      <c r="U6" s="107"/>
      <c r="V6" s="107"/>
      <c r="W6" s="107"/>
      <c r="X6" s="107"/>
      <c r="Y6" s="107"/>
      <c r="Z6" s="107"/>
      <c r="AA6" s="107"/>
      <c r="AB6" s="107"/>
      <c r="AC6" s="107"/>
      <c r="AD6" s="107"/>
      <c r="AE6" s="107"/>
      <c r="AF6" s="107"/>
      <c r="AG6" s="107"/>
      <c r="AH6" s="107"/>
      <c r="AI6" s="107"/>
      <c r="AJ6" s="107"/>
      <c r="AK6" s="107"/>
      <c r="AL6" s="107"/>
      <c r="AM6" s="107"/>
      <c r="AN6" s="107"/>
      <c r="AO6" s="107"/>
      <c r="AP6" s="107"/>
      <c r="AQ6" s="107"/>
      <c r="AR6" s="107"/>
      <c r="AS6" s="107"/>
      <c r="AT6" s="107"/>
      <c r="AU6" s="107"/>
      <c r="AV6" s="107"/>
      <c r="AW6" s="107"/>
      <c r="AX6" s="107"/>
      <c r="AY6" s="107"/>
      <c r="AZ6" s="107"/>
      <c r="BA6" s="107"/>
      <c r="BB6" s="107"/>
      <c r="BC6" s="107"/>
      <c r="BD6" s="107"/>
      <c r="BE6" s="107"/>
      <c r="BF6" s="107"/>
      <c r="BG6" s="107"/>
      <c r="BH6" s="107"/>
      <c r="BI6" s="107"/>
      <c r="BJ6" s="107"/>
      <c r="BK6" s="107"/>
      <c r="BL6" s="107"/>
      <c r="BM6" s="107"/>
      <c r="BN6" s="107"/>
      <c r="BO6" s="107"/>
      <c r="BP6" s="107"/>
      <c r="BQ6" s="107"/>
      <c r="BR6" s="107"/>
      <c r="BS6" s="107"/>
      <c r="BT6" s="107"/>
      <c r="BU6" s="107"/>
      <c r="BV6" s="107"/>
      <c r="BW6" s="107"/>
      <c r="BX6" s="107"/>
      <c r="BY6" s="107"/>
      <c r="BZ6" s="107"/>
      <c r="CA6" s="107"/>
      <c r="CB6" s="107"/>
      <c r="CC6" s="107"/>
      <c r="CD6" s="107"/>
      <c r="CE6" s="107"/>
      <c r="CF6" s="107"/>
      <c r="CG6" s="107"/>
      <c r="CH6" s="107"/>
      <c r="CI6" s="107"/>
      <c r="CJ6" s="107"/>
      <c r="CK6" s="107"/>
      <c r="CL6" s="107"/>
      <c r="CM6" s="107"/>
      <c r="CN6" s="107"/>
      <c r="CO6" s="107"/>
      <c r="CP6" s="107"/>
      <c r="CQ6" s="107"/>
      <c r="CR6" s="107"/>
      <c r="CS6" s="107"/>
      <c r="CT6" s="107"/>
      <c r="CU6" s="107"/>
      <c r="CV6" s="107"/>
      <c r="CW6" s="107"/>
      <c r="CX6" s="107"/>
      <c r="CY6" s="107"/>
      <c r="CZ6" s="107"/>
      <c r="DA6" s="107"/>
      <c r="DB6" s="107"/>
      <c r="DC6" s="107"/>
      <c r="DD6" s="107"/>
      <c r="DE6" s="107"/>
      <c r="DF6" s="107"/>
      <c r="DG6" s="107"/>
      <c r="DH6" s="107"/>
      <c r="DI6" s="107"/>
      <c r="DJ6" s="107"/>
      <c r="DK6" s="107"/>
      <c r="DL6" s="107"/>
      <c r="DM6" s="107"/>
      <c r="DN6" s="107"/>
      <c r="DO6" s="107"/>
      <c r="DP6" s="107"/>
      <c r="DQ6" s="107"/>
      <c r="DR6" s="107"/>
      <c r="DS6" s="107"/>
      <c r="DT6" s="107"/>
      <c r="DU6" s="107"/>
    </row>
    <row r="8" spans="1:125" ht="27.75" customHeight="1" x14ac:dyDescent="0.45">
      <c r="B8" s="135" t="s">
        <v>868</v>
      </c>
      <c r="C8" s="117"/>
      <c r="D8" s="122"/>
      <c r="E8" s="117"/>
      <c r="F8" s="117"/>
      <c r="G8" s="117"/>
      <c r="H8" s="117"/>
      <c r="I8" s="117"/>
      <c r="J8" s="117"/>
      <c r="K8" s="117"/>
      <c r="L8" s="117"/>
      <c r="M8" s="117"/>
      <c r="N8" s="117"/>
      <c r="O8" s="107"/>
      <c r="P8" s="107"/>
      <c r="X8" s="107"/>
      <c r="Y8" s="107"/>
      <c r="Z8" s="107"/>
      <c r="AA8" s="107"/>
      <c r="AB8" s="107"/>
      <c r="AC8" s="107"/>
      <c r="AD8" s="107"/>
      <c r="AE8" s="107"/>
      <c r="AF8" s="107"/>
      <c r="AG8" s="107"/>
      <c r="AH8" s="107"/>
      <c r="AI8" s="107"/>
      <c r="AJ8" s="107"/>
      <c r="AK8" s="107"/>
      <c r="AL8" s="107"/>
      <c r="AM8" s="107"/>
      <c r="AN8" s="107"/>
      <c r="AO8" s="107"/>
      <c r="AP8" s="107"/>
      <c r="AQ8" s="107"/>
      <c r="AR8" s="107"/>
      <c r="AS8" s="107"/>
      <c r="AT8" s="107"/>
      <c r="AU8" s="107"/>
      <c r="AV8" s="107"/>
      <c r="AW8" s="107"/>
      <c r="AX8" s="107"/>
      <c r="AY8" s="107"/>
      <c r="AZ8" s="107"/>
      <c r="BA8" s="107"/>
      <c r="BB8" s="107"/>
      <c r="BC8" s="107"/>
      <c r="BD8" s="107"/>
      <c r="BE8" s="107"/>
      <c r="BF8" s="107"/>
      <c r="BG8" s="107"/>
      <c r="BH8" s="107"/>
      <c r="BI8" s="107"/>
      <c r="BJ8" s="107"/>
      <c r="BK8" s="107"/>
      <c r="BL8" s="107"/>
      <c r="BM8" s="107"/>
      <c r="BN8" s="107"/>
      <c r="BO8" s="107"/>
      <c r="BP8" s="107"/>
      <c r="BQ8" s="107"/>
      <c r="BR8" s="107"/>
      <c r="BS8" s="107"/>
      <c r="BT8" s="107"/>
      <c r="BU8" s="107"/>
      <c r="BV8" s="107"/>
      <c r="BW8" s="107"/>
      <c r="BX8" s="107"/>
      <c r="BY8" s="107"/>
      <c r="BZ8" s="107"/>
      <c r="CA8" s="107"/>
      <c r="CB8" s="107"/>
      <c r="CC8" s="107"/>
      <c r="CD8" s="107"/>
      <c r="CE8" s="107"/>
      <c r="CF8" s="107"/>
      <c r="CG8" s="107"/>
      <c r="CH8" s="107"/>
      <c r="CI8" s="107"/>
      <c r="CJ8" s="107"/>
      <c r="CK8" s="107"/>
      <c r="CL8" s="107"/>
      <c r="CM8" s="107"/>
      <c r="CN8" s="107"/>
      <c r="CO8" s="107"/>
      <c r="CP8" s="107"/>
      <c r="CQ8" s="107"/>
      <c r="CR8" s="107"/>
      <c r="CS8" s="107"/>
      <c r="CT8" s="107"/>
      <c r="CU8" s="107"/>
      <c r="CV8" s="107"/>
      <c r="CW8" s="107"/>
      <c r="CX8" s="107"/>
      <c r="CY8" s="107"/>
      <c r="CZ8" s="107"/>
      <c r="DA8" s="107"/>
      <c r="DB8" s="107"/>
      <c r="DC8" s="107"/>
      <c r="DD8" s="107"/>
      <c r="DE8" s="107"/>
      <c r="DF8" s="107"/>
      <c r="DG8" s="107"/>
      <c r="DH8" s="107"/>
      <c r="DI8" s="107"/>
      <c r="DJ8" s="107"/>
      <c r="DK8" s="107"/>
      <c r="DL8" s="107"/>
      <c r="DM8" s="107"/>
      <c r="DN8" s="107"/>
      <c r="DO8" s="107"/>
      <c r="DP8" s="107"/>
      <c r="DQ8" s="107"/>
      <c r="DR8" s="107"/>
      <c r="DS8" s="107"/>
      <c r="DT8" s="107"/>
      <c r="DU8" s="107"/>
    </row>
    <row r="9" spans="1:125" x14ac:dyDescent="0.25">
      <c r="B9" t="s">
        <v>50</v>
      </c>
      <c r="C9" t="s">
        <v>181</v>
      </c>
      <c r="D9" s="118" t="s">
        <v>51</v>
      </c>
      <c r="E9" t="s">
        <v>147</v>
      </c>
      <c r="F9" t="s">
        <v>67</v>
      </c>
      <c r="G9" t="s">
        <v>60</v>
      </c>
      <c r="H9" t="s">
        <v>91</v>
      </c>
      <c r="I9" t="s">
        <v>124</v>
      </c>
      <c r="J9" t="s">
        <v>92</v>
      </c>
      <c r="K9" t="s">
        <v>182</v>
      </c>
      <c r="L9" t="s">
        <v>94</v>
      </c>
      <c r="M9" t="s">
        <v>36</v>
      </c>
    </row>
    <row r="10" spans="1:125" x14ac:dyDescent="0.25">
      <c r="B10" t="s">
        <v>847</v>
      </c>
      <c r="C10" t="s">
        <v>848</v>
      </c>
      <c r="D10" s="118">
        <v>45160</v>
      </c>
      <c r="E10" t="s">
        <v>385</v>
      </c>
      <c r="F10" t="s">
        <v>89</v>
      </c>
      <c r="G10">
        <v>2</v>
      </c>
      <c r="H10" t="s">
        <v>166</v>
      </c>
      <c r="I10" t="s">
        <v>849</v>
      </c>
      <c r="J10" t="s">
        <v>850</v>
      </c>
      <c r="K10" t="s">
        <v>444</v>
      </c>
      <c r="L10" t="s">
        <v>41</v>
      </c>
      <c r="M10" t="s">
        <v>851</v>
      </c>
    </row>
    <row r="11" spans="1:125" x14ac:dyDescent="0.25">
      <c r="B11" t="s">
        <v>852</v>
      </c>
      <c r="C11" t="s">
        <v>853</v>
      </c>
      <c r="D11" s="118">
        <v>45083</v>
      </c>
      <c r="E11" t="s">
        <v>686</v>
      </c>
      <c r="F11" t="s">
        <v>89</v>
      </c>
      <c r="G11">
        <v>2</v>
      </c>
      <c r="H11" t="s">
        <v>441</v>
      </c>
      <c r="I11" t="s">
        <v>501</v>
      </c>
      <c r="J11" t="s">
        <v>709</v>
      </c>
      <c r="K11" t="s">
        <v>444</v>
      </c>
      <c r="L11" t="s">
        <v>42</v>
      </c>
      <c r="M11" t="s">
        <v>7</v>
      </c>
    </row>
    <row r="12" spans="1:125" x14ac:dyDescent="0.25">
      <c r="B12" t="s">
        <v>854</v>
      </c>
      <c r="C12" t="s">
        <v>855</v>
      </c>
      <c r="D12" s="118">
        <v>44866</v>
      </c>
      <c r="E12" t="s">
        <v>856</v>
      </c>
      <c r="F12" t="s">
        <v>89</v>
      </c>
      <c r="G12">
        <v>2.08</v>
      </c>
      <c r="H12" t="s">
        <v>441</v>
      </c>
      <c r="I12" t="s">
        <v>845</v>
      </c>
      <c r="J12" t="s">
        <v>857</v>
      </c>
      <c r="K12" t="s">
        <v>858</v>
      </c>
      <c r="L12" t="s">
        <v>42</v>
      </c>
      <c r="M12" t="s">
        <v>7</v>
      </c>
    </row>
    <row r="13" spans="1:125" x14ac:dyDescent="0.25">
      <c r="B13" t="s">
        <v>859</v>
      </c>
      <c r="C13" t="s">
        <v>853</v>
      </c>
      <c r="D13" s="118">
        <v>44767</v>
      </c>
      <c r="E13" t="s">
        <v>686</v>
      </c>
      <c r="F13" t="s">
        <v>89</v>
      </c>
      <c r="G13">
        <v>3</v>
      </c>
      <c r="H13" t="s">
        <v>441</v>
      </c>
      <c r="I13" t="s">
        <v>860</v>
      </c>
      <c r="J13" t="s">
        <v>861</v>
      </c>
      <c r="K13" t="s">
        <v>862</v>
      </c>
      <c r="L13" t="s">
        <v>42</v>
      </c>
      <c r="M13" t="s">
        <v>7</v>
      </c>
    </row>
    <row r="15" spans="1:125" ht="27.75" x14ac:dyDescent="0.45">
      <c r="B15" s="134" t="s">
        <v>867</v>
      </c>
      <c r="C15" s="108"/>
      <c r="D15" s="123"/>
      <c r="E15" s="108"/>
      <c r="F15" s="108"/>
      <c r="G15" s="108"/>
      <c r="H15" s="108"/>
      <c r="I15" s="108"/>
      <c r="J15" s="108"/>
      <c r="K15" s="108"/>
      <c r="L15" s="108"/>
      <c r="M15" s="108"/>
    </row>
    <row r="16" spans="1:125" x14ac:dyDescent="0.25">
      <c r="B16" t="s">
        <v>837</v>
      </c>
      <c r="C16" t="s">
        <v>835</v>
      </c>
      <c r="D16" s="118" t="s">
        <v>153</v>
      </c>
      <c r="E16" t="s">
        <v>838</v>
      </c>
      <c r="F16" t="s">
        <v>51</v>
      </c>
      <c r="G16" t="s">
        <v>60</v>
      </c>
      <c r="H16" t="s">
        <v>844</v>
      </c>
      <c r="I16" t="s">
        <v>56</v>
      </c>
      <c r="J16" t="s">
        <v>68</v>
      </c>
      <c r="K16" t="s">
        <v>78</v>
      </c>
    </row>
    <row r="17" spans="2:13" ht="30" x14ac:dyDescent="0.25">
      <c r="B17" s="114" t="s">
        <v>854</v>
      </c>
      <c r="C17" s="114" t="s">
        <v>836</v>
      </c>
      <c r="D17" s="124" t="s">
        <v>363</v>
      </c>
      <c r="E17" s="114"/>
      <c r="F17" s="125">
        <v>45167</v>
      </c>
      <c r="G17" s="114">
        <v>1.22</v>
      </c>
      <c r="H17" s="114" t="s">
        <v>709</v>
      </c>
      <c r="I17" s="115">
        <v>6.2E-2</v>
      </c>
      <c r="J17" s="116" t="s">
        <v>839</v>
      </c>
      <c r="K17" s="116"/>
    </row>
    <row r="19" spans="2:13" ht="27.75" x14ac:dyDescent="0.45">
      <c r="B19" s="135" t="s">
        <v>869</v>
      </c>
      <c r="C19" s="109"/>
      <c r="D19" s="121"/>
      <c r="E19" s="109"/>
      <c r="F19" s="135" t="s">
        <v>889</v>
      </c>
      <c r="G19" s="109"/>
      <c r="H19" s="109"/>
      <c r="I19" s="109"/>
      <c r="J19" s="109"/>
      <c r="K19" s="109"/>
      <c r="L19" s="109"/>
      <c r="M19" s="109"/>
    </row>
    <row r="20" spans="2:13" x14ac:dyDescent="0.25">
      <c r="B20" t="s">
        <v>831</v>
      </c>
      <c r="C20" t="s">
        <v>834</v>
      </c>
    </row>
    <row r="21" spans="2:13" x14ac:dyDescent="0.25">
      <c r="B21" s="131" t="s">
        <v>837</v>
      </c>
      <c r="C21" s="132" t="s">
        <v>854</v>
      </c>
    </row>
    <row r="22" spans="2:13" x14ac:dyDescent="0.25">
      <c r="B22" s="131" t="s">
        <v>835</v>
      </c>
      <c r="C22" s="132" t="s">
        <v>836</v>
      </c>
    </row>
    <row r="23" spans="2:13" x14ac:dyDescent="0.25">
      <c r="B23" s="131" t="s">
        <v>153</v>
      </c>
      <c r="C23" s="132" t="s">
        <v>363</v>
      </c>
    </row>
    <row r="24" spans="2:13" x14ac:dyDescent="0.25">
      <c r="B24" s="131" t="s">
        <v>51</v>
      </c>
      <c r="C24" s="132">
        <v>45167</v>
      </c>
    </row>
    <row r="25" spans="2:13" x14ac:dyDescent="0.25">
      <c r="B25" s="131" t="s">
        <v>60</v>
      </c>
      <c r="C25" s="132">
        <v>1.22</v>
      </c>
    </row>
    <row r="26" spans="2:13" x14ac:dyDescent="0.25">
      <c r="B26" s="131" t="s">
        <v>844</v>
      </c>
      <c r="C26" s="132" t="s">
        <v>620</v>
      </c>
    </row>
    <row r="27" spans="2:13" x14ac:dyDescent="0.25">
      <c r="B27" s="131" t="s">
        <v>56</v>
      </c>
      <c r="C27" s="132" t="s">
        <v>866</v>
      </c>
    </row>
    <row r="28" spans="2:13" ht="30" x14ac:dyDescent="0.25">
      <c r="B28" s="131" t="s">
        <v>68</v>
      </c>
      <c r="C28" s="132" t="s">
        <v>839</v>
      </c>
    </row>
    <row r="29" spans="2:13" ht="30" x14ac:dyDescent="0.25">
      <c r="B29" s="131" t="s">
        <v>98</v>
      </c>
      <c r="C29" s="132" t="s">
        <v>870</v>
      </c>
    </row>
    <row r="30" spans="2:13" x14ac:dyDescent="0.25">
      <c r="B30" s="131" t="s">
        <v>50</v>
      </c>
      <c r="C30" s="132" t="s">
        <v>854</v>
      </c>
    </row>
    <row r="31" spans="2:13" x14ac:dyDescent="0.25">
      <c r="B31" s="131" t="s">
        <v>296</v>
      </c>
      <c r="C31" s="132" t="s">
        <v>856</v>
      </c>
    </row>
    <row r="32" spans="2:13" x14ac:dyDescent="0.25">
      <c r="B32" s="131" t="s">
        <v>297</v>
      </c>
      <c r="C32" s="132" t="s">
        <v>87</v>
      </c>
    </row>
    <row r="33" spans="2:3" x14ac:dyDescent="0.25">
      <c r="B33" s="131" t="s">
        <v>53</v>
      </c>
      <c r="C33" s="132" t="s">
        <v>273</v>
      </c>
    </row>
    <row r="34" spans="2:3" x14ac:dyDescent="0.25">
      <c r="B34" s="131" t="s">
        <v>67</v>
      </c>
      <c r="C34" s="132" t="s">
        <v>89</v>
      </c>
    </row>
    <row r="35" spans="2:3" x14ac:dyDescent="0.25">
      <c r="B35" s="131" t="s">
        <v>91</v>
      </c>
      <c r="C35" s="132" t="s">
        <v>441</v>
      </c>
    </row>
    <row r="36" spans="2:3" x14ac:dyDescent="0.25">
      <c r="B36" s="131" t="s">
        <v>124</v>
      </c>
      <c r="C36" s="132">
        <v>6.5</v>
      </c>
    </row>
    <row r="37" spans="2:3" x14ac:dyDescent="0.25">
      <c r="B37" s="131" t="s">
        <v>184</v>
      </c>
      <c r="C37" s="132" t="s">
        <v>119</v>
      </c>
    </row>
    <row r="38" spans="2:3" x14ac:dyDescent="0.25">
      <c r="B38" s="131" t="s">
        <v>94</v>
      </c>
      <c r="C38" s="132" t="s">
        <v>42</v>
      </c>
    </row>
    <row r="39" spans="2:3" x14ac:dyDescent="0.25">
      <c r="B39" s="131" t="s">
        <v>95</v>
      </c>
      <c r="C39" s="132" t="s">
        <v>483</v>
      </c>
    </row>
    <row r="40" spans="2:3" x14ac:dyDescent="0.25">
      <c r="B40" s="131" t="s">
        <v>84</v>
      </c>
      <c r="C40" s="132" t="s">
        <v>143</v>
      </c>
    </row>
    <row r="41" spans="2:3" x14ac:dyDescent="0.25">
      <c r="B41" s="131" t="s">
        <v>70</v>
      </c>
      <c r="C41" s="132">
        <v>44869</v>
      </c>
    </row>
    <row r="42" spans="2:3" x14ac:dyDescent="0.25">
      <c r="B42" s="131" t="s">
        <v>73</v>
      </c>
      <c r="C42" s="132">
        <v>45049</v>
      </c>
    </row>
    <row r="43" spans="2:3" x14ac:dyDescent="0.25">
      <c r="B43" s="131" t="s">
        <v>55</v>
      </c>
      <c r="C43" s="132">
        <v>45233</v>
      </c>
    </row>
    <row r="44" spans="2:3" x14ac:dyDescent="0.25">
      <c r="B44" s="131" t="s">
        <v>189</v>
      </c>
      <c r="C44" s="132">
        <v>2.08</v>
      </c>
    </row>
    <row r="45" spans="2:3" x14ac:dyDescent="0.25">
      <c r="B45" s="131" t="s">
        <v>190</v>
      </c>
      <c r="C45" s="132">
        <v>15.14</v>
      </c>
    </row>
    <row r="46" spans="2:3" x14ac:dyDescent="0.25">
      <c r="B46" s="131" t="s">
        <v>232</v>
      </c>
      <c r="C46" s="132">
        <v>16.327999999999999</v>
      </c>
    </row>
    <row r="47" spans="2:3" x14ac:dyDescent="0.25">
      <c r="B47" s="131" t="s">
        <v>69</v>
      </c>
      <c r="C47" s="132" t="s">
        <v>871</v>
      </c>
    </row>
    <row r="48" spans="2:3" x14ac:dyDescent="0.25">
      <c r="B48" s="131" t="s">
        <v>261</v>
      </c>
      <c r="C48" s="132" t="s">
        <v>328</v>
      </c>
    </row>
    <row r="49" spans="2:3" ht="30" x14ac:dyDescent="0.25">
      <c r="B49" s="131" t="s">
        <v>74</v>
      </c>
      <c r="C49" s="132" t="s">
        <v>872</v>
      </c>
    </row>
    <row r="50" spans="2:3" ht="30" x14ac:dyDescent="0.25">
      <c r="B50" s="131" t="s">
        <v>85</v>
      </c>
      <c r="C50" s="132" t="s">
        <v>870</v>
      </c>
    </row>
    <row r="51" spans="2:3" x14ac:dyDescent="0.25">
      <c r="B51" s="131" t="s">
        <v>231</v>
      </c>
      <c r="C51" s="132" t="s">
        <v>443</v>
      </c>
    </row>
    <row r="52" spans="2:3" x14ac:dyDescent="0.25">
      <c r="B52" s="131" t="s">
        <v>152</v>
      </c>
      <c r="C52" s="132" t="s">
        <v>873</v>
      </c>
    </row>
    <row r="53" spans="2:3" x14ac:dyDescent="0.25">
      <c r="B53" s="131" t="s">
        <v>181</v>
      </c>
      <c r="C53" s="132" t="s">
        <v>855</v>
      </c>
    </row>
    <row r="54" spans="2:3" x14ac:dyDescent="0.25">
      <c r="B54" s="131" t="s">
        <v>280</v>
      </c>
      <c r="C54" s="132" t="s">
        <v>874</v>
      </c>
    </row>
    <row r="55" spans="2:3" ht="30" x14ac:dyDescent="0.25">
      <c r="B55" s="131" t="s">
        <v>49</v>
      </c>
      <c r="C55" s="132" t="s">
        <v>875</v>
      </c>
    </row>
    <row r="56" spans="2:3" x14ac:dyDescent="0.25">
      <c r="B56" s="131" t="s">
        <v>102</v>
      </c>
      <c r="C56" s="132" t="s">
        <v>876</v>
      </c>
    </row>
    <row r="57" spans="2:3" x14ac:dyDescent="0.25">
      <c r="B57" s="131" t="s">
        <v>103</v>
      </c>
      <c r="C57" s="132" t="s">
        <v>877</v>
      </c>
    </row>
    <row r="58" spans="2:3" x14ac:dyDescent="0.25">
      <c r="B58" s="131" t="s">
        <v>52</v>
      </c>
      <c r="C58" s="132" t="s">
        <v>878</v>
      </c>
    </row>
    <row r="59" spans="2:3" x14ac:dyDescent="0.25">
      <c r="B59" s="131" t="s">
        <v>61</v>
      </c>
      <c r="C59" s="132" t="s">
        <v>879</v>
      </c>
    </row>
    <row r="60" spans="2:3" x14ac:dyDescent="0.25">
      <c r="B60" s="131" t="s">
        <v>54</v>
      </c>
      <c r="C60" s="132">
        <v>6.5</v>
      </c>
    </row>
    <row r="61" spans="2:3" x14ac:dyDescent="0.25">
      <c r="B61" s="131" t="s">
        <v>104</v>
      </c>
      <c r="C61" s="132" t="s">
        <v>661</v>
      </c>
    </row>
    <row r="62" spans="2:3" x14ac:dyDescent="0.25">
      <c r="B62" s="131" t="s">
        <v>219</v>
      </c>
      <c r="C62" s="132" t="s">
        <v>220</v>
      </c>
    </row>
    <row r="63" spans="2:3" x14ac:dyDescent="0.25">
      <c r="B63" s="131" t="s">
        <v>281</v>
      </c>
      <c r="C63" s="132" t="s">
        <v>843</v>
      </c>
    </row>
    <row r="64" spans="2:3" x14ac:dyDescent="0.25">
      <c r="B64" s="131" t="s">
        <v>59</v>
      </c>
      <c r="C64" s="132" t="s">
        <v>138</v>
      </c>
    </row>
    <row r="65" spans="2:3" x14ac:dyDescent="0.25">
      <c r="B65" s="131" t="s">
        <v>99</v>
      </c>
      <c r="C65" s="132" t="s">
        <v>381</v>
      </c>
    </row>
    <row r="66" spans="2:3" x14ac:dyDescent="0.25">
      <c r="B66" s="131" t="s">
        <v>47</v>
      </c>
      <c r="C66" s="132" t="s">
        <v>863</v>
      </c>
    </row>
    <row r="67" spans="2:3" x14ac:dyDescent="0.25">
      <c r="B67" s="131" t="s">
        <v>46</v>
      </c>
      <c r="C67" s="132" t="s">
        <v>880</v>
      </c>
    </row>
    <row r="68" spans="2:3" x14ac:dyDescent="0.25">
      <c r="B68" s="131" t="s">
        <v>192</v>
      </c>
      <c r="C68" s="132" t="s">
        <v>878</v>
      </c>
    </row>
    <row r="69" spans="2:3" x14ac:dyDescent="0.25">
      <c r="B69" s="131" t="s">
        <v>45</v>
      </c>
      <c r="C69" s="132" t="s">
        <v>2</v>
      </c>
    </row>
    <row r="70" spans="2:3" x14ac:dyDescent="0.25">
      <c r="B70" s="131" t="s">
        <v>244</v>
      </c>
      <c r="C70" s="132" t="s">
        <v>881</v>
      </c>
    </row>
    <row r="71" spans="2:3" x14ac:dyDescent="0.25">
      <c r="B71" s="131" t="s">
        <v>44</v>
      </c>
      <c r="C71" s="132" t="s">
        <v>136</v>
      </c>
    </row>
    <row r="72" spans="2:3" x14ac:dyDescent="0.25">
      <c r="B72" s="131" t="s">
        <v>101</v>
      </c>
      <c r="C72" s="132" t="s">
        <v>165</v>
      </c>
    </row>
    <row r="73" spans="2:3" x14ac:dyDescent="0.25">
      <c r="B73" s="131" t="s">
        <v>248</v>
      </c>
      <c r="C73" s="132" t="s">
        <v>882</v>
      </c>
    </row>
    <row r="74" spans="2:3" x14ac:dyDescent="0.25">
      <c r="B74" s="131" t="s">
        <v>105</v>
      </c>
      <c r="C74" s="132">
        <v>1000</v>
      </c>
    </row>
    <row r="75" spans="2:3" x14ac:dyDescent="0.25">
      <c r="B75" s="131" t="s">
        <v>106</v>
      </c>
      <c r="C75" s="132">
        <v>2.08</v>
      </c>
    </row>
    <row r="76" spans="2:3" x14ac:dyDescent="0.25">
      <c r="B76" s="131" t="s">
        <v>107</v>
      </c>
      <c r="C76" s="132">
        <v>6.5</v>
      </c>
    </row>
    <row r="77" spans="2:3" x14ac:dyDescent="0.25">
      <c r="B77" s="131" t="s">
        <v>76</v>
      </c>
      <c r="C77" s="132">
        <v>44869</v>
      </c>
    </row>
    <row r="78" spans="2:3" x14ac:dyDescent="0.25">
      <c r="B78" s="131" t="s">
        <v>77</v>
      </c>
      <c r="C78" s="132">
        <v>44869</v>
      </c>
    </row>
    <row r="79" spans="2:3" ht="30" x14ac:dyDescent="0.25">
      <c r="B79" s="131" t="s">
        <v>108</v>
      </c>
      <c r="C79" s="132" t="s">
        <v>883</v>
      </c>
    </row>
    <row r="80" spans="2:3" x14ac:dyDescent="0.25">
      <c r="B80" s="131" t="s">
        <v>79</v>
      </c>
      <c r="C80" s="132" t="s">
        <v>139</v>
      </c>
    </row>
    <row r="81" spans="2:3" x14ac:dyDescent="0.25">
      <c r="B81" s="131" t="s">
        <v>80</v>
      </c>
      <c r="C81" s="132" t="s">
        <v>139</v>
      </c>
    </row>
    <row r="82" spans="2:3" x14ac:dyDescent="0.25">
      <c r="B82" s="131" t="s">
        <v>81</v>
      </c>
      <c r="C82" s="132" t="s">
        <v>140</v>
      </c>
    </row>
    <row r="83" spans="2:3" x14ac:dyDescent="0.25">
      <c r="B83" s="131" t="s">
        <v>82</v>
      </c>
      <c r="C83" s="132" t="s">
        <v>141</v>
      </c>
    </row>
    <row r="84" spans="2:3" x14ac:dyDescent="0.25">
      <c r="B84" s="131" t="s">
        <v>83</v>
      </c>
      <c r="C84" s="132" t="s">
        <v>142</v>
      </c>
    </row>
    <row r="85" spans="2:3" x14ac:dyDescent="0.25">
      <c r="B85" s="131" t="s">
        <v>93</v>
      </c>
      <c r="C85" s="132" t="s">
        <v>8</v>
      </c>
    </row>
  </sheetData>
  <phoneticPr fontId="13" type="noConversion"/>
  <conditionalFormatting sqref="B10:M10">
    <cfRule type="expression" dxfId="17" priority="1">
      <formula>ISNUMBER(FIND(C$10,"【"))</formula>
    </cfRule>
  </conditionalFormatting>
  <dataValidations count="7">
    <dataValidation type="list" allowBlank="1" showInputMessage="1" showErrorMessage="1" sqref="C17" xr:uid="{11485101-3356-430B-AD53-0DB45BFA4D76}">
      <formula1>"【】,新增记录,拆分记录"</formula1>
    </dataValidation>
    <dataValidation type="list" allowBlank="1" showInputMessage="1" showErrorMessage="1" sqref="D17" xr:uid="{9E151418-74BD-4F61-8B50-0F6F718845A4}">
      <formula1>"【】,增发,增发(临时ISIN)"</formula1>
    </dataValidation>
    <dataValidation type="list" allowBlank="1" showInputMessage="1" showErrorMessage="1" sqref="J17:K17 K1:L1" xr:uid="{3DEB5158-1CE4-4606-BC20-095D7D69A3B5}">
      <formula1>dd_BOCOMJLM</formula1>
    </dataValidation>
    <dataValidation allowBlank="1" showInputMessage="1" showErrorMessage="1" promptTitle="FPG Format" prompt="No need to write bp_x000a_Decimal follow BBG_x000a__x000a_3.20%_x000a_3.8%_x000a_T+100_x000a_" sqref="I17 J1" xr:uid="{190CFBF5-CF28-4B5F-91D7-A00D07C649B9}"/>
    <dataValidation allowBlank="1" showInputMessage="1" showErrorMessage="1" promptTitle="IPG Format" prompt="No need to write bp_x000a_Decimal follow BBG_x000a_Use &quot;a&quot; for &quot;area&quot;_x000a__x000a_3.50%a_x000a_4%a_x000a_T+120a_x000a_" sqref="H17 I1" xr:uid="{B8C59A8D-B217-413F-9F9F-510A2F586F44}"/>
    <dataValidation type="list" allowBlank="1" showInputMessage="1" sqref="B17" xr:uid="{630C696C-1BA5-4EF7-B919-569446863386}">
      <formula1>$B$10:$B$13</formula1>
    </dataValidation>
    <dataValidation type="list" allowBlank="1" showInputMessage="1" showErrorMessage="1" sqref="D6" xr:uid="{A25CA704-6B3A-4DBB-8CF3-7C3D9A7D8A35}">
      <formula1>"Y,N"</formula1>
    </dataValidation>
  </dataValidations>
  <pageMargins left="0.7" right="0.7" top="0.75" bottom="0.75" header="0.3" footer="0.3"/>
  <drawing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85E74-E8A0-4729-83E3-EFD401F92620}">
  <sheetPr codeName="Sheet11">
    <tabColor rgb="FFE1E1E9"/>
  </sheetPr>
  <dimension ref="A1:J8"/>
  <sheetViews>
    <sheetView workbookViewId="0">
      <selection activeCell="K18" sqref="K18"/>
    </sheetView>
  </sheetViews>
  <sheetFormatPr defaultRowHeight="15" x14ac:dyDescent="0.25"/>
  <cols>
    <col min="1" max="1" width="9.33203125" style="1" bestFit="1" customWidth="1"/>
    <col min="2" max="2" width="13.33203125" style="1" bestFit="1" customWidth="1"/>
    <col min="3" max="3" width="23.88671875" style="1" bestFit="1" customWidth="1"/>
    <col min="4" max="4" width="7" style="1" bestFit="1" customWidth="1"/>
    <col min="5" max="5" width="8" style="1" bestFit="1" customWidth="1"/>
    <col min="6" max="6" width="6.109375" style="1" bestFit="1" customWidth="1"/>
    <col min="7" max="7" width="7.6640625" style="1" bestFit="1" customWidth="1"/>
    <col min="8" max="8" width="9.44140625" style="1" bestFit="1" customWidth="1"/>
    <col min="9" max="10" width="6.109375" style="1" bestFit="1" customWidth="1"/>
    <col min="11" max="11" width="5.88671875" style="1" customWidth="1"/>
    <col min="12" max="12" width="6.109375" style="1" bestFit="1" customWidth="1"/>
    <col min="13" max="16384" width="8.88671875" style="1"/>
  </cols>
  <sheetData>
    <row r="1" spans="1:10" ht="58.5" customHeight="1" x14ac:dyDescent="0.55000000000000004">
      <c r="A1" s="89" t="s">
        <v>270</v>
      </c>
    </row>
    <row r="5" spans="1:10" x14ac:dyDescent="0.25">
      <c r="A5" t="s">
        <v>51</v>
      </c>
      <c r="B5" t="s">
        <v>50</v>
      </c>
      <c r="C5" t="s">
        <v>49</v>
      </c>
      <c r="D5" t="s">
        <v>91</v>
      </c>
      <c r="E5" t="s">
        <v>189</v>
      </c>
      <c r="F5" t="s">
        <v>67</v>
      </c>
      <c r="G5" t="s">
        <v>253</v>
      </c>
      <c r="H5" t="s">
        <v>97</v>
      </c>
      <c r="I5" t="s">
        <v>111</v>
      </c>
      <c r="J5" t="s">
        <v>122</v>
      </c>
    </row>
    <row r="6" spans="1:10" x14ac:dyDescent="0.25">
      <c r="A6" s="56">
        <v>45167</v>
      </c>
      <c r="B6" t="s">
        <v>594</v>
      </c>
      <c r="C6" s="129" t="s">
        <v>595</v>
      </c>
      <c r="D6">
        <v>1</v>
      </c>
      <c r="E6">
        <v>3</v>
      </c>
      <c r="F6" t="s">
        <v>89</v>
      </c>
      <c r="G6" t="s">
        <v>372</v>
      </c>
      <c r="H6" t="s">
        <v>120</v>
      </c>
      <c r="I6" t="s">
        <v>235</v>
      </c>
      <c r="J6" t="s">
        <v>326</v>
      </c>
    </row>
    <row r="7" spans="1:10" x14ac:dyDescent="0.25">
      <c r="A7" s="56">
        <v>45167</v>
      </c>
      <c r="B7" t="s">
        <v>566</v>
      </c>
      <c r="C7" s="129" t="s">
        <v>567</v>
      </c>
      <c r="D7">
        <v>0.24929999999999999</v>
      </c>
      <c r="E7">
        <v>7.0000000000000007E-2</v>
      </c>
      <c r="F7" t="s">
        <v>89</v>
      </c>
      <c r="G7" t="s">
        <v>372</v>
      </c>
      <c r="H7" t="s">
        <v>120</v>
      </c>
      <c r="I7" t="s">
        <v>235</v>
      </c>
      <c r="J7" t="s">
        <v>326</v>
      </c>
    </row>
    <row r="8" spans="1:10" x14ac:dyDescent="0.25">
      <c r="A8" s="56">
        <v>45166</v>
      </c>
      <c r="B8" t="s">
        <v>652</v>
      </c>
      <c r="C8" s="129" t="s">
        <v>653</v>
      </c>
      <c r="D8">
        <v>0.2</v>
      </c>
      <c r="E8">
        <v>8.2199999999999999E-3</v>
      </c>
      <c r="F8" t="s">
        <v>110</v>
      </c>
      <c r="G8" t="s">
        <v>372</v>
      </c>
      <c r="H8" t="s">
        <v>120</v>
      </c>
      <c r="I8" t="s">
        <v>279</v>
      </c>
      <c r="J8" t="s">
        <v>326</v>
      </c>
    </row>
  </sheetData>
  <phoneticPr fontId="13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8DF73-1FD4-4755-95D3-FC17EEC2FBAE}">
  <sheetPr codeName="Sheet10"/>
  <dimension ref="A1:BR22"/>
  <sheetViews>
    <sheetView topLeftCell="A4" workbookViewId="0">
      <selection activeCell="K16" sqref="K16:K17"/>
    </sheetView>
  </sheetViews>
  <sheetFormatPr defaultRowHeight="15" x14ac:dyDescent="0.25"/>
  <cols>
    <col min="1" max="1" width="29.88671875" style="1" bestFit="1" customWidth="1"/>
    <col min="2" max="2" width="20.5546875" style="1" bestFit="1" customWidth="1"/>
    <col min="3" max="3" width="14" style="1" bestFit="1" customWidth="1"/>
    <col min="4" max="4" width="9.33203125" style="1" bestFit="1" customWidth="1"/>
    <col min="5" max="5" width="31.77734375" style="1" bestFit="1" customWidth="1"/>
    <col min="6" max="6" width="10.21875" style="1" bestFit="1" customWidth="1"/>
    <col min="7" max="7" width="12.77734375" style="1" bestFit="1" customWidth="1"/>
    <col min="8" max="8" width="9.44140625" style="1" bestFit="1" customWidth="1"/>
    <col min="9" max="9" width="12.21875" style="1" bestFit="1" customWidth="1"/>
    <col min="10" max="10" width="6.109375" style="1" bestFit="1" customWidth="1"/>
    <col min="11" max="11" width="12.21875" style="1" bestFit="1" customWidth="1"/>
    <col min="12" max="12" width="12.77734375" style="1" bestFit="1" customWidth="1"/>
    <col min="13" max="13" width="9.33203125" style="1" bestFit="1" customWidth="1"/>
    <col min="14" max="14" width="51.109375" style="1" bestFit="1" customWidth="1"/>
    <col min="15" max="15" width="9.6640625" style="1" bestFit="1" customWidth="1"/>
    <col min="16" max="16" width="10.21875" style="1" bestFit="1" customWidth="1"/>
    <col min="17" max="17" width="12.77734375" style="1" bestFit="1" customWidth="1"/>
    <col min="18" max="18" width="9.44140625" style="1" bestFit="1" customWidth="1"/>
    <col min="19" max="19" width="17.6640625" style="1" bestFit="1" customWidth="1"/>
    <col min="20" max="20" width="24.6640625" style="1" bestFit="1" customWidth="1"/>
    <col min="21" max="21" width="14.88671875" style="1" bestFit="1" customWidth="1"/>
    <col min="22" max="22" width="7.77734375" style="1" bestFit="1" customWidth="1"/>
    <col min="23" max="23" width="9.44140625" style="1" bestFit="1" customWidth="1"/>
    <col min="24" max="24" width="14.44140625" style="1" bestFit="1" customWidth="1"/>
    <col min="25" max="25" width="9.33203125" style="1" bestFit="1" customWidth="1"/>
    <col min="26" max="26" width="6.109375" style="1" bestFit="1" customWidth="1"/>
    <col min="27" max="27" width="10.5546875" style="1" bestFit="1" customWidth="1"/>
    <col min="28" max="30" width="9.44140625" style="1" bestFit="1" customWidth="1"/>
    <col min="31" max="31" width="80.88671875" style="1" bestFit="1" customWidth="1"/>
    <col min="32" max="33" width="9.44140625" style="1" bestFit="1" customWidth="1"/>
    <col min="34" max="35" width="12.77734375" style="1" bestFit="1" customWidth="1"/>
    <col min="36" max="36" width="6.109375" style="1" bestFit="1" customWidth="1"/>
    <col min="37" max="37" width="9.44140625" style="1" bestFit="1" customWidth="1"/>
    <col min="38" max="38" width="14.44140625" style="1" bestFit="1" customWidth="1"/>
    <col min="39" max="39" width="9.44140625" style="1" bestFit="1" customWidth="1"/>
    <col min="40" max="40" width="12.77734375" style="1" bestFit="1" customWidth="1"/>
    <col min="41" max="42" width="11.109375" style="1" bestFit="1" customWidth="1"/>
    <col min="43" max="43" width="80.88671875" style="1" bestFit="1" customWidth="1"/>
    <col min="44" max="44" width="8.44140625" style="1" bestFit="1" customWidth="1"/>
    <col min="45" max="45" width="12.77734375" style="1" bestFit="1" customWidth="1"/>
    <col min="46" max="47" width="9.44140625" style="1" bestFit="1" customWidth="1"/>
    <col min="48" max="48" width="11.109375" style="1" bestFit="1" customWidth="1"/>
    <col min="49" max="49" width="12.77734375" style="1" bestFit="1" customWidth="1"/>
    <col min="50" max="50" width="9.44140625" style="1" bestFit="1" customWidth="1"/>
    <col min="51" max="51" width="11.109375" style="1" bestFit="1" customWidth="1"/>
    <col min="52" max="52" width="47.33203125" style="1" bestFit="1" customWidth="1"/>
    <col min="53" max="53" width="28.109375" style="1" bestFit="1" customWidth="1"/>
    <col min="54" max="54" width="11.109375" style="1" bestFit="1" customWidth="1"/>
    <col min="55" max="55" width="10.44140625" style="1" bestFit="1" customWidth="1"/>
    <col min="56" max="56" width="9.44140625" style="1" bestFit="1" customWidth="1"/>
    <col min="57" max="57" width="19" style="1" bestFit="1" customWidth="1"/>
    <col min="58" max="59" width="80.88671875" style="1" bestFit="1" customWidth="1"/>
    <col min="60" max="60" width="11.109375" style="1" bestFit="1" customWidth="1"/>
    <col min="61" max="65" width="9.44140625" style="1" bestFit="1" customWidth="1"/>
    <col min="66" max="66" width="14.44140625" style="1" bestFit="1" customWidth="1"/>
    <col min="67" max="67" width="17.88671875" style="1" bestFit="1" customWidth="1"/>
    <col min="68" max="68" width="6.109375" style="1" bestFit="1" customWidth="1"/>
    <col min="69" max="69" width="9.44140625" style="1" bestFit="1" customWidth="1"/>
    <col min="70" max="70" width="20.109375" style="1" customWidth="1"/>
    <col min="71" max="72" width="20.21875" style="1" bestFit="1" customWidth="1"/>
    <col min="73" max="77" width="19.33203125" style="1" bestFit="1" customWidth="1"/>
    <col min="78" max="78" width="6.109375" style="1" bestFit="1" customWidth="1"/>
    <col min="79" max="79" width="19.44140625" style="1" bestFit="1" customWidth="1"/>
    <col min="80" max="16384" width="8.88671875" style="1"/>
  </cols>
  <sheetData>
    <row r="1" spans="1:70" ht="67.5" customHeight="1" x14ac:dyDescent="0.25">
      <c r="A1" s="5" t="s">
        <v>298</v>
      </c>
    </row>
    <row r="5" spans="1:70" x14ac:dyDescent="0.25">
      <c r="A5" t="s">
        <v>98</v>
      </c>
      <c r="B5" t="s">
        <v>280</v>
      </c>
      <c r="C5" t="s">
        <v>50</v>
      </c>
      <c r="D5" t="s">
        <v>51</v>
      </c>
      <c r="E5" t="s">
        <v>49</v>
      </c>
      <c r="F5" t="s">
        <v>102</v>
      </c>
      <c r="G5" t="s">
        <v>103</v>
      </c>
      <c r="H5" t="s">
        <v>52</v>
      </c>
      <c r="I5" t="s">
        <v>60</v>
      </c>
      <c r="J5" t="s">
        <v>67</v>
      </c>
      <c r="K5" t="s">
        <v>61</v>
      </c>
      <c r="L5" t="s">
        <v>54</v>
      </c>
      <c r="M5" t="s">
        <v>55</v>
      </c>
      <c r="N5" t="s">
        <v>104</v>
      </c>
      <c r="O5" t="s">
        <v>227</v>
      </c>
      <c r="P5" t="s">
        <v>228</v>
      </c>
      <c r="Q5" t="s">
        <v>57</v>
      </c>
      <c r="R5" t="s">
        <v>219</v>
      </c>
      <c r="S5" t="s">
        <v>281</v>
      </c>
      <c r="T5" t="s">
        <v>58</v>
      </c>
      <c r="U5" t="s">
        <v>59</v>
      </c>
      <c r="V5" t="s">
        <v>62</v>
      </c>
      <c r="W5" t="s">
        <v>63</v>
      </c>
      <c r="X5" t="s">
        <v>99</v>
      </c>
      <c r="Y5" t="s">
        <v>47</v>
      </c>
      <c r="Z5" t="s">
        <v>48</v>
      </c>
      <c r="AA5" t="s">
        <v>144</v>
      </c>
      <c r="AB5" t="s">
        <v>64</v>
      </c>
      <c r="AC5" t="s">
        <v>65</v>
      </c>
      <c r="AD5" t="s">
        <v>66</v>
      </c>
      <c r="AE5" t="s">
        <v>68</v>
      </c>
      <c r="AF5" t="s">
        <v>46</v>
      </c>
      <c r="AG5" t="s">
        <v>100</v>
      </c>
      <c r="AH5" t="s">
        <v>192</v>
      </c>
      <c r="AI5" t="s">
        <v>53</v>
      </c>
      <c r="AJ5" t="s">
        <v>45</v>
      </c>
      <c r="AK5" t="s">
        <v>244</v>
      </c>
      <c r="AL5" t="s">
        <v>44</v>
      </c>
      <c r="AM5" t="s">
        <v>101</v>
      </c>
      <c r="AN5" t="s">
        <v>245</v>
      </c>
      <c r="AO5" t="s">
        <v>246</v>
      </c>
      <c r="AP5" t="s">
        <v>247</v>
      </c>
      <c r="AQ5" t="s">
        <v>248</v>
      </c>
      <c r="AR5" t="s">
        <v>69</v>
      </c>
      <c r="AS5" t="s">
        <v>105</v>
      </c>
      <c r="AT5" t="s">
        <v>106</v>
      </c>
      <c r="AU5" t="s">
        <v>70</v>
      </c>
      <c r="AV5" t="s">
        <v>71</v>
      </c>
      <c r="AW5" t="s">
        <v>107</v>
      </c>
      <c r="AX5" t="s">
        <v>72</v>
      </c>
      <c r="AY5" t="s">
        <v>73</v>
      </c>
      <c r="AZ5" t="s">
        <v>74</v>
      </c>
      <c r="BA5" t="s">
        <v>75</v>
      </c>
      <c r="BB5" t="s">
        <v>76</v>
      </c>
      <c r="BC5" t="s">
        <v>250</v>
      </c>
      <c r="BD5" t="s">
        <v>77</v>
      </c>
      <c r="BE5" t="s">
        <v>108</v>
      </c>
      <c r="BF5" t="s">
        <v>78</v>
      </c>
      <c r="BG5" t="s">
        <v>249</v>
      </c>
      <c r="BH5" t="s">
        <v>79</v>
      </c>
      <c r="BI5" t="s">
        <v>80</v>
      </c>
      <c r="BJ5" t="s">
        <v>81</v>
      </c>
      <c r="BK5" t="s">
        <v>82</v>
      </c>
      <c r="BL5" t="s">
        <v>83</v>
      </c>
      <c r="BM5" t="s">
        <v>109</v>
      </c>
      <c r="BN5" t="s">
        <v>84</v>
      </c>
      <c r="BO5" t="s">
        <v>85</v>
      </c>
      <c r="BP5" t="s">
        <v>93</v>
      </c>
      <c r="BQ5" t="s">
        <v>824</v>
      </c>
      <c r="BR5" t="s">
        <v>152</v>
      </c>
    </row>
    <row r="6" spans="1:70" x14ac:dyDescent="0.25">
      <c r="A6" t="s">
        <v>495</v>
      </c>
      <c r="B6" s="129" t="s">
        <v>496</v>
      </c>
      <c r="C6" t="s">
        <v>497</v>
      </c>
      <c r="D6" s="56">
        <v>45169</v>
      </c>
      <c r="E6" s="129" t="s">
        <v>498</v>
      </c>
      <c r="F6" s="129" t="s">
        <v>137</v>
      </c>
      <c r="G6" s="129" t="s">
        <v>137</v>
      </c>
      <c r="H6" s="129" t="s">
        <v>137</v>
      </c>
      <c r="I6">
        <v>5</v>
      </c>
      <c r="J6" t="s">
        <v>89</v>
      </c>
      <c r="K6" s="129" t="s">
        <v>218</v>
      </c>
      <c r="L6">
        <v>5.9</v>
      </c>
      <c r="M6" s="56">
        <v>46270</v>
      </c>
      <c r="N6" s="129" t="s">
        <v>499</v>
      </c>
      <c r="O6" t="s">
        <v>500</v>
      </c>
      <c r="P6" t="s">
        <v>501</v>
      </c>
      <c r="Q6">
        <v>10</v>
      </c>
      <c r="R6" s="129" t="s">
        <v>220</v>
      </c>
      <c r="S6" s="129" t="s">
        <v>268</v>
      </c>
      <c r="T6" t="s">
        <v>96</v>
      </c>
      <c r="U6" s="129" t="s">
        <v>138</v>
      </c>
      <c r="V6">
        <v>100</v>
      </c>
      <c r="W6"/>
      <c r="X6" s="129" t="s">
        <v>381</v>
      </c>
      <c r="Y6" s="129" t="s">
        <v>502</v>
      </c>
      <c r="Z6"/>
      <c r="AA6"/>
      <c r="AB6"/>
      <c r="AC6"/>
      <c r="AD6"/>
      <c r="AE6" s="129" t="s">
        <v>503</v>
      </c>
      <c r="AF6" s="129" t="s">
        <v>504</v>
      </c>
      <c r="AG6" t="s">
        <v>505</v>
      </c>
      <c r="AH6" s="129" t="s">
        <v>137</v>
      </c>
      <c r="AI6" t="s">
        <v>283</v>
      </c>
      <c r="AJ6" s="129" t="s">
        <v>1</v>
      </c>
      <c r="AK6" s="129" t="s">
        <v>380</v>
      </c>
      <c r="AL6" s="129" t="s">
        <v>136</v>
      </c>
      <c r="AM6" s="129" t="s">
        <v>165</v>
      </c>
      <c r="AN6"/>
      <c r="AO6" t="s">
        <v>96</v>
      </c>
      <c r="AP6" t="s">
        <v>96</v>
      </c>
      <c r="AQ6" t="s">
        <v>506</v>
      </c>
      <c r="AR6" t="s">
        <v>507</v>
      </c>
      <c r="AS6">
        <v>1000</v>
      </c>
      <c r="AT6">
        <v>5</v>
      </c>
      <c r="AU6" s="56">
        <v>45174</v>
      </c>
      <c r="AV6" s="56"/>
      <c r="AW6">
        <v>5.9</v>
      </c>
      <c r="AX6" t="s">
        <v>96</v>
      </c>
      <c r="AY6" s="56">
        <v>45356</v>
      </c>
      <c r="AZ6" t="s">
        <v>495</v>
      </c>
      <c r="BA6" t="s">
        <v>96</v>
      </c>
      <c r="BB6" s="56">
        <v>45174</v>
      </c>
      <c r="BC6" t="s">
        <v>501</v>
      </c>
      <c r="BD6" s="56">
        <v>45174</v>
      </c>
      <c r="BE6" s="129" t="s">
        <v>330</v>
      </c>
      <c r="BF6" t="s">
        <v>508</v>
      </c>
      <c r="BG6" t="s">
        <v>508</v>
      </c>
      <c r="BH6" s="129" t="s">
        <v>139</v>
      </c>
      <c r="BI6" s="129" t="s">
        <v>139</v>
      </c>
      <c r="BJ6" s="129" t="s">
        <v>140</v>
      </c>
      <c r="BK6" s="129" t="s">
        <v>141</v>
      </c>
      <c r="BL6" s="129" t="s">
        <v>142</v>
      </c>
      <c r="BM6" t="s">
        <v>96</v>
      </c>
      <c r="BN6" s="129" t="s">
        <v>143</v>
      </c>
      <c r="BO6" t="s">
        <v>96</v>
      </c>
      <c r="BP6" t="s">
        <v>8</v>
      </c>
      <c r="BQ6" s="56"/>
      <c r="BR6" t="s">
        <v>509</v>
      </c>
    </row>
    <row r="7" spans="1:70" x14ac:dyDescent="0.25">
      <c r="A7" t="s">
        <v>510</v>
      </c>
      <c r="B7" s="129" t="s">
        <v>511</v>
      </c>
      <c r="C7" t="s">
        <v>512</v>
      </c>
      <c r="D7" s="56">
        <v>45169</v>
      </c>
      <c r="E7" s="129" t="s">
        <v>513</v>
      </c>
      <c r="F7" s="129" t="s">
        <v>137</v>
      </c>
      <c r="G7" s="129" t="s">
        <v>137</v>
      </c>
      <c r="H7" s="129" t="s">
        <v>137</v>
      </c>
      <c r="I7">
        <v>10</v>
      </c>
      <c r="J7" t="s">
        <v>110</v>
      </c>
      <c r="K7" s="129" t="s">
        <v>514</v>
      </c>
      <c r="L7">
        <v>2.4</v>
      </c>
      <c r="M7" s="56">
        <v>45907</v>
      </c>
      <c r="N7" s="129" t="s">
        <v>323</v>
      </c>
      <c r="O7" t="s">
        <v>96</v>
      </c>
      <c r="P7" t="s">
        <v>96</v>
      </c>
      <c r="Q7"/>
      <c r="R7" s="129" t="s">
        <v>220</v>
      </c>
      <c r="S7" s="129" t="s">
        <v>268</v>
      </c>
      <c r="T7" t="s">
        <v>96</v>
      </c>
      <c r="U7" s="129" t="s">
        <v>138</v>
      </c>
      <c r="V7">
        <v>100</v>
      </c>
      <c r="W7"/>
      <c r="X7" s="129" t="s">
        <v>276</v>
      </c>
      <c r="Y7" s="129" t="s">
        <v>515</v>
      </c>
      <c r="Z7"/>
      <c r="AA7"/>
      <c r="AB7"/>
      <c r="AC7"/>
      <c r="AD7"/>
      <c r="AE7" s="129" t="s">
        <v>516</v>
      </c>
      <c r="AF7" s="129" t="s">
        <v>504</v>
      </c>
      <c r="AG7" t="s">
        <v>37</v>
      </c>
      <c r="AH7" s="129" t="s">
        <v>137</v>
      </c>
      <c r="AI7" t="s">
        <v>96</v>
      </c>
      <c r="AJ7" s="129" t="s">
        <v>2</v>
      </c>
      <c r="AK7" s="129" t="s">
        <v>517</v>
      </c>
      <c r="AL7" s="129" t="s">
        <v>518</v>
      </c>
      <c r="AM7" s="129" t="s">
        <v>86</v>
      </c>
      <c r="AN7"/>
      <c r="AO7" t="s">
        <v>96</v>
      </c>
      <c r="AP7" t="s">
        <v>96</v>
      </c>
      <c r="AQ7"/>
      <c r="AR7" t="s">
        <v>519</v>
      </c>
      <c r="AS7">
        <v>10000</v>
      </c>
      <c r="AT7">
        <v>10</v>
      </c>
      <c r="AU7" s="56">
        <v>45176</v>
      </c>
      <c r="AV7" s="56"/>
      <c r="AW7">
        <v>2.4</v>
      </c>
      <c r="AX7" t="s">
        <v>96</v>
      </c>
      <c r="AY7" s="56">
        <v>45358</v>
      </c>
      <c r="AZ7" t="s">
        <v>520</v>
      </c>
      <c r="BA7" t="s">
        <v>96</v>
      </c>
      <c r="BB7" s="56">
        <v>45176</v>
      </c>
      <c r="BC7"/>
      <c r="BD7" s="56">
        <v>45176</v>
      </c>
      <c r="BE7" s="129" t="s">
        <v>96</v>
      </c>
      <c r="BF7" t="s">
        <v>521</v>
      </c>
      <c r="BG7" t="s">
        <v>522</v>
      </c>
      <c r="BH7" s="129" t="s">
        <v>139</v>
      </c>
      <c r="BI7" s="129" t="s">
        <v>139</v>
      </c>
      <c r="BJ7" s="129" t="s">
        <v>140</v>
      </c>
      <c r="BK7" s="129" t="s">
        <v>141</v>
      </c>
      <c r="BL7" s="129" t="s">
        <v>523</v>
      </c>
      <c r="BM7" t="s">
        <v>96</v>
      </c>
      <c r="BN7" s="129" t="s">
        <v>143</v>
      </c>
      <c r="BO7" t="s">
        <v>96</v>
      </c>
      <c r="BP7" t="s">
        <v>18</v>
      </c>
      <c r="BQ7" s="56"/>
      <c r="BR7" t="s">
        <v>524</v>
      </c>
    </row>
    <row r="8" spans="1:70" x14ac:dyDescent="0.25">
      <c r="A8" t="s">
        <v>510</v>
      </c>
      <c r="B8" s="129" t="s">
        <v>525</v>
      </c>
      <c r="C8" t="s">
        <v>526</v>
      </c>
      <c r="D8" s="56">
        <v>45169</v>
      </c>
      <c r="E8" s="129" t="s">
        <v>527</v>
      </c>
      <c r="F8" s="129" t="s">
        <v>137</v>
      </c>
      <c r="G8" s="129" t="s">
        <v>137</v>
      </c>
      <c r="H8" s="129" t="s">
        <v>137</v>
      </c>
      <c r="I8">
        <v>10</v>
      </c>
      <c r="J8" t="s">
        <v>89</v>
      </c>
      <c r="K8" s="129" t="s">
        <v>218</v>
      </c>
      <c r="L8">
        <v>2.5499999999999998</v>
      </c>
      <c r="M8" s="56">
        <v>46272</v>
      </c>
      <c r="N8" s="129" t="s">
        <v>323</v>
      </c>
      <c r="O8" t="s">
        <v>96</v>
      </c>
      <c r="P8" t="s">
        <v>96</v>
      </c>
      <c r="Q8"/>
      <c r="R8" s="129" t="s">
        <v>220</v>
      </c>
      <c r="S8" s="129" t="s">
        <v>268</v>
      </c>
      <c r="T8" t="s">
        <v>96</v>
      </c>
      <c r="U8" s="129" t="s">
        <v>138</v>
      </c>
      <c r="V8">
        <v>100</v>
      </c>
      <c r="W8"/>
      <c r="X8" s="129" t="s">
        <v>276</v>
      </c>
      <c r="Y8" s="129" t="s">
        <v>515</v>
      </c>
      <c r="Z8"/>
      <c r="AA8"/>
      <c r="AB8"/>
      <c r="AC8"/>
      <c r="AD8"/>
      <c r="AE8" s="129" t="s">
        <v>516</v>
      </c>
      <c r="AF8" s="129" t="s">
        <v>504</v>
      </c>
      <c r="AG8" t="s">
        <v>37</v>
      </c>
      <c r="AH8" s="129" t="s">
        <v>137</v>
      </c>
      <c r="AI8" t="s">
        <v>96</v>
      </c>
      <c r="AJ8" s="129" t="s">
        <v>2</v>
      </c>
      <c r="AK8" s="129" t="s">
        <v>282</v>
      </c>
      <c r="AL8" s="129" t="s">
        <v>518</v>
      </c>
      <c r="AM8" s="129" t="s">
        <v>86</v>
      </c>
      <c r="AN8"/>
      <c r="AO8" t="s">
        <v>96</v>
      </c>
      <c r="AP8" t="s">
        <v>96</v>
      </c>
      <c r="AQ8"/>
      <c r="AR8" t="s">
        <v>519</v>
      </c>
      <c r="AS8">
        <v>10000</v>
      </c>
      <c r="AT8">
        <v>10</v>
      </c>
      <c r="AU8" s="56">
        <v>45176</v>
      </c>
      <c r="AV8" s="56"/>
      <c r="AW8">
        <v>2.5499999999999998</v>
      </c>
      <c r="AX8" t="s">
        <v>96</v>
      </c>
      <c r="AY8" s="56">
        <v>45358</v>
      </c>
      <c r="AZ8" t="s">
        <v>520</v>
      </c>
      <c r="BA8" t="s">
        <v>96</v>
      </c>
      <c r="BB8" s="56">
        <v>45176</v>
      </c>
      <c r="BC8"/>
      <c r="BD8" s="56">
        <v>45176</v>
      </c>
      <c r="BE8" s="129" t="s">
        <v>96</v>
      </c>
      <c r="BF8" t="s">
        <v>521</v>
      </c>
      <c r="BG8" t="s">
        <v>522</v>
      </c>
      <c r="BH8" s="129" t="s">
        <v>139</v>
      </c>
      <c r="BI8" s="129" t="s">
        <v>139</v>
      </c>
      <c r="BJ8" s="129" t="s">
        <v>140</v>
      </c>
      <c r="BK8" s="129" t="s">
        <v>141</v>
      </c>
      <c r="BL8" s="129" t="s">
        <v>523</v>
      </c>
      <c r="BM8" t="s">
        <v>96</v>
      </c>
      <c r="BN8" s="129" t="s">
        <v>143</v>
      </c>
      <c r="BO8" t="s">
        <v>96</v>
      </c>
      <c r="BP8" t="s">
        <v>18</v>
      </c>
      <c r="BQ8" s="56"/>
      <c r="BR8" t="s">
        <v>528</v>
      </c>
    </row>
    <row r="9" spans="1:70" x14ac:dyDescent="0.25">
      <c r="A9" t="s">
        <v>529</v>
      </c>
      <c r="B9" s="129" t="s">
        <v>530</v>
      </c>
      <c r="C9" t="s">
        <v>531</v>
      </c>
      <c r="D9" s="56">
        <v>45169</v>
      </c>
      <c r="E9" s="129" t="s">
        <v>532</v>
      </c>
      <c r="F9" s="129" t="s">
        <v>137</v>
      </c>
      <c r="G9" s="129" t="s">
        <v>137</v>
      </c>
      <c r="H9" s="129" t="s">
        <v>137</v>
      </c>
      <c r="I9">
        <v>2</v>
      </c>
      <c r="J9" t="s">
        <v>110</v>
      </c>
      <c r="K9" s="129" t="s">
        <v>218</v>
      </c>
      <c r="L9">
        <v>4.8</v>
      </c>
      <c r="M9" s="56">
        <v>46270</v>
      </c>
      <c r="N9" s="129" t="s">
        <v>114</v>
      </c>
      <c r="O9" t="s">
        <v>96</v>
      </c>
      <c r="P9" t="s">
        <v>440</v>
      </c>
      <c r="Q9"/>
      <c r="R9" s="129" t="s">
        <v>220</v>
      </c>
      <c r="S9" s="129" t="s">
        <v>269</v>
      </c>
      <c r="T9" t="s">
        <v>533</v>
      </c>
      <c r="U9" s="129" t="s">
        <v>138</v>
      </c>
      <c r="V9">
        <v>100</v>
      </c>
      <c r="W9"/>
      <c r="X9" s="129" t="s">
        <v>329</v>
      </c>
      <c r="Y9" s="129" t="s">
        <v>382</v>
      </c>
      <c r="Z9"/>
      <c r="AA9"/>
      <c r="AB9"/>
      <c r="AC9"/>
      <c r="AD9"/>
      <c r="AE9" s="129" t="s">
        <v>534</v>
      </c>
      <c r="AF9" s="129" t="s">
        <v>275</v>
      </c>
      <c r="AG9" t="s">
        <v>96</v>
      </c>
      <c r="AH9" s="129" t="s">
        <v>137</v>
      </c>
      <c r="AI9" t="s">
        <v>277</v>
      </c>
      <c r="AJ9" s="129" t="s">
        <v>1</v>
      </c>
      <c r="AK9" s="129" t="s">
        <v>380</v>
      </c>
      <c r="AL9" s="129" t="s">
        <v>136</v>
      </c>
      <c r="AM9" s="129" t="s">
        <v>86</v>
      </c>
      <c r="AN9"/>
      <c r="AO9" t="s">
        <v>96</v>
      </c>
      <c r="AP9" t="s">
        <v>96</v>
      </c>
      <c r="AQ9" t="s">
        <v>447</v>
      </c>
      <c r="AR9" t="s">
        <v>535</v>
      </c>
      <c r="AS9">
        <v>10000</v>
      </c>
      <c r="AT9">
        <v>2</v>
      </c>
      <c r="AU9" s="56">
        <v>45174</v>
      </c>
      <c r="AV9" s="56"/>
      <c r="AW9">
        <v>4.8</v>
      </c>
      <c r="AX9" t="s">
        <v>96</v>
      </c>
      <c r="AY9" s="56">
        <v>45356</v>
      </c>
      <c r="AZ9" t="s">
        <v>529</v>
      </c>
      <c r="BA9" t="s">
        <v>96</v>
      </c>
      <c r="BB9" s="56">
        <v>45174</v>
      </c>
      <c r="BC9" t="s">
        <v>440</v>
      </c>
      <c r="BD9" s="56">
        <v>45174</v>
      </c>
      <c r="BE9" s="129" t="s">
        <v>274</v>
      </c>
      <c r="BF9" t="s">
        <v>96</v>
      </c>
      <c r="BG9" t="s">
        <v>536</v>
      </c>
      <c r="BH9" s="129" t="s">
        <v>139</v>
      </c>
      <c r="BI9" s="129" t="s">
        <v>139</v>
      </c>
      <c r="BJ9" s="129" t="s">
        <v>140</v>
      </c>
      <c r="BK9" s="129" t="s">
        <v>141</v>
      </c>
      <c r="BL9" s="129" t="s">
        <v>142</v>
      </c>
      <c r="BM9" t="s">
        <v>96</v>
      </c>
      <c r="BN9" s="129" t="s">
        <v>143</v>
      </c>
      <c r="BO9" t="s">
        <v>96</v>
      </c>
      <c r="BP9" t="s">
        <v>10</v>
      </c>
      <c r="BQ9" s="56"/>
      <c r="BR9" t="s">
        <v>537</v>
      </c>
    </row>
    <row r="10" spans="1:70" x14ac:dyDescent="0.25">
      <c r="A10" t="s">
        <v>538</v>
      </c>
      <c r="B10" s="129" t="s">
        <v>539</v>
      </c>
      <c r="C10" t="s">
        <v>487</v>
      </c>
      <c r="D10" s="56">
        <v>45168</v>
      </c>
      <c r="E10" s="129" t="s">
        <v>540</v>
      </c>
      <c r="F10" s="129" t="s">
        <v>137</v>
      </c>
      <c r="G10" s="129" t="s">
        <v>137</v>
      </c>
      <c r="H10" s="129" t="s">
        <v>137</v>
      </c>
      <c r="I10">
        <v>3</v>
      </c>
      <c r="J10" t="s">
        <v>89</v>
      </c>
      <c r="K10" s="129" t="s">
        <v>218</v>
      </c>
      <c r="L10">
        <v>5.8</v>
      </c>
      <c r="M10" s="56">
        <v>46270</v>
      </c>
      <c r="N10" s="129" t="s">
        <v>377</v>
      </c>
      <c r="O10" t="s">
        <v>500</v>
      </c>
      <c r="P10" t="s">
        <v>541</v>
      </c>
      <c r="Q10">
        <v>20</v>
      </c>
      <c r="R10" s="129" t="s">
        <v>220</v>
      </c>
      <c r="S10" s="129" t="s">
        <v>40</v>
      </c>
      <c r="T10" t="s">
        <v>96</v>
      </c>
      <c r="U10" s="129" t="s">
        <v>138</v>
      </c>
      <c r="V10">
        <v>100</v>
      </c>
      <c r="W10"/>
      <c r="X10" s="129" t="s">
        <v>542</v>
      </c>
      <c r="Y10" s="129" t="s">
        <v>543</v>
      </c>
      <c r="Z10"/>
      <c r="AA10"/>
      <c r="AB10"/>
      <c r="AC10"/>
      <c r="AD10"/>
      <c r="AE10" s="129" t="s">
        <v>544</v>
      </c>
      <c r="AF10" s="129" t="s">
        <v>545</v>
      </c>
      <c r="AG10" t="s">
        <v>96</v>
      </c>
      <c r="AH10" s="129" t="s">
        <v>137</v>
      </c>
      <c r="AI10" t="s">
        <v>273</v>
      </c>
      <c r="AJ10" s="129" t="s">
        <v>2</v>
      </c>
      <c r="AK10" s="129" t="s">
        <v>380</v>
      </c>
      <c r="AL10" s="129" t="s">
        <v>136</v>
      </c>
      <c r="AM10" s="129" t="s">
        <v>165</v>
      </c>
      <c r="AN10"/>
      <c r="AO10" t="s">
        <v>96</v>
      </c>
      <c r="AP10" t="s">
        <v>96</v>
      </c>
      <c r="AQ10" t="s">
        <v>546</v>
      </c>
      <c r="AR10" t="s">
        <v>547</v>
      </c>
      <c r="AS10">
        <v>1000</v>
      </c>
      <c r="AT10">
        <v>3</v>
      </c>
      <c r="AU10" s="56">
        <v>45174</v>
      </c>
      <c r="AV10" s="56"/>
      <c r="AW10">
        <v>5.8</v>
      </c>
      <c r="AX10" t="s">
        <v>96</v>
      </c>
      <c r="AY10" s="56">
        <v>45356</v>
      </c>
      <c r="AZ10" t="s">
        <v>548</v>
      </c>
      <c r="BA10" t="s">
        <v>538</v>
      </c>
      <c r="BB10" s="56">
        <v>45174</v>
      </c>
      <c r="BC10" t="s">
        <v>541</v>
      </c>
      <c r="BD10" s="56">
        <v>45174</v>
      </c>
      <c r="BE10" s="129" t="s">
        <v>330</v>
      </c>
      <c r="BF10" t="s">
        <v>549</v>
      </c>
      <c r="BG10" t="s">
        <v>550</v>
      </c>
      <c r="BH10" s="129" t="s">
        <v>139</v>
      </c>
      <c r="BI10" s="129" t="s">
        <v>139</v>
      </c>
      <c r="BJ10" s="129" t="s">
        <v>140</v>
      </c>
      <c r="BK10" s="129" t="s">
        <v>141</v>
      </c>
      <c r="BL10" s="129" t="s">
        <v>142</v>
      </c>
      <c r="BM10" t="s">
        <v>96</v>
      </c>
      <c r="BN10" s="129" t="s">
        <v>143</v>
      </c>
      <c r="BO10" t="s">
        <v>96</v>
      </c>
      <c r="BP10" t="s">
        <v>22</v>
      </c>
      <c r="BQ10" s="56"/>
      <c r="BR10" t="s">
        <v>488</v>
      </c>
    </row>
    <row r="11" spans="1:70" x14ac:dyDescent="0.25">
      <c r="A11" t="s">
        <v>551</v>
      </c>
      <c r="B11" s="129" t="s">
        <v>552</v>
      </c>
      <c r="C11" t="s">
        <v>485</v>
      </c>
      <c r="D11" s="56">
        <v>45168</v>
      </c>
      <c r="E11" s="129" t="s">
        <v>553</v>
      </c>
      <c r="F11" s="129" t="s">
        <v>137</v>
      </c>
      <c r="G11" s="129" t="s">
        <v>137</v>
      </c>
      <c r="H11" s="129" t="s">
        <v>137</v>
      </c>
      <c r="I11">
        <v>56.6</v>
      </c>
      <c r="J11" t="s">
        <v>378</v>
      </c>
      <c r="K11" s="129" t="s">
        <v>218</v>
      </c>
      <c r="L11">
        <v>2.2999999999999998</v>
      </c>
      <c r="M11" s="56">
        <v>46269</v>
      </c>
      <c r="N11" s="129" t="s">
        <v>323</v>
      </c>
      <c r="O11" t="s">
        <v>96</v>
      </c>
      <c r="P11" t="s">
        <v>554</v>
      </c>
      <c r="Q11"/>
      <c r="R11" s="129" t="s">
        <v>220</v>
      </c>
      <c r="S11" s="129" t="s">
        <v>555</v>
      </c>
      <c r="T11" t="s">
        <v>556</v>
      </c>
      <c r="U11" s="129" t="s">
        <v>138</v>
      </c>
      <c r="V11">
        <v>100</v>
      </c>
      <c r="W11"/>
      <c r="X11" s="129" t="s">
        <v>329</v>
      </c>
      <c r="Y11" s="129" t="s">
        <v>557</v>
      </c>
      <c r="Z11"/>
      <c r="AA11"/>
      <c r="AB11"/>
      <c r="AC11"/>
      <c r="AD11"/>
      <c r="AE11" s="129" t="s">
        <v>558</v>
      </c>
      <c r="AF11" s="129" t="s">
        <v>275</v>
      </c>
      <c r="AG11" t="s">
        <v>96</v>
      </c>
      <c r="AH11" s="129" t="s">
        <v>137</v>
      </c>
      <c r="AI11" t="s">
        <v>283</v>
      </c>
      <c r="AJ11" s="129" t="s">
        <v>1</v>
      </c>
      <c r="AK11" s="129" t="s">
        <v>380</v>
      </c>
      <c r="AL11" s="129" t="s">
        <v>136</v>
      </c>
      <c r="AM11" s="129" t="s">
        <v>86</v>
      </c>
      <c r="AN11"/>
      <c r="AO11" t="s">
        <v>96</v>
      </c>
      <c r="AP11" t="s">
        <v>96</v>
      </c>
      <c r="AQ11" t="s">
        <v>559</v>
      </c>
      <c r="AR11" t="s">
        <v>560</v>
      </c>
      <c r="AS11">
        <v>10000000</v>
      </c>
      <c r="AT11">
        <v>56.6</v>
      </c>
      <c r="AU11" s="56">
        <v>45173</v>
      </c>
      <c r="AV11" s="56"/>
      <c r="AW11">
        <v>2.2999999999999998</v>
      </c>
      <c r="AX11" t="s">
        <v>96</v>
      </c>
      <c r="AY11" s="56">
        <v>45355</v>
      </c>
      <c r="AZ11" t="s">
        <v>561</v>
      </c>
      <c r="BA11" t="s">
        <v>562</v>
      </c>
      <c r="BB11" s="56">
        <v>45173</v>
      </c>
      <c r="BC11" t="s">
        <v>554</v>
      </c>
      <c r="BD11" s="56">
        <v>45173</v>
      </c>
      <c r="BE11" s="129" t="s">
        <v>274</v>
      </c>
      <c r="BF11" t="s">
        <v>96</v>
      </c>
      <c r="BG11" t="s">
        <v>563</v>
      </c>
      <c r="BH11" s="129" t="s">
        <v>139</v>
      </c>
      <c r="BI11" s="129" t="s">
        <v>139</v>
      </c>
      <c r="BJ11" s="129" t="s">
        <v>140</v>
      </c>
      <c r="BK11" s="129" t="s">
        <v>141</v>
      </c>
      <c r="BL11" s="129" t="s">
        <v>142</v>
      </c>
      <c r="BM11" t="s">
        <v>96</v>
      </c>
      <c r="BN11" s="129" t="s">
        <v>143</v>
      </c>
      <c r="BO11" t="s">
        <v>551</v>
      </c>
      <c r="BP11" t="s">
        <v>10</v>
      </c>
      <c r="BQ11" s="56"/>
      <c r="BR11" t="s">
        <v>486</v>
      </c>
    </row>
    <row r="12" spans="1:70" x14ac:dyDescent="0.25">
      <c r="A12" t="s">
        <v>564</v>
      </c>
      <c r="B12" s="129" t="s">
        <v>565</v>
      </c>
      <c r="C12" t="s">
        <v>566</v>
      </c>
      <c r="D12" s="56">
        <v>45167</v>
      </c>
      <c r="E12" s="129" t="s">
        <v>567</v>
      </c>
      <c r="F12" s="129" t="s">
        <v>568</v>
      </c>
      <c r="G12" s="129" t="s">
        <v>569</v>
      </c>
      <c r="H12" s="129" t="s">
        <v>137</v>
      </c>
      <c r="I12">
        <v>7.0000000000000007E-2</v>
      </c>
      <c r="J12" t="s">
        <v>89</v>
      </c>
      <c r="K12" s="129" t="s">
        <v>570</v>
      </c>
      <c r="L12">
        <v>0</v>
      </c>
      <c r="M12" s="56">
        <v>45265</v>
      </c>
      <c r="N12" s="129" t="s">
        <v>114</v>
      </c>
      <c r="O12" t="s">
        <v>96</v>
      </c>
      <c r="P12" t="s">
        <v>96</v>
      </c>
      <c r="Q12"/>
      <c r="R12" s="129"/>
      <c r="S12" s="129" t="s">
        <v>40</v>
      </c>
      <c r="T12" t="s">
        <v>96</v>
      </c>
      <c r="U12" s="129" t="s">
        <v>138</v>
      </c>
      <c r="V12"/>
      <c r="W12"/>
      <c r="X12" s="129" t="s">
        <v>276</v>
      </c>
      <c r="Y12" s="129" t="s">
        <v>383</v>
      </c>
      <c r="Z12"/>
      <c r="AA12"/>
      <c r="AB12"/>
      <c r="AC12"/>
      <c r="AD12"/>
      <c r="AE12" s="129" t="s">
        <v>571</v>
      </c>
      <c r="AF12" s="129" t="s">
        <v>572</v>
      </c>
      <c r="AG12" t="s">
        <v>96</v>
      </c>
      <c r="AH12" s="129" t="s">
        <v>137</v>
      </c>
      <c r="AI12" t="s">
        <v>96</v>
      </c>
      <c r="AJ12" s="129" t="s">
        <v>88</v>
      </c>
      <c r="AK12" s="129" t="s">
        <v>573</v>
      </c>
      <c r="AL12" s="129" t="s">
        <v>574</v>
      </c>
      <c r="AM12" s="129" t="s">
        <v>165</v>
      </c>
      <c r="AN12"/>
      <c r="AO12" t="s">
        <v>96</v>
      </c>
      <c r="AP12" t="s">
        <v>96</v>
      </c>
      <c r="AQ12"/>
      <c r="AR12" t="s">
        <v>575</v>
      </c>
      <c r="AS12">
        <v>100000</v>
      </c>
      <c r="AT12">
        <v>7.0000000000000007E-2</v>
      </c>
      <c r="AU12" s="56"/>
      <c r="AV12" s="56"/>
      <c r="AW12">
        <v>0</v>
      </c>
      <c r="AX12" t="s">
        <v>96</v>
      </c>
      <c r="AY12" s="56"/>
      <c r="AZ12" t="s">
        <v>576</v>
      </c>
      <c r="BA12" t="s">
        <v>564</v>
      </c>
      <c r="BB12" s="56">
        <v>45174</v>
      </c>
      <c r="BC12"/>
      <c r="BD12" s="56">
        <v>45174</v>
      </c>
      <c r="BE12" s="129" t="s">
        <v>96</v>
      </c>
      <c r="BF12" t="s">
        <v>96</v>
      </c>
      <c r="BG12" t="s">
        <v>571</v>
      </c>
      <c r="BH12" s="129" t="s">
        <v>139</v>
      </c>
      <c r="BI12" s="129" t="s">
        <v>139</v>
      </c>
      <c r="BJ12" s="129" t="s">
        <v>140</v>
      </c>
      <c r="BK12" s="129" t="s">
        <v>141</v>
      </c>
      <c r="BL12" s="129" t="s">
        <v>142</v>
      </c>
      <c r="BM12" t="s">
        <v>96</v>
      </c>
      <c r="BN12" s="129" t="s">
        <v>96</v>
      </c>
      <c r="BO12" t="s">
        <v>96</v>
      </c>
      <c r="BP12" t="s">
        <v>18</v>
      </c>
      <c r="BQ12" s="56"/>
      <c r="BR12" t="s">
        <v>577</v>
      </c>
    </row>
    <row r="13" spans="1:70" x14ac:dyDescent="0.25">
      <c r="A13" t="s">
        <v>494</v>
      </c>
      <c r="B13" s="129" t="s">
        <v>578</v>
      </c>
      <c r="C13" t="s">
        <v>493</v>
      </c>
      <c r="D13" s="56">
        <v>45167</v>
      </c>
      <c r="E13" s="129" t="s">
        <v>579</v>
      </c>
      <c r="F13" s="129" t="s">
        <v>137</v>
      </c>
      <c r="G13" s="129" t="s">
        <v>137</v>
      </c>
      <c r="H13" s="129" t="s">
        <v>137</v>
      </c>
      <c r="I13">
        <v>8.0619999999999994</v>
      </c>
      <c r="J13" t="s">
        <v>110</v>
      </c>
      <c r="K13" s="129" t="s">
        <v>218</v>
      </c>
      <c r="L13">
        <v>5.5</v>
      </c>
      <c r="M13" s="56">
        <v>46272</v>
      </c>
      <c r="N13" s="129" t="s">
        <v>377</v>
      </c>
      <c r="O13" t="s">
        <v>580</v>
      </c>
      <c r="P13" t="s">
        <v>581</v>
      </c>
      <c r="Q13">
        <v>10</v>
      </c>
      <c r="R13" s="129" t="s">
        <v>220</v>
      </c>
      <c r="S13" s="129" t="s">
        <v>268</v>
      </c>
      <c r="T13" t="s">
        <v>96</v>
      </c>
      <c r="U13" s="129" t="s">
        <v>138</v>
      </c>
      <c r="V13">
        <v>100</v>
      </c>
      <c r="W13"/>
      <c r="X13" s="129" t="s">
        <v>582</v>
      </c>
      <c r="Y13" s="129" t="s">
        <v>583</v>
      </c>
      <c r="Z13" t="s">
        <v>584</v>
      </c>
      <c r="AA13"/>
      <c r="AB13"/>
      <c r="AC13"/>
      <c r="AD13"/>
      <c r="AE13" s="129" t="s">
        <v>585</v>
      </c>
      <c r="AF13" s="129" t="s">
        <v>275</v>
      </c>
      <c r="AG13" t="s">
        <v>96</v>
      </c>
      <c r="AH13" s="129" t="s">
        <v>137</v>
      </c>
      <c r="AI13" t="s">
        <v>283</v>
      </c>
      <c r="AJ13" s="129" t="s">
        <v>1</v>
      </c>
      <c r="AK13" s="129" t="s">
        <v>282</v>
      </c>
      <c r="AL13" s="129" t="s">
        <v>136</v>
      </c>
      <c r="AM13" s="129" t="s">
        <v>586</v>
      </c>
      <c r="AN13"/>
      <c r="AO13" t="s">
        <v>96</v>
      </c>
      <c r="AP13" t="s">
        <v>96</v>
      </c>
      <c r="AQ13" t="s">
        <v>587</v>
      </c>
      <c r="AR13" t="s">
        <v>588</v>
      </c>
      <c r="AS13">
        <v>10000</v>
      </c>
      <c r="AT13">
        <v>8.0619999999999994</v>
      </c>
      <c r="AU13" s="56">
        <v>45176</v>
      </c>
      <c r="AV13" s="56"/>
      <c r="AW13">
        <v>5.5</v>
      </c>
      <c r="AX13" t="s">
        <v>96</v>
      </c>
      <c r="AY13" s="56">
        <v>45358</v>
      </c>
      <c r="AZ13" t="s">
        <v>494</v>
      </c>
      <c r="BA13" t="s">
        <v>96</v>
      </c>
      <c r="BB13" s="56">
        <v>45176</v>
      </c>
      <c r="BC13" t="s">
        <v>581</v>
      </c>
      <c r="BD13" s="56">
        <v>45176</v>
      </c>
      <c r="BE13" s="129" t="s">
        <v>330</v>
      </c>
      <c r="BF13" t="s">
        <v>589</v>
      </c>
      <c r="BG13" t="s">
        <v>590</v>
      </c>
      <c r="BH13" s="129" t="s">
        <v>139</v>
      </c>
      <c r="BI13" s="129" t="s">
        <v>139</v>
      </c>
      <c r="BJ13" s="129" t="s">
        <v>140</v>
      </c>
      <c r="BK13" s="129" t="s">
        <v>141</v>
      </c>
      <c r="BL13" s="129" t="s">
        <v>142</v>
      </c>
      <c r="BM13" t="s">
        <v>96</v>
      </c>
      <c r="BN13" s="129" t="s">
        <v>143</v>
      </c>
      <c r="BO13" t="s">
        <v>96</v>
      </c>
      <c r="BP13" t="s">
        <v>31</v>
      </c>
      <c r="BQ13" s="56"/>
      <c r="BR13" t="s">
        <v>591</v>
      </c>
    </row>
    <row r="14" spans="1:70" x14ac:dyDescent="0.25">
      <c r="A14" t="s">
        <v>592</v>
      </c>
      <c r="B14" s="129" t="s">
        <v>593</v>
      </c>
      <c r="C14" t="s">
        <v>594</v>
      </c>
      <c r="D14" s="56">
        <v>45167</v>
      </c>
      <c r="E14" s="129" t="s">
        <v>595</v>
      </c>
      <c r="F14" s="129" t="s">
        <v>596</v>
      </c>
      <c r="G14" s="129" t="s">
        <v>597</v>
      </c>
      <c r="H14" s="129" t="s">
        <v>137</v>
      </c>
      <c r="I14">
        <v>3</v>
      </c>
      <c r="J14" t="s">
        <v>89</v>
      </c>
      <c r="K14" s="129" t="s">
        <v>318</v>
      </c>
      <c r="L14">
        <v>6.2370000000000001</v>
      </c>
      <c r="M14" s="56">
        <v>45538</v>
      </c>
      <c r="N14" s="129" t="s">
        <v>114</v>
      </c>
      <c r="O14" t="s">
        <v>96</v>
      </c>
      <c r="P14" t="s">
        <v>96</v>
      </c>
      <c r="Q14"/>
      <c r="R14" s="129" t="s">
        <v>220</v>
      </c>
      <c r="S14" s="129" t="s">
        <v>268</v>
      </c>
      <c r="T14" t="s">
        <v>96</v>
      </c>
      <c r="U14" s="129" t="s">
        <v>138</v>
      </c>
      <c r="V14">
        <v>100</v>
      </c>
      <c r="W14"/>
      <c r="X14" s="129" t="s">
        <v>319</v>
      </c>
      <c r="Y14" s="129"/>
      <c r="Z14"/>
      <c r="AA14"/>
      <c r="AB14"/>
      <c r="AC14"/>
      <c r="AD14"/>
      <c r="AE14" s="129" t="s">
        <v>96</v>
      </c>
      <c r="AF14" s="129" t="s">
        <v>320</v>
      </c>
      <c r="AG14" t="s">
        <v>96</v>
      </c>
      <c r="AH14" s="129" t="s">
        <v>137</v>
      </c>
      <c r="AI14" t="s">
        <v>96</v>
      </c>
      <c r="AJ14" s="129" t="s">
        <v>88</v>
      </c>
      <c r="AK14" s="129" t="s">
        <v>598</v>
      </c>
      <c r="AL14" s="129" t="s">
        <v>599</v>
      </c>
      <c r="AM14" s="129" t="s">
        <v>165</v>
      </c>
      <c r="AN14"/>
      <c r="AO14" t="s">
        <v>96</v>
      </c>
      <c r="AP14" t="s">
        <v>96</v>
      </c>
      <c r="AQ14"/>
      <c r="AR14" t="s">
        <v>600</v>
      </c>
      <c r="AS14">
        <v>1000</v>
      </c>
      <c r="AT14">
        <v>3</v>
      </c>
      <c r="AU14" s="56">
        <v>45174</v>
      </c>
      <c r="AV14" s="56"/>
      <c r="AW14">
        <v>6.2370000000000001</v>
      </c>
      <c r="AX14" t="s">
        <v>96</v>
      </c>
      <c r="AY14" s="56">
        <v>45538</v>
      </c>
      <c r="AZ14" t="s">
        <v>601</v>
      </c>
      <c r="BA14" t="s">
        <v>96</v>
      </c>
      <c r="BB14" s="56">
        <v>45174</v>
      </c>
      <c r="BC14"/>
      <c r="BD14" s="56">
        <v>45174</v>
      </c>
      <c r="BE14" s="129" t="s">
        <v>96</v>
      </c>
      <c r="BF14" t="s">
        <v>96</v>
      </c>
      <c r="BG14" t="s">
        <v>96</v>
      </c>
      <c r="BH14" s="129" t="s">
        <v>139</v>
      </c>
      <c r="BI14" s="129" t="s">
        <v>139</v>
      </c>
      <c r="BJ14" s="129" t="s">
        <v>140</v>
      </c>
      <c r="BK14" s="129" t="s">
        <v>141</v>
      </c>
      <c r="BL14" s="129" t="s">
        <v>142</v>
      </c>
      <c r="BM14" t="s">
        <v>96</v>
      </c>
      <c r="BN14" s="129" t="s">
        <v>602</v>
      </c>
      <c r="BO14" t="s">
        <v>96</v>
      </c>
      <c r="BP14" t="s">
        <v>12</v>
      </c>
      <c r="BQ14" s="56"/>
      <c r="BR14" t="s">
        <v>603</v>
      </c>
    </row>
    <row r="15" spans="1:70" x14ac:dyDescent="0.25">
      <c r="A15" t="s">
        <v>604</v>
      </c>
      <c r="B15" s="129" t="s">
        <v>605</v>
      </c>
      <c r="C15" t="s">
        <v>606</v>
      </c>
      <c r="D15" s="56">
        <v>45167</v>
      </c>
      <c r="E15" s="129" t="s">
        <v>607</v>
      </c>
      <c r="F15" s="129" t="s">
        <v>608</v>
      </c>
      <c r="G15" s="129" t="s">
        <v>609</v>
      </c>
      <c r="H15" s="129" t="s">
        <v>137</v>
      </c>
      <c r="I15">
        <v>0.5</v>
      </c>
      <c r="J15" t="s">
        <v>89</v>
      </c>
      <c r="K15" s="129" t="s">
        <v>318</v>
      </c>
      <c r="L15">
        <v>7</v>
      </c>
      <c r="M15" s="56">
        <v>45538</v>
      </c>
      <c r="N15" s="129" t="s">
        <v>377</v>
      </c>
      <c r="O15" t="s">
        <v>96</v>
      </c>
      <c r="P15" t="s">
        <v>96</v>
      </c>
      <c r="Q15"/>
      <c r="R15" s="129" t="s">
        <v>220</v>
      </c>
      <c r="S15" s="129" t="s">
        <v>379</v>
      </c>
      <c r="T15" t="s">
        <v>610</v>
      </c>
      <c r="U15" s="129" t="s">
        <v>138</v>
      </c>
      <c r="V15"/>
      <c r="W15"/>
      <c r="X15" s="129" t="s">
        <v>611</v>
      </c>
      <c r="Y15" s="129" t="s">
        <v>612</v>
      </c>
      <c r="Z15"/>
      <c r="AA15"/>
      <c r="AB15"/>
      <c r="AC15"/>
      <c r="AD15"/>
      <c r="AE15" s="129" t="s">
        <v>613</v>
      </c>
      <c r="AF15" s="129" t="s">
        <v>504</v>
      </c>
      <c r="AG15" t="s">
        <v>96</v>
      </c>
      <c r="AH15" s="129" t="s">
        <v>137</v>
      </c>
      <c r="AI15" t="s">
        <v>273</v>
      </c>
      <c r="AJ15" s="129" t="s">
        <v>1</v>
      </c>
      <c r="AK15" s="129" t="s">
        <v>598</v>
      </c>
      <c r="AL15" s="129" t="s">
        <v>136</v>
      </c>
      <c r="AM15" s="129" t="s">
        <v>165</v>
      </c>
      <c r="AN15"/>
      <c r="AO15" t="s">
        <v>96</v>
      </c>
      <c r="AP15" t="s">
        <v>96</v>
      </c>
      <c r="AQ15"/>
      <c r="AR15" t="s">
        <v>614</v>
      </c>
      <c r="AS15">
        <v>1000</v>
      </c>
      <c r="AT15">
        <v>0.5</v>
      </c>
      <c r="AU15" s="56">
        <v>45174</v>
      </c>
      <c r="AV15" s="56"/>
      <c r="AW15">
        <v>7</v>
      </c>
      <c r="AX15" t="s">
        <v>96</v>
      </c>
      <c r="AY15" s="56">
        <v>45356</v>
      </c>
      <c r="AZ15" t="s">
        <v>615</v>
      </c>
      <c r="BA15" t="s">
        <v>604</v>
      </c>
      <c r="BB15" s="56">
        <v>45174</v>
      </c>
      <c r="BC15"/>
      <c r="BD15" s="56">
        <v>45174</v>
      </c>
      <c r="BE15" s="129" t="s">
        <v>96</v>
      </c>
      <c r="BF15" t="s">
        <v>96</v>
      </c>
      <c r="BG15" t="s">
        <v>616</v>
      </c>
      <c r="BH15" s="129" t="s">
        <v>139</v>
      </c>
      <c r="BI15" s="129" t="s">
        <v>139</v>
      </c>
      <c r="BJ15" s="129" t="s">
        <v>140</v>
      </c>
      <c r="BK15" s="129" t="s">
        <v>141</v>
      </c>
      <c r="BL15" s="129" t="s">
        <v>142</v>
      </c>
      <c r="BM15" t="s">
        <v>96</v>
      </c>
      <c r="BN15" s="129" t="s">
        <v>143</v>
      </c>
      <c r="BO15" t="s">
        <v>96</v>
      </c>
      <c r="BP15" t="s">
        <v>28</v>
      </c>
      <c r="BQ15" s="56"/>
      <c r="BR15" t="s">
        <v>617</v>
      </c>
    </row>
    <row r="16" spans="1:70" x14ac:dyDescent="0.25">
      <c r="A16" t="s">
        <v>491</v>
      </c>
      <c r="B16" s="129" t="s">
        <v>618</v>
      </c>
      <c r="C16" t="s">
        <v>490</v>
      </c>
      <c r="D16" s="56">
        <v>45167</v>
      </c>
      <c r="E16" s="129" t="s">
        <v>619</v>
      </c>
      <c r="F16" s="129" t="s">
        <v>137</v>
      </c>
      <c r="G16" s="129" t="s">
        <v>137</v>
      </c>
      <c r="H16" s="129" t="s">
        <v>137</v>
      </c>
      <c r="I16">
        <v>1.22</v>
      </c>
      <c r="J16" t="s">
        <v>89</v>
      </c>
      <c r="K16" s="129" t="s">
        <v>218</v>
      </c>
      <c r="L16">
        <v>5.9</v>
      </c>
      <c r="M16" s="56">
        <v>46266</v>
      </c>
      <c r="N16" s="129" t="s">
        <v>377</v>
      </c>
      <c r="O16" t="s">
        <v>620</v>
      </c>
      <c r="P16" t="s">
        <v>501</v>
      </c>
      <c r="Q16">
        <v>40</v>
      </c>
      <c r="R16" s="129" t="s">
        <v>220</v>
      </c>
      <c r="S16" s="129" t="s">
        <v>40</v>
      </c>
      <c r="T16" t="s">
        <v>96</v>
      </c>
      <c r="U16" s="129" t="s">
        <v>138</v>
      </c>
      <c r="V16">
        <v>100</v>
      </c>
      <c r="W16"/>
      <c r="X16" s="129" t="s">
        <v>381</v>
      </c>
      <c r="Y16" s="129" t="s">
        <v>621</v>
      </c>
      <c r="Z16" t="s">
        <v>622</v>
      </c>
      <c r="AA16"/>
      <c r="AB16"/>
      <c r="AC16"/>
      <c r="AD16"/>
      <c r="AE16" s="129" t="s">
        <v>623</v>
      </c>
      <c r="AF16" s="129" t="s">
        <v>275</v>
      </c>
      <c r="AG16" t="s">
        <v>96</v>
      </c>
      <c r="AH16" s="129" t="s">
        <v>137</v>
      </c>
      <c r="AI16" t="s">
        <v>283</v>
      </c>
      <c r="AJ16" s="129" t="s">
        <v>1</v>
      </c>
      <c r="AK16" s="129" t="s">
        <v>448</v>
      </c>
      <c r="AL16" s="129" t="s">
        <v>136</v>
      </c>
      <c r="AM16" s="129" t="s">
        <v>165</v>
      </c>
      <c r="AN16"/>
      <c r="AO16" t="s">
        <v>96</v>
      </c>
      <c r="AP16" t="s">
        <v>96</v>
      </c>
      <c r="AQ16" t="s">
        <v>624</v>
      </c>
      <c r="AR16" t="s">
        <v>625</v>
      </c>
      <c r="AS16">
        <v>1000</v>
      </c>
      <c r="AT16">
        <v>1.22</v>
      </c>
      <c r="AU16" s="56">
        <v>45170</v>
      </c>
      <c r="AV16" s="56"/>
      <c r="AW16">
        <v>5.9</v>
      </c>
      <c r="AX16" t="s">
        <v>96</v>
      </c>
      <c r="AY16" s="56">
        <v>45352</v>
      </c>
      <c r="AZ16" t="s">
        <v>626</v>
      </c>
      <c r="BA16" t="s">
        <v>491</v>
      </c>
      <c r="BB16" s="56">
        <v>45170</v>
      </c>
      <c r="BC16" t="s">
        <v>501</v>
      </c>
      <c r="BD16" s="56">
        <v>45170</v>
      </c>
      <c r="BE16" s="129" t="s">
        <v>330</v>
      </c>
      <c r="BF16" t="s">
        <v>627</v>
      </c>
      <c r="BG16" t="s">
        <v>628</v>
      </c>
      <c r="BH16" s="129" t="s">
        <v>139</v>
      </c>
      <c r="BI16" s="129" t="s">
        <v>139</v>
      </c>
      <c r="BJ16" s="129" t="s">
        <v>140</v>
      </c>
      <c r="BK16" s="129" t="s">
        <v>141</v>
      </c>
      <c r="BL16" s="129" t="s">
        <v>142</v>
      </c>
      <c r="BM16" t="s">
        <v>96</v>
      </c>
      <c r="BN16" s="129" t="s">
        <v>143</v>
      </c>
      <c r="BO16" t="s">
        <v>96</v>
      </c>
      <c r="BP16" t="s">
        <v>8</v>
      </c>
      <c r="BQ16" s="56"/>
      <c r="BR16" t="s">
        <v>629</v>
      </c>
    </row>
    <row r="17" spans="1:70" x14ac:dyDescent="0.25">
      <c r="A17" t="s">
        <v>630</v>
      </c>
      <c r="B17" s="129" t="s">
        <v>631</v>
      </c>
      <c r="C17" t="s">
        <v>632</v>
      </c>
      <c r="D17" s="56">
        <v>45167</v>
      </c>
      <c r="E17" s="129" t="s">
        <v>633</v>
      </c>
      <c r="F17" s="129" t="s">
        <v>137</v>
      </c>
      <c r="G17" s="129" t="s">
        <v>137</v>
      </c>
      <c r="H17" s="129" t="s">
        <v>137</v>
      </c>
      <c r="I17">
        <v>9</v>
      </c>
      <c r="J17" t="s">
        <v>110</v>
      </c>
      <c r="K17" s="129" t="s">
        <v>514</v>
      </c>
      <c r="L17">
        <v>2.4</v>
      </c>
      <c r="M17" s="56">
        <v>45905</v>
      </c>
      <c r="N17" s="129" t="s">
        <v>377</v>
      </c>
      <c r="O17" t="s">
        <v>96</v>
      </c>
      <c r="P17" t="s">
        <v>96</v>
      </c>
      <c r="Q17"/>
      <c r="R17" s="129" t="s">
        <v>220</v>
      </c>
      <c r="S17" s="129" t="s">
        <v>268</v>
      </c>
      <c r="T17" t="s">
        <v>96</v>
      </c>
      <c r="U17" s="129" t="s">
        <v>138</v>
      </c>
      <c r="V17">
        <v>100</v>
      </c>
      <c r="W17"/>
      <c r="X17" s="129" t="s">
        <v>276</v>
      </c>
      <c r="Y17" s="129" t="s">
        <v>383</v>
      </c>
      <c r="Z17"/>
      <c r="AA17"/>
      <c r="AB17"/>
      <c r="AC17"/>
      <c r="AD17"/>
      <c r="AE17" s="129" t="s">
        <v>634</v>
      </c>
      <c r="AF17" s="129" t="s">
        <v>504</v>
      </c>
      <c r="AG17" t="s">
        <v>37</v>
      </c>
      <c r="AH17" s="129" t="s">
        <v>137</v>
      </c>
      <c r="AI17" t="s">
        <v>96</v>
      </c>
      <c r="AJ17" s="129" t="s">
        <v>2</v>
      </c>
      <c r="AK17" s="129" t="s">
        <v>635</v>
      </c>
      <c r="AL17" s="129" t="s">
        <v>518</v>
      </c>
      <c r="AM17" s="129" t="s">
        <v>86</v>
      </c>
      <c r="AN17"/>
      <c r="AO17" t="s">
        <v>96</v>
      </c>
      <c r="AP17" t="s">
        <v>96</v>
      </c>
      <c r="AQ17"/>
      <c r="AR17" t="s">
        <v>636</v>
      </c>
      <c r="AS17">
        <v>10000</v>
      </c>
      <c r="AT17">
        <v>9</v>
      </c>
      <c r="AU17" s="56">
        <v>45174</v>
      </c>
      <c r="AV17" s="56"/>
      <c r="AW17">
        <v>2.4</v>
      </c>
      <c r="AX17" t="s">
        <v>96</v>
      </c>
      <c r="AY17" s="56">
        <v>45356</v>
      </c>
      <c r="AZ17" t="s">
        <v>637</v>
      </c>
      <c r="BA17" t="s">
        <v>96</v>
      </c>
      <c r="BB17" s="56">
        <v>45174</v>
      </c>
      <c r="BC17"/>
      <c r="BD17" s="56">
        <v>45174</v>
      </c>
      <c r="BE17" s="129" t="s">
        <v>96</v>
      </c>
      <c r="BF17" t="s">
        <v>638</v>
      </c>
      <c r="BG17" t="s">
        <v>639</v>
      </c>
      <c r="BH17" s="129" t="s">
        <v>139</v>
      </c>
      <c r="BI17" s="129" t="s">
        <v>139</v>
      </c>
      <c r="BJ17" s="129" t="s">
        <v>140</v>
      </c>
      <c r="BK17" s="129" t="s">
        <v>141</v>
      </c>
      <c r="BL17" s="129" t="s">
        <v>523</v>
      </c>
      <c r="BM17" t="s">
        <v>96</v>
      </c>
      <c r="BN17" s="129" t="s">
        <v>143</v>
      </c>
      <c r="BO17" t="s">
        <v>96</v>
      </c>
      <c r="BP17" t="s">
        <v>18</v>
      </c>
      <c r="BQ17" s="56"/>
      <c r="BR17" t="s">
        <v>640</v>
      </c>
    </row>
    <row r="18" spans="1:70" x14ac:dyDescent="0.25">
      <c r="A18" t="s">
        <v>630</v>
      </c>
      <c r="B18" s="129" t="s">
        <v>641</v>
      </c>
      <c r="C18" t="s">
        <v>642</v>
      </c>
      <c r="D18" s="56">
        <v>45167</v>
      </c>
      <c r="E18" s="129" t="s">
        <v>643</v>
      </c>
      <c r="F18" s="129" t="s">
        <v>137</v>
      </c>
      <c r="G18" s="129" t="s">
        <v>137</v>
      </c>
      <c r="H18" s="129" t="s">
        <v>137</v>
      </c>
      <c r="I18">
        <v>21</v>
      </c>
      <c r="J18" t="s">
        <v>110</v>
      </c>
      <c r="K18" s="129" t="s">
        <v>218</v>
      </c>
      <c r="L18">
        <v>2.5499999999999998</v>
      </c>
      <c r="M18" s="56">
        <v>46270</v>
      </c>
      <c r="N18" s="129" t="s">
        <v>377</v>
      </c>
      <c r="O18" t="s">
        <v>96</v>
      </c>
      <c r="P18" t="s">
        <v>96</v>
      </c>
      <c r="Q18"/>
      <c r="R18" s="129" t="s">
        <v>220</v>
      </c>
      <c r="S18" s="129" t="s">
        <v>268</v>
      </c>
      <c r="T18" t="s">
        <v>96</v>
      </c>
      <c r="U18" s="129" t="s">
        <v>138</v>
      </c>
      <c r="V18">
        <v>100</v>
      </c>
      <c r="W18"/>
      <c r="X18" s="129" t="s">
        <v>276</v>
      </c>
      <c r="Y18" s="129" t="s">
        <v>383</v>
      </c>
      <c r="Z18"/>
      <c r="AA18"/>
      <c r="AB18"/>
      <c r="AC18"/>
      <c r="AD18"/>
      <c r="AE18" s="129" t="s">
        <v>634</v>
      </c>
      <c r="AF18" s="129" t="s">
        <v>504</v>
      </c>
      <c r="AG18" t="s">
        <v>37</v>
      </c>
      <c r="AH18" s="129" t="s">
        <v>137</v>
      </c>
      <c r="AI18" t="s">
        <v>96</v>
      </c>
      <c r="AJ18" s="129" t="s">
        <v>2</v>
      </c>
      <c r="AK18" s="129" t="s">
        <v>380</v>
      </c>
      <c r="AL18" s="129" t="s">
        <v>518</v>
      </c>
      <c r="AM18" s="129" t="s">
        <v>86</v>
      </c>
      <c r="AN18"/>
      <c r="AO18" t="s">
        <v>96</v>
      </c>
      <c r="AP18" t="s">
        <v>96</v>
      </c>
      <c r="AQ18"/>
      <c r="AR18" t="s">
        <v>636</v>
      </c>
      <c r="AS18">
        <v>10000</v>
      </c>
      <c r="AT18">
        <v>21</v>
      </c>
      <c r="AU18" s="56">
        <v>45174</v>
      </c>
      <c r="AV18" s="56"/>
      <c r="AW18">
        <v>2.5499999999999998</v>
      </c>
      <c r="AX18" t="s">
        <v>96</v>
      </c>
      <c r="AY18" s="56">
        <v>45356</v>
      </c>
      <c r="AZ18" t="s">
        <v>637</v>
      </c>
      <c r="BA18" t="s">
        <v>96</v>
      </c>
      <c r="BB18" s="56">
        <v>45174</v>
      </c>
      <c r="BC18"/>
      <c r="BD18" s="56">
        <v>45174</v>
      </c>
      <c r="BE18" s="129" t="s">
        <v>96</v>
      </c>
      <c r="BF18" t="s">
        <v>638</v>
      </c>
      <c r="BG18" t="s">
        <v>639</v>
      </c>
      <c r="BH18" s="129" t="s">
        <v>139</v>
      </c>
      <c r="BI18" s="129" t="s">
        <v>139</v>
      </c>
      <c r="BJ18" s="129" t="s">
        <v>140</v>
      </c>
      <c r="BK18" s="129" t="s">
        <v>141</v>
      </c>
      <c r="BL18" s="129" t="s">
        <v>523</v>
      </c>
      <c r="BM18" t="s">
        <v>96</v>
      </c>
      <c r="BN18" s="129" t="s">
        <v>143</v>
      </c>
      <c r="BO18" t="s">
        <v>96</v>
      </c>
      <c r="BP18" t="s">
        <v>18</v>
      </c>
      <c r="BQ18" s="56"/>
      <c r="BR18" t="s">
        <v>644</v>
      </c>
    </row>
    <row r="19" spans="1:70" x14ac:dyDescent="0.25">
      <c r="A19" t="s">
        <v>630</v>
      </c>
      <c r="B19" s="129" t="s">
        <v>645</v>
      </c>
      <c r="C19" t="s">
        <v>646</v>
      </c>
      <c r="D19" s="56">
        <v>45167</v>
      </c>
      <c r="E19" s="129" t="s">
        <v>647</v>
      </c>
      <c r="F19" s="129" t="s">
        <v>137</v>
      </c>
      <c r="G19" s="129" t="s">
        <v>137</v>
      </c>
      <c r="H19" s="129" t="s">
        <v>137</v>
      </c>
      <c r="I19">
        <v>20</v>
      </c>
      <c r="J19" t="s">
        <v>110</v>
      </c>
      <c r="K19" s="129" t="s">
        <v>648</v>
      </c>
      <c r="L19">
        <v>2.75</v>
      </c>
      <c r="M19" s="56">
        <v>47001</v>
      </c>
      <c r="N19" s="129" t="s">
        <v>377</v>
      </c>
      <c r="O19" t="s">
        <v>96</v>
      </c>
      <c r="P19" t="s">
        <v>96</v>
      </c>
      <c r="Q19"/>
      <c r="R19" s="129" t="s">
        <v>220</v>
      </c>
      <c r="S19" s="129" t="s">
        <v>268</v>
      </c>
      <c r="T19" t="s">
        <v>96</v>
      </c>
      <c r="U19" s="129" t="s">
        <v>138</v>
      </c>
      <c r="V19">
        <v>100</v>
      </c>
      <c r="W19"/>
      <c r="X19" s="129" t="s">
        <v>276</v>
      </c>
      <c r="Y19" s="129" t="s">
        <v>383</v>
      </c>
      <c r="Z19"/>
      <c r="AA19"/>
      <c r="AB19"/>
      <c r="AC19"/>
      <c r="AD19"/>
      <c r="AE19" s="129" t="s">
        <v>634</v>
      </c>
      <c r="AF19" s="129" t="s">
        <v>504</v>
      </c>
      <c r="AG19" t="s">
        <v>37</v>
      </c>
      <c r="AH19" s="129" t="s">
        <v>137</v>
      </c>
      <c r="AI19" t="s">
        <v>96</v>
      </c>
      <c r="AJ19" s="129" t="s">
        <v>2</v>
      </c>
      <c r="AK19" s="129" t="s">
        <v>649</v>
      </c>
      <c r="AL19" s="129" t="s">
        <v>518</v>
      </c>
      <c r="AM19" s="129" t="s">
        <v>86</v>
      </c>
      <c r="AN19"/>
      <c r="AO19" t="s">
        <v>96</v>
      </c>
      <c r="AP19" t="s">
        <v>96</v>
      </c>
      <c r="AQ19"/>
      <c r="AR19" t="s">
        <v>636</v>
      </c>
      <c r="AS19">
        <v>10000</v>
      </c>
      <c r="AT19">
        <v>20</v>
      </c>
      <c r="AU19" s="56">
        <v>45174</v>
      </c>
      <c r="AV19" s="56"/>
      <c r="AW19">
        <v>2.75</v>
      </c>
      <c r="AX19" t="s">
        <v>96</v>
      </c>
      <c r="AY19" s="56">
        <v>45356</v>
      </c>
      <c r="AZ19" t="s">
        <v>637</v>
      </c>
      <c r="BA19" t="s">
        <v>96</v>
      </c>
      <c r="BB19" s="56">
        <v>45174</v>
      </c>
      <c r="BC19"/>
      <c r="BD19" s="56">
        <v>45174</v>
      </c>
      <c r="BE19" s="129" t="s">
        <v>96</v>
      </c>
      <c r="BF19" t="s">
        <v>638</v>
      </c>
      <c r="BG19" t="s">
        <v>639</v>
      </c>
      <c r="BH19" s="129" t="s">
        <v>139</v>
      </c>
      <c r="BI19" s="129" t="s">
        <v>139</v>
      </c>
      <c r="BJ19" s="129" t="s">
        <v>140</v>
      </c>
      <c r="BK19" s="129" t="s">
        <v>141</v>
      </c>
      <c r="BL19" s="129" t="s">
        <v>523</v>
      </c>
      <c r="BM19" t="s">
        <v>96</v>
      </c>
      <c r="BN19" s="129" t="s">
        <v>143</v>
      </c>
      <c r="BO19" t="s">
        <v>96</v>
      </c>
      <c r="BP19" t="s">
        <v>18</v>
      </c>
      <c r="BQ19" s="56"/>
      <c r="BR19" t="s">
        <v>650</v>
      </c>
    </row>
    <row r="20" spans="1:70" x14ac:dyDescent="0.25">
      <c r="A20" t="s">
        <v>317</v>
      </c>
      <c r="B20" s="129" t="s">
        <v>651</v>
      </c>
      <c r="C20" t="s">
        <v>652</v>
      </c>
      <c r="D20" s="56">
        <v>45166</v>
      </c>
      <c r="E20" s="129" t="s">
        <v>653</v>
      </c>
      <c r="F20" s="129" t="s">
        <v>137</v>
      </c>
      <c r="G20" s="129" t="s">
        <v>137</v>
      </c>
      <c r="H20" s="129" t="s">
        <v>137</v>
      </c>
      <c r="I20">
        <v>0.06</v>
      </c>
      <c r="J20" t="s">
        <v>110</v>
      </c>
      <c r="K20" s="129" t="s">
        <v>570</v>
      </c>
      <c r="L20">
        <v>2.6</v>
      </c>
      <c r="M20" s="56">
        <v>45261</v>
      </c>
      <c r="N20" s="129" t="s">
        <v>114</v>
      </c>
      <c r="O20" t="s">
        <v>96</v>
      </c>
      <c r="P20" t="s">
        <v>96</v>
      </c>
      <c r="Q20"/>
      <c r="R20" s="129" t="s">
        <v>220</v>
      </c>
      <c r="S20" s="129" t="s">
        <v>40</v>
      </c>
      <c r="T20" t="s">
        <v>96</v>
      </c>
      <c r="U20" s="129" t="s">
        <v>138</v>
      </c>
      <c r="V20"/>
      <c r="W20"/>
      <c r="X20" s="129" t="s">
        <v>319</v>
      </c>
      <c r="Y20" s="129"/>
      <c r="Z20"/>
      <c r="AA20"/>
      <c r="AB20"/>
      <c r="AC20"/>
      <c r="AD20"/>
      <c r="AE20" s="129" t="s">
        <v>654</v>
      </c>
      <c r="AF20" s="129" t="s">
        <v>320</v>
      </c>
      <c r="AG20" t="s">
        <v>96</v>
      </c>
      <c r="AH20" s="129" t="s">
        <v>137</v>
      </c>
      <c r="AI20" t="s">
        <v>96</v>
      </c>
      <c r="AJ20" s="129" t="s">
        <v>88</v>
      </c>
      <c r="AK20" s="129" t="s">
        <v>655</v>
      </c>
      <c r="AL20" s="129" t="s">
        <v>136</v>
      </c>
      <c r="AM20" s="129" t="s">
        <v>86</v>
      </c>
      <c r="AN20"/>
      <c r="AO20" t="s">
        <v>96</v>
      </c>
      <c r="AP20" t="s">
        <v>96</v>
      </c>
      <c r="AQ20"/>
      <c r="AR20" t="s">
        <v>321</v>
      </c>
      <c r="AS20">
        <v>1000000</v>
      </c>
      <c r="AT20">
        <v>0.06</v>
      </c>
      <c r="AU20" s="56">
        <v>45170</v>
      </c>
      <c r="AV20" s="56"/>
      <c r="AW20">
        <v>2.6</v>
      </c>
      <c r="AX20" t="s">
        <v>96</v>
      </c>
      <c r="AY20" s="56">
        <v>45261</v>
      </c>
      <c r="AZ20" t="s">
        <v>322</v>
      </c>
      <c r="BA20" t="s">
        <v>317</v>
      </c>
      <c r="BB20" s="56">
        <v>45170</v>
      </c>
      <c r="BC20"/>
      <c r="BD20" s="56">
        <v>45170</v>
      </c>
      <c r="BE20" s="129" t="s">
        <v>96</v>
      </c>
      <c r="BF20" t="s">
        <v>96</v>
      </c>
      <c r="BG20" t="s">
        <v>654</v>
      </c>
      <c r="BH20" s="129" t="s">
        <v>139</v>
      </c>
      <c r="BI20" s="129" t="s">
        <v>139</v>
      </c>
      <c r="BJ20" s="129" t="s">
        <v>140</v>
      </c>
      <c r="BK20" s="129" t="s">
        <v>141</v>
      </c>
      <c r="BL20" s="129" t="s">
        <v>142</v>
      </c>
      <c r="BM20" t="s">
        <v>96</v>
      </c>
      <c r="BN20" s="129" t="s">
        <v>325</v>
      </c>
      <c r="BO20" t="s">
        <v>96</v>
      </c>
      <c r="BP20" t="s">
        <v>12</v>
      </c>
      <c r="BQ20" s="56"/>
      <c r="BR20" t="s">
        <v>656</v>
      </c>
    </row>
    <row r="21" spans="1:70" x14ac:dyDescent="0.25">
      <c r="A21" t="s">
        <v>657</v>
      </c>
      <c r="B21" s="129" t="s">
        <v>658</v>
      </c>
      <c r="C21" t="s">
        <v>659</v>
      </c>
      <c r="D21" s="56">
        <v>45166</v>
      </c>
      <c r="E21" s="129" t="s">
        <v>660</v>
      </c>
      <c r="F21" s="129" t="s">
        <v>137</v>
      </c>
      <c r="G21" s="129" t="s">
        <v>137</v>
      </c>
      <c r="H21" s="129" t="s">
        <v>137</v>
      </c>
      <c r="I21">
        <v>2</v>
      </c>
      <c r="J21" t="s">
        <v>89</v>
      </c>
      <c r="K21" s="129" t="s">
        <v>218</v>
      </c>
      <c r="L21">
        <v>7.25</v>
      </c>
      <c r="M21" s="56">
        <v>46270</v>
      </c>
      <c r="N21" s="129" t="s">
        <v>661</v>
      </c>
      <c r="O21" t="s">
        <v>662</v>
      </c>
      <c r="P21" t="s">
        <v>663</v>
      </c>
      <c r="Q21">
        <v>25</v>
      </c>
      <c r="R21" s="129" t="s">
        <v>220</v>
      </c>
      <c r="S21" s="129" t="s">
        <v>40</v>
      </c>
      <c r="T21" t="s">
        <v>96</v>
      </c>
      <c r="U21" s="129" t="s">
        <v>138</v>
      </c>
      <c r="V21">
        <v>100</v>
      </c>
      <c r="W21"/>
      <c r="X21" s="129" t="s">
        <v>329</v>
      </c>
      <c r="Y21" s="129" t="s">
        <v>382</v>
      </c>
      <c r="Z21"/>
      <c r="AA21"/>
      <c r="AB21"/>
      <c r="AC21"/>
      <c r="AD21"/>
      <c r="AE21" s="129" t="s">
        <v>623</v>
      </c>
      <c r="AF21" s="129" t="s">
        <v>664</v>
      </c>
      <c r="AG21" t="s">
        <v>96</v>
      </c>
      <c r="AH21" s="129" t="s">
        <v>137</v>
      </c>
      <c r="AI21" t="s">
        <v>283</v>
      </c>
      <c r="AJ21" s="129" t="s">
        <v>2</v>
      </c>
      <c r="AK21" s="129" t="s">
        <v>380</v>
      </c>
      <c r="AL21" s="129" t="s">
        <v>136</v>
      </c>
      <c r="AM21" s="129" t="s">
        <v>86</v>
      </c>
      <c r="AN21"/>
      <c r="AO21" t="s">
        <v>96</v>
      </c>
      <c r="AP21" t="s">
        <v>96</v>
      </c>
      <c r="AQ21" t="s">
        <v>665</v>
      </c>
      <c r="AR21" t="s">
        <v>666</v>
      </c>
      <c r="AS21">
        <v>1000</v>
      </c>
      <c r="AT21">
        <v>2</v>
      </c>
      <c r="AU21" s="56">
        <v>45174</v>
      </c>
      <c r="AV21" s="56"/>
      <c r="AW21">
        <v>7.25</v>
      </c>
      <c r="AX21" t="s">
        <v>96</v>
      </c>
      <c r="AY21" s="56">
        <v>45356</v>
      </c>
      <c r="AZ21" t="s">
        <v>667</v>
      </c>
      <c r="BA21" t="s">
        <v>657</v>
      </c>
      <c r="BB21" s="56">
        <v>45174</v>
      </c>
      <c r="BC21" t="s">
        <v>663</v>
      </c>
      <c r="BD21" s="56">
        <v>45174</v>
      </c>
      <c r="BE21" s="129" t="s">
        <v>96</v>
      </c>
      <c r="BF21" t="s">
        <v>668</v>
      </c>
      <c r="BG21" t="s">
        <v>669</v>
      </c>
      <c r="BH21" s="129" t="s">
        <v>139</v>
      </c>
      <c r="BI21" s="129" t="s">
        <v>139</v>
      </c>
      <c r="BJ21" s="129" t="s">
        <v>140</v>
      </c>
      <c r="BK21" s="129" t="s">
        <v>141</v>
      </c>
      <c r="BL21" s="129" t="s">
        <v>142</v>
      </c>
      <c r="BM21" t="s">
        <v>96</v>
      </c>
      <c r="BN21" s="129" t="s">
        <v>143</v>
      </c>
      <c r="BO21" t="s">
        <v>96</v>
      </c>
      <c r="BP21" t="s">
        <v>10</v>
      </c>
      <c r="BQ21" s="56"/>
      <c r="BR21" t="s">
        <v>670</v>
      </c>
    </row>
    <row r="22" spans="1:70" x14ac:dyDescent="0.25">
      <c r="A22" t="s">
        <v>671</v>
      </c>
      <c r="B22" s="129" t="s">
        <v>672</v>
      </c>
      <c r="C22" t="s">
        <v>673</v>
      </c>
      <c r="D22" s="56">
        <v>45166</v>
      </c>
      <c r="E22" s="129" t="s">
        <v>674</v>
      </c>
      <c r="F22" s="129" t="s">
        <v>137</v>
      </c>
      <c r="G22" s="129" t="s">
        <v>137</v>
      </c>
      <c r="H22" s="129" t="s">
        <v>137</v>
      </c>
      <c r="I22">
        <v>1.26</v>
      </c>
      <c r="J22" t="s">
        <v>89</v>
      </c>
      <c r="K22" s="129" t="s">
        <v>218</v>
      </c>
      <c r="L22">
        <v>6.95</v>
      </c>
      <c r="M22" s="56">
        <v>46266</v>
      </c>
      <c r="N22" s="129" t="s">
        <v>377</v>
      </c>
      <c r="O22" t="s">
        <v>675</v>
      </c>
      <c r="P22" t="s">
        <v>676</v>
      </c>
      <c r="Q22">
        <v>35</v>
      </c>
      <c r="R22" s="129" t="s">
        <v>220</v>
      </c>
      <c r="S22" s="129" t="s">
        <v>40</v>
      </c>
      <c r="T22" t="s">
        <v>96</v>
      </c>
      <c r="U22" s="129" t="s">
        <v>138</v>
      </c>
      <c r="V22">
        <v>100</v>
      </c>
      <c r="W22"/>
      <c r="X22" s="129" t="s">
        <v>324</v>
      </c>
      <c r="Y22" s="129" t="s">
        <v>677</v>
      </c>
      <c r="Z22" t="s">
        <v>678</v>
      </c>
      <c r="AA22"/>
      <c r="AB22"/>
      <c r="AC22"/>
      <c r="AD22"/>
      <c r="AE22" s="129" t="s">
        <v>679</v>
      </c>
      <c r="AF22" s="129" t="s">
        <v>384</v>
      </c>
      <c r="AG22" t="s">
        <v>96</v>
      </c>
      <c r="AH22" s="129" t="s">
        <v>137</v>
      </c>
      <c r="AI22" t="s">
        <v>283</v>
      </c>
      <c r="AJ22" s="129" t="s">
        <v>1</v>
      </c>
      <c r="AK22" s="129" t="s">
        <v>448</v>
      </c>
      <c r="AL22" s="129" t="s">
        <v>136</v>
      </c>
      <c r="AM22" s="129" t="s">
        <v>86</v>
      </c>
      <c r="AN22"/>
      <c r="AO22" t="s">
        <v>96</v>
      </c>
      <c r="AP22" t="s">
        <v>96</v>
      </c>
      <c r="AQ22" t="s">
        <v>680</v>
      </c>
      <c r="AR22" t="s">
        <v>681</v>
      </c>
      <c r="AS22">
        <v>1000</v>
      </c>
      <c r="AT22">
        <v>1.26</v>
      </c>
      <c r="AU22" s="56">
        <v>45170</v>
      </c>
      <c r="AV22" s="56"/>
      <c r="AW22">
        <v>6.95</v>
      </c>
      <c r="AX22" t="s">
        <v>96</v>
      </c>
      <c r="AY22" s="56">
        <v>45352</v>
      </c>
      <c r="AZ22" t="s">
        <v>682</v>
      </c>
      <c r="BA22" t="s">
        <v>671</v>
      </c>
      <c r="BB22" s="56">
        <v>45170</v>
      </c>
      <c r="BC22" t="s">
        <v>676</v>
      </c>
      <c r="BD22" s="56">
        <v>45170</v>
      </c>
      <c r="BE22" s="129" t="s">
        <v>96</v>
      </c>
      <c r="BF22" t="s">
        <v>683</v>
      </c>
      <c r="BG22" t="s">
        <v>684</v>
      </c>
      <c r="BH22" s="129" t="s">
        <v>139</v>
      </c>
      <c r="BI22" s="129" t="s">
        <v>139</v>
      </c>
      <c r="BJ22" s="129" t="s">
        <v>140</v>
      </c>
      <c r="BK22" s="129" t="s">
        <v>141</v>
      </c>
      <c r="BL22" s="129" t="s">
        <v>142</v>
      </c>
      <c r="BM22" t="s">
        <v>96</v>
      </c>
      <c r="BN22" s="129" t="s">
        <v>143</v>
      </c>
      <c r="BO22" t="s">
        <v>96</v>
      </c>
      <c r="BP22" t="s">
        <v>17</v>
      </c>
      <c r="BQ22" s="56"/>
      <c r="BR22" t="s">
        <v>685</v>
      </c>
    </row>
  </sheetData>
  <phoneticPr fontId="41" type="noConversion"/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144E1-EC07-4825-B698-BD99D36A4317}">
  <sheetPr codeName="Sheet12">
    <tabColor rgb="FFE1E1E9"/>
  </sheetPr>
  <dimension ref="A1:M22"/>
  <sheetViews>
    <sheetView workbookViewId="0">
      <selection activeCell="G6" sqref="G6"/>
    </sheetView>
  </sheetViews>
  <sheetFormatPr defaultRowHeight="15" x14ac:dyDescent="0.25"/>
  <cols>
    <col min="1" max="1" width="7.33203125" style="1" bestFit="1" customWidth="1"/>
    <col min="2" max="2" width="9.33203125" style="1" bestFit="1" customWidth="1"/>
    <col min="3" max="3" width="14" style="1" bestFit="1" customWidth="1"/>
    <col min="4" max="4" width="18.44140625" style="1" bestFit="1" customWidth="1"/>
    <col min="5" max="5" width="9.44140625" style="1" bestFit="1" customWidth="1"/>
    <col min="6" max="6" width="12.77734375" style="1" bestFit="1" customWidth="1"/>
    <col min="7" max="7" width="14.44140625" style="1" bestFit="1" customWidth="1"/>
    <col min="8" max="8" width="12.88671875" style="1" bestFit="1" customWidth="1"/>
    <col min="9" max="10" width="9.44140625" style="1" bestFit="1" customWidth="1"/>
    <col min="11" max="11" width="9.5546875" style="1" bestFit="1" customWidth="1"/>
    <col min="12" max="12" width="9.6640625" style="1" bestFit="1" customWidth="1"/>
    <col min="13" max="13" width="20.109375" style="1" bestFit="1" customWidth="1"/>
    <col min="14" max="14" width="11.6640625" style="1" customWidth="1"/>
    <col min="15" max="16384" width="8.88671875" style="1"/>
  </cols>
  <sheetData>
    <row r="1" spans="1:13" ht="67.5" customHeight="1" x14ac:dyDescent="0.25">
      <c r="A1" s="58" t="s">
        <v>299</v>
      </c>
    </row>
    <row r="5" spans="1:13" x14ac:dyDescent="0.25">
      <c r="A5" t="s">
        <v>90</v>
      </c>
      <c r="B5" t="s">
        <v>51</v>
      </c>
      <c r="C5" t="s">
        <v>50</v>
      </c>
      <c r="D5" t="s">
        <v>158</v>
      </c>
      <c r="E5" t="s">
        <v>147</v>
      </c>
      <c r="F5" t="s">
        <v>294</v>
      </c>
      <c r="G5" t="s">
        <v>376</v>
      </c>
      <c r="H5" t="s">
        <v>193</v>
      </c>
      <c r="I5" t="s">
        <v>123</v>
      </c>
      <c r="J5" t="s">
        <v>295</v>
      </c>
      <c r="K5" t="s">
        <v>296</v>
      </c>
      <c r="L5" t="s">
        <v>297</v>
      </c>
      <c r="M5" t="s">
        <v>152</v>
      </c>
    </row>
    <row r="6" spans="1:13" x14ac:dyDescent="0.25">
      <c r="A6">
        <v>1</v>
      </c>
      <c r="B6" s="56">
        <v>45169</v>
      </c>
      <c r="C6" t="s">
        <v>531</v>
      </c>
      <c r="D6"/>
      <c r="E6" t="s">
        <v>87</v>
      </c>
      <c r="F6" t="s">
        <v>316</v>
      </c>
      <c r="G6" t="s">
        <v>7</v>
      </c>
      <c r="H6" t="s">
        <v>87</v>
      </c>
      <c r="I6"/>
      <c r="J6"/>
      <c r="K6" t="s">
        <v>87</v>
      </c>
      <c r="L6" t="s">
        <v>87</v>
      </c>
      <c r="M6" t="s">
        <v>537</v>
      </c>
    </row>
    <row r="7" spans="1:13" x14ac:dyDescent="0.25">
      <c r="A7">
        <v>2</v>
      </c>
      <c r="B7" s="56">
        <v>45169</v>
      </c>
      <c r="C7" t="s">
        <v>497</v>
      </c>
      <c r="D7"/>
      <c r="E7" t="s">
        <v>87</v>
      </c>
      <c r="F7" t="s">
        <v>316</v>
      </c>
      <c r="G7" t="s">
        <v>7</v>
      </c>
      <c r="H7" t="s">
        <v>686</v>
      </c>
      <c r="I7"/>
      <c r="J7"/>
      <c r="K7" t="s">
        <v>87</v>
      </c>
      <c r="L7" t="s">
        <v>686</v>
      </c>
      <c r="M7" t="s">
        <v>509</v>
      </c>
    </row>
    <row r="8" spans="1:13" x14ac:dyDescent="0.25">
      <c r="A8">
        <v>3</v>
      </c>
      <c r="B8" s="56">
        <v>45169</v>
      </c>
      <c r="C8" t="s">
        <v>526</v>
      </c>
      <c r="D8"/>
      <c r="E8" t="s">
        <v>87</v>
      </c>
      <c r="F8" t="s">
        <v>316</v>
      </c>
      <c r="G8" t="s">
        <v>7</v>
      </c>
      <c r="H8" t="s">
        <v>87</v>
      </c>
      <c r="I8"/>
      <c r="J8"/>
      <c r="K8" t="s">
        <v>87</v>
      </c>
      <c r="L8" t="s">
        <v>87</v>
      </c>
      <c r="M8" t="s">
        <v>528</v>
      </c>
    </row>
    <row r="9" spans="1:13" x14ac:dyDescent="0.25">
      <c r="A9">
        <v>4</v>
      </c>
      <c r="B9" s="56">
        <v>45169</v>
      </c>
      <c r="C9" t="s">
        <v>512</v>
      </c>
      <c r="D9"/>
      <c r="E9" t="s">
        <v>87</v>
      </c>
      <c r="F9" t="s">
        <v>316</v>
      </c>
      <c r="G9" t="s">
        <v>7</v>
      </c>
      <c r="H9" t="s">
        <v>87</v>
      </c>
      <c r="I9"/>
      <c r="J9"/>
      <c r="K9" t="s">
        <v>87</v>
      </c>
      <c r="L9" t="s">
        <v>87</v>
      </c>
      <c r="M9" t="s">
        <v>524</v>
      </c>
    </row>
    <row r="10" spans="1:13" x14ac:dyDescent="0.25">
      <c r="A10">
        <v>5</v>
      </c>
      <c r="B10" s="56">
        <v>45168</v>
      </c>
      <c r="C10" t="s">
        <v>485</v>
      </c>
      <c r="D10"/>
      <c r="E10" t="s">
        <v>87</v>
      </c>
      <c r="F10" t="s">
        <v>328</v>
      </c>
      <c r="G10" t="s">
        <v>7</v>
      </c>
      <c r="H10" t="s">
        <v>87</v>
      </c>
      <c r="I10"/>
      <c r="J10"/>
      <c r="K10" t="s">
        <v>87</v>
      </c>
      <c r="L10" t="s">
        <v>87</v>
      </c>
      <c r="M10" t="s">
        <v>486</v>
      </c>
    </row>
    <row r="11" spans="1:13" x14ac:dyDescent="0.25">
      <c r="A11">
        <v>6</v>
      </c>
      <c r="B11" s="56">
        <v>45168</v>
      </c>
      <c r="C11" t="s">
        <v>487</v>
      </c>
      <c r="D11"/>
      <c r="E11" t="s">
        <v>686</v>
      </c>
      <c r="F11" t="s">
        <v>328</v>
      </c>
      <c r="G11" t="s">
        <v>7</v>
      </c>
      <c r="H11" t="s">
        <v>686</v>
      </c>
      <c r="I11"/>
      <c r="J11"/>
      <c r="K11" t="s">
        <v>686</v>
      </c>
      <c r="L11" t="s">
        <v>686</v>
      </c>
      <c r="M11" t="s">
        <v>488</v>
      </c>
    </row>
    <row r="12" spans="1:13" x14ac:dyDescent="0.25">
      <c r="A12">
        <v>7</v>
      </c>
      <c r="B12" s="56">
        <v>45167</v>
      </c>
      <c r="C12" t="s">
        <v>594</v>
      </c>
      <c r="D12"/>
      <c r="E12" t="s">
        <v>87</v>
      </c>
      <c r="F12" t="s">
        <v>315</v>
      </c>
      <c r="G12" t="s">
        <v>7</v>
      </c>
      <c r="H12" t="s">
        <v>687</v>
      </c>
      <c r="I12"/>
      <c r="J12"/>
      <c r="K12" t="s">
        <v>87</v>
      </c>
      <c r="L12" t="s">
        <v>687</v>
      </c>
      <c r="M12" t="s">
        <v>603</v>
      </c>
    </row>
    <row r="13" spans="1:13" x14ac:dyDescent="0.25">
      <c r="A13">
        <v>8</v>
      </c>
      <c r="B13" s="56">
        <v>45167</v>
      </c>
      <c r="C13" t="s">
        <v>606</v>
      </c>
      <c r="D13"/>
      <c r="E13" t="s">
        <v>87</v>
      </c>
      <c r="F13" t="s">
        <v>328</v>
      </c>
      <c r="G13" t="s">
        <v>7</v>
      </c>
      <c r="H13" t="s">
        <v>688</v>
      </c>
      <c r="I13"/>
      <c r="J13"/>
      <c r="K13" t="s">
        <v>87</v>
      </c>
      <c r="L13" t="s">
        <v>689</v>
      </c>
      <c r="M13" t="s">
        <v>617</v>
      </c>
    </row>
    <row r="14" spans="1:13" x14ac:dyDescent="0.25">
      <c r="A14">
        <v>9</v>
      </c>
      <c r="B14" s="56">
        <v>45167</v>
      </c>
      <c r="C14" t="s">
        <v>566</v>
      </c>
      <c r="D14"/>
      <c r="E14" t="s">
        <v>87</v>
      </c>
      <c r="F14" t="s">
        <v>328</v>
      </c>
      <c r="G14" t="s">
        <v>7</v>
      </c>
      <c r="H14" t="s">
        <v>690</v>
      </c>
      <c r="I14"/>
      <c r="J14"/>
      <c r="K14" t="s">
        <v>87</v>
      </c>
      <c r="L14" t="s">
        <v>690</v>
      </c>
      <c r="M14" t="s">
        <v>577</v>
      </c>
    </row>
    <row r="15" spans="1:13" x14ac:dyDescent="0.25">
      <c r="A15">
        <v>10</v>
      </c>
      <c r="B15" s="56">
        <v>45167</v>
      </c>
      <c r="C15" t="s">
        <v>493</v>
      </c>
      <c r="D15"/>
      <c r="E15" t="s">
        <v>87</v>
      </c>
      <c r="F15" t="s">
        <v>316</v>
      </c>
      <c r="G15" t="s">
        <v>7</v>
      </c>
      <c r="H15" t="s">
        <v>691</v>
      </c>
      <c r="I15"/>
      <c r="J15"/>
      <c r="K15" t="s">
        <v>87</v>
      </c>
      <c r="L15" t="s">
        <v>691</v>
      </c>
      <c r="M15" t="s">
        <v>591</v>
      </c>
    </row>
    <row r="16" spans="1:13" x14ac:dyDescent="0.25">
      <c r="A16">
        <v>11</v>
      </c>
      <c r="B16" s="56">
        <v>45167</v>
      </c>
      <c r="C16" t="s">
        <v>646</v>
      </c>
      <c r="D16"/>
      <c r="E16" t="s">
        <v>87</v>
      </c>
      <c r="F16" t="s">
        <v>316</v>
      </c>
      <c r="G16" t="s">
        <v>7</v>
      </c>
      <c r="H16" t="s">
        <v>87</v>
      </c>
      <c r="I16"/>
      <c r="J16"/>
      <c r="K16" t="s">
        <v>87</v>
      </c>
      <c r="L16" t="s">
        <v>87</v>
      </c>
      <c r="M16" t="s">
        <v>650</v>
      </c>
    </row>
    <row r="17" spans="1:13" x14ac:dyDescent="0.25">
      <c r="A17">
        <v>12</v>
      </c>
      <c r="B17" s="56">
        <v>45167</v>
      </c>
      <c r="C17" t="s">
        <v>642</v>
      </c>
      <c r="D17"/>
      <c r="E17" t="s">
        <v>87</v>
      </c>
      <c r="F17" t="s">
        <v>316</v>
      </c>
      <c r="G17" t="s">
        <v>7</v>
      </c>
      <c r="H17" t="s">
        <v>87</v>
      </c>
      <c r="I17"/>
      <c r="J17"/>
      <c r="K17" t="s">
        <v>87</v>
      </c>
      <c r="L17" t="s">
        <v>87</v>
      </c>
      <c r="M17" t="s">
        <v>644</v>
      </c>
    </row>
    <row r="18" spans="1:13" x14ac:dyDescent="0.25">
      <c r="A18">
        <v>13</v>
      </c>
      <c r="B18" s="56">
        <v>45167</v>
      </c>
      <c r="C18" t="s">
        <v>632</v>
      </c>
      <c r="D18"/>
      <c r="E18" t="s">
        <v>87</v>
      </c>
      <c r="F18" t="s">
        <v>316</v>
      </c>
      <c r="G18" t="s">
        <v>7</v>
      </c>
      <c r="H18" t="s">
        <v>87</v>
      </c>
      <c r="I18"/>
      <c r="J18"/>
      <c r="K18" t="s">
        <v>87</v>
      </c>
      <c r="L18" t="s">
        <v>87</v>
      </c>
      <c r="M18" t="s">
        <v>640</v>
      </c>
    </row>
    <row r="19" spans="1:13" x14ac:dyDescent="0.25">
      <c r="A19">
        <v>14</v>
      </c>
      <c r="B19" s="56">
        <v>45167</v>
      </c>
      <c r="C19" t="s">
        <v>490</v>
      </c>
      <c r="D19"/>
      <c r="E19" t="s">
        <v>385</v>
      </c>
      <c r="F19" t="s">
        <v>315</v>
      </c>
      <c r="G19" t="s">
        <v>7</v>
      </c>
      <c r="H19" t="s">
        <v>385</v>
      </c>
      <c r="I19"/>
      <c r="J19"/>
      <c r="K19" t="s">
        <v>385</v>
      </c>
      <c r="L19" t="s">
        <v>385</v>
      </c>
      <c r="M19" t="s">
        <v>629</v>
      </c>
    </row>
    <row r="20" spans="1:13" x14ac:dyDescent="0.25">
      <c r="A20">
        <v>15</v>
      </c>
      <c r="B20" s="56">
        <v>45166</v>
      </c>
      <c r="C20" t="s">
        <v>652</v>
      </c>
      <c r="D20"/>
      <c r="E20" t="s">
        <v>87</v>
      </c>
      <c r="F20" t="s">
        <v>315</v>
      </c>
      <c r="G20" t="s">
        <v>7</v>
      </c>
      <c r="H20" t="s">
        <v>87</v>
      </c>
      <c r="I20"/>
      <c r="J20"/>
      <c r="K20" t="s">
        <v>87</v>
      </c>
      <c r="L20" t="s">
        <v>87</v>
      </c>
      <c r="M20" t="s">
        <v>656</v>
      </c>
    </row>
    <row r="21" spans="1:13" x14ac:dyDescent="0.25">
      <c r="A21">
        <v>16</v>
      </c>
      <c r="B21" s="56">
        <v>45166</v>
      </c>
      <c r="C21" t="s">
        <v>659</v>
      </c>
      <c r="D21"/>
      <c r="E21" t="s">
        <v>87</v>
      </c>
      <c r="F21" t="s">
        <v>328</v>
      </c>
      <c r="G21" t="s">
        <v>7</v>
      </c>
      <c r="H21" t="s">
        <v>87</v>
      </c>
      <c r="I21"/>
      <c r="J21"/>
      <c r="K21" t="s">
        <v>87</v>
      </c>
      <c r="L21" t="s">
        <v>87</v>
      </c>
      <c r="M21" t="s">
        <v>670</v>
      </c>
    </row>
    <row r="22" spans="1:13" x14ac:dyDescent="0.25">
      <c r="A22">
        <v>17</v>
      </c>
      <c r="B22" s="56">
        <v>45166</v>
      </c>
      <c r="C22" t="s">
        <v>673</v>
      </c>
      <c r="D22"/>
      <c r="E22" t="s">
        <v>87</v>
      </c>
      <c r="F22" t="s">
        <v>315</v>
      </c>
      <c r="G22" t="s">
        <v>7</v>
      </c>
      <c r="H22" t="s">
        <v>87</v>
      </c>
      <c r="I22"/>
      <c r="J22"/>
      <c r="K22" t="s">
        <v>87</v>
      </c>
      <c r="L22" t="s">
        <v>87</v>
      </c>
      <c r="M22" t="s">
        <v>685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5D57B4-6EF1-40A2-95CC-36C330DDF6AE}">
  <sheetPr codeName="Sheet16"/>
  <dimension ref="A1:H6"/>
  <sheetViews>
    <sheetView workbookViewId="0">
      <selection activeCell="E20" sqref="E20"/>
    </sheetView>
  </sheetViews>
  <sheetFormatPr defaultRowHeight="15" x14ac:dyDescent="0.25"/>
  <cols>
    <col min="1" max="1" width="13.77734375" style="1" bestFit="1" customWidth="1"/>
    <col min="2" max="2" width="6.21875" style="1" bestFit="1" customWidth="1"/>
    <col min="3" max="3" width="19.6640625" style="1" bestFit="1" customWidth="1"/>
    <col min="4" max="6" width="9.44140625" style="1" bestFit="1" customWidth="1"/>
    <col min="7" max="7" width="11.6640625" style="1" bestFit="1" customWidth="1"/>
    <col min="8" max="8" width="11.109375" style="1" bestFit="1" customWidth="1"/>
    <col min="9" max="16384" width="8.88671875" style="1"/>
  </cols>
  <sheetData>
    <row r="1" spans="1:8" ht="67.5" customHeight="1" x14ac:dyDescent="0.25">
      <c r="A1" s="59" t="s">
        <v>310</v>
      </c>
    </row>
    <row r="5" spans="1:8" x14ac:dyDescent="0.25">
      <c r="A5" t="s">
        <v>204</v>
      </c>
      <c r="B5" t="s">
        <v>50</v>
      </c>
      <c r="C5" t="s">
        <v>307</v>
      </c>
      <c r="D5" t="s">
        <v>225</v>
      </c>
      <c r="E5" t="s">
        <v>308</v>
      </c>
      <c r="F5" t="s">
        <v>187</v>
      </c>
      <c r="G5" t="s">
        <v>188</v>
      </c>
      <c r="H5" t="s">
        <v>309</v>
      </c>
    </row>
    <row r="6" spans="1:8" x14ac:dyDescent="0.25">
      <c r="A6"/>
      <c r="B6"/>
      <c r="C6"/>
      <c r="D6"/>
      <c r="E6"/>
      <c r="F6"/>
      <c r="G6"/>
      <c r="H6"/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E41CE-0582-4EBB-8FB6-8CEF8ED29E76}">
  <sheetPr codeName="Sheet17"/>
  <dimension ref="A1:M7"/>
  <sheetViews>
    <sheetView workbookViewId="0">
      <selection activeCell="E20" sqref="E20"/>
    </sheetView>
  </sheetViews>
  <sheetFormatPr defaultRowHeight="15" x14ac:dyDescent="0.25"/>
  <cols>
    <col min="1" max="1" width="31.5546875" style="1" bestFit="1" customWidth="1"/>
    <col min="2" max="2" width="9.33203125" style="1" bestFit="1" customWidth="1"/>
    <col min="3" max="3" width="22.6640625" style="1" bestFit="1" customWidth="1"/>
    <col min="4" max="4" width="14" style="1" bestFit="1" customWidth="1"/>
    <col min="5" max="5" width="7.77734375" style="1" bestFit="1" customWidth="1"/>
    <col min="6" max="6" width="11.109375" style="1" bestFit="1" customWidth="1"/>
    <col min="7" max="8" width="9.44140625" style="1" bestFit="1" customWidth="1"/>
    <col min="9" max="9" width="7.6640625" style="1" bestFit="1" customWidth="1"/>
    <col min="10" max="10" width="27.33203125" style="1" bestFit="1" customWidth="1"/>
    <col min="11" max="11" width="9.109375" style="1" bestFit="1" customWidth="1"/>
    <col min="12" max="12" width="9.44140625" style="1" bestFit="1" customWidth="1"/>
    <col min="13" max="13" width="20.109375" style="1" bestFit="1" customWidth="1"/>
    <col min="14" max="16384" width="8.88671875" style="1"/>
  </cols>
  <sheetData>
    <row r="1" spans="1:13" ht="67.5" customHeight="1" x14ac:dyDescent="0.25">
      <c r="A1" s="7" t="s">
        <v>306</v>
      </c>
    </row>
    <row r="5" spans="1:13" x14ac:dyDescent="0.25">
      <c r="A5" t="s">
        <v>98</v>
      </c>
      <c r="B5" t="s">
        <v>51</v>
      </c>
      <c r="C5" t="s">
        <v>300</v>
      </c>
      <c r="D5" t="s">
        <v>50</v>
      </c>
      <c r="E5" t="s">
        <v>62</v>
      </c>
      <c r="F5" t="s">
        <v>301</v>
      </c>
      <c r="G5" t="s">
        <v>64</v>
      </c>
      <c r="H5" t="s">
        <v>302</v>
      </c>
      <c r="I5" t="s">
        <v>45</v>
      </c>
      <c r="J5" t="s">
        <v>303</v>
      </c>
      <c r="K5" t="s">
        <v>304</v>
      </c>
      <c r="L5" t="s">
        <v>305</v>
      </c>
      <c r="M5" t="s">
        <v>152</v>
      </c>
    </row>
    <row r="6" spans="1:13" x14ac:dyDescent="0.25">
      <c r="A6" t="s">
        <v>450</v>
      </c>
      <c r="B6" s="56">
        <v>45153</v>
      </c>
      <c r="C6" t="s">
        <v>451</v>
      </c>
      <c r="D6" t="s">
        <v>452</v>
      </c>
      <c r="E6" t="s">
        <v>453</v>
      </c>
      <c r="F6" t="s">
        <v>454</v>
      </c>
      <c r="G6"/>
      <c r="H6"/>
      <c r="I6" t="s">
        <v>455</v>
      </c>
      <c r="J6"/>
      <c r="K6" t="s">
        <v>96</v>
      </c>
      <c r="L6" t="s">
        <v>96</v>
      </c>
      <c r="M6" t="s">
        <v>456</v>
      </c>
    </row>
    <row r="7" spans="1:13" x14ac:dyDescent="0.25">
      <c r="A7" t="s">
        <v>457</v>
      </c>
      <c r="B7" s="56">
        <v>45154</v>
      </c>
      <c r="C7" t="s">
        <v>458</v>
      </c>
      <c r="D7" t="s">
        <v>459</v>
      </c>
      <c r="E7" t="s">
        <v>453</v>
      </c>
      <c r="F7" t="s">
        <v>454</v>
      </c>
      <c r="G7"/>
      <c r="H7"/>
      <c r="I7" t="s">
        <v>1</v>
      </c>
      <c r="J7"/>
      <c r="K7" t="s">
        <v>96</v>
      </c>
      <c r="L7" t="s">
        <v>96</v>
      </c>
      <c r="M7" t="s">
        <v>460</v>
      </c>
    </row>
  </sheetData>
  <phoneticPr fontId="41" type="noConversion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10FF5-A896-494A-B3F1-5078291E826A}">
  <sheetPr codeName="Sheet13"/>
  <dimension ref="A1:BH18"/>
  <sheetViews>
    <sheetView workbookViewId="0">
      <selection activeCell="F6" sqref="F6"/>
    </sheetView>
  </sheetViews>
  <sheetFormatPr defaultRowHeight="15" x14ac:dyDescent="0.25"/>
  <cols>
    <col min="1" max="1" width="7.33203125" style="1" bestFit="1" customWidth="1"/>
    <col min="2" max="2" width="29.88671875" style="1" bestFit="1" customWidth="1"/>
    <col min="3" max="3" width="14" style="1" bestFit="1" customWidth="1"/>
    <col min="4" max="4" width="9.33203125" style="1" bestFit="1" customWidth="1"/>
    <col min="5" max="6" width="9.44140625" style="1" bestFit="1" customWidth="1"/>
    <col min="7" max="7" width="12.77734375" style="1" bestFit="1" customWidth="1"/>
    <col min="8" max="8" width="6.109375" style="1" bestFit="1" customWidth="1"/>
    <col min="9" max="9" width="12.21875" style="1" bestFit="1" customWidth="1"/>
    <col min="10" max="11" width="6.109375" style="1" bestFit="1" customWidth="1"/>
    <col min="12" max="12" width="6.6640625" style="1" bestFit="1" customWidth="1"/>
    <col min="13" max="13" width="6.33203125" style="1" bestFit="1" customWidth="1"/>
    <col min="14" max="14" width="6.109375" style="1" bestFit="1" customWidth="1"/>
    <col min="15" max="16" width="9.44140625" style="1" bestFit="1" customWidth="1"/>
    <col min="17" max="17" width="7.77734375" style="1" bestFit="1" customWidth="1"/>
    <col min="18" max="18" width="13.5546875" style="1" bestFit="1" customWidth="1"/>
    <col min="19" max="19" width="16.77734375" style="1" bestFit="1" customWidth="1"/>
    <col min="20" max="21" width="11.109375" style="1" bestFit="1" customWidth="1"/>
    <col min="22" max="24" width="9.44140625" style="1" bestFit="1" customWidth="1"/>
    <col min="25" max="25" width="11.109375" style="1" bestFit="1" customWidth="1"/>
    <col min="26" max="26" width="8.33203125" style="1" bestFit="1" customWidth="1"/>
    <col min="27" max="27" width="7.77734375" style="1" bestFit="1" customWidth="1"/>
    <col min="28" max="28" width="7" style="1" bestFit="1" customWidth="1"/>
    <col min="29" max="29" width="7.77734375" style="1" bestFit="1" customWidth="1"/>
    <col min="30" max="30" width="8.44140625" style="1" bestFit="1" customWidth="1"/>
    <col min="31" max="31" width="11.109375" style="1" bestFit="1" customWidth="1"/>
    <col min="32" max="32" width="14.44140625" style="1" bestFit="1" customWidth="1"/>
    <col min="33" max="33" width="43.44140625" style="1" bestFit="1" customWidth="1"/>
    <col min="34" max="34" width="28.109375" style="1" bestFit="1" customWidth="1"/>
    <col min="35" max="35" width="17.88671875" style="1" bestFit="1" customWidth="1"/>
    <col min="36" max="36" width="7.77734375" style="1" bestFit="1" customWidth="1"/>
    <col min="37" max="37" width="9.88671875" style="1" bestFit="1" customWidth="1"/>
    <col min="38" max="38" width="11.33203125" style="1" bestFit="1" customWidth="1"/>
    <col min="39" max="39" width="6.109375" style="1" bestFit="1" customWidth="1"/>
    <col min="40" max="41" width="9.44140625" style="1" bestFit="1" customWidth="1"/>
    <col min="42" max="42" width="10.21875" style="1" bestFit="1" customWidth="1"/>
    <col min="43" max="43" width="12.6640625" style="1" bestFit="1" customWidth="1"/>
    <col min="44" max="44" width="6.77734375" style="1" bestFit="1" customWidth="1"/>
    <col min="45" max="45" width="9.5546875" style="1" bestFit="1" customWidth="1"/>
    <col min="46" max="46" width="11.77734375" style="1" bestFit="1" customWidth="1"/>
    <col min="47" max="48" width="20.109375" style="1" customWidth="1"/>
    <col min="49" max="49" width="11.5546875" style="1" bestFit="1" customWidth="1"/>
    <col min="50" max="51" width="17.33203125" style="1" bestFit="1" customWidth="1"/>
    <col min="52" max="52" width="9.21875" style="1" bestFit="1" customWidth="1"/>
    <col min="53" max="53" width="15.21875" style="1" bestFit="1" customWidth="1"/>
    <col min="54" max="54" width="13.44140625" style="1" bestFit="1" customWidth="1"/>
    <col min="55" max="55" width="11.109375" style="1" bestFit="1" customWidth="1"/>
    <col min="56" max="57" width="10.88671875" style="1" bestFit="1" customWidth="1"/>
    <col min="58" max="58" width="9.21875" style="1" bestFit="1" customWidth="1"/>
    <col min="59" max="59" width="8.77734375" style="1" bestFit="1" customWidth="1"/>
    <col min="60" max="60" width="9.21875" style="1" bestFit="1" customWidth="1"/>
    <col min="61" max="61" width="14.6640625" style="1" bestFit="1" customWidth="1"/>
    <col min="62" max="62" width="9.21875" style="1" bestFit="1" customWidth="1"/>
    <col min="63" max="63" width="8.5546875" style="1" bestFit="1" customWidth="1"/>
    <col min="64" max="64" width="9.33203125" style="1" bestFit="1" customWidth="1"/>
    <col min="65" max="65" width="9.21875" style="1" bestFit="1" customWidth="1"/>
    <col min="66" max="66" width="10.109375" style="1" bestFit="1" customWidth="1"/>
    <col min="67" max="67" width="10.33203125" style="1" bestFit="1" customWidth="1"/>
    <col min="68" max="68" width="15.109375" style="1" bestFit="1" customWidth="1"/>
    <col min="69" max="69" width="10.33203125" style="1" bestFit="1" customWidth="1"/>
    <col min="70" max="70" width="5.88671875" style="1" bestFit="1" customWidth="1"/>
    <col min="71" max="71" width="9.21875" style="1" bestFit="1" customWidth="1"/>
    <col min="72" max="72" width="10.33203125" style="1" bestFit="1" customWidth="1"/>
    <col min="73" max="73" width="14.44140625" style="1" bestFit="1" customWidth="1"/>
    <col min="74" max="74" width="16.109375" style="1" bestFit="1" customWidth="1"/>
    <col min="75" max="75" width="20.6640625" style="1" bestFit="1" customWidth="1"/>
    <col min="76" max="76" width="18.88671875" style="1" bestFit="1" customWidth="1"/>
    <col min="77" max="77" width="27.109375" style="1" bestFit="1" customWidth="1"/>
    <col min="78" max="16384" width="8.88671875" style="1"/>
  </cols>
  <sheetData>
    <row r="1" spans="1:60" ht="39.75" customHeight="1" x14ac:dyDescent="0.25"/>
    <row r="2" spans="1:60" ht="39.75" customHeight="1" x14ac:dyDescent="0.25"/>
    <row r="3" spans="1:60" ht="39.75" customHeight="1" x14ac:dyDescent="0.25"/>
    <row r="4" spans="1:60" x14ac:dyDescent="0.25">
      <c r="A4" t="s">
        <v>90</v>
      </c>
      <c r="B4" t="s">
        <v>98</v>
      </c>
      <c r="C4" t="s">
        <v>50</v>
      </c>
      <c r="D4" t="s">
        <v>51</v>
      </c>
      <c r="E4" t="s">
        <v>147</v>
      </c>
      <c r="F4" t="s">
        <v>193</v>
      </c>
      <c r="G4" t="s">
        <v>53</v>
      </c>
      <c r="H4" t="s">
        <v>67</v>
      </c>
      <c r="I4" t="s">
        <v>60</v>
      </c>
      <c r="J4" t="s">
        <v>91</v>
      </c>
      <c r="K4" t="s">
        <v>124</v>
      </c>
      <c r="L4" t="s">
        <v>92</v>
      </c>
      <c r="M4" t="s">
        <v>56</v>
      </c>
      <c r="N4" t="s">
        <v>167</v>
      </c>
      <c r="O4" t="s">
        <v>182</v>
      </c>
      <c r="P4" t="s">
        <v>184</v>
      </c>
      <c r="Q4" t="s">
        <v>62</v>
      </c>
      <c r="R4" t="s">
        <v>94</v>
      </c>
      <c r="S4" t="s">
        <v>95</v>
      </c>
      <c r="T4" t="s">
        <v>202</v>
      </c>
      <c r="U4" t="s">
        <v>203</v>
      </c>
      <c r="V4" t="s">
        <v>153</v>
      </c>
      <c r="W4" t="s">
        <v>84</v>
      </c>
      <c r="X4" t="s">
        <v>70</v>
      </c>
      <c r="Y4" t="s">
        <v>73</v>
      </c>
      <c r="Z4" t="s">
        <v>55</v>
      </c>
      <c r="AA4" t="s">
        <v>189</v>
      </c>
      <c r="AB4" t="s">
        <v>190</v>
      </c>
      <c r="AC4" t="s">
        <v>232</v>
      </c>
      <c r="AD4" t="s">
        <v>69</v>
      </c>
      <c r="AE4" t="s">
        <v>261</v>
      </c>
      <c r="AF4" t="s">
        <v>376</v>
      </c>
      <c r="AG4" t="s">
        <v>74</v>
      </c>
      <c r="AH4" t="s">
        <v>75</v>
      </c>
      <c r="AI4" t="s">
        <v>85</v>
      </c>
      <c r="AJ4" t="s">
        <v>43</v>
      </c>
      <c r="AK4" t="s">
        <v>151</v>
      </c>
      <c r="AL4" t="s">
        <v>168</v>
      </c>
      <c r="AM4" t="s">
        <v>240</v>
      </c>
      <c r="AN4" t="s">
        <v>229</v>
      </c>
      <c r="AO4" t="s">
        <v>231</v>
      </c>
      <c r="AP4" t="s">
        <v>241</v>
      </c>
      <c r="AQ4" t="s">
        <v>242</v>
      </c>
      <c r="AR4" t="s">
        <v>830</v>
      </c>
      <c r="AS4" t="s">
        <v>185</v>
      </c>
      <c r="AT4" t="s">
        <v>243</v>
      </c>
      <c r="AU4" t="s">
        <v>152</v>
      </c>
    </row>
    <row r="5" spans="1:60" x14ac:dyDescent="0.25">
      <c r="A5">
        <v>14</v>
      </c>
      <c r="B5" t="s">
        <v>529</v>
      </c>
      <c r="C5" t="s">
        <v>531</v>
      </c>
      <c r="D5" s="56">
        <v>45169</v>
      </c>
      <c r="E5" t="s">
        <v>87</v>
      </c>
      <c r="F5" t="s">
        <v>87</v>
      </c>
      <c r="G5" t="s">
        <v>277</v>
      </c>
      <c r="H5" t="s">
        <v>110</v>
      </c>
      <c r="I5">
        <v>2</v>
      </c>
      <c r="J5" t="s">
        <v>166</v>
      </c>
      <c r="K5" t="s">
        <v>440</v>
      </c>
      <c r="L5" t="s">
        <v>7</v>
      </c>
      <c r="M5" t="s">
        <v>440</v>
      </c>
      <c r="N5" t="s">
        <v>7</v>
      </c>
      <c r="O5" t="s">
        <v>7</v>
      </c>
      <c r="P5" t="s">
        <v>119</v>
      </c>
      <c r="Q5">
        <v>100</v>
      </c>
      <c r="R5" t="s">
        <v>116</v>
      </c>
      <c r="S5" t="s">
        <v>114</v>
      </c>
      <c r="T5" t="s">
        <v>7</v>
      </c>
      <c r="U5" t="s">
        <v>7</v>
      </c>
      <c r="V5" t="s">
        <v>96</v>
      </c>
      <c r="W5" t="s">
        <v>143</v>
      </c>
      <c r="X5" s="56">
        <v>45174</v>
      </c>
      <c r="Y5" s="56">
        <v>45356</v>
      </c>
      <c r="Z5" s="56">
        <v>46270</v>
      </c>
      <c r="AA5">
        <v>0.27400000000000002</v>
      </c>
      <c r="AB5">
        <v>2</v>
      </c>
      <c r="AC5">
        <v>2.1539999999999999</v>
      </c>
      <c r="AD5" t="s">
        <v>535</v>
      </c>
      <c r="AE5" t="s">
        <v>316</v>
      </c>
      <c r="AF5" t="s">
        <v>7</v>
      </c>
      <c r="AG5" t="s">
        <v>529</v>
      </c>
      <c r="AH5" t="s">
        <v>96</v>
      </c>
      <c r="AI5" t="s">
        <v>96</v>
      </c>
      <c r="AJ5" t="s">
        <v>439</v>
      </c>
      <c r="AK5" t="s">
        <v>7</v>
      </c>
      <c r="AL5" t="s">
        <v>7</v>
      </c>
      <c r="AM5"/>
      <c r="AN5" t="s">
        <v>96</v>
      </c>
      <c r="AO5" t="s">
        <v>96</v>
      </c>
      <c r="AP5"/>
      <c r="AQ5"/>
      <c r="AR5" t="s">
        <v>96</v>
      </c>
      <c r="AS5"/>
      <c r="AT5"/>
      <c r="AU5" t="s">
        <v>537</v>
      </c>
      <c r="BH5" s="21"/>
    </row>
    <row r="6" spans="1:60" x14ac:dyDescent="0.25">
      <c r="A6">
        <v>11</v>
      </c>
      <c r="B6" t="s">
        <v>495</v>
      </c>
      <c r="C6" t="s">
        <v>497</v>
      </c>
      <c r="D6" s="56">
        <v>45169</v>
      </c>
      <c r="E6" t="s">
        <v>686</v>
      </c>
      <c r="F6" t="s">
        <v>686</v>
      </c>
      <c r="G6" t="s">
        <v>283</v>
      </c>
      <c r="H6" t="s">
        <v>89</v>
      </c>
      <c r="I6">
        <v>5</v>
      </c>
      <c r="J6" t="s">
        <v>166</v>
      </c>
      <c r="K6" t="s">
        <v>501</v>
      </c>
      <c r="L6" t="s">
        <v>698</v>
      </c>
      <c r="M6" t="s">
        <v>501</v>
      </c>
      <c r="N6" t="s">
        <v>7</v>
      </c>
      <c r="O6" t="s">
        <v>446</v>
      </c>
      <c r="P6" t="s">
        <v>119</v>
      </c>
      <c r="Q6">
        <v>100</v>
      </c>
      <c r="R6" t="s">
        <v>38</v>
      </c>
      <c r="S6" t="s">
        <v>699</v>
      </c>
      <c r="T6" t="s">
        <v>7</v>
      </c>
      <c r="U6" t="s">
        <v>7</v>
      </c>
      <c r="V6" t="s">
        <v>96</v>
      </c>
      <c r="W6" t="s">
        <v>143</v>
      </c>
      <c r="X6" s="56">
        <v>45174</v>
      </c>
      <c r="Y6" s="56">
        <v>45356</v>
      </c>
      <c r="Z6" s="56">
        <v>46270</v>
      </c>
      <c r="AA6">
        <v>5</v>
      </c>
      <c r="AB6">
        <v>36.414999999999999</v>
      </c>
      <c r="AC6">
        <v>39.21</v>
      </c>
      <c r="AD6" t="s">
        <v>507</v>
      </c>
      <c r="AE6" t="s">
        <v>316</v>
      </c>
      <c r="AF6" t="s">
        <v>7</v>
      </c>
      <c r="AG6" t="s">
        <v>495</v>
      </c>
      <c r="AH6" t="s">
        <v>96</v>
      </c>
      <c r="AI6" t="s">
        <v>96</v>
      </c>
      <c r="AJ6" t="s">
        <v>7</v>
      </c>
      <c r="AK6" t="s">
        <v>697</v>
      </c>
      <c r="AL6" t="s">
        <v>7</v>
      </c>
      <c r="AM6"/>
      <c r="AN6" t="s">
        <v>96</v>
      </c>
      <c r="AO6" t="s">
        <v>96</v>
      </c>
      <c r="AP6"/>
      <c r="AQ6"/>
      <c r="AR6" t="s">
        <v>96</v>
      </c>
      <c r="AS6"/>
      <c r="AT6"/>
      <c r="AU6" t="s">
        <v>509</v>
      </c>
      <c r="BH6" s="21"/>
    </row>
    <row r="7" spans="1:60" x14ac:dyDescent="0.25">
      <c r="A7">
        <v>13</v>
      </c>
      <c r="B7" t="s">
        <v>510</v>
      </c>
      <c r="C7" t="s">
        <v>512</v>
      </c>
      <c r="D7" s="56">
        <v>45169</v>
      </c>
      <c r="E7" t="s">
        <v>87</v>
      </c>
      <c r="F7" t="s">
        <v>87</v>
      </c>
      <c r="G7" t="s">
        <v>7</v>
      </c>
      <c r="H7" t="s">
        <v>110</v>
      </c>
      <c r="I7">
        <v>10</v>
      </c>
      <c r="J7" t="s">
        <v>700</v>
      </c>
      <c r="K7" t="s">
        <v>701</v>
      </c>
      <c r="L7" t="s">
        <v>778</v>
      </c>
      <c r="M7" t="s">
        <v>815</v>
      </c>
      <c r="N7" t="s">
        <v>7</v>
      </c>
      <c r="O7" t="s">
        <v>789</v>
      </c>
      <c r="P7" t="s">
        <v>119</v>
      </c>
      <c r="Q7">
        <v>100</v>
      </c>
      <c r="R7" t="s">
        <v>38</v>
      </c>
      <c r="S7" t="s">
        <v>327</v>
      </c>
      <c r="T7" t="s">
        <v>7</v>
      </c>
      <c r="U7" t="s">
        <v>163</v>
      </c>
      <c r="V7" t="s">
        <v>96</v>
      </c>
      <c r="W7" t="s">
        <v>143</v>
      </c>
      <c r="X7" s="56">
        <v>45176</v>
      </c>
      <c r="Y7" s="56">
        <v>45358</v>
      </c>
      <c r="Z7" s="56">
        <v>45907</v>
      </c>
      <c r="AA7">
        <v>1.37</v>
      </c>
      <c r="AB7">
        <v>10</v>
      </c>
      <c r="AC7">
        <v>10.77</v>
      </c>
      <c r="AD7" t="s">
        <v>519</v>
      </c>
      <c r="AE7" t="s">
        <v>316</v>
      </c>
      <c r="AF7" t="s">
        <v>7</v>
      </c>
      <c r="AG7" t="s">
        <v>520</v>
      </c>
      <c r="AH7" t="s">
        <v>96</v>
      </c>
      <c r="AI7" t="s">
        <v>96</v>
      </c>
      <c r="AJ7" t="s">
        <v>7</v>
      </c>
      <c r="AK7" t="s">
        <v>292</v>
      </c>
      <c r="AL7" t="s">
        <v>696</v>
      </c>
      <c r="AM7"/>
      <c r="AN7" t="s">
        <v>96</v>
      </c>
      <c r="AO7" t="s">
        <v>96</v>
      </c>
      <c r="AP7"/>
      <c r="AQ7"/>
      <c r="AR7" t="s">
        <v>96</v>
      </c>
      <c r="AS7"/>
      <c r="AT7"/>
      <c r="AU7" t="s">
        <v>524</v>
      </c>
      <c r="BH7" s="21"/>
    </row>
    <row r="8" spans="1:60" x14ac:dyDescent="0.25">
      <c r="A8">
        <v>12</v>
      </c>
      <c r="B8" t="s">
        <v>510</v>
      </c>
      <c r="C8" t="s">
        <v>526</v>
      </c>
      <c r="D8" s="56">
        <v>45169</v>
      </c>
      <c r="E8" t="s">
        <v>87</v>
      </c>
      <c r="F8" t="s">
        <v>87</v>
      </c>
      <c r="G8" t="s">
        <v>7</v>
      </c>
      <c r="H8" t="s">
        <v>89</v>
      </c>
      <c r="I8">
        <v>10</v>
      </c>
      <c r="J8" t="s">
        <v>166</v>
      </c>
      <c r="K8" t="s">
        <v>695</v>
      </c>
      <c r="L8" t="s">
        <v>779</v>
      </c>
      <c r="M8" t="s">
        <v>814</v>
      </c>
      <c r="N8" t="s">
        <v>7</v>
      </c>
      <c r="O8" t="s">
        <v>789</v>
      </c>
      <c r="P8" t="s">
        <v>119</v>
      </c>
      <c r="Q8">
        <v>100</v>
      </c>
      <c r="R8" t="s">
        <v>38</v>
      </c>
      <c r="S8" t="s">
        <v>327</v>
      </c>
      <c r="T8" t="s">
        <v>7</v>
      </c>
      <c r="U8" t="s">
        <v>163</v>
      </c>
      <c r="V8" t="s">
        <v>96</v>
      </c>
      <c r="W8" t="s">
        <v>143</v>
      </c>
      <c r="X8" s="56">
        <v>45176</v>
      </c>
      <c r="Y8" s="56">
        <v>45358</v>
      </c>
      <c r="Z8" s="56">
        <v>46272</v>
      </c>
      <c r="AA8">
        <v>10</v>
      </c>
      <c r="AB8">
        <v>72.83</v>
      </c>
      <c r="AC8">
        <v>78.42</v>
      </c>
      <c r="AD8" t="s">
        <v>519</v>
      </c>
      <c r="AE8" t="s">
        <v>316</v>
      </c>
      <c r="AF8" t="s">
        <v>7</v>
      </c>
      <c r="AG8" t="s">
        <v>520</v>
      </c>
      <c r="AH8" t="s">
        <v>96</v>
      </c>
      <c r="AI8" t="s">
        <v>96</v>
      </c>
      <c r="AJ8" t="s">
        <v>7</v>
      </c>
      <c r="AK8" t="s">
        <v>292</v>
      </c>
      <c r="AL8" t="s">
        <v>696</v>
      </c>
      <c r="AM8"/>
      <c r="AN8" t="s">
        <v>96</v>
      </c>
      <c r="AO8" t="s">
        <v>96</v>
      </c>
      <c r="AP8"/>
      <c r="AQ8"/>
      <c r="AR8" t="s">
        <v>96</v>
      </c>
      <c r="AS8"/>
      <c r="AT8"/>
      <c r="AU8" t="s">
        <v>528</v>
      </c>
      <c r="BH8" s="21"/>
    </row>
    <row r="9" spans="1:60" x14ac:dyDescent="0.25">
      <c r="A9">
        <v>10</v>
      </c>
      <c r="B9" t="s">
        <v>551</v>
      </c>
      <c r="C9" t="s">
        <v>485</v>
      </c>
      <c r="D9" s="56">
        <v>45168</v>
      </c>
      <c r="E9" t="s">
        <v>87</v>
      </c>
      <c r="F9" t="s">
        <v>87</v>
      </c>
      <c r="G9" t="s">
        <v>283</v>
      </c>
      <c r="H9" t="s">
        <v>378</v>
      </c>
      <c r="I9">
        <v>56.6</v>
      </c>
      <c r="J9" t="s">
        <v>166</v>
      </c>
      <c r="K9" t="s">
        <v>554</v>
      </c>
      <c r="L9" t="s">
        <v>7</v>
      </c>
      <c r="M9" t="s">
        <v>554</v>
      </c>
      <c r="N9" t="s">
        <v>7</v>
      </c>
      <c r="O9" t="s">
        <v>7</v>
      </c>
      <c r="P9" t="s">
        <v>119</v>
      </c>
      <c r="Q9">
        <v>100</v>
      </c>
      <c r="R9" t="s">
        <v>703</v>
      </c>
      <c r="S9" t="s">
        <v>327</v>
      </c>
      <c r="T9" t="s">
        <v>7</v>
      </c>
      <c r="U9" t="s">
        <v>7</v>
      </c>
      <c r="V9" t="s">
        <v>96</v>
      </c>
      <c r="W9" t="s">
        <v>143</v>
      </c>
      <c r="X9" s="56">
        <v>45173</v>
      </c>
      <c r="Y9" s="56">
        <v>45355</v>
      </c>
      <c r="Z9" s="56">
        <v>46269</v>
      </c>
      <c r="AA9">
        <v>0.39600000000000002</v>
      </c>
      <c r="AB9">
        <v>2.83</v>
      </c>
      <c r="AC9">
        <v>3.056</v>
      </c>
      <c r="AD9" t="s">
        <v>560</v>
      </c>
      <c r="AE9" t="s">
        <v>328</v>
      </c>
      <c r="AF9" t="s">
        <v>7</v>
      </c>
      <c r="AG9" t="s">
        <v>561</v>
      </c>
      <c r="AH9" t="s">
        <v>562</v>
      </c>
      <c r="AI9" t="s">
        <v>551</v>
      </c>
      <c r="AJ9" t="s">
        <v>702</v>
      </c>
      <c r="AK9" t="s">
        <v>7</v>
      </c>
      <c r="AL9" t="s">
        <v>7</v>
      </c>
      <c r="AM9"/>
      <c r="AN9" t="s">
        <v>96</v>
      </c>
      <c r="AO9" t="s">
        <v>96</v>
      </c>
      <c r="AP9"/>
      <c r="AQ9"/>
      <c r="AR9" t="s">
        <v>96</v>
      </c>
      <c r="AS9"/>
      <c r="AT9"/>
      <c r="AU9" t="s">
        <v>486</v>
      </c>
      <c r="BH9" s="21"/>
    </row>
    <row r="10" spans="1:60" x14ac:dyDescent="0.25">
      <c r="A10">
        <v>9</v>
      </c>
      <c r="B10" t="s">
        <v>538</v>
      </c>
      <c r="C10" t="s">
        <v>487</v>
      </c>
      <c r="D10" s="56">
        <v>45168</v>
      </c>
      <c r="E10" t="s">
        <v>686</v>
      </c>
      <c r="F10" t="s">
        <v>686</v>
      </c>
      <c r="G10" t="s">
        <v>273</v>
      </c>
      <c r="H10" t="s">
        <v>89</v>
      </c>
      <c r="I10">
        <v>3</v>
      </c>
      <c r="J10" t="s">
        <v>166</v>
      </c>
      <c r="K10" t="s">
        <v>541</v>
      </c>
      <c r="L10" t="s">
        <v>698</v>
      </c>
      <c r="M10" t="s">
        <v>541</v>
      </c>
      <c r="N10" t="s">
        <v>7</v>
      </c>
      <c r="O10" t="s">
        <v>445</v>
      </c>
      <c r="P10" t="s">
        <v>119</v>
      </c>
      <c r="Q10">
        <v>100</v>
      </c>
      <c r="R10" t="s">
        <v>41</v>
      </c>
      <c r="S10" t="s">
        <v>438</v>
      </c>
      <c r="T10" t="s">
        <v>163</v>
      </c>
      <c r="U10" t="s">
        <v>7</v>
      </c>
      <c r="V10" t="s">
        <v>96</v>
      </c>
      <c r="W10" t="s">
        <v>143</v>
      </c>
      <c r="X10" s="56">
        <v>45174</v>
      </c>
      <c r="Y10" s="56">
        <v>45356</v>
      </c>
      <c r="Z10" s="56">
        <v>46270</v>
      </c>
      <c r="AA10">
        <v>3</v>
      </c>
      <c r="AB10">
        <v>21.890999999999998</v>
      </c>
      <c r="AC10">
        <v>23.541</v>
      </c>
      <c r="AD10" t="s">
        <v>547</v>
      </c>
      <c r="AE10" t="s">
        <v>328</v>
      </c>
      <c r="AF10" t="s">
        <v>7</v>
      </c>
      <c r="AG10" t="s">
        <v>548</v>
      </c>
      <c r="AH10" t="s">
        <v>538</v>
      </c>
      <c r="AI10" t="s">
        <v>96</v>
      </c>
      <c r="AJ10" t="s">
        <v>7</v>
      </c>
      <c r="AK10" t="s">
        <v>7</v>
      </c>
      <c r="AL10" t="s">
        <v>7</v>
      </c>
      <c r="AM10"/>
      <c r="AN10" t="s">
        <v>96</v>
      </c>
      <c r="AO10" t="s">
        <v>96</v>
      </c>
      <c r="AP10"/>
      <c r="AQ10"/>
      <c r="AR10" t="s">
        <v>96</v>
      </c>
      <c r="AS10"/>
      <c r="AT10"/>
      <c r="AU10" t="s">
        <v>488</v>
      </c>
      <c r="BH10" s="21"/>
    </row>
    <row r="11" spans="1:60" x14ac:dyDescent="0.25">
      <c r="A11">
        <v>8</v>
      </c>
      <c r="B11" t="s">
        <v>630</v>
      </c>
      <c r="C11" t="s">
        <v>642</v>
      </c>
      <c r="D11" s="56">
        <v>45167</v>
      </c>
      <c r="E11" t="s">
        <v>87</v>
      </c>
      <c r="F11" t="s">
        <v>87</v>
      </c>
      <c r="G11" t="s">
        <v>7</v>
      </c>
      <c r="H11" t="s">
        <v>110</v>
      </c>
      <c r="I11">
        <v>21</v>
      </c>
      <c r="J11" t="s">
        <v>166</v>
      </c>
      <c r="K11" t="s">
        <v>695</v>
      </c>
      <c r="L11" t="s">
        <v>779</v>
      </c>
      <c r="M11" t="s">
        <v>814</v>
      </c>
      <c r="N11" t="s">
        <v>7</v>
      </c>
      <c r="O11" t="s">
        <v>789</v>
      </c>
      <c r="P11" t="s">
        <v>119</v>
      </c>
      <c r="Q11">
        <v>100</v>
      </c>
      <c r="R11" t="s">
        <v>38</v>
      </c>
      <c r="S11" t="s">
        <v>438</v>
      </c>
      <c r="T11" t="s">
        <v>163</v>
      </c>
      <c r="U11" t="s">
        <v>7</v>
      </c>
      <c r="V11" t="s">
        <v>96</v>
      </c>
      <c r="W11" t="s">
        <v>143</v>
      </c>
      <c r="X11" s="56">
        <v>45174</v>
      </c>
      <c r="Y11" s="56">
        <v>45356</v>
      </c>
      <c r="Z11" s="56">
        <v>46270</v>
      </c>
      <c r="AA11">
        <v>2.8769999999999998</v>
      </c>
      <c r="AB11">
        <v>21</v>
      </c>
      <c r="AC11">
        <v>22.617000000000001</v>
      </c>
      <c r="AD11" t="s">
        <v>636</v>
      </c>
      <c r="AE11" t="s">
        <v>316</v>
      </c>
      <c r="AF11" t="s">
        <v>7</v>
      </c>
      <c r="AG11" t="s">
        <v>637</v>
      </c>
      <c r="AH11" t="s">
        <v>96</v>
      </c>
      <c r="AI11" t="s">
        <v>96</v>
      </c>
      <c r="AJ11" t="s">
        <v>7</v>
      </c>
      <c r="AK11" t="s">
        <v>292</v>
      </c>
      <c r="AL11" t="s">
        <v>7</v>
      </c>
      <c r="AM11"/>
      <c r="AN11" t="s">
        <v>96</v>
      </c>
      <c r="AO11" t="s">
        <v>96</v>
      </c>
      <c r="AP11"/>
      <c r="AQ11"/>
      <c r="AR11" t="s">
        <v>96</v>
      </c>
      <c r="AS11"/>
      <c r="AT11"/>
      <c r="AU11" t="s">
        <v>644</v>
      </c>
      <c r="BH11" s="21"/>
    </row>
    <row r="12" spans="1:60" x14ac:dyDescent="0.25">
      <c r="A12">
        <v>3</v>
      </c>
      <c r="B12" t="s">
        <v>494</v>
      </c>
      <c r="C12" t="s">
        <v>493</v>
      </c>
      <c r="D12" s="56">
        <v>45167</v>
      </c>
      <c r="E12" t="s">
        <v>87</v>
      </c>
      <c r="F12" t="s">
        <v>691</v>
      </c>
      <c r="G12" t="s">
        <v>283</v>
      </c>
      <c r="H12" t="s">
        <v>110</v>
      </c>
      <c r="I12">
        <v>8.0619999999999994</v>
      </c>
      <c r="J12" t="s">
        <v>166</v>
      </c>
      <c r="K12" t="s">
        <v>707</v>
      </c>
      <c r="L12" t="s">
        <v>706</v>
      </c>
      <c r="M12" t="s">
        <v>707</v>
      </c>
      <c r="N12" t="s">
        <v>7</v>
      </c>
      <c r="O12" t="s">
        <v>446</v>
      </c>
      <c r="P12" t="s">
        <v>119</v>
      </c>
      <c r="Q12">
        <v>100</v>
      </c>
      <c r="R12" t="s">
        <v>38</v>
      </c>
      <c r="S12" t="s">
        <v>438</v>
      </c>
      <c r="T12" t="s">
        <v>7</v>
      </c>
      <c r="U12" t="s">
        <v>7</v>
      </c>
      <c r="V12" t="s">
        <v>96</v>
      </c>
      <c r="W12" t="s">
        <v>143</v>
      </c>
      <c r="X12" s="56">
        <v>45176</v>
      </c>
      <c r="Y12" s="56">
        <v>45358</v>
      </c>
      <c r="Z12" s="56">
        <v>46272</v>
      </c>
      <c r="AA12">
        <v>1.1040000000000001</v>
      </c>
      <c r="AB12">
        <v>8.0619999999999994</v>
      </c>
      <c r="AC12">
        <v>8.6829999999999998</v>
      </c>
      <c r="AD12" t="s">
        <v>588</v>
      </c>
      <c r="AE12" t="s">
        <v>316</v>
      </c>
      <c r="AF12" t="s">
        <v>7</v>
      </c>
      <c r="AG12" t="s">
        <v>494</v>
      </c>
      <c r="AH12" t="s">
        <v>96</v>
      </c>
      <c r="AI12" t="s">
        <v>96</v>
      </c>
      <c r="AJ12" t="s">
        <v>7</v>
      </c>
      <c r="AK12" t="s">
        <v>7</v>
      </c>
      <c r="AL12" t="s">
        <v>7</v>
      </c>
      <c r="AM12"/>
      <c r="AN12" t="s">
        <v>96</v>
      </c>
      <c r="AO12" t="s">
        <v>96</v>
      </c>
      <c r="AP12"/>
      <c r="AQ12"/>
      <c r="AR12" t="s">
        <v>96</v>
      </c>
      <c r="AS12"/>
      <c r="AT12"/>
      <c r="AU12" t="s">
        <v>591</v>
      </c>
      <c r="BH12" s="21"/>
    </row>
    <row r="13" spans="1:60" x14ac:dyDescent="0.25">
      <c r="A13">
        <v>7</v>
      </c>
      <c r="B13" t="s">
        <v>630</v>
      </c>
      <c r="C13" t="s">
        <v>646</v>
      </c>
      <c r="D13" s="56">
        <v>45167</v>
      </c>
      <c r="E13" t="s">
        <v>87</v>
      </c>
      <c r="F13" t="s">
        <v>87</v>
      </c>
      <c r="G13" t="s">
        <v>7</v>
      </c>
      <c r="H13" t="s">
        <v>110</v>
      </c>
      <c r="I13">
        <v>20</v>
      </c>
      <c r="J13" t="s">
        <v>704</v>
      </c>
      <c r="K13" t="s">
        <v>705</v>
      </c>
      <c r="L13" t="s">
        <v>780</v>
      </c>
      <c r="M13" t="s">
        <v>816</v>
      </c>
      <c r="N13" t="s">
        <v>7</v>
      </c>
      <c r="O13" t="s">
        <v>444</v>
      </c>
      <c r="P13" t="s">
        <v>119</v>
      </c>
      <c r="Q13">
        <v>100</v>
      </c>
      <c r="R13" t="s">
        <v>38</v>
      </c>
      <c r="S13" t="s">
        <v>438</v>
      </c>
      <c r="T13" t="s">
        <v>163</v>
      </c>
      <c r="U13" t="s">
        <v>7</v>
      </c>
      <c r="V13" t="s">
        <v>96</v>
      </c>
      <c r="W13" t="s">
        <v>143</v>
      </c>
      <c r="X13" s="56">
        <v>45174</v>
      </c>
      <c r="Y13" s="56">
        <v>45356</v>
      </c>
      <c r="Z13" s="56">
        <v>47001</v>
      </c>
      <c r="AA13">
        <v>2.74</v>
      </c>
      <c r="AB13">
        <v>20</v>
      </c>
      <c r="AC13">
        <v>21.54</v>
      </c>
      <c r="AD13" t="s">
        <v>636</v>
      </c>
      <c r="AE13" t="s">
        <v>316</v>
      </c>
      <c r="AF13" t="s">
        <v>7</v>
      </c>
      <c r="AG13" t="s">
        <v>637</v>
      </c>
      <c r="AH13" t="s">
        <v>96</v>
      </c>
      <c r="AI13" t="s">
        <v>96</v>
      </c>
      <c r="AJ13" t="s">
        <v>7</v>
      </c>
      <c r="AK13" t="s">
        <v>292</v>
      </c>
      <c r="AL13" t="s">
        <v>7</v>
      </c>
      <c r="AM13"/>
      <c r="AN13" t="s">
        <v>96</v>
      </c>
      <c r="AO13" t="s">
        <v>96</v>
      </c>
      <c r="AP13"/>
      <c r="AQ13"/>
      <c r="AR13" t="s">
        <v>96</v>
      </c>
      <c r="AS13"/>
      <c r="AT13"/>
      <c r="AU13" t="s">
        <v>650</v>
      </c>
      <c r="BH13" s="21"/>
    </row>
    <row r="14" spans="1:60" x14ac:dyDescent="0.25">
      <c r="A14">
        <v>4</v>
      </c>
      <c r="B14" t="s">
        <v>604</v>
      </c>
      <c r="C14" t="s">
        <v>606</v>
      </c>
      <c r="D14" s="56">
        <v>45167</v>
      </c>
      <c r="E14" t="s">
        <v>87</v>
      </c>
      <c r="F14" t="s">
        <v>689</v>
      </c>
      <c r="G14" t="s">
        <v>273</v>
      </c>
      <c r="H14" t="s">
        <v>89</v>
      </c>
      <c r="I14">
        <v>0.5</v>
      </c>
      <c r="J14" t="s">
        <v>441</v>
      </c>
      <c r="K14" t="s">
        <v>442</v>
      </c>
      <c r="L14" t="s">
        <v>7</v>
      </c>
      <c r="M14" t="s">
        <v>7</v>
      </c>
      <c r="N14" t="s">
        <v>7</v>
      </c>
      <c r="O14" t="s">
        <v>7</v>
      </c>
      <c r="P14" t="s">
        <v>119</v>
      </c>
      <c r="Q14"/>
      <c r="R14" t="s">
        <v>117</v>
      </c>
      <c r="S14" t="s">
        <v>438</v>
      </c>
      <c r="T14" t="s">
        <v>7</v>
      </c>
      <c r="U14" t="s">
        <v>7</v>
      </c>
      <c r="V14" t="s">
        <v>96</v>
      </c>
      <c r="W14" t="s">
        <v>143</v>
      </c>
      <c r="X14" s="56">
        <v>45174</v>
      </c>
      <c r="Y14" s="56">
        <v>45356</v>
      </c>
      <c r="Z14" s="56">
        <v>45538</v>
      </c>
      <c r="AA14">
        <v>0.5</v>
      </c>
      <c r="AB14">
        <v>3.6440000000000001</v>
      </c>
      <c r="AC14">
        <v>3.923</v>
      </c>
      <c r="AD14" t="s">
        <v>614</v>
      </c>
      <c r="AE14" t="s">
        <v>328</v>
      </c>
      <c r="AF14" t="s">
        <v>7</v>
      </c>
      <c r="AG14" t="s">
        <v>615</v>
      </c>
      <c r="AH14" t="s">
        <v>604</v>
      </c>
      <c r="AI14" t="s">
        <v>96</v>
      </c>
      <c r="AJ14" t="s">
        <v>708</v>
      </c>
      <c r="AK14" t="s">
        <v>7</v>
      </c>
      <c r="AL14" t="s">
        <v>7</v>
      </c>
      <c r="AM14"/>
      <c r="AN14" t="s">
        <v>96</v>
      </c>
      <c r="AO14" t="s">
        <v>443</v>
      </c>
      <c r="AP14"/>
      <c r="AQ14"/>
      <c r="AR14" t="s">
        <v>96</v>
      </c>
      <c r="AS14"/>
      <c r="AT14"/>
      <c r="AU14" t="s">
        <v>617</v>
      </c>
      <c r="BH14" s="21"/>
    </row>
    <row r="15" spans="1:60" x14ac:dyDescent="0.25">
      <c r="A15">
        <v>6</v>
      </c>
      <c r="B15" t="s">
        <v>630</v>
      </c>
      <c r="C15" t="s">
        <v>632</v>
      </c>
      <c r="D15" s="56">
        <v>45167</v>
      </c>
      <c r="E15" t="s">
        <v>87</v>
      </c>
      <c r="F15" t="s">
        <v>87</v>
      </c>
      <c r="G15" t="s">
        <v>7</v>
      </c>
      <c r="H15" t="s">
        <v>110</v>
      </c>
      <c r="I15">
        <v>9</v>
      </c>
      <c r="J15" t="s">
        <v>700</v>
      </c>
      <c r="K15" t="s">
        <v>701</v>
      </c>
      <c r="L15" t="s">
        <v>778</v>
      </c>
      <c r="M15" t="s">
        <v>815</v>
      </c>
      <c r="N15" t="s">
        <v>7</v>
      </c>
      <c r="O15" t="s">
        <v>789</v>
      </c>
      <c r="P15" t="s">
        <v>119</v>
      </c>
      <c r="Q15">
        <v>100</v>
      </c>
      <c r="R15" t="s">
        <v>38</v>
      </c>
      <c r="S15" t="s">
        <v>438</v>
      </c>
      <c r="T15" t="s">
        <v>163</v>
      </c>
      <c r="U15" t="s">
        <v>7</v>
      </c>
      <c r="V15" t="s">
        <v>96</v>
      </c>
      <c r="W15" t="s">
        <v>143</v>
      </c>
      <c r="X15" s="56">
        <v>45174</v>
      </c>
      <c r="Y15" s="56">
        <v>45356</v>
      </c>
      <c r="Z15" s="56">
        <v>45905</v>
      </c>
      <c r="AA15">
        <v>1.2330000000000001</v>
      </c>
      <c r="AB15">
        <v>9</v>
      </c>
      <c r="AC15">
        <v>9.6929999999999996</v>
      </c>
      <c r="AD15" t="s">
        <v>636</v>
      </c>
      <c r="AE15" t="s">
        <v>316</v>
      </c>
      <c r="AF15" t="s">
        <v>7</v>
      </c>
      <c r="AG15" t="s">
        <v>637</v>
      </c>
      <c r="AH15" t="s">
        <v>96</v>
      </c>
      <c r="AI15" t="s">
        <v>96</v>
      </c>
      <c r="AJ15" t="s">
        <v>7</v>
      </c>
      <c r="AK15" t="s">
        <v>292</v>
      </c>
      <c r="AL15" t="s">
        <v>7</v>
      </c>
      <c r="AM15"/>
      <c r="AN15" t="s">
        <v>96</v>
      </c>
      <c r="AO15" t="s">
        <v>96</v>
      </c>
      <c r="AP15"/>
      <c r="AQ15"/>
      <c r="AR15" t="s">
        <v>96</v>
      </c>
      <c r="AS15"/>
      <c r="AT15"/>
      <c r="AU15" t="s">
        <v>640</v>
      </c>
    </row>
    <row r="16" spans="1:60" x14ac:dyDescent="0.25">
      <c r="A16">
        <v>5</v>
      </c>
      <c r="B16" t="s">
        <v>491</v>
      </c>
      <c r="C16" t="s">
        <v>490</v>
      </c>
      <c r="D16" s="56">
        <v>45167</v>
      </c>
      <c r="E16" t="s">
        <v>385</v>
      </c>
      <c r="F16" t="s">
        <v>385</v>
      </c>
      <c r="G16" t="s">
        <v>283</v>
      </c>
      <c r="H16" t="s">
        <v>89</v>
      </c>
      <c r="I16">
        <v>1.22</v>
      </c>
      <c r="J16" t="s">
        <v>166</v>
      </c>
      <c r="K16" t="s">
        <v>501</v>
      </c>
      <c r="L16" t="s">
        <v>709</v>
      </c>
      <c r="M16" t="s">
        <v>501</v>
      </c>
      <c r="N16" t="s">
        <v>7</v>
      </c>
      <c r="O16" t="s">
        <v>444</v>
      </c>
      <c r="P16" t="s">
        <v>119</v>
      </c>
      <c r="Q16">
        <v>100</v>
      </c>
      <c r="R16" t="s">
        <v>41</v>
      </c>
      <c r="S16" t="s">
        <v>438</v>
      </c>
      <c r="T16" t="s">
        <v>7</v>
      </c>
      <c r="U16" t="s">
        <v>7</v>
      </c>
      <c r="V16" t="s">
        <v>96</v>
      </c>
      <c r="W16" t="s">
        <v>143</v>
      </c>
      <c r="X16" s="56">
        <v>45170</v>
      </c>
      <c r="Y16" s="56">
        <v>45352</v>
      </c>
      <c r="Z16" s="56">
        <v>46266</v>
      </c>
      <c r="AA16">
        <v>1.22</v>
      </c>
      <c r="AB16">
        <v>8.89</v>
      </c>
      <c r="AC16">
        <v>9.5719999999999992</v>
      </c>
      <c r="AD16" t="s">
        <v>625</v>
      </c>
      <c r="AE16" t="s">
        <v>315</v>
      </c>
      <c r="AF16" t="s">
        <v>7</v>
      </c>
      <c r="AG16" t="s">
        <v>626</v>
      </c>
      <c r="AH16" t="s">
        <v>491</v>
      </c>
      <c r="AI16" t="s">
        <v>96</v>
      </c>
      <c r="AJ16" t="s">
        <v>7</v>
      </c>
      <c r="AK16" t="s">
        <v>7</v>
      </c>
      <c r="AL16" t="s">
        <v>7</v>
      </c>
      <c r="AM16"/>
      <c r="AN16" t="s">
        <v>96</v>
      </c>
      <c r="AO16" t="s">
        <v>96</v>
      </c>
      <c r="AP16"/>
      <c r="AQ16"/>
      <c r="AR16" t="s">
        <v>96</v>
      </c>
      <c r="AS16"/>
      <c r="AT16"/>
      <c r="AU16" t="s">
        <v>629</v>
      </c>
    </row>
    <row r="17" spans="1:47" x14ac:dyDescent="0.25">
      <c r="A17">
        <v>2</v>
      </c>
      <c r="B17" t="s">
        <v>671</v>
      </c>
      <c r="C17" t="s">
        <v>673</v>
      </c>
      <c r="D17" s="56">
        <v>45166</v>
      </c>
      <c r="E17" t="s">
        <v>87</v>
      </c>
      <c r="F17" t="s">
        <v>87</v>
      </c>
      <c r="G17" t="s">
        <v>283</v>
      </c>
      <c r="H17" t="s">
        <v>89</v>
      </c>
      <c r="I17">
        <v>1.26</v>
      </c>
      <c r="J17" t="s">
        <v>166</v>
      </c>
      <c r="K17" t="s">
        <v>676</v>
      </c>
      <c r="L17" t="s">
        <v>710</v>
      </c>
      <c r="M17" t="s">
        <v>676</v>
      </c>
      <c r="N17" t="s">
        <v>7</v>
      </c>
      <c r="O17" t="s">
        <v>789</v>
      </c>
      <c r="P17" t="s">
        <v>119</v>
      </c>
      <c r="Q17">
        <v>100</v>
      </c>
      <c r="R17" t="s">
        <v>41</v>
      </c>
      <c r="S17" t="s">
        <v>438</v>
      </c>
      <c r="T17" t="s">
        <v>7</v>
      </c>
      <c r="U17" t="s">
        <v>7</v>
      </c>
      <c r="V17" t="s">
        <v>96</v>
      </c>
      <c r="W17" t="s">
        <v>143</v>
      </c>
      <c r="X17" s="56">
        <v>45170</v>
      </c>
      <c r="Y17" s="56">
        <v>45352</v>
      </c>
      <c r="Z17" s="56">
        <v>46266</v>
      </c>
      <c r="AA17">
        <v>1.26</v>
      </c>
      <c r="AB17">
        <v>9.1880000000000006</v>
      </c>
      <c r="AC17">
        <v>9.8859999999999992</v>
      </c>
      <c r="AD17" t="s">
        <v>681</v>
      </c>
      <c r="AE17" t="s">
        <v>315</v>
      </c>
      <c r="AF17" t="s">
        <v>7</v>
      </c>
      <c r="AG17" t="s">
        <v>682</v>
      </c>
      <c r="AH17" t="s">
        <v>671</v>
      </c>
      <c r="AI17" t="s">
        <v>96</v>
      </c>
      <c r="AJ17" t="s">
        <v>7</v>
      </c>
      <c r="AK17" t="s">
        <v>7</v>
      </c>
      <c r="AL17" t="s">
        <v>7</v>
      </c>
      <c r="AM17"/>
      <c r="AN17" t="s">
        <v>96</v>
      </c>
      <c r="AO17" t="s">
        <v>96</v>
      </c>
      <c r="AP17"/>
      <c r="AQ17"/>
      <c r="AR17" t="s">
        <v>96</v>
      </c>
      <c r="AS17"/>
      <c r="AT17"/>
      <c r="AU17" t="s">
        <v>685</v>
      </c>
    </row>
    <row r="18" spans="1:47" x14ac:dyDescent="0.25">
      <c r="A18">
        <v>1</v>
      </c>
      <c r="B18" t="s">
        <v>657</v>
      </c>
      <c r="C18" t="s">
        <v>659</v>
      </c>
      <c r="D18" s="56">
        <v>45166</v>
      </c>
      <c r="E18" t="s">
        <v>87</v>
      </c>
      <c r="F18" t="s">
        <v>87</v>
      </c>
      <c r="G18" t="s">
        <v>283</v>
      </c>
      <c r="H18" t="s">
        <v>89</v>
      </c>
      <c r="I18">
        <v>2</v>
      </c>
      <c r="J18" t="s">
        <v>166</v>
      </c>
      <c r="K18" t="s">
        <v>663</v>
      </c>
      <c r="L18" t="s">
        <v>711</v>
      </c>
      <c r="M18" t="s">
        <v>663</v>
      </c>
      <c r="N18" t="s">
        <v>7</v>
      </c>
      <c r="O18" t="s">
        <v>798</v>
      </c>
      <c r="P18" t="s">
        <v>119</v>
      </c>
      <c r="Q18">
        <v>100</v>
      </c>
      <c r="R18" t="s">
        <v>41</v>
      </c>
      <c r="S18" t="s">
        <v>483</v>
      </c>
      <c r="T18" t="s">
        <v>7</v>
      </c>
      <c r="U18" t="s">
        <v>7</v>
      </c>
      <c r="V18" t="s">
        <v>96</v>
      </c>
      <c r="W18" t="s">
        <v>143</v>
      </c>
      <c r="X18" s="56">
        <v>45174</v>
      </c>
      <c r="Y18" s="56">
        <v>45356</v>
      </c>
      <c r="Z18" s="56">
        <v>46270</v>
      </c>
      <c r="AA18">
        <v>2</v>
      </c>
      <c r="AB18">
        <v>14.584</v>
      </c>
      <c r="AC18">
        <v>15.692</v>
      </c>
      <c r="AD18" t="s">
        <v>666</v>
      </c>
      <c r="AE18" t="s">
        <v>328</v>
      </c>
      <c r="AF18" t="s">
        <v>7</v>
      </c>
      <c r="AG18" t="s">
        <v>667</v>
      </c>
      <c r="AH18" t="s">
        <v>657</v>
      </c>
      <c r="AI18" t="s">
        <v>96</v>
      </c>
      <c r="AJ18" t="s">
        <v>7</v>
      </c>
      <c r="AK18" t="s">
        <v>7</v>
      </c>
      <c r="AL18" t="s">
        <v>7</v>
      </c>
      <c r="AM18"/>
      <c r="AN18" t="s">
        <v>96</v>
      </c>
      <c r="AO18" t="s">
        <v>96</v>
      </c>
      <c r="AP18"/>
      <c r="AQ18"/>
      <c r="AR18" t="s">
        <v>96</v>
      </c>
      <c r="AS18"/>
      <c r="AT18"/>
      <c r="AU18" t="s">
        <v>670</v>
      </c>
    </row>
  </sheetData>
  <phoneticPr fontId="13" type="noConversion"/>
  <pageMargins left="0.7" right="0.7" top="0.75" bottom="0.75" header="0.3" footer="0.3"/>
  <drawing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FDD3B-65A7-4A1C-A498-F0E9E40CC6FB}">
  <sheetPr codeName="Sheet14"/>
  <dimension ref="A1:U9"/>
  <sheetViews>
    <sheetView workbookViewId="0">
      <selection activeCell="E5" sqref="E5"/>
    </sheetView>
  </sheetViews>
  <sheetFormatPr defaultRowHeight="15" x14ac:dyDescent="0.25"/>
  <cols>
    <col min="1" max="1" width="7.33203125" style="1" bestFit="1" customWidth="1"/>
    <col min="2" max="2" width="29.88671875" style="1" bestFit="1" customWidth="1"/>
    <col min="3" max="3" width="12.77734375" style="1" bestFit="1" customWidth="1"/>
    <col min="4" max="4" width="9.44140625" style="1" bestFit="1" customWidth="1"/>
    <col min="5" max="5" width="7.6640625" style="1" bestFit="1" customWidth="1"/>
    <col min="6" max="7" width="9.44140625" style="1" bestFit="1" customWidth="1"/>
    <col min="8" max="8" width="6.109375" style="1" bestFit="1" customWidth="1"/>
    <col min="9" max="9" width="9.33203125" style="1" bestFit="1" customWidth="1"/>
    <col min="10" max="10" width="6.109375" style="1" bestFit="1" customWidth="1"/>
    <col min="11" max="11" width="9.44140625" style="1" bestFit="1" customWidth="1"/>
    <col min="12" max="12" width="4.44140625" style="1" bestFit="1" customWidth="1"/>
    <col min="13" max="13" width="11.109375" style="1" bestFit="1" customWidth="1"/>
    <col min="14" max="14" width="13.5546875" style="1" bestFit="1" customWidth="1"/>
    <col min="15" max="15" width="7.77734375" style="1" bestFit="1" customWidth="1"/>
    <col min="16" max="16" width="9.44140625" style="1" bestFit="1" customWidth="1"/>
    <col min="17" max="17" width="6.109375" style="1" bestFit="1" customWidth="1"/>
    <col min="18" max="18" width="9.44140625" style="1" bestFit="1" customWidth="1"/>
    <col min="19" max="19" width="11" style="1" bestFit="1" customWidth="1"/>
    <col min="20" max="20" width="9.5546875" style="1" bestFit="1" customWidth="1"/>
    <col min="21" max="22" width="11.77734375" style="1" bestFit="1" customWidth="1"/>
    <col min="23" max="23" width="5.88671875" style="1" bestFit="1" customWidth="1"/>
    <col min="24" max="25" width="8.33203125" style="1" bestFit="1" customWidth="1"/>
    <col min="26" max="16384" width="8.88671875" style="1"/>
  </cols>
  <sheetData>
    <row r="1" spans="1:21" ht="43.5" customHeight="1" x14ac:dyDescent="0.25"/>
    <row r="2" spans="1:21" ht="43.5" customHeight="1" x14ac:dyDescent="0.25"/>
    <row r="3" spans="1:21" ht="43.5" customHeight="1" x14ac:dyDescent="0.25"/>
    <row r="4" spans="1:21" x14ac:dyDescent="0.25">
      <c r="A4" t="s">
        <v>90</v>
      </c>
      <c r="B4" t="s">
        <v>98</v>
      </c>
      <c r="C4" t="s">
        <v>121</v>
      </c>
      <c r="D4" t="s">
        <v>226</v>
      </c>
      <c r="E4" t="s">
        <v>253</v>
      </c>
      <c r="F4" t="s">
        <v>46</v>
      </c>
      <c r="G4" t="s">
        <v>259</v>
      </c>
      <c r="H4" t="s">
        <v>93</v>
      </c>
      <c r="I4" t="s">
        <v>47</v>
      </c>
      <c r="J4" t="s">
        <v>48</v>
      </c>
      <c r="K4" t="s">
        <v>255</v>
      </c>
      <c r="L4" t="s">
        <v>271</v>
      </c>
      <c r="M4" t="s">
        <v>256</v>
      </c>
      <c r="N4" t="s">
        <v>212</v>
      </c>
      <c r="O4" t="s">
        <v>257</v>
      </c>
      <c r="P4" t="s">
        <v>258</v>
      </c>
      <c r="Q4" t="s">
        <v>45</v>
      </c>
      <c r="R4" t="s">
        <v>474</v>
      </c>
      <c r="S4" t="s">
        <v>44</v>
      </c>
      <c r="T4" t="s">
        <v>185</v>
      </c>
      <c r="U4" t="s">
        <v>243</v>
      </c>
    </row>
    <row r="5" spans="1:21" x14ac:dyDescent="0.25">
      <c r="A5"/>
      <c r="B5" t="s">
        <v>495</v>
      </c>
      <c r="C5" t="s">
        <v>692</v>
      </c>
      <c r="D5" t="s">
        <v>215</v>
      </c>
      <c r="E5" t="s">
        <v>373</v>
      </c>
      <c r="F5" t="s">
        <v>504</v>
      </c>
      <c r="G5"/>
      <c r="H5" t="s">
        <v>8</v>
      </c>
      <c r="I5" t="s">
        <v>502</v>
      </c>
      <c r="J5" t="s">
        <v>7</v>
      </c>
      <c r="K5"/>
      <c r="L5"/>
      <c r="M5"/>
      <c r="N5" s="56">
        <v>43403</v>
      </c>
      <c r="O5"/>
      <c r="P5"/>
      <c r="Q5" t="s">
        <v>1</v>
      </c>
      <c r="R5"/>
      <c r="S5" t="s">
        <v>136</v>
      </c>
      <c r="T5"/>
      <c r="U5"/>
    </row>
    <row r="6" spans="1:21" x14ac:dyDescent="0.25">
      <c r="A6"/>
      <c r="B6" t="s">
        <v>551</v>
      </c>
      <c r="C6" t="s">
        <v>693</v>
      </c>
      <c r="D6" t="s">
        <v>215</v>
      </c>
      <c r="E6" t="s">
        <v>373</v>
      </c>
      <c r="F6" t="s">
        <v>275</v>
      </c>
      <c r="G6"/>
      <c r="H6" t="s">
        <v>10</v>
      </c>
      <c r="I6" t="s">
        <v>557</v>
      </c>
      <c r="J6" t="s">
        <v>7</v>
      </c>
      <c r="K6"/>
      <c r="L6"/>
      <c r="M6"/>
      <c r="N6" s="56">
        <v>45168</v>
      </c>
      <c r="O6"/>
      <c r="P6"/>
      <c r="Q6" t="s">
        <v>1</v>
      </c>
      <c r="R6"/>
      <c r="S6" t="s">
        <v>136</v>
      </c>
      <c r="T6"/>
      <c r="U6"/>
    </row>
    <row r="7" spans="1:21" x14ac:dyDescent="0.25">
      <c r="A7"/>
      <c r="B7" t="s">
        <v>494</v>
      </c>
      <c r="C7" t="s">
        <v>781</v>
      </c>
      <c r="D7" t="s">
        <v>215</v>
      </c>
      <c r="E7" t="s">
        <v>373</v>
      </c>
      <c r="F7" t="s">
        <v>275</v>
      </c>
      <c r="G7"/>
      <c r="H7" t="s">
        <v>31</v>
      </c>
      <c r="I7" t="s">
        <v>583</v>
      </c>
      <c r="J7" t="s">
        <v>584</v>
      </c>
      <c r="K7"/>
      <c r="L7"/>
      <c r="M7"/>
      <c r="N7" s="56">
        <v>43082</v>
      </c>
      <c r="O7"/>
      <c r="P7"/>
      <c r="Q7" t="s">
        <v>1</v>
      </c>
      <c r="R7"/>
      <c r="S7" t="s">
        <v>136</v>
      </c>
      <c r="T7"/>
      <c r="U7"/>
    </row>
    <row r="8" spans="1:21" x14ac:dyDescent="0.25">
      <c r="A8"/>
      <c r="B8" t="s">
        <v>657</v>
      </c>
      <c r="C8" t="s">
        <v>694</v>
      </c>
      <c r="D8" t="s">
        <v>215</v>
      </c>
      <c r="E8" t="s">
        <v>373</v>
      </c>
      <c r="F8" t="s">
        <v>664</v>
      </c>
      <c r="G8"/>
      <c r="H8" t="s">
        <v>10</v>
      </c>
      <c r="I8" t="s">
        <v>382</v>
      </c>
      <c r="J8" t="s">
        <v>7</v>
      </c>
      <c r="K8"/>
      <c r="L8"/>
      <c r="M8"/>
      <c r="N8" s="56">
        <v>43025</v>
      </c>
      <c r="O8"/>
      <c r="P8"/>
      <c r="Q8" t="s">
        <v>2</v>
      </c>
      <c r="R8"/>
      <c r="S8" t="s">
        <v>136</v>
      </c>
      <c r="T8"/>
      <c r="U8"/>
    </row>
    <row r="9" spans="1:21" x14ac:dyDescent="0.25">
      <c r="A9"/>
      <c r="B9" t="s">
        <v>671</v>
      </c>
      <c r="C9" t="s">
        <v>782</v>
      </c>
      <c r="D9" t="s">
        <v>215</v>
      </c>
      <c r="E9" t="s">
        <v>373</v>
      </c>
      <c r="F9" t="s">
        <v>384</v>
      </c>
      <c r="G9"/>
      <c r="H9" t="s">
        <v>17</v>
      </c>
      <c r="I9" t="s">
        <v>677</v>
      </c>
      <c r="J9" t="s">
        <v>678</v>
      </c>
      <c r="K9"/>
      <c r="L9"/>
      <c r="M9"/>
      <c r="N9" s="56">
        <v>43027</v>
      </c>
      <c r="O9"/>
      <c r="P9"/>
      <c r="Q9" t="s">
        <v>1</v>
      </c>
      <c r="R9"/>
      <c r="S9" t="s">
        <v>136</v>
      </c>
      <c r="T9"/>
      <c r="U9"/>
    </row>
  </sheetData>
  <phoneticPr fontId="4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C96A0-1473-49AE-AD3A-4CC8DA6BC59D}">
  <sheetPr codeName="Sheet15"/>
  <dimension ref="A5:R7"/>
  <sheetViews>
    <sheetView workbookViewId="0">
      <selection activeCell="D18" sqref="D18"/>
    </sheetView>
  </sheetViews>
  <sheetFormatPr defaultRowHeight="15" x14ac:dyDescent="0.25"/>
  <cols>
    <col min="1" max="1" width="7.33203125" style="1" bestFit="1" customWidth="1"/>
    <col min="2" max="2" width="13.33203125" style="1" bestFit="1" customWidth="1"/>
    <col min="3" max="3" width="7.77734375" style="1" bestFit="1" customWidth="1"/>
    <col min="4" max="4" width="28.109375" style="1" bestFit="1" customWidth="1"/>
    <col min="5" max="5" width="11.33203125" style="1" bestFit="1" customWidth="1"/>
    <col min="6" max="6" width="9.44140625" style="1" bestFit="1" customWidth="1"/>
    <col min="7" max="7" width="9" style="1" bestFit="1" customWidth="1"/>
    <col min="8" max="9" width="9.44140625" style="1" bestFit="1" customWidth="1"/>
    <col min="10" max="10" width="11.6640625" style="1" bestFit="1" customWidth="1"/>
    <col min="11" max="11" width="15.44140625" style="1" bestFit="1" customWidth="1"/>
    <col min="12" max="12" width="6.109375" style="1" bestFit="1" customWidth="1"/>
    <col min="13" max="13" width="9.44140625" style="1" bestFit="1" customWidth="1"/>
    <col min="14" max="14" width="6.109375" style="1" bestFit="1" customWidth="1"/>
    <col min="15" max="16" width="7.77734375" style="1" bestFit="1" customWidth="1"/>
    <col min="17" max="17" width="19.44140625" style="1" bestFit="1" customWidth="1"/>
    <col min="18" max="18" width="10.5546875" style="1" bestFit="1" customWidth="1"/>
    <col min="19" max="19" width="10.33203125" style="1" bestFit="1" customWidth="1"/>
    <col min="20" max="20" width="11.109375" style="1" bestFit="1" customWidth="1"/>
    <col min="21" max="21" width="8.77734375" style="1" bestFit="1" customWidth="1"/>
    <col min="22" max="22" width="9.21875" style="1" bestFit="1" customWidth="1"/>
    <col min="23" max="16384" width="8.88671875" style="1"/>
  </cols>
  <sheetData>
    <row r="5" spans="1:18" x14ac:dyDescent="0.25">
      <c r="A5" t="s">
        <v>90</v>
      </c>
      <c r="B5" t="s">
        <v>50</v>
      </c>
      <c r="C5" t="s">
        <v>51</v>
      </c>
      <c r="D5" t="s">
        <v>98</v>
      </c>
      <c r="E5" t="s">
        <v>161</v>
      </c>
      <c r="F5" t="s">
        <v>221</v>
      </c>
      <c r="G5" t="s">
        <v>222</v>
      </c>
      <c r="H5" t="s">
        <v>223</v>
      </c>
      <c r="I5" t="s">
        <v>187</v>
      </c>
      <c r="J5" t="s">
        <v>188</v>
      </c>
      <c r="K5" t="s">
        <v>198</v>
      </c>
      <c r="L5" t="s">
        <v>186</v>
      </c>
      <c r="M5" t="s">
        <v>225</v>
      </c>
      <c r="N5" t="s">
        <v>237</v>
      </c>
      <c r="O5" t="s">
        <v>238</v>
      </c>
      <c r="P5" t="s">
        <v>239</v>
      </c>
      <c r="Q5" t="s">
        <v>152</v>
      </c>
      <c r="R5" t="s">
        <v>472</v>
      </c>
    </row>
    <row r="6" spans="1:18" x14ac:dyDescent="0.25">
      <c r="A6">
        <v>5</v>
      </c>
      <c r="B6" t="s">
        <v>490</v>
      </c>
      <c r="C6">
        <v>45167</v>
      </c>
      <c r="D6" t="s">
        <v>491</v>
      </c>
      <c r="E6" t="s">
        <v>163</v>
      </c>
      <c r="F6" t="s">
        <v>7</v>
      </c>
      <c r="G6" t="s">
        <v>7</v>
      </c>
      <c r="H6" t="s">
        <v>7</v>
      </c>
      <c r="I6" t="s">
        <v>196</v>
      </c>
      <c r="J6" t="s">
        <v>200</v>
      </c>
      <c r="K6" t="s">
        <v>784</v>
      </c>
      <c r="L6" t="s">
        <v>786</v>
      </c>
      <c r="M6" t="s">
        <v>817</v>
      </c>
      <c r="N6">
        <v>1</v>
      </c>
      <c r="O6">
        <v>1</v>
      </c>
      <c r="P6">
        <v>1</v>
      </c>
      <c r="Q6" t="s">
        <v>629</v>
      </c>
      <c r="R6"/>
    </row>
    <row r="7" spans="1:18" x14ac:dyDescent="0.25">
      <c r="A7">
        <v>3</v>
      </c>
      <c r="B7" t="s">
        <v>493</v>
      </c>
      <c r="C7">
        <v>45167</v>
      </c>
      <c r="D7" t="s">
        <v>494</v>
      </c>
      <c r="E7" t="s">
        <v>164</v>
      </c>
      <c r="F7" t="s">
        <v>7</v>
      </c>
      <c r="G7" t="s">
        <v>7</v>
      </c>
      <c r="H7" t="s">
        <v>7</v>
      </c>
      <c r="I7" t="s">
        <v>196</v>
      </c>
      <c r="J7" t="s">
        <v>200</v>
      </c>
      <c r="K7" t="s">
        <v>783</v>
      </c>
      <c r="L7" t="s">
        <v>785</v>
      </c>
      <c r="M7" t="s">
        <v>818</v>
      </c>
      <c r="N7">
        <v>1</v>
      </c>
      <c r="O7">
        <v>1</v>
      </c>
      <c r="P7">
        <v>1</v>
      </c>
      <c r="Q7" t="s">
        <v>591</v>
      </c>
      <c r="R7"/>
    </row>
  </sheetData>
  <phoneticPr fontId="4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7793B4B-6913-4AF7-8EC6-0BAFAE130B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28</vt:i4>
      </vt:variant>
    </vt:vector>
  </HeadingPairs>
  <TitlesOfParts>
    <vt:vector size="46" baseType="lpstr">
      <vt:lpstr>EXE</vt:lpstr>
      <vt:lpstr>DOWNLOAD</vt:lpstr>
      <vt:lpstr>load</vt:lpstr>
      <vt:lpstr>REVIEW_LIST</vt:lpstr>
      <vt:lpstr>Charts</vt:lpstr>
      <vt:lpstr>NWriter</vt:lpstr>
      <vt:lpstr>WRITER</vt:lpstr>
      <vt:lpstr>ECON</vt:lpstr>
      <vt:lpstr>FUTURE</vt:lpstr>
      <vt:lpstr>AddTap</vt:lpstr>
      <vt:lpstr>FIMTN</vt:lpstr>
      <vt:lpstr>dmi</vt:lpstr>
      <vt:lpstr>bbgcorp</vt:lpstr>
      <vt:lpstr>台账</vt:lpstr>
      <vt:lpstr>WST</vt:lpstr>
      <vt:lpstr>AddtoCurated</vt:lpstr>
      <vt:lpstr>AddtoCredit</vt:lpstr>
      <vt:lpstr>AddtoBISL</vt:lpstr>
      <vt:lpstr>dd_BISL_ROLE</vt:lpstr>
      <vt:lpstr>dd_bocomdeal</vt:lpstr>
      <vt:lpstr>dd_BOCOMJLM</vt:lpstr>
      <vt:lpstr>dd_byrtg</vt:lpstr>
      <vt:lpstr>dd_coverage</vt:lpstr>
      <vt:lpstr>dd_econ</vt:lpstr>
      <vt:lpstr>dd_econ1</vt:lpstr>
      <vt:lpstr>dd_ECONEvent</vt:lpstr>
      <vt:lpstr>dd_econfuture</vt:lpstr>
      <vt:lpstr>dd_FutureEvent</vt:lpstr>
      <vt:lpstr>dd_region</vt:lpstr>
      <vt:lpstr>dd_sector</vt:lpstr>
      <vt:lpstr>dd_sfcrole</vt:lpstr>
      <vt:lpstr>dd_strct</vt:lpstr>
      <vt:lpstr>dd_updator</vt:lpstr>
      <vt:lpstr>dd_上市分类</vt:lpstr>
      <vt:lpstr>dd_中资属性</vt:lpstr>
      <vt:lpstr>dd_板块</vt:lpstr>
      <vt:lpstr>dd_结构</vt:lpstr>
      <vt:lpstr>dd_评级分类</vt:lpstr>
      <vt:lpstr>dd_货币</vt:lpstr>
      <vt:lpstr>GPS</vt:lpstr>
      <vt:lpstr>hard_coded_2</vt:lpstr>
      <vt:lpstr>hard_coded_3</vt:lpstr>
      <vt:lpstr>hard_coded_4</vt:lpstr>
      <vt:lpstr>hard_coded_5</vt:lpstr>
      <vt:lpstr>hard_coded_6</vt:lpstr>
      <vt:lpstr>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Kingsley Tong 童富涵</dc:creator>
  <cp:lastModifiedBy>K T</cp:lastModifiedBy>
  <dcterms:created xsi:type="dcterms:W3CDTF">2023-03-10T12:57:22Z</dcterms:created>
  <dcterms:modified xsi:type="dcterms:W3CDTF">2023-09-11T00:44:16Z</dcterms:modified>
</cp:coreProperties>
</file>