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drawings/drawing1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queryTables/queryTable16.xml" ContentType="application/vnd.openxmlformats-officedocument.spreadsheetml.queryTable+xml"/>
  <Override PartName="/xl/tables/table23.xml" ContentType="application/vnd.openxmlformats-officedocument.spreadsheetml.table+xml"/>
  <Override PartName="/xl/queryTables/queryTable17.xml" ContentType="application/vnd.openxmlformats-officedocument.spreadsheetml.queryTable+xml"/>
  <Override PartName="/xl/tables/table24.xml" ContentType="application/vnd.openxmlformats-officedocument.spreadsheetml.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19.xml" ContentType="application/vnd.openxmlformats-officedocument.spreadsheetml.queryTable+xml"/>
  <Override PartName="/xl/tables/table29.xml" ContentType="application/vnd.openxmlformats-officedocument.spreadsheetml.table+xml"/>
  <Override PartName="/xl/queryTables/queryTable20.xml" ContentType="application/vnd.openxmlformats-officedocument.spreadsheetml.queryTable+xml"/>
  <Override PartName="/xl/tables/table30.xml" ContentType="application/vnd.openxmlformats-officedocument.spreadsheetml.table+xml"/>
  <Override PartName="/xl/queryTables/queryTable21.xml" ContentType="application/vnd.openxmlformats-officedocument.spreadsheetml.queryTable+xml"/>
  <Override PartName="/xl/tables/table31.xml" ContentType="application/vnd.openxmlformats-officedocument.spreadsheetml.table+xml"/>
  <Override PartName="/xl/queryTables/queryTable22.xml" ContentType="application/vnd.openxmlformats-officedocument.spreadsheetml.queryTable+xml"/>
  <Override PartName="/xl/tables/table32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tables/table33.xml" ContentType="application/vnd.openxmlformats-officedocument.spreadsheetml.table+xml"/>
  <Override PartName="/xl/queryTables/queryTable24.xml" ContentType="application/vnd.openxmlformats-officedocument.spreadsheetml.queryTable+xml"/>
  <Override PartName="/xl/tables/table34.xml" ContentType="application/vnd.openxmlformats-officedocument.spreadsheetml.table+xml"/>
  <Override PartName="/xl/queryTables/queryTable25.xml" ContentType="application/vnd.openxmlformats-officedocument.spreadsheetml.queryTable+xml"/>
  <Override PartName="/xl/tables/table35.xml" ContentType="application/vnd.openxmlformats-officedocument.spreadsheetml.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tables/table36.xml" ContentType="application/vnd.openxmlformats-officedocument.spreadsheetml.table+xml"/>
  <Override PartName="/xl/queryTables/queryTable27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28.xml" ContentType="application/vnd.openxmlformats-officedocument.spreadsheetml.query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tables/table40.xml" ContentType="application/vnd.openxmlformats-officedocument.spreadsheetml.table+xml"/>
  <Override PartName="/xl/queryTables/queryTable29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30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31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queryTables/queryTable32.xml" ContentType="application/vnd.openxmlformats-officedocument.spreadsheetml.queryTable+xml"/>
  <Override PartName="/xl/tables/table49.xml" ContentType="application/vnd.openxmlformats-officedocument.spreadsheetml.table+xml"/>
  <Override PartName="/xl/queryTables/queryTable33.xml" ContentType="application/vnd.openxmlformats-officedocument.spreadsheetml.queryTable+xml"/>
  <Override PartName="/xl/tables/table50.xml" ContentType="application/vnd.openxmlformats-officedocument.spreadsheetml.table+xml"/>
  <Override PartName="/xl/queryTables/queryTable34.xml" ContentType="application/vnd.openxmlformats-officedocument.spreadsheetml.queryTable+xml"/>
  <Override PartName="/xl/tables/table51.xml" ContentType="application/vnd.openxmlformats-officedocument.spreadsheetml.table+xml"/>
  <Override PartName="/xl/queryTables/queryTable35.xml" ContentType="application/vnd.openxmlformats-officedocument.spreadsheetml.queryTable+xml"/>
  <Override PartName="/xl/tables/table52.xml" ContentType="application/vnd.openxmlformats-officedocument.spreadsheetml.table+xml"/>
  <Override PartName="/xl/queryTables/queryTable36.xml" ContentType="application/vnd.openxmlformats-officedocument.spreadsheetml.queryTable+xml"/>
  <Override PartName="/xl/drawings/drawing7.xml" ContentType="application/vnd.openxmlformats-officedocument.drawing+xml"/>
  <Override PartName="/xl/tables/table53.xml" ContentType="application/vnd.openxmlformats-officedocument.spreadsheetml.table+xml"/>
  <Override PartName="/xl/queryTables/queryTable37.xml" ContentType="application/vnd.openxmlformats-officedocument.spreadsheetml.queryTable+xml"/>
  <Override PartName="/xl/drawings/drawing8.xml" ContentType="application/vnd.openxmlformats-officedocument.drawing+xml"/>
  <Override PartName="/xl/tables/table54.xml" ContentType="application/vnd.openxmlformats-officedocument.spreadsheetml.table+xml"/>
  <Override PartName="/xl/queryTables/queryTable38.xml" ContentType="application/vnd.openxmlformats-officedocument.spreadsheetml.queryTable+xml"/>
  <Override PartName="/xl/tables/table55.xml" ContentType="application/vnd.openxmlformats-officedocument.spreadsheetml.table+xml"/>
  <Override PartName="/xl/queryTables/queryTable3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Weekly AM\20230911\Data\"/>
    </mc:Choice>
  </mc:AlternateContent>
  <xr:revisionPtr revIDLastSave="0" documentId="13_ncr:1_{4D343B47-69C6-4FB5-8B78-FB41F201261F}" xr6:coauthVersionLast="36" xr6:coauthVersionMax="47" xr10:uidLastSave="{00000000-0000-0000-0000-000000000000}"/>
  <bookViews>
    <workbookView xWindow="0" yWindow="0" windowWidth="28800" windowHeight="11850" tabRatio="594" activeTab="1" xr2:uid="{00000000-000D-0000-FFFF-FFFF00000000}"/>
  </bookViews>
  <sheets>
    <sheet name="MDM" sheetId="27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WIP AddNew" sheetId="54" r:id="rId11"/>
    <sheet name="FIMTN" sheetId="43" state="hidden" r:id="rId12"/>
    <sheet name="wDMI" sheetId="42" state="hidden" r:id="rId13"/>
    <sheet name="BBG" sheetId="49" state="hidden" r:id="rId14"/>
    <sheet name="台账" sheetId="51" state="hidden" r:id="rId15"/>
    <sheet name="WST" sheetId="50" state="hidden" r:id="rId16"/>
    <sheet name="wCurated" sheetId="48" state="hidden" r:id="rId17"/>
    <sheet name="wCredit" sheetId="46" state="hidden" r:id="rId18"/>
    <sheet name="wBISL" sheetId="47" state="hidden" r:id="rId19"/>
  </sheets>
  <definedNames>
    <definedName name="_xlnm._FilterDatabase" localSheetId="11" hidden="1">FIMTN!#REF!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AddTap!$B$9:$K$10</definedName>
    <definedName name="ExternalData_1" localSheetId="13" hidden="1">BBG!$A$5:$Y$22</definedName>
    <definedName name="ExternalData_1" localSheetId="7" hidden="1">ECON!$A$12:$O$31</definedName>
    <definedName name="ExternalData_1" localSheetId="11" hidden="1">FIMTN!$A$5:$J$6</definedName>
    <definedName name="ExternalData_1" localSheetId="0" hidden="1">MDM!$H$22:$I$27</definedName>
    <definedName name="ExternalData_1" localSheetId="16" hidden="1">wCurated!$A$4:$AW$17</definedName>
    <definedName name="ExternalData_1" localSheetId="10" hidden="1">'WIP AddNew'!$B$6:$B$16</definedName>
    <definedName name="ExternalData_1" localSheetId="15" hidden="1">WST!$A$5:$M$7</definedName>
    <definedName name="ExternalData_10" localSheetId="4" hidden="1">Charts!$S$4:$U$5</definedName>
    <definedName name="ExternalData_10" localSheetId="0" hidden="1">MDM!$C$41:$C$92</definedName>
    <definedName name="ExternalData_11" localSheetId="1" hidden="1">DOWNLOAD!#REF!</definedName>
    <definedName name="ExternalData_11" localSheetId="0" hidden="1">MDM!$C$6:$C$39</definedName>
    <definedName name="ExternalData_11" localSheetId="6" hidden="1">WRITER!$A$9:$F$15</definedName>
    <definedName name="ExternalData_12" localSheetId="6" hidden="1">WRITER!$A$20:$F$21</definedName>
    <definedName name="ExternalData_13" localSheetId="5" hidden="1">NWriter!$A$6:$D$14</definedName>
    <definedName name="ExternalData_15" localSheetId="1" hidden="1">DOWNLOAD!$D$10:$CM$23</definedName>
    <definedName name="ExternalData_16" localSheetId="12" hidden="1">wDMI!$A$5:$BU$19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load!$C$5:$AD$18</definedName>
    <definedName name="ExternalData_2" localSheetId="9" hidden="1">AddTap!$B$17:$C$50</definedName>
    <definedName name="ExternalData_2" localSheetId="8" hidden="1">FUTURE!$A$10:$O$24</definedName>
    <definedName name="ExternalData_2" localSheetId="2" hidden="1">load!$AH$5:$AW$12</definedName>
    <definedName name="ExternalData_2" localSheetId="0" hidden="1">MDM!$H$14:$I$20</definedName>
    <definedName name="ExternalData_2" localSheetId="14" hidden="1">台账!$A$5:$H$6</definedName>
    <definedName name="ExternalData_20" localSheetId="1" hidden="1">DOWNLOAD!$A$15:$A$17</definedName>
    <definedName name="ExternalData_21" localSheetId="1" hidden="1">DOWNLOAD!$A$19:$A$21</definedName>
    <definedName name="ExternalData_21" localSheetId="2" hidden="1">load!$AH$21:$AK$24</definedName>
    <definedName name="ExternalData_22" localSheetId="1" hidden="1">DOWNLOAD!$A$10:$B$13</definedName>
    <definedName name="ExternalData_3" localSheetId="2" hidden="1">load!$A$5:$A$33</definedName>
    <definedName name="ExternalData_3" localSheetId="0" hidden="1">MDM!$H$29:$I$35</definedName>
    <definedName name="ExternalData_4" localSheetId="4" hidden="1">Charts!$P$8:$AF$21</definedName>
    <definedName name="ExternalData_5" localSheetId="0" hidden="1">MDM!$H$6:$I$11</definedName>
    <definedName name="ExternalData_5" localSheetId="16" hidden="1">wCurated!$A$4:$BP$14</definedName>
    <definedName name="ExternalData_6" localSheetId="0" hidden="1">MDM!$H$59:$I$65</definedName>
    <definedName name="ExternalData_6" localSheetId="18" hidden="1">wBISL!$A$5:$S$8</definedName>
    <definedName name="ExternalData_7" localSheetId="0" hidden="1">MDM!$C$94:$C$103</definedName>
    <definedName name="ExternalData_8" localSheetId="4" hidden="1">Charts!$A$8:$J$21</definedName>
    <definedName name="ExternalData_8" localSheetId="0" hidden="1">MDM!$H$37:$I$48</definedName>
    <definedName name="ExternalData_8" localSheetId="6" hidden="1">WRITER!$A$4:$F$5</definedName>
    <definedName name="ExternalData_9" localSheetId="4" hidden="1">Charts!$C$4:$E$5</definedName>
    <definedName name="ExternalData_9" localSheetId="0" hidden="1">MDM!$H$50:$I$57</definedName>
    <definedName name="ExternalData_9" localSheetId="17" hidden="1">wCredit!$A$4:$U$8</definedName>
    <definedName name="GPS">MDM!$A$1</definedName>
    <definedName name="hard_coded_1">#REF!</definedName>
    <definedName name="hard_coded_2">REVIEW_LIST!$A$4:$AB$41</definedName>
    <definedName name="hard_coded_3">REVIEW_LIST!$AE$4:$AT$41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load!$S$4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7" i="1"/>
  <c r="B6" i="1"/>
  <c r="C6" i="1" s="1"/>
  <c r="B5" i="1"/>
  <c r="C5" i="1" l="1"/>
  <c r="D1" i="23"/>
  <c r="S4" i="23" l="1"/>
  <c r="A1" i="27"/>
  <c r="A1" i="40" l="1"/>
  <c r="R1" i="40" l="1"/>
  <c r="Q1" i="40" l="1"/>
  <c r="F8" i="41" l="1"/>
  <c r="E8" i="41"/>
  <c r="D8" i="41"/>
  <c r="F4" i="41"/>
  <c r="E4" i="41"/>
  <c r="D4" i="41"/>
  <c r="F3" i="41"/>
  <c r="E3" i="41"/>
  <c r="D3" i="41"/>
  <c r="F7" i="41"/>
  <c r="E7" i="41"/>
  <c r="D7" i="41"/>
  <c r="F6" i="41"/>
  <c r="E6" i="41"/>
  <c r="D6" i="41"/>
  <c r="F5" i="41"/>
  <c r="E5" i="41"/>
  <c r="D5" i="41"/>
  <c r="D8" i="30" l="1"/>
  <c r="E8" i="30"/>
  <c r="E7" i="30"/>
  <c r="E5" i="30"/>
  <c r="E3" i="30"/>
  <c r="E4" i="30"/>
  <c r="E6" i="30"/>
  <c r="F8" i="30"/>
  <c r="F7" i="30"/>
  <c r="F5" i="30"/>
  <c r="F3" i="30"/>
  <c r="F4" i="30"/>
  <c r="F6" i="30"/>
  <c r="G8" i="30"/>
  <c r="G7" i="30"/>
  <c r="G5" i="30"/>
  <c r="G3" i="30"/>
  <c r="G4" i="30"/>
  <c r="G6" i="30"/>
  <c r="D7" i="30"/>
  <c r="D5" i="30"/>
  <c r="D3" i="30"/>
  <c r="D4" i="30"/>
  <c r="D6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O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AE1B6-0C3E-40E4-8919-C36E35185C69}" keepAlive="1" name="Query - AddISINToDMI" description="Connection to the 'AddISINToDMI' query in the workbook." type="5" refreshedVersion="0" background="1">
    <dbPr connection="Provider=Microsoft.Mashup.OleDb.1;Data Source=$Workbook$;Location=AddISINToDMI;Extended Properties=&quot;&quot;" command="SELECT * FROM [AddISINToDMI]"/>
  </connection>
  <connection id="2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3" xr16:uid="{7AA4B715-AEC3-4585-B436-228D758A7919}" keepAlive="1" name="Query - AddTapISIN" description="Connection to the 'AddTapISIN' query in the workbook." type="5" refreshedVersion="6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7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8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9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10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1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2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3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4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5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6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7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8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9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20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21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3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4" xr16:uid="{D9BD31C0-3BE7-44F3-B49A-0B8072CF3555}" keepAlive="1" name="Query - CWB_review" description="Connection to the 'CWB_review' query in the workbook." type="5" refreshedVersion="0" background="1">
    <dbPr connection="Provider=Microsoft.Mashup.OleDb.1;Data Source=$Workbook$;Location=CWB_review;Extended Properties=&quot;&quot;" command="SELECT * FROM [CWB_review]"/>
  </connection>
  <connection id="25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6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7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CCF5AEA9-4876-4713-9EE0-D7F0D0E127ED}" keepAlive="1" name="Query - DLDSource" description="Connection to the 'DLDSource' query in the workbook." type="5" refreshedVersion="0" background="1" saveData="1">
    <dbPr connection="Provider=Microsoft.Mashup.OleDb.1;Data Source=$Workbook$;Location=DLDSource;Extended Properties=&quot;&quot;" command="SELECT * FROM [DLDSource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31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2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3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6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4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5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6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7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8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9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0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51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52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53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4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5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6" xr16:uid="{F7FF3811-55E1-41E6-A2D4-1D6E8DDCDBFD}" keepAlive="1" name="Query - fxDBFinalization" description="Connection to the 'fxDBFinalization' query in the workbook." type="5" refreshedVersion="0" background="1">
    <dbPr connection="Provider=Microsoft.Mashup.OleDb.1;Data Source=$Workbook$;Location=fxDBFinalization;Extended Properties=&quot;&quot;" command="SELECT * FROM [fxDBFinalization]"/>
  </connection>
  <connection id="57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8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9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0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1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2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3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4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65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6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8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9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0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1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2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3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4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5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6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7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8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9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80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1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2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3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4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5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6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87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8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9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0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5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6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7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8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9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0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1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102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3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4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</connection>
  <connection id="105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6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7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8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09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0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1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2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3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4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5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16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17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18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19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2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3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4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5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6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27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8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9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0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31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  <connection id="132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<sst xmlns="http://schemas.openxmlformats.org/spreadsheetml/2006/main" count="4562" uniqueCount="908">
  <si>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</si>
  <si>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</si>
  <si>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</si>
  <si>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</si>
  <si>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</si>
  <si>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</si>
  <si>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</si>
  <si>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</si>
  <si>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</si>
  <si>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</si>
  <si>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</si>
  <si>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</si>
  <si>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</si>
  <si>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</si>
  <si>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</si>
  <si>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</si>
  <si>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</si>
  <si>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</si>
  <si>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</si>
  <si>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</si>
  <si>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</si>
  <si>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</si>
  <si>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</si>
  <si>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</si>
  <si>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</si>
  <si>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</si>
  <si>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</si>
  <si>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</si>
  <si>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</si>
  <si>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</si>
  <si>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</si>
  <si>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</si>
  <si>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</si>
  <si>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</si>
  <si>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</si>
  <si>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</si>
  <si>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</si>
  <si>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</si>
  <si>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</si>
  <si>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</si>
  <si>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</si>
  <si>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</si>
  <si>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</si>
  <si>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</si>
  <si>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</si>
  <si>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</si>
  <si>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</si>
  <si>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</si>
  <si>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</si>
  <si>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</si>
  <si>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</si>
  <si>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</si>
  <si>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</si>
  <si>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</si>
  <si>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</si>
  <si>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</si>
  <si>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</si>
  <si>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</si>
  <si>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</si>
  <si>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</si>
  <si>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</si>
  <si>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</si>
  <si>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</si>
  <si>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</si>
  <si>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</si>
  <si>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</si>
  <si>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</si>
  <si>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</si>
  <si>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</si>
  <si>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</si>
  <si>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</si>
  <si>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</si>
  <si>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</si>
  <si>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</si>
  <si>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</si>
  <si>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</si>
  <si>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</si>
  <si>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</si>
  <si>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</si>
  <si>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</si>
  <si>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</si>
  <si>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</si>
  <si>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</si>
  <si>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</si>
  <si>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</si>
  <si>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</si>
  <si>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</si>
  <si>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</si>
  <si>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</si>
  <si>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</si>
  <si>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</si>
  <si>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</si>
  <si>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</si>
  <si>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</si>
  <si>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</si>
  <si>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</si>
  <si>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</si>
  <si>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</si>
  <si>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</si>
  <si>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</si>
  <si>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</si>
  <si>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</si>
  <si>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</si>
  <si>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</si>
  <si>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</si>
  <si>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</si>
  <si>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</si>
  <si>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</si>
  <si>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</si>
  <si>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</si>
  <si>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</si>
  <si>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</si>
  <si>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</si>
  <si>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</si>
  <si>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</si>
  <si>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</si>
  <si>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</si>
  <si>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</si>
  <si>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</si>
  <si>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</si>
  <si>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</si>
  <si>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</si>
  <si>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</si>
  <si>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</si>
  <si>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</si>
  <si>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</si>
  <si>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</si>
  <si>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</si>
  <si>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</si>
  <si>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</si>
  <si>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</si>
  <si>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</si>
  <si>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</si>
  <si>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</si>
  <si>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</si>
  <si>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</si>
  <si>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</si>
  <si>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</si>
  <si>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</si>
  <si>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</si>
  <si>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</si>
  <si>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</si>
  <si>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</si>
  <si>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</si>
  <si>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</si>
  <si>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</si>
  <si>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</si>
  <si>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</si>
  <si>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</si>
  <si>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</si>
  <si>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</si>
  <si>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</si>
  <si>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</si>
  <si>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</si>
  <si>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</si>
  <si>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</si>
  <si>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</si>
  <si>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</si>
  <si>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</si>
  <si>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</si>
  <si>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</si>
  <si>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</si>
  <si>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</si>
  <si>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</si>
  <si>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</si>
  <si>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</si>
  <si>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</si>
  <si>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</si>
  <si>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</si>
  <si>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</si>
  <si>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</si>
  <si>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</si>
  <si>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</si>
  <si>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</si>
  <si>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</si>
  <si>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</si>
  <si>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</si>
  <si>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</si>
  <si>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</si>
  <si>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</si>
  <si>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</si>
  <si>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</si>
  <si>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</si>
  <si>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</si>
  <si>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</si>
  <si>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</si>
  <si>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</si>
  <si>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</si>
  <si>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</si>
  <si>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</si>
  <si>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</si>
  <si>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</si>
  <si>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</si>
  <si>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</si>
  <si>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</si>
  <si>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</si>
  <si>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</si>
  <si>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</si>
  <si>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</si>
  <si>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</si>
  <si>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</si>
  <si>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</si>
  <si>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</si>
  <si>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</si>
  <si>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</si>
  <si>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</si>
  <si>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</si>
  <si>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</si>
  <si>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</si>
  <si>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</si>
  <si>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</si>
  <si>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</si>
  <si>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</si>
  <si>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</si>
  <si>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</si>
  <si>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</si>
  <si>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</si>
  <si>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</si>
  <si>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</si>
  <si>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</si>
  <si>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</si>
  <si>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</si>
  <si>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</si>
  <si>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</si>
  <si>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</si>
  <si>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</si>
  <si>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</si>
  <si>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</si>
  <si>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</si>
  <si>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</si>
  <si>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</si>
  <si>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</si>
  <si>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</si>
  <si>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</si>
  <si>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</si>
  <si>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</si>
  <si>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</si>
  <si>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</si>
  <si>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</si>
  <si>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</si>
  <si>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</si>
  <si>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</si>
  <si>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</si>
  <si>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</si>
  <si>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</si>
  <si>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</si>
  <si>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</si>
  <si>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</si>
  <si>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</si>
  <si>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</si>
  <si>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</si>
  <si>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</si>
  <si>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</si>
  <si>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</si>
  <si>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</si>
  <si>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</si>
  <si>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港分</t>
  </si>
  <si>
    <t>澳分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</si>
  <si>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</si>
  <si>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</si>
  <si>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</si>
  <si>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</si>
  <si>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</si>
  <si>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</si>
  <si>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</si>
  <si>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八月</t>
  </si>
  <si>
    <t>英文简称</t>
  </si>
  <si>
    <t>发行架构</t>
  </si>
  <si>
    <t>3.01Y</t>
  </si>
  <si>
    <t>EC</t>
  </si>
  <si>
    <t>AUG</t>
  </si>
  <si>
    <t>Green</t>
  </si>
  <si>
    <t>发行人注册地</t>
  </si>
  <si>
    <t>浮息息差</t>
  </si>
  <si>
    <t>债项BBG</t>
  </si>
  <si>
    <t>主体BBG</t>
  </si>
  <si>
    <t>DMI</t>
  </si>
  <si>
    <t>债券名称</t>
  </si>
  <si>
    <t>初始发行价</t>
  </si>
  <si>
    <t>首日表现</t>
  </si>
  <si>
    <t>最终订单量/峰值订单（亿美元）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</si>
  <si>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</si>
  <si>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</si>
  <si>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</si>
  <si>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</si>
  <si>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</si>
  <si>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</si>
  <si>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</si>
  <si>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</si>
  <si>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</si>
  <si>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HK</t>
  </si>
  <si>
    <t>CN</t>
  </si>
  <si>
    <t>0.9945</t>
  </si>
  <si>
    <t>北京市</t>
  </si>
  <si>
    <t>多元金融</t>
  </si>
  <si>
    <t>中华（澳门）金融资产交易股份有限公司</t>
  </si>
  <si>
    <t>M3</t>
  </si>
  <si>
    <t>澳交所</t>
  </si>
  <si>
    <t>VG</t>
  </si>
  <si>
    <t>山东省</t>
  </si>
  <si>
    <t>CH</t>
  </si>
  <si>
    <t>US</t>
  </si>
  <si>
    <t>周度首次申领失业救济人数</t>
  </si>
  <si>
    <t>INJCJC Index</t>
  </si>
  <si>
    <t>美国</t>
  </si>
  <si>
    <t>美国周度首次申领失业救济人数</t>
  </si>
  <si>
    <t>周度MBA抵押贷款申请指数环比</t>
  </si>
  <si>
    <t>MBAVCHNG Index</t>
  </si>
  <si>
    <t>美国周度MBA抵押贷款申请指数环比</t>
  </si>
  <si>
    <t>美国八月</t>
  </si>
  <si>
    <t>HCOB欧元区综合PMI</t>
  </si>
  <si>
    <t>MPMIEZCA Index</t>
  </si>
  <si>
    <t>HCOB欧元区服务业PMI</t>
  </si>
  <si>
    <t>MPMIEZSA Index</t>
  </si>
  <si>
    <t>AUG F</t>
  </si>
  <si>
    <t>增发</t>
  </si>
  <si>
    <t>Health Checker</t>
  </si>
  <si>
    <t>DMI列名更改</t>
  </si>
  <si>
    <t>DMI新增列</t>
  </si>
  <si>
    <t>hardcode3 AE4:AT40
Autocopy: AE4</t>
  </si>
  <si>
    <t>hardcode4 AW4:AZ40
Autocopy: AW4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</si>
  <si>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</si>
  <si>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</si>
  <si>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</si>
  <si>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</si>
  <si>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</si>
  <si>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</si>
  <si>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</si>
  <si>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</si>
  <si>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香港交易所</t>
  </si>
  <si>
    <t>JPY</t>
  </si>
  <si>
    <t>3.0Y</t>
  </si>
  <si>
    <t>中国八月</t>
  </si>
  <si>
    <t>港交所</t>
  </si>
  <si>
    <t>恒丰银行</t>
  </si>
  <si>
    <t>4.8%</t>
  </si>
  <si>
    <t>1</t>
  </si>
  <si>
    <t>364天</t>
  </si>
  <si>
    <t>珠海农村商业银行股份有限公司</t>
  </si>
  <si>
    <t>ZRCB 3.5 08/22/2026</t>
  </si>
  <si>
    <t>MO0000000238</t>
  </si>
  <si>
    <t>100/-</t>
  </si>
  <si>
    <t>-/-</t>
  </si>
  <si>
    <t>银行保险</t>
  </si>
  <si>
    <t>230815MO0000000238</t>
  </si>
  <si>
    <t>宿迁裕丰产业投资发展管理集团有限公司</t>
  </si>
  <si>
    <t>SQyufeng 3.98 08/23/2026</t>
  </si>
  <si>
    <t>HK0000942877</t>
  </si>
  <si>
    <t>230816HK0000942877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</si>
  <si>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</si>
  <si>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</si>
  <si>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</si>
  <si>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</si>
  <si>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</si>
  <si>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</si>
  <si>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</si>
  <si>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</si>
  <si>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</si>
  <si>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</si>
  <si>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</si>
  <si>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</si>
  <si>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</si>
  <si>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</si>
  <si>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</si>
  <si>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</si>
  <si>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</si>
  <si>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</si>
  <si>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</si>
  <si>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</si>
  <si>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</si>
  <si>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</si>
  <si>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</si>
  <si>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综合</t>
  </si>
  <si>
    <t>2.0000</t>
  </si>
  <si>
    <t>2.01Y</t>
  </si>
  <si>
    <t>2.3%</t>
  </si>
  <si>
    <t>6.3%区域</t>
  </si>
  <si>
    <t>--/BBB+/--</t>
  </si>
  <si>
    <t>2</t>
  </si>
  <si>
    <t>齐鲁银行</t>
  </si>
  <si>
    <t>备证+担保+维好</t>
  </si>
  <si>
    <t>6.3%a</t>
  </si>
  <si>
    <t>CPI 同比</t>
  </si>
  <si>
    <t>货币供应M2同比</t>
  </si>
  <si>
    <t>CNMS2YOY Index</t>
  </si>
  <si>
    <t>中国八月货币供应M2同比</t>
  </si>
  <si>
    <t>新增人民币贷款</t>
  </si>
  <si>
    <t>345.9b</t>
  </si>
  <si>
    <t>CNLNNEW Index</t>
  </si>
  <si>
    <t>中国八月新增人民币贷款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</si>
  <si>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</si>
  <si>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</si>
  <si>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</si>
  <si>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</si>
  <si>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</si>
  <si>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</si>
  <si>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</si>
  <si>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</si>
  <si>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</si>
  <si>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</si>
  <si>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</si>
  <si>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</si>
  <si>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</si>
  <si>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</si>
  <si>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</si>
  <si>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</si>
  <si>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</si>
  <si>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</si>
  <si>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</si>
  <si>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</si>
  <si>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</si>
  <si>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</si>
  <si>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</si>
  <si>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</si>
  <si>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</si>
  <si>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</si>
  <si>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</si>
  <si>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</si>
  <si>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</si>
  <si>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</si>
  <si>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</si>
  <si>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</si>
  <si>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</si>
  <si>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</si>
  <si>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</si>
  <si>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</si>
  <si>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枣庄高新投资集团有限公司</t>
  </si>
  <si>
    <t>青岛银行</t>
  </si>
  <si>
    <t>中国银行股份有限公司</t>
  </si>
  <si>
    <t>A1/A</t>
  </si>
  <si>
    <t>稳定/稳定</t>
  </si>
  <si>
    <t>SOFRCOMPOUNDEDINDEX+105BPSAREA</t>
  </si>
  <si>
    <t>西城区</t>
  </si>
  <si>
    <t>新发</t>
  </si>
  <si>
    <t>银行</t>
  </si>
  <si>
    <t>中央国有企业</t>
  </si>
  <si>
    <t>BCHINA</t>
  </si>
  <si>
    <t>浮动利率</t>
  </si>
  <si>
    <t>SOFRCOMPOUNDEDINDEX+110BPSAREA</t>
  </si>
  <si>
    <t>枣庄高新</t>
  </si>
  <si>
    <t>6.9%</t>
  </si>
  <si>
    <t>SOFR+105a</t>
  </si>
  <si>
    <t>SOFR</t>
  </si>
  <si>
    <t>3.3%a</t>
  </si>
  <si>
    <t>SOFR+110a</t>
  </si>
  <si>
    <t>SOFR+63</t>
  </si>
  <si>
    <t>216k</t>
  </si>
  <si>
    <t>工业增加值同比</t>
  </si>
  <si>
    <t>CHVAIOY Index</t>
  </si>
  <si>
    <t>中国八月工业增加值同比</t>
  </si>
  <si>
    <t>社会消费品零售总额同比</t>
  </si>
  <si>
    <t>CNRSCYOY Index</t>
  </si>
  <si>
    <t>中国八月社会消费品零售总额同比</t>
  </si>
  <si>
    <t>1250.0b</t>
  </si>
  <si>
    <t>工业增加值年迄今同比</t>
  </si>
  <si>
    <t>CHVAICY Index</t>
  </si>
  <si>
    <t>中国八月工业增加值年迄今同比</t>
  </si>
  <si>
    <t>固定资产除农村年迄今同比</t>
  </si>
  <si>
    <t>CNFAYOY Index</t>
  </si>
  <si>
    <t>中国八月固定资产除农村年迄今同比</t>
  </si>
  <si>
    <t>欧洲央行主要再融资利率</t>
  </si>
  <si>
    <t>EURR002W Index</t>
  </si>
  <si>
    <t>欧元区</t>
  </si>
  <si>
    <t>欧元区欧洲央行主要再融资利率</t>
  </si>
  <si>
    <t>欧洲央行存款机制利率</t>
  </si>
  <si>
    <t>EUORDEPO Index</t>
  </si>
  <si>
    <t>欧元区欧洲央行存款机制利率</t>
  </si>
  <si>
    <t>欧洲央行边际贷款工具</t>
  </si>
  <si>
    <t>EUORMARG Index</t>
  </si>
  <si>
    <t>欧元区欧洲央行边际贷款工具</t>
  </si>
  <si>
    <t>ZEW调查预期</t>
  </si>
  <si>
    <t>SEP</t>
  </si>
  <si>
    <t>GRZEEUEX Index</t>
  </si>
  <si>
    <t>九月</t>
  </si>
  <si>
    <t>欧元区九月</t>
  </si>
  <si>
    <t>欧元区九月ZEW调查预期</t>
  </si>
  <si>
    <t>CPI CHNG Index</t>
  </si>
  <si>
    <t>美国八月CPI 月环比</t>
  </si>
  <si>
    <t>CPI YOY Index</t>
  </si>
  <si>
    <t>美国八月CPI 同比</t>
  </si>
  <si>
    <t>密歇根大学消费者信心指数</t>
  </si>
  <si>
    <t>SEP P</t>
  </si>
  <si>
    <t>CONSSENT Index</t>
  </si>
  <si>
    <t>美国九月</t>
  </si>
  <si>
    <t>美国九月密歇根大学消费者信心指数</t>
  </si>
  <si>
    <t>零售销售月环比</t>
  </si>
  <si>
    <t>RSTAMOM Index</t>
  </si>
  <si>
    <t>美国八月零售销售月环比</t>
  </si>
  <si>
    <t>工业产值(月环比)</t>
  </si>
  <si>
    <t>IP CHNG Index</t>
  </si>
  <si>
    <t>美国八月工业产值(月环比)</t>
  </si>
  <si>
    <t>生产者价格环比</t>
  </si>
  <si>
    <t>FDIDFDMO Index</t>
  </si>
  <si>
    <t>美国八月生产者价格环比</t>
  </si>
  <si>
    <t>纽约州制造业调查指数</t>
  </si>
  <si>
    <t>EMPRGBCI Index</t>
  </si>
  <si>
    <t>美国九月纽约州制造业调查指数</t>
  </si>
  <si>
    <t>中国银行</t>
  </si>
  <si>
    <t>中国光大银行股份有限公司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</si>
  <si>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</si>
  <si>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</si>
  <si>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</si>
  <si>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</si>
  <si>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</si>
  <si>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</si>
  <si>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</si>
  <si>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</si>
  <si>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</si>
  <si>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</si>
  <si>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</si>
  <si>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</si>
  <si>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</si>
  <si>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</si>
  <si>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</si>
  <si>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</si>
  <si>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</si>
  <si>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</si>
  <si>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</si>
  <si>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</si>
  <si>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</si>
  <si>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</si>
  <si>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</si>
  <si>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</si>
  <si>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</si>
  <si>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</si>
  <si>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</si>
  <si>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</si>
  <si>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</si>
  <si>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</si>
  <si>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</si>
  <si>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</si>
  <si>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</si>
  <si>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</si>
  <si>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</si>
  <si>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</si>
  <si>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</si>
  <si>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</si>
  <si>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</si>
  <si>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</si>
  <si>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</si>
  <si>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</si>
  <si>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</si>
  <si>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</si>
  <si>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</si>
  <si>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</si>
  <si>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</si>
  <si>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</si>
  <si>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</si>
  <si>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</si>
  <si>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</si>
  <si>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</si>
  <si>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</si>
  <si>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</si>
  <si>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</si>
  <si>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</si>
  <si>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</si>
  <si>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</si>
  <si>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</si>
  <si>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</si>
  <si>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</si>
  <si>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</si>
  <si>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</si>
  <si>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</si>
  <si>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</si>
  <si>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</si>
  <si>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</si>
  <si>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</si>
  <si>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</si>
  <si>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</si>
  <si>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</si>
  <si>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</si>
  <si>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</si>
  <si>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</si>
  <si>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</si>
  <si>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</si>
  <si>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</si>
  <si>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</si>
  <si>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</si>
  <si>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</si>
  <si>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</si>
  <si>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</si>
  <si>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</si>
  <si>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</si>
  <si>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</si>
  <si>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</si>
  <si>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点心债</t>
  </si>
  <si>
    <t>1-3年</t>
  </si>
  <si>
    <t>美元债</t>
  </si>
  <si>
    <t>≤1年</t>
  </si>
  <si>
    <t>光大银行</t>
  </si>
  <si>
    <t>BBGcorp</t>
  </si>
  <si>
    <t>票息_DMI</t>
  </si>
  <si>
    <t>晋城</t>
  </si>
  <si>
    <t>XS2509105412</t>
  </si>
  <si>
    <t>晋城国投</t>
  </si>
  <si>
    <t>7%a</t>
  </si>
  <si>
    <t>10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</si>
  <si>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</si>
  <si>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</si>
  <si>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</si>
  <si>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</si>
  <si>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</si>
  <si>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</si>
  <si>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DNGSHN 4.8 09/22/26</t>
  </si>
  <si>
    <t>HK0000954344</t>
  </si>
  <si>
    <t>枣庄高新投资集团 4.8 2026-09-22</t>
  </si>
  <si>
    <t>SBLC+担保</t>
  </si>
  <si>
    <t>恒丰银行股份有限公司枣庄分行</t>
  </si>
  <si>
    <t>枣庄市</t>
  </si>
  <si>
    <t>Initial Capital Securities Limited</t>
  </si>
  <si>
    <t>3.02Y</t>
  </si>
  <si>
    <t>For project construction and replenishing working capital</t>
  </si>
  <si>
    <t>DNGSHN</t>
  </si>
  <si>
    <t>东升投资发展（香港）有限公司</t>
  </si>
  <si>
    <t>Industrial Bank Co., Ltd. Hong Kong Branch;CNCB (Hong Kong) Capital Limited;China Zheshang Bank Co., Ltd. Hong Kong Branch;CEB International Capital Corporation Limited;Guoyuan Securities Brokerage (Hong Kong) Limited;Fosun International Securities Limited</t>
  </si>
  <si>
    <t>Fosun International Securities Limited;Industrial Bank Co., Ltd. Hong Kong Branch;Initial Capital Securities Limited;CNCB (Hong Kong) Capital Limited;China Zheshang Bank Co., Ltd. Hong Kong Branch;CEB International Capital Corporation Limited;Guoyuan Securities Brokerage (Hong Kong) Limited</t>
  </si>
  <si>
    <t>230914HK0000954344</t>
  </si>
  <si>
    <t>CHEVBK 5.964892831 09/20/26</t>
  </si>
  <si>
    <t>XS2679063862</t>
  </si>
  <si>
    <t>光大银行 FLOAT 2026-09-20</t>
  </si>
  <si>
    <t>Baa2/BBB+</t>
  </si>
  <si>
    <t>SOFRCOMPOUNDEDINDEX+63BPS(THENUMBER)</t>
  </si>
  <si>
    <t>Agricultural Bank of China Limited Hong Kong Branch;Bank of China Limited;Bank of Communications;CEB International Capital Corporation Limited;China Everbright Bank Co., Ltd Hong Kong Branch;CLSA Limited;Citigroup Inc;Industrial and Commercial Bank of China (Asia) Limited</t>
  </si>
  <si>
    <t>国有企业</t>
  </si>
  <si>
    <t>For general funding purposes</t>
  </si>
  <si>
    <t>CHEVBK</t>
  </si>
  <si>
    <t>SOFRIX +63.000</t>
  </si>
  <si>
    <t>CHINA EVERBRIGHT BANK CO LTD/SYDNEY</t>
  </si>
  <si>
    <t>SOFR Compounded Index + 63 bps</t>
  </si>
  <si>
    <t>ABC International Holdings Limited;Agricultural Bank of China Limited Macau Branch;Australia and New Zealand Banking Group Limited;Bank of China (Hong Kong) Limited;BOCOM International Holdings Co Ltd;BOSC International Company Limited;China CITIC Bank International Limited;China Construction Bank;China Galaxy International Securities (Hong Kong) Company Limited;China International Capital Corporation;China Minsheng Banking Corp., Ltd., Hong Kong Branch;China Zheshang Bank Co., Ltd. Hong Kong Branch;Citigroup Inc;CMB International Capital Limited;CMB Wing Lung Bank Limited;CNCB (Hong Kong) Capital Limited;Commonwealth Bank of Australia;Crédit Agricole Corporate and Investment Bank;DBS Bank Ltd;Guotai Junan International;The Hongkong and Shanghai Banking Corporation Limited;Huatai Financial Holdings (Hong Kong) Limited;Industrial and Commercial Bank of China Limited, Singapore Branch;Industrial Bank Co., Ltd. Hong Kong Branch;Mizuho Securities Asia Limited;MUFG Bank, Ltd.;Nanyang Commercial Bank, Limited;Shanghai Pudong Development Bank Co., Ltd., Hong Kong Branch;SMBC Nikko Securities (Hong Kong) Limited;SPDB International Capital Limited;UBS</t>
  </si>
  <si>
    <t>Industrial and Commercial Bank of China Limited, Singapore Branch;CEB International Capital Corporation Limited;Crédit Agricole Corporate and Investment Bank;BOCOM International Holdings Co Ltd;Commonwealth Bank of Australia;SPDB International Capital Limited;Agricultural Bank of China Limited Macau Branch;Industrial Bank Co., Ltd. Hong Kong Branch;DBS Bank Ltd;CNCB (Hong Kong) Capital Limited;China International Capital Corporation;China Zheshang Bank Co., Ltd. Hong Kong Branch;Huatai Financial Holdings (Hong Kong) Limited;Bank of Communications;Industrial and Commercial Bank of China (Asia) Limited;Bank of China (Hong Kong) Limited;BOSC International Company Limited;Mizuho Securities Asia Limited;Guotai Junan International;ABC International Holdings Limited;CLSA Limited;Bank of China Limited;China Everbright Bank Co., Ltd Hong Kong Branch;China Minsheng Banking Corp., Ltd., Hong Kong Branch;UBS;China Galaxy International Securities (Hong Kong) Company Limited;Citigroup Inc;China Construction Bank;CMB International Capital Limited;Australia and New Zealand Banking Group Limited;SMBC Nikko Securities (Hong Kong) Limited;The Hongkong and Shanghai Banking Corporation Limited;China CITIC Bank International Limited;Agricultural Bank of China Limited Hong Kong Branch;CMB Wing Lung Bank Limited;Shanghai Pudong Development Bank Co., Ltd., Hong Kong Branch;MUFG Bank, Ltd.;Nanyang Commercial Bank, Limited</t>
  </si>
  <si>
    <t>230913XS2679063862</t>
  </si>
  <si>
    <t>EXIMCH 5.834892831 09/20/26</t>
  </si>
  <si>
    <t>BBG01J9WM3W1</t>
  </si>
  <si>
    <t>进出口银行 FLOAT 2026-09-20</t>
  </si>
  <si>
    <t>A1/--</t>
  </si>
  <si>
    <t>稳定/--</t>
  </si>
  <si>
    <t>EXIMCH</t>
  </si>
  <si>
    <t>SOFRIX +50.000</t>
  </si>
  <si>
    <t>EXPORT-IMPORT BANK OF CHINA/THE</t>
  </si>
  <si>
    <t>230913BBG01J9WM3W1</t>
  </si>
  <si>
    <t>海南省人民政府</t>
  </si>
  <si>
    <t>HAINAN 2.45 09/20/25</t>
  </si>
  <si>
    <t>HK0000946787</t>
  </si>
  <si>
    <t>海南省政府 2.45 2025-09-20</t>
  </si>
  <si>
    <t>2.80%区域</t>
  </si>
  <si>
    <t>2.45%</t>
  </si>
  <si>
    <t>海南省</t>
  </si>
  <si>
    <t>海口市</t>
  </si>
  <si>
    <t>Bank of China (Hong Kong) Limited;Bank of Communications Co., Ltd. Hong Kong Branch;China International Capital Corporation Hong Kong Securities Limited</t>
  </si>
  <si>
    <t>其他分类</t>
  </si>
  <si>
    <t>HAINAN</t>
  </si>
  <si>
    <t>中华人民共和国海南省人民政府</t>
  </si>
  <si>
    <t>Industrial and Commercial Bank of China (Asia) Limited;Standard Chartered Bank (Hong Kong) Limited;The Hongkong and Shanghai Banking Corporation Limited;China Construction Bank (Asia) Corporation Limited;Crédit Agricole Corporate and Investment Bank;J.P. Morgan Securities (Asia Pacific) Limited;Shanghai Pudong Development Bank Co., Ltd., Hong Kong Branch;Agricultural Bank of China Limited Hong Kong Branch;Deutsche Bank AG, Hong Kong Branch;Industrial Bank Co., Ltd. Hong Kong Branch;Citigroup Global Markets Limited;CNCB (Hong Kong) Capital Limited;CMB Wing Lung Bank Limited;Mizuho Securities Asia Limited;Guotai Junan Securities (Hong Kong) Limited;CEB International Capital Corporation Limited;Haitong International Securities Company Limited;Shenwan Hongyuan Securities (H.K.) Limited;China Galaxy International Securities (Hong Kong) Co., Limited</t>
  </si>
  <si>
    <t>Shenwan Hongyuan Securities (H.K.) Limited;CEB International Capital Corporation Limited;Crédit Agricole Corporate and Investment Bank;Deutsche Bank AG, Hong Kong Branch;The Hongkong and Shanghai Banking Corporation Limited;Industrial Bank Co., Ltd. Hong Kong Branch;Bank of Communications Co., Ltd. Hong Kong Branch;China Construction Bank (Asia) Corporation Limited;CNCB (Hong Kong) Capital Limited;China International Capital Corporation Hong Kong Securities Limited;Industrial and Commercial Bank of China (Asia) Limited;China Galaxy International Securities (Hong Kong) Co., Limited;Guotai Junan Securities (Hong Kong) Limited;Standard Chartered Bank (Hong Kong) Limited;Agricultural Bank of China Limited Hong Kong Branch;Shanghai Pudong Development Bank Co., Ltd., Hong Kong Branch;CMB Wing Lung Bank Limited;Mizuho Securities Asia Limited;Bank of China (Hong Kong) Limited;J.P. Morgan Securities (Asia Pacific) Limited;Citigroup Global Markets Limited;Haitong International Securities Company Limited</t>
  </si>
  <si>
    <t>利率债</t>
  </si>
  <si>
    <t>230913HK0000946787</t>
  </si>
  <si>
    <t>HAINAN 2.53 09/20/26</t>
  </si>
  <si>
    <t>HK0000946795</t>
  </si>
  <si>
    <t>海南省政府 2.53 2026-09-20</t>
  </si>
  <si>
    <t>2.90%区域</t>
  </si>
  <si>
    <t>2.53%</t>
  </si>
  <si>
    <t>230913HK0000946795</t>
  </si>
  <si>
    <t>HAINAN 2.7 09/20/28</t>
  </si>
  <si>
    <t>HK0000946803</t>
  </si>
  <si>
    <t>海南省政府 2.7 2028-09-20</t>
  </si>
  <si>
    <t>5.0000</t>
  </si>
  <si>
    <t>3.10%区域</t>
  </si>
  <si>
    <t>2.70%</t>
  </si>
  <si>
    <t>5.01Y</t>
  </si>
  <si>
    <t>230913HK0000946803</t>
  </si>
  <si>
    <t>淄博市财金控股集团有限公司</t>
  </si>
  <si>
    <t>ZBJRKG 3.7 09/20/26</t>
  </si>
  <si>
    <t>HK0000954104</t>
  </si>
  <si>
    <t>淄博市财金控股集团 3.7 2026-09-20</t>
  </si>
  <si>
    <t>3.7%区域</t>
  </si>
  <si>
    <t>3.7%</t>
  </si>
  <si>
    <t>中国邮政储蓄银行股份有限公司淄博分行</t>
  </si>
  <si>
    <t>淄博市</t>
  </si>
  <si>
    <t>Industrial Bank Co., Ltd. Hong Kong Branch;DL SECURITIES (HK) LIMITED;China CITIC Bank International Limited;Guotai Junan Securities (Hong Kong) Limited</t>
  </si>
  <si>
    <t>Replenishing working capital</t>
  </si>
  <si>
    <t>ZBJRKG</t>
  </si>
  <si>
    <t>Shenwan Hongyuan Securities (H.K.) Limited;CEB International Capital Corporation Limited;Essence International Securities (Hong Kong) Limited;SPDB International Capital Limited;Zhongtai International Securities Limited;BOCOM International Securities Limited;CNCB (Hong Kong) Capital Limited;Carnegie Hill Capital Partners Limited;Shanghai Pudong Development Bank Hong Kong Branch;ABCI Capital Limited;CMBC Securities Company Limited</t>
  </si>
  <si>
    <t>Shenwan Hongyuan Securities (H.K.) Limited;CEB International Capital Corporation Limited;Essence International Securities (Hong Kong) Limited;SPDB International Capital Limited;Zhongtai International Securities Limited;Industrial Bank Co., Ltd. Hong Kong Branch;BOCOM International Securities Limited;CNCB (Hong Kong) Capital Limited;DL SECURITIES (HK) LIMITED;Carnegie Hill Capital Partners Limited;China CITIC Bank International Limited;Guotai Junan Securities (Hong Kong) Limited;Shanghai Pudong Development Bank Hong Kong Branch;ABCI Capital Limited;CMBC Securities Company Limited</t>
  </si>
  <si>
    <t>230913HK0000954104</t>
  </si>
  <si>
    <t>邹平市财金发展集团有限公司</t>
  </si>
  <si>
    <t>ZOUFIN 2.3 09/19/26</t>
  </si>
  <si>
    <t>XS2685949492</t>
  </si>
  <si>
    <t>邹平市财金发展集团有限公司 2.3 2026-09-19</t>
  </si>
  <si>
    <t>2.3%区域</t>
  </si>
  <si>
    <t>青岛银行股份有限公司滨州分行</t>
  </si>
  <si>
    <t>滨州市</t>
  </si>
  <si>
    <t>Harmonia Capital Limited</t>
  </si>
  <si>
    <t>Financing construction projects, replenishing working capital and/or general corporate purposes</t>
  </si>
  <si>
    <t>ZOUFIN</t>
  </si>
  <si>
    <t>ZOUPING FINANCE INTERNATIONAL CO., LTD.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</si>
  <si>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Limited;Zhongtai International Securities Limited;JA Securities Limited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</si>
  <si>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Limited;Harmonia Capital Limited;Zhongtai International Securities Limited;JA Securities Limited</t>
  </si>
  <si>
    <t>230913XS2685949492</t>
  </si>
  <si>
    <t>科学城(广州)融资租赁有限公司</t>
  </si>
  <si>
    <t>GZDZCD 5.8 09/15/26</t>
  </si>
  <si>
    <t>XS2680393258</t>
  </si>
  <si>
    <t>科学城租赁 5.8 2026-09-15</t>
  </si>
  <si>
    <t>广东省</t>
  </si>
  <si>
    <t>广州市</t>
  </si>
  <si>
    <t>Dingxin (Securities) Limited;Guotai Junan Securities (Hong Kong) Limited;Shenwan Hongyuan Securities (H.K.) Limited;Haitong Bank, Macau Branch</t>
  </si>
  <si>
    <t>中外合资企业</t>
  </si>
  <si>
    <t>GZDZCD</t>
  </si>
  <si>
    <t>科学城(广州)投资集团有限公司</t>
  </si>
  <si>
    <t>China Zheshang Bank Co., Ltd. Hong Kong Branch</t>
  </si>
  <si>
    <t>Shenwan Hongyuan Securities (H.K.) Limited;China Zheshang Bank Co., Ltd. Hong Kong Branch;Guotai Junan Securities (Hong Kong) Limited;Dingxin (Securities) Limited;Haitong Bank, Macau Branch</t>
  </si>
  <si>
    <t>230912XS2680393258</t>
  </si>
  <si>
    <t>BCHINA 2.98 09/18/26</t>
  </si>
  <si>
    <t>HK0000951035</t>
  </si>
  <si>
    <t>中国银行 2.98 2026-09-18</t>
  </si>
  <si>
    <t>香港交易所;卢森堡交易所;纳斯达克迪拜交易所</t>
  </si>
  <si>
    <t>3.30%区域</t>
  </si>
  <si>
    <t>2.98%</t>
  </si>
  <si>
    <t>中国银行股份有限公司卢森堡分行</t>
  </si>
  <si>
    <t>China Everbright Bank Co., Ltd Hong Kong Branch;China Minsheng Banking Corp., Ltd., Hong Kong Branch;Crédit Agricole Corporate and Investment Bank;BOCI Asia Limited;CLSA Securities Limited;Bank of Communications Co., Ltd. Hong Kong Branch;Industrial Bank Co., Ltd. Hong Kong Branch;The Hongkong and Shanghai Banking Corporation Limited;China Construction Bank (Asia) Corporation Limited;CNCB (Hong Kong) Capital Limited;China CITIC Bank International Limited;Agricultural Bank of China Limited Hong Kong Branch;Natixis;Bank of China (Hong Kong) Limited;ABCI Capital Limited;Mizuho Securities Asia Limited;Citigroup Global Markets Limited;China Securities (International) Corporate Finance Company Limited</t>
  </si>
  <si>
    <t>230911HK0000951035</t>
  </si>
  <si>
    <t>BCHINA FLOAT 09/18/26</t>
  </si>
  <si>
    <t>XS2677539541</t>
  </si>
  <si>
    <t>中国银行 FLOAT 2026-09-18</t>
  </si>
  <si>
    <t>SOFRCOMPOUNDEDINDEX+60BPS(#)</t>
  </si>
  <si>
    <t>Crédit Agricole Corporate and Investment Bank;BOCI Asia Limited;Barclays Bank PLC;Industrial Bank Co., Ltd. Hong Kong Branch;Bank of China Limited, London Branch;Bank of Communications;Industrial and Commercial Bank of China (Asia) Limited;Bank of China (Hong Kong) Limited;Mizuho Securities Asia Limited;CMBC Securities Company Limited;China Securities (International) Corporate Finance Company Limited;China Minsheng Banking Corp., Ltd., Hong Kong Branch;CLSA Securities Limited;Industrial and Commercial Bank of China Limited, Dubai (DIFC) Branch;BOCOM International Securities Limited;The Hongkong and Shanghai Banking Corporation Limited;China Construction Bank (Asia) Corporation Limited;Agricultural Bank of China Limited Hong Kong Branch;Emirates NBD Bank PJSC;ABCI Capital Limited;Standard Chartered Asia Ltd;Citigroup Global Markets Limited</t>
  </si>
  <si>
    <t>中国银行股份有限公司迪拜分行</t>
  </si>
  <si>
    <t>SOFR Compounded Index + 60 bps</t>
  </si>
  <si>
    <t>China Minsheng Banking Corp., Ltd., Hong Kong Branch;Crédit Agricole Corporate and Investment Bank;BOCI Asia Limited;CLSA Securities Limited;Barclays Bank PLC;Industrial Bank Co., Ltd. Hong Kong Branch;Industrial and Commercial Bank of China Limited, Dubai (DIFC) Branch;Bank of China Limited, London Branch;BOCOM International Securities Limited;The Hongkong and Shanghai Banking Corporation Limited;China Construction Bank (Asia) Corporation Limited;Bank of Communications;Industrial and Commercial Bank of China (Asia) Limited;Agricultural Bank of China Limited Hong Kong Branch;Emirates NBD Bank PJSC;Bank of China (Hong Kong) Limited;Mizuho Securities Asia Limited;ABCI Capital Limited;Standard Chartered Asia Ltd;CMBC Securities Company Limited;Citigroup Global Markets Limited;China Securities (International) Corporate Finance Company Limited</t>
  </si>
  <si>
    <t>230911XS2677539541</t>
  </si>
  <si>
    <t>天津轨道交通集团有限公司</t>
  </si>
  <si>
    <t>TJRTGC 7.5 09/12/24</t>
  </si>
  <si>
    <t>XS2672161267</t>
  </si>
  <si>
    <t>天津轨道交通集团有限公司 7.5 2024-09-12</t>
  </si>
  <si>
    <t>A3/NR</t>
  </si>
  <si>
    <t>观察/无</t>
  </si>
  <si>
    <t>7.6%区域</t>
  </si>
  <si>
    <t>7.5%</t>
  </si>
  <si>
    <t>天津市</t>
  </si>
  <si>
    <t>西青区</t>
  </si>
  <si>
    <t>Dongxing Securities (Hong Kong) Company Limited;China Galaxy International Securities (Hong Kong) Co., Limited;China International Capital Corporation Hong Kong Securities Limited;CNCB (Hong Kong) Capital Limited</t>
  </si>
  <si>
    <t>铁路运输</t>
  </si>
  <si>
    <t>363D</t>
  </si>
  <si>
    <t>General corporate purposes</t>
  </si>
  <si>
    <t>TJRTGC</t>
  </si>
  <si>
    <t>天津轨道交通城市发展有限公司</t>
  </si>
  <si>
    <t>控制权变更回售@101%</t>
  </si>
  <si>
    <t>Central China International Capital Ltd;CMB International Capital Corp Ltd;Guotai Junan International Holdings;Huatai International Finance Ltd;Powership Capital Management Limited;Shenwan Hongyuan Securities (H.K.) Limited;SMBC Nikko Securities Inc;SPDB International Capital Limited</t>
  </si>
  <si>
    <t>SMBC Nikko Securities Inc;Guotai Junan International Holdings;Shenwan Hongyuan Securities (H.K.) Limited;Huatai International Finance Ltd;China International Capital Corporation Hong Kong Securities Limited;CNCB (Hong Kong) Capital Limited;Central China International Capital Ltd;China Galaxy International Securities (Hong Kong) Co., Limited;CMB International Capital Corp Ltd;Dongxing Securities (Hong Kong) Company Limited;SPDB International Capital Limited;Powership Capital Management Limited</t>
  </si>
  <si>
    <t>Y1</t>
  </si>
  <si>
    <t>230911XS2672161267</t>
  </si>
  <si>
    <t>FLOATER_FORMULA</t>
  </si>
  <si>
    <t>DONGSHENG INVESTMENT AND DEVEL</t>
  </si>
  <si>
    <t>ZAOZHUANG HI-TECH INVESTMENT GROUP CO LTD</t>
  </si>
  <si>
    <t>4.8</t>
  </si>
  <si>
    <t xml:space="preserve">	COMBINED BOOKS OVER CNH 11.3BN (INCL 8.85BN JLM INT) 11:29 | COMBINED BOOKS OVER CNH 12.9BN (INCL 10.33BN JLM INT + 30MN ADDITIONAL “PROP” PER SFC CODE) 17:57</t>
  </si>
  <si>
    <t>ZOUPING FINANCE INTERNATIONAL</t>
  </si>
  <si>
    <t>ZOUPING FINANCIAL DEVELOPMENT GROUP CO LTD</t>
  </si>
  <si>
    <t>2.2999999999999998</t>
  </si>
  <si>
    <t>--/A+/A+u</t>
  </si>
  <si>
    <t>5.8348928310159502</t>
  </si>
  <si>
    <t>--/A+/A+</t>
  </si>
  <si>
    <t>2.4500000000000002</t>
  </si>
  <si>
    <t>ORDERBOOKS OVER US$1.2BN (INCL. US$945MM JLM INT 11:41 | ORDERBOOKS &gt; US$1.65BN (INCL. US$1.18BN JLM INT) 16:12</t>
  </si>
  <si>
    <t>2.7</t>
  </si>
  <si>
    <t>2.5299999999999998</t>
  </si>
  <si>
    <t>AU</t>
  </si>
  <si>
    <t>CHINA EVERBRIGHT BANK CO LTD/S</t>
  </si>
  <si>
    <t>5.9648928310159501</t>
  </si>
  <si>
    <t>3.7</t>
  </si>
  <si>
    <t>--/--/BBB</t>
  </si>
  <si>
    <t>SCIENCE CITY GUANGZHOU INVESTMENT GROUP CO LTD</t>
  </si>
  <si>
    <t>5.8</t>
  </si>
  <si>
    <t>XS2689084809</t>
  </si>
  <si>
    <t>香港铁路有限公司</t>
  </si>
  <si>
    <t>Aa3/AA+/AA-u</t>
  </si>
  <si>
    <t>4.72</t>
  </si>
  <si>
    <t>Aa3/AA+/AA-</t>
  </si>
  <si>
    <t>230911XS2689084809</t>
  </si>
  <si>
    <t>XS2674525477</t>
  </si>
  <si>
    <t>正商集团有限公司</t>
  </si>
  <si>
    <t>ORDERBOOKS OVER $ 708M (INC $ 560M OF JLM INTEREST) 11:56</t>
  </si>
  <si>
    <t>MULTIPLE GUARANTORS</t>
  </si>
  <si>
    <t>7</t>
  </si>
  <si>
    <t>230911XS2674525477</t>
  </si>
  <si>
    <t>HK0000950995</t>
  </si>
  <si>
    <t>招商证券国际有限公司</t>
  </si>
  <si>
    <t xml:space="preserve">	ORDERBOOKS OVER CNH 1.5BN (INC CNH 1.065BN OF JLM INTEREST) 13:07 | ORDERBOOKS OVER CNH 3.3BN (INC CNH 1.895BN OF JLM INTEREST) 14:33</t>
  </si>
  <si>
    <t>Baa2/--/--</t>
  </si>
  <si>
    <t>CMS INTERNATIONAL GEMSTONE LTD</t>
  </si>
  <si>
    <t>CHINA MERCHANTS SECURITIES INTERNATIONAL CO LTD</t>
  </si>
  <si>
    <t>3.3</t>
  </si>
  <si>
    <t>230911HK0000950995</t>
  </si>
  <si>
    <t>A1/A/A</t>
  </si>
  <si>
    <t>5.9348946789852883</t>
  </si>
  <si>
    <t>A1/A/A(EXP)</t>
  </si>
  <si>
    <t>2.98</t>
  </si>
  <si>
    <t>A3*-/NR/WD</t>
  </si>
  <si>
    <t>TIANJIN RAIL TRANSIT GROUP CO LTD</t>
  </si>
  <si>
    <t>7.5</t>
  </si>
  <si>
    <t>A3/--/--</t>
  </si>
  <si>
    <t>XS2690707497</t>
  </si>
  <si>
    <t>中国农业银行</t>
  </si>
  <si>
    <t>230913XS2690707497</t>
  </si>
  <si>
    <t>HK0000947231</t>
  </si>
  <si>
    <t>杭州金融投资集团有限公司</t>
  </si>
  <si>
    <t>HANGZHOU FINANCE &amp; INVESTMENT</t>
  </si>
  <si>
    <t>4.2</t>
  </si>
  <si>
    <t>230912HK0000947231</t>
  </si>
  <si>
    <t>1360.0b</t>
  </si>
  <si>
    <t>9/1/2014</t>
  </si>
  <si>
    <t>9/1/2009</t>
  </si>
  <si>
    <t>225k</t>
  </si>
  <si>
    <t>9/1/2008</t>
  </si>
  <si>
    <t>ECCPEMUY Index</t>
  </si>
  <si>
    <t>欧元区八月</t>
  </si>
  <si>
    <t>欧元区八月CPI 同比</t>
  </si>
  <si>
    <t>HCOB欧元区制造业PMI</t>
  </si>
  <si>
    <t>MPMIEZMA Index</t>
  </si>
  <si>
    <t>九月HCOB欧元区制造业PMI</t>
  </si>
  <si>
    <t>ECCPEMUM Index</t>
  </si>
  <si>
    <t>欧元区八月CPI 月环比</t>
  </si>
  <si>
    <t>九月HCOB欧元区综合PMI</t>
  </si>
  <si>
    <t>核心CPI同比</t>
  </si>
  <si>
    <t>CPEXEMUY Index</t>
  </si>
  <si>
    <t>欧元区八月核心CPI同比</t>
  </si>
  <si>
    <t>九月HCOB欧元区服务业PMI</t>
  </si>
  <si>
    <t>消费者信心指数</t>
  </si>
  <si>
    <t>EUCCEMU Index</t>
  </si>
  <si>
    <t>欧元区九月消费者信心指数</t>
  </si>
  <si>
    <t>9/1/2016</t>
  </si>
  <si>
    <t>FOMC利率决策(上限)</t>
  </si>
  <si>
    <t>9/1/2020</t>
  </si>
  <si>
    <t>FDTR Index</t>
  </si>
  <si>
    <t>美国FOMC利率决策(上限)</t>
  </si>
  <si>
    <t>9/1/2015</t>
  </si>
  <si>
    <t>标普全球-美国制造业PMI</t>
  </si>
  <si>
    <t>MPMIUSMA Index</t>
  </si>
  <si>
    <t>九月标普全球-美国制造业PMI</t>
  </si>
  <si>
    <t>新宅开工指数</t>
  </si>
  <si>
    <t>1440k</t>
  </si>
  <si>
    <t>1452k</t>
  </si>
  <si>
    <t>NHSPSTOT Index</t>
  </si>
  <si>
    <t>美国八月新宅开工指数</t>
  </si>
  <si>
    <t>二手房销量年率</t>
  </si>
  <si>
    <t>4.10m</t>
  </si>
  <si>
    <t>4.07m</t>
  </si>
  <si>
    <t>ETSLTOTL Index</t>
  </si>
  <si>
    <t>美国八月二手房销量年率</t>
  </si>
  <si>
    <t>世界大型企业研究会领先指数环比</t>
  </si>
  <si>
    <t>LEI CHNG Index</t>
  </si>
  <si>
    <t>美国八月世界大型企业研究会领先指数环比</t>
  </si>
  <si>
    <t>海南省政府</t>
  </si>
  <si>
    <t>天津轨交</t>
  </si>
  <si>
    <t>3.1%a</t>
  </si>
  <si>
    <t>2.7%</t>
  </si>
  <si>
    <t>5</t>
  </si>
  <si>
    <t>3.7%a</t>
  </si>
  <si>
    <t>0.2</t>
  </si>
  <si>
    <t>3%</t>
  </si>
  <si>
    <t>2.9%a</t>
  </si>
  <si>
    <t>FRN</t>
  </si>
  <si>
    <t>悉尼分行</t>
  </si>
  <si>
    <t>2.3%a</t>
  </si>
  <si>
    <t>2.8%a</t>
  </si>
  <si>
    <t>4.2%</t>
  </si>
  <si>
    <t>360天</t>
  </si>
  <si>
    <t>5.8%</t>
  </si>
  <si>
    <t>港交所;卢交所;迪拜</t>
  </si>
  <si>
    <t>卢森堡分行</t>
  </si>
  <si>
    <t>SOFR+60</t>
  </si>
  <si>
    <t>5.934%</t>
  </si>
  <si>
    <t>迪拜分行</t>
  </si>
  <si>
    <t>7.6%a</t>
  </si>
  <si>
    <t>【】</t>
  </si>
  <si>
    <t>邹平财金</t>
  </si>
  <si>
    <t>淄博财金</t>
  </si>
  <si>
    <t>科学城租赁</t>
  </si>
  <si>
    <t>DataSource</t>
  </si>
  <si>
    <t>BBG</t>
  </si>
  <si>
    <t>中国农业银行/香港</t>
  </si>
  <si>
    <t>杭州市金融投资集团有限公司</t>
  </si>
  <si>
    <t>金投国际(香港)有限公</t>
  </si>
  <si>
    <t>发行价格</t>
  </si>
  <si>
    <t>海南省政府债券</t>
  </si>
  <si>
    <t>淄博市财金控股集团有</t>
  </si>
  <si>
    <t>科学城(广州)融资租赁</t>
  </si>
  <si>
    <t>港铁公司</t>
  </si>
  <si>
    <t>正商实业</t>
  </si>
  <si>
    <t>中国银行迪拜分行</t>
  </si>
  <si>
    <t>中国银行/卢森堡</t>
  </si>
  <si>
    <t>天津轨道交通城市发展</t>
  </si>
  <si>
    <t>杭州金投</t>
  </si>
  <si>
    <t>23/9/15 9:00</t>
  </si>
  <si>
    <t>9月11日一周Charts</t>
  </si>
  <si>
    <t>9月11日一周一级市场总结</t>
  </si>
  <si>
    <t>枣庄高新(恒丰银行)</t>
  </si>
  <si>
    <t>(青岛银行)</t>
  </si>
  <si>
    <t>(邮储银行)</t>
  </si>
  <si>
    <t>光银悉尼分行</t>
  </si>
  <si>
    <t>浮息债</t>
  </si>
  <si>
    <t>BISL,港分</t>
  </si>
  <si>
    <t>中银迪拜分行</t>
  </si>
  <si>
    <t>中银卢森堡分行</t>
  </si>
  <si>
    <t>3-5年</t>
  </si>
  <si>
    <t>USD;CNH</t>
  </si>
  <si>
    <t>JPY;CNH</t>
  </si>
  <si>
    <t>FolderPath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</si>
</sst>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58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24"/>
      <color rgb="FF008080"/>
      <name val="Microsoft JhengHei UI"/>
      <family val="2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11"/>
      <color theme="1"/>
      <name val="Microsoft JhengHei U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6" fillId="14" borderId="5" applyNumberFormat="0" applyAlignment="0" applyProtection="0"/>
    <xf numFmtId="0" fontId="29" fillId="14" borderId="6" applyNumberFormat="0" applyAlignment="0" applyProtection="0"/>
  </cellStyleXfs>
  <cellXfs count="160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9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3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31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5" fillId="4" borderId="2" xfId="0" applyFont="1" applyFill="1" applyBorder="1" applyAlignment="1">
      <alignment horizontal="center" vertical="center" wrapText="1"/>
    </xf>
    <xf numFmtId="0" fontId="33" fillId="3" borderId="7" xfId="0" applyFont="1" applyFill="1" applyBorder="1" applyAlignment="1">
      <alignment vertical="center"/>
    </xf>
    <xf numFmtId="0" fontId="36" fillId="3" borderId="0" xfId="0" applyFont="1" applyFill="1" applyAlignment="1">
      <alignment horizontal="center" vertical="center"/>
    </xf>
    <xf numFmtId="167" fontId="36" fillId="3" borderId="0" xfId="0" applyNumberFormat="1" applyFont="1" applyFill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24" fillId="3" borderId="0" xfId="0" applyFont="1" applyFill="1" applyProtection="1">
      <protection locked="0"/>
    </xf>
    <xf numFmtId="0" fontId="22" fillId="3" borderId="0" xfId="0" applyFont="1" applyFill="1" applyAlignment="1" applyProtection="1">
      <alignment vertical="center"/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/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14" borderId="8" xfId="8" applyFont="1" applyBorder="1" applyAlignment="1" applyProtection="1">
      <alignment horizontal="center" vertical="center"/>
      <protection locked="0"/>
    </xf>
    <xf numFmtId="0" fontId="25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 applyProtection="1">
      <alignment vertical="center" wrapText="1"/>
      <protection locked="0"/>
    </xf>
    <xf numFmtId="0" fontId="38" fillId="14" borderId="8" xfId="8" applyFont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>
      <alignment vertical="center"/>
    </xf>
    <xf numFmtId="0" fontId="33" fillId="3" borderId="0" xfId="0" applyFont="1" applyFill="1" applyAlignment="1">
      <alignment horizontal="left" vertical="center"/>
    </xf>
    <xf numFmtId="0" fontId="34" fillId="3" borderId="7" xfId="0" applyFont="1" applyFill="1" applyBorder="1" applyAlignment="1">
      <alignment horizontal="right"/>
    </xf>
    <xf numFmtId="0" fontId="34" fillId="3" borderId="0" xfId="0" applyFont="1" applyFill="1" applyAlignment="1">
      <alignment horizontal="right" vertical="center" wrapText="1"/>
    </xf>
    <xf numFmtId="0" fontId="34" fillId="3" borderId="7" xfId="0" applyFont="1" applyFill="1" applyBorder="1" applyAlignment="1">
      <alignment horizontal="right" vertical="center" wrapText="1"/>
    </xf>
    <xf numFmtId="0" fontId="43" fillId="3" borderId="0" xfId="0" applyFont="1" applyFill="1" applyAlignment="1" applyProtection="1">
      <alignment horizontal="center" wrapText="1"/>
      <protection locked="0"/>
    </xf>
    <xf numFmtId="0" fontId="43" fillId="3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42" fillId="12" borderId="0" xfId="0" quotePrefix="1" applyFont="1" applyFill="1" applyAlignment="1" applyProtection="1">
      <alignment horizontal="center"/>
      <protection locked="0"/>
    </xf>
    <xf numFmtId="10" fontId="0" fillId="12" borderId="0" xfId="0" quotePrefix="1" applyNumberFormat="1" applyFill="1" applyAlignment="1" applyProtection="1">
      <alignment horizontal="center" vertical="center"/>
      <protection locked="0"/>
    </xf>
    <xf numFmtId="0" fontId="45" fillId="3" borderId="0" xfId="0" applyFont="1" applyFill="1"/>
    <xf numFmtId="0" fontId="46" fillId="3" borderId="0" xfId="0" applyFont="1" applyFill="1"/>
    <xf numFmtId="0" fontId="47" fillId="3" borderId="0" xfId="0" applyFont="1" applyFill="1"/>
    <xf numFmtId="164" fontId="38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8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7" fillId="3" borderId="0" xfId="0" applyNumberFormat="1" applyFont="1" applyFill="1"/>
    <xf numFmtId="164" fontId="48" fillId="3" borderId="0" xfId="0" applyNumberFormat="1" applyFont="1" applyFill="1" applyAlignment="1">
      <alignment horizontal="center"/>
    </xf>
    <xf numFmtId="164" fontId="46" fillId="3" borderId="0" xfId="0" applyNumberFormat="1" applyFont="1" applyFill="1"/>
    <xf numFmtId="0" fontId="49" fillId="5" borderId="2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Font="1" applyFill="1"/>
    <xf numFmtId="0" fontId="0" fillId="0" borderId="0" xfId="0" applyFont="1" applyFill="1" applyAlignment="1">
      <alignment wrapText="1"/>
    </xf>
    <xf numFmtId="0" fontId="51" fillId="3" borderId="0" xfId="0" applyFont="1" applyFill="1"/>
    <xf numFmtId="0" fontId="52" fillId="3" borderId="0" xfId="0" applyFont="1" applyFill="1"/>
    <xf numFmtId="0" fontId="53" fillId="3" borderId="0" xfId="0" applyFont="1" applyFill="1"/>
    <xf numFmtId="0" fontId="54" fillId="3" borderId="0" xfId="0" applyFont="1" applyFill="1" applyProtection="1"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22" fontId="0" fillId="0" borderId="0" xfId="0" applyNumberFormat="1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 vertical="center"/>
    </xf>
    <xf numFmtId="164" fontId="0" fillId="0" borderId="0" xfId="0" applyNumberFormat="1" applyFont="1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55" fillId="3" borderId="0" xfId="0" applyFont="1" applyFill="1" applyAlignment="1">
      <alignment vertical="center"/>
    </xf>
    <xf numFmtId="0" fontId="0" fillId="0" borderId="0" xfId="0" quotePrefix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vertical="center"/>
    </xf>
    <xf numFmtId="0" fontId="0" fillId="3" borderId="0" xfId="0" quotePrefix="1" applyFont="1" applyFill="1" applyBorder="1" applyAlignment="1">
      <alignment vertical="center"/>
    </xf>
    <xf numFmtId="0" fontId="56" fillId="8" borderId="0" xfId="0" applyFont="1" applyFill="1"/>
    <xf numFmtId="0" fontId="1" fillId="0" borderId="0" xfId="0" quotePrefix="1" applyFont="1" applyFill="1" applyBorder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3" fillId="12" borderId="0" xfId="0" applyFont="1" applyFill="1" applyAlignment="1">
      <alignment vertical="center"/>
    </xf>
    <xf numFmtId="164" fontId="33" fillId="12" borderId="0" xfId="0" applyNumberFormat="1" applyFont="1" applyFill="1" applyAlignment="1">
      <alignment vertical="center"/>
    </xf>
    <xf numFmtId="164" fontId="33" fillId="12" borderId="0" xfId="8" applyNumberFormat="1" applyFont="1" applyFill="1" applyBorder="1" applyAlignment="1" applyProtection="1">
      <alignment horizontal="center" vertical="center"/>
      <protection locked="0"/>
    </xf>
    <xf numFmtId="165" fontId="33" fillId="12" borderId="0" xfId="0" applyNumberFormat="1" applyFont="1" applyFill="1" applyAlignment="1">
      <alignment vertical="center"/>
    </xf>
    <xf numFmtId="0" fontId="33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0" borderId="0" xfId="0" applyNumberFormat="1" applyFont="1" applyFill="1"/>
    <xf numFmtId="14" fontId="0" fillId="0" borderId="0" xfId="0" applyNumberFormat="1" applyFont="1" applyFill="1"/>
    <xf numFmtId="167" fontId="57" fillId="0" borderId="0" xfId="0" applyNumberFormat="1" applyFont="1" applyFill="1" applyAlignment="1" applyProtection="1">
      <alignment horizontal="left"/>
      <protection locked="0"/>
    </xf>
    <xf numFmtId="0" fontId="57" fillId="0" borderId="0" xfId="0" applyFont="1" applyFill="1" applyProtection="1">
      <protection locked="0"/>
    </xf>
    <xf numFmtId="166" fontId="57" fillId="0" borderId="0" xfId="0" applyNumberFormat="1" applyFont="1" applyFill="1" applyProtection="1"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2" defaultTableStyle="Qry Load" defaultPivotStyle="PivotStyleLight16">
    <tableStyle name="Blank" pivot="0" count="1" xr9:uid="{00000000-0011-0000-FFFF-FFFF00000000}">
      <tableStyleElement type="wholeTable" dxfId="541"/>
    </tableStyle>
    <tableStyle name="ECON" pivot="0" count="2" xr9:uid="{00000000-0011-0000-FFFF-FFFF01000000}">
      <tableStyleElement type="wholeTable" dxfId="540"/>
      <tableStyleElement type="headerRow" dxfId="539"/>
    </tableStyle>
    <tableStyle name="Named_dd" pivot="0" count="2" xr9:uid="{00000000-0011-0000-FFFF-FFFF02000000}">
      <tableStyleElement type="wholeTable" dxfId="538"/>
      <tableStyleElement type="headerRow" dxfId="537"/>
    </tableStyle>
    <tableStyle name="Qry Load" pivot="0" count="3" xr9:uid="{00000000-0011-0000-FFFF-FFFF05000000}">
      <tableStyleElement type="wholeTable" dxfId="536"/>
      <tableStyleElement type="headerRow" dxfId="535"/>
      <tableStyleElement type="totalRow" dxfId="534"/>
    </tableStyle>
    <tableStyle name="Qry Load 2" pivot="0" count="3" xr9:uid="{00000000-0011-0000-FFFF-FFFF06000000}">
      <tableStyleElement type="wholeTable" dxfId="533"/>
      <tableStyleElement type="headerRow" dxfId="532"/>
      <tableStyleElement type="totalRow" dxfId="531"/>
    </tableStyle>
    <tableStyle name="Qry Load 3" pivot="0" count="3" xr9:uid="{00000000-0011-0000-FFFF-FFFF07000000}">
      <tableStyleElement type="wholeTable" dxfId="530"/>
      <tableStyleElement type="headerRow" dxfId="529"/>
      <tableStyleElement type="totalRow" dxfId="528"/>
    </tableStyle>
    <tableStyle name="Qry Load 4" pivot="0" count="3" xr9:uid="{00000000-0011-0000-FFFF-FFFF08000000}">
      <tableStyleElement type="wholeTable" dxfId="527"/>
      <tableStyleElement type="headerRow" dxfId="526"/>
      <tableStyleElement type="totalRow" dxfId="525"/>
    </tableStyle>
    <tableStyle name="Qry Load 5" pivot="0" count="3" xr9:uid="{00000000-0011-0000-FFFF-FFFF09000000}">
      <tableStyleElement type="wholeTable" dxfId="524"/>
      <tableStyleElement type="headerRow" dxfId="523"/>
      <tableStyleElement type="totalRow" dxfId="522"/>
    </tableStyle>
    <tableStyle name="Qry Source" pivot="0" count="2" xr9:uid="{00000000-0011-0000-FFFF-FFFF0A000000}">
      <tableStyleElement type="wholeTable" dxfId="521"/>
      <tableStyleElement type="headerRow" dxfId="520"/>
    </tableStyle>
    <tableStyle name="Qry Source 2" pivot="0" count="2" xr9:uid="{00000000-0011-0000-FFFF-FFFF0B000000}">
      <tableStyleElement type="wholeTable" dxfId="519"/>
      <tableStyleElement type="headerRow" dxfId="518"/>
    </tableStyle>
    <tableStyle name="review" pivot="0" count="3" xr9:uid="{00000000-0011-0000-FFFF-FFFF0C000000}">
      <tableStyleElement type="wholeTable" dxfId="517"/>
      <tableStyleElement type="headerRow" dxfId="516"/>
      <tableStyleElement type="totalRow" dxfId="515"/>
    </tableStyle>
    <tableStyle name="review 2" pivot="0" count="3" xr9:uid="{7E48D373-8BD3-405C-AC0B-582D578C48DF}">
      <tableStyleElement type="wholeTable" dxfId="514"/>
      <tableStyleElement type="headerRow" dxfId="513"/>
      <tableStyleElement type="totalRow" dxfId="512"/>
    </tableStyle>
  </tableStyles>
  <colors>
    <mruColors>
      <color rgb="FF2A7968"/>
      <color rgb="FF234473"/>
      <color rgb="FF0071BA"/>
      <color rgb="FF888AA6"/>
      <color rgb="FFC69E62"/>
      <color rgb="FFE1E1E9"/>
      <color rgb="FFC2B59B"/>
      <color rgb="FFF4EBE0"/>
      <color rgb="FFF4EBD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22411</xdr:colOff>
      <xdr:row>0</xdr:row>
      <xdr:rowOff>44823</xdr:rowOff>
    </xdr:from>
    <xdr:to>
      <xdr:col>5</xdr:col>
      <xdr:colOff>537882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42764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3</xdr:col>
      <xdr:colOff>34178</xdr:colOff>
      <xdr:row>2</xdr:row>
      <xdr:rowOff>280146</xdr:rowOff>
    </xdr:from>
    <xdr:to>
      <xdr:col>5</xdr:col>
      <xdr:colOff>526676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54531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394159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142875</xdr:rowOff>
        </xdr:from>
        <xdr:to>
          <xdr:col>3</xdr:col>
          <xdr:colOff>2238375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6758678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424142</xdr:colOff>
      <xdr:row>1</xdr:row>
      <xdr:rowOff>39460</xdr:rowOff>
    </xdr:from>
    <xdr:to>
      <xdr:col>11</xdr:col>
      <xdr:colOff>861733</xdr:colOff>
      <xdr:row>1</xdr:row>
      <xdr:rowOff>906235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30010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176893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1504950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011261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30</xdr:col>
      <xdr:colOff>40821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1199928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37</xdr:col>
      <xdr:colOff>19050</xdr:colOff>
      <xdr:row>1</xdr:row>
      <xdr:rowOff>400049</xdr:rowOff>
    </xdr:from>
    <xdr:ext cx="7388038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129256" y="993961"/>
          <a:ext cx="7388038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16</xdr:col>
      <xdr:colOff>123263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040969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10</xdr:col>
      <xdr:colOff>313765</xdr:colOff>
      <xdr:row>0</xdr:row>
      <xdr:rowOff>33619</xdr:rowOff>
    </xdr:from>
    <xdr:to>
      <xdr:col>14</xdr:col>
      <xdr:colOff>0</xdr:colOff>
      <xdr:row>5</xdr:row>
      <xdr:rowOff>100853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96971" y="33619"/>
          <a:ext cx="3709147" cy="23420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zh-CN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trl +Alt + F5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 All</a:t>
          </a:r>
          <a:endParaRPr lang="en-US" sz="3600">
            <a:solidFill>
              <a:schemeClr val="accent6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2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7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1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7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0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8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1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1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6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5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7" xr16:uid="{00000000-0016-0000-0100-000000000000}" autoFormatId="16" applyNumberFormats="0" applyBorderFormats="0" applyFontFormats="0" applyPatternFormats="0" applyAlignmentFormats="0" applyWidthHeightFormats="0">
  <queryTableRefresh nextId="593">
    <queryTableFields count="88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91" name="DataSource" tableColumnId="88"/>
      <queryTableField id="553" name="临时isin" tableColumnId="83"/>
      <queryTableField id="91" name="地区" tableColumnId="71"/>
      <queryTableField id="550" name="违约日期" tableColumnId="81"/>
      <queryTableField id="100" name="亿美元" tableColumnId="60"/>
      <queryTableField id="105" name="亿元" tableColumnId="64"/>
      <queryTableField id="120" name="亿港币" tableColumnId="69"/>
      <queryTableField id="576" name="信用主体简称" tableColumnId="85"/>
      <queryTableField id="577" name="板块" tableColumnId="86"/>
      <queryTableField id="140" name="注册成立地" tableColumnId="79"/>
      <queryTableField id="589" name="DEBUT_DATE" tableColumnId="87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74" name="Stats" tableColumnId="84"/>
      <queryTableField id="109" name="IS_FIMTN" tableColumnId="61"/>
      <queryTableField id="59" name="Check" tableColumnId="59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3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4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5" xr16:uid="{0900184B-E3DC-44B7-A956-4A2B0963C2CD}" autoFormatId="16" applyNumberFormats="0" applyBorderFormats="0" applyFontFormats="0" applyPatternFormats="0" applyAlignmentFormats="0" applyWidthHeightFormats="0">
  <queryTableRefresh nextId="5">
    <queryTableFields count="2">
      <queryTableField id="3" name="Updator" tableColumnId="3"/>
      <queryTableField id="4" name="CL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0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1" xr16:uid="{00000000-0016-0000-0200-000003000000}" autoFormatId="16" applyNumberFormats="0" applyBorderFormats="0" applyFontFormats="0" applyPatternFormats="0" applyAlignmentFormats="0" applyWidthHeightFormats="0">
  <queryTableRefresh nextId="126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124" name="票息_DMI" tableColumnId="10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9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0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8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2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3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08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7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6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8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2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4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9" xr16:uid="{B8FD89C8-856C-4BC4-965B-5913312DB0D0}" autoFormatId="16" applyNumberFormats="0" applyBorderFormats="0" applyFontFormats="0" applyPatternFormats="0" applyAlignmentFormats="0" applyWidthHeightFormats="0">
  <queryTableRefresh nextId="512">
    <queryTableFields count="73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6" name="债项初始评级" tableColumnId="16"/>
      <queryTableField id="17" name="境内主体评级" tableColumnId="17"/>
      <queryTableField id="10" name="主题债券" tableColumnId="10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485" name="临时isin" tableColumnId="72"/>
      <queryTableField id="510" name="DataSource" tableColumnId="73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B373777-6D0E-4373-8161-40D12EDDEF4D}" autoFormatId="16" applyNumberFormats="0" applyBorderFormats="0" applyFontFormats="0" applyPatternFormats="0" applyAlignmentFormats="0" applyWidthHeightFormats="0">
  <queryTableRefresh nextId="43">
    <queryTableFields count="25">
      <queryTableField id="1" name="Index" tableColumnId="1"/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6" name="发行人注册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20" name="FLOATER_FORMULA" tableColumnId="15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41" name="发行价格" tableColumnId="25"/>
      <queryTableField id="29" name="发行规模(亿)" tableColumnId="24"/>
      <queryTableField id="11" name="债项BBG" tableColumnId="11"/>
      <queryTableField id="12" name="主体BBG" tableColumnId="12"/>
      <queryTableField id="10" name="Check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4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0" xr16:uid="{77DE529F-18C5-4C93-9015-01A7C00BE612}" autoFormatId="16" applyNumberFormats="0" applyBorderFormats="0" applyFontFormats="0" applyPatternFormats="0" applyAlignmentFormats="0" applyWidthHeightFormats="0">
  <queryTableRefresh nextId="18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4" name="IPT_DMI" tableColumnId="11"/>
      <queryTableField id="15" name="FPG_DMI" tableColumnId="12"/>
      <queryTableField id="13" name="Check" tableColumnId="1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1" xr16:uid="{9A83D6E5-8028-451F-81EB-6106800FC1B7}" autoFormatId="16" applyNumberFormats="0" applyBorderFormats="0" applyFontFormats="0" applyPatternFormats="0" applyAlignmentFormats="0" applyWidthHeightFormats="0">
  <queryTableRefresh nextId="70">
    <queryTableFields count="49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5" xr16:uid="{00000000-0016-0000-0400-00000A000000}" autoFormatId="16" applyNumberFormats="0" applyBorderFormats="0" applyFontFormats="0" applyPatternFormats="0" applyAlignmentFormats="0" applyWidthHeightFormats="0">
  <queryTableRefresh nextId="106">
    <queryTableFields count="21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88" name="细分行业" tableColumnId="6"/>
      <queryTableField id="89" name="行业二级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0" name="上市类型" tableColumnId="19"/>
      <queryTableField id="101" name="公司类型" tableColumnId="20"/>
      <queryTableField id="102" name="Updator" tableColumnId="21"/>
      <queryTableField id="103" name="Timestamp" tableColumnId="22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4" xr16:uid="{00000000-0016-0000-0400-000008000000}" autoFormatId="16" applyNumberFormats="0" applyBorderFormats="0" applyFontFormats="0" applyPatternFormats="0" applyAlignmentFormats="0" applyWidthHeightFormats="0">
  <queryTableRefresh nextId="58">
    <queryTableFields count="19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  <queryTableField id="57" name="FolderPath" tableColumnId="1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108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106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109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110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4:C103" tableType="queryTable" totalsRowShown="0">
  <autoFilter ref="C94:C103" xr:uid="{C59B98D9-DE6D-4FBE-945C-51BABF760B41}">
    <filterColumn colId="0" hiddenButton="1"/>
  </autoFilter>
  <tableColumns count="1">
    <tableColumn id="1" xr3:uid="{0B5F8960-333E-4BB5-B169-91B90A7CD709}" uniqueName="1" name="结构" queryTableFieldId="1" dataDxfId="111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/>
  <tableColumns count="2">
    <tableColumn id="1" xr3:uid="{DE820937-D9CF-434A-8A46-AEA8816786C6}" uniqueName="1" name="板块" queryTableFieldId="1" dataDxfId="112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113"/>
    <tableColumn id="2" xr3:uid="{6DB657FB-E1F1-4EA3-83FA-7AC2169895B1}" uniqueName="2" name="SortValue" queryTableFieldId="2" dataDxfId="511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114"/>
    <tableColumn id="2" xr3:uid="{C1D12E41-5DFD-4B2B-90E5-92838B701E0D}" uniqueName="2" name="SortValue" queryTableFieldId="2" dataDxfId="510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509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2" tableType="queryTable" totalsRowShown="0">
  <autoFilter ref="C41:C92" xr:uid="{3D15E97E-A96B-46C8-8F14-CDD4B9B5EBE7}"/>
  <tableColumns count="1">
    <tableColumn id="1" xr3:uid="{31D67C13-2CDE-467D-9B70-F948A089647C}" uniqueName="1" name="备证行" queryTableFieldId="1" dataDxfId="115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116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508" dataDxfId="507">
  <autoFilter ref="K1:K2" xr:uid="{00000000-0009-0000-0100-00001C000000}">
    <filterColumn colId="0" hiddenButton="1"/>
  </autoFilter>
  <tableColumns count="1">
    <tableColumn id="1" xr3:uid="{00000000-0010-0000-1200-000001000000}" name="Updator" dataDxfId="50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D10:CM23" tableType="queryTable" totalsRowShown="0">
  <autoFilter ref="D10:CM2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1" hiddenButton="1"/>
    <filterColumn colId="73" hiddenButton="1"/>
    <filterColumn colId="74" hiddenButton="1"/>
    <filterColumn colId="75" hiddenButton="1"/>
    <filterColumn colId="78" hiddenButton="1"/>
    <filterColumn colId="81" hiddenButton="1"/>
    <filterColumn colId="82" hiddenButton="1"/>
    <filterColumn colId="83" hiddenButton="1"/>
    <filterColumn colId="84" hiddenButton="1"/>
    <filterColumn colId="86" hiddenButton="1"/>
    <filterColumn colId="87" hiddenButton="1"/>
  </autoFilter>
  <tableColumns count="88">
    <tableColumn id="67" xr3:uid="{89571AE0-3879-457F-B318-34D498859252}" uniqueName="67" name="Index" queryTableFieldId="107" dataDxfId="266"/>
    <tableColumn id="1" xr3:uid="{00000000-0010-0000-1400-000001000000}" uniqueName="1" name="信用主体" queryTableFieldId="1" dataDxfId="265"/>
    <tableColumn id="23" xr3:uid="{B5A6303E-E7C0-43D0-A6BB-6FDABEE4ABD9}" uniqueName="23" name="英文简称" queryTableFieldId="450" dataDxfId="264"/>
    <tableColumn id="9" xr3:uid="{00000000-0010-0000-1400-000009000000}" uniqueName="9" name="ISIN" queryTableFieldId="9" dataDxfId="263"/>
    <tableColumn id="12" xr3:uid="{00000000-0010-0000-1400-00000C000000}" uniqueName="12" name="定价日" queryTableFieldId="12" dataDxfId="262"/>
    <tableColumn id="8" xr3:uid="{00000000-0010-0000-1400-000008000000}" uniqueName="8" name="债券简称" queryTableFieldId="8" dataDxfId="261"/>
    <tableColumn id="13" xr3:uid="{00000000-0010-0000-1400-00000D000000}" uniqueName="13" name="穆迪/标普" queryTableFieldId="13" dataDxfId="260"/>
    <tableColumn id="14" xr3:uid="{00000000-0010-0000-1400-00000E000000}" uniqueName="14" name="主体评级展望" queryTableFieldId="14" dataDxfId="259"/>
    <tableColumn id="15" xr3:uid="{00000000-0010-0000-1400-00000F000000}" uniqueName="15" name="债项评级" queryTableFieldId="15" dataDxfId="258"/>
    <tableColumn id="26" xr3:uid="{00000000-0010-0000-1400-00001A000000}" uniqueName="26" name="发行规模(亿)" queryTableFieldId="26" dataDxfId="257"/>
    <tableColumn id="27" xr3:uid="{00000000-0010-0000-1400-00001B000000}" uniqueName="27" name="货币" queryTableFieldId="27" dataDxfId="256"/>
    <tableColumn id="28" xr3:uid="{00000000-0010-0000-1400-00001C000000}" uniqueName="28" name="发行期限(年)" queryTableFieldId="28" dataDxfId="255"/>
    <tableColumn id="18" xr3:uid="{AE2E760D-01E7-4A99-A03D-0E14B2E5A35B}" uniqueName="18" name="票息_DMI" queryTableFieldId="587" dataDxfId="254"/>
    <tableColumn id="19" xr3:uid="{00000000-0010-0000-1400-000013000000}" uniqueName="19" name="兑付日" queryTableFieldId="19" dataDxfId="253"/>
    <tableColumn id="30" xr3:uid="{00000000-0010-0000-1400-00001E000000}" uniqueName="30" name="发行场所" queryTableFieldId="30" dataDxfId="252"/>
    <tableColumn id="20" xr3:uid="{2E21E1F0-B3C8-4D63-81C1-4DEA5849D935}" uniqueName="20" name="IPT_DMI" queryTableFieldId="98" dataDxfId="251"/>
    <tableColumn id="21" xr3:uid="{721CAAAA-9532-4A2C-AF68-00307121AC06}" uniqueName="21" name="FPG_DMI" queryTableFieldId="99" dataDxfId="250"/>
    <tableColumn id="22" xr3:uid="{00000000-0010-0000-1400-000016000000}" uniqueName="22" name="收窄幅度(bp)" queryTableFieldId="22" dataDxfId="249"/>
    <tableColumn id="82" xr3:uid="{8C16BF61-CC83-4336-BE5B-8B8A13B0CA9C}" uniqueName="82" name="发行规则" queryTableFieldId="552" dataDxfId="248"/>
    <tableColumn id="62" xr3:uid="{9E4808FC-4C9C-428D-82BA-2929B856B8D6}" uniqueName="62" name="发行架构" queryTableFieldId="144" dataDxfId="247"/>
    <tableColumn id="24" xr3:uid="{00000000-0010-0000-1400-000018000000}" uniqueName="24" name="SBLC提供者" queryTableFieldId="24" dataDxfId="246"/>
    <tableColumn id="25" xr3:uid="{00000000-0010-0000-1400-000019000000}" uniqueName="25" name="偿还顺位" queryTableFieldId="25" dataDxfId="245"/>
    <tableColumn id="29" xr3:uid="{00000000-0010-0000-1400-00001D000000}" uniqueName="29" name="发行价" queryTableFieldId="29" dataDxfId="244"/>
    <tableColumn id="31" xr3:uid="{00000000-0010-0000-1400-00001F000000}" uniqueName="31" name="首日涨跌" queryTableFieldId="31" dataDxfId="243"/>
    <tableColumn id="5" xr3:uid="{00000000-0010-0000-1400-000005000000}" uniqueName="5" name="省份" queryTableFieldId="5" dataDxfId="242"/>
    <tableColumn id="6" xr3:uid="{00000000-0010-0000-1400-000006000000}" uniqueName="6" name="城市" queryTableFieldId="6" dataDxfId="241"/>
    <tableColumn id="7" xr3:uid="{00000000-0010-0000-1400-000007000000}" uniqueName="7" name="区县" queryTableFieldId="7" dataDxfId="240"/>
    <tableColumn id="32" xr3:uid="{00000000-0010-0000-1400-000020000000}" uniqueName="32" name="认购额(亿)" queryTableFieldId="32" dataDxfId="239"/>
    <tableColumn id="33" xr3:uid="{00000000-0010-0000-1400-000021000000}" uniqueName="33" name="认购倍数" queryTableFieldId="33" dataDxfId="238"/>
    <tableColumn id="34" xr3:uid="{00000000-0010-0000-1400-000022000000}" uniqueName="34" name="亚洲占比" queryTableFieldId="34" dataDxfId="237"/>
    <tableColumn id="35" xr3:uid="{00000000-0010-0000-1400-000023000000}" uniqueName="35" name="基金占比" queryTableFieldId="35" dataDxfId="236"/>
    <tableColumn id="36" xr3:uid="{00000000-0010-0000-1400-000024000000}" uniqueName="36" name="联席全球协调人" queryTableFieldId="36" dataDxfId="235"/>
    <tableColumn id="72" xr3:uid="{00000000-0010-0000-1400-000048000000}" uniqueName="72" name="发行方式" queryTableFieldId="93" dataDxfId="234"/>
    <tableColumn id="4" xr3:uid="{00000000-0010-0000-1400-000004000000}" uniqueName="4" name="细分行业" queryTableFieldId="4" dataDxfId="233"/>
    <tableColumn id="10" xr3:uid="{00000000-0010-0000-1400-00000A000000}" uniqueName="10" name="主题债券" queryTableFieldId="10" dataDxfId="232"/>
    <tableColumn id="16" xr3:uid="{00000000-0010-0000-1400-000010000000}" uniqueName="16" name="债项初始评级" queryTableFieldId="16" dataDxfId="231"/>
    <tableColumn id="17" xr3:uid="{00000000-0010-0000-1400-000011000000}" uniqueName="17" name="境内主体评级" queryTableFieldId="17" dataDxfId="230"/>
    <tableColumn id="3" xr3:uid="{00000000-0010-0000-1400-000003000000}" uniqueName="3" name="行业" queryTableFieldId="3" dataDxfId="229"/>
    <tableColumn id="70" xr3:uid="{D4D745FA-E2EC-49A7-8DD6-A7E0C561075E}" uniqueName="70" name="剩余期限" queryTableFieldId="122" dataDxfId="228"/>
    <tableColumn id="2" xr3:uid="{00000000-0010-0000-1400-000002000000}" uniqueName="2" name="公司类型" queryTableFieldId="2" dataDxfId="227"/>
    <tableColumn id="11" xr3:uid="{00000000-0010-0000-1400-00000B000000}" uniqueName="11" name="评级类型" queryTableFieldId="11" dataDxfId="226"/>
    <tableColumn id="73" xr3:uid="{EC155D5D-7034-4D98-AE8E-9FD72DE0014F}" uniqueName="73" name="投资者账户数" queryTableFieldId="123" dataDxfId="225"/>
    <tableColumn id="74" xr3:uid="{F3AEB759-21B8-4CF1-A6A6-D6587E7B0569}" uniqueName="74" name="投资者类型" queryTableFieldId="124" dataDxfId="224"/>
    <tableColumn id="75" xr3:uid="{8379EAC2-F6FB-4868-9327-F4926D5314B2}" uniqueName="75" name="投资者分布" queryTableFieldId="125" dataDxfId="223"/>
    <tableColumn id="76" xr3:uid="{99F5C9BF-819A-4B74-90A6-3D912D600F26}" uniqueName="76" name="筹款用途" queryTableFieldId="126" dataDxfId="222"/>
    <tableColumn id="37" xr3:uid="{00000000-0010-0000-1400-000025000000}" uniqueName="37" name="ticker" queryTableFieldId="37" dataDxfId="221"/>
    <tableColumn id="38" xr3:uid="{00000000-0010-0000-1400-000026000000}" uniqueName="38" name="债券最新面值" queryTableFieldId="38" dataDxfId="220"/>
    <tableColumn id="39" xr3:uid="{00000000-0010-0000-1400-000027000000}" uniqueName="39" name="债券余额" queryTableFieldId="39" dataDxfId="219"/>
    <tableColumn id="40" xr3:uid="{00000000-0010-0000-1400-000028000000}" uniqueName="40" name="起息日期" queryTableFieldId="40" dataDxfId="218"/>
    <tableColumn id="41" xr3:uid="{00000000-0010-0000-1400-000029000000}" uniqueName="41" name="行权兑付日" queryTableFieldId="41" dataDxfId="217"/>
    <tableColumn id="43" xr3:uid="{00000000-0010-0000-1400-00002B000000}" uniqueName="43" name="计息基准" queryTableFieldId="43" dataDxfId="216"/>
    <tableColumn id="42" xr3:uid="{00000000-0010-0000-1400-00002A000000}" uniqueName="42" name="最新票面利率" queryTableFieldId="42" dataDxfId="215"/>
    <tableColumn id="44" xr3:uid="{00000000-0010-0000-1400-00002C000000}" uniqueName="44" name="首次付息日" queryTableFieldId="44" dataDxfId="214"/>
    <tableColumn id="45" xr3:uid="{00000000-0010-0000-1400-00002D000000}" uniqueName="45" name="发行人" queryTableFieldId="45" dataDxfId="213"/>
    <tableColumn id="47" xr3:uid="{00000000-0010-0000-1400-00002F000000}" uniqueName="47" name="发行起始日" queryTableFieldId="47" dataDxfId="212"/>
    <tableColumn id="77" xr3:uid="{96AB1C8E-595F-43D9-A802-E2A6579CD92F}" uniqueName="77" name="定价_DMI" queryTableFieldId="136" dataDxfId="211"/>
    <tableColumn id="46" xr3:uid="{00000000-0010-0000-1400-00002E000000}" uniqueName="46" name="担保人" queryTableFieldId="46" dataDxfId="210"/>
    <tableColumn id="48" xr3:uid="{00000000-0010-0000-1400-000030000000}" uniqueName="48" name="上市日期" queryTableFieldId="48" dataDxfId="209"/>
    <tableColumn id="49" xr3:uid="{00000000-0010-0000-1400-000031000000}" uniqueName="49" name="特殊条款说明" queryTableFieldId="49" dataDxfId="208"/>
    <tableColumn id="50" xr3:uid="{00000000-0010-0000-1400-000032000000}" uniqueName="50" name="牵头经办人" queryTableFieldId="50" dataDxfId="207"/>
    <tableColumn id="78" xr3:uid="{A0CF3BD1-5FCF-4795-AF10-20DDD23A6110}" uniqueName="78" name="联席账簿管理人" queryTableFieldId="128" dataDxfId="206"/>
    <tableColumn id="51" xr3:uid="{00000000-0010-0000-1400-000033000000}" uniqueName="51" name="是否永续债" queryTableFieldId="51" dataDxfId="205"/>
    <tableColumn id="52" xr3:uid="{00000000-0010-0000-1400-000034000000}" uniqueName="52" name="是否存单" queryTableFieldId="52" dataDxfId="204"/>
    <tableColumn id="53" xr3:uid="{00000000-0010-0000-1400-000035000000}" uniqueName="53" name="利率类型" queryTableFieldId="53" dataDxfId="203"/>
    <tableColumn id="54" xr3:uid="{00000000-0010-0000-1400-000036000000}" uniqueName="54" name="交易状态" queryTableFieldId="54" dataDxfId="202"/>
    <tableColumn id="55" xr3:uid="{00000000-0010-0000-1400-000037000000}" uniqueName="55" name="债券类型" queryTableFieldId="55" dataDxfId="201"/>
    <tableColumn id="56" xr3:uid="{00000000-0010-0000-1400-000038000000}" uniqueName="56" name="特殊条款" queryTableFieldId="56" dataDxfId="200"/>
    <tableColumn id="57" xr3:uid="{00000000-0010-0000-1400-000039000000}" uniqueName="57" name="付息频率" queryTableFieldId="57" dataDxfId="199"/>
    <tableColumn id="58" xr3:uid="{00000000-0010-0000-1400-00003A000000}" uniqueName="58" name="维好协议提供者" queryTableFieldId="58" dataDxfId="198"/>
    <tableColumn id="88" xr3:uid="{A85513D1-22EA-42F5-ADC2-5073B6878BBC}" uniqueName="88" name="DataSource" queryTableFieldId="591" dataDxfId="197"/>
    <tableColumn id="83" xr3:uid="{E0D8BE77-661B-4FA3-A3EB-364390317F31}" uniqueName="83" name="临时isin" queryTableFieldId="553" dataDxfId="196"/>
    <tableColumn id="71" xr3:uid="{00000000-0010-0000-1400-000047000000}" uniqueName="71" name="地区" queryTableFieldId="91" dataDxfId="195"/>
    <tableColumn id="81" xr3:uid="{9A692B81-7755-46AF-B5A0-027C8CDE2E57}" uniqueName="81" name="违约日期" queryTableFieldId="550" dataDxfId="194"/>
    <tableColumn id="60" xr3:uid="{FFDB6495-96BB-4A1F-8A95-F7E651B4C829}" uniqueName="60" name="亿美元" queryTableFieldId="100" dataDxfId="193"/>
    <tableColumn id="64" xr3:uid="{8A4D7B30-87EA-4608-AF0A-57BD31C54E25}" uniqueName="64" name="亿元" queryTableFieldId="105" dataDxfId="192"/>
    <tableColumn id="69" xr3:uid="{CF2B540E-0281-473E-8195-E64D9272102B}" uniqueName="69" name="亿港币" queryTableFieldId="120" dataDxfId="191"/>
    <tableColumn id="85" xr3:uid="{95E17553-A5B1-47F2-B9DA-EE0FC32D5766}" uniqueName="85" name="信用主体简称" queryTableFieldId="576" dataDxfId="190"/>
    <tableColumn id="86" xr3:uid="{F79DD9BB-65C7-4397-82CC-EFE1C4785655}" uniqueName="86" name="板块" queryTableFieldId="577" dataDxfId="189"/>
    <tableColumn id="79" xr3:uid="{4D5A05D7-BD47-4CF2-BA37-25E4CD582264}" uniqueName="79" name="注册成立地" queryTableFieldId="140" dataDxfId="188"/>
    <tableColumn id="87" xr3:uid="{4D250DE6-0573-4A49-8EF3-9356EAB28656}" uniqueName="87" name="DEBUT_DATE" queryTableFieldId="589" dataDxfId="187"/>
    <tableColumn id="80" xr3:uid="{7D0B3F21-10BB-4E32-89D1-69E4FA31A948}" uniqueName="80" name="发行人主上市地" queryTableFieldId="507" dataDxfId="186"/>
    <tableColumn id="63" xr3:uid="{222E9603-970D-4782-9F61-BA306470C980}" uniqueName="63" name="补充OMAS updates" queryTableFieldId="111" dataDxfId="185"/>
    <tableColumn id="65" xr3:uid="{80765AA5-3F0E-470B-9194-548C15E96FE2}" uniqueName="65" name="定价息差" queryTableFieldId="112" dataDxfId="184"/>
    <tableColumn id="66" xr3:uid="{835384CB-5EA1-4AA5-80C7-6E7A7E31992D}" uniqueName="66" name="发行评级" queryTableFieldId="113" dataDxfId="183"/>
    <tableColumn id="68" xr3:uid="{3FAE810C-DBB1-4EA1-887E-C959C6AEE507}" uniqueName="68" name="主体评级" queryTableFieldId="114" dataDxfId="182"/>
    <tableColumn id="84" xr3:uid="{0F0FD982-24BE-47E3-AB97-24573D35A9F5}" uniqueName="84" name="Stats" queryTableFieldId="574" dataDxfId="181"/>
    <tableColumn id="61" xr3:uid="{C8615552-A40D-44A0-968D-B22B635B4874}" uniqueName="61" name="IS_FIMTN" queryTableFieldId="109" dataDxfId="180"/>
    <tableColumn id="59" xr3:uid="{00000000-0010-0000-1400-00003B000000}" uniqueName="59" name="Check" queryTableFieldId="59" dataDxfId="179"/>
  </tableColumns>
  <tableStyleInfo name="Qry Load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19:A21" tableType="queryTable" totalsRowShown="0">
  <autoFilter ref="A19:A21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5:A17" tableType="queryTable" totalsRowShown="0">
  <autoFilter ref="A15:A17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3" tableType="queryTable" totalsRowShown="0">
  <autoFilter ref="A10:B13" xr:uid="{0820282B-C3EB-444E-9D93-FACE953083CE}">
    <filterColumn colId="0" hiddenButton="1"/>
    <filterColumn colId="1" hiddenButton="1"/>
  </autoFilter>
  <tableColumns count="2">
    <tableColumn id="3" xr3:uid="{0DCF9FBC-3E54-4BFF-9EE1-495E62E3229A}" uniqueName="3" name="Updator" queryTableFieldId="3" dataDxfId="107"/>
    <tableColumn id="4" xr3:uid="{8137097A-DEA8-4A45-82EC-C579B6CC966E}" uniqueName="4" name="CL" queryTableFieldId="4"/>
  </tableColumns>
  <tableStyleInfo name="review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505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18" tableType="queryTable" totalsRowShown="0">
  <autoFilter ref="C5:AD18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178"/>
    <tableColumn id="2" xr3:uid="{00000000-0010-0000-1700-000002000000}" uniqueName="2" name="信用主体" queryTableFieldId="2" dataDxfId="177"/>
    <tableColumn id="4" xr3:uid="{00000000-0010-0000-1700-000004000000}" uniqueName="4" name="主体评级" queryTableFieldId="36" dataDxfId="176"/>
    <tableColumn id="6" xr3:uid="{00000000-0010-0000-1700-000006000000}" uniqueName="6" name="发行评级" queryTableFieldId="6" dataDxfId="175"/>
    <tableColumn id="30" xr3:uid="{510F9677-E5E7-4EF2-B231-02CFB970A361}" uniqueName="30" name="备证行" queryTableFieldId="71" dataDxfId="174"/>
    <tableColumn id="15" xr3:uid="{E24E777A-D49C-4B3E-93AA-DFAEBA57F42B}" uniqueName="15" name="ESG" queryTableFieldId="55" dataDxfId="173"/>
    <tableColumn id="12" xr3:uid="{00000000-0010-0000-1700-00000C000000}" uniqueName="12" name="IPG" queryTableFieldId="12" dataDxfId="172"/>
    <tableColumn id="13" xr3:uid="{00000000-0010-0000-1700-00000D000000}" uniqueName="13" name="FPG" queryTableFieldId="13" dataDxfId="171"/>
    <tableColumn id="14" xr3:uid="{00000000-0010-0000-1700-00000E000000}" uniqueName="14" name="收窄基点" queryTableFieldId="14" dataDxfId="170"/>
    <tableColumn id="25" xr3:uid="{00000000-0010-0000-1700-000019000000}" uniqueName="25" name="定价" queryTableFieldId="25" dataDxfId="169"/>
    <tableColumn id="31" xr3:uid="{FFCE47EB-D5CF-4D34-81FA-065EDA65F5D5}" uniqueName="31" name="增发判定" queryTableFieldId="72" dataDxfId="168"/>
    <tableColumn id="7" xr3:uid="{CF54548E-CA29-447B-8DEF-9AFB019B9DDA}" uniqueName="7" name="结构" queryTableFieldId="110" dataDxfId="167"/>
    <tableColumn id="8" xr3:uid="{00000000-0010-0000-1700-000008000000}" uniqueName="8" name="货币" queryTableFieldId="8" dataDxfId="166"/>
    <tableColumn id="9" xr3:uid="{00000000-0010-0000-1700-000009000000}" uniqueName="9" name="发行规模(亿)" queryTableFieldId="9" dataDxfId="165"/>
    <tableColumn id="5" xr3:uid="{A465A109-439B-46CC-B8D9-8536815366D7}" uniqueName="5" name="年期" queryTableFieldId="52" dataDxfId="164"/>
    <tableColumn id="11" xr3:uid="{00000000-0010-0000-1700-00000B000000}" uniqueName="11" name="票息" queryTableFieldId="11" dataDxfId="163"/>
    <tableColumn id="20" xr3:uid="{7E19D719-1D4A-42E1-9F7A-3CD7D5DA6A44}" uniqueName="20" name="FEATURED" queryTableFieldId="57" dataDxfId="162"/>
    <tableColumn id="33" xr3:uid="{F7F8C15B-103F-4121-B909-0AA998B5A268}" uniqueName="33" name="上市" queryTableFieldId="73" dataDxfId="161"/>
    <tableColumn id="26" xr3:uid="{00000000-0010-0000-1700-00001A000000}" uniqueName="26" name="定价基准" queryTableFieldId="26" dataDxfId="160"/>
    <tableColumn id="10" xr3:uid="{CE6EDBBB-02C3-4C0F-911E-34E6C61B2160}" uniqueName="10" name="票息_DMI" queryTableFieldId="124" dataDxfId="159"/>
    <tableColumn id="32" xr3:uid="{00000000-0010-0000-1700-000020000000}" uniqueName="32" name="境内主体评级" queryTableFieldId="32" dataDxfId="158"/>
    <tableColumn id="3" xr3:uid="{0D8767D9-8A3E-4DE0-A81A-BA74924ABBE9}" uniqueName="3" name="通过分行" queryTableFieldId="80" dataDxfId="157"/>
    <tableColumn id="34" xr3:uid="{54CE4E1B-194A-4B7A-8136-018BFA61D12B}" uniqueName="34" name="期限备注" queryTableFieldId="82" dataDxfId="156"/>
    <tableColumn id="35" xr3:uid="{00000000-0010-0000-1700-000023000000}" uniqueName="35" name="ISIN" queryTableFieldId="35" dataDxfId="155"/>
    <tableColumn id="23" xr3:uid="{00000000-0010-0000-1700-000017000000}" uniqueName="23" name="亿美元" queryTableFieldId="23" dataDxfId="154"/>
    <tableColumn id="24" xr3:uid="{00000000-0010-0000-1700-000018000000}" uniqueName="24" name="亿元" queryTableFieldId="24" dataDxfId="153"/>
    <tableColumn id="21" xr3:uid="{02205151-A1BC-4641-96CA-0A9C736A8B39}" uniqueName="21" name="亿港币" queryTableFieldId="84" dataDxfId="152"/>
    <tableColumn id="19" xr3:uid="{00000000-0010-0000-1700-000013000000}" uniqueName="19" name="Check" queryTableFieldId="49" dataDxfId="151"/>
  </tableColumns>
  <tableStyleInfo name="Qry Load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12" tableType="queryTable" totalsRowShown="0">
  <autoFilter ref="AH5:AW12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149"/>
    <tableColumn id="1" xr3:uid="{00000000-0010-0000-1800-000001000000}" uniqueName="1" name="Check" queryTableFieldId="1" dataDxfId="148"/>
    <tableColumn id="2" xr3:uid="{00000000-0010-0000-1800-000002000000}" uniqueName="2" name="ISIN" queryTableFieldId="2" dataDxfId="147"/>
    <tableColumn id="3" xr3:uid="{00000000-0010-0000-1800-000003000000}" uniqueName="3" name="定价日" queryTableFieldId="3" dataDxfId="146"/>
    <tableColumn id="18" xr3:uid="{CE8319FC-590C-4EDF-A68D-FBC91063B4F2}" uniqueName="18" name="台账序号" queryTableFieldId="38" dataDxfId="145"/>
    <tableColumn id="8" xr3:uid="{00000000-0010-0000-1800-000008000000}" uniqueName="8" name="COVERAGE" queryTableFieldId="16" dataDxfId="144"/>
    <tableColumn id="10" xr3:uid="{00000000-0010-0000-1800-00000A000000}" uniqueName="10" name="Project Name" queryTableFieldId="22" dataDxfId="143"/>
    <tableColumn id="12" xr3:uid="{00000000-0010-0000-1800-00000C000000}" uniqueName="12" name="新规角色" queryTableFieldId="12" dataDxfId="142"/>
    <tableColumn id="9" xr3:uid="{00000000-0010-0000-1800-000009000000}" uniqueName="9" name="PROJECT_CODE" queryTableFieldId="17" dataDxfId="141"/>
    <tableColumn id="15" xr3:uid="{00000000-0010-0000-1800-00000F000000}" uniqueName="15" name="期数" queryTableFieldId="15" dataDxfId="140"/>
    <tableColumn id="5" xr3:uid="{00000000-0010-0000-1800-000005000000}" uniqueName="5" name="BISL_ROLE" queryTableFieldId="5" dataDxfId="139"/>
    <tableColumn id="6" xr3:uid="{00000000-0010-0000-1800-000006000000}" uniqueName="6" name="港分_ROLE" queryTableFieldId="20" dataDxfId="138"/>
    <tableColumn id="7" xr3:uid="{00000000-0010-0000-1800-000007000000}" uniqueName="7" name="澳分_ROLE" queryTableFieldId="21" dataDxfId="137"/>
    <tableColumn id="11" xr3:uid="{00000000-0010-0000-1800-00000B000000}" uniqueName="11" name="IS_LEAD" queryTableFieldId="30" dataDxfId="136"/>
    <tableColumn id="13" xr3:uid="{00000000-0010-0000-1800-00000D000000}" uniqueName="13" name="IS_B&amp;D" queryTableFieldId="31" dataDxfId="135"/>
    <tableColumn id="14" xr3:uid="{00000000-0010-0000-1800-00000E000000}" uniqueName="14" name="是否合名" queryTableFieldId="32" dataDxfId="134"/>
  </tableColumns>
  <tableStyleInfo name="Qry Load 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21:AK24" tableType="queryTable" totalsRowShown="0">
  <autoFilter ref="AH21:AK24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 dataDxfId="150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504" dataDxfId="503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502"/>
    <tableColumn id="2" xr3:uid="{00000000-0010-0000-1A00-000002000000}" name="信用主体" dataDxfId="501"/>
    <tableColumn id="3" xr3:uid="{00000000-0010-0000-1A00-000003000000}" name="主体评级" dataDxfId="500"/>
    <tableColumn id="4" xr3:uid="{00000000-0010-0000-1A00-000004000000}" name="发行评级" dataDxfId="499"/>
    <tableColumn id="6" xr3:uid="{00000000-0010-0000-1A00-000006000000}" name="备证行" dataDxfId="498"/>
    <tableColumn id="16" xr3:uid="{00000000-0010-0000-1A00-000010000000}" name="ESG" dataDxfId="497"/>
    <tableColumn id="11" xr3:uid="{00000000-0010-0000-1A00-00000B000000}" name="IPG" dataDxfId="496"/>
    <tableColumn id="12" xr3:uid="{00000000-0010-0000-1A00-00000C000000}" name="FPG" dataDxfId="495"/>
    <tableColumn id="13" xr3:uid="{00000000-0010-0000-1A00-00000D000000}" name="收窄基点" dataDxfId="494"/>
    <tableColumn id="14" xr3:uid="{00000000-0010-0000-1A00-00000E000000}" name="定价" dataDxfId="493"/>
    <tableColumn id="19" xr3:uid="{00000000-0010-0000-1A00-000013000000}" name="增发判定" dataDxfId="492"/>
    <tableColumn id="5" xr3:uid="{00000000-0010-0000-1A00-000005000000}" name="结构" dataDxfId="491"/>
    <tableColumn id="7" xr3:uid="{00000000-0010-0000-1A00-000007000000}" name="货币" dataDxfId="490"/>
    <tableColumn id="8" xr3:uid="{00000000-0010-0000-1A00-000008000000}" name="发行规模(亿)" dataDxfId="489"/>
    <tableColumn id="9" xr3:uid="{00000000-0010-0000-1A00-000009000000}" name="年期" dataDxfId="488"/>
    <tableColumn id="10" xr3:uid="{00000000-0010-0000-1A00-00000A000000}" name="票息" dataDxfId="487"/>
    <tableColumn id="17" xr3:uid="{00000000-0010-0000-1A00-000011000000}" name="FEATURED" dataDxfId="486"/>
    <tableColumn id="18" xr3:uid="{00000000-0010-0000-1A00-000012000000}" name="上市" dataDxfId="485"/>
    <tableColumn id="15" xr3:uid="{00000000-0010-0000-1A00-00000F000000}" name="定价基准" dataDxfId="484"/>
    <tableColumn id="20" xr3:uid="{00000000-0010-0000-1A00-000014000000}" name="票息_DMI" dataDxfId="483"/>
    <tableColumn id="21" xr3:uid="{00000000-0010-0000-1A00-000015000000}" name="境内主体评级" dataDxfId="482"/>
    <tableColumn id="22" xr3:uid="{00000000-0010-0000-1A00-000016000000}" name="通过分行" dataDxfId="481"/>
    <tableColumn id="23" xr3:uid="{00000000-0010-0000-1A00-000017000000}" name="期限备注" dataDxfId="480"/>
    <tableColumn id="24" xr3:uid="{00000000-0010-0000-1A00-000018000000}" name="ISIN" dataDxfId="479"/>
    <tableColumn id="25" xr3:uid="{00000000-0010-0000-1A00-000019000000}" name="亿美元" dataDxfId="478"/>
    <tableColumn id="26" xr3:uid="{00000000-0010-0000-1A00-00001A000000}" name="亿元" dataDxfId="477"/>
    <tableColumn id="27" xr3:uid="{00000000-0010-0000-1A00-00001B000000}" name="亿港币" dataDxfId="476"/>
    <tableColumn id="28" xr3:uid="{00000000-0010-0000-1A00-00001C000000}" name="Check" dataDxfId="475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2" totalsRowShown="0" headerRowDxfId="474" dataDxfId="473">
  <tableColumns count="16">
    <tableColumn id="1" xr3:uid="{00000000-0010-0000-1B00-000001000000}" name="信用主体" dataDxfId="472"/>
    <tableColumn id="2" xr3:uid="{00000000-0010-0000-1B00-000002000000}" name="Check" dataDxfId="471"/>
    <tableColumn id="3" xr3:uid="{00000000-0010-0000-1B00-000003000000}" name="ISIN" dataDxfId="470"/>
    <tableColumn id="4" xr3:uid="{00000000-0010-0000-1B00-000004000000}" name="定价日" dataDxfId="469"/>
    <tableColumn id="5" xr3:uid="{00000000-0010-0000-1B00-000005000000}" name="台账序号" dataDxfId="468"/>
    <tableColumn id="6" xr3:uid="{00000000-0010-0000-1B00-000006000000}" name="COVERAGE" dataDxfId="467"/>
    <tableColumn id="7" xr3:uid="{00000000-0010-0000-1B00-000007000000}" name="Project Name" dataDxfId="466"/>
    <tableColumn id="8" xr3:uid="{00000000-0010-0000-1B00-000008000000}" name="新规角色" dataDxfId="465"/>
    <tableColumn id="9" xr3:uid="{00000000-0010-0000-1B00-000009000000}" name="PROJECT_CODE" dataDxfId="464"/>
    <tableColumn id="10" xr3:uid="{00000000-0010-0000-1B00-00000A000000}" name="期数" dataDxfId="463"/>
    <tableColumn id="11" xr3:uid="{00000000-0010-0000-1B00-00000B000000}" name="BISL_ROLE" dataDxfId="462"/>
    <tableColumn id="12" xr3:uid="{00000000-0010-0000-1B00-00000C000000}" name="港分_ROLE" dataDxfId="461"/>
    <tableColumn id="13" xr3:uid="{00000000-0010-0000-1B00-00000D000000}" name="澳分_ROLE" dataDxfId="460"/>
    <tableColumn id="14" xr3:uid="{00000000-0010-0000-1B00-00000E000000}" name="IS_LEAD" dataDxfId="459"/>
    <tableColumn id="15" xr3:uid="{00000000-0010-0000-1B00-00000F000000}" name="IS_B&amp;D" dataDxfId="458"/>
    <tableColumn id="16" xr3:uid="{4944CEE3-9CA6-4C3E-8070-375A0A0EC795}" name="是否合名" dataDxfId="457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456" dataDxfId="455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454"/>
    <tableColumn id="2" xr3:uid="{00000000-0010-0000-1C00-000002000000}" name="SHORTNAMER" dataDxfId="453"/>
    <tableColumn id="3" xr3:uid="{00000000-0010-0000-1C00-000003000000}" name="中资属性" dataDxfId="452"/>
    <tableColumn id="4" xr3:uid="{00000000-0010-0000-1C00-000004000000}" name="板块" dataDxfId="451"/>
  </tableColumns>
  <tableStyleInfo name="review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21" tableType="queryTable" totalsRowShown="0">
  <autoFilter ref="A8:J2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34"/>
    <tableColumn id="2" xr3:uid="{00000000-0010-0000-2000-000002000000}" uniqueName="2" name="ISIN" queryTableFieldId="2" dataDxfId="33"/>
    <tableColumn id="3" xr3:uid="{00000000-0010-0000-2000-000003000000}" uniqueName="3" name="债券简称" queryTableFieldId="3" dataDxfId="32"/>
    <tableColumn id="4" xr3:uid="{00000000-0010-0000-2000-000004000000}" uniqueName="4" name="年期" queryTableFieldId="4" dataDxfId="31"/>
    <tableColumn id="5" xr3:uid="{00000000-0010-0000-2000-000005000000}" uniqueName="5" name="亿美元" queryTableFieldId="5" dataDxfId="30"/>
    <tableColumn id="10" xr3:uid="{4DD127ED-3CFA-482D-824F-8996B3B2FF61}" uniqueName="10" name="货币" queryTableFieldId="10" dataDxfId="29"/>
    <tableColumn id="11" xr3:uid="{736609AE-728A-49BC-8EC6-3BE5EAB61E97}" uniqueName="11" name="板块" queryTableFieldId="12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21" tableType="queryTable" totalsRowShown="0">
  <autoFilter ref="P8:AF21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105"/>
    <tableColumn id="33" xr3:uid="{00000000-0010-0000-1D00-000021000000}" uniqueName="33" name="ISIN" queryTableFieldId="33" dataDxfId="104"/>
    <tableColumn id="1" xr3:uid="{00000000-0010-0000-1D00-000001000000}" uniqueName="1" name="定价日" queryTableFieldId="1" dataDxfId="103"/>
    <tableColumn id="3" xr3:uid="{00000000-0010-0000-1D00-000003000000}" uniqueName="3" name="信用主体(备证行)" queryTableFieldId="40"/>
    <tableColumn id="7" xr3:uid="{00000000-0010-0000-1D00-000007000000}" uniqueName="7" name="发行评级" queryTableFieldId="7" dataDxfId="102"/>
    <tableColumn id="9" xr3:uid="{00000000-0010-0000-1D00-000009000000}" uniqueName="9" name="货币" queryTableFieldId="9" dataDxfId="101"/>
    <tableColumn id="10" xr3:uid="{00000000-0010-0000-1D00-00000A000000}" uniqueName="10" name="发行规模(亿)" queryTableFieldId="10" dataDxfId="100"/>
    <tableColumn id="11" xr3:uid="{00000000-0010-0000-1D00-00000B000000}" uniqueName="11" name="年期" queryTableFieldId="11" dataDxfId="99"/>
    <tableColumn id="12" xr3:uid="{00000000-0010-0000-1D00-00000C000000}" uniqueName="12" name="票息" queryTableFieldId="12" dataDxfId="98"/>
    <tableColumn id="13" xr3:uid="{00000000-0010-0000-1D00-00000D000000}" uniqueName="13" name="IPG" queryTableFieldId="13" dataDxfId="97"/>
    <tableColumn id="15" xr3:uid="{00000000-0010-0000-1D00-00000F000000}" uniqueName="15" name="收窄基点" queryTableFieldId="15" dataDxfId="96"/>
    <tableColumn id="16" xr3:uid="{00000000-0010-0000-1D00-000010000000}" uniqueName="16" name="结构" queryTableFieldId="16" dataDxfId="95"/>
    <tableColumn id="17" xr3:uid="{00000000-0010-0000-1D00-000011000000}" uniqueName="17" name="主题" queryTableFieldId="17"/>
    <tableColumn id="4" xr3:uid="{FA4F2C95-A39F-499C-B714-9F3BFC490D1F}" uniqueName="4" name="板块" queryTableFieldId="113" dataDxfId="94"/>
    <tableColumn id="19" xr3:uid="{00000000-0010-0000-1D00-000013000000}" uniqueName="19" name="地区" queryTableFieldId="19" dataDxfId="93"/>
    <tableColumn id="38" xr3:uid="{00000000-0010-0000-1D00-000026000000}" uniqueName="38" name="BOCOM_DEAL?" queryTableFieldId="38" dataDxfId="92"/>
    <tableColumn id="23" xr3:uid="{00000000-0010-0000-1D00-000017000000}" uniqueName="23" name="亿美元" queryTableFieldId="52" dataDxfId="91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C4:E5" tableType="queryTable" totalsRowShown="0">
  <autoFilter ref="C4:E5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 dataDxfId="450"/>
    <tableColumn id="2" xr3:uid="{857E8300-5E00-451D-A87A-FEB801CB337D}" uniqueName="2" name="上周亿美元" queryTableFieldId="2" dataDxfId="449"/>
    <tableColumn id="3" xr3:uid="{53E88003-C23C-428B-99EE-7DB1B6538F3A}" uniqueName="3" name="上周笔数" queryTableFieldId="3" dataDxfId="448"/>
  </tableColumns>
  <tableStyleInfo name="Qry Load 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S4:U5" tableType="queryTable" totalsRowShown="0">
  <autoFilter ref="S4:U5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447"/>
    <tableColumn id="2" xr3:uid="{47FE5343-0DFD-4CFF-B705-96BEB1393CEC}" uniqueName="2" name="上周亿美元" queryTableFieldId="2" dataDxfId="446"/>
    <tableColumn id="3" xr3:uid="{53E645CE-2F6A-4C47-9C37-6B361745E8FA}" uniqueName="3" name="上周笔数" queryTableFieldId="3" dataDxfId="445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4" tableType="queryTable" totalsRowShown="0">
  <autoFilter ref="A6:D14" xr:uid="{808E568B-1200-457F-813E-717EE636BF7C}"/>
  <tableColumns count="4">
    <tableColumn id="1" xr3:uid="{3133AD58-D64F-445E-A0E3-8B36A2E4C89B}" uniqueName="1" name="信用主体简称" queryTableFieldId="1" dataDxfId="27"/>
    <tableColumn id="2" xr3:uid="{38E483B3-A458-4148-BCAA-8CE932CA4FBA}" uniqueName="2" name="板块" queryTableFieldId="2" dataDxfId="26"/>
    <tableColumn id="3" xr3:uid="{5E891849-9559-434F-82D1-4DE41887D454}" uniqueName="3" name="货币" queryTableFieldId="3" dataDxfId="25"/>
    <tableColumn id="4" xr3:uid="{9D21F886-4318-4A17-8974-1FEAF278DF3A}" uniqueName="4" name="Writer" queryTableFieldId="4" dataDxfId="24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444" dataDxfId="443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442"/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441" dataDxfId="440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439"/>
    <tableColumn id="2" xr3:uid="{6DD35146-7DF1-4CCE-9356-C22B108F4F39}" uniqueName="2" name="板块" queryTableFieldId="214"/>
    <tableColumn id="3" xr3:uid="{00000000-0010-0000-2300-000003000000}" uniqueName="3" name="货币" queryTableFieldId="3" dataDxfId="438"/>
    <tableColumn id="52" xr3:uid="{747DCABA-F2CB-44A1-BB61-12F09EA77A65}" uniqueName="52" name="信用主体(备证行)" queryTableFieldId="74" dataDxfId="437"/>
    <tableColumn id="5" xr3:uid="{00000000-0010-0000-2300-000005000000}" uniqueName="5" name="描述" queryTableFieldId="5" dataDxfId="436"/>
    <tableColumn id="1" xr3:uid="{DCE0C678-7429-4B20-B919-874EAF955EBE}" uniqueName="1" name="Stats描述" queryTableFieldId="213" dataDxfId="435"/>
  </tableColumns>
  <tableStyleInfo name="Qry Load 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434" dataDxfId="433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1" tableType="queryTable" totalsRowShown="0">
  <autoFilter ref="A12:O31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31">
    <sortCondition descending="1" ref="I12:I31"/>
  </sortState>
  <tableColumns count="15">
    <tableColumn id="1" xr3:uid="{00000000-0010-0000-2600-000001000000}" uniqueName="1" name="Date" queryTableFieldId="1" dataDxfId="281"/>
    <tableColumn id="13" xr3:uid="{00000000-0010-0000-2600-00000D000000}" uniqueName="13" name="Region" queryTableFieldId="13" dataDxfId="280"/>
    <tableColumn id="3" xr3:uid="{00000000-0010-0000-2600-000003000000}" uniqueName="3" name="Event" queryTableFieldId="3" dataDxfId="279"/>
    <tableColumn id="14" xr3:uid="{00000000-0010-0000-2600-00000E000000}" uniqueName="14" name="Period" queryTableFieldId="14" dataDxfId="278"/>
    <tableColumn id="5" xr3:uid="{00000000-0010-0000-2600-000005000000}" uniqueName="5" name="Survey" queryTableFieldId="5" dataDxfId="277"/>
    <tableColumn id="6" xr3:uid="{00000000-0010-0000-2600-000006000000}" uniqueName="6" name="Actual" queryTableFieldId="6" dataDxfId="276"/>
    <tableColumn id="7" xr3:uid="{00000000-0010-0000-2600-000007000000}" uniqueName="7" name="Prior" queryTableFieldId="7" dataDxfId="275"/>
    <tableColumn id="8" xr3:uid="{00000000-0010-0000-2600-000008000000}" uniqueName="8" name="Revised" queryTableFieldId="8" dataDxfId="274"/>
    <tableColumn id="9" xr3:uid="{00000000-0010-0000-2600-000009000000}" uniqueName="9" name="Relevance" queryTableFieldId="9" dataDxfId="273"/>
    <tableColumn id="10" xr3:uid="{00000000-0010-0000-2600-00000A000000}" uniqueName="10" name="Ticker" queryTableFieldId="10" dataDxfId="272"/>
    <tableColumn id="11" xr3:uid="{00000000-0010-0000-2600-00000B000000}" uniqueName="11" name="Time" queryTableFieldId="11" dataDxfId="271"/>
    <tableColumn id="15" xr3:uid="{00000000-0010-0000-2600-00000F000000}" uniqueName="15" name="Table" queryTableFieldId="15" dataDxfId="270"/>
    <tableColumn id="17" xr3:uid="{00000000-0010-0000-2600-000011000000}" uniqueName="17" name="区间" queryTableFieldId="22" dataDxfId="269"/>
    <tableColumn id="18" xr3:uid="{00000000-0010-0000-2600-000012000000}" uniqueName="18" name="范围" queryTableFieldId="23" dataDxfId="268"/>
    <tableColumn id="16" xr3:uid="{00000000-0010-0000-2600-000010000000}" uniqueName="16" name="上周主要经济数据" queryTableFieldId="16" dataDxfId="267"/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432" dataDxfId="431">
  <autoFilter ref="B2:G8" xr:uid="{644E2A09-C7EB-4F82-B548-1142239A8942}"/>
  <sortState ref="B3:G8">
    <sortCondition ref="D2:D8"/>
  </sortState>
  <tableColumns count="6">
    <tableColumn id="6" xr3:uid="{00000000-0010-0000-2700-000006000000}" name="Index" dataDxfId="430"/>
    <tableColumn id="1" xr3:uid="{00000000-0010-0000-2700-000001000000}" name="上周主要经济数据" dataDxfId="429"/>
    <tableColumn id="2" xr3:uid="{00000000-0010-0000-2700-000002000000}" name="发布(HKT) " dataDxfId="428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427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426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425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4" tableType="queryTable" totalsRowShown="0" dataDxfId="424">
  <autoFilter ref="A10:O24" xr:uid="{EC380FD7-61D3-49F7-9E43-37885EA54264}"/>
  <sortState ref="A11:O24">
    <sortCondition descending="1" ref="I10:I24"/>
  </sortState>
  <tableColumns count="15">
    <tableColumn id="1" xr3:uid="{00000000-0010-0000-2800-000001000000}" uniqueName="1" name="Date" queryTableFieldId="1" dataDxfId="133"/>
    <tableColumn id="2" xr3:uid="{00000000-0010-0000-2800-000002000000}" uniqueName="2" name="Region" queryTableFieldId="2" dataDxfId="132"/>
    <tableColumn id="3" xr3:uid="{00000000-0010-0000-2800-000003000000}" uniqueName="3" name="Event" queryTableFieldId="3" dataDxfId="131"/>
    <tableColumn id="4" xr3:uid="{00000000-0010-0000-2800-000004000000}" uniqueName="4" name="Period" queryTableFieldId="4" dataDxfId="130"/>
    <tableColumn id="5" xr3:uid="{00000000-0010-0000-2800-000005000000}" uniqueName="5" name="Survey" queryTableFieldId="5" dataDxfId="129"/>
    <tableColumn id="6" xr3:uid="{00000000-0010-0000-2800-000006000000}" uniqueName="6" name="Actual" queryTableFieldId="6" dataDxfId="128"/>
    <tableColumn id="7" xr3:uid="{00000000-0010-0000-2800-000007000000}" uniqueName="7" name="Prior" queryTableFieldId="7" dataDxfId="127"/>
    <tableColumn id="8" xr3:uid="{00000000-0010-0000-2800-000008000000}" uniqueName="8" name="Revised" queryTableFieldId="8" dataDxfId="126"/>
    <tableColumn id="9" xr3:uid="{00000000-0010-0000-2800-000009000000}" uniqueName="9" name="Relevance" queryTableFieldId="9" dataDxfId="125"/>
    <tableColumn id="10" xr3:uid="{00000000-0010-0000-2800-00000A000000}" uniqueName="10" name="Ticker" queryTableFieldId="10" dataDxfId="124"/>
    <tableColumn id="11" xr3:uid="{00000000-0010-0000-2800-00000B000000}" uniqueName="11" name="Time" queryTableFieldId="11" dataDxfId="123"/>
    <tableColumn id="12" xr3:uid="{00000000-0010-0000-2800-00000C000000}" uniqueName="12" name="Table" queryTableFieldId="12" dataDxfId="122"/>
    <tableColumn id="14" xr3:uid="{00000000-0010-0000-2800-00000E000000}" uniqueName="14" name="区间" queryTableFieldId="14" dataDxfId="121"/>
    <tableColumn id="15" xr3:uid="{00000000-0010-0000-2800-00000F000000}" uniqueName="15" name="范围" queryTableFieldId="15" dataDxfId="120"/>
    <tableColumn id="16" xr3:uid="{00000000-0010-0000-2800-000010000000}" uniqueName="16" name="未来一周主要经济数据" queryTableFieldId="16" dataDxfId="119"/>
  </tableColumns>
  <tableStyleInfo name="Qry Load 3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423" dataDxfId="422">
  <autoFilter ref="B2:F8" xr:uid="{39A1B0C9-8B1C-4C7A-AB01-A5DC6D5CE22B}"/>
  <sortState ref="B3:F8">
    <sortCondition ref="D2:D8"/>
  </sortState>
  <tableColumns count="5">
    <tableColumn id="6" xr3:uid="{00000000-0010-0000-2900-000006000000}" name="Index" dataDxfId="421"/>
    <tableColumn id="1" xr3:uid="{00000000-0010-0000-2900-000001000000}" name="未来一周主要经济数据" dataDxfId="420"/>
    <tableColumn id="2" xr3:uid="{00000000-0010-0000-2900-000002000000}" name="预计发布(HKT) " dataDxfId="419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418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417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0" tableType="queryTable" totalsRowShown="0">
  <autoFilter ref="B9:K10" xr:uid="{6DCA777B-D7B2-47C2-8F75-D448DBA0BFA1}"/>
  <tableColumns count="10">
    <tableColumn id="1" xr3:uid="{1DB09135-E9F8-4D1A-9399-61FC4C0A9716}" uniqueName="1" name="ISIN" queryTableFieldId="1"/>
    <tableColumn id="2" xr3:uid="{C7465866-56E6-45B0-8D2D-F3D27D157F4F}" uniqueName="2" name="信用主体(备证行)" queryTableFieldId="2"/>
    <tableColumn id="3" xr3:uid="{2605950E-75BD-4931-B556-F7B0A07872CB}" uniqueName="3" name="定价日" queryTableFieldId="3" dataDxfId="416"/>
    <tableColumn id="4" xr3:uid="{0900D8D0-755D-4ED4-9D94-07A8C77BBF9D}" uniqueName="4" name="发行评级" queryTableFieldId="4"/>
    <tableColumn id="5" xr3:uid="{8BCB4DF9-81C0-4AFB-94A6-ED1BBB329974}" uniqueName="5" name="货币" queryTableFieldId="5"/>
    <tableColumn id="6" xr3:uid="{13EE5AEC-AF8C-4B47-9AD6-6D2FD9BD5D12}" uniqueName="6" name="发行规模(亿)" queryTableFieldId="6"/>
    <tableColumn id="7" xr3:uid="{02FAC7D8-C8C9-4106-BC8D-922D104E30D5}" uniqueName="7" name="年期" queryTableFieldId="7"/>
    <tableColumn id="8" xr3:uid="{84D6214D-FDFC-47E8-8A4C-386E6BA0E1F7}" uniqueName="8" name="票息" queryTableFieldId="8"/>
    <tableColumn id="9" xr3:uid="{FC8285EF-1701-4F76-B731-17C05619B63E}" uniqueName="9" name="IPG" queryTableFieldId="9"/>
    <tableColumn id="10" xr3:uid="{0BAAB281-F34D-456C-985B-D5C773B28171}" uniqueName="10" name="收窄基点" queryTableFieldId="10"/>
  </tableColumns>
  <tableStyleInfo name="Qry Loa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13:K14" totalsRowShown="0" dataDxfId="415">
  <autoFilter ref="B13:K14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414"/>
    <tableColumn id="10" xr3:uid="{C2C4EF50-FD6F-4B1E-A545-2ECC96F9A905}" name="添加增发方式" dataDxfId="413"/>
    <tableColumn id="11" xr3:uid="{79B76218-E0E4-4A89-BE76-301D01940875}" name="增发判定" dataDxfId="412"/>
    <tableColumn id="12" xr3:uid="{EDA4F6FC-E9AF-428D-8455-7CAE58E2C730}" name="增发ISIN" dataDxfId="411"/>
    <tableColumn id="2" xr3:uid="{27B5EFE8-4072-49BD-B6A9-5FF970467B1C}" name="定价日" dataDxfId="410"/>
    <tableColumn id="3" xr3:uid="{AD0350DC-2C22-4D91-9AA2-3F091B8A9FED}" name="发行规模(亿)" dataDxfId="409"/>
    <tableColumn id="4" xr3:uid="{C498A0CC-CED1-41FB-877E-641A32287CEF}" name="IPT" dataDxfId="408"/>
    <tableColumn id="5" xr3:uid="{EDF855A7-BA7A-40AF-8D1C-50F6E2692F36}" name="FPG" dataDxfId="407"/>
    <tableColumn id="6" xr3:uid="{19553095-3CC0-4C17-9C9F-D62F43223F22}" name="BOCOM_JGC" dataDxfId="406"/>
    <tableColumn id="8" xr3:uid="{2ABEAA2D-F8C8-4F6E-BB0B-5ED3A2C55235}" name="BOCOM_JBR" dataDxfId="405"/>
  </tableColumns>
  <tableStyleInfo name="review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17:C50" tableType="queryTable" totalsRowShown="0">
  <autoFilter ref="B17:C50" xr:uid="{13E57BC5-5381-4B21-915A-56BB1155E16E}"/>
  <tableColumns count="2">
    <tableColumn id="23" xr3:uid="{2B4F470D-5393-407C-81AA-C0830E8F96A1}" uniqueName="23" name="Column1" queryTableFieldId="1" dataDxfId="404"/>
    <tableColumn id="24" xr3:uid="{EAD53C83-0843-49F8-80DF-27B7042770D9}" uniqueName="24" name="Column2" queryTableFieldId="2" dataDxfId="403"/>
  </tableColumns>
  <tableStyleInfo name="Qry Loa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402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401"/>
    <tableColumn id="2" xr3:uid="{D1462E68-AD85-4F5B-9217-1461281B8D2F}" name="输入主体关键字" dataDxfId="400"/>
    <tableColumn id="3" xr3:uid="{7082A380-A3A2-4FAF-A950-6756985F63E9}" name="AddToDLD" dataDxfId="399"/>
  </tableColumns>
  <tableStyleInfo name="Qry Load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398">
  <autoFilter ref="B3:C4" xr:uid="{24E2BF76-3300-438F-8E58-CCD22086EA5B}"/>
  <tableColumns count="2">
    <tableColumn id="2" xr3:uid="{0B4B4AD7-3A5E-433D-ACCF-42F67840B2E1}" name="输入主体关键字" dataDxfId="397"/>
    <tableColumn id="3" xr3:uid="{16B87CBB-0A54-4266-9A25-E5E43224FB20}" name="AddToDLD" dataDxfId="396"/>
  </tableColumns>
  <tableStyleInfo name="Qry Loa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28"/>
  </tableColumns>
  <tableStyleInfo name="Qry Load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395" dataDxfId="394">
  <autoFilter ref="B24:C38" xr:uid="{388A3E41-C0C7-41AE-A48B-DD7590A31971}"/>
  <tableColumns count="2">
    <tableColumn id="1" xr3:uid="{E44BDF86-0634-4A21-B8E8-0190644A6748}" name="债券详情" dataDxfId="393"/>
    <tableColumn id="2" xr3:uid="{14940635-2BDC-46A7-B0FA-93640165F19A}" name="Input" dataDxfId="392"/>
  </tableColumns>
  <tableStyleInfo name="Qry Load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6" tableType="queryTable" totalsRowShown="0">
  <autoFilter ref="A5:J6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283"/>
    <tableColumn id="3" xr3:uid="{A4050823-CF41-4CB7-9327-CCA27CCCD0E4}" uniqueName="3" name="ISIN" queryTableFieldId="3"/>
    <tableColumn id="4" xr3:uid="{9D24D768-6BC8-4791-8E2E-C86E5BF82512}" uniqueName="4" name="债券简称" queryTableFieldId="4" dataDxfId="282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U19" tableType="queryTable" totalsRowShown="0">
  <autoFilter ref="A5:BU19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70" hiddenButton="1"/>
    <filterColumn colId="72" hiddenButton="1"/>
  </autoFilter>
  <tableColumns count="73">
    <tableColumn id="1" xr3:uid="{65CE1E33-8359-4C0B-9221-1E30F7E1CEF4}" uniqueName="1" name="信用主体" queryTableFieldId="1" dataDxfId="391"/>
    <tableColumn id="24" xr3:uid="{A81CDE9A-F459-467A-95A6-76B9882E80D7}" uniqueName="24" name="英文简称" queryTableFieldId="384" dataDxfId="390"/>
    <tableColumn id="9" xr3:uid="{6CF5A73E-65DE-485F-A790-2A65D986DCCA}" uniqueName="9" name="ISIN" queryTableFieldId="9" dataDxfId="389"/>
    <tableColumn id="12" xr3:uid="{2FAEB098-B99A-49BC-8F9E-60BB22B8B1A8}" uniqueName="12" name="定价日" queryTableFieldId="12" dataDxfId="388"/>
    <tableColumn id="8" xr3:uid="{5ABB02D5-4AA9-47AD-B0BA-BE18B2B3C4DE}" uniqueName="8" name="债券简称" queryTableFieldId="8" dataDxfId="387"/>
    <tableColumn id="13" xr3:uid="{5E4165C1-E3B4-48D3-8D3A-10EB35D470E0}" uniqueName="13" name="穆迪/标普" queryTableFieldId="13" dataDxfId="386"/>
    <tableColumn id="14" xr3:uid="{D0CD7E0A-5738-4057-9BC0-77E832B4C25E}" uniqueName="14" name="主体评级展望" queryTableFieldId="14" dataDxfId="385"/>
    <tableColumn id="15" xr3:uid="{32ECF4B7-EF13-4935-98C6-7E853C1916B9}" uniqueName="15" name="债项评级" queryTableFieldId="15" dataDxfId="384"/>
    <tableColumn id="27" xr3:uid="{00C79F5A-7701-4B0D-8C7E-8C5F683178C5}" uniqueName="27" name="发行规模(亿)" queryTableFieldId="27" dataDxfId="383"/>
    <tableColumn id="28" xr3:uid="{E7406E52-8977-4808-A788-298B36157479}" uniqueName="28" name="货币" queryTableFieldId="28" dataDxfId="382"/>
    <tableColumn id="29" xr3:uid="{697EF4DB-C377-4637-A8D4-B512822D8F0E}" uniqueName="29" name="发行期限(年)" queryTableFieldId="29" dataDxfId="381"/>
    <tableColumn id="18" xr3:uid="{35998095-7833-40E5-863C-D415A0A936DB}" uniqueName="18" name="票息_DMI" queryTableFieldId="504" dataDxfId="380"/>
    <tableColumn id="19" xr3:uid="{4C2677D7-B95D-4CBD-97D0-A324C689DECD}" uniqueName="19" name="兑付日" queryTableFieldId="19" dataDxfId="379"/>
    <tableColumn id="31" xr3:uid="{9394B226-D977-440D-BBB4-696AAAD92014}" uniqueName="31" name="发行场所" queryTableFieldId="31" dataDxfId="378"/>
    <tableColumn id="20" xr3:uid="{140F0A6F-50E8-4D1A-8A9F-8D00CEE04850}" uniqueName="20" name="IPT_DMI" queryTableFieldId="20" dataDxfId="377"/>
    <tableColumn id="21" xr3:uid="{536CD873-CE57-4DE2-A54F-18E33D004325}" uniqueName="21" name="FPG_DMI" queryTableFieldId="21" dataDxfId="376"/>
    <tableColumn id="22" xr3:uid="{82FAF641-AB3E-4935-B71A-3C539F35361C}" uniqueName="22" name="收窄幅度(bp)" queryTableFieldId="22" dataDxfId="375"/>
    <tableColumn id="71" xr3:uid="{E14716B4-D6D5-436D-BD61-6C2392A1635D}" uniqueName="71" name="发行规则" queryTableFieldId="484" dataDxfId="374"/>
    <tableColumn id="69" xr3:uid="{66B79F56-B661-4ED8-8D3C-3F444AAC1C7D}" uniqueName="69" name="发行架构" queryTableFieldId="78" dataDxfId="373"/>
    <tableColumn id="25" xr3:uid="{89B2DB1E-4CFE-4140-9A07-0F1E43F6C9AC}" uniqueName="25" name="SBLC提供者" queryTableFieldId="25" dataDxfId="372"/>
    <tableColumn id="26" xr3:uid="{C94A4441-8480-4C30-99DA-F2FF91A5E801}" uniqueName="26" name="偿还顺位" queryTableFieldId="26" dataDxfId="371"/>
    <tableColumn id="30" xr3:uid="{6BA1C82B-55CF-4344-AFEE-FD6746AB9A6C}" uniqueName="30" name="发行价" queryTableFieldId="30" dataDxfId="370"/>
    <tableColumn id="32" xr3:uid="{A6056AD5-48AD-4001-A74C-ECA77FC26CB2}" uniqueName="32" name="首日涨跌" queryTableFieldId="32" dataDxfId="369"/>
    <tableColumn id="5" xr3:uid="{FFD49085-9527-4367-B0C2-2E8443581C7C}" uniqueName="5" name="省份" queryTableFieldId="5" dataDxfId="368"/>
    <tableColumn id="6" xr3:uid="{851B0F66-A6A0-4EE3-AEC3-02593C4D8B13}" uniqueName="6" name="城市" queryTableFieldId="6" dataDxfId="367"/>
    <tableColumn id="7" xr3:uid="{015C4268-F544-4F8B-A375-27371977DA3A}" uniqueName="7" name="区县" queryTableFieldId="7" dataDxfId="366"/>
    <tableColumn id="33" xr3:uid="{072BF78A-2040-4CCF-95BA-462ACF02A26B}" uniqueName="33" name="认购额(亿)" queryTableFieldId="33" dataDxfId="365"/>
    <tableColumn id="34" xr3:uid="{79315342-FB4B-48FA-9D0E-BB5182F1342A}" uniqueName="34" name="认购倍数" queryTableFieldId="34" dataDxfId="364"/>
    <tableColumn id="35" xr3:uid="{3B7B9C0D-05D5-4554-9DD5-4648FC9FD35A}" uniqueName="35" name="亚洲占比" queryTableFieldId="35" dataDxfId="363"/>
    <tableColumn id="36" xr3:uid="{7E161805-3582-4E8B-AD1E-8D44C6578511}" uniqueName="36" name="基金占比" queryTableFieldId="36" dataDxfId="362"/>
    <tableColumn id="37" xr3:uid="{678B1454-0186-4392-9084-8A4631663D07}" uniqueName="37" name="联席全球协调人" queryTableFieldId="37" dataDxfId="361"/>
    <tableColumn id="23" xr3:uid="{50116619-6391-40C5-AAE1-F0D778876139}" uniqueName="23" name="发行方式" queryTableFieldId="23" dataDxfId="360"/>
    <tableColumn id="4" xr3:uid="{F2F32A9C-87BC-497A-A806-ABCC694FD9DD}" uniqueName="4" name="细分行业" queryTableFieldId="4" dataDxfId="359"/>
    <tableColumn id="16" xr3:uid="{31CB77BA-C75C-4904-BE05-EA3D31CB0E8E}" uniqueName="16" name="债项初始评级" queryTableFieldId="16" dataDxfId="358"/>
    <tableColumn id="17" xr3:uid="{EAB58105-9561-4364-BE64-FA9715A8F45D}" uniqueName="17" name="境内主体评级" queryTableFieldId="17" dataDxfId="357"/>
    <tableColumn id="10" xr3:uid="{43CE6995-65BA-4391-BADA-3C1BCBA73A55}" uniqueName="10" name="主题债券" queryTableFieldId="10" dataDxfId="356"/>
    <tableColumn id="3" xr3:uid="{0D6292F2-14C6-4D00-9C2B-D4771C6FCBEB}" uniqueName="3" name="行业" queryTableFieldId="3" dataDxfId="355"/>
    <tableColumn id="62" xr3:uid="{788704BA-E54A-4436-9FC7-E5EEF473C596}" uniqueName="62" name="剩余期限" queryTableFieldId="62" dataDxfId="354"/>
    <tableColumn id="2" xr3:uid="{D2679A15-B28C-4B9B-90D8-85DA1F060224}" uniqueName="2" name="公司类型" queryTableFieldId="2" dataDxfId="353"/>
    <tableColumn id="11" xr3:uid="{A0E133D3-082C-430A-8830-87B8C99C392A}" uniqueName="11" name="评级类型" queryTableFieldId="11" dataDxfId="352"/>
    <tableColumn id="63" xr3:uid="{EE264CCC-DCFC-4688-9A0B-4A404F87045B}" uniqueName="63" name="投资者账户数" queryTableFieldId="63" dataDxfId="351"/>
    <tableColumn id="64" xr3:uid="{EAE71064-4CB1-4B07-944E-84D6F3C49081}" uniqueName="64" name="投资者类型" queryTableFieldId="64" dataDxfId="350"/>
    <tableColumn id="65" xr3:uid="{E7174B24-DE40-43F6-8633-438CBA936C58}" uniqueName="65" name="投资者分布" queryTableFieldId="65" dataDxfId="349"/>
    <tableColumn id="66" xr3:uid="{CC4128EA-9B08-4BCD-B35C-71CF4AAFA24C}" uniqueName="66" name="筹款用途" queryTableFieldId="66" dataDxfId="348"/>
    <tableColumn id="38" xr3:uid="{975ADB86-B00A-4806-9500-96E93B0E8E67}" uniqueName="38" name="ticker" queryTableFieldId="38" dataDxfId="347"/>
    <tableColumn id="39" xr3:uid="{72AA5BB3-7E54-4DE0-9CE8-13DDE5A6A94C}" uniqueName="39" name="债券最新面值" queryTableFieldId="39" dataDxfId="346"/>
    <tableColumn id="40" xr3:uid="{4EE46BC2-E1CF-462A-A03E-DF0563BE31D9}" uniqueName="40" name="债券余额" queryTableFieldId="40" dataDxfId="345"/>
    <tableColumn id="41" xr3:uid="{4BFB0F89-8CA1-4D0F-9EB3-325F7C449AB2}" uniqueName="41" name="起息日期" queryTableFieldId="41" dataDxfId="344"/>
    <tableColumn id="42" xr3:uid="{2E685F7F-FFBA-484A-A377-6390F6A585BE}" uniqueName="42" name="行权兑付日" queryTableFieldId="42" dataDxfId="343"/>
    <tableColumn id="43" xr3:uid="{7A00E475-6904-4819-BC88-02B7AD3D67B7}" uniqueName="43" name="最新票面利率" queryTableFieldId="43" dataDxfId="342"/>
    <tableColumn id="44" xr3:uid="{0E120977-4EC2-4818-BC4D-6CCE5264355E}" uniqueName="44" name="计息基准" queryTableFieldId="44" dataDxfId="341"/>
    <tableColumn id="45" xr3:uid="{1C61FECB-9E8B-4B0A-A577-E0EADEE6ACB0}" uniqueName="45" name="首次付息日" queryTableFieldId="45" dataDxfId="340"/>
    <tableColumn id="46" xr3:uid="{20F5098B-FF11-4DA0-A626-7DF045DB0FB3}" uniqueName="46" name="发行人" queryTableFieldId="46" dataDxfId="339"/>
    <tableColumn id="47" xr3:uid="{17C9AFD4-5642-48EA-8D06-494AAC11A915}" uniqueName="47" name="担保人" queryTableFieldId="47" dataDxfId="338"/>
    <tableColumn id="48" xr3:uid="{E3D34E72-CB63-4E18-AED9-A3EC74CFDD3C}" uniqueName="48" name="发行起始日" queryTableFieldId="48" dataDxfId="337"/>
    <tableColumn id="67" xr3:uid="{AD599695-8522-46E7-B118-DE2179D8EA71}" uniqueName="67" name="定价_DMI" queryTableFieldId="67" dataDxfId="336"/>
    <tableColumn id="49" xr3:uid="{1682CF98-DB54-47C3-8A44-144BB70D0821}" uniqueName="49" name="上市日期" queryTableFieldId="49" dataDxfId="335"/>
    <tableColumn id="50" xr3:uid="{2215B6A7-05C9-4C6B-8AE1-E60AE330BE07}" uniqueName="50" name="特殊条款说明" queryTableFieldId="50" dataDxfId="334"/>
    <tableColumn id="51" xr3:uid="{E59ECFC4-F0C9-41B1-9733-1AEB70C7437B}" uniqueName="51" name="牵头经办人" queryTableFieldId="51" dataDxfId="333"/>
    <tableColumn id="68" xr3:uid="{DDA77D44-FA04-425D-9DA1-4DAB31A61BB6}" uniqueName="68" name="联席账簿管理人" queryTableFieldId="68" dataDxfId="332"/>
    <tableColumn id="52" xr3:uid="{A98F2AA1-AD8E-4BE7-8B74-C3458DC2EC64}" uniqueName="52" name="是否永续债" queryTableFieldId="52" dataDxfId="331"/>
    <tableColumn id="53" xr3:uid="{74446647-F415-46DC-A41C-CE06D819E843}" uniqueName="53" name="是否存单" queryTableFieldId="53" dataDxfId="330"/>
    <tableColumn id="54" xr3:uid="{D1474CED-58C4-4A46-81D9-D99210D02234}" uniqueName="54" name="利率类型" queryTableFieldId="54" dataDxfId="329"/>
    <tableColumn id="55" xr3:uid="{40CC185A-EE88-4DE1-8A90-03B8F737740F}" uniqueName="55" name="交易状态" queryTableFieldId="55" dataDxfId="328"/>
    <tableColumn id="56" xr3:uid="{6CE7EEB7-7E14-4960-892D-D2B4A752EA7F}" uniqueName="56" name="债券类型" queryTableFieldId="56" dataDxfId="327"/>
    <tableColumn id="57" xr3:uid="{145EA911-7D60-43D2-854F-080D2E91B1E5}" uniqueName="57" name="特殊条款" queryTableFieldId="57" dataDxfId="326"/>
    <tableColumn id="58" xr3:uid="{019381F3-72FB-4C5F-9AB8-FA53CD073BE5}" uniqueName="58" name="付息频率" queryTableFieldId="58" dataDxfId="325"/>
    <tableColumn id="59" xr3:uid="{C8D1AF04-7E6F-4D88-B06F-C8310837A162}" uniqueName="59" name="维好协议提供者" queryTableFieldId="59" dataDxfId="324"/>
    <tableColumn id="72" xr3:uid="{96F46060-893A-4B22-B404-CF1EE29A6D65}" uniqueName="72" name="临时isin" queryTableFieldId="485" dataDxfId="323"/>
    <tableColumn id="73" xr3:uid="{D45A8B32-650E-4461-9DBC-CC40BC94C9C7}" uniqueName="73" name="DataSource" queryTableFieldId="510"/>
    <tableColumn id="60" xr3:uid="{92CFA544-119D-46AF-AD53-05E6F7709CB5}" uniqueName="60" name="地区" queryTableFieldId="60" dataDxfId="322"/>
    <tableColumn id="70" xr3:uid="{FDFE2857-9DAD-4B41-AF70-A4DBA7B07557}" uniqueName="70" name="违约日期" queryTableFieldId="482" dataDxfId="321"/>
    <tableColumn id="61" xr3:uid="{EFAB649D-F0FE-4812-A2D5-2D3BCB496CCA}" uniqueName="61" name="Check" queryTableFieldId="61" dataDxfId="320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Y22" tableType="queryTable" totalsRowShown="0">
  <autoFilter ref="A5:Y22" xr:uid="{FD7ECA0B-0FF6-411A-8C06-812B258A1B5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8" hiddenButton="1"/>
    <filterColumn colId="9" hiddenButton="1"/>
    <filterColumn colId="10" hiddenButton="1"/>
    <filterColumn colId="22" hiddenButton="1"/>
    <filterColumn colId="23" hiddenButton="1"/>
    <filterColumn colId="24" hiddenButton="1"/>
  </autoFilter>
  <tableColumns count="25">
    <tableColumn id="1" xr3:uid="{708FCF03-69E0-45CA-8914-D229D5C86DFC}" uniqueName="1" name="Index" queryTableFieldId="1" dataDxfId="319"/>
    <tableColumn id="2" xr3:uid="{C3F732B3-45FA-4844-A166-E4D90A2FF4A7}" uniqueName="2" name="定价日" queryTableFieldId="2" dataDxfId="318"/>
    <tableColumn id="3" xr3:uid="{693984F3-D10B-45D9-B70A-607684C923C4}" uniqueName="3" name="ISIN" queryTableFieldId="3" dataDxfId="317"/>
    <tableColumn id="14" xr3:uid="{1FE375EE-64D4-41E4-9AB6-C8F32DFC2099}" uniqueName="14" name="信用主体" queryTableFieldId="19" dataDxfId="316"/>
    <tableColumn id="4" xr3:uid="{B82F24B2-2DE7-431E-BEF8-F7696535CFF8}" uniqueName="4" name="补充OMAS updates" queryTableFieldId="4"/>
    <tableColumn id="5" xr3:uid="{51954C56-B4CD-447B-A9B9-324865237CD6}" uniqueName="5" name="发行评级" queryTableFieldId="5" dataDxfId="315"/>
    <tableColumn id="6" xr3:uid="{AED08928-756A-48CC-A444-204CF6809787}" uniqueName="6" name="发行人注册地" queryTableFieldId="6"/>
    <tableColumn id="13" xr3:uid="{369EC4CC-5DB7-4BCD-99FE-A3F32004470B}" uniqueName="13" name="发行人主上市地" queryTableFieldId="15" dataDxfId="314"/>
    <tableColumn id="7" xr3:uid="{A5B0308D-B1F8-4208-A561-DF94E20F0BAA}" uniqueName="7" name="主体评级" queryTableFieldId="7" dataDxfId="313"/>
    <tableColumn id="8" xr3:uid="{8DD9D5B0-06FC-4925-B90A-757DFCE21989}" uniqueName="8" name="定价息差" queryTableFieldId="8" dataDxfId="312"/>
    <tableColumn id="9" xr3:uid="{6E3DDE2C-C376-4E7A-80DB-DA717BE2BC0D}" uniqueName="9" name="浮息息差" queryTableFieldId="9" dataDxfId="311"/>
    <tableColumn id="15" xr3:uid="{2A4E6EF8-6C3A-4777-B678-304F2BAA0912}" uniqueName="15" name="FLOATER_FORMULA" queryTableFieldId="20"/>
    <tableColumn id="16" xr3:uid="{3E06751F-A27C-4B1E-BD59-92656265A7A9}" uniqueName="16" name="发行人" queryTableFieldId="21" dataDxfId="310"/>
    <tableColumn id="17" xr3:uid="{EFF30CDB-A88C-42BD-A514-B174CC57CC5D}" uniqueName="17" name="担保人" queryTableFieldId="22" dataDxfId="309"/>
    <tableColumn id="18" xr3:uid="{96D1A663-CCB3-44A9-846A-F39B3CA437D8}" uniqueName="18" name="维好协议提供者" queryTableFieldId="23" dataDxfId="308"/>
    <tableColumn id="19" xr3:uid="{87375B86-F24A-452E-B65A-E8B35EB9352A}" uniqueName="19" name="起息日期" queryTableFieldId="24" dataDxfId="307"/>
    <tableColumn id="20" xr3:uid="{8859C58B-3298-479E-A954-938769580176}" uniqueName="20" name="兑付日" queryTableFieldId="25" dataDxfId="306"/>
    <tableColumn id="21" xr3:uid="{0C5CEC34-E95E-4857-8A41-8F7F44631569}" uniqueName="21" name="行权兑付日" queryTableFieldId="26" dataDxfId="305"/>
    <tableColumn id="22" xr3:uid="{A4BE284D-5EF5-47BE-9E18-C5BC347BCC1C}" uniqueName="22" name="票息" queryTableFieldId="27" dataDxfId="304"/>
    <tableColumn id="23" xr3:uid="{B383C507-7740-4FD0-94F7-85A9318DF079}" uniqueName="23" name="货币" queryTableFieldId="28" dataDxfId="303"/>
    <tableColumn id="25" xr3:uid="{361BE3F5-3097-4F27-B87C-48FA919EABB8}" uniqueName="25" name="发行价格" queryTableFieldId="41"/>
    <tableColumn id="24" xr3:uid="{6905DCD5-D9B9-4451-9777-0DA3B8755041}" uniqueName="24" name="发行规模(亿)" queryTableFieldId="29"/>
    <tableColumn id="11" xr3:uid="{5DB9999E-F7D2-433B-8890-B1C56C19BF69}" uniqueName="11" name="债项BBG" queryTableFieldId="11"/>
    <tableColumn id="12" xr3:uid="{A644B0B6-8830-44E1-848F-4DD23B0FA826}" uniqueName="12" name="主体BBG" queryTableFieldId="12"/>
    <tableColumn id="10" xr3:uid="{FB6745CE-81E9-4406-ACE4-86067C25D3F3}" uniqueName="10" name="Check" queryTableFieldId="10" dataDxfId="302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 dataDxfId="288"/>
    <tableColumn id="3" xr3:uid="{61325DEE-E54D-4931-99A5-C22FE3CF3CB3}" uniqueName="3" name="项目名称（集团全称）" queryTableFieldId="3" dataDxfId="287"/>
    <tableColumn id="4" xr3:uid="{6444732D-9545-4654-97A1-5FB2111E8A94}" uniqueName="4" name="台账序号" queryTableFieldId="4"/>
    <tableColumn id="5" xr3:uid="{0F08114E-4D0F-44F0-ABEC-1B6A077D3B97}" uniqueName="5" name="担任角色" queryTableFieldId="5" dataDxfId="286"/>
    <tableColumn id="6" xr3:uid="{3D2B4DC5-D21C-4000-9D31-864D1C6A7896}" uniqueName="6" name="新规角色" queryTableFieldId="6" dataDxfId="285"/>
    <tableColumn id="7" xr3:uid="{AAF702ED-6B9D-4AB7-B165-E5357C3BC81D}" uniqueName="7" name="COVERAGE" queryTableFieldId="7" dataDxfId="284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 dataDxfId="301"/>
    <tableColumn id="2" xr3:uid="{315FC98E-B8F8-486A-B226-FDF59406D65F}" uniqueName="2" name="定价日" queryTableFieldId="2" dataDxfId="300"/>
    <tableColumn id="3" xr3:uid="{B54A3A77-1989-4DFF-8375-331766138419}" uniqueName="3" name="债券名称" queryTableFieldId="3" dataDxfId="299"/>
    <tableColumn id="4" xr3:uid="{0D6706BF-6495-4C1A-A63C-43284EE2FE35}" uniqueName="4" name="ISIN" queryTableFieldId="4" dataDxfId="298"/>
    <tableColumn id="5" xr3:uid="{EB58C7EE-E358-43AD-9703-17A9EDF69E5D}" uniqueName="5" name="发行价" queryTableFieldId="5" dataDxfId="297"/>
    <tableColumn id="6" xr3:uid="{3F74B019-98B1-4372-AF0A-53DC78AB3064}" uniqueName="6" name="初始发行价" queryTableFieldId="6" dataDxfId="296"/>
    <tableColumn id="7" xr3:uid="{0F80C7C4-A7BE-4F40-822B-B7C5F8247FF7}" uniqueName="7" name="认购倍数" queryTableFieldId="7" dataDxfId="295"/>
    <tableColumn id="8" xr3:uid="{28C62948-F18B-4A4D-88AD-A4FC4E6A0737}" uniqueName="8" name="首日表现" queryTableFieldId="8" dataDxfId="294"/>
    <tableColumn id="9" xr3:uid="{C69C4FB6-08B5-45AF-9AF7-4C1F46AAE1AB}" uniqueName="9" name="行业" queryTableFieldId="9" dataDxfId="293"/>
    <tableColumn id="10" xr3:uid="{DC0041C0-4531-4065-B9BF-CD8778A86D35}" uniqueName="10" name="最终订单量/峰值订单（亿美元）" queryTableFieldId="10" dataDxfId="292"/>
    <tableColumn id="11" xr3:uid="{D47660B6-118B-4B35-B72E-F7CE9874919C}" uniqueName="11" name="IPT_DMI" queryTableFieldId="14" dataDxfId="291"/>
    <tableColumn id="12" xr3:uid="{12FFDAE1-0AA3-44DD-954E-22F02AD216D1}" uniqueName="12" name="FPG_DMI" queryTableFieldId="15" dataDxfId="290"/>
    <tableColumn id="13" xr3:uid="{FC486DC8-207A-41B0-97F5-FD11AD7CAD15}" uniqueName="13" name="Check" queryTableFieldId="13" dataDxfId="289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W17" tableType="queryTable" totalsRowShown="0">
  <autoFilter ref="A4:AW17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6" hiddenButton="1"/>
    <filterColumn colId="47" hiddenButton="1"/>
    <filterColumn colId="48" hiddenButton="1"/>
  </autoFilter>
  <tableColumns count="49">
    <tableColumn id="1" xr3:uid="{791E5B07-BD81-4C7D-914D-F61E0BD81704}" uniqueName="1" name="Index" queryTableFieldId="1" dataDxfId="90"/>
    <tableColumn id="2" xr3:uid="{E4F1AA1A-4561-4DCC-BD36-6E0C0BF9681D}" uniqueName="2" name="信用主体" queryTableFieldId="2" dataDxfId="89"/>
    <tableColumn id="3" xr3:uid="{BCA724F0-8962-4CF8-9F27-DFAB5A7EE57F}" uniqueName="3" name="ISIN" queryTableFieldId="3" dataDxfId="88"/>
    <tableColumn id="4" xr3:uid="{7B86C8AE-E7F7-4B8E-A455-4336C7F9D6D4}" uniqueName="4" name="定价日" queryTableFieldId="4" dataDxfId="87"/>
    <tableColumn id="5" xr3:uid="{8479A384-B664-40C5-817C-35D95E248CA9}" uniqueName="5" name="发行评级" queryTableFieldId="5" dataDxfId="86"/>
    <tableColumn id="6" xr3:uid="{560F1DF2-A9DC-4732-81D4-617CC1DDABEC}" uniqueName="6" name="主体评级" queryTableFieldId="6" dataDxfId="85"/>
    <tableColumn id="7" xr3:uid="{78286578-0202-44D4-898F-7BC8053C30D1}" uniqueName="7" name="境内主体评级" queryTableFieldId="7" dataDxfId="84"/>
    <tableColumn id="8" xr3:uid="{11202A1D-7F53-4AFC-889F-FD580FC6F359}" uniqueName="8" name="货币" queryTableFieldId="8" dataDxfId="83"/>
    <tableColumn id="9" xr3:uid="{00F822E0-673A-426E-97E0-C7C03264A9B7}" uniqueName="9" name="发行规模(亿)" queryTableFieldId="9" dataDxfId="82"/>
    <tableColumn id="10" xr3:uid="{A4600EBC-E807-4C67-B01C-5CD1E3909F2C}" uniqueName="10" name="年期" queryTableFieldId="10" dataDxfId="81"/>
    <tableColumn id="11" xr3:uid="{3882855A-6F78-4733-843C-A5CCC8C71BBE}" uniqueName="11" name="票息" queryTableFieldId="11" dataDxfId="80"/>
    <tableColumn id="12" xr3:uid="{AA7813E9-B7C0-4485-97E4-3E4D3C485DA4}" uniqueName="12" name="IPG" queryTableFieldId="12" dataDxfId="79"/>
    <tableColumn id="13" xr3:uid="{6BC3F1E2-AC4E-42E4-8B1C-4FFDBF40A64D}" uniqueName="13" name="FPG" queryTableFieldId="13" dataDxfId="78"/>
    <tableColumn id="14" xr3:uid="{A56676CE-514E-4236-AF6A-12F9A2068657}" uniqueName="14" name="定价" queryTableFieldId="14" dataDxfId="77"/>
    <tableColumn id="15" xr3:uid="{8DC4F8E2-94E1-4CA7-8249-B35B934BB7A7}" uniqueName="15" name="收窄基点" queryTableFieldId="15" dataDxfId="76"/>
    <tableColumn id="16" xr3:uid="{2A30FA30-EA68-445A-B3B2-07A216AE817C}" uniqueName="16" name="定价基准" queryTableFieldId="16" dataDxfId="75"/>
    <tableColumn id="18" xr3:uid="{68B928C8-F110-4275-943D-B563184CF448}" uniqueName="18" name="发行价" queryTableFieldId="39" dataDxfId="74"/>
    <tableColumn id="17" xr3:uid="{0ACF0E03-B0D4-4057-BF46-E322F4936C17}" uniqueName="17" name="结构" queryTableFieldId="17" dataDxfId="73"/>
    <tableColumn id="19" xr3:uid="{979EE12C-AD42-4833-8A99-EC817C6F2D45}" uniqueName="19" name="上市" queryTableFieldId="19" dataDxfId="72"/>
    <tableColumn id="20" xr3:uid="{E6204F0C-29FB-48D4-9E0E-4731335D7A28}" uniqueName="20" name="港分_ROLE" queryTableFieldId="20" dataDxfId="71"/>
    <tableColumn id="21" xr3:uid="{DBF246C1-9F14-46AE-BBC3-92DB6B28A9F5}" uniqueName="21" name="澳分_ROLE" queryTableFieldId="21" dataDxfId="70"/>
    <tableColumn id="22" xr3:uid="{A427B15A-1E3B-4176-8AAF-3C66C694FA16}" uniqueName="22" name="增发判定" queryTableFieldId="22" dataDxfId="69"/>
    <tableColumn id="26" xr3:uid="{D81B8EC4-1E43-4536-91C9-D9443CB5B5E6}" uniqueName="26" name="付息频率" queryTableFieldId="40" dataDxfId="68"/>
    <tableColumn id="27" xr3:uid="{1B4F1862-A915-4343-BD42-60FE8D9C5914}" uniqueName="27" name="起息日期" queryTableFieldId="41" dataDxfId="67"/>
    <tableColumn id="39" xr3:uid="{63B90420-8840-4507-9FE7-AEEA98D3C1EA}" uniqueName="39" name="首次付息日" queryTableFieldId="42" dataDxfId="66"/>
    <tableColumn id="40" xr3:uid="{BD1F8AC9-D7AC-4D02-8E73-E640E429EA37}" uniqueName="40" name="兑付日" queryTableFieldId="43" dataDxfId="65"/>
    <tableColumn id="23" xr3:uid="{32278D46-AAFB-46AC-B876-F0B2F5B3D38C}" uniqueName="23" name="亿美元" queryTableFieldId="23" dataDxfId="64"/>
    <tableColumn id="24" xr3:uid="{1F885E33-0B82-4272-882B-8A2CC2097721}" uniqueName="24" name="亿元" queryTableFieldId="24" dataDxfId="63"/>
    <tableColumn id="25" xr3:uid="{636B29DB-50B6-49B5-9EE5-519500C5F4C5}" uniqueName="25" name="亿港币" queryTableFieldId="25" dataDxfId="62"/>
    <tableColumn id="41" xr3:uid="{88894D22-D148-449D-8AFE-C1E41A6237D0}" uniqueName="41" name="ticker" queryTableFieldId="44" dataDxfId="61"/>
    <tableColumn id="45" xr3:uid="{D35F78CD-33DF-4BE5-B09E-5792350E6F5E}" uniqueName="45" name="注册成立地" queryTableFieldId="57" dataDxfId="60"/>
    <tableColumn id="46" xr3:uid="{8292EA6A-E652-4AD6-980B-A367229A037B}" uniqueName="46" name="发行人主上市地" queryTableFieldId="59" dataDxfId="59"/>
    <tableColumn id="32" xr3:uid="{DF9610CA-17E8-4B49-910E-BA6EB58E92E6}" uniqueName="32" name="通过分行" queryTableFieldId="32"/>
    <tableColumn id="42" xr3:uid="{A2CC7DB9-0BC7-4182-BD08-B5982994B9A6}" uniqueName="42" name="发行人" queryTableFieldId="45" dataDxfId="58"/>
    <tableColumn id="43" xr3:uid="{D8401749-5222-4202-B6A6-652D8A1D8E68}" uniqueName="43" name="担保人" queryTableFieldId="46" dataDxfId="57"/>
    <tableColumn id="44" xr3:uid="{38FFC5B5-8532-438A-9D5B-F9205283973B}" uniqueName="44" name="维好协议提供者" queryTableFieldId="47" dataDxfId="56"/>
    <tableColumn id="28" xr3:uid="{636A1BFB-2DD2-4E7A-8C04-E4AD77737D6B}" uniqueName="28" name="备证行" queryTableFieldId="28" dataDxfId="55"/>
    <tableColumn id="29" xr3:uid="{22C55275-6BA9-4912-9032-F35F16DFEF5E}" uniqueName="29" name="ESG" queryTableFieldId="29" dataDxfId="54"/>
    <tableColumn id="30" xr3:uid="{E89FFB45-1C1B-48CF-9DCC-B98D4629418D}" uniqueName="30" name="FEATURED" queryTableFieldId="30" dataDxfId="53"/>
    <tableColumn id="31" xr3:uid="{C11B3DB5-9721-4EF1-B0A1-D0EB6C66C057}" uniqueName="31" name="亮点" queryTableFieldId="31"/>
    <tableColumn id="33" xr3:uid="{F3F9AA75-29DA-43EE-BB6E-5BA6DF5BB1E3}" uniqueName="33" name="期限备注" queryTableFieldId="33" dataDxfId="52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51"/>
    <tableColumn id="48" xr3:uid="{E1E50F04-1EEC-4969-9690-F77BC431406E}" uniqueName="48" name="筹款用途" queryTableFieldId="65" dataDxfId="50"/>
    <tableColumn id="49" xr3:uid="{F1995DCC-88E7-4FCF-A524-C4324C258A84}" uniqueName="49" name="发行方式" queryTableFieldId="66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49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U8" tableType="queryTable" totalsRowShown="0">
  <autoFilter ref="A4:U8" xr:uid="{00000000-0009-0000-0100-00001E000000}">
    <filterColumn colId="1" hiddenButton="1"/>
    <filterColumn colId="3" hiddenButton="1"/>
    <filterColumn colId="4" hiddenButton="1"/>
  </autoFilter>
  <tableColumns count="21">
    <tableColumn id="4" xr3:uid="{EFC2733F-AADA-40F5-9EA2-0CB6AE602BA4}" uniqueName="4" name="Index" queryTableFieldId="86" dataDxfId="48"/>
    <tableColumn id="7" xr3:uid="{00000000-0010-0000-2100-000007000000}" uniqueName="7" name="信用主体" queryTableFieldId="7" dataDxfId="47"/>
    <tableColumn id="5" xr3:uid="{39F42849-71AA-4C63-8C36-A04353710DCF}" uniqueName="5" name="信用主体简称" queryTableFieldId="87"/>
    <tableColumn id="2" xr3:uid="{2E2AEFE9-AB5E-4BE5-BAE0-A95DCF912FA9}" uniqueName="2" name="中资属性" queryTableFieldId="12"/>
    <tableColumn id="3" xr3:uid="{B0A40063-19C6-436A-B9D7-8F869CBB7078}" uniqueName="3" name="板块" queryTableFieldId="22" dataDxfId="46"/>
    <tableColumn id="6" xr3:uid="{83D005C1-76D3-4403-8ECD-760FCF242C84}" uniqueName="6" name="细分行业" queryTableFieldId="88" dataDxfId="45"/>
    <tableColumn id="8" xr3:uid="{BD0AA0AC-68DE-4187-B008-22D2B7C49429}" uniqueName="8" name="行业二级" queryTableFieldId="89" dataDxfId="44"/>
    <tableColumn id="9" xr3:uid="{D0913078-9B10-4118-B419-DEE5380572EF}" uniqueName="9" name="地区" queryTableFieldId="90" dataDxfId="43"/>
    <tableColumn id="10" xr3:uid="{2C667E99-43AC-4257-AA03-6FE008167845}" uniqueName="10" name="城市" queryTableFieldId="91" dataDxfId="42"/>
    <tableColumn id="11" xr3:uid="{8049C5B0-2F5F-4FE0-BB0B-535F0DB21A56}" uniqueName="11" name="区县" queryTableFieldId="92" dataDxfId="41"/>
    <tableColumn id="12" xr3:uid="{59E26CDD-A61F-43E9-BE45-154834134967}" uniqueName="12" name="平台级别" queryTableFieldId="93"/>
    <tableColumn id="13" xr3:uid="{99AFBFFD-DFF2-4B9D-B8BE-08F529C75A5C}" uniqueName="13" name="系" queryTableFieldId="94" dataDxfId="40"/>
    <tableColumn id="14" xr3:uid="{BA4EC7FE-7EED-41E7-AF59-55FB3EC71567}" uniqueName="14" name="首次违约日" queryTableFieldId="95"/>
    <tableColumn id="15" xr3:uid="{D671119D-96FA-4266-A8AF-F4A410D3DF80}" uniqueName="15" name="DEBUT_DATE" queryTableFieldId="96" dataDxfId="39"/>
    <tableColumn id="16" xr3:uid="{686FFAAD-3135-4373-8248-C5FA94D0AE17}" uniqueName="16" name="曾用名" queryTableFieldId="97"/>
    <tableColumn id="17" xr3:uid="{7CA37639-B4E2-4A84-B0A8-F1AB75C57B0E}" uniqueName="17" name="主体备注" queryTableFieldId="98" dataDxfId="38"/>
    <tableColumn id="18" xr3:uid="{47015928-8DEF-4D5E-BBAE-BDD62DB3E65F}" uniqueName="18" name="行业" queryTableFieldId="99" dataDxfId="37"/>
    <tableColumn id="19" xr3:uid="{4966E71E-7EA9-4C05-9DE7-097EFDD0F254}" uniqueName="19" name="上市类型" queryTableFieldId="100" dataDxfId="36"/>
    <tableColumn id="20" xr3:uid="{582162C3-7744-4A2E-9AA3-A7F408E4EFDC}" uniqueName="20" name="公司类型" queryTableFieldId="101" dataDxfId="35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S8" tableType="queryTable" totalsRowShown="0">
  <autoFilter ref="A5:S8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9">
    <tableColumn id="6" xr3:uid="{3411C0CF-976A-4264-975A-7FF83ECA3A4F}" uniqueName="6" name="Index" queryTableFieldId="33" dataDxfId="15"/>
    <tableColumn id="2" xr3:uid="{00000000-0010-0000-1F00-000002000000}" uniqueName="2" name="ISIN" queryTableFieldId="2" dataDxfId="14"/>
    <tableColumn id="3" xr3:uid="{00000000-0010-0000-1F00-000003000000}" uniqueName="3" name="定价日" queryTableFieldId="3" dataDxfId="13"/>
    <tableColumn id="4" xr3:uid="{00000000-0010-0000-1F00-000004000000}" uniqueName="4" name="信用主体" queryTableFieldId="4" dataDxfId="12"/>
    <tableColumn id="5" xr3:uid="{00000000-0010-0000-1F00-000005000000}" uniqueName="5" name="BISL_ROLE" queryTableFieldId="5" dataDxfId="11"/>
    <tableColumn id="12" xr3:uid="{00000000-0010-0000-1F00-00000C000000}" uniqueName="12" name="IS_LEAD" queryTableFieldId="14" dataDxfId="10"/>
    <tableColumn id="14" xr3:uid="{00000000-0010-0000-1F00-00000E000000}" uniqueName="14" name="IS_B&amp;D" queryTableFieldId="15" dataDxfId="9"/>
    <tableColumn id="15" xr3:uid="{00000000-0010-0000-1F00-00000F000000}" uniqueName="15" name="是否合名" queryTableFieldId="16" dataDxfId="8"/>
    <tableColumn id="10" xr3:uid="{00000000-0010-0000-1F00-00000A000000}" uniqueName="10" name="新规角色" queryTableFieldId="10"/>
    <tableColumn id="11" xr3:uid="{00000000-0010-0000-1F00-00000B000000}" uniqueName="11" name="COVERAGE" queryTableFieldId="11" dataDxfId="7"/>
    <tableColumn id="8" xr3:uid="{00000000-0010-0000-1F00-000008000000}" uniqueName="8" name="PROJECT_CODE" queryTableFieldId="8" dataDxfId="6"/>
    <tableColumn id="9" xr3:uid="{00000000-0010-0000-1F00-000009000000}" uniqueName="9" name="期数" queryTableFieldId="9" dataDxfId="5"/>
    <tableColumn id="18" xr3:uid="{BD2A2563-6D0C-4C70-8C7F-DBFEB75BF9F7}" uniqueName="18" name="台账序号" queryTableFieldId="22" dataDxfId="4"/>
    <tableColumn id="7" xr3:uid="{6DE07327-A6E4-4356-AA50-0A878930CEA5}" uniqueName="7" name="多笔" queryTableFieldId="34" dataDxfId="3"/>
    <tableColumn id="13" xr3:uid="{46C7532C-3BEE-4236-939A-E9519058A4F0}" uniqueName="13" name="多币种" queryTableFieldId="35" dataDxfId="2"/>
    <tableColumn id="16" xr3:uid="{A77870FD-F6DE-4CA1-B614-9C21258B5A9A}" uniqueName="16" name="多品种" queryTableFieldId="36" dataDxfId="1"/>
    <tableColumn id="1" xr3:uid="{00000000-0010-0000-1F00-000001000000}" uniqueName="1" name="Check" queryTableFieldId="1" dataDxfId="0"/>
    <tableColumn id="17" xr3:uid="{9E2825BA-C5C6-41D3-8AB9-1E787BE55C19}" uniqueName="17" name="PRJ对账号" queryTableFieldId="56"/>
    <tableColumn id="19" xr3:uid="{590FA205-A5E9-4C69-ACA7-80EF7E1BCA55}" uniqueName="19" name="FolderPath" queryTableFieldId="5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28"/>
  <sheetViews>
    <sheetView topLeftCell="B1" zoomScale="115" zoomScaleNormal="115" workbookViewId="0">
      <selection activeCell="F25" sqref="F25"/>
    </sheetView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33203125" style="10" bestFit="1" customWidth="1"/>
    <col min="10" max="10" width="10.44140625" style="10" bestFit="1" customWidth="1"/>
    <col min="11" max="11" width="7.44140625" style="10" bestFit="1" customWidth="1"/>
    <col min="12" max="12" width="8.21875" style="10" bestFit="1" customWidth="1"/>
    <col min="13" max="13" width="10.88671875" style="10" bestFit="1" customWidth="1"/>
    <col min="14" max="14" width="10.6640625" style="10" bestFit="1" customWidth="1"/>
    <col min="15" max="15" width="7.88671875" style="10" bestFit="1" customWidth="1"/>
    <col min="16" max="16" width="7.5546875" style="10" bestFit="1" customWidth="1"/>
    <col min="17" max="17" width="20.44140625" style="10" bestFit="1" customWidth="1"/>
    <col min="18" max="18" width="11.88671875" style="10" bestFit="1" customWidth="1"/>
    <col min="19" max="19" width="10.6640625" style="10" bestFit="1" customWidth="1"/>
    <col min="20" max="20" width="8.88671875" style="10" bestFit="1" customWidth="1"/>
    <col min="21" max="21" width="7.109375" style="10" bestFit="1" customWidth="1"/>
    <col min="22" max="22" width="7.88671875" style="10" bestFit="1" customWidth="1"/>
    <col min="23" max="23" width="23.109375" style="10" bestFit="1" customWidth="1"/>
    <col min="24" max="24" width="7.21875" style="10" bestFit="1" customWidth="1"/>
    <col min="25" max="25" width="15.5546875" style="10" bestFit="1" customWidth="1"/>
    <col min="26" max="26" width="15.5546875" style="10" customWidth="1"/>
    <col min="27" max="27" width="8.109375" style="10" bestFit="1" customWidth="1"/>
    <col min="28" max="28" width="9" style="10" bestFit="1" customWidth="1"/>
    <col min="29" max="29" width="7.109375" style="10" bestFit="1" customWidth="1"/>
    <col min="30" max="30" width="10.6640625" style="10" bestFit="1" customWidth="1"/>
    <col min="31" max="31" width="7.109375" style="10" bestFit="1" customWidth="1"/>
    <col min="32" max="32" width="15.21875" style="10" bestFit="1" customWidth="1"/>
    <col min="33" max="33" width="7.109375" style="10" bestFit="1" customWidth="1"/>
    <col min="34" max="34" width="5.77734375" style="10" bestFit="1" customWidth="1"/>
    <col min="35" max="35" width="7.109375" style="10" bestFit="1" customWidth="1"/>
    <col min="36" max="16384" width="8.21875" style="10"/>
  </cols>
  <sheetData>
    <row r="1" spans="1:9" ht="18" customHeight="1" x14ac:dyDescent="0.25">
      <c r="A1" s="45" t="str">
        <f ca="1" xml:space="preserve"> IF(ISNUMBER(FIND("ktkt2",CELL("filename"))),"Remote",IF(ISNUMBER(FIND("docs.live",CELL("filename"))),"Remote","Global"))</f>
        <v>Global</v>
      </c>
      <c r="B1" s="10"/>
      <c r="C1" s="10"/>
    </row>
    <row r="2" spans="1:9" ht="18" customHeight="1" outlineLevel="1" x14ac:dyDescent="0.25">
      <c r="A2" s="10"/>
      <c r="B2" s="10"/>
      <c r="C2" s="10"/>
    </row>
    <row r="3" spans="1:9" ht="18" customHeight="1" outlineLevel="1" x14ac:dyDescent="0.25">
      <c r="A3" s="8"/>
      <c r="B3" s="10"/>
      <c r="C3" s="10"/>
    </row>
    <row r="4" spans="1:9" ht="18" customHeight="1" outlineLevel="1" x14ac:dyDescent="0.25">
      <c r="B4" s="10"/>
      <c r="C4" s="137" t="s">
        <v>571</v>
      </c>
      <c r="E4" s="137" t="s">
        <v>572</v>
      </c>
      <c r="F4" s="137"/>
      <c r="H4" s="137" t="s">
        <v>559</v>
      </c>
    </row>
    <row r="5" spans="1:9" ht="18" customHeight="1" outlineLevel="1" x14ac:dyDescent="0.25">
      <c r="A5" s="9"/>
      <c r="C5" s="16"/>
      <c r="D5" s="17"/>
      <c r="H5" s="17"/>
    </row>
    <row r="6" spans="1:9" ht="15" x14ac:dyDescent="0.25">
      <c r="C6" s="130" t="s">
        <v>91</v>
      </c>
      <c r="D6" s="16"/>
      <c r="E6" s="139" t="s">
        <v>569</v>
      </c>
      <c r="F6" s="122" t="s">
        <v>570</v>
      </c>
      <c r="H6" s="37" t="s">
        <v>182</v>
      </c>
      <c r="I6" t="s">
        <v>354</v>
      </c>
    </row>
    <row r="7" spans="1:9" ht="15" x14ac:dyDescent="0.25">
      <c r="A7" s="14"/>
      <c r="C7" s="131" t="s">
        <v>12</v>
      </c>
      <c r="D7" s="16"/>
      <c r="E7" s="139" t="s">
        <v>255</v>
      </c>
      <c r="F7" s="122" t="s">
        <v>563</v>
      </c>
      <c r="H7" s="37" t="s">
        <v>0</v>
      </c>
      <c r="I7" t="s">
        <v>362</v>
      </c>
    </row>
    <row r="8" spans="1:9" ht="15" x14ac:dyDescent="0.25">
      <c r="C8" s="131" t="s">
        <v>28</v>
      </c>
      <c r="D8" s="16"/>
      <c r="E8" s="139" t="s">
        <v>256</v>
      </c>
      <c r="F8" s="122" t="s">
        <v>565</v>
      </c>
      <c r="H8" s="37" t="s">
        <v>4</v>
      </c>
      <c r="I8" t="s">
        <v>355</v>
      </c>
    </row>
    <row r="9" spans="1:9" ht="15" x14ac:dyDescent="0.25">
      <c r="A9" s="11"/>
      <c r="C9" s="131" t="s">
        <v>33</v>
      </c>
      <c r="D9" s="16"/>
      <c r="E9" s="139" t="s">
        <v>257</v>
      </c>
      <c r="F9" s="122" t="s">
        <v>564</v>
      </c>
      <c r="H9" s="37" t="s">
        <v>5</v>
      </c>
      <c r="I9" t="s">
        <v>356</v>
      </c>
    </row>
    <row r="10" spans="1:9" ht="15" x14ac:dyDescent="0.25">
      <c r="C10" s="131" t="s">
        <v>29</v>
      </c>
      <c r="D10" s="16"/>
      <c r="E10" s="139" t="s">
        <v>566</v>
      </c>
      <c r="F10" s="138"/>
      <c r="H10" s="37" t="s">
        <v>6</v>
      </c>
      <c r="I10" t="s">
        <v>357</v>
      </c>
    </row>
    <row r="11" spans="1:9" ht="15" x14ac:dyDescent="0.25">
      <c r="A11" s="12"/>
      <c r="C11" s="131" t="s">
        <v>34</v>
      </c>
      <c r="E11" s="139" t="s">
        <v>567</v>
      </c>
      <c r="F11" s="122"/>
      <c r="H11" s="37" t="s">
        <v>253</v>
      </c>
      <c r="I11" t="s">
        <v>358</v>
      </c>
    </row>
    <row r="12" spans="1:9" ht="18" customHeight="1" x14ac:dyDescent="0.25">
      <c r="C12" s="131" t="s">
        <v>9</v>
      </c>
      <c r="E12" s="145" t="s">
        <v>7</v>
      </c>
      <c r="F12" s="145" t="s">
        <v>7</v>
      </c>
    </row>
    <row r="13" spans="1:9" ht="18" customHeight="1" x14ac:dyDescent="0.25">
      <c r="A13" s="15"/>
      <c r="C13" s="131" t="s">
        <v>30</v>
      </c>
      <c r="F13" s="140"/>
    </row>
    <row r="14" spans="1:9" ht="18" customHeight="1" x14ac:dyDescent="0.25">
      <c r="C14" s="131" t="s">
        <v>32</v>
      </c>
      <c r="E14" s="49" t="s">
        <v>95</v>
      </c>
      <c r="F14" s="140"/>
      <c r="H14" s="37" t="s">
        <v>223</v>
      </c>
      <c r="I14" t="s">
        <v>360</v>
      </c>
    </row>
    <row r="15" spans="1:9" ht="18" customHeight="1" x14ac:dyDescent="0.25">
      <c r="A15" s="13"/>
      <c r="C15" s="131" t="s">
        <v>13</v>
      </c>
      <c r="E15" s="49" t="s">
        <v>143</v>
      </c>
      <c r="F15" s="141"/>
      <c r="H15" s="37" t="s">
        <v>210</v>
      </c>
      <c r="I15">
        <v>1</v>
      </c>
    </row>
    <row r="16" spans="1:9" ht="18" customHeight="1" x14ac:dyDescent="0.25">
      <c r="C16" s="131" t="s">
        <v>17</v>
      </c>
      <c r="E16" s="49" t="s">
        <v>144</v>
      </c>
      <c r="F16" s="141"/>
      <c r="H16" s="37" t="s">
        <v>211</v>
      </c>
      <c r="I16">
        <v>2</v>
      </c>
    </row>
    <row r="17" spans="1:9" ht="18" customHeight="1" x14ac:dyDescent="0.25">
      <c r="A17" s="14"/>
      <c r="C17" s="131" t="s">
        <v>8</v>
      </c>
      <c r="E17" s="49" t="s">
        <v>118</v>
      </c>
      <c r="F17" s="140"/>
      <c r="H17" s="37" t="s">
        <v>212</v>
      </c>
      <c r="I17">
        <v>3</v>
      </c>
    </row>
    <row r="18" spans="1:9" ht="18" customHeight="1" x14ac:dyDescent="0.25">
      <c r="C18" s="131" t="s">
        <v>22</v>
      </c>
      <c r="F18" s="140"/>
      <c r="H18" s="37" t="s">
        <v>213</v>
      </c>
      <c r="I18">
        <v>4</v>
      </c>
    </row>
    <row r="19" spans="1:9" ht="18" customHeight="1" x14ac:dyDescent="0.25">
      <c r="C19" s="131" t="s">
        <v>16</v>
      </c>
      <c r="E19" s="50" t="s">
        <v>44</v>
      </c>
      <c r="H19" s="37" t="s">
        <v>2</v>
      </c>
      <c r="I19">
        <v>5</v>
      </c>
    </row>
    <row r="20" spans="1:9" ht="18" customHeight="1" x14ac:dyDescent="0.25">
      <c r="C20" s="131" t="s">
        <v>20</v>
      </c>
      <c r="E20" s="50" t="s">
        <v>1</v>
      </c>
      <c r="F20" s="142"/>
      <c r="H20" s="37" t="s">
        <v>214</v>
      </c>
      <c r="I20">
        <v>6</v>
      </c>
    </row>
    <row r="21" spans="1:9" ht="18" customHeight="1" x14ac:dyDescent="0.25">
      <c r="C21" s="131" t="s">
        <v>10</v>
      </c>
      <c r="E21" s="50" t="s">
        <v>86</v>
      </c>
      <c r="F21" s="142"/>
    </row>
    <row r="22" spans="1:9" ht="18" customHeight="1" x14ac:dyDescent="0.25">
      <c r="C22" s="131" t="s">
        <v>26</v>
      </c>
      <c r="E22" s="130" t="s">
        <v>557</v>
      </c>
      <c r="F22" s="142"/>
      <c r="H22" s="37" t="s">
        <v>246</v>
      </c>
      <c r="I22" t="s">
        <v>360</v>
      </c>
    </row>
    <row r="23" spans="1:9" ht="18" customHeight="1" x14ac:dyDescent="0.25">
      <c r="C23" s="131" t="s">
        <v>21</v>
      </c>
      <c r="E23" s="130" t="s">
        <v>558</v>
      </c>
      <c r="F23" s="142"/>
      <c r="H23" s="37" t="s">
        <v>247</v>
      </c>
      <c r="I23">
        <v>1</v>
      </c>
    </row>
    <row r="24" spans="1:9" ht="18" customHeight="1" x14ac:dyDescent="0.25">
      <c r="C24" s="131" t="s">
        <v>14</v>
      </c>
      <c r="D24" s="16"/>
      <c r="E24" s="50" t="s">
        <v>2</v>
      </c>
      <c r="F24" s="142"/>
      <c r="H24" s="37" t="s">
        <v>324</v>
      </c>
      <c r="I24">
        <v>2</v>
      </c>
    </row>
    <row r="25" spans="1:9" ht="18" customHeight="1" x14ac:dyDescent="0.25">
      <c r="C25" s="131" t="s">
        <v>18</v>
      </c>
      <c r="D25" s="16"/>
      <c r="E25" s="50" t="s">
        <v>3</v>
      </c>
      <c r="H25" s="37" t="s">
        <v>325</v>
      </c>
      <c r="I25">
        <v>3</v>
      </c>
    </row>
    <row r="26" spans="1:9" ht="18" customHeight="1" x14ac:dyDescent="0.25">
      <c r="C26" s="131" t="s">
        <v>24</v>
      </c>
      <c r="D26" s="16"/>
      <c r="F26" s="142"/>
      <c r="H26" s="37" t="s">
        <v>326</v>
      </c>
      <c r="I26">
        <v>4</v>
      </c>
    </row>
    <row r="27" spans="1:9" ht="18" customHeight="1" x14ac:dyDescent="0.25">
      <c r="C27" s="131" t="s">
        <v>27</v>
      </c>
      <c r="D27" s="16"/>
      <c r="E27" s="122" t="s">
        <v>98</v>
      </c>
      <c r="F27" s="142"/>
      <c r="H27" s="37" t="s">
        <v>327</v>
      </c>
      <c r="I27">
        <v>5</v>
      </c>
    </row>
    <row r="28" spans="1:9" ht="18" customHeight="1" x14ac:dyDescent="0.25">
      <c r="C28" s="131" t="s">
        <v>11</v>
      </c>
      <c r="D28" s="16"/>
      <c r="E28" s="122" t="s">
        <v>412</v>
      </c>
      <c r="F28" s="142"/>
      <c r="H28" s="26"/>
      <c r="I28" s="26"/>
    </row>
    <row r="29" spans="1:9" ht="18" customHeight="1" x14ac:dyDescent="0.25">
      <c r="C29" s="131" t="s">
        <v>19</v>
      </c>
      <c r="D29" s="16"/>
      <c r="E29" s="122" t="s">
        <v>560</v>
      </c>
      <c r="F29" s="142"/>
      <c r="H29" s="37" t="s">
        <v>158</v>
      </c>
      <c r="I29" t="s">
        <v>360</v>
      </c>
    </row>
    <row r="30" spans="1:9" ht="18" customHeight="1" x14ac:dyDescent="0.25">
      <c r="C30" s="131" t="s">
        <v>25</v>
      </c>
      <c r="D30" s="16"/>
      <c r="E30" s="122" t="s">
        <v>561</v>
      </c>
      <c r="F30" s="143"/>
      <c r="H30" s="37" t="s">
        <v>230</v>
      </c>
      <c r="I30">
        <v>1</v>
      </c>
    </row>
    <row r="31" spans="1:9" ht="18" customHeight="1" x14ac:dyDescent="0.25">
      <c r="C31" s="131" t="s">
        <v>23</v>
      </c>
      <c r="D31" s="16"/>
      <c r="E31" s="122" t="s">
        <v>562</v>
      </c>
      <c r="H31" s="37" t="s">
        <v>161</v>
      </c>
      <c r="I31">
        <v>2</v>
      </c>
    </row>
    <row r="32" spans="1:9" ht="18" customHeight="1" x14ac:dyDescent="0.25">
      <c r="C32" s="131" t="s">
        <v>153</v>
      </c>
      <c r="D32" s="16"/>
      <c r="H32" s="37" t="s">
        <v>160</v>
      </c>
      <c r="I32">
        <v>3</v>
      </c>
    </row>
    <row r="33" spans="3:9" ht="18" customHeight="1" x14ac:dyDescent="0.25">
      <c r="C33" s="131" t="s">
        <v>15</v>
      </c>
      <c r="D33" s="16"/>
      <c r="E33" s="122" t="s">
        <v>185</v>
      </c>
      <c r="H33" s="37" t="s">
        <v>231</v>
      </c>
      <c r="I33">
        <v>4</v>
      </c>
    </row>
    <row r="34" spans="3:9" ht="18" customHeight="1" x14ac:dyDescent="0.25">
      <c r="C34" s="131" t="s">
        <v>35</v>
      </c>
      <c r="D34" s="16"/>
      <c r="E34" s="122" t="s">
        <v>194</v>
      </c>
      <c r="H34" s="37" t="s">
        <v>203</v>
      </c>
      <c r="I34">
        <v>5</v>
      </c>
    </row>
    <row r="35" spans="3:9" ht="18" customHeight="1" x14ac:dyDescent="0.25">
      <c r="C35" s="131" t="s">
        <v>152</v>
      </c>
      <c r="D35" s="16"/>
      <c r="E35" s="122" t="s">
        <v>197</v>
      </c>
      <c r="H35" s="37" t="s">
        <v>202</v>
      </c>
      <c r="I35">
        <v>6</v>
      </c>
    </row>
    <row r="36" spans="3:9" ht="18" customHeight="1" x14ac:dyDescent="0.25">
      <c r="C36" s="131" t="s">
        <v>31</v>
      </c>
      <c r="D36" s="16"/>
      <c r="E36" s="122" t="s">
        <v>205</v>
      </c>
    </row>
    <row r="37" spans="3:9" ht="18" customHeight="1" x14ac:dyDescent="0.25">
      <c r="C37" s="131" t="s">
        <v>154</v>
      </c>
      <c r="D37" s="16"/>
      <c r="E37" s="138" t="s">
        <v>7</v>
      </c>
      <c r="H37" s="37" t="s">
        <v>65</v>
      </c>
      <c r="I37" s="37" t="s">
        <v>360</v>
      </c>
    </row>
    <row r="38" spans="3:9" ht="18" customHeight="1" x14ac:dyDescent="0.25">
      <c r="C38" s="131" t="s">
        <v>555</v>
      </c>
      <c r="D38" s="16"/>
      <c r="H38" s="37" t="s">
        <v>87</v>
      </c>
      <c r="I38">
        <v>1</v>
      </c>
    </row>
    <row r="39" spans="3:9" ht="18" customHeight="1" x14ac:dyDescent="0.25">
      <c r="C39" s="131" t="s">
        <v>556</v>
      </c>
      <c r="D39" s="16"/>
      <c r="H39" s="37" t="s">
        <v>108</v>
      </c>
      <c r="I39">
        <v>2</v>
      </c>
    </row>
    <row r="40" spans="3:9" ht="18" customHeight="1" x14ac:dyDescent="0.25">
      <c r="D40" s="16"/>
      <c r="H40" s="37" t="s">
        <v>111</v>
      </c>
      <c r="I40">
        <v>3</v>
      </c>
    </row>
    <row r="41" spans="3:9" ht="15" x14ac:dyDescent="0.25">
      <c r="C41" s="130" t="s">
        <v>42</v>
      </c>
      <c r="D41" s="16"/>
      <c r="H41" s="37" t="s">
        <v>113</v>
      </c>
      <c r="I41">
        <v>4</v>
      </c>
    </row>
    <row r="42" spans="3:9" ht="15" x14ac:dyDescent="0.25">
      <c r="C42" s="131" t="s">
        <v>502</v>
      </c>
      <c r="D42" s="16"/>
      <c r="H42" s="37" t="s">
        <v>330</v>
      </c>
      <c r="I42">
        <v>5</v>
      </c>
    </row>
    <row r="43" spans="3:9" ht="15" x14ac:dyDescent="0.25">
      <c r="C43" s="131" t="s">
        <v>503</v>
      </c>
      <c r="D43" s="16"/>
      <c r="H43" s="37" t="s">
        <v>363</v>
      </c>
      <c r="I43">
        <v>6</v>
      </c>
    </row>
    <row r="44" spans="3:9" ht="15" x14ac:dyDescent="0.25">
      <c r="C44" s="131" t="s">
        <v>504</v>
      </c>
      <c r="D44" s="16"/>
      <c r="H44" s="37" t="s">
        <v>364</v>
      </c>
      <c r="I44">
        <v>7</v>
      </c>
    </row>
    <row r="45" spans="3:9" ht="15" x14ac:dyDescent="0.25">
      <c r="C45" s="131" t="s">
        <v>497</v>
      </c>
      <c r="D45" s="16"/>
      <c r="H45" s="37" t="s">
        <v>365</v>
      </c>
      <c r="I45">
        <v>8</v>
      </c>
    </row>
    <row r="46" spans="3:9" ht="15" x14ac:dyDescent="0.25">
      <c r="C46" s="131" t="s">
        <v>505</v>
      </c>
      <c r="D46" s="16"/>
      <c r="H46" s="37" t="s">
        <v>366</v>
      </c>
      <c r="I46">
        <v>9</v>
      </c>
    </row>
    <row r="47" spans="3:9" ht="15" x14ac:dyDescent="0.25">
      <c r="C47" s="131" t="s">
        <v>506</v>
      </c>
      <c r="D47" s="16"/>
      <c r="H47" s="37" t="s">
        <v>367</v>
      </c>
      <c r="I47">
        <v>10</v>
      </c>
    </row>
    <row r="48" spans="3:9" ht="15" x14ac:dyDescent="0.25">
      <c r="C48" s="131" t="s">
        <v>507</v>
      </c>
      <c r="D48" s="16"/>
      <c r="H48" s="37" t="s">
        <v>368</v>
      </c>
      <c r="I48">
        <v>11</v>
      </c>
    </row>
    <row r="49" spans="3:9" ht="15" x14ac:dyDescent="0.25">
      <c r="C49" s="131" t="s">
        <v>508</v>
      </c>
      <c r="D49" s="16"/>
    </row>
    <row r="50" spans="3:9" ht="15" x14ac:dyDescent="0.25">
      <c r="C50" s="131" t="s">
        <v>509</v>
      </c>
      <c r="D50" s="16"/>
      <c r="H50" s="37" t="s">
        <v>369</v>
      </c>
      <c r="I50" s="37" t="s">
        <v>360</v>
      </c>
    </row>
    <row r="51" spans="3:9" ht="15" x14ac:dyDescent="0.25">
      <c r="C51" s="131" t="s">
        <v>510</v>
      </c>
      <c r="D51" s="16"/>
      <c r="H51" s="37" t="s">
        <v>333</v>
      </c>
      <c r="I51">
        <v>1</v>
      </c>
    </row>
    <row r="52" spans="3:9" ht="15" x14ac:dyDescent="0.25">
      <c r="C52" s="131" t="s">
        <v>511</v>
      </c>
      <c r="D52" s="16"/>
      <c r="H52" s="37" t="s">
        <v>370</v>
      </c>
      <c r="I52">
        <v>2</v>
      </c>
    </row>
    <row r="53" spans="3:9" ht="15" x14ac:dyDescent="0.25">
      <c r="C53" s="131" t="s">
        <v>512</v>
      </c>
      <c r="D53" s="16"/>
      <c r="H53" s="37" t="s">
        <v>297</v>
      </c>
      <c r="I53">
        <v>3</v>
      </c>
    </row>
    <row r="54" spans="3:9" ht="15" x14ac:dyDescent="0.25">
      <c r="C54" s="131" t="s">
        <v>513</v>
      </c>
      <c r="D54" s="16"/>
      <c r="H54" s="37" t="s">
        <v>2</v>
      </c>
      <c r="I54">
        <v>4</v>
      </c>
    </row>
    <row r="55" spans="3:9" ht="15" x14ac:dyDescent="0.25">
      <c r="C55" s="131" t="s">
        <v>334</v>
      </c>
      <c r="D55" s="16"/>
      <c r="H55" s="37" t="s">
        <v>371</v>
      </c>
      <c r="I55">
        <v>5</v>
      </c>
    </row>
    <row r="56" spans="3:9" ht="15" x14ac:dyDescent="0.25">
      <c r="C56" s="131" t="s">
        <v>514</v>
      </c>
      <c r="D56" s="16"/>
      <c r="H56" s="37" t="s">
        <v>112</v>
      </c>
      <c r="I56">
        <v>6</v>
      </c>
    </row>
    <row r="57" spans="3:9" ht="15" x14ac:dyDescent="0.25">
      <c r="C57" s="131" t="s">
        <v>515</v>
      </c>
      <c r="D57" s="16"/>
      <c r="H57" s="37" t="s">
        <v>7</v>
      </c>
      <c r="I57">
        <v>7</v>
      </c>
    </row>
    <row r="58" spans="3:9" ht="15" x14ac:dyDescent="0.25">
      <c r="C58" s="131" t="s">
        <v>516</v>
      </c>
      <c r="D58" s="16"/>
    </row>
    <row r="59" spans="3:9" ht="15" x14ac:dyDescent="0.25">
      <c r="C59" s="131" t="s">
        <v>517</v>
      </c>
      <c r="D59" s="16"/>
      <c r="H59" s="37" t="s">
        <v>184</v>
      </c>
      <c r="I59" t="s">
        <v>360</v>
      </c>
    </row>
    <row r="60" spans="3:9" ht="15" x14ac:dyDescent="0.25">
      <c r="C60" s="131" t="s">
        <v>518</v>
      </c>
      <c r="D60" s="16"/>
      <c r="H60" s="37" t="s">
        <v>196</v>
      </c>
      <c r="I60">
        <v>1</v>
      </c>
    </row>
    <row r="61" spans="3:9" ht="15" x14ac:dyDescent="0.25">
      <c r="C61" s="131" t="s">
        <v>519</v>
      </c>
      <c r="D61" s="16"/>
      <c r="H61" s="37" t="s">
        <v>193</v>
      </c>
      <c r="I61">
        <v>2</v>
      </c>
    </row>
    <row r="62" spans="3:9" ht="15" x14ac:dyDescent="0.25">
      <c r="C62" s="131" t="s">
        <v>520</v>
      </c>
      <c r="D62" s="16"/>
      <c r="H62" s="37" t="s">
        <v>322</v>
      </c>
      <c r="I62">
        <v>3</v>
      </c>
    </row>
    <row r="63" spans="3:9" ht="15" x14ac:dyDescent="0.25">
      <c r="C63" s="131" t="s">
        <v>521</v>
      </c>
      <c r="D63" s="16"/>
      <c r="H63" s="37" t="s">
        <v>321</v>
      </c>
      <c r="I63">
        <v>4</v>
      </c>
    </row>
    <row r="64" spans="3:9" ht="15" x14ac:dyDescent="0.25">
      <c r="C64" s="131" t="s">
        <v>522</v>
      </c>
      <c r="D64" s="16"/>
      <c r="H64" s="37" t="s">
        <v>204</v>
      </c>
      <c r="I64">
        <v>5</v>
      </c>
    </row>
    <row r="65" spans="3:9" ht="15" x14ac:dyDescent="0.25">
      <c r="C65" s="131" t="s">
        <v>523</v>
      </c>
      <c r="D65" s="16"/>
      <c r="H65" s="37" t="s">
        <v>214</v>
      </c>
      <c r="I65">
        <v>6</v>
      </c>
    </row>
    <row r="66" spans="3:9" ht="15" x14ac:dyDescent="0.25">
      <c r="C66" s="131" t="s">
        <v>427</v>
      </c>
      <c r="D66" s="16"/>
    </row>
    <row r="67" spans="3:9" ht="15" x14ac:dyDescent="0.25">
      <c r="C67" s="131" t="s">
        <v>379</v>
      </c>
      <c r="D67" s="16"/>
    </row>
    <row r="68" spans="3:9" ht="15" x14ac:dyDescent="0.25">
      <c r="C68" s="131" t="s">
        <v>524</v>
      </c>
      <c r="D68" s="16"/>
    </row>
    <row r="69" spans="3:9" ht="15" x14ac:dyDescent="0.25">
      <c r="C69" s="131" t="s">
        <v>525</v>
      </c>
      <c r="D69" s="16"/>
    </row>
    <row r="70" spans="3:9" ht="15" x14ac:dyDescent="0.25">
      <c r="C70" s="131" t="s">
        <v>526</v>
      </c>
      <c r="D70" s="16"/>
    </row>
    <row r="71" spans="3:9" ht="15" x14ac:dyDescent="0.25">
      <c r="C71" s="131" t="s">
        <v>527</v>
      </c>
      <c r="D71" s="16"/>
    </row>
    <row r="72" spans="3:9" ht="15" x14ac:dyDescent="0.25">
      <c r="C72" s="131" t="s">
        <v>528</v>
      </c>
      <c r="D72" s="16"/>
      <c r="H72" s="17"/>
    </row>
    <row r="73" spans="3:9" ht="15" x14ac:dyDescent="0.25">
      <c r="C73" s="131" t="s">
        <v>529</v>
      </c>
      <c r="D73" s="16"/>
      <c r="H73" s="17"/>
    </row>
    <row r="74" spans="3:9" ht="15" x14ac:dyDescent="0.25">
      <c r="C74" s="131" t="s">
        <v>530</v>
      </c>
      <c r="D74" s="16"/>
      <c r="H74" s="17"/>
    </row>
    <row r="75" spans="3:9" ht="15" x14ac:dyDescent="0.25">
      <c r="C75" s="131" t="s">
        <v>531</v>
      </c>
      <c r="D75" s="16"/>
      <c r="H75" s="17"/>
    </row>
    <row r="76" spans="3:9" ht="15" x14ac:dyDescent="0.25">
      <c r="C76" s="131" t="s">
        <v>532</v>
      </c>
      <c r="D76" s="16"/>
      <c r="H76" s="17"/>
    </row>
    <row r="77" spans="3:9" ht="15" x14ac:dyDescent="0.25">
      <c r="C77" s="131" t="s">
        <v>533</v>
      </c>
      <c r="D77" s="16"/>
      <c r="H77" s="17"/>
    </row>
    <row r="78" spans="3:9" ht="15" x14ac:dyDescent="0.25">
      <c r="C78" s="131" t="s">
        <v>534</v>
      </c>
      <c r="D78" s="16"/>
      <c r="H78" s="17"/>
    </row>
    <row r="79" spans="3:9" ht="15" x14ac:dyDescent="0.25">
      <c r="C79" s="131" t="s">
        <v>535</v>
      </c>
      <c r="D79" s="16"/>
      <c r="H79" s="17"/>
    </row>
    <row r="80" spans="3:9" ht="15" x14ac:dyDescent="0.25">
      <c r="C80" s="131" t="s">
        <v>536</v>
      </c>
      <c r="D80" s="16"/>
      <c r="H80" s="17"/>
    </row>
    <row r="81" spans="3:8" ht="15" x14ac:dyDescent="0.25">
      <c r="C81" s="131" t="s">
        <v>537</v>
      </c>
      <c r="D81" s="16"/>
      <c r="H81" s="17"/>
    </row>
    <row r="82" spans="3:8" ht="15" x14ac:dyDescent="0.25">
      <c r="C82" s="131" t="s">
        <v>538</v>
      </c>
      <c r="D82" s="16"/>
      <c r="H82" s="17"/>
    </row>
    <row r="83" spans="3:8" ht="15" x14ac:dyDescent="0.25">
      <c r="C83" s="131" t="s">
        <v>539</v>
      </c>
      <c r="D83" s="16"/>
      <c r="H83" s="17"/>
    </row>
    <row r="84" spans="3:8" ht="15" x14ac:dyDescent="0.25">
      <c r="C84" s="131" t="s">
        <v>540</v>
      </c>
      <c r="D84" s="16"/>
      <c r="H84" s="17"/>
    </row>
    <row r="85" spans="3:8" ht="15" x14ac:dyDescent="0.25">
      <c r="C85" s="131" t="s">
        <v>541</v>
      </c>
      <c r="D85" s="16"/>
      <c r="H85" s="17"/>
    </row>
    <row r="86" spans="3:8" ht="15" x14ac:dyDescent="0.25">
      <c r="C86" s="131" t="s">
        <v>542</v>
      </c>
      <c r="D86" s="16"/>
      <c r="H86" s="17"/>
    </row>
    <row r="87" spans="3:8" ht="15" x14ac:dyDescent="0.25">
      <c r="C87" s="131" t="s">
        <v>543</v>
      </c>
      <c r="D87" s="16"/>
      <c r="H87" s="17"/>
    </row>
    <row r="88" spans="3:8" ht="15" x14ac:dyDescent="0.25">
      <c r="C88" s="131" t="s">
        <v>544</v>
      </c>
      <c r="D88" s="16"/>
      <c r="H88" s="17"/>
    </row>
    <row r="89" spans="3:8" ht="15" x14ac:dyDescent="0.25">
      <c r="C89" s="131" t="s">
        <v>545</v>
      </c>
      <c r="D89" s="16"/>
      <c r="H89" s="17"/>
    </row>
    <row r="90" spans="3:8" ht="15" x14ac:dyDescent="0.25">
      <c r="C90" s="131" t="s">
        <v>546</v>
      </c>
      <c r="D90" s="16"/>
      <c r="H90" s="17"/>
    </row>
    <row r="91" spans="3:8" ht="15" x14ac:dyDescent="0.25">
      <c r="C91" s="131" t="s">
        <v>547</v>
      </c>
      <c r="D91" s="16"/>
      <c r="H91" s="17"/>
    </row>
    <row r="92" spans="3:8" ht="15" x14ac:dyDescent="0.25">
      <c r="C92" s="131" t="s">
        <v>548</v>
      </c>
      <c r="D92" s="16"/>
      <c r="H92" s="17"/>
    </row>
    <row r="93" spans="3:8" ht="18" customHeight="1" x14ac:dyDescent="0.25">
      <c r="D93" s="16"/>
      <c r="H93" s="17"/>
    </row>
    <row r="94" spans="3:8" ht="18" customHeight="1" x14ac:dyDescent="0.25">
      <c r="C94" s="122" t="s">
        <v>92</v>
      </c>
      <c r="D94" s="16"/>
      <c r="H94" s="17"/>
    </row>
    <row r="95" spans="3:8" ht="18" customHeight="1" x14ac:dyDescent="0.25">
      <c r="C95" s="122" t="s">
        <v>114</v>
      </c>
      <c r="D95" s="16"/>
      <c r="H95" s="17"/>
    </row>
    <row r="96" spans="3:8" ht="18" customHeight="1" x14ac:dyDescent="0.25">
      <c r="C96" s="122" t="s">
        <v>115</v>
      </c>
      <c r="D96" s="16"/>
      <c r="H96" s="17"/>
    </row>
    <row r="97" spans="3:8" ht="18" customHeight="1" x14ac:dyDescent="0.25">
      <c r="C97" s="122" t="s">
        <v>380</v>
      </c>
      <c r="D97" s="16"/>
      <c r="H97" s="17"/>
    </row>
    <row r="98" spans="3:8" ht="18" customHeight="1" x14ac:dyDescent="0.25">
      <c r="C98" s="122" t="s">
        <v>116</v>
      </c>
      <c r="D98" s="16"/>
      <c r="H98" s="17"/>
    </row>
    <row r="99" spans="3:8" ht="18" customHeight="1" x14ac:dyDescent="0.25">
      <c r="C99" s="122" t="s">
        <v>40</v>
      </c>
      <c r="D99" s="16"/>
      <c r="H99" s="17"/>
    </row>
    <row r="100" spans="3:8" ht="18" customHeight="1" x14ac:dyDescent="0.25">
      <c r="C100" s="122" t="s">
        <v>37</v>
      </c>
      <c r="D100" s="16"/>
      <c r="H100" s="17"/>
    </row>
    <row r="101" spans="3:8" ht="18" customHeight="1" x14ac:dyDescent="0.25">
      <c r="C101" s="122" t="s">
        <v>323</v>
      </c>
      <c r="D101" s="16"/>
      <c r="H101" s="17"/>
    </row>
    <row r="102" spans="3:8" ht="18" customHeight="1" x14ac:dyDescent="0.25">
      <c r="C102" s="122" t="s">
        <v>41</v>
      </c>
      <c r="D102" s="16"/>
      <c r="H102" s="17"/>
    </row>
    <row r="103" spans="3:8" ht="18" customHeight="1" x14ac:dyDescent="0.25">
      <c r="C103" s="122" t="s">
        <v>38</v>
      </c>
      <c r="D103" s="16"/>
      <c r="H103" s="17"/>
    </row>
    <row r="104" spans="3:8" ht="18" customHeight="1" x14ac:dyDescent="0.25">
      <c r="C104" s="10"/>
      <c r="D104" s="16"/>
      <c r="H104" s="17"/>
    </row>
    <row r="105" spans="3:8" ht="18" customHeight="1" x14ac:dyDescent="0.25">
      <c r="D105" s="16"/>
      <c r="H105" s="17"/>
    </row>
    <row r="106" spans="3:8" ht="18" customHeight="1" x14ac:dyDescent="0.25">
      <c r="D106" s="16"/>
      <c r="H106" s="17"/>
    </row>
    <row r="107" spans="3:8" ht="18" customHeight="1" x14ac:dyDescent="0.25">
      <c r="D107" s="16"/>
      <c r="H107" s="17"/>
    </row>
    <row r="108" spans="3:8" ht="18" customHeight="1" x14ac:dyDescent="0.25">
      <c r="D108" s="16"/>
      <c r="H108" s="17"/>
    </row>
    <row r="109" spans="3:8" ht="18" customHeight="1" x14ac:dyDescent="0.25">
      <c r="D109" s="16"/>
      <c r="H109" s="17"/>
    </row>
    <row r="110" spans="3:8" ht="18" customHeight="1" x14ac:dyDescent="0.25">
      <c r="C110" s="10"/>
      <c r="D110" s="16"/>
      <c r="H110" s="17"/>
    </row>
    <row r="111" spans="3:8" ht="18" customHeight="1" x14ac:dyDescent="0.25">
      <c r="C111" s="10"/>
      <c r="D111" s="16"/>
      <c r="H111" s="17"/>
    </row>
    <row r="112" spans="3:8" ht="18" customHeight="1" x14ac:dyDescent="0.25">
      <c r="D112" s="16"/>
      <c r="H112" s="17"/>
    </row>
    <row r="113" spans="4:8" ht="18" customHeight="1" x14ac:dyDescent="0.25">
      <c r="D113" s="16"/>
      <c r="H113" s="17"/>
    </row>
    <row r="114" spans="4:8" ht="18" customHeight="1" x14ac:dyDescent="0.25">
      <c r="D114" s="16"/>
      <c r="H114" s="17"/>
    </row>
    <row r="115" spans="4:8" ht="18" customHeight="1" x14ac:dyDescent="0.25">
      <c r="D115" s="16"/>
      <c r="H115" s="17"/>
    </row>
    <row r="116" spans="4:8" ht="18" customHeight="1" x14ac:dyDescent="0.25">
      <c r="D116" s="16"/>
      <c r="H116" s="17"/>
    </row>
    <row r="117" spans="4:8" ht="18" customHeight="1" x14ac:dyDescent="0.25">
      <c r="D117" s="16"/>
      <c r="H117" s="17"/>
    </row>
    <row r="118" spans="4:8" ht="18" customHeight="1" x14ac:dyDescent="0.25">
      <c r="D118" s="16"/>
      <c r="H118" s="17"/>
    </row>
    <row r="119" spans="4:8" ht="18" customHeight="1" x14ac:dyDescent="0.25">
      <c r="D119" s="16"/>
      <c r="H119" s="17"/>
    </row>
    <row r="120" spans="4:8" ht="18" customHeight="1" x14ac:dyDescent="0.25">
      <c r="H120" s="17"/>
    </row>
    <row r="121" spans="4:8" ht="18" customHeight="1" x14ac:dyDescent="0.25">
      <c r="H121" s="17"/>
    </row>
    <row r="122" spans="4:8" ht="18" customHeight="1" x14ac:dyDescent="0.25">
      <c r="H122" s="17"/>
    </row>
    <row r="123" spans="4:8" ht="18" customHeight="1" x14ac:dyDescent="0.25">
      <c r="H123" s="17"/>
    </row>
    <row r="124" spans="4:8" ht="18" customHeight="1" x14ac:dyDescent="0.25">
      <c r="H124" s="17"/>
    </row>
    <row r="125" spans="4:8" ht="18" customHeight="1" x14ac:dyDescent="0.25">
      <c r="H125" s="17"/>
    </row>
    <row r="126" spans="4:8" ht="18" customHeight="1" x14ac:dyDescent="0.25">
      <c r="H126" s="17"/>
    </row>
    <row r="127" spans="4:8" ht="18" customHeight="1" x14ac:dyDescent="0.25">
      <c r="D127" s="16"/>
      <c r="H127" s="17"/>
    </row>
    <row r="128" spans="4:8" ht="18" customHeight="1" x14ac:dyDescent="0.25">
      <c r="D128" s="16"/>
      <c r="H128" s="17"/>
    </row>
  </sheetData>
  <phoneticPr fontId="13" type="noConversion"/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M51"/>
  <sheetViews>
    <sheetView tabSelected="1" zoomScale="85" zoomScaleNormal="85" workbookViewId="0">
      <selection activeCell="L15" sqref="L15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6640625" style="2" bestFit="1" customWidth="1"/>
    <col min="5" max="5" width="24.21875" style="2" bestFit="1" customWidth="1"/>
    <col min="6" max="6" width="26.44140625" style="2" bestFit="1" customWidth="1"/>
    <col min="7" max="7" width="13.44140625" style="2" bestFit="1" customWidth="1"/>
    <col min="8" max="8" width="9.44140625" style="2" bestFit="1" customWidth="1"/>
    <col min="9" max="9" width="36" style="2" bestFit="1" customWidth="1"/>
    <col min="10" max="10" width="9.77734375" style="2" bestFit="1" customWidth="1"/>
    <col min="11" max="11" width="11.109375" style="2" bestFit="1" customWidth="1"/>
    <col min="12" max="12" width="7.77734375" style="2" bestFit="1" customWidth="1"/>
    <col min="13" max="13" width="10.5546875" style="2" bestFit="1" customWidth="1"/>
    <col min="14" max="14" width="4.77734375" style="2" bestFit="1" customWidth="1"/>
    <col min="15" max="15" width="10.5546875" style="2" hidden="1" customWidth="1" outlineLevel="1"/>
    <col min="16" max="16" width="10.21875" style="2" hidden="1" customWidth="1" outlineLevel="1"/>
    <col min="17" max="17" width="9.44140625" style="2" hidden="1" customWidth="1" outlineLevel="1"/>
    <col min="18" max="18" width="31.6640625" style="2" hidden="1" customWidth="1" outlineLevel="1"/>
    <col min="19" max="19" width="34.77734375" style="2" hidden="1" customWidth="1" outlineLevel="1"/>
    <col min="20" max="20" width="45.21875" style="2" hidden="1" customWidth="1" outlineLevel="1"/>
    <col min="21" max="21" width="11.109375" style="2" hidden="1" customWidth="1" outlineLevel="1"/>
    <col min="22" max="22" width="9.21875" style="2" hidden="1" customWidth="1" outlineLevel="1"/>
    <col min="23" max="23" width="7.77734375" style="2" hidden="1" customWidth="1" outlineLevel="1"/>
    <col min="24" max="24" width="24.77734375" style="2" hidden="1" customWidth="1" outlineLevel="1"/>
    <col min="25" max="25" width="15" style="2" hidden="1" customWidth="1" outlineLevel="1"/>
    <col min="26" max="26" width="6.109375" style="2" hidden="1" customWidth="1" outlineLevel="1"/>
    <col min="27" max="27" width="7.77734375" style="2" hidden="1" customWidth="1" outlineLevel="1"/>
    <col min="28" max="30" width="6.109375" style="2" hidden="1" customWidth="1" outlineLevel="1"/>
    <col min="31" max="31" width="8.88671875" style="2" hidden="1" customWidth="1" outlineLevel="1"/>
    <col min="32" max="34" width="7.77734375" style="2" hidden="1" customWidth="1" outlineLevel="1"/>
    <col min="35" max="35" width="80.88671875" style="2" hidden="1" customWidth="1" outlineLevel="1"/>
    <col min="36" max="38" width="7.77734375" style="2" hidden="1" customWidth="1" outlineLevel="1"/>
    <col min="39" max="40" width="11.109375" style="2" hidden="1" customWidth="1" outlineLevel="1"/>
    <col min="41" max="41" width="4.44140625" style="2" hidden="1" customWidth="1" outlineLevel="1"/>
    <col min="42" max="42" width="7.77734375" style="2" hidden="1" customWidth="1" outlineLevel="1"/>
    <col min="43" max="43" width="14.554687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7" width="9.44140625" style="2" hidden="1" customWidth="1" outlineLevel="1"/>
    <col min="48" max="48" width="68.5546875" style="2" hidden="1" customWidth="1" outlineLevel="1"/>
    <col min="49" max="49" width="8.109375" style="2" hidden="1" customWidth="1" outlineLevel="1"/>
    <col min="50" max="50" width="11.109375" style="2" hidden="1" customWidth="1" outlineLevel="1"/>
    <col min="51" max="51" width="7.77734375" style="2" hidden="1" customWidth="1" outlineLevel="1"/>
    <col min="52" max="53" width="9.44140625" style="2" hidden="1" customWidth="1" outlineLevel="1"/>
    <col min="54" max="54" width="7.77734375" style="2" hidden="1" customWidth="1" outlineLevel="1"/>
    <col min="55" max="55" width="11.109375" style="2" hidden="1" customWidth="1" outlineLevel="1"/>
    <col min="56" max="56" width="10.44140625" style="2" hidden="1" customWidth="1" outlineLevel="1"/>
    <col min="57" max="57" width="37.33203125" style="2" hidden="1" customWidth="1" outlineLevel="1"/>
    <col min="58" max="58" width="9.44140625" style="2" hidden="1" customWidth="1" outlineLevel="1"/>
    <col min="59" max="59" width="28.6640625" style="2" hidden="1" customWidth="1" outlineLevel="1"/>
    <col min="60" max="60" width="6.109375" style="2" hidden="1" customWidth="1" outlineLevel="1"/>
    <col min="61" max="61" width="9.44140625" style="2" hidden="1" customWidth="1" outlineLevel="1"/>
    <col min="62" max="62" width="19.109375" style="2" hidden="1" customWidth="1" outlineLevel="1"/>
    <col min="63" max="64" width="80.88671875" style="2" hidden="1" customWidth="1" outlineLevel="1"/>
    <col min="65" max="65" width="9.44140625" style="2" hidden="1" customWidth="1" outlineLevel="1"/>
    <col min="66" max="71" width="7.77734375" style="2" hidden="1" customWidth="1" outlineLevel="1"/>
    <col min="72" max="72" width="12.77734375" style="2" hidden="1" customWidth="1" outlineLevel="1"/>
    <col min="73" max="73" width="8.5546875" style="2" hidden="1" customWidth="1" outlineLevel="1"/>
    <col min="74" max="74" width="4.44140625" style="2" hidden="1" customWidth="1" outlineLevel="1"/>
    <col min="75" max="75" width="9.21875" style="2" hidden="1" customWidth="1" outlineLevel="1"/>
    <col min="76" max="76" width="6.109375" style="2" hidden="1" customWidth="1" outlineLevel="1"/>
    <col min="77" max="78" width="7.109375" style="2" hidden="1" customWidth="1" outlineLevel="1"/>
    <col min="79" max="79" width="7.109375" style="2" bestFit="1" customWidth="1" collapsed="1"/>
    <col min="80" max="80" width="12.5546875" style="2" bestFit="1" customWidth="1"/>
    <col min="81" max="81" width="8.44140625" style="2" bestFit="1" customWidth="1"/>
    <col min="82" max="82" width="9.44140625" style="2" bestFit="1" customWidth="1"/>
    <col min="83" max="83" width="13.33203125" style="2" bestFit="1" customWidth="1"/>
    <col min="84" max="84" width="14.21875" style="2" bestFit="1" customWidth="1"/>
    <col min="85" max="85" width="80.88671875" style="2" bestFit="1" customWidth="1"/>
    <col min="86" max="86" width="7.77734375" style="2" bestFit="1" customWidth="1"/>
    <col min="87" max="87" width="9.33203125" style="2" bestFit="1" customWidth="1"/>
    <col min="88" max="88" width="8.109375" style="2" bestFit="1" customWidth="1"/>
    <col min="89" max="89" width="6.6640625" style="2" bestFit="1" customWidth="1"/>
    <col min="90" max="90" width="8.88671875" style="2" bestFit="1" customWidth="1"/>
    <col min="91" max="93" width="19.5546875" style="2" bestFit="1" customWidth="1"/>
    <col min="94" max="94" width="8.88671875" style="2" bestFit="1" customWidth="1"/>
    <col min="95" max="95" width="10.5546875" style="2" bestFit="1" customWidth="1"/>
    <col min="96" max="97" width="10.33203125" style="2" bestFit="1" customWidth="1"/>
    <col min="98" max="98" width="10.5546875" style="2" bestFit="1" customWidth="1"/>
    <col min="99" max="99" width="19.5546875" style="2" bestFit="1" customWidth="1"/>
    <col min="100" max="100" width="10.5546875" style="2" bestFit="1" customWidth="1"/>
    <col min="101" max="101" width="10.33203125" style="2" bestFit="1" customWidth="1"/>
    <col min="102" max="103" width="10.5546875" style="2" bestFit="1" customWidth="1"/>
    <col min="104" max="104" width="16.6640625" style="2" bestFit="1" customWidth="1"/>
    <col min="105" max="105" width="7.6640625" style="2" bestFit="1" customWidth="1"/>
    <col min="106" max="107" width="10.44140625" style="2" bestFit="1" customWidth="1"/>
    <col min="108" max="108" width="17.33203125" style="2" bestFit="1" customWidth="1"/>
    <col min="109" max="110" width="10.109375" style="2" bestFit="1" customWidth="1"/>
    <col min="111" max="112" width="12.44140625" style="2" bestFit="1" customWidth="1"/>
    <col min="113" max="113" width="8.6640625" style="2" bestFit="1" customWidth="1"/>
    <col min="114" max="116" width="8.6640625" style="2" customWidth="1"/>
    <col min="117" max="117" width="9.21875" style="2" customWidth="1"/>
    <col min="118" max="118" width="28.6640625" style="2" customWidth="1"/>
    <col min="119" max="119" width="9" style="2" customWidth="1"/>
    <col min="120" max="120" width="11.6640625" style="2" customWidth="1"/>
    <col min="121" max="122" width="9.21875" style="2" customWidth="1"/>
    <col min="123" max="123" width="10.44140625" style="2" customWidth="1"/>
    <col min="124" max="124" width="11.6640625" style="2" customWidth="1"/>
    <col min="125" max="125" width="9.21875" style="2" customWidth="1"/>
    <col min="126" max="126" width="10.44140625" style="2" customWidth="1"/>
    <col min="127" max="127" width="20.109375" style="2" customWidth="1"/>
    <col min="128" max="128" width="37.77734375" style="2" customWidth="1"/>
    <col min="129" max="129" width="43.21875" style="2" customWidth="1"/>
    <col min="130" max="130" width="9.21875" style="2" customWidth="1"/>
    <col min="131" max="131" width="13.77734375" style="2" customWidth="1"/>
    <col min="132" max="132" width="37.109375" style="2" customWidth="1"/>
    <col min="133" max="133" width="10.44140625" style="2" customWidth="1"/>
    <col min="134" max="139" width="9.21875" style="2" customWidth="1"/>
    <col min="140" max="140" width="12.33203125" style="2" bestFit="1" customWidth="1"/>
    <col min="141" max="141" width="11.109375" style="2" customWidth="1"/>
    <col min="142" max="142" width="11.6640625" style="2" bestFit="1" customWidth="1"/>
    <col min="143" max="143" width="11.6640625" style="2" customWidth="1"/>
    <col min="144" max="144" width="4.77734375" style="2" bestFit="1" customWidth="1"/>
    <col min="145" max="145" width="7.44140625" style="2" bestFit="1" customWidth="1"/>
    <col min="146" max="16384" width="8.88671875" style="2"/>
  </cols>
  <sheetData>
    <row r="1" spans="1:91" ht="66" customHeight="1" x14ac:dyDescent="0.25">
      <c r="A1" s="47" t="s">
        <v>221</v>
      </c>
      <c r="B1" s="7"/>
      <c r="K1" s="56" t="s">
        <v>182</v>
      </c>
      <c r="O1" s="46">
        <v>44951</v>
      </c>
    </row>
    <row r="2" spans="1:91" ht="66" customHeight="1" x14ac:dyDescent="0.25">
      <c r="A2" s="48" t="s">
        <v>110</v>
      </c>
      <c r="K2" s="24" t="s">
        <v>5</v>
      </c>
    </row>
    <row r="3" spans="1:91" ht="23.25" customHeight="1" x14ac:dyDescent="0.3">
      <c r="A3" s="92" t="s">
        <v>316</v>
      </c>
      <c r="B3" s="57"/>
      <c r="C3" s="90"/>
      <c r="I3" s="25"/>
    </row>
    <row r="4" spans="1:91" ht="23.25" customHeight="1" x14ac:dyDescent="0.25">
      <c r="A4" s="93" t="s">
        <v>286</v>
      </c>
      <c r="B4" s="58">
        <f ca="1">MAX(DLDconso[Index])</f>
        <v>11</v>
      </c>
      <c r="C4" s="90"/>
    </row>
    <row r="5" spans="1:91" ht="23.25" customHeight="1" x14ac:dyDescent="0.25">
      <c r="A5" s="93" t="s">
        <v>287</v>
      </c>
      <c r="B5" s="58">
        <f ca="1">MAX(BBGcorp[Index])</f>
        <v>14</v>
      </c>
      <c r="C5" s="91">
        <f ca="1">$B$5-B$4</f>
        <v>3</v>
      </c>
    </row>
    <row r="6" spans="1:91" ht="23.25" customHeight="1" x14ac:dyDescent="0.25">
      <c r="A6" s="93" t="s">
        <v>288</v>
      </c>
      <c r="B6" s="59">
        <f ca="1">MAX(WST[定价日])</f>
        <v>45154</v>
      </c>
      <c r="C6" s="91">
        <f ca="1">WEEKNUM(B$6)-WEEKNUM(MAX(DLDconso[定价日]))</f>
        <v>-3</v>
      </c>
    </row>
    <row r="7" spans="1:91" ht="23.25" customHeight="1" x14ac:dyDescent="0.25">
      <c r="A7" s="94" t="s">
        <v>289</v>
      </c>
      <c r="B7" s="60">
        <f ca="1">MAX(台账23[台账序号])</f>
        <v>0</v>
      </c>
      <c r="C7" s="90"/>
    </row>
    <row r="8" spans="1:91" ht="14.25" customHeight="1" x14ac:dyDescent="0.25"/>
    <row r="9" spans="1:91" ht="11.25" x14ac:dyDescent="0.25"/>
    <row r="10" spans="1:91" ht="15" x14ac:dyDescent="0.25">
      <c r="A10" s="121" t="s">
        <v>182</v>
      </c>
      <c r="B10" s="121" t="s">
        <v>5</v>
      </c>
      <c r="D10" s="121" t="s">
        <v>88</v>
      </c>
      <c r="E10" s="122" t="s">
        <v>96</v>
      </c>
      <c r="F10" s="121" t="s">
        <v>266</v>
      </c>
      <c r="G10" s="122" t="s">
        <v>49</v>
      </c>
      <c r="H10" s="122" t="s">
        <v>50</v>
      </c>
      <c r="I10" s="122" t="s">
        <v>48</v>
      </c>
      <c r="J10" s="122" t="s">
        <v>100</v>
      </c>
      <c r="K10" s="122" t="s">
        <v>101</v>
      </c>
      <c r="L10" s="122" t="s">
        <v>51</v>
      </c>
      <c r="M10" s="122" t="s">
        <v>58</v>
      </c>
      <c r="N10" s="122" t="s">
        <v>65</v>
      </c>
      <c r="O10" s="122" t="s">
        <v>59</v>
      </c>
      <c r="P10" s="121" t="s">
        <v>591</v>
      </c>
      <c r="Q10" s="122" t="s">
        <v>53</v>
      </c>
      <c r="R10" s="122" t="s">
        <v>102</v>
      </c>
      <c r="S10" s="121" t="s">
        <v>224</v>
      </c>
      <c r="T10" s="121" t="s">
        <v>225</v>
      </c>
      <c r="U10" s="122" t="s">
        <v>55</v>
      </c>
      <c r="V10" s="121" t="s">
        <v>424</v>
      </c>
      <c r="W10" s="121" t="s">
        <v>267</v>
      </c>
      <c r="X10" s="122" t="s">
        <v>56</v>
      </c>
      <c r="Y10" s="122" t="s">
        <v>57</v>
      </c>
      <c r="Z10" s="122" t="s">
        <v>60</v>
      </c>
      <c r="AA10" s="122" t="s">
        <v>61</v>
      </c>
      <c r="AB10" s="122" t="s">
        <v>97</v>
      </c>
      <c r="AC10" s="122" t="s">
        <v>46</v>
      </c>
      <c r="AD10" s="122" t="s">
        <v>47</v>
      </c>
      <c r="AE10" s="122" t="s">
        <v>142</v>
      </c>
      <c r="AF10" s="122" t="s">
        <v>62</v>
      </c>
      <c r="AG10" s="122" t="s">
        <v>63</v>
      </c>
      <c r="AH10" s="122" t="s">
        <v>64</v>
      </c>
      <c r="AI10" s="122" t="s">
        <v>66</v>
      </c>
      <c r="AJ10" s="121" t="s">
        <v>216</v>
      </c>
      <c r="AK10" s="122" t="s">
        <v>45</v>
      </c>
      <c r="AL10" s="122" t="s">
        <v>98</v>
      </c>
      <c r="AM10" s="122" t="s">
        <v>189</v>
      </c>
      <c r="AN10" s="122" t="s">
        <v>52</v>
      </c>
      <c r="AO10" s="122" t="s">
        <v>44</v>
      </c>
      <c r="AP10" s="121" t="s">
        <v>239</v>
      </c>
      <c r="AQ10" s="122" t="s">
        <v>43</v>
      </c>
      <c r="AR10" s="122" t="s">
        <v>99</v>
      </c>
      <c r="AS10" s="121" t="s">
        <v>240</v>
      </c>
      <c r="AT10" s="121" t="s">
        <v>241</v>
      </c>
      <c r="AU10" s="121" t="s">
        <v>242</v>
      </c>
      <c r="AV10" s="121" t="s">
        <v>243</v>
      </c>
      <c r="AW10" s="122" t="s">
        <v>67</v>
      </c>
      <c r="AX10" s="122" t="s">
        <v>103</v>
      </c>
      <c r="AY10" s="122" t="s">
        <v>104</v>
      </c>
      <c r="AZ10" s="122" t="s">
        <v>68</v>
      </c>
      <c r="BA10" s="122" t="s">
        <v>69</v>
      </c>
      <c r="BB10" s="122" t="s">
        <v>70</v>
      </c>
      <c r="BC10" s="122" t="s">
        <v>105</v>
      </c>
      <c r="BD10" s="122" t="s">
        <v>71</v>
      </c>
      <c r="BE10" s="122" t="s">
        <v>72</v>
      </c>
      <c r="BF10" s="122" t="s">
        <v>74</v>
      </c>
      <c r="BG10" s="121" t="s">
        <v>245</v>
      </c>
      <c r="BH10" s="122" t="s">
        <v>73</v>
      </c>
      <c r="BI10" s="122" t="s">
        <v>75</v>
      </c>
      <c r="BJ10" s="122" t="s">
        <v>106</v>
      </c>
      <c r="BK10" s="122" t="s">
        <v>76</v>
      </c>
      <c r="BL10" s="121" t="s">
        <v>244</v>
      </c>
      <c r="BM10" s="122" t="s">
        <v>77</v>
      </c>
      <c r="BN10" s="122" t="s">
        <v>78</v>
      </c>
      <c r="BO10" s="122" t="s">
        <v>79</v>
      </c>
      <c r="BP10" s="122" t="s">
        <v>80</v>
      </c>
      <c r="BQ10" s="122" t="s">
        <v>81</v>
      </c>
      <c r="BR10" s="122" t="s">
        <v>107</v>
      </c>
      <c r="BS10" s="122" t="s">
        <v>82</v>
      </c>
      <c r="BT10" s="122" t="s">
        <v>83</v>
      </c>
      <c r="BU10" s="121" t="s">
        <v>878</v>
      </c>
      <c r="BV10" s="121" t="s">
        <v>425</v>
      </c>
      <c r="BW10" s="121" t="s">
        <v>91</v>
      </c>
      <c r="BX10" s="121" t="s">
        <v>402</v>
      </c>
      <c r="BY10" s="121" t="s">
        <v>186</v>
      </c>
      <c r="BZ10" s="121" t="s">
        <v>187</v>
      </c>
      <c r="CA10" s="121" t="s">
        <v>229</v>
      </c>
      <c r="CB10" s="121" t="s">
        <v>119</v>
      </c>
      <c r="CC10" s="121" t="s">
        <v>246</v>
      </c>
      <c r="CD10" s="121" t="s">
        <v>254</v>
      </c>
      <c r="CE10" s="121" t="s">
        <v>209</v>
      </c>
      <c r="CF10" s="121" t="s">
        <v>328</v>
      </c>
      <c r="CG10" s="121" t="s">
        <v>155</v>
      </c>
      <c r="CH10" s="121" t="s">
        <v>121</v>
      </c>
      <c r="CI10" s="121" t="s">
        <v>145</v>
      </c>
      <c r="CJ10" s="121" t="s">
        <v>190</v>
      </c>
      <c r="CK10" s="121" t="s">
        <v>403</v>
      </c>
      <c r="CL10" s="121" t="s">
        <v>188</v>
      </c>
      <c r="CM10" s="122" t="s">
        <v>150</v>
      </c>
    </row>
    <row r="11" spans="1:91" ht="15" x14ac:dyDescent="0.25">
      <c r="A11" s="121" t="s">
        <v>499</v>
      </c>
      <c r="B11" s="128">
        <v>45187</v>
      </c>
      <c r="D11" s="121">
        <v>1</v>
      </c>
      <c r="E11" s="125" t="s">
        <v>426</v>
      </c>
      <c r="F11" s="123" t="s">
        <v>603</v>
      </c>
      <c r="G11" s="122" t="s">
        <v>604</v>
      </c>
      <c r="H11" s="124">
        <v>45183</v>
      </c>
      <c r="I11" s="125" t="s">
        <v>605</v>
      </c>
      <c r="J11" s="125" t="s">
        <v>135</v>
      </c>
      <c r="K11" s="125" t="s">
        <v>135</v>
      </c>
      <c r="L11" s="125" t="s">
        <v>135</v>
      </c>
      <c r="M11" s="121">
        <v>2.6</v>
      </c>
      <c r="N11" s="122" t="s">
        <v>108</v>
      </c>
      <c r="O11" s="125" t="s">
        <v>215</v>
      </c>
      <c r="P11" s="123">
        <v>4.8</v>
      </c>
      <c r="Q11" s="126">
        <v>46287</v>
      </c>
      <c r="R11" s="125" t="s">
        <v>295</v>
      </c>
      <c r="S11" s="123" t="s">
        <v>94</v>
      </c>
      <c r="T11" s="121" t="s">
        <v>335</v>
      </c>
      <c r="U11" s="123"/>
      <c r="V11" s="123" t="s">
        <v>217</v>
      </c>
      <c r="W11" s="123" t="s">
        <v>606</v>
      </c>
      <c r="X11" s="122" t="s">
        <v>607</v>
      </c>
      <c r="Y11" s="125" t="s">
        <v>136</v>
      </c>
      <c r="Z11" s="123">
        <v>100</v>
      </c>
      <c r="AA11" s="125"/>
      <c r="AB11" s="125" t="s">
        <v>299</v>
      </c>
      <c r="AC11" s="125" t="s">
        <v>608</v>
      </c>
      <c r="AD11" s="125" t="s">
        <v>94</v>
      </c>
      <c r="AE11" s="122"/>
      <c r="AF11" s="125"/>
      <c r="AG11" s="125"/>
      <c r="AH11" s="125"/>
      <c r="AI11" s="125" t="s">
        <v>609</v>
      </c>
      <c r="AJ11" s="123" t="s">
        <v>433</v>
      </c>
      <c r="AK11" s="125" t="s">
        <v>372</v>
      </c>
      <c r="AL11" s="122" t="s">
        <v>94</v>
      </c>
      <c r="AM11" s="125" t="s">
        <v>135</v>
      </c>
      <c r="AN11" s="122" t="s">
        <v>598</v>
      </c>
      <c r="AO11" s="125" t="s">
        <v>1</v>
      </c>
      <c r="AP11" s="123" t="s">
        <v>610</v>
      </c>
      <c r="AQ11" s="125" t="s">
        <v>134</v>
      </c>
      <c r="AR11" s="125" t="s">
        <v>84</v>
      </c>
      <c r="AS11" s="121"/>
      <c r="AT11" s="121" t="s">
        <v>94</v>
      </c>
      <c r="AU11" s="121" t="s">
        <v>94</v>
      </c>
      <c r="AV11" s="121" t="s">
        <v>611</v>
      </c>
      <c r="AW11" s="122" t="s">
        <v>612</v>
      </c>
      <c r="AX11" s="121">
        <v>10000</v>
      </c>
      <c r="AY11" s="123">
        <v>2.6</v>
      </c>
      <c r="AZ11" s="126">
        <v>45191</v>
      </c>
      <c r="BA11" s="126"/>
      <c r="BB11" s="125" t="s">
        <v>94</v>
      </c>
      <c r="BC11" s="121">
        <v>4.8</v>
      </c>
      <c r="BD11" s="126">
        <v>45373</v>
      </c>
      <c r="BE11" s="125" t="s">
        <v>613</v>
      </c>
      <c r="BF11" s="126">
        <v>45191</v>
      </c>
      <c r="BG11" s="121" t="s">
        <v>335</v>
      </c>
      <c r="BH11" s="122" t="s">
        <v>426</v>
      </c>
      <c r="BI11" s="126">
        <v>45191</v>
      </c>
      <c r="BJ11" s="125" t="s">
        <v>264</v>
      </c>
      <c r="BK11" s="122" t="s">
        <v>614</v>
      </c>
      <c r="BL11" s="121" t="s">
        <v>615</v>
      </c>
      <c r="BM11" s="125" t="s">
        <v>137</v>
      </c>
      <c r="BN11" s="125" t="s">
        <v>137</v>
      </c>
      <c r="BO11" s="125" t="s">
        <v>138</v>
      </c>
      <c r="BP11" s="125" t="s">
        <v>139</v>
      </c>
      <c r="BQ11" s="125" t="s">
        <v>140</v>
      </c>
      <c r="BR11" s="122" t="s">
        <v>94</v>
      </c>
      <c r="BS11" s="125" t="s">
        <v>141</v>
      </c>
      <c r="BT11" s="122" t="s">
        <v>94</v>
      </c>
      <c r="BU11" s="121" t="s">
        <v>276</v>
      </c>
      <c r="BV11" s="123" t="s">
        <v>94</v>
      </c>
      <c r="BW11" s="123" t="s">
        <v>10</v>
      </c>
      <c r="BX11" s="127"/>
      <c r="BY11" s="123">
        <v>0.35599999999999998</v>
      </c>
      <c r="BZ11" s="123">
        <v>2.6</v>
      </c>
      <c r="CA11" s="123">
        <v>2.7919999999999998</v>
      </c>
      <c r="CB11" s="123" t="s">
        <v>439</v>
      </c>
      <c r="CC11" s="123" t="s">
        <v>325</v>
      </c>
      <c r="CD11" s="123" t="s">
        <v>290</v>
      </c>
      <c r="CE11" s="127">
        <v>45177</v>
      </c>
      <c r="CF11" s="123" t="s">
        <v>7</v>
      </c>
      <c r="CG11" s="121"/>
      <c r="CH11" s="123"/>
      <c r="CI11" s="123" t="s">
        <v>85</v>
      </c>
      <c r="CJ11" s="123" t="s">
        <v>85</v>
      </c>
      <c r="CK11" s="123" t="s">
        <v>94</v>
      </c>
      <c r="CL11" s="121" t="s">
        <v>7</v>
      </c>
      <c r="CM11" s="121" t="s">
        <v>616</v>
      </c>
    </row>
    <row r="12" spans="1:91" ht="15" x14ac:dyDescent="0.25">
      <c r="A12" s="121" t="s">
        <v>500</v>
      </c>
      <c r="B12" s="129">
        <v>45184.900590277779</v>
      </c>
      <c r="D12" s="121">
        <v>2</v>
      </c>
      <c r="E12" s="125" t="s">
        <v>498</v>
      </c>
      <c r="F12" s="123" t="s">
        <v>617</v>
      </c>
      <c r="G12" s="122" t="s">
        <v>618</v>
      </c>
      <c r="H12" s="124">
        <v>45182</v>
      </c>
      <c r="I12" s="125" t="s">
        <v>619</v>
      </c>
      <c r="J12" s="125" t="s">
        <v>620</v>
      </c>
      <c r="K12" s="125" t="s">
        <v>430</v>
      </c>
      <c r="L12" s="125" t="s">
        <v>135</v>
      </c>
      <c r="M12" s="121">
        <v>5.5</v>
      </c>
      <c r="N12" s="122" t="s">
        <v>87</v>
      </c>
      <c r="O12" s="125" t="s">
        <v>215</v>
      </c>
      <c r="P12" s="123"/>
      <c r="Q12" s="126">
        <v>46285</v>
      </c>
      <c r="R12" s="125" t="s">
        <v>329</v>
      </c>
      <c r="S12" s="123" t="s">
        <v>438</v>
      </c>
      <c r="T12" s="121" t="s">
        <v>621</v>
      </c>
      <c r="U12" s="123">
        <v>47</v>
      </c>
      <c r="V12" s="123" t="s">
        <v>217</v>
      </c>
      <c r="W12" s="123" t="s">
        <v>258</v>
      </c>
      <c r="X12" s="122" t="s">
        <v>94</v>
      </c>
      <c r="Y12" s="125" t="s">
        <v>136</v>
      </c>
      <c r="Z12" s="123">
        <v>100</v>
      </c>
      <c r="AA12" s="125"/>
      <c r="AB12" s="125" t="s">
        <v>293</v>
      </c>
      <c r="AC12" s="125" t="s">
        <v>432</v>
      </c>
      <c r="AD12" s="125" t="s">
        <v>94</v>
      </c>
      <c r="AE12" s="122"/>
      <c r="AF12" s="125"/>
      <c r="AG12" s="125"/>
      <c r="AH12" s="125"/>
      <c r="AI12" s="125" t="s">
        <v>622</v>
      </c>
      <c r="AJ12" s="123" t="s">
        <v>433</v>
      </c>
      <c r="AK12" s="125" t="s">
        <v>434</v>
      </c>
      <c r="AL12" s="122" t="s">
        <v>94</v>
      </c>
      <c r="AM12" s="125" t="s">
        <v>135</v>
      </c>
      <c r="AN12" s="122" t="s">
        <v>263</v>
      </c>
      <c r="AO12" s="125" t="s">
        <v>86</v>
      </c>
      <c r="AP12" s="123" t="s">
        <v>268</v>
      </c>
      <c r="AQ12" s="125" t="s">
        <v>623</v>
      </c>
      <c r="AR12" s="125" t="s">
        <v>162</v>
      </c>
      <c r="AS12" s="121"/>
      <c r="AT12" s="121" t="s">
        <v>94</v>
      </c>
      <c r="AU12" s="121" t="s">
        <v>94</v>
      </c>
      <c r="AV12" s="121" t="s">
        <v>624</v>
      </c>
      <c r="AW12" s="122" t="s">
        <v>625</v>
      </c>
      <c r="AX12" s="121">
        <v>1000</v>
      </c>
      <c r="AY12" s="123">
        <v>5.5</v>
      </c>
      <c r="AZ12" s="126">
        <v>45189</v>
      </c>
      <c r="BA12" s="126"/>
      <c r="BB12" s="125" t="s">
        <v>626</v>
      </c>
      <c r="BC12" s="121">
        <v>5.9649000000000001</v>
      </c>
      <c r="BD12" s="126">
        <v>45280</v>
      </c>
      <c r="BE12" s="125" t="s">
        <v>627</v>
      </c>
      <c r="BF12" s="126">
        <v>45189</v>
      </c>
      <c r="BG12" s="121" t="s">
        <v>628</v>
      </c>
      <c r="BH12" s="122" t="s">
        <v>94</v>
      </c>
      <c r="BI12" s="126">
        <v>45189</v>
      </c>
      <c r="BJ12" s="125" t="s">
        <v>94</v>
      </c>
      <c r="BK12" s="122" t="s">
        <v>629</v>
      </c>
      <c r="BL12" s="121" t="s">
        <v>630</v>
      </c>
      <c r="BM12" s="125" t="s">
        <v>137</v>
      </c>
      <c r="BN12" s="125" t="s">
        <v>137</v>
      </c>
      <c r="BO12" s="125" t="s">
        <v>437</v>
      </c>
      <c r="BP12" s="125" t="s">
        <v>139</v>
      </c>
      <c r="BQ12" s="125" t="s">
        <v>140</v>
      </c>
      <c r="BR12" s="122" t="s">
        <v>94</v>
      </c>
      <c r="BS12" s="125" t="s">
        <v>296</v>
      </c>
      <c r="BT12" s="122" t="s">
        <v>94</v>
      </c>
      <c r="BU12" s="121" t="s">
        <v>276</v>
      </c>
      <c r="BV12" s="123" t="s">
        <v>94</v>
      </c>
      <c r="BW12" s="123" t="s">
        <v>12</v>
      </c>
      <c r="BX12" s="127"/>
      <c r="BY12" s="123">
        <v>5.5</v>
      </c>
      <c r="BZ12" s="123">
        <v>40.002000000000002</v>
      </c>
      <c r="CA12" s="123">
        <v>43.042999999999999</v>
      </c>
      <c r="CB12" s="123" t="s">
        <v>589</v>
      </c>
      <c r="CC12" s="123" t="s">
        <v>324</v>
      </c>
      <c r="CD12" s="123" t="s">
        <v>766</v>
      </c>
      <c r="CE12" s="127">
        <v>42621</v>
      </c>
      <c r="CF12" s="123" t="s">
        <v>7</v>
      </c>
      <c r="CG12" s="121"/>
      <c r="CH12" s="123">
        <v>63</v>
      </c>
      <c r="CI12" s="123" t="s">
        <v>377</v>
      </c>
      <c r="CJ12" s="123" t="s">
        <v>85</v>
      </c>
      <c r="CK12" s="123" t="s">
        <v>94</v>
      </c>
      <c r="CL12" s="121" t="s">
        <v>7</v>
      </c>
      <c r="CM12" s="121" t="s">
        <v>631</v>
      </c>
    </row>
    <row r="13" spans="1:91" ht="15" x14ac:dyDescent="0.25">
      <c r="A13" s="121" t="s">
        <v>501</v>
      </c>
      <c r="B13" s="129">
        <v>45184.900590300924</v>
      </c>
      <c r="D13" s="121">
        <v>3</v>
      </c>
      <c r="E13" s="125" t="s">
        <v>685</v>
      </c>
      <c r="F13" s="123" t="s">
        <v>686</v>
      </c>
      <c r="G13" s="122" t="s">
        <v>687</v>
      </c>
      <c r="H13" s="124">
        <v>45182</v>
      </c>
      <c r="I13" s="125" t="s">
        <v>688</v>
      </c>
      <c r="J13" s="125" t="s">
        <v>135</v>
      </c>
      <c r="K13" s="125" t="s">
        <v>135</v>
      </c>
      <c r="L13" s="125" t="s">
        <v>135</v>
      </c>
      <c r="M13" s="121">
        <v>76</v>
      </c>
      <c r="N13" s="122" t="s">
        <v>330</v>
      </c>
      <c r="O13" s="125" t="s">
        <v>215</v>
      </c>
      <c r="P13" s="123">
        <v>2.2999999999999998</v>
      </c>
      <c r="Q13" s="126">
        <v>46284</v>
      </c>
      <c r="R13" s="125" t="s">
        <v>112</v>
      </c>
      <c r="S13" s="123" t="s">
        <v>689</v>
      </c>
      <c r="T13" s="121" t="s">
        <v>94</v>
      </c>
      <c r="U13" s="123"/>
      <c r="V13" s="123" t="s">
        <v>217</v>
      </c>
      <c r="W13" s="123" t="s">
        <v>606</v>
      </c>
      <c r="X13" s="122" t="s">
        <v>690</v>
      </c>
      <c r="Y13" s="125" t="s">
        <v>136</v>
      </c>
      <c r="Z13" s="123">
        <v>100</v>
      </c>
      <c r="AA13" s="125"/>
      <c r="AB13" s="125" t="s">
        <v>299</v>
      </c>
      <c r="AC13" s="125" t="s">
        <v>691</v>
      </c>
      <c r="AD13" s="125" t="s">
        <v>94</v>
      </c>
      <c r="AE13" s="122"/>
      <c r="AF13" s="125"/>
      <c r="AG13" s="125"/>
      <c r="AH13" s="125"/>
      <c r="AI13" s="125" t="s">
        <v>692</v>
      </c>
      <c r="AJ13" s="123" t="s">
        <v>433</v>
      </c>
      <c r="AK13" s="125" t="s">
        <v>294</v>
      </c>
      <c r="AL13" s="122" t="s">
        <v>94</v>
      </c>
      <c r="AM13" s="125" t="s">
        <v>135</v>
      </c>
      <c r="AN13" s="122" t="s">
        <v>94</v>
      </c>
      <c r="AO13" s="125" t="s">
        <v>86</v>
      </c>
      <c r="AP13" s="123" t="s">
        <v>268</v>
      </c>
      <c r="AQ13" s="125" t="s">
        <v>134</v>
      </c>
      <c r="AR13" s="125" t="s">
        <v>84</v>
      </c>
      <c r="AS13" s="121"/>
      <c r="AT13" s="121" t="s">
        <v>94</v>
      </c>
      <c r="AU13" s="121" t="s">
        <v>94</v>
      </c>
      <c r="AV13" s="121" t="s">
        <v>693</v>
      </c>
      <c r="AW13" s="122" t="s">
        <v>694</v>
      </c>
      <c r="AX13" s="121">
        <v>10000000</v>
      </c>
      <c r="AY13" s="123">
        <v>76</v>
      </c>
      <c r="AZ13" s="126">
        <v>45188</v>
      </c>
      <c r="BA13" s="126"/>
      <c r="BB13" s="125" t="s">
        <v>94</v>
      </c>
      <c r="BC13" s="121">
        <v>2.2999999999999998</v>
      </c>
      <c r="BD13" s="126">
        <v>45370</v>
      </c>
      <c r="BE13" s="125" t="s">
        <v>695</v>
      </c>
      <c r="BF13" s="126">
        <v>45188</v>
      </c>
      <c r="BG13" s="121" t="s">
        <v>94</v>
      </c>
      <c r="BH13" s="122" t="s">
        <v>685</v>
      </c>
      <c r="BI13" s="126">
        <v>45188</v>
      </c>
      <c r="BJ13" s="125" t="s">
        <v>264</v>
      </c>
      <c r="BK13" s="122" t="s">
        <v>696</v>
      </c>
      <c r="BL13" s="121" t="s">
        <v>697</v>
      </c>
      <c r="BM13" s="125" t="s">
        <v>137</v>
      </c>
      <c r="BN13" s="125" t="s">
        <v>137</v>
      </c>
      <c r="BO13" s="125" t="s">
        <v>138</v>
      </c>
      <c r="BP13" s="125" t="s">
        <v>139</v>
      </c>
      <c r="BQ13" s="125" t="s">
        <v>140</v>
      </c>
      <c r="BR13" s="122" t="s">
        <v>94</v>
      </c>
      <c r="BS13" s="125" t="s">
        <v>141</v>
      </c>
      <c r="BT13" s="122" t="s">
        <v>94</v>
      </c>
      <c r="BU13" s="121" t="s">
        <v>276</v>
      </c>
      <c r="BV13" s="123" t="s">
        <v>94</v>
      </c>
      <c r="BW13" s="123" t="s">
        <v>10</v>
      </c>
      <c r="BX13" s="127"/>
      <c r="BY13" s="123">
        <v>0.53200000000000003</v>
      </c>
      <c r="BZ13" s="123">
        <v>3.7240000000000002</v>
      </c>
      <c r="CA13" s="123">
        <v>4.0279999999999996</v>
      </c>
      <c r="CB13" s="123" t="s">
        <v>94</v>
      </c>
      <c r="CC13" s="123" t="s">
        <v>94</v>
      </c>
      <c r="CD13" s="123" t="s">
        <v>298</v>
      </c>
      <c r="CE13" s="127">
        <v>45182</v>
      </c>
      <c r="CF13" s="123" t="s">
        <v>7</v>
      </c>
      <c r="CG13" s="121" t="s">
        <v>755</v>
      </c>
      <c r="CH13" s="123"/>
      <c r="CI13" s="123" t="s">
        <v>85</v>
      </c>
      <c r="CJ13" s="123" t="s">
        <v>85</v>
      </c>
      <c r="CK13" s="123" t="s">
        <v>94</v>
      </c>
      <c r="CL13" s="121" t="s">
        <v>7</v>
      </c>
      <c r="CM13" s="121" t="s">
        <v>698</v>
      </c>
    </row>
    <row r="14" spans="1:91" ht="15" x14ac:dyDescent="0.25">
      <c r="D14" s="121">
        <v>4</v>
      </c>
      <c r="E14" s="125" t="s">
        <v>641</v>
      </c>
      <c r="F14" s="123" t="s">
        <v>642</v>
      </c>
      <c r="G14" s="122" t="s">
        <v>643</v>
      </c>
      <c r="H14" s="124">
        <v>45182</v>
      </c>
      <c r="I14" s="125" t="s">
        <v>644</v>
      </c>
      <c r="J14" s="125" t="s">
        <v>135</v>
      </c>
      <c r="K14" s="125" t="s">
        <v>135</v>
      </c>
      <c r="L14" s="125" t="s">
        <v>135</v>
      </c>
      <c r="M14" s="121">
        <v>30</v>
      </c>
      <c r="N14" s="122" t="s">
        <v>108</v>
      </c>
      <c r="O14" s="125" t="s">
        <v>373</v>
      </c>
      <c r="P14" s="123">
        <v>2.4500000000000002</v>
      </c>
      <c r="Q14" s="126">
        <v>45920</v>
      </c>
      <c r="R14" s="125" t="s">
        <v>329</v>
      </c>
      <c r="S14" s="123" t="s">
        <v>645</v>
      </c>
      <c r="T14" s="121" t="s">
        <v>646</v>
      </c>
      <c r="U14" s="123">
        <v>35</v>
      </c>
      <c r="V14" s="123" t="s">
        <v>217</v>
      </c>
      <c r="W14" s="123" t="s">
        <v>258</v>
      </c>
      <c r="X14" s="122" t="s">
        <v>94</v>
      </c>
      <c r="Y14" s="125" t="s">
        <v>136</v>
      </c>
      <c r="Z14" s="123">
        <v>100</v>
      </c>
      <c r="AA14" s="125"/>
      <c r="AB14" s="125" t="s">
        <v>647</v>
      </c>
      <c r="AC14" s="125" t="s">
        <v>648</v>
      </c>
      <c r="AD14" s="125" t="s">
        <v>94</v>
      </c>
      <c r="AE14" s="122"/>
      <c r="AF14" s="125"/>
      <c r="AG14" s="125"/>
      <c r="AH14" s="125"/>
      <c r="AI14" s="125" t="s">
        <v>649</v>
      </c>
      <c r="AJ14" s="123" t="s">
        <v>433</v>
      </c>
      <c r="AK14" s="125" t="s">
        <v>372</v>
      </c>
      <c r="AL14" s="122" t="s">
        <v>94</v>
      </c>
      <c r="AM14" s="125" t="s">
        <v>135</v>
      </c>
      <c r="AN14" s="122" t="s">
        <v>94</v>
      </c>
      <c r="AO14" s="125" t="s">
        <v>2</v>
      </c>
      <c r="AP14" s="123" t="s">
        <v>374</v>
      </c>
      <c r="AQ14" s="125" t="s">
        <v>650</v>
      </c>
      <c r="AR14" s="125" t="s">
        <v>84</v>
      </c>
      <c r="AS14" s="121"/>
      <c r="AT14" s="121" t="s">
        <v>94</v>
      </c>
      <c r="AU14" s="121" t="s">
        <v>94</v>
      </c>
      <c r="AV14" s="121" t="s">
        <v>94</v>
      </c>
      <c r="AW14" s="122" t="s">
        <v>651</v>
      </c>
      <c r="AX14" s="121">
        <v>10000</v>
      </c>
      <c r="AY14" s="123">
        <v>30</v>
      </c>
      <c r="AZ14" s="126">
        <v>45189</v>
      </c>
      <c r="BA14" s="126"/>
      <c r="BB14" s="125" t="s">
        <v>94</v>
      </c>
      <c r="BC14" s="121">
        <v>2.4500000000000002</v>
      </c>
      <c r="BD14" s="126">
        <v>45371</v>
      </c>
      <c r="BE14" s="125" t="s">
        <v>652</v>
      </c>
      <c r="BF14" s="126">
        <v>45189</v>
      </c>
      <c r="BG14" s="121" t="s">
        <v>646</v>
      </c>
      <c r="BH14" s="122" t="s">
        <v>94</v>
      </c>
      <c r="BI14" s="126">
        <v>45189</v>
      </c>
      <c r="BJ14" s="125" t="s">
        <v>94</v>
      </c>
      <c r="BK14" s="122" t="s">
        <v>653</v>
      </c>
      <c r="BL14" s="121" t="s">
        <v>654</v>
      </c>
      <c r="BM14" s="125" t="s">
        <v>137</v>
      </c>
      <c r="BN14" s="125" t="s">
        <v>137</v>
      </c>
      <c r="BO14" s="125" t="s">
        <v>138</v>
      </c>
      <c r="BP14" s="125" t="s">
        <v>139</v>
      </c>
      <c r="BQ14" s="125" t="s">
        <v>655</v>
      </c>
      <c r="BR14" s="122" t="s">
        <v>94</v>
      </c>
      <c r="BS14" s="125" t="s">
        <v>141</v>
      </c>
      <c r="BT14" s="122" t="s">
        <v>94</v>
      </c>
      <c r="BU14" s="121" t="s">
        <v>276</v>
      </c>
      <c r="BV14" s="123" t="s">
        <v>94</v>
      </c>
      <c r="BW14" s="123" t="s">
        <v>27</v>
      </c>
      <c r="BX14" s="127"/>
      <c r="BY14" s="123">
        <v>4.1100000000000003</v>
      </c>
      <c r="BZ14" s="123">
        <v>30</v>
      </c>
      <c r="CA14" s="123">
        <v>32.28</v>
      </c>
      <c r="CB14" s="123" t="s">
        <v>852</v>
      </c>
      <c r="CC14" s="123" t="s">
        <v>247</v>
      </c>
      <c r="CD14" s="123" t="s">
        <v>291</v>
      </c>
      <c r="CE14" s="127">
        <v>44860</v>
      </c>
      <c r="CF14" s="123" t="s">
        <v>7</v>
      </c>
      <c r="CG14" s="121" t="s">
        <v>755</v>
      </c>
      <c r="CH14" s="123"/>
      <c r="CI14" s="123" t="s">
        <v>85</v>
      </c>
      <c r="CJ14" s="123" t="s">
        <v>85</v>
      </c>
      <c r="CK14" s="123" t="s">
        <v>94</v>
      </c>
      <c r="CL14" s="121" t="s">
        <v>7</v>
      </c>
      <c r="CM14" s="121" t="s">
        <v>656</v>
      </c>
    </row>
    <row r="15" spans="1:91" ht="15" x14ac:dyDescent="0.25">
      <c r="A15" t="s">
        <v>318</v>
      </c>
      <c r="D15" s="121">
        <v>5</v>
      </c>
      <c r="E15" s="123" t="s">
        <v>641</v>
      </c>
      <c r="F15" s="123" t="s">
        <v>657</v>
      </c>
      <c r="G15" s="121" t="s">
        <v>658</v>
      </c>
      <c r="H15" s="124">
        <v>45182</v>
      </c>
      <c r="I15" s="123" t="s">
        <v>659</v>
      </c>
      <c r="J15" s="123" t="s">
        <v>135</v>
      </c>
      <c r="K15" s="123" t="s">
        <v>135</v>
      </c>
      <c r="L15" s="123" t="s">
        <v>135</v>
      </c>
      <c r="M15" s="121">
        <v>10</v>
      </c>
      <c r="N15" s="121" t="s">
        <v>108</v>
      </c>
      <c r="O15" s="123" t="s">
        <v>215</v>
      </c>
      <c r="P15" s="123">
        <v>2.5299999999999998</v>
      </c>
      <c r="Q15" s="121">
        <v>46285</v>
      </c>
      <c r="R15" s="123" t="s">
        <v>329</v>
      </c>
      <c r="S15" s="123" t="s">
        <v>660</v>
      </c>
      <c r="T15" s="121" t="s">
        <v>661</v>
      </c>
      <c r="U15" s="123">
        <v>37</v>
      </c>
      <c r="V15" s="123" t="s">
        <v>217</v>
      </c>
      <c r="W15" s="123" t="s">
        <v>258</v>
      </c>
      <c r="X15" s="121" t="s">
        <v>94</v>
      </c>
      <c r="Y15" s="123" t="s">
        <v>136</v>
      </c>
      <c r="Z15" s="123">
        <v>100</v>
      </c>
      <c r="AA15" s="123"/>
      <c r="AB15" s="123" t="s">
        <v>647</v>
      </c>
      <c r="AC15" s="123" t="s">
        <v>648</v>
      </c>
      <c r="AD15" s="123" t="s">
        <v>94</v>
      </c>
      <c r="AE15" s="121"/>
      <c r="AF15" s="123"/>
      <c r="AG15" s="123"/>
      <c r="AH15" s="123"/>
      <c r="AI15" s="123" t="s">
        <v>649</v>
      </c>
      <c r="AJ15" s="123" t="s">
        <v>433</v>
      </c>
      <c r="AK15" s="123" t="s">
        <v>372</v>
      </c>
      <c r="AL15" s="121" t="s">
        <v>94</v>
      </c>
      <c r="AM15" s="123" t="s">
        <v>135</v>
      </c>
      <c r="AN15" s="121" t="s">
        <v>94</v>
      </c>
      <c r="AO15" s="123" t="s">
        <v>2</v>
      </c>
      <c r="AP15" s="123" t="s">
        <v>268</v>
      </c>
      <c r="AQ15" s="123" t="s">
        <v>650</v>
      </c>
      <c r="AR15" s="123" t="s">
        <v>84</v>
      </c>
      <c r="AS15" s="121"/>
      <c r="AT15" s="121" t="s">
        <v>94</v>
      </c>
      <c r="AU15" s="121" t="s">
        <v>94</v>
      </c>
      <c r="AV15" s="121" t="s">
        <v>94</v>
      </c>
      <c r="AW15" s="121" t="s">
        <v>651</v>
      </c>
      <c r="AX15" s="121">
        <v>10000</v>
      </c>
      <c r="AY15" s="123">
        <v>10</v>
      </c>
      <c r="AZ15" s="121">
        <v>45189</v>
      </c>
      <c r="BA15" s="121"/>
      <c r="BB15" s="123" t="s">
        <v>94</v>
      </c>
      <c r="BC15" s="121">
        <v>2.5299999999999998</v>
      </c>
      <c r="BD15" s="121">
        <v>45371</v>
      </c>
      <c r="BE15" s="123" t="s">
        <v>652</v>
      </c>
      <c r="BF15" s="121">
        <v>45189</v>
      </c>
      <c r="BG15" s="121" t="s">
        <v>661</v>
      </c>
      <c r="BH15" s="121" t="s">
        <v>94</v>
      </c>
      <c r="BI15" s="121">
        <v>45189</v>
      </c>
      <c r="BJ15" s="123" t="s">
        <v>94</v>
      </c>
      <c r="BK15" s="121" t="s">
        <v>653</v>
      </c>
      <c r="BL15" s="121" t="s">
        <v>654</v>
      </c>
      <c r="BM15" s="123" t="s">
        <v>137</v>
      </c>
      <c r="BN15" s="123" t="s">
        <v>137</v>
      </c>
      <c r="BO15" s="123" t="s">
        <v>138</v>
      </c>
      <c r="BP15" s="123" t="s">
        <v>139</v>
      </c>
      <c r="BQ15" s="123" t="s">
        <v>655</v>
      </c>
      <c r="BR15" s="121" t="s">
        <v>94</v>
      </c>
      <c r="BS15" s="123" t="s">
        <v>141</v>
      </c>
      <c r="BT15" s="121" t="s">
        <v>94</v>
      </c>
      <c r="BU15" s="121" t="s">
        <v>276</v>
      </c>
      <c r="BV15" s="123" t="s">
        <v>94</v>
      </c>
      <c r="BW15" s="123" t="s">
        <v>27</v>
      </c>
      <c r="BX15" s="127"/>
      <c r="BY15" s="123">
        <v>1.37</v>
      </c>
      <c r="BZ15" s="123">
        <v>10</v>
      </c>
      <c r="CA15" s="123">
        <v>10.76</v>
      </c>
      <c r="CB15" s="123" t="s">
        <v>852</v>
      </c>
      <c r="CC15" s="123" t="s">
        <v>247</v>
      </c>
      <c r="CD15" s="123" t="s">
        <v>291</v>
      </c>
      <c r="CE15" s="127">
        <v>44860</v>
      </c>
      <c r="CF15" s="123" t="s">
        <v>7</v>
      </c>
      <c r="CG15" s="121"/>
      <c r="CH15" s="123"/>
      <c r="CI15" s="123" t="s">
        <v>85</v>
      </c>
      <c r="CJ15" s="123" t="s">
        <v>85</v>
      </c>
      <c r="CK15" s="123" t="s">
        <v>94</v>
      </c>
      <c r="CL15" s="121" t="s">
        <v>7</v>
      </c>
      <c r="CM15" s="121" t="s">
        <v>662</v>
      </c>
    </row>
    <row r="16" spans="1:91" ht="15" x14ac:dyDescent="0.25">
      <c r="A16" t="s">
        <v>425</v>
      </c>
      <c r="D16" s="121">
        <v>6</v>
      </c>
      <c r="E16" s="123" t="s">
        <v>641</v>
      </c>
      <c r="F16" s="123" t="s">
        <v>663</v>
      </c>
      <c r="G16" s="121" t="s">
        <v>664</v>
      </c>
      <c r="H16" s="124">
        <v>45182</v>
      </c>
      <c r="I16" s="123" t="s">
        <v>665</v>
      </c>
      <c r="J16" s="123" t="s">
        <v>135</v>
      </c>
      <c r="K16" s="123" t="s">
        <v>135</v>
      </c>
      <c r="L16" s="123" t="s">
        <v>135</v>
      </c>
      <c r="M16" s="121">
        <v>10</v>
      </c>
      <c r="N16" s="121" t="s">
        <v>108</v>
      </c>
      <c r="O16" s="123" t="s">
        <v>666</v>
      </c>
      <c r="P16" s="123">
        <v>2.7</v>
      </c>
      <c r="Q16" s="121">
        <v>47016</v>
      </c>
      <c r="R16" s="123" t="s">
        <v>329</v>
      </c>
      <c r="S16" s="123" t="s">
        <v>667</v>
      </c>
      <c r="T16" s="121" t="s">
        <v>668</v>
      </c>
      <c r="U16" s="123">
        <v>40</v>
      </c>
      <c r="V16" s="123" t="s">
        <v>217</v>
      </c>
      <c r="W16" s="123" t="s">
        <v>258</v>
      </c>
      <c r="X16" s="121" t="s">
        <v>94</v>
      </c>
      <c r="Y16" s="123" t="s">
        <v>136</v>
      </c>
      <c r="Z16" s="123">
        <v>100</v>
      </c>
      <c r="AA16" s="123"/>
      <c r="AB16" s="123" t="s">
        <v>647</v>
      </c>
      <c r="AC16" s="123" t="s">
        <v>648</v>
      </c>
      <c r="AD16" s="123" t="s">
        <v>94</v>
      </c>
      <c r="AE16" s="121"/>
      <c r="AF16" s="123"/>
      <c r="AG16" s="123"/>
      <c r="AH16" s="123"/>
      <c r="AI16" s="123" t="s">
        <v>649</v>
      </c>
      <c r="AJ16" s="123" t="s">
        <v>433</v>
      </c>
      <c r="AK16" s="123" t="s">
        <v>372</v>
      </c>
      <c r="AL16" s="121" t="s">
        <v>94</v>
      </c>
      <c r="AM16" s="123" t="s">
        <v>135</v>
      </c>
      <c r="AN16" s="121" t="s">
        <v>94</v>
      </c>
      <c r="AO16" s="123" t="s">
        <v>2</v>
      </c>
      <c r="AP16" s="123" t="s">
        <v>669</v>
      </c>
      <c r="AQ16" s="123" t="s">
        <v>650</v>
      </c>
      <c r="AR16" s="123" t="s">
        <v>84</v>
      </c>
      <c r="AS16" s="121"/>
      <c r="AT16" s="121" t="s">
        <v>94</v>
      </c>
      <c r="AU16" s="121" t="s">
        <v>94</v>
      </c>
      <c r="AV16" s="121" t="s">
        <v>94</v>
      </c>
      <c r="AW16" s="121" t="s">
        <v>651</v>
      </c>
      <c r="AX16" s="121">
        <v>10000</v>
      </c>
      <c r="AY16" s="123">
        <v>10</v>
      </c>
      <c r="AZ16" s="121">
        <v>45189</v>
      </c>
      <c r="BA16" s="121"/>
      <c r="BB16" s="123" t="s">
        <v>94</v>
      </c>
      <c r="BC16" s="121">
        <v>2.7</v>
      </c>
      <c r="BD16" s="121">
        <v>45371</v>
      </c>
      <c r="BE16" s="123" t="s">
        <v>652</v>
      </c>
      <c r="BF16" s="121">
        <v>45189</v>
      </c>
      <c r="BG16" s="121" t="s">
        <v>668</v>
      </c>
      <c r="BH16" s="121" t="s">
        <v>94</v>
      </c>
      <c r="BI16" s="121">
        <v>45189</v>
      </c>
      <c r="BJ16" s="123" t="s">
        <v>94</v>
      </c>
      <c r="BK16" s="121" t="s">
        <v>653</v>
      </c>
      <c r="BL16" s="121" t="s">
        <v>654</v>
      </c>
      <c r="BM16" s="123" t="s">
        <v>137</v>
      </c>
      <c r="BN16" s="123" t="s">
        <v>137</v>
      </c>
      <c r="BO16" s="123" t="s">
        <v>138</v>
      </c>
      <c r="BP16" s="123" t="s">
        <v>139</v>
      </c>
      <c r="BQ16" s="123" t="s">
        <v>655</v>
      </c>
      <c r="BR16" s="121" t="s">
        <v>94</v>
      </c>
      <c r="BS16" s="123" t="s">
        <v>141</v>
      </c>
      <c r="BT16" s="121" t="s">
        <v>94</v>
      </c>
      <c r="BU16" s="121" t="s">
        <v>276</v>
      </c>
      <c r="BV16" s="123" t="s">
        <v>94</v>
      </c>
      <c r="BW16" s="123" t="s">
        <v>27</v>
      </c>
      <c r="BX16" s="127"/>
      <c r="BY16" s="123">
        <v>1.37</v>
      </c>
      <c r="BZ16" s="123">
        <v>10</v>
      </c>
      <c r="CA16" s="123">
        <v>10.76</v>
      </c>
      <c r="CB16" s="123" t="s">
        <v>852</v>
      </c>
      <c r="CC16" s="123" t="s">
        <v>247</v>
      </c>
      <c r="CD16" s="123" t="s">
        <v>291</v>
      </c>
      <c r="CE16" s="127">
        <v>44860</v>
      </c>
      <c r="CF16" s="123" t="s">
        <v>7</v>
      </c>
      <c r="CG16" s="121" t="s">
        <v>763</v>
      </c>
      <c r="CH16" s="123"/>
      <c r="CI16" s="123" t="s">
        <v>85</v>
      </c>
      <c r="CJ16" s="123" t="s">
        <v>85</v>
      </c>
      <c r="CK16" s="123" t="s">
        <v>94</v>
      </c>
      <c r="CL16" s="121" t="s">
        <v>7</v>
      </c>
      <c r="CM16" s="121" t="s">
        <v>670</v>
      </c>
    </row>
    <row r="17" spans="1:91" ht="15" x14ac:dyDescent="0.25">
      <c r="A17" t="s">
        <v>878</v>
      </c>
      <c r="D17" s="121">
        <v>7</v>
      </c>
      <c r="E17" s="123" t="s">
        <v>671</v>
      </c>
      <c r="F17" s="123" t="s">
        <v>672</v>
      </c>
      <c r="G17" s="121" t="s">
        <v>673</v>
      </c>
      <c r="H17" s="124">
        <v>45182</v>
      </c>
      <c r="I17" s="123" t="s">
        <v>674</v>
      </c>
      <c r="J17" s="123" t="s">
        <v>135</v>
      </c>
      <c r="K17" s="123" t="s">
        <v>135</v>
      </c>
      <c r="L17" s="123" t="s">
        <v>135</v>
      </c>
      <c r="M17" s="121">
        <v>5.8</v>
      </c>
      <c r="N17" s="121" t="s">
        <v>108</v>
      </c>
      <c r="O17" s="123" t="s">
        <v>215</v>
      </c>
      <c r="P17" s="123">
        <v>3.7</v>
      </c>
      <c r="Q17" s="121">
        <v>46285</v>
      </c>
      <c r="R17" s="123" t="s">
        <v>329</v>
      </c>
      <c r="S17" s="123" t="s">
        <v>675</v>
      </c>
      <c r="T17" s="121" t="s">
        <v>676</v>
      </c>
      <c r="U17" s="123">
        <v>0</v>
      </c>
      <c r="V17" s="123" t="s">
        <v>217</v>
      </c>
      <c r="W17" s="123" t="s">
        <v>259</v>
      </c>
      <c r="X17" s="121" t="s">
        <v>677</v>
      </c>
      <c r="Y17" s="123" t="s">
        <v>136</v>
      </c>
      <c r="Z17" s="123">
        <v>100</v>
      </c>
      <c r="AA17" s="123"/>
      <c r="AB17" s="123" t="s">
        <v>299</v>
      </c>
      <c r="AC17" s="123" t="s">
        <v>678</v>
      </c>
      <c r="AD17" s="123" t="s">
        <v>94</v>
      </c>
      <c r="AE17" s="121"/>
      <c r="AF17" s="123"/>
      <c r="AG17" s="123"/>
      <c r="AH17" s="123"/>
      <c r="AI17" s="123" t="s">
        <v>679</v>
      </c>
      <c r="AJ17" s="123" t="s">
        <v>433</v>
      </c>
      <c r="AK17" s="123" t="s">
        <v>372</v>
      </c>
      <c r="AL17" s="121" t="s">
        <v>94</v>
      </c>
      <c r="AM17" s="123" t="s">
        <v>135</v>
      </c>
      <c r="AN17" s="121" t="s">
        <v>598</v>
      </c>
      <c r="AO17" s="123" t="s">
        <v>2</v>
      </c>
      <c r="AP17" s="123" t="s">
        <v>268</v>
      </c>
      <c r="AQ17" s="123" t="s">
        <v>134</v>
      </c>
      <c r="AR17" s="123" t="s">
        <v>84</v>
      </c>
      <c r="AS17" s="121"/>
      <c r="AT17" s="121" t="s">
        <v>94</v>
      </c>
      <c r="AU17" s="121" t="s">
        <v>94</v>
      </c>
      <c r="AV17" s="121" t="s">
        <v>680</v>
      </c>
      <c r="AW17" s="121" t="s">
        <v>681</v>
      </c>
      <c r="AX17" s="121">
        <v>10000</v>
      </c>
      <c r="AY17" s="123">
        <v>5.8</v>
      </c>
      <c r="AZ17" s="121">
        <v>45189</v>
      </c>
      <c r="BA17" s="121"/>
      <c r="BB17" s="123" t="s">
        <v>94</v>
      </c>
      <c r="BC17" s="121">
        <v>3.7</v>
      </c>
      <c r="BD17" s="121">
        <v>45219</v>
      </c>
      <c r="BE17" s="123" t="s">
        <v>671</v>
      </c>
      <c r="BF17" s="121">
        <v>45189</v>
      </c>
      <c r="BG17" s="121" t="s">
        <v>676</v>
      </c>
      <c r="BH17" s="121" t="s">
        <v>94</v>
      </c>
      <c r="BI17" s="121">
        <v>45189</v>
      </c>
      <c r="BJ17" s="123" t="s">
        <v>264</v>
      </c>
      <c r="BK17" s="121" t="s">
        <v>682</v>
      </c>
      <c r="BL17" s="121" t="s">
        <v>683</v>
      </c>
      <c r="BM17" s="123" t="s">
        <v>137</v>
      </c>
      <c r="BN17" s="123" t="s">
        <v>137</v>
      </c>
      <c r="BO17" s="123" t="s">
        <v>138</v>
      </c>
      <c r="BP17" s="123" t="s">
        <v>139</v>
      </c>
      <c r="BQ17" s="123" t="s">
        <v>140</v>
      </c>
      <c r="BR17" s="121" t="s">
        <v>94</v>
      </c>
      <c r="BS17" s="123" t="s">
        <v>141</v>
      </c>
      <c r="BT17" s="121" t="s">
        <v>94</v>
      </c>
      <c r="BU17" s="121" t="s">
        <v>276</v>
      </c>
      <c r="BV17" s="123" t="s">
        <v>94</v>
      </c>
      <c r="BW17" s="123" t="s">
        <v>10</v>
      </c>
      <c r="BX17" s="127"/>
      <c r="BY17" s="123">
        <v>0.79500000000000004</v>
      </c>
      <c r="BZ17" s="123">
        <v>5.8</v>
      </c>
      <c r="CA17" s="123">
        <v>6.2409999999999997</v>
      </c>
      <c r="CB17" s="123" t="s">
        <v>94</v>
      </c>
      <c r="CC17" s="123" t="s">
        <v>94</v>
      </c>
      <c r="CD17" s="123" t="s">
        <v>291</v>
      </c>
      <c r="CE17" s="127">
        <v>45182</v>
      </c>
      <c r="CF17" s="123" t="s">
        <v>7</v>
      </c>
      <c r="CG17" s="121"/>
      <c r="CH17" s="123"/>
      <c r="CI17" s="123" t="s">
        <v>85</v>
      </c>
      <c r="CJ17" s="123" t="s">
        <v>85</v>
      </c>
      <c r="CK17" s="123" t="s">
        <v>94</v>
      </c>
      <c r="CL17" s="121" t="s">
        <v>7</v>
      </c>
      <c r="CM17" s="121" t="s">
        <v>684</v>
      </c>
    </row>
    <row r="18" spans="1:91" ht="15" x14ac:dyDescent="0.25">
      <c r="B18"/>
      <c r="D18" s="121">
        <v>8</v>
      </c>
      <c r="E18" s="123" t="s">
        <v>699</v>
      </c>
      <c r="F18" s="123" t="s">
        <v>700</v>
      </c>
      <c r="G18" s="121" t="s">
        <v>701</v>
      </c>
      <c r="H18" s="124">
        <v>45181</v>
      </c>
      <c r="I18" s="123" t="s">
        <v>702</v>
      </c>
      <c r="J18" s="123" t="s">
        <v>135</v>
      </c>
      <c r="K18" s="123" t="s">
        <v>135</v>
      </c>
      <c r="L18" s="123" t="s">
        <v>135</v>
      </c>
      <c r="M18" s="121">
        <v>2.15</v>
      </c>
      <c r="N18" s="121" t="s">
        <v>108</v>
      </c>
      <c r="O18" s="123" t="s">
        <v>215</v>
      </c>
      <c r="P18" s="123">
        <v>5.8</v>
      </c>
      <c r="Q18" s="121">
        <v>46280</v>
      </c>
      <c r="R18" s="123" t="s">
        <v>295</v>
      </c>
      <c r="S18" s="123" t="s">
        <v>94</v>
      </c>
      <c r="T18" s="121" t="s">
        <v>94</v>
      </c>
      <c r="U18" s="123"/>
      <c r="V18" s="123" t="s">
        <v>217</v>
      </c>
      <c r="W18" s="123" t="s">
        <v>39</v>
      </c>
      <c r="X18" s="121" t="s">
        <v>94</v>
      </c>
      <c r="Y18" s="123" t="s">
        <v>136</v>
      </c>
      <c r="Z18" s="123">
        <v>100</v>
      </c>
      <c r="AA18" s="123"/>
      <c r="AB18" s="123" t="s">
        <v>703</v>
      </c>
      <c r="AC18" s="123" t="s">
        <v>704</v>
      </c>
      <c r="AD18" s="123" t="s">
        <v>94</v>
      </c>
      <c r="AE18" s="121"/>
      <c r="AF18" s="123"/>
      <c r="AG18" s="123"/>
      <c r="AH18" s="123"/>
      <c r="AI18" s="123" t="s">
        <v>705</v>
      </c>
      <c r="AJ18" s="123" t="s">
        <v>433</v>
      </c>
      <c r="AK18" s="123" t="s">
        <v>294</v>
      </c>
      <c r="AL18" s="121" t="s">
        <v>94</v>
      </c>
      <c r="AM18" s="123" t="s">
        <v>135</v>
      </c>
      <c r="AN18" s="121" t="s">
        <v>94</v>
      </c>
      <c r="AO18" s="123" t="s">
        <v>86</v>
      </c>
      <c r="AP18" s="123" t="s">
        <v>331</v>
      </c>
      <c r="AQ18" s="123" t="s">
        <v>706</v>
      </c>
      <c r="AR18" s="123" t="s">
        <v>84</v>
      </c>
      <c r="AS18" s="121"/>
      <c r="AT18" s="121" t="s">
        <v>94</v>
      </c>
      <c r="AU18" s="121" t="s">
        <v>94</v>
      </c>
      <c r="AV18" s="121" t="s">
        <v>94</v>
      </c>
      <c r="AW18" s="121" t="s">
        <v>707</v>
      </c>
      <c r="AX18" s="121">
        <v>10000</v>
      </c>
      <c r="AY18" s="123">
        <v>2.15</v>
      </c>
      <c r="AZ18" s="121">
        <v>45184</v>
      </c>
      <c r="BA18" s="121"/>
      <c r="BB18" s="123" t="s">
        <v>94</v>
      </c>
      <c r="BC18" s="121">
        <v>5.8</v>
      </c>
      <c r="BD18" s="121">
        <v>45366</v>
      </c>
      <c r="BE18" s="123" t="s">
        <v>699</v>
      </c>
      <c r="BF18" s="121">
        <v>45184</v>
      </c>
      <c r="BG18" s="121" t="s">
        <v>94</v>
      </c>
      <c r="BH18" s="121" t="s">
        <v>708</v>
      </c>
      <c r="BI18" s="121">
        <v>45184</v>
      </c>
      <c r="BJ18" s="123" t="s">
        <v>94</v>
      </c>
      <c r="BK18" s="121" t="s">
        <v>709</v>
      </c>
      <c r="BL18" s="121" t="s">
        <v>710</v>
      </c>
      <c r="BM18" s="123" t="s">
        <v>137</v>
      </c>
      <c r="BN18" s="123" t="s">
        <v>137</v>
      </c>
      <c r="BO18" s="123" t="s">
        <v>138</v>
      </c>
      <c r="BP18" s="123" t="s">
        <v>139</v>
      </c>
      <c r="BQ18" s="123" t="s">
        <v>140</v>
      </c>
      <c r="BR18" s="121" t="s">
        <v>94</v>
      </c>
      <c r="BS18" s="123" t="s">
        <v>141</v>
      </c>
      <c r="BT18" s="121" t="s">
        <v>94</v>
      </c>
      <c r="BU18" s="121" t="s">
        <v>276</v>
      </c>
      <c r="BV18" s="123" t="s">
        <v>94</v>
      </c>
      <c r="BW18" s="123" t="s">
        <v>18</v>
      </c>
      <c r="BX18" s="127"/>
      <c r="BY18" s="123">
        <v>0.29499999999999998</v>
      </c>
      <c r="BZ18" s="123">
        <v>2.15</v>
      </c>
      <c r="CA18" s="123">
        <v>2.3050000000000002</v>
      </c>
      <c r="CB18" s="123" t="s">
        <v>94</v>
      </c>
      <c r="CC18" s="123" t="s">
        <v>94</v>
      </c>
      <c r="CD18" s="123" t="s">
        <v>291</v>
      </c>
      <c r="CE18" s="127">
        <v>45181</v>
      </c>
      <c r="CF18" s="123" t="s">
        <v>7</v>
      </c>
      <c r="CG18" s="121"/>
      <c r="CH18" s="123"/>
      <c r="CI18" s="123" t="s">
        <v>85</v>
      </c>
      <c r="CJ18" s="123" t="s">
        <v>770</v>
      </c>
      <c r="CK18" s="123" t="s">
        <v>94</v>
      </c>
      <c r="CL18" s="121" t="s">
        <v>7</v>
      </c>
      <c r="CM18" s="121" t="s">
        <v>711</v>
      </c>
    </row>
    <row r="19" spans="1:91" ht="15" x14ac:dyDescent="0.25">
      <c r="A19" t="s">
        <v>317</v>
      </c>
      <c r="D19" s="121">
        <v>9</v>
      </c>
      <c r="E19" s="123" t="s">
        <v>428</v>
      </c>
      <c r="F19" s="123" t="s">
        <v>712</v>
      </c>
      <c r="G19" s="121" t="s">
        <v>713</v>
      </c>
      <c r="H19" s="124">
        <v>45180</v>
      </c>
      <c r="I19" s="123" t="s">
        <v>714</v>
      </c>
      <c r="J19" s="123" t="s">
        <v>429</v>
      </c>
      <c r="K19" s="123" t="s">
        <v>430</v>
      </c>
      <c r="L19" s="123" t="s">
        <v>429</v>
      </c>
      <c r="M19" s="121">
        <v>20</v>
      </c>
      <c r="N19" s="121" t="s">
        <v>108</v>
      </c>
      <c r="O19" s="123" t="s">
        <v>215</v>
      </c>
      <c r="P19" s="123">
        <v>2.98</v>
      </c>
      <c r="Q19" s="121">
        <v>46283</v>
      </c>
      <c r="R19" s="123" t="s">
        <v>715</v>
      </c>
      <c r="S19" s="123" t="s">
        <v>716</v>
      </c>
      <c r="T19" s="121" t="s">
        <v>717</v>
      </c>
      <c r="U19" s="123">
        <v>32</v>
      </c>
      <c r="V19" s="123" t="s">
        <v>217</v>
      </c>
      <c r="W19" s="123" t="s">
        <v>258</v>
      </c>
      <c r="X19" s="121" t="s">
        <v>94</v>
      </c>
      <c r="Y19" s="123" t="s">
        <v>136</v>
      </c>
      <c r="Z19" s="123">
        <v>100</v>
      </c>
      <c r="AA19" s="123"/>
      <c r="AB19" s="123" t="s">
        <v>293</v>
      </c>
      <c r="AC19" s="123" t="s">
        <v>432</v>
      </c>
      <c r="AD19" s="123" t="s">
        <v>94</v>
      </c>
      <c r="AE19" s="121"/>
      <c r="AF19" s="123"/>
      <c r="AG19" s="123"/>
      <c r="AH19" s="123"/>
      <c r="AI19" s="123" t="s">
        <v>94</v>
      </c>
      <c r="AJ19" s="123" t="s">
        <v>433</v>
      </c>
      <c r="AK19" s="123" t="s">
        <v>434</v>
      </c>
      <c r="AL19" s="121" t="s">
        <v>94</v>
      </c>
      <c r="AM19" s="123" t="s">
        <v>429</v>
      </c>
      <c r="AN19" s="121" t="s">
        <v>263</v>
      </c>
      <c r="AO19" s="123" t="s">
        <v>86</v>
      </c>
      <c r="AP19" s="123" t="s">
        <v>268</v>
      </c>
      <c r="AQ19" s="123" t="s">
        <v>435</v>
      </c>
      <c r="AR19" s="123" t="s">
        <v>162</v>
      </c>
      <c r="AS19" s="121"/>
      <c r="AT19" s="121" t="s">
        <v>94</v>
      </c>
      <c r="AU19" s="121" t="s">
        <v>94</v>
      </c>
      <c r="AV19" s="121" t="s">
        <v>94</v>
      </c>
      <c r="AW19" s="121" t="s">
        <v>436</v>
      </c>
      <c r="AX19" s="121">
        <v>10000</v>
      </c>
      <c r="AY19" s="123">
        <v>20</v>
      </c>
      <c r="AZ19" s="121">
        <v>45187</v>
      </c>
      <c r="BA19" s="121"/>
      <c r="BB19" s="123" t="s">
        <v>94</v>
      </c>
      <c r="BC19" s="121">
        <v>2.98</v>
      </c>
      <c r="BD19" s="121">
        <v>45369</v>
      </c>
      <c r="BE19" s="123" t="s">
        <v>718</v>
      </c>
      <c r="BF19" s="121">
        <v>45187</v>
      </c>
      <c r="BG19" s="121" t="s">
        <v>717</v>
      </c>
      <c r="BH19" s="121" t="s">
        <v>94</v>
      </c>
      <c r="BI19" s="121">
        <v>45187</v>
      </c>
      <c r="BJ19" s="123" t="s">
        <v>94</v>
      </c>
      <c r="BK19" s="121" t="s">
        <v>719</v>
      </c>
      <c r="BL19" s="121" t="s">
        <v>719</v>
      </c>
      <c r="BM19" s="123" t="s">
        <v>137</v>
      </c>
      <c r="BN19" s="123" t="s">
        <v>137</v>
      </c>
      <c r="BO19" s="123" t="s">
        <v>138</v>
      </c>
      <c r="BP19" s="123" t="s">
        <v>139</v>
      </c>
      <c r="BQ19" s="123" t="s">
        <v>140</v>
      </c>
      <c r="BR19" s="121" t="s">
        <v>94</v>
      </c>
      <c r="BS19" s="123" t="s">
        <v>141</v>
      </c>
      <c r="BT19" s="121" t="s">
        <v>94</v>
      </c>
      <c r="BU19" s="121" t="s">
        <v>276</v>
      </c>
      <c r="BV19" s="123" t="s">
        <v>94</v>
      </c>
      <c r="BW19" s="123" t="s">
        <v>12</v>
      </c>
      <c r="BX19" s="127"/>
      <c r="BY19" s="123">
        <v>2.74</v>
      </c>
      <c r="BZ19" s="123">
        <v>20</v>
      </c>
      <c r="CA19" s="123">
        <v>21.44</v>
      </c>
      <c r="CB19" s="123" t="s">
        <v>497</v>
      </c>
      <c r="CC19" s="123" t="s">
        <v>324</v>
      </c>
      <c r="CD19" s="123" t="s">
        <v>291</v>
      </c>
      <c r="CE19" s="127">
        <v>31615</v>
      </c>
      <c r="CF19" s="123" t="s">
        <v>7</v>
      </c>
      <c r="CG19" s="121"/>
      <c r="CH19" s="123"/>
      <c r="CI19" s="123" t="s">
        <v>793</v>
      </c>
      <c r="CJ19" s="123" t="s">
        <v>85</v>
      </c>
      <c r="CK19" s="123" t="s">
        <v>94</v>
      </c>
      <c r="CL19" s="121" t="s">
        <v>7</v>
      </c>
      <c r="CM19" s="121" t="s">
        <v>720</v>
      </c>
    </row>
    <row r="20" spans="1:91" ht="15" x14ac:dyDescent="0.25">
      <c r="A20" t="s">
        <v>893</v>
      </c>
      <c r="D20" s="121">
        <v>10</v>
      </c>
      <c r="E20" s="123" t="s">
        <v>428</v>
      </c>
      <c r="F20" s="123" t="s">
        <v>721</v>
      </c>
      <c r="G20" s="121" t="s">
        <v>722</v>
      </c>
      <c r="H20" s="124">
        <v>45180</v>
      </c>
      <c r="I20" s="123" t="s">
        <v>723</v>
      </c>
      <c r="J20" s="123" t="s">
        <v>429</v>
      </c>
      <c r="K20" s="123" t="s">
        <v>430</v>
      </c>
      <c r="L20" s="123" t="s">
        <v>429</v>
      </c>
      <c r="M20" s="121">
        <v>5</v>
      </c>
      <c r="N20" s="121" t="s">
        <v>87</v>
      </c>
      <c r="O20" s="123" t="s">
        <v>215</v>
      </c>
      <c r="P20" s="123">
        <v>5.9340000000000002</v>
      </c>
      <c r="Q20" s="121">
        <v>46283</v>
      </c>
      <c r="R20" s="123" t="s">
        <v>715</v>
      </c>
      <c r="S20" s="123" t="s">
        <v>431</v>
      </c>
      <c r="T20" s="121" t="s">
        <v>724</v>
      </c>
      <c r="U20" s="123">
        <v>45</v>
      </c>
      <c r="V20" s="123" t="s">
        <v>217</v>
      </c>
      <c r="W20" s="123" t="s">
        <v>258</v>
      </c>
      <c r="X20" s="121" t="s">
        <v>94</v>
      </c>
      <c r="Y20" s="123" t="s">
        <v>136</v>
      </c>
      <c r="Z20" s="123">
        <v>100</v>
      </c>
      <c r="AA20" s="123"/>
      <c r="AB20" s="123" t="s">
        <v>293</v>
      </c>
      <c r="AC20" s="123" t="s">
        <v>432</v>
      </c>
      <c r="AD20" s="123" t="s">
        <v>94</v>
      </c>
      <c r="AE20" s="121"/>
      <c r="AF20" s="123"/>
      <c r="AG20" s="123"/>
      <c r="AH20" s="123"/>
      <c r="AI20" s="123" t="s">
        <v>725</v>
      </c>
      <c r="AJ20" s="123" t="s">
        <v>433</v>
      </c>
      <c r="AK20" s="123" t="s">
        <v>434</v>
      </c>
      <c r="AL20" s="121" t="s">
        <v>94</v>
      </c>
      <c r="AM20" s="123" t="s">
        <v>429</v>
      </c>
      <c r="AN20" s="121" t="s">
        <v>263</v>
      </c>
      <c r="AO20" s="123" t="s">
        <v>86</v>
      </c>
      <c r="AP20" s="123" t="s">
        <v>268</v>
      </c>
      <c r="AQ20" s="123" t="s">
        <v>435</v>
      </c>
      <c r="AR20" s="123" t="s">
        <v>162</v>
      </c>
      <c r="AS20" s="121"/>
      <c r="AT20" s="121" t="s">
        <v>94</v>
      </c>
      <c r="AU20" s="121" t="s">
        <v>94</v>
      </c>
      <c r="AV20" s="121" t="s">
        <v>94</v>
      </c>
      <c r="AW20" s="121" t="s">
        <v>436</v>
      </c>
      <c r="AX20" s="121">
        <v>1000</v>
      </c>
      <c r="AY20" s="123">
        <v>5</v>
      </c>
      <c r="AZ20" s="121">
        <v>45187</v>
      </c>
      <c r="BA20" s="121"/>
      <c r="BB20" s="123" t="s">
        <v>94</v>
      </c>
      <c r="BC20" s="121">
        <v>5.9340000000000002</v>
      </c>
      <c r="BD20" s="121">
        <v>45278</v>
      </c>
      <c r="BE20" s="123" t="s">
        <v>726</v>
      </c>
      <c r="BF20" s="121">
        <v>45187</v>
      </c>
      <c r="BG20" s="121" t="s">
        <v>727</v>
      </c>
      <c r="BH20" s="121" t="s">
        <v>94</v>
      </c>
      <c r="BI20" s="121">
        <v>45187</v>
      </c>
      <c r="BJ20" s="123" t="s">
        <v>94</v>
      </c>
      <c r="BK20" s="121" t="s">
        <v>94</v>
      </c>
      <c r="BL20" s="121" t="s">
        <v>728</v>
      </c>
      <c r="BM20" s="123" t="s">
        <v>137</v>
      </c>
      <c r="BN20" s="123" t="s">
        <v>137</v>
      </c>
      <c r="BO20" s="123" t="s">
        <v>437</v>
      </c>
      <c r="BP20" s="123" t="s">
        <v>139</v>
      </c>
      <c r="BQ20" s="123" t="s">
        <v>140</v>
      </c>
      <c r="BR20" s="121" t="s">
        <v>94</v>
      </c>
      <c r="BS20" s="123" t="s">
        <v>296</v>
      </c>
      <c r="BT20" s="121" t="s">
        <v>94</v>
      </c>
      <c r="BU20" s="121" t="s">
        <v>276</v>
      </c>
      <c r="BV20" s="123" t="s">
        <v>94</v>
      </c>
      <c r="BW20" s="123" t="s">
        <v>12</v>
      </c>
      <c r="BX20" s="127"/>
      <c r="BY20" s="123">
        <v>5</v>
      </c>
      <c r="BZ20" s="123">
        <v>36.520000000000003</v>
      </c>
      <c r="CA20" s="123">
        <v>39.164999999999999</v>
      </c>
      <c r="CB20" s="123" t="s">
        <v>497</v>
      </c>
      <c r="CC20" s="123" t="s">
        <v>324</v>
      </c>
      <c r="CD20" s="123" t="s">
        <v>291</v>
      </c>
      <c r="CE20" s="127">
        <v>31615</v>
      </c>
      <c r="CF20" s="123" t="s">
        <v>7</v>
      </c>
      <c r="CG20" s="121"/>
      <c r="CH20" s="123">
        <v>60</v>
      </c>
      <c r="CI20" s="123" t="s">
        <v>793</v>
      </c>
      <c r="CJ20" s="123" t="s">
        <v>85</v>
      </c>
      <c r="CK20" s="123" t="s">
        <v>94</v>
      </c>
      <c r="CL20" s="121" t="s">
        <v>7</v>
      </c>
      <c r="CM20" s="121" t="s">
        <v>729</v>
      </c>
    </row>
    <row r="21" spans="1:91" ht="15" x14ac:dyDescent="0.25">
      <c r="A21" t="s">
        <v>405</v>
      </c>
      <c r="D21" s="121">
        <v>11</v>
      </c>
      <c r="E21" s="123" t="s">
        <v>730</v>
      </c>
      <c r="F21" s="123" t="s">
        <v>731</v>
      </c>
      <c r="G21" s="121" t="s">
        <v>732</v>
      </c>
      <c r="H21" s="124">
        <v>45180</v>
      </c>
      <c r="I21" s="123" t="s">
        <v>733</v>
      </c>
      <c r="J21" s="123" t="s">
        <v>734</v>
      </c>
      <c r="K21" s="123" t="s">
        <v>735</v>
      </c>
      <c r="L21" s="123" t="s">
        <v>135</v>
      </c>
      <c r="M21" s="121">
        <v>1.4</v>
      </c>
      <c r="N21" s="121" t="s">
        <v>87</v>
      </c>
      <c r="O21" s="123" t="s">
        <v>292</v>
      </c>
      <c r="P21" s="123">
        <v>7.5</v>
      </c>
      <c r="Q21" s="121">
        <v>45547</v>
      </c>
      <c r="R21" s="123" t="s">
        <v>329</v>
      </c>
      <c r="S21" s="123" t="s">
        <v>736</v>
      </c>
      <c r="T21" s="121" t="s">
        <v>737</v>
      </c>
      <c r="U21" s="123">
        <v>10</v>
      </c>
      <c r="V21" s="123" t="s">
        <v>217</v>
      </c>
      <c r="W21" s="123" t="s">
        <v>39</v>
      </c>
      <c r="X21" s="121" t="s">
        <v>94</v>
      </c>
      <c r="Y21" s="123" t="s">
        <v>136</v>
      </c>
      <c r="Z21" s="123">
        <v>100</v>
      </c>
      <c r="AA21" s="123"/>
      <c r="AB21" s="123" t="s">
        <v>738</v>
      </c>
      <c r="AC21" s="123" t="s">
        <v>739</v>
      </c>
      <c r="AD21" s="123" t="s">
        <v>94</v>
      </c>
      <c r="AE21" s="121"/>
      <c r="AF21" s="123"/>
      <c r="AG21" s="123"/>
      <c r="AH21" s="123"/>
      <c r="AI21" s="123" t="s">
        <v>740</v>
      </c>
      <c r="AJ21" s="123" t="s">
        <v>433</v>
      </c>
      <c r="AK21" s="123" t="s">
        <v>741</v>
      </c>
      <c r="AL21" s="121" t="s">
        <v>94</v>
      </c>
      <c r="AM21" s="123" t="s">
        <v>135</v>
      </c>
      <c r="AN21" s="121" t="s">
        <v>263</v>
      </c>
      <c r="AO21" s="123" t="s">
        <v>1</v>
      </c>
      <c r="AP21" s="123" t="s">
        <v>742</v>
      </c>
      <c r="AQ21" s="123" t="s">
        <v>134</v>
      </c>
      <c r="AR21" s="123" t="s">
        <v>162</v>
      </c>
      <c r="AS21" s="121"/>
      <c r="AT21" s="121" t="s">
        <v>94</v>
      </c>
      <c r="AU21" s="121" t="s">
        <v>94</v>
      </c>
      <c r="AV21" s="121" t="s">
        <v>743</v>
      </c>
      <c r="AW21" s="121" t="s">
        <v>744</v>
      </c>
      <c r="AX21" s="121">
        <v>1000</v>
      </c>
      <c r="AY21" s="123">
        <v>1.4</v>
      </c>
      <c r="AZ21" s="121">
        <v>45183</v>
      </c>
      <c r="BA21" s="121"/>
      <c r="BB21" s="123" t="s">
        <v>94</v>
      </c>
      <c r="BC21" s="121">
        <v>7.5</v>
      </c>
      <c r="BD21" s="121">
        <v>45363</v>
      </c>
      <c r="BE21" s="123" t="s">
        <v>745</v>
      </c>
      <c r="BF21" s="121">
        <v>45183</v>
      </c>
      <c r="BG21" s="121" t="s">
        <v>737</v>
      </c>
      <c r="BH21" s="121" t="s">
        <v>730</v>
      </c>
      <c r="BI21" s="121">
        <v>45183</v>
      </c>
      <c r="BJ21" s="123" t="s">
        <v>746</v>
      </c>
      <c r="BK21" s="121" t="s">
        <v>747</v>
      </c>
      <c r="BL21" s="121" t="s">
        <v>748</v>
      </c>
      <c r="BM21" s="123" t="s">
        <v>137</v>
      </c>
      <c r="BN21" s="123" t="s">
        <v>137</v>
      </c>
      <c r="BO21" s="123" t="s">
        <v>138</v>
      </c>
      <c r="BP21" s="123" t="s">
        <v>139</v>
      </c>
      <c r="BQ21" s="123" t="s">
        <v>140</v>
      </c>
      <c r="BR21" s="121" t="s">
        <v>94</v>
      </c>
      <c r="BS21" s="123" t="s">
        <v>749</v>
      </c>
      <c r="BT21" s="121" t="s">
        <v>94</v>
      </c>
      <c r="BU21" s="121" t="s">
        <v>276</v>
      </c>
      <c r="BV21" s="123" t="s">
        <v>94</v>
      </c>
      <c r="BW21" s="123" t="s">
        <v>28</v>
      </c>
      <c r="BX21" s="127"/>
      <c r="BY21" s="123">
        <v>1.4</v>
      </c>
      <c r="BZ21" s="123">
        <v>10.226000000000001</v>
      </c>
      <c r="CA21" s="123">
        <v>10.965999999999999</v>
      </c>
      <c r="CB21" s="123" t="s">
        <v>853</v>
      </c>
      <c r="CC21" s="123" t="s">
        <v>325</v>
      </c>
      <c r="CD21" s="123" t="s">
        <v>291</v>
      </c>
      <c r="CE21" s="127">
        <v>42494</v>
      </c>
      <c r="CF21" s="123" t="s">
        <v>7</v>
      </c>
      <c r="CG21" s="121"/>
      <c r="CH21" s="123"/>
      <c r="CI21" s="123" t="s">
        <v>85</v>
      </c>
      <c r="CJ21" s="123" t="s">
        <v>800</v>
      </c>
      <c r="CK21" s="123" t="s">
        <v>94</v>
      </c>
      <c r="CL21" s="121" t="s">
        <v>7</v>
      </c>
      <c r="CM21" s="121" t="s">
        <v>750</v>
      </c>
    </row>
    <row r="22" spans="1:91" ht="15" x14ac:dyDescent="0.25">
      <c r="D22" s="121">
        <v>12</v>
      </c>
      <c r="E22" s="123" t="s">
        <v>579</v>
      </c>
      <c r="F22" s="123" t="s">
        <v>94</v>
      </c>
      <c r="G22" s="121" t="s">
        <v>801</v>
      </c>
      <c r="H22" s="124">
        <v>45182</v>
      </c>
      <c r="I22" s="123" t="s">
        <v>579</v>
      </c>
      <c r="J22" s="123" t="s">
        <v>94</v>
      </c>
      <c r="K22" s="123" t="s">
        <v>94</v>
      </c>
      <c r="L22" s="123" t="s">
        <v>94</v>
      </c>
      <c r="M22" s="121">
        <v>1.65</v>
      </c>
      <c r="N22" s="121" t="s">
        <v>108</v>
      </c>
      <c r="O22" s="123" t="s">
        <v>94</v>
      </c>
      <c r="P22" s="123">
        <v>3</v>
      </c>
      <c r="Q22" s="121">
        <v>45280</v>
      </c>
      <c r="R22" s="123" t="s">
        <v>94</v>
      </c>
      <c r="S22" s="123" t="s">
        <v>874</v>
      </c>
      <c r="T22" s="121" t="s">
        <v>874</v>
      </c>
      <c r="U22" s="123"/>
      <c r="V22" s="123"/>
      <c r="W22" s="123" t="s">
        <v>874</v>
      </c>
      <c r="X22" s="121" t="s">
        <v>94</v>
      </c>
      <c r="Y22" s="123" t="s">
        <v>94</v>
      </c>
      <c r="Z22" s="123"/>
      <c r="AA22" s="123"/>
      <c r="AB22" s="123" t="s">
        <v>94</v>
      </c>
      <c r="AC22" s="123" t="s">
        <v>94</v>
      </c>
      <c r="AD22" s="123" t="s">
        <v>94</v>
      </c>
      <c r="AE22" s="121"/>
      <c r="AF22" s="123"/>
      <c r="AG22" s="123"/>
      <c r="AH22" s="123"/>
      <c r="AI22" s="123" t="s">
        <v>94</v>
      </c>
      <c r="AJ22" s="123"/>
      <c r="AK22" s="123" t="s">
        <v>94</v>
      </c>
      <c r="AL22" s="121" t="s">
        <v>874</v>
      </c>
      <c r="AM22" s="123" t="s">
        <v>94</v>
      </c>
      <c r="AN22" s="121" t="s">
        <v>94</v>
      </c>
      <c r="AO22" s="123" t="s">
        <v>94</v>
      </c>
      <c r="AP22" s="123"/>
      <c r="AQ22" s="123" t="s">
        <v>94</v>
      </c>
      <c r="AR22" s="123" t="s">
        <v>94</v>
      </c>
      <c r="AS22" s="121"/>
      <c r="AT22" s="121" t="s">
        <v>94</v>
      </c>
      <c r="AU22" s="121" t="s">
        <v>94</v>
      </c>
      <c r="AV22" s="121" t="s">
        <v>94</v>
      </c>
      <c r="AW22" s="121" t="s">
        <v>94</v>
      </c>
      <c r="AX22" s="121"/>
      <c r="AY22" s="123"/>
      <c r="AZ22" s="121">
        <v>45189</v>
      </c>
      <c r="BA22" s="121"/>
      <c r="BB22" s="123" t="s">
        <v>94</v>
      </c>
      <c r="BC22" s="121"/>
      <c r="BD22" s="121"/>
      <c r="BE22" s="123" t="s">
        <v>880</v>
      </c>
      <c r="BF22" s="121"/>
      <c r="BG22" s="121" t="s">
        <v>94</v>
      </c>
      <c r="BH22" s="121" t="s">
        <v>7</v>
      </c>
      <c r="BI22" s="121"/>
      <c r="BJ22" s="123" t="s">
        <v>94</v>
      </c>
      <c r="BK22" s="121" t="s">
        <v>94</v>
      </c>
      <c r="BL22" s="121" t="s">
        <v>94</v>
      </c>
      <c r="BM22" s="123" t="s">
        <v>94</v>
      </c>
      <c r="BN22" s="123" t="s">
        <v>94</v>
      </c>
      <c r="BO22" s="123" t="s">
        <v>94</v>
      </c>
      <c r="BP22" s="123" t="s">
        <v>94</v>
      </c>
      <c r="BQ22" s="123" t="s">
        <v>94</v>
      </c>
      <c r="BR22" s="121" t="s">
        <v>94</v>
      </c>
      <c r="BS22" s="123" t="s">
        <v>94</v>
      </c>
      <c r="BT22" s="121" t="s">
        <v>94</v>
      </c>
      <c r="BU22" s="121" t="s">
        <v>879</v>
      </c>
      <c r="BV22" s="123" t="s">
        <v>94</v>
      </c>
      <c r="BW22" s="123" t="s">
        <v>94</v>
      </c>
      <c r="BX22" s="127"/>
      <c r="BY22" s="123">
        <v>0.22600000000000001</v>
      </c>
      <c r="BZ22" s="123">
        <v>1.65</v>
      </c>
      <c r="CA22" s="123">
        <v>1.7749999999999999</v>
      </c>
      <c r="CB22" s="123" t="s">
        <v>504</v>
      </c>
      <c r="CC22" s="123" t="s">
        <v>324</v>
      </c>
      <c r="CD22" s="123" t="s">
        <v>291</v>
      </c>
      <c r="CE22" s="127">
        <v>35200</v>
      </c>
      <c r="CF22" s="123" t="s">
        <v>7</v>
      </c>
      <c r="CG22" s="121"/>
      <c r="CH22" s="123"/>
      <c r="CI22" s="123" t="s">
        <v>85</v>
      </c>
      <c r="CJ22" s="123" t="s">
        <v>85</v>
      </c>
      <c r="CK22" s="123" t="s">
        <v>94</v>
      </c>
      <c r="CL22" s="121" t="s">
        <v>7</v>
      </c>
      <c r="CM22" s="121" t="s">
        <v>803</v>
      </c>
    </row>
    <row r="23" spans="1:91" ht="15" x14ac:dyDescent="0.25">
      <c r="D23" s="121">
        <v>13</v>
      </c>
      <c r="E23" s="123" t="s">
        <v>881</v>
      </c>
      <c r="F23" s="123" t="s">
        <v>94</v>
      </c>
      <c r="G23" s="121" t="s">
        <v>804</v>
      </c>
      <c r="H23" s="124">
        <v>45181</v>
      </c>
      <c r="I23" s="123" t="s">
        <v>881</v>
      </c>
      <c r="J23" s="123" t="s">
        <v>94</v>
      </c>
      <c r="K23" s="123" t="s">
        <v>94</v>
      </c>
      <c r="L23" s="123" t="s">
        <v>94</v>
      </c>
      <c r="M23" s="121">
        <v>2</v>
      </c>
      <c r="N23" s="121" t="s">
        <v>108</v>
      </c>
      <c r="O23" s="123" t="s">
        <v>94</v>
      </c>
      <c r="P23" s="123">
        <v>4.2</v>
      </c>
      <c r="Q23" s="121">
        <v>45548</v>
      </c>
      <c r="R23" s="123" t="s">
        <v>94</v>
      </c>
      <c r="S23" s="123" t="s">
        <v>874</v>
      </c>
      <c r="T23" s="121" t="s">
        <v>874</v>
      </c>
      <c r="U23" s="123"/>
      <c r="V23" s="123"/>
      <c r="W23" s="123" t="s">
        <v>874</v>
      </c>
      <c r="X23" s="121" t="s">
        <v>94</v>
      </c>
      <c r="Y23" s="123" t="s">
        <v>94</v>
      </c>
      <c r="Z23" s="123"/>
      <c r="AA23" s="123"/>
      <c r="AB23" s="123" t="s">
        <v>94</v>
      </c>
      <c r="AC23" s="123" t="s">
        <v>94</v>
      </c>
      <c r="AD23" s="123" t="s">
        <v>94</v>
      </c>
      <c r="AE23" s="121"/>
      <c r="AF23" s="123"/>
      <c r="AG23" s="123"/>
      <c r="AH23" s="123"/>
      <c r="AI23" s="123" t="s">
        <v>94</v>
      </c>
      <c r="AJ23" s="123"/>
      <c r="AK23" s="123" t="s">
        <v>94</v>
      </c>
      <c r="AL23" s="121" t="s">
        <v>874</v>
      </c>
      <c r="AM23" s="123" t="s">
        <v>94</v>
      </c>
      <c r="AN23" s="121" t="s">
        <v>94</v>
      </c>
      <c r="AO23" s="123" t="s">
        <v>94</v>
      </c>
      <c r="AP23" s="123"/>
      <c r="AQ23" s="123" t="s">
        <v>94</v>
      </c>
      <c r="AR23" s="123" t="s">
        <v>94</v>
      </c>
      <c r="AS23" s="121"/>
      <c r="AT23" s="121" t="s">
        <v>94</v>
      </c>
      <c r="AU23" s="121" t="s">
        <v>94</v>
      </c>
      <c r="AV23" s="121" t="s">
        <v>94</v>
      </c>
      <c r="AW23" s="121" t="s">
        <v>94</v>
      </c>
      <c r="AX23" s="121"/>
      <c r="AY23" s="123"/>
      <c r="AZ23" s="121">
        <v>45188</v>
      </c>
      <c r="BA23" s="121"/>
      <c r="BB23" s="123" t="s">
        <v>94</v>
      </c>
      <c r="BC23" s="121"/>
      <c r="BD23" s="121"/>
      <c r="BE23" s="123" t="s">
        <v>882</v>
      </c>
      <c r="BF23" s="121"/>
      <c r="BG23" s="121" t="s">
        <v>94</v>
      </c>
      <c r="BH23" s="121" t="s">
        <v>7</v>
      </c>
      <c r="BI23" s="121"/>
      <c r="BJ23" s="123" t="s">
        <v>94</v>
      </c>
      <c r="BK23" s="121" t="s">
        <v>94</v>
      </c>
      <c r="BL23" s="121" t="s">
        <v>94</v>
      </c>
      <c r="BM23" s="123" t="s">
        <v>94</v>
      </c>
      <c r="BN23" s="123" t="s">
        <v>94</v>
      </c>
      <c r="BO23" s="123" t="s">
        <v>94</v>
      </c>
      <c r="BP23" s="123" t="s">
        <v>94</v>
      </c>
      <c r="BQ23" s="123" t="s">
        <v>94</v>
      </c>
      <c r="BR23" s="121" t="s">
        <v>94</v>
      </c>
      <c r="BS23" s="123" t="s">
        <v>94</v>
      </c>
      <c r="BT23" s="121" t="s">
        <v>806</v>
      </c>
      <c r="BU23" s="121" t="s">
        <v>879</v>
      </c>
      <c r="BV23" s="123" t="s">
        <v>94</v>
      </c>
      <c r="BW23" s="123" t="s">
        <v>94</v>
      </c>
      <c r="BX23" s="127"/>
      <c r="BY23" s="123">
        <v>0.27400000000000002</v>
      </c>
      <c r="BZ23" s="123">
        <v>2</v>
      </c>
      <c r="CA23" s="123">
        <v>2.1440000000000001</v>
      </c>
      <c r="CB23" s="123" t="s">
        <v>892</v>
      </c>
      <c r="CC23" s="123" t="s">
        <v>325</v>
      </c>
      <c r="CD23" s="123" t="s">
        <v>290</v>
      </c>
      <c r="CE23" s="127">
        <v>43070</v>
      </c>
      <c r="CF23" s="123" t="s">
        <v>7</v>
      </c>
      <c r="CG23" s="121"/>
      <c r="CH23" s="123"/>
      <c r="CI23" s="123" t="s">
        <v>85</v>
      </c>
      <c r="CJ23" s="123" t="s">
        <v>85</v>
      </c>
      <c r="CK23" s="123" t="s">
        <v>94</v>
      </c>
      <c r="CL23" s="121" t="s">
        <v>7</v>
      </c>
      <c r="CM23" s="121" t="s">
        <v>808</v>
      </c>
    </row>
    <row r="24" spans="1:91" ht="11.25" x14ac:dyDescent="0.25"/>
    <row r="25" spans="1:91" ht="11.25" x14ac:dyDescent="0.25"/>
    <row r="26" spans="1:91" ht="11.25" x14ac:dyDescent="0.25"/>
    <row r="27" spans="1:91" ht="11.25" x14ac:dyDescent="0.25"/>
    <row r="28" spans="1:91" ht="11.25" x14ac:dyDescent="0.25"/>
    <row r="47" ht="11.25" x14ac:dyDescent="0.25"/>
    <row r="48" ht="11.25" x14ac:dyDescent="0.25"/>
    <row r="49" ht="11.25" x14ac:dyDescent="0.25"/>
    <row r="50" ht="11.25" x14ac:dyDescent="0.25"/>
    <row r="51" ht="11.25" x14ac:dyDescent="0.25"/>
  </sheetData>
  <phoneticPr fontId="13" type="noConversion"/>
  <conditionalFormatting sqref="C6">
    <cfRule type="iconSet" priority="4">
      <iconSet showValue="0">
        <cfvo type="percent" val="0"/>
        <cfvo type="num" val="-1"/>
        <cfvo type="num" val="0"/>
      </iconSet>
    </cfRule>
  </conditionalFormatting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20 A15:A17">
    <cfRule type="notContainsText" dxfId="23" priority="2" operator="notContains" text="/">
      <formula>ISERROR(SEARCH("/",A15))</formula>
    </cfRule>
  </conditionalFormatting>
  <conditionalFormatting sqref="A21">
    <cfRule type="notContainsText" dxfId="22" priority="1" operator="notContains" text="DMI">
      <formula>ISERROR(SEARCH("DMI",A21))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W73"/>
  <sheetViews>
    <sheetView zoomScale="85" zoomScaleNormal="100" workbookViewId="0">
      <selection activeCell="T10" sqref="T10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44140625" style="3" bestFit="1" customWidth="1"/>
    <col min="4" max="4" width="24.21875" style="3" bestFit="1" customWidth="1"/>
    <col min="5" max="5" width="8.109375" style="3" bestFit="1" customWidth="1"/>
    <col min="6" max="6" width="9.33203125" style="3" bestFit="1" customWidth="1"/>
    <col min="7" max="7" width="7.77734375" style="3" bestFit="1" customWidth="1" outlineLevel="1"/>
    <col min="8" max="8" width="4.21875" style="3" bestFit="1" customWidth="1" outlineLevel="1"/>
    <col min="9" max="9" width="5.77734375" style="3" bestFit="1" customWidth="1" outlineLevel="1"/>
    <col min="10" max="10" width="8.6640625" style="3" bestFit="1" customWidth="1" outlineLevel="1"/>
    <col min="11" max="11" width="7.77734375" style="3" bestFit="1" customWidth="1" outlineLevel="1"/>
    <col min="12" max="12" width="8.6640625" style="3" bestFit="1" customWidth="1" outlineLevel="1"/>
    <col min="13" max="13" width="7.77734375" style="3" bestFit="1" customWidth="1" outlineLevel="1"/>
    <col min="14" max="14" width="9" style="3" bestFit="1" customWidth="1" outlineLevel="1"/>
    <col min="15" max="15" width="4.77734375" style="3" bestFit="1" customWidth="1" outlineLevel="1"/>
    <col min="16" max="16" width="10.5546875" style="3" bestFit="1" customWidth="1" outlineLevel="1"/>
    <col min="17" max="17" width="4.44140625" style="3" bestFit="1" customWidth="1" outlineLevel="1"/>
    <col min="18" max="18" width="8.6640625" style="3" bestFit="1" customWidth="1" outlineLevel="1"/>
    <col min="19" max="19" width="9.6640625" style="3" bestFit="1" customWidth="1" outlineLevel="1"/>
    <col min="20" max="20" width="15.21875" style="3" bestFit="1" customWidth="1" outlineLevel="1"/>
    <col min="21" max="21" width="7.77734375" style="3" bestFit="1" customWidth="1" outlineLevel="1"/>
    <col min="22" max="22" width="10.21875" style="3" bestFit="1" customWidth="1" outlineLevel="1"/>
    <col min="23" max="23" width="11.109375" style="3" bestFit="1" customWidth="1" outlineLevel="1"/>
    <col min="24" max="24" width="9.44140625" style="3" bestFit="1" customWidth="1" outlineLevel="1"/>
    <col min="25" max="25" width="7.77734375" style="3" bestFit="1" customWidth="1" outlineLevel="1"/>
    <col min="26" max="26" width="13.44140625" style="3" bestFit="1" customWidth="1" outlineLevel="1"/>
    <col min="27" max="27" width="6.109375" style="3" bestFit="1" customWidth="1" outlineLevel="1"/>
    <col min="28" max="28" width="7.109375" style="3" bestFit="1" customWidth="1" outlineLevel="1"/>
    <col min="29" max="29" width="7.109375" style="3" bestFit="1" customWidth="1"/>
    <col min="30" max="30" width="19.5546875" style="3" bestFit="1" customWidth="1"/>
    <col min="31" max="31" width="19.44140625" style="3" bestFit="1" customWidth="1"/>
    <col min="32" max="33" width="2.5546875" style="3" customWidth="1"/>
    <col min="34" max="34" width="23" style="3" bestFit="1" customWidth="1"/>
    <col min="35" max="35" width="19.44140625" style="3" bestFit="1" customWidth="1"/>
    <col min="36" max="36" width="13.33203125" style="3" bestFit="1" customWidth="1"/>
    <col min="37" max="37" width="9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6" width="9.33203125" style="3" bestFit="1" customWidth="1"/>
    <col min="47" max="47" width="7.6640625" style="27" bestFit="1" customWidth="1"/>
    <col min="48" max="48" width="7.21875" style="27" bestFit="1" customWidth="1"/>
    <col min="49" max="50" width="7.6640625" style="27" bestFit="1" customWidth="1"/>
    <col min="51" max="51" width="9.21875" style="27" bestFit="1" customWidth="1"/>
    <col min="52" max="53" width="9.44140625" style="27" bestFit="1" customWidth="1"/>
    <col min="54" max="55" width="11.109375" style="27" bestFit="1" customWidth="1"/>
    <col min="56" max="56" width="9.44140625" style="27" bestFit="1" customWidth="1"/>
    <col min="57" max="57" width="9" style="27" bestFit="1" customWidth="1"/>
    <col min="58" max="59" width="9.44140625" style="27" bestFit="1" customWidth="1"/>
    <col min="60" max="60" width="9.21875" style="27" bestFit="1" customWidth="1"/>
    <col min="61" max="61" width="8.77734375" style="27" bestFit="1" customWidth="1"/>
    <col min="62" max="62" width="9.21875" style="27" bestFit="1" customWidth="1"/>
    <col min="63" max="63" width="42.77734375" style="27" bestFit="1" customWidth="1"/>
    <col min="64" max="64" width="9.21875" style="27" bestFit="1" customWidth="1"/>
    <col min="65" max="65" width="9.44140625" style="27" bestFit="1" customWidth="1"/>
    <col min="66" max="66" width="8.77734375" style="27" bestFit="1" customWidth="1"/>
    <col min="67" max="67" width="9.21875" style="27" bestFit="1" customWidth="1"/>
    <col min="68" max="68" width="15.21875" style="27" bestFit="1" customWidth="1"/>
    <col min="69" max="69" width="5.88671875" style="27" bestFit="1" customWidth="1"/>
    <col min="70" max="70" width="10.77734375" style="27" bestFit="1" customWidth="1"/>
    <col min="71" max="71" width="10.88671875" style="27" bestFit="1" customWidth="1"/>
    <col min="72" max="72" width="11.44140625" style="27" bestFit="1" customWidth="1"/>
    <col min="73" max="73" width="13.5546875" style="27" bestFit="1" customWidth="1"/>
    <col min="74" max="74" width="42.77734375" style="27" bestFit="1" customWidth="1"/>
    <col min="75" max="75" width="9.21875" style="27" bestFit="1" customWidth="1"/>
    <col min="76" max="76" width="10.88671875" style="27" bestFit="1" customWidth="1"/>
    <col min="77" max="77" width="11.44140625" style="27" bestFit="1" customWidth="1"/>
    <col min="78" max="78" width="13.5546875" style="27" bestFit="1" customWidth="1"/>
    <col min="79" max="79" width="51.44140625" style="27" bestFit="1" customWidth="1"/>
    <col min="80" max="80" width="9.21875" style="27" bestFit="1" customWidth="1"/>
    <col min="81" max="81" width="51.44140625" style="27" bestFit="1" customWidth="1"/>
    <col min="82" max="82" width="9.21875" style="27" bestFit="1" customWidth="1"/>
    <col min="83" max="83" width="11.6640625" style="27" bestFit="1" customWidth="1"/>
    <col min="84" max="84" width="15.5546875" style="27" bestFit="1" customWidth="1"/>
    <col min="85" max="85" width="9.44140625" style="27" bestFit="1" customWidth="1"/>
    <col min="86" max="86" width="11.6640625" style="27" bestFit="1" customWidth="1"/>
    <col min="87" max="87" width="15.5546875" style="27" bestFit="1" customWidth="1"/>
    <col min="88" max="88" width="9.44140625" style="27" bestFit="1" customWidth="1"/>
    <col min="89" max="89" width="15.44140625" style="27" bestFit="1" customWidth="1"/>
    <col min="90" max="90" width="6.109375" style="27" bestFit="1" customWidth="1"/>
    <col min="91" max="91" width="15.21875" style="27" bestFit="1" customWidth="1"/>
    <col min="92" max="92" width="5.88671875" style="27" bestFit="1" customWidth="1"/>
    <col min="93" max="93" width="13.109375" style="27" bestFit="1" customWidth="1"/>
    <col min="94" max="94" width="5.88671875" style="27" bestFit="1" customWidth="1"/>
    <col min="95" max="95" width="9.6640625" style="27" bestFit="1" customWidth="1"/>
    <col min="96" max="96" width="14" style="27" bestFit="1" customWidth="1"/>
    <col min="97" max="97" width="14.109375" style="27" bestFit="1" customWidth="1"/>
    <col min="98" max="98" width="13.33203125" style="27" bestFit="1" customWidth="1"/>
    <col min="99" max="100" width="8.109375" style="27" customWidth="1"/>
    <col min="101" max="101" width="8.88671875" style="27" bestFit="1" customWidth="1"/>
    <col min="102" max="122" width="8.109375" style="3" customWidth="1"/>
    <col min="123" max="126" width="9" style="3" customWidth="1"/>
    <col min="127" max="127" width="2.88671875" style="3" customWidth="1"/>
    <col min="128" max="128" width="8.109375" style="3" customWidth="1"/>
    <col min="129" max="129" width="9" style="3" customWidth="1"/>
    <col min="130" max="130" width="6.109375" style="3" bestFit="1" customWidth="1"/>
    <col min="131" max="131" width="7.77734375" style="3" bestFit="1" customWidth="1"/>
    <col min="132" max="16384" width="8.88671875" style="3"/>
  </cols>
  <sheetData>
    <row r="1" spans="1:101" s="1" customFormat="1" ht="48.75" customHeight="1" x14ac:dyDescent="0.25">
      <c r="A1" s="39" t="s">
        <v>157</v>
      </c>
      <c r="B1" s="5"/>
      <c r="D1" s="53">
        <f ca="1">IF(LEN($E$6)-LEN(SUBSTITUTE($E$6,"/",""))=1,"请检查1.Download是否已Paste Value",0)</f>
        <v>0</v>
      </c>
      <c r="P1" s="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</row>
    <row r="2" spans="1:101" s="1" customFormat="1" ht="25.5" customHeight="1" x14ac:dyDescent="0.25"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</row>
    <row r="3" spans="1:101" s="1" customFormat="1" ht="25.5" customHeight="1" x14ac:dyDescent="0.25"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</row>
    <row r="4" spans="1:101" ht="61.5" customHeight="1" x14ac:dyDescent="0.25">
      <c r="O4" s="4"/>
      <c r="P4" s="7"/>
      <c r="Q4" s="7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1" ht="15" x14ac:dyDescent="0.25">
      <c r="A5" t="s">
        <v>156</v>
      </c>
      <c r="C5" s="121" t="s">
        <v>50</v>
      </c>
      <c r="D5" s="121" t="s">
        <v>96</v>
      </c>
      <c r="E5" s="121" t="s">
        <v>190</v>
      </c>
      <c r="F5" s="121" t="s">
        <v>145</v>
      </c>
      <c r="G5" s="121" t="s">
        <v>42</v>
      </c>
      <c r="H5" s="121" t="s">
        <v>149</v>
      </c>
      <c r="I5" s="121" t="s">
        <v>90</v>
      </c>
      <c r="J5" s="121" t="s">
        <v>54</v>
      </c>
      <c r="K5" s="121" t="s">
        <v>179</v>
      </c>
      <c r="L5" s="121" t="s">
        <v>164</v>
      </c>
      <c r="M5" s="121" t="s">
        <v>151</v>
      </c>
      <c r="N5" s="121" t="s">
        <v>92</v>
      </c>
      <c r="O5" s="121" t="s">
        <v>65</v>
      </c>
      <c r="P5" s="121" t="s">
        <v>58</v>
      </c>
      <c r="Q5" s="121" t="s">
        <v>89</v>
      </c>
      <c r="R5" s="121" t="s">
        <v>122</v>
      </c>
      <c r="S5" s="121" t="s">
        <v>165</v>
      </c>
      <c r="T5" s="121" t="s">
        <v>93</v>
      </c>
      <c r="U5" s="121" t="s">
        <v>181</v>
      </c>
      <c r="V5" s="121" t="s">
        <v>591</v>
      </c>
      <c r="W5" s="121" t="s">
        <v>52</v>
      </c>
      <c r="X5" s="121" t="s">
        <v>226</v>
      </c>
      <c r="Y5" s="121" t="s">
        <v>228</v>
      </c>
      <c r="Z5" s="121" t="s">
        <v>49</v>
      </c>
      <c r="AA5" s="121" t="s">
        <v>186</v>
      </c>
      <c r="AB5" s="121" t="s">
        <v>187</v>
      </c>
      <c r="AC5" s="121" t="s">
        <v>229</v>
      </c>
      <c r="AD5" s="121" t="s">
        <v>150</v>
      </c>
      <c r="AE5" s="38"/>
      <c r="AH5" s="104" t="s">
        <v>96</v>
      </c>
      <c r="AI5" s="104" t="s">
        <v>150</v>
      </c>
      <c r="AJ5" s="104" t="s">
        <v>49</v>
      </c>
      <c r="AK5" s="104" t="s">
        <v>50</v>
      </c>
      <c r="AL5" s="105" t="s">
        <v>222</v>
      </c>
      <c r="AM5" s="105" t="s">
        <v>185</v>
      </c>
      <c r="AN5" s="105" t="s">
        <v>201</v>
      </c>
      <c r="AO5" s="104" t="s">
        <v>184</v>
      </c>
      <c r="AP5" s="105" t="s">
        <v>195</v>
      </c>
      <c r="AQ5" s="105" t="s">
        <v>183</v>
      </c>
      <c r="AR5" s="104" t="s">
        <v>158</v>
      </c>
      <c r="AS5" s="105" t="s">
        <v>199</v>
      </c>
      <c r="AT5" s="105" t="s">
        <v>200</v>
      </c>
      <c r="AU5" s="105" t="s">
        <v>218</v>
      </c>
      <c r="AV5" s="105" t="s">
        <v>219</v>
      </c>
      <c r="AW5" s="105" t="s">
        <v>220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</row>
    <row r="6" spans="1:101" ht="15" x14ac:dyDescent="0.25">
      <c r="A6" t="s">
        <v>50</v>
      </c>
      <c r="C6" s="127">
        <v>45183</v>
      </c>
      <c r="D6" s="123" t="s">
        <v>426</v>
      </c>
      <c r="E6" s="123" t="s">
        <v>85</v>
      </c>
      <c r="F6" s="123" t="s">
        <v>85</v>
      </c>
      <c r="G6" s="121" t="s">
        <v>334</v>
      </c>
      <c r="H6" s="121" t="s">
        <v>7</v>
      </c>
      <c r="I6" s="123" t="s">
        <v>94</v>
      </c>
      <c r="J6" s="123" t="s">
        <v>335</v>
      </c>
      <c r="K6" s="121"/>
      <c r="L6" s="123" t="s">
        <v>94</v>
      </c>
      <c r="M6" s="121"/>
      <c r="N6" s="121" t="s">
        <v>115</v>
      </c>
      <c r="O6" s="121" t="s">
        <v>108</v>
      </c>
      <c r="P6" s="121">
        <v>2.6</v>
      </c>
      <c r="Q6" s="121" t="s">
        <v>163</v>
      </c>
      <c r="R6" s="123" t="s">
        <v>335</v>
      </c>
      <c r="S6" s="121" t="s">
        <v>7</v>
      </c>
      <c r="T6" s="121" t="s">
        <v>297</v>
      </c>
      <c r="U6" s="121" t="s">
        <v>117</v>
      </c>
      <c r="V6" s="121">
        <v>4.8000000000000001E-2</v>
      </c>
      <c r="W6" s="121" t="s">
        <v>598</v>
      </c>
      <c r="X6" s="121" t="s">
        <v>94</v>
      </c>
      <c r="Y6" s="121" t="s">
        <v>94</v>
      </c>
      <c r="Z6" s="121" t="s">
        <v>604</v>
      </c>
      <c r="AA6" s="123">
        <v>0.35599999999999998</v>
      </c>
      <c r="AB6" s="123">
        <v>2.6</v>
      </c>
      <c r="AC6" s="123">
        <v>2.7919999999999998</v>
      </c>
      <c r="AD6" s="121" t="s">
        <v>616</v>
      </c>
      <c r="AE6" s="38"/>
      <c r="AH6" s="132" t="s">
        <v>428</v>
      </c>
      <c r="AI6" s="133" t="s">
        <v>729</v>
      </c>
      <c r="AJ6" s="134" t="s">
        <v>722</v>
      </c>
      <c r="AK6" s="135">
        <v>45180</v>
      </c>
      <c r="AL6" s="136"/>
      <c r="AM6" s="136"/>
      <c r="AN6" s="136"/>
      <c r="AO6" s="136"/>
      <c r="AP6" s="136" t="s">
        <v>874</v>
      </c>
      <c r="AQ6" s="136" t="s">
        <v>874</v>
      </c>
      <c r="AR6" s="136" t="s">
        <v>161</v>
      </c>
      <c r="AS6" s="136" t="s">
        <v>161</v>
      </c>
      <c r="AT6" s="136" t="s">
        <v>7</v>
      </c>
      <c r="AU6" s="136"/>
      <c r="AV6" s="136"/>
      <c r="AW6" s="136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</row>
    <row r="7" spans="1:101" ht="15" x14ac:dyDescent="0.25">
      <c r="A7" t="s">
        <v>96</v>
      </c>
      <c r="C7" s="127">
        <v>45182</v>
      </c>
      <c r="D7" s="123" t="s">
        <v>641</v>
      </c>
      <c r="E7" s="123" t="s">
        <v>85</v>
      </c>
      <c r="F7" s="123" t="s">
        <v>85</v>
      </c>
      <c r="G7" s="121" t="s">
        <v>94</v>
      </c>
      <c r="H7" s="121" t="s">
        <v>7</v>
      </c>
      <c r="I7" s="123" t="s">
        <v>854</v>
      </c>
      <c r="J7" s="123" t="s">
        <v>855</v>
      </c>
      <c r="K7" s="121">
        <v>40</v>
      </c>
      <c r="L7" s="123" t="s">
        <v>94</v>
      </c>
      <c r="M7" s="121"/>
      <c r="N7" s="121" t="s">
        <v>37</v>
      </c>
      <c r="O7" s="121" t="s">
        <v>108</v>
      </c>
      <c r="P7" s="121">
        <v>10</v>
      </c>
      <c r="Q7" s="121" t="s">
        <v>856</v>
      </c>
      <c r="R7" s="123" t="s">
        <v>855</v>
      </c>
      <c r="S7" s="121" t="s">
        <v>7</v>
      </c>
      <c r="T7" s="121" t="s">
        <v>333</v>
      </c>
      <c r="U7" s="121" t="s">
        <v>117</v>
      </c>
      <c r="V7" s="121">
        <v>2.7000000000000003E-2</v>
      </c>
      <c r="W7" s="121" t="s">
        <v>94</v>
      </c>
      <c r="X7" s="121" t="s">
        <v>94</v>
      </c>
      <c r="Y7" s="121" t="s">
        <v>94</v>
      </c>
      <c r="Z7" s="121" t="s">
        <v>664</v>
      </c>
      <c r="AA7" s="123">
        <v>1.37</v>
      </c>
      <c r="AB7" s="123">
        <v>10</v>
      </c>
      <c r="AC7" s="123">
        <v>10.76</v>
      </c>
      <c r="AD7" s="121" t="s">
        <v>670</v>
      </c>
      <c r="AE7" s="38"/>
      <c r="AH7" s="132" t="s">
        <v>498</v>
      </c>
      <c r="AI7" s="133" t="s">
        <v>631</v>
      </c>
      <c r="AJ7" s="134" t="s">
        <v>618</v>
      </c>
      <c r="AK7" s="135">
        <v>45182</v>
      </c>
      <c r="AL7" s="136"/>
      <c r="AM7" s="136"/>
      <c r="AN7" s="136"/>
      <c r="AO7" s="136"/>
      <c r="AP7" s="136" t="s">
        <v>874</v>
      </c>
      <c r="AQ7" s="136" t="s">
        <v>874</v>
      </c>
      <c r="AR7" s="136" t="s">
        <v>160</v>
      </c>
      <c r="AS7" s="136" t="s">
        <v>161</v>
      </c>
      <c r="AT7" s="136" t="s">
        <v>7</v>
      </c>
      <c r="AU7" s="136"/>
      <c r="AV7" s="136"/>
      <c r="AW7" s="136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</row>
    <row r="8" spans="1:101" ht="15" x14ac:dyDescent="0.25">
      <c r="A8" t="s">
        <v>190</v>
      </c>
      <c r="C8" s="127">
        <v>45182</v>
      </c>
      <c r="D8" s="123" t="s">
        <v>671</v>
      </c>
      <c r="E8" s="123" t="s">
        <v>85</v>
      </c>
      <c r="F8" s="123" t="s">
        <v>85</v>
      </c>
      <c r="G8" s="121" t="s">
        <v>506</v>
      </c>
      <c r="H8" s="121" t="s">
        <v>7</v>
      </c>
      <c r="I8" s="123" t="s">
        <v>857</v>
      </c>
      <c r="J8" s="123" t="s">
        <v>676</v>
      </c>
      <c r="K8" s="121">
        <v>0</v>
      </c>
      <c r="L8" s="123" t="s">
        <v>94</v>
      </c>
      <c r="M8" s="121"/>
      <c r="N8" s="121" t="s">
        <v>114</v>
      </c>
      <c r="O8" s="121" t="s">
        <v>108</v>
      </c>
      <c r="P8" s="121">
        <v>5.8</v>
      </c>
      <c r="Q8" s="121" t="s">
        <v>163</v>
      </c>
      <c r="R8" s="123" t="s">
        <v>676</v>
      </c>
      <c r="S8" s="121" t="s">
        <v>7</v>
      </c>
      <c r="T8" s="121" t="s">
        <v>333</v>
      </c>
      <c r="U8" s="121" t="s">
        <v>117</v>
      </c>
      <c r="V8" s="121">
        <v>3.7000000000000005E-2</v>
      </c>
      <c r="W8" s="121" t="s">
        <v>598</v>
      </c>
      <c r="X8" s="121" t="s">
        <v>94</v>
      </c>
      <c r="Y8" s="121" t="s">
        <v>94</v>
      </c>
      <c r="Z8" s="121" t="s">
        <v>673</v>
      </c>
      <c r="AA8" s="123">
        <v>0.79500000000000004</v>
      </c>
      <c r="AB8" s="123">
        <v>5.8</v>
      </c>
      <c r="AC8" s="123">
        <v>6.2409999999999997</v>
      </c>
      <c r="AD8" s="121" t="s">
        <v>684</v>
      </c>
      <c r="AE8" s="38"/>
      <c r="AH8" s="132" t="s">
        <v>671</v>
      </c>
      <c r="AI8" s="133" t="s">
        <v>684</v>
      </c>
      <c r="AJ8" s="134" t="s">
        <v>673</v>
      </c>
      <c r="AK8" s="135">
        <v>45182</v>
      </c>
      <c r="AL8" s="136"/>
      <c r="AM8" s="136"/>
      <c r="AN8" s="136"/>
      <c r="AO8" s="136"/>
      <c r="AP8" s="136" t="s">
        <v>874</v>
      </c>
      <c r="AQ8" s="136" t="s">
        <v>874</v>
      </c>
      <c r="AR8" s="136" t="s">
        <v>160</v>
      </c>
      <c r="AS8" s="136" t="s">
        <v>7</v>
      </c>
      <c r="AT8" s="136" t="s">
        <v>7</v>
      </c>
      <c r="AU8" s="136"/>
      <c r="AV8" s="136"/>
      <c r="AW8" s="136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</row>
    <row r="9" spans="1:101" ht="15" x14ac:dyDescent="0.25">
      <c r="A9" t="s">
        <v>145</v>
      </c>
      <c r="C9" s="127">
        <v>45182</v>
      </c>
      <c r="D9" s="123" t="s">
        <v>579</v>
      </c>
      <c r="E9" s="123" t="s">
        <v>85</v>
      </c>
      <c r="F9" s="123" t="s">
        <v>85</v>
      </c>
      <c r="G9" s="121" t="s">
        <v>94</v>
      </c>
      <c r="H9" s="121" t="s">
        <v>7</v>
      </c>
      <c r="I9" s="123" t="s">
        <v>94</v>
      </c>
      <c r="J9" s="123" t="s">
        <v>94</v>
      </c>
      <c r="K9" s="121"/>
      <c r="L9" s="123" t="s">
        <v>94</v>
      </c>
      <c r="M9" s="121"/>
      <c r="N9" s="121" t="s">
        <v>874</v>
      </c>
      <c r="O9" s="121" t="s">
        <v>108</v>
      </c>
      <c r="P9" s="121">
        <v>1.65</v>
      </c>
      <c r="Q9" s="121" t="s">
        <v>858</v>
      </c>
      <c r="R9" s="123" t="s">
        <v>859</v>
      </c>
      <c r="S9" s="121" t="s">
        <v>7</v>
      </c>
      <c r="T9" s="121" t="s">
        <v>94</v>
      </c>
      <c r="U9" s="121" t="s">
        <v>94</v>
      </c>
      <c r="V9" s="121">
        <v>0.03</v>
      </c>
      <c r="W9" s="121" t="s">
        <v>94</v>
      </c>
      <c r="X9" s="121" t="s">
        <v>154</v>
      </c>
      <c r="Y9" s="121" t="s">
        <v>94</v>
      </c>
      <c r="Z9" s="121" t="s">
        <v>801</v>
      </c>
      <c r="AA9" s="123">
        <v>0.22600000000000001</v>
      </c>
      <c r="AB9" s="123">
        <v>1.65</v>
      </c>
      <c r="AC9" s="123">
        <v>1.7749999999999999</v>
      </c>
      <c r="AD9" s="121" t="s">
        <v>803</v>
      </c>
      <c r="AE9" s="38"/>
      <c r="AH9" s="132" t="s">
        <v>428</v>
      </c>
      <c r="AI9" s="133" t="s">
        <v>720</v>
      </c>
      <c r="AJ9" s="134" t="s">
        <v>713</v>
      </c>
      <c r="AK9" s="135">
        <v>45180</v>
      </c>
      <c r="AL9" s="136"/>
      <c r="AM9" s="136"/>
      <c r="AN9" s="136"/>
      <c r="AO9" s="136"/>
      <c r="AP9" s="136"/>
      <c r="AQ9" s="136"/>
      <c r="AR9" s="136" t="s">
        <v>7</v>
      </c>
      <c r="AS9" s="136" t="s">
        <v>160</v>
      </c>
      <c r="AT9" s="136" t="s">
        <v>7</v>
      </c>
      <c r="AU9" s="136"/>
      <c r="AV9" s="136"/>
      <c r="AW9" s="136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</row>
    <row r="10" spans="1:101" ht="15" x14ac:dyDescent="0.25">
      <c r="A10" t="s">
        <v>42</v>
      </c>
      <c r="C10" s="127">
        <v>45182</v>
      </c>
      <c r="D10" s="123" t="s">
        <v>641</v>
      </c>
      <c r="E10" s="123" t="s">
        <v>85</v>
      </c>
      <c r="F10" s="123" t="s">
        <v>85</v>
      </c>
      <c r="G10" s="121" t="s">
        <v>94</v>
      </c>
      <c r="H10" s="121" t="s">
        <v>7</v>
      </c>
      <c r="I10" s="123" t="s">
        <v>860</v>
      </c>
      <c r="J10" s="123" t="s">
        <v>661</v>
      </c>
      <c r="K10" s="121">
        <v>37</v>
      </c>
      <c r="L10" s="123" t="s">
        <v>94</v>
      </c>
      <c r="M10" s="121"/>
      <c r="N10" s="121" t="s">
        <v>37</v>
      </c>
      <c r="O10" s="121" t="s">
        <v>108</v>
      </c>
      <c r="P10" s="121">
        <v>10</v>
      </c>
      <c r="Q10" s="121" t="s">
        <v>163</v>
      </c>
      <c r="R10" s="123" t="s">
        <v>661</v>
      </c>
      <c r="S10" s="121" t="s">
        <v>7</v>
      </c>
      <c r="T10" s="121" t="s">
        <v>333</v>
      </c>
      <c r="U10" s="121" t="s">
        <v>117</v>
      </c>
      <c r="V10" s="121">
        <v>2.53E-2</v>
      </c>
      <c r="W10" s="121" t="s">
        <v>94</v>
      </c>
      <c r="X10" s="121" t="s">
        <v>94</v>
      </c>
      <c r="Y10" s="121" t="s">
        <v>94</v>
      </c>
      <c r="Z10" s="121" t="s">
        <v>658</v>
      </c>
      <c r="AA10" s="123">
        <v>1.37</v>
      </c>
      <c r="AB10" s="123">
        <v>10</v>
      </c>
      <c r="AC10" s="123">
        <v>10.76</v>
      </c>
      <c r="AD10" s="121" t="s">
        <v>662</v>
      </c>
      <c r="AE10" s="27"/>
      <c r="AF10" s="27"/>
      <c r="AG10" s="27"/>
      <c r="AH10" s="132" t="s">
        <v>641</v>
      </c>
      <c r="AI10" s="133" t="s">
        <v>670</v>
      </c>
      <c r="AJ10" s="134" t="s">
        <v>664</v>
      </c>
      <c r="AK10" s="135">
        <v>45182</v>
      </c>
      <c r="AL10" s="136"/>
      <c r="AM10" s="136"/>
      <c r="AN10" s="136"/>
      <c r="AO10" s="136"/>
      <c r="AP10" s="136"/>
      <c r="AQ10" s="136"/>
      <c r="AR10" s="136" t="s">
        <v>7</v>
      </c>
      <c r="AS10" s="136" t="s">
        <v>161</v>
      </c>
      <c r="AT10" s="136" t="s">
        <v>7</v>
      </c>
      <c r="AU10" s="136"/>
      <c r="AV10" s="136"/>
      <c r="AW10" s="136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</row>
    <row r="11" spans="1:101" ht="15" x14ac:dyDescent="0.25">
      <c r="A11" t="s">
        <v>149</v>
      </c>
      <c r="C11" s="127">
        <v>45182</v>
      </c>
      <c r="D11" s="123" t="s">
        <v>498</v>
      </c>
      <c r="E11" s="123" t="s">
        <v>85</v>
      </c>
      <c r="F11" s="123" t="s">
        <v>377</v>
      </c>
      <c r="G11" s="121" t="s">
        <v>94</v>
      </c>
      <c r="H11" s="121" t="s">
        <v>7</v>
      </c>
      <c r="I11" s="123" t="s">
        <v>94</v>
      </c>
      <c r="J11" s="123" t="s">
        <v>445</v>
      </c>
      <c r="K11" s="121"/>
      <c r="L11" s="123" t="s">
        <v>445</v>
      </c>
      <c r="M11" s="121"/>
      <c r="N11" s="121" t="s">
        <v>37</v>
      </c>
      <c r="O11" s="121" t="s">
        <v>87</v>
      </c>
      <c r="P11" s="121">
        <v>5.5</v>
      </c>
      <c r="Q11" s="121" t="s">
        <v>163</v>
      </c>
      <c r="R11" s="123" t="s">
        <v>445</v>
      </c>
      <c r="S11" s="121" t="s">
        <v>861</v>
      </c>
      <c r="T11" s="121" t="s">
        <v>333</v>
      </c>
      <c r="U11" s="121" t="s">
        <v>442</v>
      </c>
      <c r="V11" s="121"/>
      <c r="W11" s="121" t="s">
        <v>263</v>
      </c>
      <c r="X11" s="121" t="s">
        <v>862</v>
      </c>
      <c r="Y11" s="121" t="s">
        <v>94</v>
      </c>
      <c r="Z11" s="121" t="s">
        <v>618</v>
      </c>
      <c r="AA11" s="123">
        <v>5.5</v>
      </c>
      <c r="AB11" s="123">
        <v>40.002000000000002</v>
      </c>
      <c r="AC11" s="123">
        <v>43.042999999999999</v>
      </c>
      <c r="AD11" s="121" t="s">
        <v>631</v>
      </c>
      <c r="AE11" s="27"/>
      <c r="AF11" s="27"/>
      <c r="AG11" s="27"/>
      <c r="AH11" s="132" t="s">
        <v>641</v>
      </c>
      <c r="AI11" s="133" t="s">
        <v>662</v>
      </c>
      <c r="AJ11" s="134" t="s">
        <v>658</v>
      </c>
      <c r="AK11" s="135">
        <v>45182</v>
      </c>
      <c r="AL11" s="136"/>
      <c r="AM11" s="136"/>
      <c r="AN11" s="136"/>
      <c r="AO11" s="136"/>
      <c r="AP11" s="136"/>
      <c r="AQ11" s="136"/>
      <c r="AR11" s="136" t="s">
        <v>7</v>
      </c>
      <c r="AS11" s="136" t="s">
        <v>161</v>
      </c>
      <c r="AT11" s="136" t="s">
        <v>7</v>
      </c>
      <c r="AU11" s="136"/>
      <c r="AV11" s="136"/>
      <c r="AW11" s="136"/>
      <c r="AZ11" s="38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</row>
    <row r="12" spans="1:101" ht="15" x14ac:dyDescent="0.25">
      <c r="A12" t="s">
        <v>90</v>
      </c>
      <c r="C12" s="127">
        <v>45182</v>
      </c>
      <c r="D12" s="123" t="s">
        <v>685</v>
      </c>
      <c r="E12" s="123" t="s">
        <v>85</v>
      </c>
      <c r="F12" s="123" t="s">
        <v>85</v>
      </c>
      <c r="G12" s="121" t="s">
        <v>427</v>
      </c>
      <c r="H12" s="121" t="s">
        <v>7</v>
      </c>
      <c r="I12" s="123" t="s">
        <v>863</v>
      </c>
      <c r="J12" s="123" t="s">
        <v>94</v>
      </c>
      <c r="K12" s="121">
        <v>0</v>
      </c>
      <c r="L12" s="123" t="s">
        <v>94</v>
      </c>
      <c r="M12" s="121"/>
      <c r="N12" s="121" t="s">
        <v>115</v>
      </c>
      <c r="O12" s="121" t="s">
        <v>330</v>
      </c>
      <c r="P12" s="121">
        <v>76</v>
      </c>
      <c r="Q12" s="121" t="s">
        <v>163</v>
      </c>
      <c r="R12" s="123" t="s">
        <v>375</v>
      </c>
      <c r="S12" s="121" t="s">
        <v>7</v>
      </c>
      <c r="T12" s="121" t="s">
        <v>112</v>
      </c>
      <c r="U12" s="121" t="s">
        <v>117</v>
      </c>
      <c r="V12" s="121">
        <v>2.3E-2</v>
      </c>
      <c r="W12" s="121" t="s">
        <v>94</v>
      </c>
      <c r="X12" s="121" t="s">
        <v>94</v>
      </c>
      <c r="Y12" s="121" t="s">
        <v>94</v>
      </c>
      <c r="Z12" s="121" t="s">
        <v>687</v>
      </c>
      <c r="AA12" s="123">
        <v>0.53200000000000003</v>
      </c>
      <c r="AB12" s="123">
        <v>3.7240000000000002</v>
      </c>
      <c r="AC12" s="123">
        <v>4.0279999999999996</v>
      </c>
      <c r="AD12" s="121" t="s">
        <v>698</v>
      </c>
      <c r="AE12" s="27"/>
      <c r="AF12" s="27"/>
      <c r="AG12" s="27"/>
      <c r="AH12" s="132" t="s">
        <v>641</v>
      </c>
      <c r="AI12" s="133" t="s">
        <v>656</v>
      </c>
      <c r="AJ12" s="134" t="s">
        <v>643</v>
      </c>
      <c r="AK12" s="135">
        <v>45182</v>
      </c>
      <c r="AL12" s="136"/>
      <c r="AM12" s="136"/>
      <c r="AN12" s="136"/>
      <c r="AO12" s="136"/>
      <c r="AP12" s="136"/>
      <c r="AQ12" s="136"/>
      <c r="AR12" s="136" t="s">
        <v>7</v>
      </c>
      <c r="AS12" s="136" t="s">
        <v>161</v>
      </c>
      <c r="AT12" s="136" t="s">
        <v>7</v>
      </c>
      <c r="AU12" s="136"/>
      <c r="AV12" s="136"/>
      <c r="AW12" s="136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</row>
    <row r="13" spans="1:101" ht="15" x14ac:dyDescent="0.25">
      <c r="A13" t="s">
        <v>54</v>
      </c>
      <c r="C13" s="156">
        <v>45182</v>
      </c>
      <c r="D13" s="155" t="s">
        <v>641</v>
      </c>
      <c r="E13" s="155" t="s">
        <v>85</v>
      </c>
      <c r="F13" s="155" t="s">
        <v>85</v>
      </c>
      <c r="G13" s="115" t="s">
        <v>94</v>
      </c>
      <c r="H13" s="115" t="s">
        <v>7</v>
      </c>
      <c r="I13" s="155" t="s">
        <v>864</v>
      </c>
      <c r="J13" s="155" t="s">
        <v>646</v>
      </c>
      <c r="K13" s="115">
        <v>35</v>
      </c>
      <c r="L13" s="155" t="s">
        <v>94</v>
      </c>
      <c r="M13" s="115"/>
      <c r="N13" s="115" t="s">
        <v>37</v>
      </c>
      <c r="O13" s="115" t="s">
        <v>108</v>
      </c>
      <c r="P13" s="115">
        <v>30</v>
      </c>
      <c r="Q13" s="115" t="s">
        <v>378</v>
      </c>
      <c r="R13" s="155" t="s">
        <v>646</v>
      </c>
      <c r="S13" s="115" t="s">
        <v>7</v>
      </c>
      <c r="T13" s="115" t="s">
        <v>333</v>
      </c>
      <c r="U13" s="115" t="s">
        <v>117</v>
      </c>
      <c r="V13" s="115">
        <v>2.4500000000000001E-2</v>
      </c>
      <c r="W13" s="115" t="s">
        <v>94</v>
      </c>
      <c r="X13" s="115" t="s">
        <v>94</v>
      </c>
      <c r="Y13" s="115" t="s">
        <v>94</v>
      </c>
      <c r="Z13" s="115" t="s">
        <v>643</v>
      </c>
      <c r="AA13" s="155">
        <v>4.1100000000000003</v>
      </c>
      <c r="AB13" s="155">
        <v>30</v>
      </c>
      <c r="AC13" s="155">
        <v>32.28</v>
      </c>
      <c r="AD13" s="115" t="s">
        <v>656</v>
      </c>
      <c r="AE13" s="27"/>
      <c r="AF13" s="27"/>
      <c r="AG13" s="27"/>
      <c r="AU13" s="3"/>
      <c r="AV13" s="3"/>
      <c r="AW13" s="3"/>
      <c r="BD13" s="3"/>
      <c r="BF13" s="3"/>
      <c r="BG13" s="3"/>
      <c r="BH13" s="3"/>
      <c r="BI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</row>
    <row r="14" spans="1:101" ht="15" x14ac:dyDescent="0.25">
      <c r="A14" t="s">
        <v>179</v>
      </c>
      <c r="C14" s="156">
        <v>45181</v>
      </c>
      <c r="D14" s="155" t="s">
        <v>881</v>
      </c>
      <c r="E14" s="155" t="s">
        <v>85</v>
      </c>
      <c r="F14" s="155" t="s">
        <v>85</v>
      </c>
      <c r="G14" s="115" t="s">
        <v>94</v>
      </c>
      <c r="H14" s="115" t="s">
        <v>7</v>
      </c>
      <c r="I14" s="155" t="s">
        <v>94</v>
      </c>
      <c r="J14" s="155" t="s">
        <v>94</v>
      </c>
      <c r="K14" s="115"/>
      <c r="L14" s="155" t="s">
        <v>94</v>
      </c>
      <c r="M14" s="115"/>
      <c r="N14" s="115" t="s">
        <v>874</v>
      </c>
      <c r="O14" s="115" t="s">
        <v>108</v>
      </c>
      <c r="P14" s="115">
        <v>2</v>
      </c>
      <c r="Q14" s="115" t="s">
        <v>336</v>
      </c>
      <c r="R14" s="155" t="s">
        <v>865</v>
      </c>
      <c r="S14" s="115" t="s">
        <v>7</v>
      </c>
      <c r="T14" s="115" t="s">
        <v>94</v>
      </c>
      <c r="U14" s="115" t="s">
        <v>94</v>
      </c>
      <c r="V14" s="115">
        <v>4.2000000000000003E-2</v>
      </c>
      <c r="W14" s="115" t="s">
        <v>94</v>
      </c>
      <c r="X14" s="115" t="s">
        <v>94</v>
      </c>
      <c r="Y14" s="115" t="s">
        <v>866</v>
      </c>
      <c r="Z14" s="115" t="s">
        <v>804</v>
      </c>
      <c r="AA14" s="155">
        <v>0.27400000000000002</v>
      </c>
      <c r="AB14" s="155">
        <v>2</v>
      </c>
      <c r="AC14" s="155">
        <v>2.1440000000000001</v>
      </c>
      <c r="AD14" s="115" t="s">
        <v>808</v>
      </c>
      <c r="AE14" s="27"/>
      <c r="AF14" s="27"/>
      <c r="AG14" s="27"/>
      <c r="AH14" s="27"/>
      <c r="AI14" s="27"/>
      <c r="AJ14" s="27"/>
      <c r="AK14" s="38"/>
      <c r="AU14" s="3"/>
      <c r="AV14" s="3"/>
      <c r="AW14" s="3"/>
      <c r="BD14" s="3"/>
      <c r="BF14" s="3"/>
      <c r="BG14" s="3"/>
      <c r="BH14" s="3"/>
      <c r="BI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</row>
    <row r="15" spans="1:101" ht="15" x14ac:dyDescent="0.25">
      <c r="A15" t="s">
        <v>164</v>
      </c>
      <c r="C15" s="156">
        <v>45181</v>
      </c>
      <c r="D15" s="155" t="s">
        <v>699</v>
      </c>
      <c r="E15" s="155" t="s">
        <v>770</v>
      </c>
      <c r="F15" s="155" t="s">
        <v>85</v>
      </c>
      <c r="G15" s="115" t="s">
        <v>94</v>
      </c>
      <c r="H15" s="115" t="s">
        <v>7</v>
      </c>
      <c r="I15" s="155" t="s">
        <v>94</v>
      </c>
      <c r="J15" s="155" t="s">
        <v>94</v>
      </c>
      <c r="K15" s="115"/>
      <c r="L15" s="155" t="s">
        <v>94</v>
      </c>
      <c r="M15" s="115"/>
      <c r="N15" s="115" t="s">
        <v>40</v>
      </c>
      <c r="O15" s="115" t="s">
        <v>108</v>
      </c>
      <c r="P15" s="115">
        <v>2.15</v>
      </c>
      <c r="Q15" s="115" t="s">
        <v>163</v>
      </c>
      <c r="R15" s="155" t="s">
        <v>867</v>
      </c>
      <c r="S15" s="115" t="s">
        <v>7</v>
      </c>
      <c r="T15" s="115" t="s">
        <v>297</v>
      </c>
      <c r="U15" s="115" t="s">
        <v>117</v>
      </c>
      <c r="V15" s="115">
        <v>5.7999999999999996E-2</v>
      </c>
      <c r="W15" s="115" t="s">
        <v>94</v>
      </c>
      <c r="X15" s="115" t="s">
        <v>94</v>
      </c>
      <c r="Y15" s="115" t="s">
        <v>94</v>
      </c>
      <c r="Z15" s="115" t="s">
        <v>701</v>
      </c>
      <c r="AA15" s="155">
        <v>0.29499999999999998</v>
      </c>
      <c r="AB15" s="155">
        <v>2.15</v>
      </c>
      <c r="AC15" s="155">
        <v>2.3050000000000002</v>
      </c>
      <c r="AD15" s="115" t="s">
        <v>711</v>
      </c>
      <c r="AE15" s="27"/>
      <c r="AF15" s="27"/>
      <c r="AG15" s="27"/>
      <c r="AH15" s="27"/>
      <c r="AN15" s="27"/>
      <c r="AS15" s="27"/>
      <c r="AT15" s="27"/>
      <c r="BD15" s="3"/>
      <c r="BF15" s="3"/>
      <c r="BG15" s="3"/>
      <c r="BH15" s="3"/>
      <c r="BI15" s="3"/>
      <c r="BJ15" s="3"/>
      <c r="BK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</row>
    <row r="16" spans="1:101" ht="15" x14ac:dyDescent="0.25">
      <c r="A16" t="s">
        <v>151</v>
      </c>
      <c r="C16" s="156">
        <v>45180</v>
      </c>
      <c r="D16" s="155" t="s">
        <v>428</v>
      </c>
      <c r="E16" s="155" t="s">
        <v>85</v>
      </c>
      <c r="F16" s="155" t="s">
        <v>793</v>
      </c>
      <c r="G16" s="115" t="s">
        <v>94</v>
      </c>
      <c r="H16" s="115" t="s">
        <v>7</v>
      </c>
      <c r="I16" s="155" t="s">
        <v>443</v>
      </c>
      <c r="J16" s="155" t="s">
        <v>717</v>
      </c>
      <c r="K16" s="115">
        <v>32</v>
      </c>
      <c r="L16" s="155" t="s">
        <v>94</v>
      </c>
      <c r="M16" s="115"/>
      <c r="N16" s="115" t="s">
        <v>37</v>
      </c>
      <c r="O16" s="115" t="s">
        <v>108</v>
      </c>
      <c r="P16" s="115">
        <v>20</v>
      </c>
      <c r="Q16" s="115" t="s">
        <v>163</v>
      </c>
      <c r="R16" s="155" t="s">
        <v>717</v>
      </c>
      <c r="S16" s="115" t="s">
        <v>7</v>
      </c>
      <c r="T16" s="115" t="s">
        <v>868</v>
      </c>
      <c r="U16" s="115" t="s">
        <v>117</v>
      </c>
      <c r="V16" s="115">
        <v>2.98E-2</v>
      </c>
      <c r="W16" s="115" t="s">
        <v>263</v>
      </c>
      <c r="X16" s="115" t="s">
        <v>869</v>
      </c>
      <c r="Y16" s="115" t="s">
        <v>94</v>
      </c>
      <c r="Z16" s="115" t="s">
        <v>713</v>
      </c>
      <c r="AA16" s="155">
        <v>2.74</v>
      </c>
      <c r="AB16" s="155">
        <v>20</v>
      </c>
      <c r="AC16" s="155">
        <v>21.44</v>
      </c>
      <c r="AD16" s="115" t="s">
        <v>720</v>
      </c>
      <c r="AE16" s="27"/>
      <c r="AF16" s="27"/>
      <c r="AG16" s="27"/>
      <c r="AH16" s="27"/>
      <c r="AO16" s="27"/>
      <c r="AT16" s="27"/>
      <c r="BD16" s="3"/>
      <c r="BF16" s="3"/>
      <c r="BG16" s="3"/>
      <c r="BH16" s="3"/>
      <c r="BI16" s="3"/>
      <c r="BJ16" s="3"/>
      <c r="BK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</row>
    <row r="17" spans="1:101" ht="15" x14ac:dyDescent="0.25">
      <c r="A17" t="s">
        <v>92</v>
      </c>
      <c r="C17" s="156">
        <v>45180</v>
      </c>
      <c r="D17" s="155" t="s">
        <v>428</v>
      </c>
      <c r="E17" s="155" t="s">
        <v>85</v>
      </c>
      <c r="F17" s="155" t="s">
        <v>793</v>
      </c>
      <c r="G17" s="115" t="s">
        <v>94</v>
      </c>
      <c r="H17" s="115" t="s">
        <v>7</v>
      </c>
      <c r="I17" s="155" t="s">
        <v>94</v>
      </c>
      <c r="J17" s="155" t="s">
        <v>870</v>
      </c>
      <c r="K17" s="115"/>
      <c r="L17" s="155" t="s">
        <v>870</v>
      </c>
      <c r="M17" s="115"/>
      <c r="N17" s="115" t="s">
        <v>37</v>
      </c>
      <c r="O17" s="115" t="s">
        <v>87</v>
      </c>
      <c r="P17" s="115">
        <v>5</v>
      </c>
      <c r="Q17" s="115" t="s">
        <v>163</v>
      </c>
      <c r="R17" s="155" t="s">
        <v>871</v>
      </c>
      <c r="S17" s="115" t="s">
        <v>7</v>
      </c>
      <c r="T17" s="115" t="s">
        <v>868</v>
      </c>
      <c r="U17" s="115" t="s">
        <v>442</v>
      </c>
      <c r="V17" s="115">
        <v>5.9340000000000004E-2</v>
      </c>
      <c r="W17" s="115" t="s">
        <v>263</v>
      </c>
      <c r="X17" s="115" t="s">
        <v>872</v>
      </c>
      <c r="Y17" s="115" t="s">
        <v>94</v>
      </c>
      <c r="Z17" s="115" t="s">
        <v>722</v>
      </c>
      <c r="AA17" s="155">
        <v>5</v>
      </c>
      <c r="AB17" s="155">
        <v>36.520000000000003</v>
      </c>
      <c r="AC17" s="155">
        <v>39.164999999999999</v>
      </c>
      <c r="AD17" s="115" t="s">
        <v>729</v>
      </c>
      <c r="AE17" s="27"/>
      <c r="AF17" s="27"/>
      <c r="AG17" s="27"/>
      <c r="AH17" s="27"/>
      <c r="AP17" s="27"/>
      <c r="BD17" s="3"/>
      <c r="BF17" s="3"/>
      <c r="BG17" s="3"/>
      <c r="BH17" s="3"/>
      <c r="BI17" s="3"/>
      <c r="BJ17" s="3"/>
      <c r="BK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</row>
    <row r="18" spans="1:101" ht="15" x14ac:dyDescent="0.25">
      <c r="A18" t="s">
        <v>65</v>
      </c>
      <c r="C18" s="156">
        <v>45180</v>
      </c>
      <c r="D18" s="155" t="s">
        <v>730</v>
      </c>
      <c r="E18" s="155" t="s">
        <v>800</v>
      </c>
      <c r="F18" s="155" t="s">
        <v>85</v>
      </c>
      <c r="G18" s="115" t="s">
        <v>94</v>
      </c>
      <c r="H18" s="115" t="s">
        <v>7</v>
      </c>
      <c r="I18" s="155" t="s">
        <v>873</v>
      </c>
      <c r="J18" s="155" t="s">
        <v>737</v>
      </c>
      <c r="K18" s="115">
        <v>10</v>
      </c>
      <c r="L18" s="155" t="s">
        <v>94</v>
      </c>
      <c r="M18" s="115"/>
      <c r="N18" s="115" t="s">
        <v>40</v>
      </c>
      <c r="O18" s="115" t="s">
        <v>87</v>
      </c>
      <c r="P18" s="115">
        <v>1.4</v>
      </c>
      <c r="Q18" s="115" t="s">
        <v>336</v>
      </c>
      <c r="R18" s="155" t="s">
        <v>737</v>
      </c>
      <c r="S18" s="115" t="s">
        <v>7</v>
      </c>
      <c r="T18" s="115" t="s">
        <v>333</v>
      </c>
      <c r="U18" s="115" t="s">
        <v>117</v>
      </c>
      <c r="V18" s="115">
        <v>7.4999999999999997E-2</v>
      </c>
      <c r="W18" s="115" t="s">
        <v>263</v>
      </c>
      <c r="X18" s="115" t="s">
        <v>94</v>
      </c>
      <c r="Y18" s="115" t="s">
        <v>337</v>
      </c>
      <c r="Z18" s="115" t="s">
        <v>732</v>
      </c>
      <c r="AA18" s="155">
        <v>1.4</v>
      </c>
      <c r="AB18" s="155">
        <v>10.226000000000001</v>
      </c>
      <c r="AC18" s="155">
        <v>10.965999999999999</v>
      </c>
      <c r="AD18" s="115" t="s">
        <v>750</v>
      </c>
      <c r="AE18" s="27"/>
      <c r="AF18" s="27"/>
      <c r="AG18" s="27"/>
      <c r="AH18" s="27"/>
      <c r="AN18" s="27"/>
      <c r="AP18" s="27"/>
      <c r="BD18" s="3"/>
      <c r="BF18" s="3"/>
      <c r="BG18" s="3"/>
      <c r="BH18" s="3"/>
      <c r="BI18" s="3"/>
      <c r="BJ18" s="3"/>
      <c r="BK18" s="3"/>
      <c r="BL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</row>
    <row r="19" spans="1:101" ht="15" x14ac:dyDescent="0.25">
      <c r="A19" t="s">
        <v>58</v>
      </c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P19" s="27"/>
      <c r="BG19" s="3"/>
      <c r="BI19" s="3"/>
      <c r="BJ19" s="3"/>
      <c r="BK19" s="3"/>
      <c r="BL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</row>
    <row r="20" spans="1:101" ht="15" x14ac:dyDescent="0.25">
      <c r="A20" t="s">
        <v>89</v>
      </c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O20" s="27"/>
      <c r="AP20" s="27"/>
      <c r="AQ20" s="27"/>
      <c r="AR20" s="27"/>
      <c r="AS20" s="27"/>
      <c r="AT20" s="27"/>
      <c r="BO20" s="3"/>
      <c r="BP20" s="3"/>
      <c r="BS20" s="3"/>
      <c r="BT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</row>
    <row r="21" spans="1:101" ht="15" x14ac:dyDescent="0.25">
      <c r="A21" t="s">
        <v>122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t="s">
        <v>96</v>
      </c>
      <c r="AI21" t="s">
        <v>191</v>
      </c>
      <c r="AJ21" t="s">
        <v>223</v>
      </c>
      <c r="AK21" t="s">
        <v>246</v>
      </c>
      <c r="AL21" s="27"/>
      <c r="AO21" s="27"/>
      <c r="AP21" s="27"/>
      <c r="AQ21" s="27"/>
      <c r="AR21" s="27"/>
      <c r="AS21" s="27"/>
      <c r="AT21" s="27"/>
      <c r="BO21" s="3"/>
      <c r="BP21" s="3"/>
      <c r="BS21" s="3"/>
      <c r="BT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</row>
    <row r="22" spans="1:101" ht="15" x14ac:dyDescent="0.25">
      <c r="A22" t="s">
        <v>165</v>
      </c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114" t="s">
        <v>685</v>
      </c>
      <c r="AI22" t="s">
        <v>875</v>
      </c>
      <c r="AJ22"/>
      <c r="AK22"/>
      <c r="AL22" s="27"/>
      <c r="AM22" s="27"/>
      <c r="AN22" s="27"/>
      <c r="AO22" s="27"/>
      <c r="AP22" s="27"/>
      <c r="AQ22" s="27"/>
      <c r="AR22" s="27"/>
      <c r="AS22" s="27"/>
      <c r="AT22" s="27"/>
      <c r="BT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</row>
    <row r="23" spans="1:101" ht="15" x14ac:dyDescent="0.25">
      <c r="A23" t="s">
        <v>93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114" t="s">
        <v>671</v>
      </c>
      <c r="AI23" t="s">
        <v>876</v>
      </c>
      <c r="AJ23"/>
      <c r="AK23"/>
      <c r="AL23" s="27"/>
      <c r="AM23" s="27"/>
      <c r="AN23" s="27"/>
      <c r="AO23" s="27"/>
      <c r="AP23" s="27"/>
      <c r="AQ23" s="27"/>
      <c r="AR23" s="27"/>
      <c r="AS23" s="27"/>
      <c r="AT23" s="27"/>
      <c r="BT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</row>
    <row r="24" spans="1:101" ht="15" x14ac:dyDescent="0.25">
      <c r="A24" t="s">
        <v>181</v>
      </c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114" t="s">
        <v>699</v>
      </c>
      <c r="AI24" t="s">
        <v>877</v>
      </c>
      <c r="AJ24"/>
      <c r="AK24"/>
      <c r="AL24" s="27"/>
      <c r="AM24" s="27"/>
      <c r="AN24" s="27"/>
      <c r="AO24" s="27"/>
      <c r="AP24" s="27"/>
      <c r="AQ24" s="27"/>
      <c r="AR24" s="27"/>
      <c r="AS24" s="27"/>
      <c r="AT24" s="27"/>
      <c r="BT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</row>
    <row r="25" spans="1:101" ht="15" x14ac:dyDescent="0.25">
      <c r="A25" t="s">
        <v>591</v>
      </c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BT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</row>
    <row r="26" spans="1:101" ht="15" x14ac:dyDescent="0.25">
      <c r="A26" t="s">
        <v>52</v>
      </c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BT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</row>
    <row r="27" spans="1:101" ht="15" x14ac:dyDescent="0.25">
      <c r="A27" t="s">
        <v>226</v>
      </c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BU27" s="3"/>
      <c r="BV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</row>
    <row r="28" spans="1:101" ht="15" x14ac:dyDescent="0.25">
      <c r="A28" t="s">
        <v>228</v>
      </c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BU28" s="3"/>
      <c r="BV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</row>
    <row r="29" spans="1:101" ht="15" x14ac:dyDescent="0.25">
      <c r="A29" t="s">
        <v>49</v>
      </c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BU29" s="3"/>
      <c r="BV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</row>
    <row r="30" spans="1:101" ht="15" x14ac:dyDescent="0.25">
      <c r="A30" t="s">
        <v>186</v>
      </c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BU30" s="3"/>
      <c r="BV30" s="3"/>
      <c r="BX30" s="3"/>
      <c r="BY30" s="3"/>
      <c r="BZ30" s="3"/>
      <c r="CA30" s="3"/>
      <c r="CB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</row>
    <row r="31" spans="1:101" ht="15" x14ac:dyDescent="0.25">
      <c r="A31" t="s">
        <v>187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BU31" s="3"/>
      <c r="BV31" s="3"/>
      <c r="BX31" s="3"/>
      <c r="BY31" s="3"/>
      <c r="BZ31" s="3"/>
      <c r="CA31" s="3"/>
      <c r="CB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</row>
    <row r="32" spans="1:101" ht="15" x14ac:dyDescent="0.25">
      <c r="A32" t="s">
        <v>229</v>
      </c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BU32" s="3"/>
      <c r="BV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</row>
    <row r="33" spans="1:101" ht="15" x14ac:dyDescent="0.25">
      <c r="A33" t="s">
        <v>150</v>
      </c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BU33" s="3"/>
      <c r="BV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</row>
    <row r="34" spans="1:101" ht="13.5" x14ac:dyDescent="0.25"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BU34" s="3"/>
      <c r="BV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</row>
    <row r="35" spans="1:101" ht="13.5" x14ac:dyDescent="0.25"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BU35" s="3"/>
      <c r="BV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</row>
    <row r="36" spans="1:101" ht="13.5" x14ac:dyDescent="0.25"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BU36" s="3"/>
      <c r="BV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</row>
    <row r="37" spans="1:101" ht="15.75" customHeight="1" x14ac:dyDescent="0.25"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BU37" s="3"/>
      <c r="BV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</row>
    <row r="38" spans="1:101" ht="15.75" customHeight="1" x14ac:dyDescent="0.25"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BU38" s="3"/>
      <c r="BV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</row>
    <row r="39" spans="1:101" ht="15.75" customHeight="1" x14ac:dyDescent="0.25"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BU39" s="3"/>
      <c r="BV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</row>
    <row r="40" spans="1:101" ht="15.75" customHeight="1" x14ac:dyDescent="0.25"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BU40" s="3"/>
      <c r="BV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</row>
    <row r="41" spans="1:101" ht="15.75" customHeight="1" x14ac:dyDescent="0.25"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BU41" s="3"/>
      <c r="BV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</row>
    <row r="42" spans="1:101" ht="15.75" customHeight="1" x14ac:dyDescent="0.25"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BU42" s="3"/>
      <c r="BV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</row>
    <row r="43" spans="1:101" ht="15.75" customHeight="1" x14ac:dyDescent="0.25"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BU43" s="3"/>
      <c r="BV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</row>
    <row r="44" spans="1:101" ht="15.75" customHeight="1" x14ac:dyDescent="0.25"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BU44" s="3"/>
      <c r="BV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</row>
    <row r="45" spans="1:101" ht="15.75" customHeight="1" x14ac:dyDescent="0.25"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BU45" s="3"/>
      <c r="BV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</row>
    <row r="46" spans="1:101" ht="15.75" customHeight="1" x14ac:dyDescent="0.25"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BU46" s="3"/>
      <c r="BV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</row>
    <row r="47" spans="1:101" ht="15.75" customHeight="1" x14ac:dyDescent="0.25"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BU47" s="3"/>
      <c r="BV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</row>
    <row r="48" spans="1:101" ht="15.75" customHeight="1" x14ac:dyDescent="0.25"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BU48" s="3"/>
      <c r="BV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</row>
    <row r="49" spans="12:101" ht="15.75" customHeight="1" x14ac:dyDescent="0.25"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BU49" s="3"/>
      <c r="BV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</row>
    <row r="50" spans="12:101" ht="15.75" customHeight="1" x14ac:dyDescent="0.25"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BU50" s="3"/>
      <c r="BV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</row>
    <row r="51" spans="12:101" ht="15.75" customHeight="1" x14ac:dyDescent="0.25"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BU51" s="3"/>
      <c r="BV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</row>
    <row r="52" spans="12:101" ht="15.75" customHeight="1" x14ac:dyDescent="0.25"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BU52" s="3"/>
      <c r="BV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</row>
    <row r="53" spans="12:101" ht="15.75" customHeight="1" x14ac:dyDescent="0.25"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BU53" s="3"/>
      <c r="BV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</row>
    <row r="54" spans="12:101" ht="15.75" customHeight="1" x14ac:dyDescent="0.25"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BU54" s="3"/>
      <c r="BV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</row>
    <row r="55" spans="12:101" ht="15.75" customHeight="1" x14ac:dyDescent="0.25"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BU55" s="3"/>
      <c r="BV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</row>
    <row r="56" spans="12:101" ht="15.75" customHeight="1" x14ac:dyDescent="0.25"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BU56" s="3"/>
      <c r="BV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</row>
    <row r="57" spans="12:101" ht="15.75" customHeight="1" x14ac:dyDescent="0.25"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BU57" s="3"/>
      <c r="BV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</row>
    <row r="58" spans="12:101" ht="15.75" customHeight="1" x14ac:dyDescent="0.25"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BU58" s="3"/>
      <c r="BV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</row>
    <row r="59" spans="12:101" ht="13.5" x14ac:dyDescent="0.25"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H59" s="27"/>
      <c r="AI59" s="27"/>
      <c r="AJ59" s="27"/>
      <c r="AK59" s="27"/>
      <c r="AM59" s="27"/>
      <c r="AN59" s="27"/>
      <c r="AO59" s="27"/>
      <c r="AP59" s="27"/>
      <c r="AQ59" s="27"/>
      <c r="AR59" s="27"/>
      <c r="AS59" s="27"/>
      <c r="AT59" s="27"/>
      <c r="BU59" s="3"/>
      <c r="BV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</row>
    <row r="60" spans="12:101" ht="13.5" x14ac:dyDescent="0.25"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H60" s="27"/>
      <c r="AI60" s="27"/>
      <c r="AJ60" s="27"/>
      <c r="AK60" s="27"/>
      <c r="AN60" s="27"/>
      <c r="AO60" s="27"/>
      <c r="AP60" s="27"/>
      <c r="AQ60" s="27"/>
      <c r="AR60" s="27"/>
      <c r="AS60" s="27"/>
      <c r="AT60" s="27"/>
      <c r="BU60" s="3"/>
      <c r="BV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</row>
    <row r="61" spans="12:101" ht="13.5" x14ac:dyDescent="0.25"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H61" s="27"/>
      <c r="AI61" s="27"/>
      <c r="AJ61" s="27"/>
      <c r="AN61" s="27"/>
      <c r="AO61" s="27"/>
      <c r="AP61" s="27"/>
      <c r="AQ61" s="27"/>
      <c r="AR61" s="27"/>
      <c r="AS61" s="27"/>
      <c r="AT61" s="27"/>
      <c r="BU61" s="3"/>
      <c r="BV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</row>
    <row r="62" spans="12:101" ht="13.5" x14ac:dyDescent="0.25"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H62" s="27"/>
      <c r="AI62" s="27"/>
      <c r="AJ62" s="27"/>
      <c r="AN62" s="27"/>
      <c r="AO62" s="27"/>
      <c r="AP62" s="27"/>
      <c r="AQ62" s="27"/>
      <c r="AR62" s="27"/>
      <c r="AS62" s="27"/>
      <c r="AT62" s="27"/>
      <c r="BU62" s="3"/>
      <c r="BV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</row>
    <row r="63" spans="12:101" ht="13.5" x14ac:dyDescent="0.25"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H63" s="27"/>
      <c r="AI63" s="27"/>
      <c r="AN63" s="27"/>
      <c r="AQ63" s="27"/>
      <c r="AR63" s="27"/>
      <c r="AS63" s="27"/>
      <c r="AT63" s="27"/>
      <c r="BU63" s="3"/>
      <c r="BV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</row>
    <row r="64" spans="12:101" ht="13.5" x14ac:dyDescent="0.25"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I64" s="27"/>
      <c r="AN64" s="27"/>
      <c r="AQ64" s="27"/>
      <c r="AR64" s="27"/>
      <c r="AS64" s="27"/>
      <c r="AT64" s="27"/>
      <c r="BU64" s="3"/>
      <c r="BV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</row>
    <row r="65" spans="12:101" ht="13.5" x14ac:dyDescent="0.25"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N65" s="27"/>
      <c r="AQ65" s="27"/>
      <c r="AR65" s="27"/>
      <c r="AS65" s="27"/>
      <c r="AT65" s="27"/>
      <c r="BU65" s="3"/>
      <c r="BV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</row>
    <row r="66" spans="12:101" ht="13.5" x14ac:dyDescent="0.25"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N66" s="27"/>
      <c r="AQ66" s="27"/>
      <c r="BU66" s="3"/>
      <c r="BV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</row>
    <row r="67" spans="12:101" ht="13.5" x14ac:dyDescent="0.25">
      <c r="AN67" s="27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</row>
    <row r="68" spans="12:101" ht="13.5" x14ac:dyDescent="0.25"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</row>
    <row r="69" spans="12:101" ht="13.5" x14ac:dyDescent="0.25"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</row>
    <row r="70" spans="12:101" ht="13.5" x14ac:dyDescent="0.25"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</row>
    <row r="71" spans="12:101" ht="13.5" x14ac:dyDescent="0.25"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</row>
    <row r="72" spans="12:101" ht="13.5" x14ac:dyDescent="0.25"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</row>
    <row r="73" spans="12:101" ht="13.5" x14ac:dyDescent="0.25"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</row>
  </sheetData>
  <phoneticPr fontId="13" type="noConversion"/>
  <conditionalFormatting sqref="D1:I1">
    <cfRule type="expression" dxfId="21" priority="1">
      <formula>$D$1&lt;&gt;0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1</xdr:row>
                    <xdr:rowOff>142875</xdr:rowOff>
                  </from>
                  <to>
                    <xdr:col>3</xdr:col>
                    <xdr:colOff>2238375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topLeftCell="AK1" zoomScale="85" zoomScaleNormal="85" workbookViewId="0">
      <selection activeCell="AX7" sqref="AX7"/>
    </sheetView>
  </sheetViews>
  <sheetFormatPr defaultColWidth="8.88671875" defaultRowHeight="20.100000000000001" customHeight="1" outlineLevelCol="1" x14ac:dyDescent="0.25"/>
  <cols>
    <col min="1" max="1" width="17.88671875" style="29" customWidth="1"/>
    <col min="2" max="2" width="31.5546875" style="29" bestFit="1" customWidth="1"/>
    <col min="3" max="3" width="17.88671875" style="29" customWidth="1"/>
    <col min="4" max="5" width="11" style="29" bestFit="1" customWidth="1"/>
    <col min="6" max="6" width="12" style="1" customWidth="1"/>
    <col min="7" max="7" width="11" style="29" bestFit="1" customWidth="1"/>
    <col min="8" max="8" width="11" style="1" bestFit="1" customWidth="1"/>
    <col min="9" max="10" width="13" style="1" customWidth="1"/>
    <col min="11" max="11" width="11.77734375" style="29" customWidth="1"/>
    <col min="12" max="12" width="13.5546875" style="29" bestFit="1" customWidth="1"/>
    <col min="13" max="13" width="6.109375" style="1" customWidth="1"/>
    <col min="14" max="14" width="10.44140625" style="1" bestFit="1" customWidth="1"/>
    <col min="15" max="15" width="4.33203125" style="29" bestFit="1" customWidth="1"/>
    <col min="16" max="16" width="9.5546875" style="29" bestFit="1" customWidth="1"/>
    <col min="17" max="17" width="9.5546875" style="29" customWidth="1" outlineLevel="1"/>
    <col min="18" max="18" width="15.109375" style="29" bestFit="1" customWidth="1" outlineLevel="1"/>
    <col min="19" max="19" width="7.6640625" style="1" customWidth="1" outlineLevel="1"/>
    <col min="20" max="20" width="11" style="1" customWidth="1" outlineLevel="1"/>
    <col min="21" max="21" width="11" style="29" customWidth="1" outlineLevel="1"/>
    <col min="22" max="22" width="9.33203125" style="29" bestFit="1" customWidth="1" outlineLevel="1"/>
    <col min="23" max="23" width="7.6640625" style="1" customWidth="1" outlineLevel="1"/>
    <col min="24" max="24" width="14" style="29" customWidth="1" outlineLevel="1"/>
    <col min="25" max="25" width="6" style="29" customWidth="1" outlineLevel="1"/>
    <col min="26" max="26" width="7" style="1" customWidth="1" outlineLevel="1"/>
    <col min="27" max="27" width="6" style="29" customWidth="1" outlineLevel="1"/>
    <col min="28" max="29" width="20.109375" style="29" customWidth="1"/>
    <col min="30" max="30" width="11" style="29" customWidth="1"/>
    <col min="31" max="31" width="33.109375" style="29" customWidth="1"/>
    <col min="32" max="32" width="19.33203125" style="29" bestFit="1" customWidth="1"/>
    <col min="33" max="33" width="13.21875" style="29" bestFit="1" customWidth="1"/>
    <col min="34" max="34" width="9.33203125" style="29" bestFit="1" customWidth="1"/>
    <col min="35" max="35" width="7.6640625" style="29" bestFit="1" customWidth="1"/>
    <col min="36" max="36" width="9.88671875" style="29" bestFit="1" customWidth="1"/>
    <col min="37" max="37" width="12" style="29" bestFit="1" customWidth="1"/>
    <col min="38" max="38" width="9.109375" style="29" customWidth="1"/>
    <col min="39" max="39" width="14.44140625" style="29" customWidth="1"/>
    <col min="40" max="40" width="8.109375" style="29" customWidth="1"/>
    <col min="41" max="41" width="9.5546875" style="29" bestFit="1" customWidth="1"/>
    <col min="42" max="43" width="9.33203125" style="29" bestFit="1" customWidth="1"/>
    <col min="44" max="44" width="9.88671875" style="29" customWidth="1"/>
    <col min="45" max="45" width="8.77734375" style="29" bestFit="1" customWidth="1"/>
    <col min="46" max="46" width="7.6640625" style="29" bestFit="1" customWidth="1"/>
    <col min="47" max="47" width="12" style="29" bestFit="1" customWidth="1"/>
    <col min="48" max="48" width="7.6640625" style="29" bestFit="1" customWidth="1"/>
    <col min="49" max="49" width="31.5546875" style="29" bestFit="1" customWidth="1"/>
    <col min="50" max="50" width="15.6640625" style="29" bestFit="1" customWidth="1"/>
    <col min="51" max="51" width="10.44140625" style="29" customWidth="1"/>
    <col min="52" max="52" width="11.5546875" style="29" customWidth="1"/>
    <col min="53" max="53" width="12.44140625" style="29" bestFit="1" customWidth="1"/>
    <col min="54" max="54" width="10.77734375" style="29" bestFit="1" customWidth="1"/>
    <col min="55" max="55" width="10.33203125" style="29" bestFit="1" customWidth="1"/>
    <col min="56" max="56" width="10.77734375" style="29" bestFit="1" customWidth="1"/>
    <col min="57" max="57" width="13.109375" style="29" bestFit="1" customWidth="1"/>
    <col min="58" max="58" width="12.6640625" style="29" bestFit="1" customWidth="1"/>
    <col min="59" max="59" width="35.77734375" style="29" customWidth="1"/>
    <col min="60" max="60" width="15.6640625" style="29" customWidth="1"/>
    <col min="61" max="61" width="15.21875" style="29" customWidth="1"/>
    <col min="62" max="62" width="15.6640625" style="29" customWidth="1"/>
    <col min="63" max="64" width="15.5546875" style="29" customWidth="1"/>
    <col min="65" max="16384" width="8.88671875" style="29"/>
  </cols>
  <sheetData>
    <row r="1" spans="1:52" s="63" customFormat="1" ht="46.5" x14ac:dyDescent="0.55000000000000004">
      <c r="A1" s="61" t="s">
        <v>208</v>
      </c>
      <c r="B1" s="62"/>
      <c r="C1" s="87"/>
      <c r="F1" s="86" t="s">
        <v>271</v>
      </c>
      <c r="G1" s="86" t="s">
        <v>90</v>
      </c>
      <c r="H1" s="86" t="s">
        <v>54</v>
      </c>
      <c r="K1" s="86" t="s">
        <v>315</v>
      </c>
      <c r="L1" s="86" t="s">
        <v>92</v>
      </c>
      <c r="M1" s="86" t="s">
        <v>65</v>
      </c>
      <c r="AE1" s="61" t="s">
        <v>207</v>
      </c>
      <c r="AF1" s="87" t="s">
        <v>319</v>
      </c>
      <c r="AJ1" s="86" t="s">
        <v>185</v>
      </c>
      <c r="AL1" s="86" t="s">
        <v>184</v>
      </c>
      <c r="AO1" s="86" t="s">
        <v>158</v>
      </c>
      <c r="AR1" s="86" t="s">
        <v>218</v>
      </c>
      <c r="AS1" s="86" t="s">
        <v>219</v>
      </c>
      <c r="AT1" s="86" t="s">
        <v>220</v>
      </c>
      <c r="AW1" s="61" t="s">
        <v>206</v>
      </c>
      <c r="AX1" s="88" t="s">
        <v>320</v>
      </c>
      <c r="AY1" s="86" t="s">
        <v>223</v>
      </c>
      <c r="AZ1" s="86" t="s">
        <v>246</v>
      </c>
    </row>
    <row r="2" spans="1:52" s="64" customFormat="1" ht="75" customHeight="1" x14ac:dyDescent="0.35">
      <c r="B2" s="65"/>
      <c r="C2" s="95" t="s">
        <v>352</v>
      </c>
      <c r="D2" s="95" t="s">
        <v>352</v>
      </c>
      <c r="E2" s="95" t="s">
        <v>352</v>
      </c>
      <c r="F2" s="95" t="s">
        <v>352</v>
      </c>
      <c r="G2" s="95" t="s">
        <v>352</v>
      </c>
      <c r="H2" s="95" t="s">
        <v>352</v>
      </c>
      <c r="I2" s="95" t="s">
        <v>352</v>
      </c>
      <c r="J2" s="96"/>
      <c r="K2" s="95" t="s">
        <v>352</v>
      </c>
      <c r="AL2" s="95"/>
      <c r="AM2" s="95"/>
      <c r="AN2" s="95"/>
      <c r="AO2" s="95"/>
      <c r="AP2" s="95"/>
      <c r="AQ2" s="95"/>
      <c r="AR2" s="95"/>
      <c r="AS2" s="95"/>
      <c r="AT2" s="95"/>
      <c r="AX2" s="95" t="s">
        <v>352</v>
      </c>
      <c r="AY2" s="95" t="s">
        <v>352</v>
      </c>
      <c r="AZ2" s="95" t="s">
        <v>352</v>
      </c>
    </row>
    <row r="3" spans="1:52" s="67" customFormat="1" ht="33" customHeight="1" x14ac:dyDescent="0.25">
      <c r="A3" s="66" t="s">
        <v>50</v>
      </c>
      <c r="B3" s="66" t="s">
        <v>96</v>
      </c>
      <c r="C3" s="66" t="s">
        <v>190</v>
      </c>
      <c r="D3" s="66" t="s">
        <v>145</v>
      </c>
      <c r="E3" s="66" t="s">
        <v>42</v>
      </c>
      <c r="F3" s="66" t="s">
        <v>149</v>
      </c>
      <c r="G3" s="66" t="s">
        <v>90</v>
      </c>
      <c r="H3" s="66" t="s">
        <v>54</v>
      </c>
      <c r="I3" s="66" t="s">
        <v>179</v>
      </c>
      <c r="J3" s="66" t="s">
        <v>164</v>
      </c>
      <c r="K3" s="66" t="s">
        <v>151</v>
      </c>
      <c r="L3" s="66" t="s">
        <v>92</v>
      </c>
      <c r="M3" s="66" t="s">
        <v>65</v>
      </c>
      <c r="N3" s="66" t="s">
        <v>58</v>
      </c>
      <c r="O3" s="66" t="s">
        <v>89</v>
      </c>
      <c r="P3" s="66" t="s">
        <v>122</v>
      </c>
      <c r="Q3" s="66" t="s">
        <v>165</v>
      </c>
      <c r="R3" s="66" t="s">
        <v>93</v>
      </c>
      <c r="S3" s="66" t="s">
        <v>181</v>
      </c>
      <c r="T3" s="66" t="s">
        <v>591</v>
      </c>
      <c r="U3" s="66" t="s">
        <v>52</v>
      </c>
      <c r="V3" s="66" t="s">
        <v>226</v>
      </c>
      <c r="W3" s="66" t="s">
        <v>228</v>
      </c>
      <c r="X3" s="66" t="s">
        <v>49</v>
      </c>
      <c r="Y3" s="66" t="s">
        <v>186</v>
      </c>
      <c r="Z3" s="66" t="s">
        <v>187</v>
      </c>
      <c r="AA3" s="66" t="s">
        <v>229</v>
      </c>
      <c r="AB3" s="66" t="s">
        <v>150</v>
      </c>
      <c r="AE3" s="66" t="s">
        <v>96</v>
      </c>
      <c r="AF3" s="66" t="s">
        <v>150</v>
      </c>
      <c r="AG3" s="66" t="s">
        <v>49</v>
      </c>
      <c r="AH3" s="66" t="s">
        <v>50</v>
      </c>
      <c r="AI3" s="66" t="s">
        <v>222</v>
      </c>
      <c r="AJ3" s="66" t="s">
        <v>185</v>
      </c>
      <c r="AK3" s="66" t="s">
        <v>201</v>
      </c>
      <c r="AL3" s="66" t="s">
        <v>184</v>
      </c>
      <c r="AM3" s="66" t="s">
        <v>195</v>
      </c>
      <c r="AN3" s="66" t="s">
        <v>183</v>
      </c>
      <c r="AO3" s="66" t="s">
        <v>158</v>
      </c>
      <c r="AP3" s="66" t="s">
        <v>199</v>
      </c>
      <c r="AQ3" s="66" t="s">
        <v>200</v>
      </c>
      <c r="AR3" s="66" t="s">
        <v>218</v>
      </c>
      <c r="AS3" s="66" t="s">
        <v>219</v>
      </c>
      <c r="AT3" s="66" t="s">
        <v>220</v>
      </c>
      <c r="AU3" s="64"/>
      <c r="AW3" s="66" t="s">
        <v>96</v>
      </c>
      <c r="AX3" s="66" t="s">
        <v>191</v>
      </c>
      <c r="AY3" s="66" t="s">
        <v>223</v>
      </c>
      <c r="AZ3" s="66" t="s">
        <v>246</v>
      </c>
    </row>
    <row r="4" spans="1:52" ht="20.100000000000001" customHeight="1" x14ac:dyDescent="0.25">
      <c r="A4" s="68" t="s">
        <v>50</v>
      </c>
      <c r="B4" s="68" t="s">
        <v>96</v>
      </c>
      <c r="C4" s="68" t="s">
        <v>190</v>
      </c>
      <c r="D4" s="68" t="s">
        <v>145</v>
      </c>
      <c r="E4" s="68" t="s">
        <v>42</v>
      </c>
      <c r="F4" s="68" t="s">
        <v>149</v>
      </c>
      <c r="G4" s="68" t="s">
        <v>90</v>
      </c>
      <c r="H4" s="68" t="s">
        <v>54</v>
      </c>
      <c r="I4" s="68" t="s">
        <v>179</v>
      </c>
      <c r="J4" s="68" t="s">
        <v>164</v>
      </c>
      <c r="K4" s="68" t="s">
        <v>151</v>
      </c>
      <c r="L4" s="68" t="s">
        <v>92</v>
      </c>
      <c r="M4" s="68" t="s">
        <v>65</v>
      </c>
      <c r="N4" s="68" t="s">
        <v>58</v>
      </c>
      <c r="O4" s="68" t="s">
        <v>89</v>
      </c>
      <c r="P4" s="68" t="s">
        <v>122</v>
      </c>
      <c r="Q4" s="68" t="s">
        <v>165</v>
      </c>
      <c r="R4" s="68" t="s">
        <v>93</v>
      </c>
      <c r="S4" s="68" t="s">
        <v>181</v>
      </c>
      <c r="T4" s="68" t="s">
        <v>591</v>
      </c>
      <c r="U4" s="68" t="s">
        <v>52</v>
      </c>
      <c r="V4" s="68" t="s">
        <v>226</v>
      </c>
      <c r="W4" s="68" t="s">
        <v>228</v>
      </c>
      <c r="X4" s="68" t="s">
        <v>49</v>
      </c>
      <c r="Y4" s="68" t="s">
        <v>186</v>
      </c>
      <c r="Z4" s="68" t="s">
        <v>187</v>
      </c>
      <c r="AA4" s="68" t="s">
        <v>229</v>
      </c>
      <c r="AB4" s="68" t="s">
        <v>150</v>
      </c>
      <c r="AC4" s="67"/>
      <c r="AD4" s="67"/>
      <c r="AE4" s="69" t="s">
        <v>96</v>
      </c>
      <c r="AF4" s="69" t="s">
        <v>150</v>
      </c>
      <c r="AG4" s="69" t="s">
        <v>49</v>
      </c>
      <c r="AH4" s="69" t="s">
        <v>50</v>
      </c>
      <c r="AI4" s="69" t="s">
        <v>222</v>
      </c>
      <c r="AJ4" s="69" t="s">
        <v>185</v>
      </c>
      <c r="AK4" s="69" t="s">
        <v>201</v>
      </c>
      <c r="AL4" s="69" t="s">
        <v>184</v>
      </c>
      <c r="AM4" s="69" t="s">
        <v>195</v>
      </c>
      <c r="AN4" s="69" t="s">
        <v>183</v>
      </c>
      <c r="AO4" s="69" t="s">
        <v>158</v>
      </c>
      <c r="AP4" s="69" t="s">
        <v>199</v>
      </c>
      <c r="AQ4" s="69" t="s">
        <v>200</v>
      </c>
      <c r="AR4" s="69" t="s">
        <v>218</v>
      </c>
      <c r="AS4" s="69" t="s">
        <v>219</v>
      </c>
      <c r="AT4" s="69" t="s">
        <v>220</v>
      </c>
      <c r="AU4" s="64"/>
      <c r="AW4" s="69" t="s">
        <v>96</v>
      </c>
      <c r="AX4" s="69" t="s">
        <v>191</v>
      </c>
      <c r="AY4" s="69" t="s">
        <v>223</v>
      </c>
      <c r="AZ4" s="69" t="s">
        <v>246</v>
      </c>
    </row>
    <row r="5" spans="1:52" ht="20.100000000000001" customHeight="1" x14ac:dyDescent="0.3">
      <c r="A5" s="70">
        <v>45183</v>
      </c>
      <c r="B5" s="70" t="s">
        <v>426</v>
      </c>
      <c r="C5" s="71" t="s">
        <v>85</v>
      </c>
      <c r="D5" s="71" t="s">
        <v>85</v>
      </c>
      <c r="E5" s="71" t="s">
        <v>334</v>
      </c>
      <c r="F5" s="71" t="s">
        <v>7</v>
      </c>
      <c r="G5" s="71" t="s">
        <v>94</v>
      </c>
      <c r="H5" s="99" t="s">
        <v>335</v>
      </c>
      <c r="I5" s="71"/>
      <c r="J5" s="76" t="s">
        <v>94</v>
      </c>
      <c r="K5" s="73"/>
      <c r="L5" s="72" t="s">
        <v>115</v>
      </c>
      <c r="M5" s="73" t="s">
        <v>108</v>
      </c>
      <c r="N5" s="73">
        <v>2.6</v>
      </c>
      <c r="O5" s="73" t="s">
        <v>163</v>
      </c>
      <c r="P5" s="74" t="s">
        <v>335</v>
      </c>
      <c r="Q5" s="72" t="s">
        <v>7</v>
      </c>
      <c r="R5" s="73" t="s">
        <v>297</v>
      </c>
      <c r="S5" s="72" t="s">
        <v>117</v>
      </c>
      <c r="T5" s="73">
        <v>4.8000000000000001E-2</v>
      </c>
      <c r="U5" s="73" t="s">
        <v>598</v>
      </c>
      <c r="V5" s="73" t="s">
        <v>94</v>
      </c>
      <c r="W5" s="73" t="s">
        <v>94</v>
      </c>
      <c r="X5" s="73" t="s">
        <v>604</v>
      </c>
      <c r="Y5" s="73">
        <v>0.35599999999999998</v>
      </c>
      <c r="Z5" s="73">
        <v>2.6</v>
      </c>
      <c r="AA5" s="73">
        <v>2.7919999999999998</v>
      </c>
      <c r="AB5" s="73" t="s">
        <v>616</v>
      </c>
      <c r="AC5" s="67"/>
      <c r="AD5" s="67"/>
      <c r="AE5" s="66" t="s">
        <v>428</v>
      </c>
      <c r="AF5" s="66" t="s">
        <v>729</v>
      </c>
      <c r="AG5" s="97" t="s">
        <v>722</v>
      </c>
      <c r="AH5" s="97">
        <v>45180</v>
      </c>
      <c r="AI5" s="67"/>
      <c r="AJ5" s="67"/>
      <c r="AK5" s="67"/>
      <c r="AL5" s="79"/>
      <c r="AM5" s="98" t="s">
        <v>874</v>
      </c>
      <c r="AN5" s="98" t="s">
        <v>874</v>
      </c>
      <c r="AO5" s="77" t="s">
        <v>161</v>
      </c>
      <c r="AP5" s="77" t="s">
        <v>161</v>
      </c>
      <c r="AQ5" s="77" t="s">
        <v>7</v>
      </c>
      <c r="AR5" s="78"/>
      <c r="AS5" s="79"/>
      <c r="AT5" s="79"/>
      <c r="AU5" s="64"/>
      <c r="AW5" s="66" t="s">
        <v>685</v>
      </c>
      <c r="AX5" s="77" t="s">
        <v>875</v>
      </c>
      <c r="AY5" s="77"/>
      <c r="AZ5" s="77"/>
    </row>
    <row r="6" spans="1:52" ht="20.100000000000001" customHeight="1" x14ac:dyDescent="0.3">
      <c r="A6" s="70">
        <v>45182</v>
      </c>
      <c r="B6" s="70" t="s">
        <v>641</v>
      </c>
      <c r="C6" s="75" t="s">
        <v>85</v>
      </c>
      <c r="D6" s="75" t="s">
        <v>85</v>
      </c>
      <c r="E6" s="71" t="s">
        <v>94</v>
      </c>
      <c r="F6" s="71" t="s">
        <v>7</v>
      </c>
      <c r="G6" s="71" t="s">
        <v>854</v>
      </c>
      <c r="H6" s="80" t="s">
        <v>855</v>
      </c>
      <c r="I6" s="71">
        <v>40</v>
      </c>
      <c r="J6" s="81" t="s">
        <v>94</v>
      </c>
      <c r="K6" s="73"/>
      <c r="L6" s="72" t="s">
        <v>37</v>
      </c>
      <c r="M6" s="73" t="s">
        <v>108</v>
      </c>
      <c r="N6" s="73">
        <v>10</v>
      </c>
      <c r="O6" s="73" t="s">
        <v>856</v>
      </c>
      <c r="P6" s="73" t="s">
        <v>855</v>
      </c>
      <c r="Q6" s="72" t="s">
        <v>7</v>
      </c>
      <c r="R6" s="73" t="s">
        <v>333</v>
      </c>
      <c r="S6" s="72" t="s">
        <v>117</v>
      </c>
      <c r="T6" s="73">
        <v>2.7000000000000003E-2</v>
      </c>
      <c r="U6" s="73" t="s">
        <v>94</v>
      </c>
      <c r="V6" s="73" t="s">
        <v>94</v>
      </c>
      <c r="W6" s="73" t="s">
        <v>94</v>
      </c>
      <c r="X6" s="73" t="s">
        <v>664</v>
      </c>
      <c r="Y6" s="73">
        <v>1.37</v>
      </c>
      <c r="Z6" s="73">
        <v>10</v>
      </c>
      <c r="AA6" s="73">
        <v>10.76</v>
      </c>
      <c r="AB6" s="73" t="s">
        <v>670</v>
      </c>
      <c r="AC6" s="67"/>
      <c r="AD6" s="67"/>
      <c r="AE6" s="66" t="s">
        <v>498</v>
      </c>
      <c r="AF6" s="66" t="s">
        <v>631</v>
      </c>
      <c r="AG6" s="97" t="s">
        <v>618</v>
      </c>
      <c r="AH6" s="97">
        <v>45182</v>
      </c>
      <c r="AI6" s="67"/>
      <c r="AJ6" s="67"/>
      <c r="AK6" s="67"/>
      <c r="AL6" s="79"/>
      <c r="AM6" s="98" t="s">
        <v>874</v>
      </c>
      <c r="AN6" s="98" t="s">
        <v>874</v>
      </c>
      <c r="AO6" s="77" t="s">
        <v>160</v>
      </c>
      <c r="AP6" s="77" t="s">
        <v>161</v>
      </c>
      <c r="AQ6" s="77" t="s">
        <v>7</v>
      </c>
      <c r="AR6" s="82"/>
      <c r="AS6" s="79"/>
      <c r="AT6" s="77"/>
      <c r="AU6" s="64"/>
      <c r="AW6" s="66" t="s">
        <v>671</v>
      </c>
      <c r="AX6" s="77" t="s">
        <v>876</v>
      </c>
      <c r="AY6" s="77"/>
      <c r="AZ6" s="77"/>
    </row>
    <row r="7" spans="1:52" ht="20.100000000000001" customHeight="1" x14ac:dyDescent="0.3">
      <c r="A7" s="70">
        <v>45182</v>
      </c>
      <c r="B7" s="70" t="s">
        <v>671</v>
      </c>
      <c r="C7" s="71" t="s">
        <v>85</v>
      </c>
      <c r="D7" s="75" t="s">
        <v>85</v>
      </c>
      <c r="E7" s="71" t="s">
        <v>506</v>
      </c>
      <c r="F7" s="71" t="s">
        <v>7</v>
      </c>
      <c r="G7" s="71" t="s">
        <v>857</v>
      </c>
      <c r="H7" s="80" t="s">
        <v>676</v>
      </c>
      <c r="I7" s="71">
        <v>0</v>
      </c>
      <c r="J7" s="72" t="s">
        <v>94</v>
      </c>
      <c r="K7" s="73"/>
      <c r="L7" s="72" t="s">
        <v>114</v>
      </c>
      <c r="M7" s="73" t="s">
        <v>108</v>
      </c>
      <c r="N7" s="73">
        <v>5.8</v>
      </c>
      <c r="O7" s="73" t="s">
        <v>163</v>
      </c>
      <c r="P7" s="73" t="s">
        <v>676</v>
      </c>
      <c r="Q7" s="72" t="s">
        <v>7</v>
      </c>
      <c r="R7" s="73" t="s">
        <v>333</v>
      </c>
      <c r="S7" s="72" t="s">
        <v>117</v>
      </c>
      <c r="T7" s="73">
        <v>3.7000000000000005E-2</v>
      </c>
      <c r="U7" s="73" t="s">
        <v>598</v>
      </c>
      <c r="V7" s="73" t="s">
        <v>94</v>
      </c>
      <c r="W7" s="73" t="s">
        <v>94</v>
      </c>
      <c r="X7" s="73" t="s">
        <v>673</v>
      </c>
      <c r="Y7" s="73">
        <v>0.79500000000000004</v>
      </c>
      <c r="Z7" s="73">
        <v>5.8</v>
      </c>
      <c r="AA7" s="73">
        <v>6.2409999999999997</v>
      </c>
      <c r="AB7" s="73" t="s">
        <v>684</v>
      </c>
      <c r="AC7" s="67"/>
      <c r="AD7" s="67"/>
      <c r="AE7" s="66" t="s">
        <v>671</v>
      </c>
      <c r="AF7" s="66" t="s">
        <v>684</v>
      </c>
      <c r="AG7" s="97" t="s">
        <v>673</v>
      </c>
      <c r="AH7" s="97">
        <v>45182</v>
      </c>
      <c r="AI7" s="67"/>
      <c r="AJ7" s="67"/>
      <c r="AK7" s="67"/>
      <c r="AL7" s="79"/>
      <c r="AM7" s="98" t="s">
        <v>874</v>
      </c>
      <c r="AN7" s="79" t="s">
        <v>874</v>
      </c>
      <c r="AO7" s="77" t="s">
        <v>160</v>
      </c>
      <c r="AP7" s="77" t="s">
        <v>7</v>
      </c>
      <c r="AQ7" s="77" t="s">
        <v>7</v>
      </c>
      <c r="AR7" s="82"/>
      <c r="AS7" s="79"/>
      <c r="AT7" s="79"/>
      <c r="AU7" s="64"/>
      <c r="AW7" s="66" t="s">
        <v>699</v>
      </c>
      <c r="AX7" s="77" t="s">
        <v>877</v>
      </c>
      <c r="AY7" s="77"/>
      <c r="AZ7" s="77"/>
    </row>
    <row r="8" spans="1:52" ht="20.100000000000001" customHeight="1" x14ac:dyDescent="0.25">
      <c r="A8" s="70">
        <v>45182</v>
      </c>
      <c r="B8" s="70" t="s">
        <v>802</v>
      </c>
      <c r="C8" s="75" t="s">
        <v>85</v>
      </c>
      <c r="D8" s="75" t="s">
        <v>85</v>
      </c>
      <c r="E8" s="71" t="s">
        <v>94</v>
      </c>
      <c r="F8" s="71" t="s">
        <v>7</v>
      </c>
      <c r="G8" s="71" t="s">
        <v>874</v>
      </c>
      <c r="H8" s="80" t="s">
        <v>94</v>
      </c>
      <c r="I8" s="71"/>
      <c r="J8" s="72" t="s">
        <v>94</v>
      </c>
      <c r="K8" s="73"/>
      <c r="L8" s="72" t="s">
        <v>874</v>
      </c>
      <c r="M8" s="73" t="s">
        <v>108</v>
      </c>
      <c r="N8" s="73">
        <v>1.65</v>
      </c>
      <c r="O8" s="73" t="s">
        <v>858</v>
      </c>
      <c r="P8" s="73" t="s">
        <v>859</v>
      </c>
      <c r="Q8" s="72" t="s">
        <v>7</v>
      </c>
      <c r="R8" s="73" t="s">
        <v>94</v>
      </c>
      <c r="S8" s="72" t="s">
        <v>874</v>
      </c>
      <c r="T8" s="73">
        <v>0.03</v>
      </c>
      <c r="U8" s="73" t="s">
        <v>94</v>
      </c>
      <c r="V8" s="73" t="s">
        <v>94</v>
      </c>
      <c r="W8" s="73" t="s">
        <v>94</v>
      </c>
      <c r="X8" s="73" t="s">
        <v>801</v>
      </c>
      <c r="Y8" s="73">
        <v>0.22600000000000001</v>
      </c>
      <c r="Z8" s="73">
        <v>1.65</v>
      </c>
      <c r="AA8" s="73">
        <v>1.7749999999999999</v>
      </c>
      <c r="AB8" s="73" t="s">
        <v>803</v>
      </c>
      <c r="AC8" s="67"/>
      <c r="AD8" s="67"/>
      <c r="AE8" s="66" t="s">
        <v>428</v>
      </c>
      <c r="AF8" s="66" t="s">
        <v>720</v>
      </c>
      <c r="AG8" s="97" t="s">
        <v>713</v>
      </c>
      <c r="AH8" s="97">
        <v>45180</v>
      </c>
      <c r="AI8" s="67"/>
      <c r="AJ8" s="67"/>
      <c r="AK8" s="67"/>
      <c r="AL8" s="79"/>
      <c r="AM8" s="79"/>
      <c r="AN8" s="79"/>
      <c r="AO8" s="77" t="s">
        <v>7</v>
      </c>
      <c r="AP8" s="77" t="s">
        <v>160</v>
      </c>
      <c r="AQ8" s="77" t="s">
        <v>7</v>
      </c>
      <c r="AR8" s="78"/>
      <c r="AS8" s="79"/>
      <c r="AT8" s="77"/>
      <c r="AU8" s="64"/>
      <c r="AW8" s="66" t="s">
        <v>805</v>
      </c>
      <c r="AX8" s="77" t="s">
        <v>94</v>
      </c>
      <c r="AY8" s="77"/>
      <c r="AZ8" s="77"/>
    </row>
    <row r="9" spans="1:52" ht="20.100000000000001" customHeight="1" x14ac:dyDescent="0.25">
      <c r="A9" s="70">
        <v>45182</v>
      </c>
      <c r="B9" s="70" t="s">
        <v>641</v>
      </c>
      <c r="C9" s="75" t="s">
        <v>85</v>
      </c>
      <c r="D9" s="75" t="s">
        <v>85</v>
      </c>
      <c r="E9" s="71" t="s">
        <v>94</v>
      </c>
      <c r="F9" s="71" t="s">
        <v>7</v>
      </c>
      <c r="G9" s="71" t="s">
        <v>860</v>
      </c>
      <c r="H9" s="71" t="s">
        <v>661</v>
      </c>
      <c r="I9" s="75">
        <v>37</v>
      </c>
      <c r="J9" s="72" t="s">
        <v>94</v>
      </c>
      <c r="K9" s="73"/>
      <c r="L9" s="72" t="s">
        <v>37</v>
      </c>
      <c r="M9" s="73" t="s">
        <v>108</v>
      </c>
      <c r="N9" s="73">
        <v>10</v>
      </c>
      <c r="O9" s="73" t="s">
        <v>163</v>
      </c>
      <c r="P9" s="83" t="s">
        <v>661</v>
      </c>
      <c r="Q9" s="72" t="s">
        <v>7</v>
      </c>
      <c r="R9" s="73" t="s">
        <v>333</v>
      </c>
      <c r="S9" s="72" t="s">
        <v>117</v>
      </c>
      <c r="T9" s="73">
        <v>2.53E-2</v>
      </c>
      <c r="U9" s="73" t="s">
        <v>94</v>
      </c>
      <c r="V9" s="73" t="s">
        <v>94</v>
      </c>
      <c r="W9" s="73" t="s">
        <v>94</v>
      </c>
      <c r="X9" s="73" t="s">
        <v>658</v>
      </c>
      <c r="Y9" s="73">
        <v>1.37</v>
      </c>
      <c r="Z9" s="73">
        <v>10</v>
      </c>
      <c r="AA9" s="73">
        <v>10.76</v>
      </c>
      <c r="AB9" s="73" t="s">
        <v>662</v>
      </c>
      <c r="AC9" s="67"/>
      <c r="AD9" s="67"/>
      <c r="AE9" s="66" t="s">
        <v>641</v>
      </c>
      <c r="AF9" s="66" t="s">
        <v>670</v>
      </c>
      <c r="AG9" s="97" t="s">
        <v>664</v>
      </c>
      <c r="AH9" s="97">
        <v>45182</v>
      </c>
      <c r="AI9" s="67"/>
      <c r="AJ9" s="67"/>
      <c r="AK9" s="67"/>
      <c r="AL9" s="79"/>
      <c r="AM9" s="79"/>
      <c r="AN9" s="79"/>
      <c r="AO9" s="77" t="s">
        <v>7</v>
      </c>
      <c r="AP9" s="77" t="s">
        <v>161</v>
      </c>
      <c r="AQ9" s="77" t="s">
        <v>7</v>
      </c>
      <c r="AR9" s="78"/>
      <c r="AS9" s="79"/>
      <c r="AT9" s="77"/>
      <c r="AU9" s="64"/>
      <c r="AW9" s="66"/>
      <c r="AX9" s="77"/>
      <c r="AY9" s="77"/>
      <c r="AZ9" s="77"/>
    </row>
    <row r="10" spans="1:52" ht="20.100000000000001" customHeight="1" x14ac:dyDescent="0.25">
      <c r="A10" s="70">
        <v>45182</v>
      </c>
      <c r="B10" s="70" t="s">
        <v>498</v>
      </c>
      <c r="C10" s="75" t="s">
        <v>85</v>
      </c>
      <c r="D10" s="75" t="s">
        <v>377</v>
      </c>
      <c r="E10" s="71" t="s">
        <v>94</v>
      </c>
      <c r="F10" s="71" t="s">
        <v>7</v>
      </c>
      <c r="G10" s="71" t="s">
        <v>444</v>
      </c>
      <c r="H10" s="84" t="s">
        <v>445</v>
      </c>
      <c r="I10" s="71">
        <v>47</v>
      </c>
      <c r="J10" s="81" t="s">
        <v>445</v>
      </c>
      <c r="K10" s="73"/>
      <c r="L10" s="72" t="s">
        <v>37</v>
      </c>
      <c r="M10" s="73" t="s">
        <v>87</v>
      </c>
      <c r="N10" s="73">
        <v>5.5</v>
      </c>
      <c r="O10" s="73" t="s">
        <v>163</v>
      </c>
      <c r="P10" s="73" t="s">
        <v>445</v>
      </c>
      <c r="Q10" s="72" t="s">
        <v>861</v>
      </c>
      <c r="R10" s="73" t="s">
        <v>333</v>
      </c>
      <c r="S10" s="72" t="s">
        <v>442</v>
      </c>
      <c r="T10" s="73"/>
      <c r="U10" s="73" t="s">
        <v>263</v>
      </c>
      <c r="V10" s="73" t="s">
        <v>862</v>
      </c>
      <c r="W10" s="73" t="s">
        <v>94</v>
      </c>
      <c r="X10" s="73" t="s">
        <v>618</v>
      </c>
      <c r="Y10" s="73">
        <v>5.5</v>
      </c>
      <c r="Z10" s="73">
        <v>40.002000000000002</v>
      </c>
      <c r="AA10" s="73">
        <v>43.042999999999999</v>
      </c>
      <c r="AB10" s="73" t="s">
        <v>631</v>
      </c>
      <c r="AC10" s="67"/>
      <c r="AD10" s="67"/>
      <c r="AE10" s="66" t="s">
        <v>641</v>
      </c>
      <c r="AF10" s="66" t="s">
        <v>662</v>
      </c>
      <c r="AG10" s="97" t="s">
        <v>658</v>
      </c>
      <c r="AH10" s="97">
        <v>45182</v>
      </c>
      <c r="AI10" s="67"/>
      <c r="AJ10" s="67"/>
      <c r="AK10" s="67"/>
      <c r="AL10" s="79"/>
      <c r="AM10" s="77"/>
      <c r="AN10" s="77"/>
      <c r="AO10" s="77" t="s">
        <v>7</v>
      </c>
      <c r="AP10" s="77" t="s">
        <v>161</v>
      </c>
      <c r="AQ10" s="77" t="s">
        <v>7</v>
      </c>
      <c r="AR10" s="78"/>
      <c r="AS10" s="77"/>
      <c r="AT10" s="77"/>
      <c r="AU10" s="64"/>
      <c r="AW10" s="66"/>
      <c r="AX10" s="77"/>
      <c r="AY10" s="77"/>
      <c r="AZ10" s="77"/>
    </row>
    <row r="11" spans="1:52" ht="20.100000000000001" customHeight="1" x14ac:dyDescent="0.25">
      <c r="A11" s="70">
        <v>45182</v>
      </c>
      <c r="B11" s="70" t="s">
        <v>685</v>
      </c>
      <c r="C11" s="75" t="s">
        <v>85</v>
      </c>
      <c r="D11" s="75" t="s">
        <v>85</v>
      </c>
      <c r="E11" s="71" t="s">
        <v>427</v>
      </c>
      <c r="F11" s="71" t="s">
        <v>7</v>
      </c>
      <c r="G11" s="80" t="s">
        <v>863</v>
      </c>
      <c r="H11" s="80" t="s">
        <v>94</v>
      </c>
      <c r="I11" s="71">
        <v>0</v>
      </c>
      <c r="J11" s="72" t="s">
        <v>94</v>
      </c>
      <c r="K11" s="73"/>
      <c r="L11" s="72" t="s">
        <v>115</v>
      </c>
      <c r="M11" s="73" t="s">
        <v>330</v>
      </c>
      <c r="N11" s="73">
        <v>76</v>
      </c>
      <c r="O11" s="73" t="s">
        <v>163</v>
      </c>
      <c r="P11" s="73" t="s">
        <v>375</v>
      </c>
      <c r="Q11" s="72" t="s">
        <v>7</v>
      </c>
      <c r="R11" s="73" t="s">
        <v>112</v>
      </c>
      <c r="S11" s="72" t="s">
        <v>117</v>
      </c>
      <c r="T11" s="73">
        <v>2.3E-2</v>
      </c>
      <c r="U11" s="73" t="s">
        <v>94</v>
      </c>
      <c r="V11" s="73" t="s">
        <v>94</v>
      </c>
      <c r="W11" s="73" t="s">
        <v>94</v>
      </c>
      <c r="X11" s="73" t="s">
        <v>687</v>
      </c>
      <c r="Y11" s="73">
        <v>0.53200000000000003</v>
      </c>
      <c r="Z11" s="73">
        <v>3.7240000000000002</v>
      </c>
      <c r="AA11" s="73">
        <v>4.0279999999999996</v>
      </c>
      <c r="AB11" s="73" t="s">
        <v>698</v>
      </c>
      <c r="AC11" s="67"/>
      <c r="AD11" s="67"/>
      <c r="AE11" s="66" t="s">
        <v>641</v>
      </c>
      <c r="AF11" s="66" t="s">
        <v>656</v>
      </c>
      <c r="AG11" s="97" t="s">
        <v>643</v>
      </c>
      <c r="AH11" s="66">
        <v>45182</v>
      </c>
      <c r="AI11" s="67"/>
      <c r="AJ11" s="67"/>
      <c r="AK11" s="67"/>
      <c r="AL11" s="79"/>
      <c r="AM11" s="77"/>
      <c r="AN11" s="77"/>
      <c r="AO11" s="77" t="s">
        <v>7</v>
      </c>
      <c r="AP11" s="77" t="s">
        <v>161</v>
      </c>
      <c r="AQ11" s="77" t="s">
        <v>7</v>
      </c>
      <c r="AR11" s="82"/>
      <c r="AS11" s="77"/>
      <c r="AT11" s="77"/>
      <c r="AU11" s="64"/>
    </row>
    <row r="12" spans="1:52" ht="20.100000000000001" customHeight="1" x14ac:dyDescent="0.25">
      <c r="A12" s="70">
        <v>45182</v>
      </c>
      <c r="B12" s="70" t="s">
        <v>641</v>
      </c>
      <c r="C12" s="71" t="s">
        <v>85</v>
      </c>
      <c r="D12" s="75" t="s">
        <v>85</v>
      </c>
      <c r="E12" s="71" t="s">
        <v>94</v>
      </c>
      <c r="F12" s="71" t="s">
        <v>7</v>
      </c>
      <c r="G12" s="71" t="s">
        <v>864</v>
      </c>
      <c r="H12" s="80" t="s">
        <v>646</v>
      </c>
      <c r="I12" s="71">
        <v>35</v>
      </c>
      <c r="J12" s="72" t="s">
        <v>94</v>
      </c>
      <c r="K12" s="73"/>
      <c r="L12" s="72" t="s">
        <v>37</v>
      </c>
      <c r="M12" s="73" t="s">
        <v>108</v>
      </c>
      <c r="N12" s="73">
        <v>30</v>
      </c>
      <c r="O12" s="73" t="s">
        <v>378</v>
      </c>
      <c r="P12" s="73" t="s">
        <v>646</v>
      </c>
      <c r="Q12" s="72" t="s">
        <v>7</v>
      </c>
      <c r="R12" s="73" t="s">
        <v>333</v>
      </c>
      <c r="S12" s="72" t="s">
        <v>117</v>
      </c>
      <c r="T12" s="73">
        <v>2.4500000000000001E-2</v>
      </c>
      <c r="U12" s="73" t="s">
        <v>94</v>
      </c>
      <c r="V12" s="73" t="s">
        <v>94</v>
      </c>
      <c r="W12" s="73" t="s">
        <v>94</v>
      </c>
      <c r="X12" s="73" t="s">
        <v>643</v>
      </c>
      <c r="Y12" s="73">
        <v>4.1100000000000003</v>
      </c>
      <c r="Z12" s="73">
        <v>30</v>
      </c>
      <c r="AA12" s="73">
        <v>32.28</v>
      </c>
      <c r="AB12" s="73" t="s">
        <v>656</v>
      </c>
      <c r="AC12" s="67"/>
      <c r="AD12" s="67"/>
      <c r="AE12" s="66"/>
      <c r="AF12" s="66"/>
      <c r="AG12" s="97"/>
      <c r="AH12" s="66"/>
      <c r="AI12" s="67"/>
      <c r="AJ12" s="67"/>
      <c r="AK12" s="67"/>
      <c r="AL12" s="79"/>
      <c r="AM12" s="77"/>
      <c r="AN12" s="77"/>
      <c r="AO12" s="77"/>
      <c r="AP12" s="77"/>
      <c r="AQ12" s="77"/>
      <c r="AR12" s="82"/>
      <c r="AS12" s="77"/>
      <c r="AT12" s="77"/>
      <c r="AU12" s="64"/>
    </row>
    <row r="13" spans="1:52" ht="20.100000000000001" customHeight="1" x14ac:dyDescent="0.25">
      <c r="A13" s="70">
        <v>45181</v>
      </c>
      <c r="B13" s="70" t="s">
        <v>805</v>
      </c>
      <c r="C13" s="71" t="s">
        <v>85</v>
      </c>
      <c r="D13" s="71" t="s">
        <v>85</v>
      </c>
      <c r="E13" s="71" t="s">
        <v>94</v>
      </c>
      <c r="F13" s="71" t="s">
        <v>7</v>
      </c>
      <c r="G13" s="71" t="s">
        <v>874</v>
      </c>
      <c r="H13" s="99" t="s">
        <v>94</v>
      </c>
      <c r="I13" s="71"/>
      <c r="J13" s="72" t="s">
        <v>94</v>
      </c>
      <c r="K13" s="73"/>
      <c r="L13" s="72" t="s">
        <v>874</v>
      </c>
      <c r="M13" s="73" t="s">
        <v>108</v>
      </c>
      <c r="N13" s="73">
        <v>2</v>
      </c>
      <c r="O13" s="73" t="s">
        <v>336</v>
      </c>
      <c r="P13" s="73" t="s">
        <v>865</v>
      </c>
      <c r="Q13" s="72" t="s">
        <v>7</v>
      </c>
      <c r="R13" s="73" t="s">
        <v>94</v>
      </c>
      <c r="S13" s="72" t="s">
        <v>874</v>
      </c>
      <c r="T13" s="73">
        <v>4.2000000000000003E-2</v>
      </c>
      <c r="U13" s="73" t="s">
        <v>94</v>
      </c>
      <c r="V13" s="73" t="s">
        <v>94</v>
      </c>
      <c r="W13" s="73" t="s">
        <v>866</v>
      </c>
      <c r="X13" s="73" t="s">
        <v>804</v>
      </c>
      <c r="Y13" s="73">
        <v>0.27400000000000002</v>
      </c>
      <c r="Z13" s="73">
        <v>2</v>
      </c>
      <c r="AA13" s="73">
        <v>2.1440000000000001</v>
      </c>
      <c r="AB13" s="73" t="s">
        <v>808</v>
      </c>
      <c r="AC13" s="67"/>
      <c r="AD13" s="67"/>
      <c r="AQ13" s="67"/>
      <c r="AR13" s="67"/>
      <c r="AT13" s="67"/>
      <c r="AU13" s="64"/>
    </row>
    <row r="14" spans="1:52" ht="20.100000000000001" customHeight="1" x14ac:dyDescent="0.25">
      <c r="A14" s="70">
        <v>45181</v>
      </c>
      <c r="B14" s="70" t="s">
        <v>699</v>
      </c>
      <c r="C14" s="71" t="s">
        <v>770</v>
      </c>
      <c r="D14" s="71" t="s">
        <v>85</v>
      </c>
      <c r="E14" s="71" t="s">
        <v>94</v>
      </c>
      <c r="F14" s="71" t="s">
        <v>7</v>
      </c>
      <c r="G14" s="71" t="s">
        <v>94</v>
      </c>
      <c r="H14" s="71" t="s">
        <v>94</v>
      </c>
      <c r="I14" s="71"/>
      <c r="J14" s="72" t="s">
        <v>94</v>
      </c>
      <c r="K14" s="73"/>
      <c r="L14" s="72" t="s">
        <v>40</v>
      </c>
      <c r="M14" s="73" t="s">
        <v>108</v>
      </c>
      <c r="N14" s="73">
        <v>2.15</v>
      </c>
      <c r="O14" s="73" t="s">
        <v>163</v>
      </c>
      <c r="P14" s="73" t="s">
        <v>867</v>
      </c>
      <c r="Q14" s="72" t="s">
        <v>7</v>
      </c>
      <c r="R14" s="73" t="s">
        <v>297</v>
      </c>
      <c r="S14" s="72" t="s">
        <v>117</v>
      </c>
      <c r="T14" s="73">
        <v>5.7999999999999996E-2</v>
      </c>
      <c r="U14" s="73" t="s">
        <v>94</v>
      </c>
      <c r="V14" s="73" t="s">
        <v>94</v>
      </c>
      <c r="W14" s="73" t="s">
        <v>94</v>
      </c>
      <c r="X14" s="73" t="s">
        <v>701</v>
      </c>
      <c r="Y14" s="73">
        <v>0.29499999999999998</v>
      </c>
      <c r="Z14" s="73">
        <v>2.15</v>
      </c>
      <c r="AA14" s="73">
        <v>2.3050000000000002</v>
      </c>
      <c r="AB14" s="73" t="s">
        <v>711</v>
      </c>
      <c r="AC14" s="67"/>
      <c r="AD14" s="67"/>
      <c r="AR14" s="67"/>
      <c r="AT14" s="67"/>
    </row>
    <row r="15" spans="1:52" ht="20.100000000000001" customHeight="1" x14ac:dyDescent="0.25">
      <c r="A15" s="70">
        <v>45180</v>
      </c>
      <c r="B15" s="70" t="s">
        <v>428</v>
      </c>
      <c r="C15" s="71" t="s">
        <v>85</v>
      </c>
      <c r="D15" s="71" t="s">
        <v>793</v>
      </c>
      <c r="E15" s="71" t="s">
        <v>94</v>
      </c>
      <c r="F15" s="71" t="s">
        <v>7</v>
      </c>
      <c r="G15" s="71" t="s">
        <v>443</v>
      </c>
      <c r="H15" s="80" t="s">
        <v>717</v>
      </c>
      <c r="I15" s="71">
        <v>32</v>
      </c>
      <c r="J15" s="72" t="s">
        <v>94</v>
      </c>
      <c r="K15" s="73"/>
      <c r="L15" s="72" t="s">
        <v>37</v>
      </c>
      <c r="M15" s="73" t="s">
        <v>108</v>
      </c>
      <c r="N15" s="73">
        <v>20</v>
      </c>
      <c r="O15" s="73" t="s">
        <v>163</v>
      </c>
      <c r="P15" s="73" t="s">
        <v>717</v>
      </c>
      <c r="Q15" s="72" t="s">
        <v>7</v>
      </c>
      <c r="R15" s="73" t="s">
        <v>868</v>
      </c>
      <c r="S15" s="72" t="s">
        <v>117</v>
      </c>
      <c r="T15" s="73">
        <v>2.98E-2</v>
      </c>
      <c r="U15" s="73" t="s">
        <v>263</v>
      </c>
      <c r="V15" s="73" t="s">
        <v>869</v>
      </c>
      <c r="W15" s="73" t="s">
        <v>94</v>
      </c>
      <c r="X15" s="73" t="s">
        <v>713</v>
      </c>
      <c r="Y15" s="73">
        <v>2.74</v>
      </c>
      <c r="Z15" s="73">
        <v>20</v>
      </c>
      <c r="AA15" s="73">
        <v>21.44</v>
      </c>
      <c r="AB15" s="73" t="s">
        <v>720</v>
      </c>
      <c r="AC15" s="67"/>
      <c r="AD15" s="67"/>
      <c r="AR15" s="67"/>
      <c r="AT15" s="67"/>
    </row>
    <row r="16" spans="1:52" ht="20.100000000000001" customHeight="1" x14ac:dyDescent="0.25">
      <c r="A16" s="70">
        <v>45180</v>
      </c>
      <c r="B16" s="70" t="s">
        <v>428</v>
      </c>
      <c r="C16" s="71" t="s">
        <v>85</v>
      </c>
      <c r="D16" s="71" t="s">
        <v>793</v>
      </c>
      <c r="E16" s="71" t="s">
        <v>94</v>
      </c>
      <c r="F16" s="71" t="s">
        <v>7</v>
      </c>
      <c r="G16" s="71" t="s">
        <v>441</v>
      </c>
      <c r="H16" s="71" t="s">
        <v>870</v>
      </c>
      <c r="I16" s="71">
        <v>45</v>
      </c>
      <c r="J16" s="72" t="s">
        <v>870</v>
      </c>
      <c r="K16" s="73"/>
      <c r="L16" s="72" t="s">
        <v>37</v>
      </c>
      <c r="M16" s="73" t="s">
        <v>87</v>
      </c>
      <c r="N16" s="73">
        <v>5</v>
      </c>
      <c r="O16" s="73" t="s">
        <v>163</v>
      </c>
      <c r="P16" s="73" t="s">
        <v>871</v>
      </c>
      <c r="Q16" s="72" t="s">
        <v>7</v>
      </c>
      <c r="R16" s="73" t="s">
        <v>868</v>
      </c>
      <c r="S16" s="72" t="s">
        <v>442</v>
      </c>
      <c r="T16" s="73">
        <v>5.9340000000000004E-2</v>
      </c>
      <c r="U16" s="73" t="s">
        <v>263</v>
      </c>
      <c r="V16" s="73" t="s">
        <v>872</v>
      </c>
      <c r="W16" s="73" t="s">
        <v>94</v>
      </c>
      <c r="X16" s="73" t="s">
        <v>722</v>
      </c>
      <c r="Y16" s="73">
        <v>5</v>
      </c>
      <c r="Z16" s="73">
        <v>36.520000000000003</v>
      </c>
      <c r="AA16" s="73">
        <v>39.164999999999999</v>
      </c>
      <c r="AB16" s="73" t="s">
        <v>729</v>
      </c>
      <c r="AC16" s="67"/>
      <c r="AD16" s="67"/>
    </row>
    <row r="17" spans="1:42" ht="20.100000000000001" customHeight="1" x14ac:dyDescent="0.25">
      <c r="A17" s="70">
        <v>45180</v>
      </c>
      <c r="B17" s="70" t="s">
        <v>730</v>
      </c>
      <c r="C17" s="71" t="s">
        <v>800</v>
      </c>
      <c r="D17" s="71" t="s">
        <v>85</v>
      </c>
      <c r="E17" s="71" t="s">
        <v>94</v>
      </c>
      <c r="F17" s="71" t="s">
        <v>7</v>
      </c>
      <c r="G17" s="71" t="s">
        <v>873</v>
      </c>
      <c r="H17" s="71" t="s">
        <v>737</v>
      </c>
      <c r="I17" s="71">
        <v>10</v>
      </c>
      <c r="J17" s="72" t="s">
        <v>94</v>
      </c>
      <c r="K17" s="73"/>
      <c r="L17" s="72" t="s">
        <v>40</v>
      </c>
      <c r="M17" s="73" t="s">
        <v>87</v>
      </c>
      <c r="N17" s="73">
        <v>1.4</v>
      </c>
      <c r="O17" s="73" t="s">
        <v>336</v>
      </c>
      <c r="P17" s="73" t="s">
        <v>737</v>
      </c>
      <c r="Q17" s="72" t="s">
        <v>7</v>
      </c>
      <c r="R17" s="73" t="s">
        <v>333</v>
      </c>
      <c r="S17" s="72" t="s">
        <v>117</v>
      </c>
      <c r="T17" s="73">
        <v>7.4999999999999997E-2</v>
      </c>
      <c r="U17" s="73" t="s">
        <v>263</v>
      </c>
      <c r="V17" s="73" t="s">
        <v>94</v>
      </c>
      <c r="W17" s="73" t="s">
        <v>337</v>
      </c>
      <c r="X17" s="73" t="s">
        <v>732</v>
      </c>
      <c r="Y17" s="73">
        <v>1.4</v>
      </c>
      <c r="Z17" s="73">
        <v>10.226000000000001</v>
      </c>
      <c r="AA17" s="73">
        <v>10.965999999999999</v>
      </c>
      <c r="AB17" s="73" t="s">
        <v>750</v>
      </c>
      <c r="AC17" s="67"/>
      <c r="AD17" s="67"/>
    </row>
    <row r="18" spans="1:42" ht="20.100000000000001" customHeight="1" x14ac:dyDescent="0.25">
      <c r="A18" s="70"/>
      <c r="B18" s="70"/>
      <c r="C18" s="71"/>
      <c r="D18" s="71"/>
      <c r="E18" s="71"/>
      <c r="F18" s="71"/>
      <c r="G18" s="71"/>
      <c r="H18" s="71"/>
      <c r="I18" s="71"/>
      <c r="J18" s="72"/>
      <c r="K18" s="73"/>
      <c r="L18" s="72"/>
      <c r="M18" s="73"/>
      <c r="N18" s="73"/>
      <c r="O18" s="73"/>
      <c r="P18" s="73"/>
      <c r="Q18" s="72"/>
      <c r="R18" s="73"/>
      <c r="S18" s="72"/>
      <c r="T18" s="73"/>
      <c r="U18" s="73"/>
      <c r="V18" s="73"/>
      <c r="W18" s="73"/>
      <c r="X18" s="73"/>
      <c r="Y18" s="73"/>
      <c r="Z18" s="73"/>
      <c r="AA18" s="73"/>
      <c r="AB18" s="73"/>
      <c r="AC18" s="67"/>
      <c r="AD18" s="67"/>
    </row>
    <row r="19" spans="1:42" ht="20.100000000000001" customHeight="1" x14ac:dyDescent="0.25">
      <c r="A19" s="70"/>
      <c r="B19" s="70"/>
      <c r="C19" s="71"/>
      <c r="D19" s="71"/>
      <c r="E19" s="71"/>
      <c r="F19" s="71"/>
      <c r="G19" s="71"/>
      <c r="H19" s="71"/>
      <c r="I19" s="71"/>
      <c r="J19" s="72"/>
      <c r="K19" s="73"/>
      <c r="L19" s="72"/>
      <c r="M19" s="73"/>
      <c r="N19" s="73"/>
      <c r="O19" s="73"/>
      <c r="P19" s="73"/>
      <c r="Q19" s="72"/>
      <c r="R19" s="73"/>
      <c r="S19" s="72"/>
      <c r="T19" s="73"/>
      <c r="U19" s="73"/>
      <c r="V19" s="73"/>
      <c r="W19" s="73"/>
      <c r="X19" s="73"/>
      <c r="Y19" s="73"/>
      <c r="Z19" s="73"/>
      <c r="AA19" s="73"/>
      <c r="AB19" s="73"/>
      <c r="AC19" s="67"/>
      <c r="AD19" s="67"/>
    </row>
    <row r="20" spans="1:42" ht="20.100000000000001" customHeight="1" x14ac:dyDescent="0.25">
      <c r="A20" s="70"/>
      <c r="B20" s="70"/>
      <c r="C20" s="71"/>
      <c r="D20" s="71"/>
      <c r="E20" s="71"/>
      <c r="F20" s="71"/>
      <c r="G20" s="71"/>
      <c r="H20" s="71"/>
      <c r="I20" s="71"/>
      <c r="J20" s="72"/>
      <c r="K20" s="73"/>
      <c r="L20" s="72"/>
      <c r="M20" s="73"/>
      <c r="N20" s="73"/>
      <c r="O20" s="73"/>
      <c r="P20" s="73"/>
      <c r="Q20" s="72"/>
      <c r="R20" s="73"/>
      <c r="S20" s="72"/>
      <c r="T20" s="73"/>
      <c r="U20" s="73"/>
      <c r="V20" s="73"/>
      <c r="W20" s="73"/>
      <c r="X20" s="73"/>
      <c r="Y20" s="73"/>
      <c r="Z20" s="73"/>
      <c r="AA20" s="73"/>
      <c r="AB20" s="73"/>
      <c r="AC20" s="67"/>
      <c r="AD20" s="67"/>
    </row>
    <row r="21" spans="1:42" ht="20.100000000000001" customHeight="1" x14ac:dyDescent="0.25">
      <c r="A21" s="70"/>
      <c r="B21" s="70"/>
      <c r="C21" s="71"/>
      <c r="D21" s="71"/>
      <c r="E21" s="71"/>
      <c r="F21" s="71"/>
      <c r="G21" s="71"/>
      <c r="H21" s="71"/>
      <c r="I21" s="71"/>
      <c r="J21" s="72"/>
      <c r="K21" s="73"/>
      <c r="L21" s="72"/>
      <c r="M21" s="73"/>
      <c r="N21" s="73"/>
      <c r="O21" s="73"/>
      <c r="P21" s="73"/>
      <c r="Q21" s="72"/>
      <c r="R21" s="73"/>
      <c r="S21" s="72"/>
      <c r="T21" s="73"/>
      <c r="U21" s="73"/>
      <c r="V21" s="73"/>
      <c r="W21" s="73"/>
      <c r="X21" s="73"/>
      <c r="Y21" s="73"/>
      <c r="Z21" s="73"/>
      <c r="AA21" s="73"/>
      <c r="AB21" s="73"/>
      <c r="AC21" s="67"/>
      <c r="AD21" s="67"/>
    </row>
    <row r="22" spans="1:42" ht="20.100000000000001" customHeight="1" x14ac:dyDescent="0.25">
      <c r="A22" s="70"/>
      <c r="B22" s="70"/>
      <c r="C22" s="71"/>
      <c r="D22" s="71"/>
      <c r="E22" s="71"/>
      <c r="F22" s="71"/>
      <c r="G22" s="71"/>
      <c r="H22" s="71"/>
      <c r="I22" s="71"/>
      <c r="J22" s="72"/>
      <c r="K22" s="73"/>
      <c r="L22" s="72"/>
      <c r="M22" s="73"/>
      <c r="N22" s="73"/>
      <c r="O22" s="73"/>
      <c r="P22" s="73"/>
      <c r="Q22" s="72"/>
      <c r="R22" s="73"/>
      <c r="S22" s="72"/>
      <c r="T22" s="73"/>
      <c r="U22" s="73"/>
      <c r="V22" s="73"/>
      <c r="W22" s="73"/>
      <c r="X22" s="73"/>
      <c r="Y22" s="73"/>
      <c r="Z22" s="73"/>
      <c r="AA22" s="73"/>
      <c r="AB22" s="73"/>
      <c r="AC22" s="67"/>
      <c r="AD22" s="67"/>
    </row>
    <row r="23" spans="1:42" ht="20.100000000000001" customHeight="1" x14ac:dyDescent="0.25">
      <c r="A23" s="70"/>
      <c r="B23" s="70"/>
      <c r="C23" s="71"/>
      <c r="D23" s="71"/>
      <c r="E23" s="71"/>
      <c r="F23" s="71"/>
      <c r="G23" s="71"/>
      <c r="H23" s="71"/>
      <c r="I23" s="71"/>
      <c r="J23" s="72"/>
      <c r="K23" s="73"/>
      <c r="L23" s="72"/>
      <c r="M23" s="73"/>
      <c r="N23" s="73"/>
      <c r="O23" s="73"/>
      <c r="P23" s="73"/>
      <c r="Q23" s="72"/>
      <c r="R23" s="73"/>
      <c r="S23" s="72"/>
      <c r="T23" s="73"/>
      <c r="U23" s="73"/>
      <c r="V23" s="73"/>
      <c r="W23" s="73"/>
      <c r="X23" s="73"/>
      <c r="Y23" s="73"/>
      <c r="Z23" s="73"/>
      <c r="AA23" s="73"/>
      <c r="AB23" s="73"/>
      <c r="AC23" s="67"/>
      <c r="AD23" s="67"/>
    </row>
    <row r="24" spans="1:42" ht="20.100000000000001" customHeight="1" x14ac:dyDescent="0.25">
      <c r="A24" s="70"/>
      <c r="B24" s="70"/>
      <c r="C24" s="71"/>
      <c r="D24" s="71"/>
      <c r="E24" s="71"/>
      <c r="F24" s="71"/>
      <c r="G24" s="71"/>
      <c r="H24" s="71"/>
      <c r="I24" s="71"/>
      <c r="J24" s="72"/>
      <c r="K24" s="73"/>
      <c r="L24" s="72"/>
      <c r="M24" s="73"/>
      <c r="N24" s="73"/>
      <c r="O24" s="73"/>
      <c r="P24" s="73"/>
      <c r="Q24" s="72"/>
      <c r="R24" s="73"/>
      <c r="S24" s="72"/>
      <c r="T24" s="73"/>
      <c r="U24" s="73"/>
      <c r="V24" s="73"/>
      <c r="W24" s="73"/>
      <c r="X24" s="73"/>
      <c r="Y24" s="73"/>
      <c r="Z24" s="73"/>
      <c r="AA24" s="73"/>
      <c r="AB24" s="73"/>
      <c r="AC24" s="67"/>
      <c r="AD24" s="67"/>
    </row>
    <row r="25" spans="1:42" ht="20.100000000000001" customHeight="1" x14ac:dyDescent="0.25">
      <c r="A25" s="70"/>
      <c r="B25" s="70"/>
      <c r="C25" s="71"/>
      <c r="D25" s="71"/>
      <c r="E25" s="71"/>
      <c r="F25" s="71"/>
      <c r="G25" s="71"/>
      <c r="H25" s="71"/>
      <c r="I25" s="71"/>
      <c r="J25" s="72"/>
      <c r="K25" s="73"/>
      <c r="L25" s="72"/>
      <c r="M25" s="73"/>
      <c r="N25" s="73"/>
      <c r="O25" s="73"/>
      <c r="P25" s="73"/>
      <c r="Q25" s="72"/>
      <c r="R25" s="73"/>
      <c r="S25" s="72"/>
      <c r="T25" s="73"/>
      <c r="U25" s="73"/>
      <c r="V25" s="73"/>
      <c r="W25" s="73"/>
      <c r="X25" s="73"/>
      <c r="Y25" s="73"/>
      <c r="Z25" s="73"/>
      <c r="AA25" s="73"/>
      <c r="AB25" s="73"/>
      <c r="AC25" s="67"/>
      <c r="AD25" s="67"/>
    </row>
    <row r="26" spans="1:42" ht="20.100000000000001" customHeight="1" x14ac:dyDescent="0.25">
      <c r="A26" s="70"/>
      <c r="B26" s="70"/>
      <c r="C26" s="71"/>
      <c r="D26" s="71"/>
      <c r="E26" s="71"/>
      <c r="F26" s="71"/>
      <c r="G26" s="71"/>
      <c r="H26" s="71"/>
      <c r="I26" s="71"/>
      <c r="J26" s="72"/>
      <c r="K26" s="73"/>
      <c r="L26" s="72"/>
      <c r="M26" s="73"/>
      <c r="N26" s="73"/>
      <c r="O26" s="73"/>
      <c r="P26" s="73"/>
      <c r="Q26" s="72"/>
      <c r="R26" s="73"/>
      <c r="S26" s="72"/>
      <c r="T26" s="73"/>
      <c r="U26" s="73"/>
      <c r="V26" s="73"/>
      <c r="W26" s="73"/>
      <c r="X26" s="73"/>
      <c r="Y26" s="73"/>
      <c r="Z26" s="73"/>
      <c r="AA26" s="73"/>
      <c r="AB26" s="73"/>
      <c r="AC26" s="67"/>
      <c r="AD26" s="67"/>
    </row>
    <row r="27" spans="1:42" ht="20.100000000000001" customHeight="1" x14ac:dyDescent="0.25">
      <c r="A27" s="67"/>
      <c r="B27" s="67"/>
      <c r="C27" s="67"/>
      <c r="D27" s="67"/>
      <c r="E27" s="67"/>
      <c r="G27" s="67"/>
      <c r="K27" s="67"/>
      <c r="L27" s="67"/>
      <c r="O27" s="67"/>
      <c r="P27" s="67"/>
      <c r="Q27" s="67"/>
      <c r="R27" s="67"/>
      <c r="U27" s="67"/>
      <c r="V27" s="67"/>
      <c r="AA27" s="67"/>
      <c r="AB27" s="67"/>
      <c r="AC27" s="67"/>
      <c r="AD27" s="67"/>
    </row>
    <row r="28" spans="1:42" ht="20.100000000000001" customHeight="1" x14ac:dyDescent="0.25">
      <c r="A28" s="67"/>
      <c r="B28" s="67"/>
      <c r="C28" s="67"/>
      <c r="D28" s="67"/>
      <c r="E28" s="67"/>
      <c r="G28" s="67"/>
      <c r="K28" s="67"/>
      <c r="L28" s="67"/>
      <c r="O28" s="67"/>
      <c r="P28" s="67"/>
      <c r="Q28" s="67"/>
      <c r="R28" s="67"/>
      <c r="U28" s="67"/>
      <c r="V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</row>
    <row r="29" spans="1:42" ht="20.100000000000001" customHeight="1" x14ac:dyDescent="0.25">
      <c r="A29" s="67"/>
      <c r="B29" s="67"/>
      <c r="C29" s="67"/>
      <c r="D29" s="67"/>
      <c r="E29" s="67"/>
      <c r="G29" s="67"/>
      <c r="K29" s="67"/>
      <c r="L29" s="67"/>
      <c r="O29" s="67"/>
      <c r="P29" s="67"/>
      <c r="Q29" s="67"/>
      <c r="R29" s="67"/>
      <c r="U29" s="67"/>
      <c r="V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</row>
    <row r="30" spans="1:42" ht="20.100000000000001" customHeight="1" x14ac:dyDescent="0.25">
      <c r="A30" s="67"/>
      <c r="B30" s="67"/>
      <c r="C30" s="67"/>
      <c r="D30" s="67"/>
      <c r="E30" s="67"/>
      <c r="G30" s="67"/>
      <c r="K30" s="67"/>
      <c r="L30" s="67"/>
      <c r="O30" s="67"/>
      <c r="P30" s="67"/>
      <c r="Q30" s="67"/>
      <c r="R30" s="67"/>
      <c r="U30" s="67"/>
      <c r="V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</row>
    <row r="31" spans="1:42" ht="20.100000000000001" customHeight="1" x14ac:dyDescent="0.25">
      <c r="A31" s="67"/>
      <c r="B31" s="67"/>
      <c r="C31" s="67"/>
      <c r="D31" s="67"/>
      <c r="E31" s="67"/>
      <c r="G31" s="67"/>
      <c r="K31" s="67"/>
      <c r="L31" s="67"/>
      <c r="O31" s="67"/>
      <c r="P31" s="67"/>
      <c r="Q31" s="67"/>
      <c r="R31" s="67"/>
      <c r="U31" s="67"/>
      <c r="V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</row>
    <row r="32" spans="1:42" ht="20.100000000000001" customHeight="1" x14ac:dyDescent="0.25">
      <c r="A32" s="67"/>
      <c r="B32" s="67"/>
      <c r="C32" s="67"/>
      <c r="D32" s="67"/>
      <c r="E32" s="67"/>
      <c r="G32" s="67"/>
      <c r="K32" s="67"/>
      <c r="L32" s="67"/>
      <c r="O32" s="67"/>
      <c r="P32" s="67"/>
      <c r="Q32" s="67"/>
      <c r="R32" s="67"/>
      <c r="U32" s="67"/>
      <c r="V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</row>
    <row r="33" spans="1:42" ht="20.100000000000001" customHeight="1" x14ac:dyDescent="0.25">
      <c r="A33" s="67"/>
      <c r="B33" s="67"/>
      <c r="C33" s="67"/>
      <c r="D33" s="67"/>
      <c r="E33" s="67"/>
      <c r="G33" s="67"/>
      <c r="K33" s="67"/>
      <c r="L33" s="67"/>
      <c r="O33" s="67"/>
      <c r="P33" s="67"/>
      <c r="Q33" s="67"/>
      <c r="R33" s="67"/>
      <c r="U33" s="67"/>
      <c r="V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</row>
    <row r="34" spans="1:42" ht="20.100000000000001" customHeight="1" x14ac:dyDescent="0.25">
      <c r="A34" s="67"/>
      <c r="B34" s="67"/>
      <c r="C34" s="67"/>
      <c r="D34" s="67"/>
      <c r="E34" s="67"/>
      <c r="G34" s="67"/>
      <c r="K34" s="67"/>
      <c r="L34" s="67"/>
      <c r="O34" s="67"/>
      <c r="P34" s="67"/>
      <c r="Q34" s="67"/>
      <c r="R34" s="67"/>
      <c r="U34" s="67"/>
      <c r="V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</row>
    <row r="35" spans="1:42" ht="20.100000000000001" customHeight="1" x14ac:dyDescent="0.25">
      <c r="A35" s="72"/>
      <c r="C35" s="42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</row>
    <row r="36" spans="1:42" ht="20.100000000000001" customHeight="1" x14ac:dyDescent="0.25">
      <c r="A36" s="72"/>
      <c r="C36" s="42"/>
    </row>
    <row r="37" spans="1:42" ht="20.100000000000001" customHeight="1" x14ac:dyDescent="0.25">
      <c r="C37" s="42"/>
    </row>
    <row r="38" spans="1:42" ht="20.100000000000001" customHeight="1" x14ac:dyDescent="0.25">
      <c r="C38" s="42"/>
    </row>
    <row r="39" spans="1:42" ht="20.100000000000001" customHeight="1" x14ac:dyDescent="0.25">
      <c r="C39" s="42"/>
    </row>
    <row r="40" spans="1:42" ht="20.100000000000001" customHeight="1" x14ac:dyDescent="0.25">
      <c r="C40" s="42"/>
    </row>
    <row r="41" spans="1:42" ht="20.100000000000001" customHeight="1" x14ac:dyDescent="0.25">
      <c r="C41" s="42"/>
    </row>
    <row r="42" spans="1:42" ht="20.100000000000001" customHeight="1" x14ac:dyDescent="0.25">
      <c r="C42" s="42"/>
    </row>
    <row r="43" spans="1:42" ht="20.100000000000001" customHeight="1" x14ac:dyDescent="0.25">
      <c r="C43" s="42"/>
    </row>
    <row r="44" spans="1:42" ht="20.100000000000001" customHeight="1" x14ac:dyDescent="0.25">
      <c r="C44" s="42"/>
    </row>
    <row r="45" spans="1:42" ht="20.100000000000001" customHeight="1" x14ac:dyDescent="0.25">
      <c r="C45" s="42"/>
    </row>
    <row r="46" spans="1:42" ht="20.100000000000001" customHeight="1" x14ac:dyDescent="0.25">
      <c r="C46" s="42"/>
    </row>
    <row r="47" spans="1:42" ht="20.100000000000001" customHeight="1" x14ac:dyDescent="0.25">
      <c r="C47" s="42"/>
    </row>
    <row r="48" spans="1:42" ht="20.100000000000001" customHeight="1" x14ac:dyDescent="0.25">
      <c r="C48" s="42"/>
    </row>
    <row r="49" spans="3:3" ht="20.100000000000001" customHeight="1" x14ac:dyDescent="0.25">
      <c r="C49" s="42"/>
    </row>
    <row r="50" spans="3:3" ht="20.100000000000001" customHeight="1" x14ac:dyDescent="0.25">
      <c r="C50" s="42"/>
    </row>
    <row r="51" spans="3:3" ht="20.100000000000001" customHeight="1" x14ac:dyDescent="0.25">
      <c r="C51" s="42"/>
    </row>
    <row r="52" spans="3:3" ht="20.100000000000001" customHeight="1" x14ac:dyDescent="0.25">
      <c r="C52" s="42"/>
    </row>
  </sheetData>
  <phoneticPr fontId="13" type="noConversion"/>
  <conditionalFormatting sqref="A4:AB26 AE4:AT12 AW4:AZ10">
    <cfRule type="containsText" dxfId="20" priority="1" operator="containsText" text="【">
      <formula>NOT(ISERROR(SEARCH("【",A4)))</formula>
    </cfRule>
  </conditionalFormatting>
  <dataValidations count="18">
    <dataValidation type="list" allowBlank="1" showInputMessage="1" showErrorMessage="1" sqref="AK11:AK12" xr:uid="{00000000-0002-0000-0300-000001000000}">
      <formula1>dd_bocomrole</formula1>
    </dataValidation>
    <dataValidation type="list" allowBlank="1" showInputMessage="1" showErrorMessage="1" sqref="AY1 AY4:AY10" xr:uid="{00000000-0002-0000-0300-000002000000}">
      <formula1>dd_中资属性</formula1>
    </dataValidation>
    <dataValidation type="list" allowBlank="1" showInputMessage="1" showErrorMessage="1" sqref="AZ1 AZ5:AZ10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2" xr:uid="{00000000-0002-0000-0300-00000A000000}">
      <formula1>"'--,合名"</formula1>
    </dataValidation>
    <dataValidation type="list" allowBlank="1" showInputMessage="1" showErrorMessage="1" sqref="AR1 AR4:AR12" xr:uid="{99BFFB53-B38D-40D3-8663-38F15ACF9F54}">
      <formula1>"--,Sole,Left-lead,Lead"</formula1>
    </dataValidation>
    <dataValidation type="list" allowBlank="1" showInputMessage="1" sqref="AS1 AS5:AS12" xr:uid="{CB096AB9-FDB8-4552-9C42-68264AF37713}">
      <formula1>"--,B&amp;D FOP,B&amp;D DvP,Arranger,DM,CCDC"</formula1>
    </dataValidation>
    <dataValidation type="list" allowBlank="1" showInputMessage="1" sqref="AT1 AT5:AT12" xr:uid="{6411A959-20E5-4337-AA9F-75101C5E704D}">
      <formula1>"--,合名"</formula1>
    </dataValidation>
    <dataValidation type="list" allowBlank="1" showInputMessage="1" sqref="AO1 AO5:AO12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 K1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2" xr:uid="{9AD15052-9D16-43CA-833E-3464C184A18B}">
      <formula1>dd_coverage</formula1>
    </dataValidation>
    <dataValidation type="list" allowBlank="1" showInputMessage="1" showErrorMessage="1" sqref="AL1 AL5:AL12" xr:uid="{4C13DF36-2ABE-480F-A19C-E364241326EC}">
      <formula1>dd_sfcrole</formula1>
    </dataValidation>
    <dataValidation type="list" allowBlank="1" showInputMessage="1" sqref="M1 M4:M26" xr:uid="{B7F52B64-A9FC-42A7-8464-E03AF3CC47DD}">
      <formula1>dd_货币</formula1>
    </dataValidation>
    <dataValidation type="list" allowBlank="1" showInputMessage="1" sqref="L1 L4:L26" xr:uid="{5AA57038-BDF6-4CDB-8A0F-5183238A2768}">
      <formula1>dd_结构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zoomScale="85" zoomScaleNormal="85" workbookViewId="0">
      <selection activeCell="D37" sqref="D37"/>
    </sheetView>
  </sheetViews>
  <sheetFormatPr defaultColWidth="8.88671875" defaultRowHeight="15" x14ac:dyDescent="0.25"/>
  <cols>
    <col min="1" max="1" width="9.33203125" style="1" bestFit="1" customWidth="1"/>
    <col min="2" max="2" width="14.88671875" style="1" bestFit="1" customWidth="1"/>
    <col min="3" max="3" width="34.21875" style="1" bestFit="1" customWidth="1"/>
    <col min="4" max="4" width="4.33203125" style="1" bestFit="1" customWidth="1"/>
    <col min="5" max="5" width="6" style="1" bestFit="1" customWidth="1"/>
    <col min="6" max="6" width="4.6640625" style="1" bestFit="1" customWidth="1"/>
    <col min="7" max="7" width="8.33203125" style="1" bestFit="1" customWidth="1"/>
    <col min="8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10.88671875" style="1" bestFit="1" customWidth="1"/>
    <col min="14" max="14" width="9.2187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15.5546875" style="1" bestFit="1" customWidth="1"/>
    <col min="20" max="20" width="9.2187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8.5546875" style="1" bestFit="1" customWidth="1"/>
    <col min="25" max="25" width="10.44140625" style="1" bestFit="1" customWidth="1"/>
    <col min="26" max="26" width="7.6640625" style="1" bestFit="1" customWidth="1"/>
    <col min="27" max="27" width="8.88671875" style="1" bestFit="1" customWidth="1"/>
    <col min="28" max="28" width="6" style="1" bestFit="1" customWidth="1"/>
    <col min="29" max="29" width="8.332031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36">
        <f ca="1">COUNTA(charts[ISIN])</f>
        <v>6</v>
      </c>
      <c r="B1" s="7" t="s">
        <v>146</v>
      </c>
      <c r="Q1" s="21" t="str">
        <f ca="1">COUNTA(Table_graph_weeklydeal[Index])&amp;"笔"</f>
        <v>7笔</v>
      </c>
      <c r="R1" s="22">
        <f ca="1">ROUND(SUM(Table_graph_weeklydeal[亿美元]),1)</f>
        <v>15.5</v>
      </c>
      <c r="S1" s="21" t="s">
        <v>186</v>
      </c>
      <c r="AV1" s="4"/>
    </row>
    <row r="2" spans="1:48" ht="42" customHeight="1" x14ac:dyDescent="0.25">
      <c r="A2" s="4" t="s">
        <v>192</v>
      </c>
      <c r="Q2" s="4" t="s">
        <v>198</v>
      </c>
    </row>
    <row r="4" spans="1:48" x14ac:dyDescent="0.25">
      <c r="C4" t="s">
        <v>349</v>
      </c>
      <c r="D4" t="s">
        <v>350</v>
      </c>
      <c r="E4" t="s">
        <v>351</v>
      </c>
      <c r="S4" t="s">
        <v>353</v>
      </c>
      <c r="T4" t="s">
        <v>350</v>
      </c>
      <c r="U4" t="s">
        <v>351</v>
      </c>
    </row>
    <row r="5" spans="1:48" x14ac:dyDescent="0.25">
      <c r="C5" t="s">
        <v>894</v>
      </c>
      <c r="D5">
        <v>14.965</v>
      </c>
      <c r="E5">
        <v>6</v>
      </c>
      <c r="S5" t="s">
        <v>895</v>
      </c>
      <c r="T5">
        <v>15.462</v>
      </c>
      <c r="U5">
        <v>7</v>
      </c>
    </row>
    <row r="8" spans="1:48" x14ac:dyDescent="0.25">
      <c r="A8" t="s">
        <v>50</v>
      </c>
      <c r="B8" t="s">
        <v>49</v>
      </c>
      <c r="C8" t="s">
        <v>48</v>
      </c>
      <c r="D8" t="s">
        <v>89</v>
      </c>
      <c r="E8" t="s">
        <v>186</v>
      </c>
      <c r="F8" t="s">
        <v>65</v>
      </c>
      <c r="G8" t="s">
        <v>246</v>
      </c>
      <c r="H8" t="s">
        <v>95</v>
      </c>
      <c r="I8" t="s">
        <v>109</v>
      </c>
      <c r="J8" t="s">
        <v>120</v>
      </c>
      <c r="P8" t="s">
        <v>88</v>
      </c>
      <c r="Q8" t="s">
        <v>49</v>
      </c>
      <c r="R8" t="s">
        <v>50</v>
      </c>
      <c r="S8" t="s">
        <v>178</v>
      </c>
      <c r="T8" t="s">
        <v>145</v>
      </c>
      <c r="U8" t="s">
        <v>65</v>
      </c>
      <c r="V8" t="s">
        <v>58</v>
      </c>
      <c r="W8" t="s">
        <v>89</v>
      </c>
      <c r="X8" t="s">
        <v>122</v>
      </c>
      <c r="Y8" t="s">
        <v>90</v>
      </c>
      <c r="Z8" t="s">
        <v>179</v>
      </c>
      <c r="AA8" t="s">
        <v>92</v>
      </c>
      <c r="AB8" t="s">
        <v>36</v>
      </c>
      <c r="AC8" t="s">
        <v>246</v>
      </c>
      <c r="AD8" t="s">
        <v>91</v>
      </c>
      <c r="AE8" t="s">
        <v>159</v>
      </c>
      <c r="AF8" t="s">
        <v>186</v>
      </c>
    </row>
    <row r="9" spans="1:48" x14ac:dyDescent="0.25">
      <c r="A9" s="52">
        <v>45183</v>
      </c>
      <c r="B9" s="114" t="s">
        <v>604</v>
      </c>
      <c r="C9" s="114" t="s">
        <v>605</v>
      </c>
      <c r="D9" s="114">
        <v>3</v>
      </c>
      <c r="E9" s="114">
        <v>0.35599999999999998</v>
      </c>
      <c r="F9" s="114" t="s">
        <v>108</v>
      </c>
      <c r="G9" t="s">
        <v>325</v>
      </c>
      <c r="H9" t="s">
        <v>118</v>
      </c>
      <c r="I9" t="s">
        <v>585</v>
      </c>
      <c r="J9" t="s">
        <v>586</v>
      </c>
      <c r="P9" s="114">
        <v>13</v>
      </c>
      <c r="Q9" s="114" t="s">
        <v>604</v>
      </c>
      <c r="R9" s="52">
        <v>45183</v>
      </c>
      <c r="S9" t="s">
        <v>896</v>
      </c>
      <c r="T9" s="114" t="s">
        <v>85</v>
      </c>
      <c r="U9" s="114" t="s">
        <v>108</v>
      </c>
      <c r="V9" s="114">
        <v>2.6</v>
      </c>
      <c r="W9" s="114" t="s">
        <v>163</v>
      </c>
      <c r="X9" s="114" t="s">
        <v>335</v>
      </c>
      <c r="Y9" s="114" t="s">
        <v>7</v>
      </c>
      <c r="Z9" s="114"/>
      <c r="AA9" s="114" t="s">
        <v>115</v>
      </c>
      <c r="AB9" t="s">
        <v>585</v>
      </c>
      <c r="AC9" s="114" t="s">
        <v>325</v>
      </c>
      <c r="AD9" s="114" t="s">
        <v>10</v>
      </c>
      <c r="AE9" s="114" t="s">
        <v>7</v>
      </c>
      <c r="AF9" s="114">
        <v>0.35599999999999998</v>
      </c>
    </row>
    <row r="10" spans="1:48" x14ac:dyDescent="0.25">
      <c r="A10" s="52">
        <v>45182</v>
      </c>
      <c r="B10" s="114" t="s">
        <v>633</v>
      </c>
      <c r="C10" s="114" t="s">
        <v>634</v>
      </c>
      <c r="D10" s="114">
        <v>3</v>
      </c>
      <c r="E10" s="114">
        <v>0.5</v>
      </c>
      <c r="F10" s="114" t="s">
        <v>87</v>
      </c>
      <c r="G10" t="s">
        <v>324</v>
      </c>
      <c r="H10"/>
      <c r="I10" t="s">
        <v>587</v>
      </c>
      <c r="J10" t="s">
        <v>586</v>
      </c>
      <c r="P10" s="114">
        <v>12</v>
      </c>
      <c r="Q10" s="114" t="s">
        <v>687</v>
      </c>
      <c r="R10" s="52">
        <v>45182</v>
      </c>
      <c r="S10" t="s">
        <v>897</v>
      </c>
      <c r="T10" s="114" t="s">
        <v>85</v>
      </c>
      <c r="U10" s="114" t="s">
        <v>330</v>
      </c>
      <c r="V10" s="114">
        <v>76</v>
      </c>
      <c r="W10" s="114" t="s">
        <v>163</v>
      </c>
      <c r="X10" s="114" t="s">
        <v>375</v>
      </c>
      <c r="Y10" s="114" t="s">
        <v>863</v>
      </c>
      <c r="Z10" s="114"/>
      <c r="AA10" s="114" t="s">
        <v>115</v>
      </c>
      <c r="AB10" t="s">
        <v>7</v>
      </c>
      <c r="AC10" s="114" t="s">
        <v>94</v>
      </c>
      <c r="AD10" s="114" t="s">
        <v>10</v>
      </c>
      <c r="AE10" s="114" t="s">
        <v>7</v>
      </c>
      <c r="AF10" s="114">
        <v>0.53200000000000003</v>
      </c>
    </row>
    <row r="11" spans="1:48" x14ac:dyDescent="0.25">
      <c r="A11" s="52">
        <v>45182</v>
      </c>
      <c r="B11" s="114" t="s">
        <v>658</v>
      </c>
      <c r="C11" s="114" t="s">
        <v>659</v>
      </c>
      <c r="D11" s="114">
        <v>3</v>
      </c>
      <c r="E11" s="114">
        <v>1.37</v>
      </c>
      <c r="F11" s="114" t="s">
        <v>108</v>
      </c>
      <c r="G11" t="s">
        <v>247</v>
      </c>
      <c r="H11" t="s">
        <v>118</v>
      </c>
      <c r="I11" t="s">
        <v>585</v>
      </c>
      <c r="J11" t="s">
        <v>586</v>
      </c>
      <c r="P11" s="114">
        <v>11</v>
      </c>
      <c r="Q11" s="114" t="s">
        <v>673</v>
      </c>
      <c r="R11" s="52">
        <v>45182</v>
      </c>
      <c r="S11" t="s">
        <v>898</v>
      </c>
      <c r="T11" s="114" t="s">
        <v>85</v>
      </c>
      <c r="U11" s="114" t="s">
        <v>108</v>
      </c>
      <c r="V11" s="114">
        <v>5.8</v>
      </c>
      <c r="W11" s="114" t="s">
        <v>163</v>
      </c>
      <c r="X11" s="114" t="s">
        <v>676</v>
      </c>
      <c r="Y11" s="114" t="s">
        <v>857</v>
      </c>
      <c r="Z11" s="114"/>
      <c r="AA11" s="114" t="s">
        <v>114</v>
      </c>
      <c r="AB11" t="s">
        <v>585</v>
      </c>
      <c r="AC11" s="114" t="s">
        <v>94</v>
      </c>
      <c r="AD11" s="114" t="s">
        <v>10</v>
      </c>
      <c r="AE11" s="114" t="s">
        <v>255</v>
      </c>
      <c r="AF11" s="114">
        <v>0.79500000000000004</v>
      </c>
    </row>
    <row r="12" spans="1:48" x14ac:dyDescent="0.25">
      <c r="A12" s="52">
        <v>45182</v>
      </c>
      <c r="B12" s="114" t="s">
        <v>801</v>
      </c>
      <c r="C12" s="114" t="s">
        <v>579</v>
      </c>
      <c r="D12" s="114">
        <v>0.2</v>
      </c>
      <c r="E12" s="114">
        <v>0.22600000000000001</v>
      </c>
      <c r="F12" s="114" t="s">
        <v>108</v>
      </c>
      <c r="G12" t="s">
        <v>324</v>
      </c>
      <c r="H12" t="s">
        <v>118</v>
      </c>
      <c r="I12" t="s">
        <v>585</v>
      </c>
      <c r="J12" t="s">
        <v>588</v>
      </c>
      <c r="P12" s="114">
        <v>10</v>
      </c>
      <c r="Q12" s="114" t="s">
        <v>664</v>
      </c>
      <c r="R12" s="52">
        <v>45182</v>
      </c>
      <c r="S12" t="s">
        <v>852</v>
      </c>
      <c r="T12" s="114" t="s">
        <v>85</v>
      </c>
      <c r="U12" s="114" t="s">
        <v>108</v>
      </c>
      <c r="V12" s="114">
        <v>10</v>
      </c>
      <c r="W12" s="114" t="s">
        <v>856</v>
      </c>
      <c r="X12" s="114" t="s">
        <v>855</v>
      </c>
      <c r="Y12" s="114" t="s">
        <v>854</v>
      </c>
      <c r="Z12" s="114"/>
      <c r="AA12" s="114" t="s">
        <v>37</v>
      </c>
      <c r="AB12" t="s">
        <v>585</v>
      </c>
      <c r="AC12" s="114" t="s">
        <v>247</v>
      </c>
      <c r="AD12" s="114" t="s">
        <v>27</v>
      </c>
      <c r="AE12" s="114" t="s">
        <v>256</v>
      </c>
      <c r="AF12" s="114">
        <v>1.37</v>
      </c>
    </row>
    <row r="13" spans="1:48" x14ac:dyDescent="0.25">
      <c r="A13" s="52">
        <v>45182</v>
      </c>
      <c r="B13" s="114" t="s">
        <v>618</v>
      </c>
      <c r="C13" s="114" t="s">
        <v>619</v>
      </c>
      <c r="D13" s="114">
        <v>3</v>
      </c>
      <c r="E13" s="114">
        <v>5.5</v>
      </c>
      <c r="F13" s="114" t="s">
        <v>87</v>
      </c>
      <c r="G13" t="s">
        <v>324</v>
      </c>
      <c r="H13" t="s">
        <v>143</v>
      </c>
      <c r="I13" t="s">
        <v>587</v>
      </c>
      <c r="J13" t="s">
        <v>586</v>
      </c>
      <c r="P13" s="114">
        <v>9</v>
      </c>
      <c r="Q13" s="114" t="s">
        <v>643</v>
      </c>
      <c r="R13" s="52">
        <v>45182</v>
      </c>
      <c r="S13" t="s">
        <v>852</v>
      </c>
      <c r="T13" s="114" t="s">
        <v>85</v>
      </c>
      <c r="U13" s="114" t="s">
        <v>108</v>
      </c>
      <c r="V13" s="114">
        <v>30</v>
      </c>
      <c r="W13" s="114" t="s">
        <v>378</v>
      </c>
      <c r="X13" s="114" t="s">
        <v>646</v>
      </c>
      <c r="Y13" s="114" t="s">
        <v>864</v>
      </c>
      <c r="Z13" s="114"/>
      <c r="AA13" s="114" t="s">
        <v>37</v>
      </c>
      <c r="AB13" t="s">
        <v>585</v>
      </c>
      <c r="AC13" s="114" t="s">
        <v>247</v>
      </c>
      <c r="AD13" s="114" t="s">
        <v>27</v>
      </c>
      <c r="AE13" s="114" t="s">
        <v>256</v>
      </c>
      <c r="AF13" s="114">
        <v>4.1100000000000003</v>
      </c>
    </row>
    <row r="14" spans="1:48" x14ac:dyDescent="0.25">
      <c r="A14" s="52">
        <v>45182</v>
      </c>
      <c r="B14" s="114" t="s">
        <v>673</v>
      </c>
      <c r="C14" s="114" t="s">
        <v>674</v>
      </c>
      <c r="D14" s="114">
        <v>3</v>
      </c>
      <c r="E14" s="114">
        <v>0.79500000000000004</v>
      </c>
      <c r="F14" s="114" t="s">
        <v>108</v>
      </c>
      <c r="G14" t="s">
        <v>94</v>
      </c>
      <c r="H14" t="s">
        <v>118</v>
      </c>
      <c r="I14" t="s">
        <v>585</v>
      </c>
      <c r="J14" t="s">
        <v>586</v>
      </c>
      <c r="P14" s="114">
        <v>8</v>
      </c>
      <c r="Q14" s="114" t="s">
        <v>658</v>
      </c>
      <c r="R14" s="52">
        <v>45182</v>
      </c>
      <c r="S14" t="s">
        <v>852</v>
      </c>
      <c r="T14" s="114" t="s">
        <v>85</v>
      </c>
      <c r="U14" s="114" t="s">
        <v>108</v>
      </c>
      <c r="V14" s="114">
        <v>10</v>
      </c>
      <c r="W14" s="114" t="s">
        <v>163</v>
      </c>
      <c r="X14" s="114" t="s">
        <v>661</v>
      </c>
      <c r="Y14" s="114" t="s">
        <v>860</v>
      </c>
      <c r="Z14" s="114"/>
      <c r="AA14" s="114" t="s">
        <v>37</v>
      </c>
      <c r="AB14" t="s">
        <v>585</v>
      </c>
      <c r="AC14" s="114" t="s">
        <v>247</v>
      </c>
      <c r="AD14" s="114" t="s">
        <v>27</v>
      </c>
      <c r="AE14" s="114" t="s">
        <v>256</v>
      </c>
      <c r="AF14" s="114">
        <v>1.37</v>
      </c>
    </row>
    <row r="15" spans="1:48" x14ac:dyDescent="0.25">
      <c r="A15" s="52">
        <v>45182</v>
      </c>
      <c r="B15" s="114" t="s">
        <v>664</v>
      </c>
      <c r="C15" s="114" t="s">
        <v>665</v>
      </c>
      <c r="D15" s="114">
        <v>5</v>
      </c>
      <c r="E15" s="114">
        <v>1.37</v>
      </c>
      <c r="F15" s="114" t="s">
        <v>108</v>
      </c>
      <c r="G15" t="s">
        <v>247</v>
      </c>
      <c r="H15" t="s">
        <v>118</v>
      </c>
      <c r="I15" t="s">
        <v>585</v>
      </c>
      <c r="J15" t="s">
        <v>904</v>
      </c>
      <c r="P15" s="114">
        <v>7</v>
      </c>
      <c r="Q15" s="114" t="s">
        <v>801</v>
      </c>
      <c r="R15" s="52">
        <v>45182</v>
      </c>
      <c r="S15" t="s">
        <v>504</v>
      </c>
      <c r="T15" s="114" t="s">
        <v>85</v>
      </c>
      <c r="U15" s="114" t="s">
        <v>108</v>
      </c>
      <c r="V15" s="114">
        <v>1.65</v>
      </c>
      <c r="W15" s="114" t="s">
        <v>858</v>
      </c>
      <c r="X15" s="114" t="s">
        <v>859</v>
      </c>
      <c r="Y15" s="114" t="s">
        <v>874</v>
      </c>
      <c r="Z15" s="114"/>
      <c r="AA15" s="114" t="s">
        <v>874</v>
      </c>
      <c r="AB15" t="s">
        <v>585</v>
      </c>
      <c r="AC15" s="114" t="s">
        <v>324</v>
      </c>
      <c r="AD15" s="114" t="s">
        <v>94</v>
      </c>
      <c r="AE15" s="114" t="s">
        <v>7</v>
      </c>
      <c r="AF15" s="114">
        <v>0.22600000000000001</v>
      </c>
    </row>
    <row r="16" spans="1:48" x14ac:dyDescent="0.25">
      <c r="A16" s="52">
        <v>45182</v>
      </c>
      <c r="B16" s="114" t="s">
        <v>643</v>
      </c>
      <c r="C16" s="114" t="s">
        <v>644</v>
      </c>
      <c r="D16" s="114">
        <v>2</v>
      </c>
      <c r="E16" s="114">
        <v>4.1100000000000003</v>
      </c>
      <c r="F16" s="114" t="s">
        <v>108</v>
      </c>
      <c r="G16" t="s">
        <v>247</v>
      </c>
      <c r="H16" t="s">
        <v>118</v>
      </c>
      <c r="I16" t="s">
        <v>585</v>
      </c>
      <c r="J16" t="s">
        <v>586</v>
      </c>
      <c r="P16" s="114">
        <v>6</v>
      </c>
      <c r="Q16" s="114" t="s">
        <v>618</v>
      </c>
      <c r="R16" s="52">
        <v>45182</v>
      </c>
      <c r="S16" t="s">
        <v>899</v>
      </c>
      <c r="T16" s="114" t="s">
        <v>377</v>
      </c>
      <c r="U16" s="114" t="s">
        <v>87</v>
      </c>
      <c r="V16" s="114">
        <v>5.5</v>
      </c>
      <c r="W16" s="114" t="s">
        <v>163</v>
      </c>
      <c r="X16" s="114" t="s">
        <v>445</v>
      </c>
      <c r="Y16" s="114" t="s">
        <v>444</v>
      </c>
      <c r="Z16" s="114"/>
      <c r="AA16" s="114" t="s">
        <v>37</v>
      </c>
      <c r="AB16" t="s">
        <v>900</v>
      </c>
      <c r="AC16" s="114" t="s">
        <v>324</v>
      </c>
      <c r="AD16" s="114" t="s">
        <v>12</v>
      </c>
      <c r="AE16" s="114" t="s">
        <v>901</v>
      </c>
      <c r="AF16" s="114">
        <v>5.5</v>
      </c>
    </row>
    <row r="17" spans="1:32" x14ac:dyDescent="0.25">
      <c r="A17" s="52">
        <v>45181</v>
      </c>
      <c r="B17" s="114" t="s">
        <v>804</v>
      </c>
      <c r="C17" s="114" t="s">
        <v>881</v>
      </c>
      <c r="D17" s="114">
        <v>1</v>
      </c>
      <c r="E17" s="114">
        <v>0.27400000000000002</v>
      </c>
      <c r="F17" s="114" t="s">
        <v>108</v>
      </c>
      <c r="G17" t="s">
        <v>325</v>
      </c>
      <c r="H17" t="s">
        <v>118</v>
      </c>
      <c r="I17" t="s">
        <v>585</v>
      </c>
      <c r="J17" t="s">
        <v>588</v>
      </c>
      <c r="P17" s="114">
        <v>5</v>
      </c>
      <c r="Q17" s="114" t="s">
        <v>701</v>
      </c>
      <c r="R17" s="52">
        <v>45181</v>
      </c>
      <c r="S17" t="s">
        <v>94</v>
      </c>
      <c r="T17" s="114" t="s">
        <v>85</v>
      </c>
      <c r="U17" s="114" t="s">
        <v>108</v>
      </c>
      <c r="V17" s="114">
        <v>2.15</v>
      </c>
      <c r="W17" s="114" t="s">
        <v>163</v>
      </c>
      <c r="X17" s="114" t="s">
        <v>867</v>
      </c>
      <c r="Y17" s="114" t="s">
        <v>7</v>
      </c>
      <c r="Z17" s="114"/>
      <c r="AA17" s="114" t="s">
        <v>40</v>
      </c>
      <c r="AB17" t="s">
        <v>585</v>
      </c>
      <c r="AC17" s="114" t="s">
        <v>94</v>
      </c>
      <c r="AD17" s="114" t="s">
        <v>18</v>
      </c>
      <c r="AE17" s="114" t="s">
        <v>7</v>
      </c>
      <c r="AF17" s="114">
        <v>0.29499999999999998</v>
      </c>
    </row>
    <row r="18" spans="1:32" x14ac:dyDescent="0.25">
      <c r="A18" s="52">
        <v>45181</v>
      </c>
      <c r="B18" s="114" t="s">
        <v>701</v>
      </c>
      <c r="C18" s="114" t="s">
        <v>702</v>
      </c>
      <c r="D18" s="114">
        <v>3</v>
      </c>
      <c r="E18" s="114">
        <v>0.29499999999999998</v>
      </c>
      <c r="F18" s="114" t="s">
        <v>108</v>
      </c>
      <c r="G18" t="s">
        <v>94</v>
      </c>
      <c r="H18" t="s">
        <v>118</v>
      </c>
      <c r="I18" t="s">
        <v>585</v>
      </c>
      <c r="J18" t="s">
        <v>586</v>
      </c>
      <c r="P18" s="114">
        <v>4</v>
      </c>
      <c r="Q18" s="114" t="s">
        <v>804</v>
      </c>
      <c r="R18" s="52">
        <v>45181</v>
      </c>
      <c r="S18" t="s">
        <v>892</v>
      </c>
      <c r="T18" s="114" t="s">
        <v>85</v>
      </c>
      <c r="U18" s="114" t="s">
        <v>108</v>
      </c>
      <c r="V18" s="114">
        <v>2</v>
      </c>
      <c r="W18" s="114" t="s">
        <v>336</v>
      </c>
      <c r="X18" s="114" t="s">
        <v>865</v>
      </c>
      <c r="Y18" s="114" t="s">
        <v>874</v>
      </c>
      <c r="Z18" s="114"/>
      <c r="AA18" s="114" t="s">
        <v>874</v>
      </c>
      <c r="AB18" t="s">
        <v>585</v>
      </c>
      <c r="AC18" s="114" t="s">
        <v>325</v>
      </c>
      <c r="AD18" s="114" t="s">
        <v>94</v>
      </c>
      <c r="AE18" s="114" t="s">
        <v>7</v>
      </c>
      <c r="AF18" s="114">
        <v>0.27400000000000002</v>
      </c>
    </row>
    <row r="19" spans="1:32" x14ac:dyDescent="0.25">
      <c r="A19" s="52">
        <v>45180</v>
      </c>
      <c r="B19" s="114" t="s">
        <v>713</v>
      </c>
      <c r="C19" s="114" t="s">
        <v>714</v>
      </c>
      <c r="D19" s="114">
        <v>3</v>
      </c>
      <c r="E19" s="114">
        <v>2.74</v>
      </c>
      <c r="F19" s="114" t="s">
        <v>108</v>
      </c>
      <c r="G19" t="s">
        <v>324</v>
      </c>
      <c r="H19" t="s">
        <v>143</v>
      </c>
      <c r="I19" t="s">
        <v>585</v>
      </c>
      <c r="J19" t="s">
        <v>586</v>
      </c>
      <c r="P19" s="114">
        <v>3</v>
      </c>
      <c r="Q19" s="114" t="s">
        <v>732</v>
      </c>
      <c r="R19" s="52">
        <v>45180</v>
      </c>
      <c r="S19" t="s">
        <v>853</v>
      </c>
      <c r="T19" s="114" t="s">
        <v>85</v>
      </c>
      <c r="U19" s="114" t="s">
        <v>87</v>
      </c>
      <c r="V19" s="114">
        <v>1.4</v>
      </c>
      <c r="W19" s="114" t="s">
        <v>336</v>
      </c>
      <c r="X19" s="114" t="s">
        <v>737</v>
      </c>
      <c r="Y19" s="114" t="s">
        <v>873</v>
      </c>
      <c r="Z19" s="114"/>
      <c r="AA19" s="114" t="s">
        <v>40</v>
      </c>
      <c r="AB19" t="s">
        <v>7</v>
      </c>
      <c r="AC19" s="114" t="s">
        <v>325</v>
      </c>
      <c r="AD19" s="114" t="s">
        <v>28</v>
      </c>
      <c r="AE19" s="114" t="s">
        <v>7</v>
      </c>
      <c r="AF19" s="114">
        <v>1.4</v>
      </c>
    </row>
    <row r="20" spans="1:32" x14ac:dyDescent="0.25">
      <c r="A20" s="52">
        <v>45180</v>
      </c>
      <c r="B20" s="114" t="s">
        <v>722</v>
      </c>
      <c r="C20" s="114" t="s">
        <v>723</v>
      </c>
      <c r="D20" s="114">
        <v>3</v>
      </c>
      <c r="E20" s="114">
        <v>5</v>
      </c>
      <c r="F20" s="114" t="s">
        <v>87</v>
      </c>
      <c r="G20" t="s">
        <v>324</v>
      </c>
      <c r="H20" t="s">
        <v>143</v>
      </c>
      <c r="I20" t="s">
        <v>587</v>
      </c>
      <c r="J20" t="s">
        <v>586</v>
      </c>
      <c r="P20" s="114">
        <v>2</v>
      </c>
      <c r="Q20" s="114" t="s">
        <v>722</v>
      </c>
      <c r="R20" s="52">
        <v>45180</v>
      </c>
      <c r="S20" t="s">
        <v>902</v>
      </c>
      <c r="T20" s="114" t="s">
        <v>793</v>
      </c>
      <c r="U20" s="114" t="s">
        <v>87</v>
      </c>
      <c r="V20" s="114">
        <v>5</v>
      </c>
      <c r="W20" s="114" t="s">
        <v>163</v>
      </c>
      <c r="X20" s="114" t="s">
        <v>871</v>
      </c>
      <c r="Y20" s="114" t="s">
        <v>441</v>
      </c>
      <c r="Z20" s="114"/>
      <c r="AA20" s="114" t="s">
        <v>37</v>
      </c>
      <c r="AB20" t="s">
        <v>7</v>
      </c>
      <c r="AC20" s="114" t="s">
        <v>324</v>
      </c>
      <c r="AD20" s="114" t="s">
        <v>12</v>
      </c>
      <c r="AE20" s="114" t="s">
        <v>901</v>
      </c>
      <c r="AF20" s="114">
        <v>5</v>
      </c>
    </row>
    <row r="21" spans="1:32" x14ac:dyDescent="0.25">
      <c r="A21" s="52">
        <v>45180</v>
      </c>
      <c r="B21" s="114" t="s">
        <v>732</v>
      </c>
      <c r="C21" s="114" t="s">
        <v>733</v>
      </c>
      <c r="D21" s="114">
        <v>1</v>
      </c>
      <c r="E21" s="114">
        <v>1.4</v>
      </c>
      <c r="F21" s="114" t="s">
        <v>87</v>
      </c>
      <c r="G21" t="s">
        <v>325</v>
      </c>
      <c r="H21" t="s">
        <v>118</v>
      </c>
      <c r="I21" t="s">
        <v>587</v>
      </c>
      <c r="J21" t="s">
        <v>588</v>
      </c>
      <c r="P21" s="114">
        <v>1</v>
      </c>
      <c r="Q21" s="114" t="s">
        <v>713</v>
      </c>
      <c r="R21" s="52">
        <v>45180</v>
      </c>
      <c r="S21" t="s">
        <v>903</v>
      </c>
      <c r="T21" s="114" t="s">
        <v>793</v>
      </c>
      <c r="U21" s="114" t="s">
        <v>108</v>
      </c>
      <c r="V21" s="114">
        <v>20</v>
      </c>
      <c r="W21" s="114" t="s">
        <v>163</v>
      </c>
      <c r="X21" s="114" t="s">
        <v>717</v>
      </c>
      <c r="Y21" s="114" t="s">
        <v>443</v>
      </c>
      <c r="Z21" s="114"/>
      <c r="AA21" s="114" t="s">
        <v>37</v>
      </c>
      <c r="AB21" t="s">
        <v>585</v>
      </c>
      <c r="AC21" s="114" t="s">
        <v>324</v>
      </c>
      <c r="AD21" s="114" t="s">
        <v>12</v>
      </c>
      <c r="AE21" s="114" t="s">
        <v>256</v>
      </c>
      <c r="AF21" s="114">
        <v>2.74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rgb="FF234473"/>
  </sheetPr>
  <dimension ref="A1:G14"/>
  <sheetViews>
    <sheetView workbookViewId="0">
      <selection activeCell="A12" sqref="A12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3" t="s">
        <v>401</v>
      </c>
      <c r="B1" s="7"/>
      <c r="C1" s="7"/>
      <c r="D1" s="7"/>
      <c r="E1" s="6"/>
      <c r="F1" s="6"/>
      <c r="G1" s="6"/>
    </row>
    <row r="6" spans="1:7" x14ac:dyDescent="0.25">
      <c r="A6" t="s">
        <v>119</v>
      </c>
      <c r="B6" t="s">
        <v>246</v>
      </c>
      <c r="C6" t="s">
        <v>65</v>
      </c>
      <c r="D6" t="s">
        <v>400</v>
      </c>
    </row>
    <row r="7" spans="1:7" ht="57" customHeight="1" x14ac:dyDescent="0.25">
      <c r="A7" s="114" t="s">
        <v>497</v>
      </c>
      <c r="B7" s="114" t="s">
        <v>324</v>
      </c>
      <c r="C7" s="114" t="s">
        <v>905</v>
      </c>
      <c r="D7" s="51"/>
    </row>
    <row r="8" spans="1:7" ht="57" customHeight="1" x14ac:dyDescent="0.25">
      <c r="A8" s="114" t="s">
        <v>589</v>
      </c>
      <c r="B8" s="114" t="s">
        <v>324</v>
      </c>
      <c r="C8" s="114" t="s">
        <v>87</v>
      </c>
      <c r="D8" s="51"/>
    </row>
    <row r="9" spans="1:7" ht="57" customHeight="1" x14ac:dyDescent="0.25">
      <c r="A9" s="114" t="s">
        <v>504</v>
      </c>
      <c r="B9" s="114" t="s">
        <v>324</v>
      </c>
      <c r="C9" s="114" t="s">
        <v>108</v>
      </c>
      <c r="D9" s="51"/>
    </row>
    <row r="10" spans="1:7" ht="57" customHeight="1" x14ac:dyDescent="0.25">
      <c r="A10" s="114" t="s">
        <v>892</v>
      </c>
      <c r="B10" s="114" t="s">
        <v>325</v>
      </c>
      <c r="C10" s="114" t="s">
        <v>108</v>
      </c>
      <c r="D10" s="51"/>
    </row>
    <row r="11" spans="1:7" ht="57" customHeight="1" x14ac:dyDescent="0.25">
      <c r="A11" s="114" t="s">
        <v>853</v>
      </c>
      <c r="B11" s="114" t="s">
        <v>325</v>
      </c>
      <c r="C11" s="114" t="s">
        <v>87</v>
      </c>
      <c r="D11" s="51"/>
    </row>
    <row r="12" spans="1:7" ht="57" customHeight="1" x14ac:dyDescent="0.25">
      <c r="A12" s="114" t="s">
        <v>439</v>
      </c>
      <c r="B12" s="114" t="s">
        <v>325</v>
      </c>
      <c r="C12" s="114" t="s">
        <v>108</v>
      </c>
      <c r="D12" s="51"/>
    </row>
    <row r="13" spans="1:7" ht="57" customHeight="1" x14ac:dyDescent="0.25">
      <c r="A13" s="114" t="s">
        <v>852</v>
      </c>
      <c r="B13" s="114" t="s">
        <v>247</v>
      </c>
      <c r="C13" s="114" t="s">
        <v>108</v>
      </c>
      <c r="D13" s="51"/>
    </row>
    <row r="14" spans="1:7" x14ac:dyDescent="0.25">
      <c r="A14" s="114" t="s">
        <v>94</v>
      </c>
      <c r="B14" s="114" t="s">
        <v>94</v>
      </c>
      <c r="C14" s="114" t="s">
        <v>906</v>
      </c>
      <c r="D14" s="51"/>
    </row>
  </sheetData>
  <conditionalFormatting sqref="D7:D14">
    <cfRule type="containsText" dxfId="19" priority="1" operator="containsText" text="担任">
      <formula>NOT(ISERROR(SEARCH("担任",D7)))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3" t="s">
        <v>148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86</v>
      </c>
      <c r="E3" s="19"/>
      <c r="F3" s="19"/>
      <c r="G3" s="19"/>
    </row>
    <row r="4" spans="1:7" x14ac:dyDescent="0.25">
      <c r="A4" t="s">
        <v>88</v>
      </c>
      <c r="B4" t="s">
        <v>246</v>
      </c>
      <c r="C4" t="s">
        <v>65</v>
      </c>
      <c r="D4" t="s">
        <v>178</v>
      </c>
      <c r="E4" t="s">
        <v>147</v>
      </c>
      <c r="F4" t="s">
        <v>262</v>
      </c>
    </row>
    <row r="5" spans="1:7" x14ac:dyDescent="0.25">
      <c r="A5"/>
      <c r="B5"/>
      <c r="C5"/>
      <c r="D5"/>
      <c r="E5"/>
      <c r="F5" s="51"/>
    </row>
    <row r="8" spans="1:7" ht="46.5" x14ac:dyDescent="0.25">
      <c r="A8" s="7" t="s">
        <v>108</v>
      </c>
      <c r="E8" s="19"/>
      <c r="F8" s="19"/>
      <c r="G8" s="19"/>
    </row>
    <row r="9" spans="1:7" x14ac:dyDescent="0.25">
      <c r="A9" s="51" t="s">
        <v>88</v>
      </c>
      <c r="B9" t="s">
        <v>246</v>
      </c>
      <c r="C9" s="51" t="s">
        <v>65</v>
      </c>
      <c r="D9" s="51" t="s">
        <v>178</v>
      </c>
      <c r="E9" s="51" t="s">
        <v>147</v>
      </c>
      <c r="F9" s="51" t="s">
        <v>262</v>
      </c>
    </row>
    <row r="10" spans="1:7" x14ac:dyDescent="0.25">
      <c r="A10" s="51">
        <v>14</v>
      </c>
      <c r="B10" t="s">
        <v>325</v>
      </c>
      <c r="C10" s="51" t="s">
        <v>108</v>
      </c>
      <c r="D10" s="51" t="s">
        <v>391</v>
      </c>
      <c r="E10" s="51" t="s">
        <v>394</v>
      </c>
      <c r="F10" s="51" t="s">
        <v>7</v>
      </c>
    </row>
    <row r="11" spans="1:7" x14ac:dyDescent="0.25">
      <c r="A11" s="51">
        <v>12</v>
      </c>
      <c r="B11" t="s">
        <v>247</v>
      </c>
      <c r="C11" s="51" t="s">
        <v>108</v>
      </c>
      <c r="D11" s="51" t="s">
        <v>392</v>
      </c>
      <c r="E11" s="51" t="s">
        <v>395</v>
      </c>
      <c r="F11" s="51" t="s">
        <v>7</v>
      </c>
    </row>
    <row r="12" spans="1:7" x14ac:dyDescent="0.25">
      <c r="A12" s="51">
        <v>8</v>
      </c>
      <c r="B12" t="s">
        <v>247</v>
      </c>
      <c r="C12" s="51" t="s">
        <v>108</v>
      </c>
      <c r="D12" s="51" t="s">
        <v>393</v>
      </c>
      <c r="E12" s="51" t="s">
        <v>396</v>
      </c>
      <c r="F12" s="51" t="s">
        <v>7</v>
      </c>
    </row>
    <row r="13" spans="1:7" x14ac:dyDescent="0.25">
      <c r="A13" s="51">
        <v>7</v>
      </c>
      <c r="B13" t="s">
        <v>247</v>
      </c>
      <c r="C13" s="51" t="s">
        <v>108</v>
      </c>
      <c r="D13" s="51" t="s">
        <v>393</v>
      </c>
      <c r="E13" s="51" t="s">
        <v>397</v>
      </c>
      <c r="F13" s="51" t="s">
        <v>7</v>
      </c>
    </row>
    <row r="14" spans="1:7" x14ac:dyDescent="0.25">
      <c r="A14" s="51">
        <v>6</v>
      </c>
      <c r="B14" t="s">
        <v>247</v>
      </c>
      <c r="C14" s="51" t="s">
        <v>108</v>
      </c>
      <c r="D14" s="51" t="s">
        <v>393</v>
      </c>
      <c r="E14" s="51" t="s">
        <v>398</v>
      </c>
      <c r="F14" s="51" t="s">
        <v>7</v>
      </c>
    </row>
    <row r="15" spans="1:7" x14ac:dyDescent="0.25">
      <c r="A15" s="51">
        <v>3</v>
      </c>
      <c r="B15" t="s">
        <v>325</v>
      </c>
      <c r="C15" s="51" t="s">
        <v>108</v>
      </c>
      <c r="D15" s="51" t="s">
        <v>390</v>
      </c>
      <c r="E15" s="51" t="s">
        <v>399</v>
      </c>
      <c r="F15" s="51" t="s">
        <v>7</v>
      </c>
    </row>
    <row r="19" spans="1:6" ht="46.5" x14ac:dyDescent="0.25">
      <c r="A19" s="7" t="s">
        <v>227</v>
      </c>
    </row>
    <row r="20" spans="1:6" x14ac:dyDescent="0.25">
      <c r="A20" t="s">
        <v>88</v>
      </c>
      <c r="B20" t="s">
        <v>246</v>
      </c>
      <c r="C20" t="s">
        <v>65</v>
      </c>
      <c r="D20" t="s">
        <v>178</v>
      </c>
      <c r="E20" t="s">
        <v>147</v>
      </c>
      <c r="F20" t="s">
        <v>403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18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C3" sqref="C3:C8"/>
    </sheetView>
  </sheetViews>
  <sheetFormatPr defaultColWidth="8.88671875" defaultRowHeight="28.5" customHeight="1" x14ac:dyDescent="0.25"/>
  <cols>
    <col min="1" max="1" width="4.88671875" style="29" bestFit="1" customWidth="1"/>
    <col min="2" max="2" width="6.77734375" style="29" bestFit="1" customWidth="1"/>
    <col min="3" max="3" width="25" style="29" bestFit="1" customWidth="1"/>
    <col min="4" max="4" width="8.33203125" style="29" bestFit="1" customWidth="1"/>
    <col min="5" max="6" width="7.33203125" style="29" bestFit="1" customWidth="1"/>
    <col min="7" max="7" width="7" style="29" bestFit="1" customWidth="1"/>
    <col min="8" max="8" width="7.33203125" style="29" bestFit="1" customWidth="1"/>
    <col min="9" max="9" width="9.21875" style="29" bestFit="1" customWidth="1"/>
    <col min="10" max="10" width="15.77734375" style="29" hidden="1" customWidth="1"/>
    <col min="11" max="11" width="10.6640625" style="29" hidden="1" customWidth="1"/>
    <col min="12" max="12" width="7.21875" style="29" hidden="1" customWidth="1"/>
    <col min="13" max="13" width="6" style="29" hidden="1" customWidth="1"/>
    <col min="14" max="14" width="11" style="29" hidden="1" customWidth="1"/>
    <col min="15" max="15" width="28.44140625" style="29" bestFit="1" customWidth="1" collapsed="1"/>
    <col min="16" max="16" width="6.5546875" style="29" customWidth="1"/>
    <col min="17" max="17" width="6.77734375" style="29" customWidth="1"/>
    <col min="18" max="18" width="28.109375" style="29" bestFit="1" customWidth="1"/>
    <col min="19" max="19" width="12.6640625" style="29" bestFit="1" customWidth="1"/>
    <col min="20" max="22" width="7.6640625" style="29" customWidth="1"/>
    <col min="23" max="23" width="6.109375" style="29" bestFit="1" customWidth="1"/>
    <col min="24" max="24" width="9.44140625" style="29" bestFit="1" customWidth="1"/>
    <col min="25" max="25" width="35.109375" style="29" bestFit="1" customWidth="1"/>
    <col min="26" max="16384" width="8.88671875" style="29"/>
  </cols>
  <sheetData>
    <row r="1" spans="1:22" ht="59.25" customHeight="1" x14ac:dyDescent="0.25">
      <c r="A1" s="35" t="s">
        <v>123</v>
      </c>
      <c r="I1" s="89" t="s">
        <v>166</v>
      </c>
    </row>
    <row r="2" spans="1:22" ht="15" x14ac:dyDescent="0.25">
      <c r="B2" s="30" t="s">
        <v>88</v>
      </c>
      <c r="C2" s="30" t="s">
        <v>166</v>
      </c>
      <c r="D2" s="30" t="s">
        <v>167</v>
      </c>
      <c r="E2" s="30" t="s">
        <v>168</v>
      </c>
      <c r="F2" s="30" t="s">
        <v>169</v>
      </c>
      <c r="G2" s="30" t="s">
        <v>170</v>
      </c>
    </row>
    <row r="3" spans="1:22" ht="15" x14ac:dyDescent="0.25">
      <c r="B3" s="30">
        <v>4</v>
      </c>
      <c r="C3" s="31"/>
      <c r="D3" s="43" t="str">
        <f ca="1">IFERROR(INDEX(ECON[Date],MATCH(input_econ[[#This Row],[上周主要经济数据]],ECON[上周主要经济数据],0)),"")</f>
        <v/>
      </c>
      <c r="E3" s="33" t="str">
        <f ca="1">IFERROR(INDEX(ECON[Prior],MATCH(input_econ[[#This Row],[上周主要经济数据]],ECON[上周主要经济数据],0)),"")</f>
        <v/>
      </c>
      <c r="F3" s="33" t="str">
        <f ca="1">IFERROR(INDEX(ECON[Survey],MATCH(input_econ[[#This Row],[上周主要经济数据]],ECON[上周主要经济数据],0)),"")</f>
        <v/>
      </c>
      <c r="G3" s="33" t="str">
        <f ca="1">IFERROR(INDEX(ECON[Actual],MATCH(input_econ[[#This Row],[上周主要经济数据]],ECON[上周主要经济数据],0)),"")</f>
        <v/>
      </c>
    </row>
    <row r="4" spans="1:22" ht="15" x14ac:dyDescent="0.25">
      <c r="B4" s="30">
        <v>5</v>
      </c>
      <c r="D4" s="43" t="str">
        <f ca="1">IFERROR(INDEX(ECON[Date],MATCH(input_econ[[#This Row],[上周主要经济数据]],ECON[上周主要经济数据],0)),"")</f>
        <v/>
      </c>
      <c r="E4" s="33" t="str">
        <f ca="1">IFERROR(INDEX(ECON[Prior],MATCH(input_econ[[#This Row],[上周主要经济数据]],ECON[上周主要经济数据],0)),"")</f>
        <v/>
      </c>
      <c r="F4" s="33" t="str">
        <f ca="1">IFERROR(INDEX(ECON[Survey],MATCH(input_econ[[#This Row],[上周主要经济数据]],ECON[上周主要经济数据],0)),"")</f>
        <v/>
      </c>
      <c r="G4" s="33" t="str">
        <f ca="1">IFERROR(INDEX(ECON[Actual],MATCH(input_econ[[#This Row],[上周主要经济数据]],ECON[上周主要经济数据],0)),"")</f>
        <v/>
      </c>
    </row>
    <row r="5" spans="1:22" ht="15" x14ac:dyDescent="0.25">
      <c r="B5" s="30">
        <v>3</v>
      </c>
      <c r="C5" s="31"/>
      <c r="D5" s="43" t="str">
        <f ca="1">IFERROR(INDEX(ECON[Date],MATCH(input_econ[[#This Row],[上周主要经济数据]],ECON[上周主要经济数据],0)),"")</f>
        <v/>
      </c>
      <c r="E5" s="33" t="str">
        <f ca="1">IFERROR(INDEX(ECON[Prior],MATCH(input_econ[[#This Row],[上周主要经济数据]],ECON[上周主要经济数据],0)),"")</f>
        <v/>
      </c>
      <c r="F5" s="33" t="str">
        <f ca="1">IFERROR(INDEX(ECON[Survey],MATCH(input_econ[[#This Row],[上周主要经济数据]],ECON[上周主要经济数据],0)),"")</f>
        <v/>
      </c>
      <c r="G5" s="33" t="str">
        <f ca="1">IFERROR(INDEX(ECON[Actual],MATCH(input_econ[[#This Row],[上周主要经济数据]],ECON[上周主要经济数据],0)),"")</f>
        <v/>
      </c>
    </row>
    <row r="6" spans="1:22" ht="15" x14ac:dyDescent="0.25">
      <c r="B6" s="30">
        <v>6</v>
      </c>
      <c r="C6" s="31"/>
      <c r="D6" s="43" t="str">
        <f ca="1">IFERROR(INDEX(ECON[Date],MATCH(input_econ[[#This Row],[上周主要经济数据]],ECON[上周主要经济数据],0)),"")</f>
        <v/>
      </c>
      <c r="E6" s="33" t="str">
        <f ca="1">IFERROR(INDEX(ECON[Prior],MATCH(input_econ[[#This Row],[上周主要经济数据]],ECON[上周主要经济数据],0)),"")</f>
        <v/>
      </c>
      <c r="F6" s="33" t="str">
        <f ca="1">IFERROR(INDEX(ECON[Survey],MATCH(input_econ[[#This Row],[上周主要经济数据]],ECON[上周主要经济数据],0)),"")</f>
        <v/>
      </c>
      <c r="G6" s="33" t="str">
        <f ca="1">IFERROR(INDEX(ECON[Actual],MATCH(input_econ[[#This Row],[上周主要经济数据]],ECON[上周主要经济数据],0)),"")</f>
        <v/>
      </c>
    </row>
    <row r="7" spans="1:22" ht="15" x14ac:dyDescent="0.25">
      <c r="B7" s="30">
        <v>2</v>
      </c>
      <c r="C7" s="31"/>
      <c r="D7" s="43" t="str">
        <f ca="1">IFERROR(INDEX(ECON[Date],MATCH(input_econ[[#This Row],[上周主要经济数据]],ECON[上周主要经济数据],0)),"")</f>
        <v/>
      </c>
      <c r="E7" s="33" t="str">
        <f ca="1">IFERROR(INDEX(ECON[Prior],MATCH(input_econ[[#This Row],[上周主要经济数据]],ECON[上周主要经济数据],0)),"")</f>
        <v/>
      </c>
      <c r="F7" s="33" t="str">
        <f ca="1">IFERROR(INDEX(ECON[Survey],MATCH(input_econ[[#This Row],[上周主要经济数据]],ECON[上周主要经济数据],0)),"")</f>
        <v/>
      </c>
      <c r="G7" s="33" t="str">
        <f ca="1">IFERROR(INDEX(ECON[Actual],MATCH(input_econ[[#This Row],[上周主要经济数据]],ECON[上周主要经济数据],0)),"")</f>
        <v/>
      </c>
    </row>
    <row r="8" spans="1:22" ht="15" x14ac:dyDescent="0.25">
      <c r="B8" s="30">
        <v>1</v>
      </c>
      <c r="C8" s="31"/>
      <c r="D8" s="43" t="str">
        <f ca="1">IFERROR(INDEX(ECON[Date],MATCH(input_econ[[#This Row],[上周主要经济数据]],ECON[上周主要经济数据],0)),"")</f>
        <v/>
      </c>
      <c r="E8" s="33" t="str">
        <f ca="1">IFERROR(INDEX(ECON[Prior],MATCH(input_econ[[#This Row],[上周主要经济数据]],ECON[上周主要经济数据],0)),"")</f>
        <v/>
      </c>
      <c r="F8" s="33" t="str">
        <f ca="1">IFERROR(INDEX(ECON[Survey],MATCH(input_econ[[#This Row],[上周主要经济数据]],ECON[上周主要经济数据],0)),"")</f>
        <v/>
      </c>
      <c r="G8" s="33" t="str">
        <f ca="1">IFERROR(INDEX(ECON[Actual],MATCH(input_econ[[#This Row],[上周主要经济数据]],ECON[上周主要经济数据],0)),"")</f>
        <v/>
      </c>
    </row>
    <row r="9" spans="1:22" ht="15" x14ac:dyDescent="0.25">
      <c r="Q9" s="32"/>
      <c r="R9" s="32"/>
      <c r="S9" s="32"/>
      <c r="T9" s="32"/>
      <c r="U9" s="32"/>
      <c r="V9" s="32"/>
    </row>
    <row r="10" spans="1:22" ht="15" x14ac:dyDescent="0.25">
      <c r="Q10" s="32"/>
      <c r="R10" s="32"/>
      <c r="S10" s="32"/>
      <c r="T10" s="32"/>
      <c r="U10" s="32"/>
      <c r="V10" s="32"/>
    </row>
    <row r="11" spans="1:22" ht="15" x14ac:dyDescent="0.25">
      <c r="Q11" s="32"/>
      <c r="R11" s="32"/>
      <c r="S11" s="32"/>
      <c r="T11" s="32"/>
      <c r="U11" s="32"/>
      <c r="V11" s="32"/>
    </row>
    <row r="12" spans="1:22" ht="15" x14ac:dyDescent="0.25">
      <c r="A12" s="30" t="s">
        <v>124</v>
      </c>
      <c r="B12" s="31" t="s">
        <v>171</v>
      </c>
      <c r="C12" s="31" t="s">
        <v>125</v>
      </c>
      <c r="D12" s="31" t="s">
        <v>172</v>
      </c>
      <c r="E12" s="31" t="s">
        <v>126</v>
      </c>
      <c r="F12" s="31" t="s">
        <v>127</v>
      </c>
      <c r="G12" s="31" t="s">
        <v>128</v>
      </c>
      <c r="H12" s="31" t="s">
        <v>129</v>
      </c>
      <c r="I12" s="31" t="s">
        <v>130</v>
      </c>
      <c r="J12" s="31" t="s">
        <v>131</v>
      </c>
      <c r="K12" s="31" t="s">
        <v>132</v>
      </c>
      <c r="L12" s="31" t="s">
        <v>173</v>
      </c>
      <c r="M12" s="31" t="s">
        <v>175</v>
      </c>
      <c r="N12" s="31" t="s">
        <v>176</v>
      </c>
      <c r="O12" s="31" t="s">
        <v>166</v>
      </c>
      <c r="Q12" s="32"/>
      <c r="R12" s="32"/>
      <c r="S12" s="32"/>
      <c r="T12" s="32"/>
      <c r="U12" s="32"/>
      <c r="V12" s="32"/>
    </row>
    <row r="13" spans="1:22" ht="15" x14ac:dyDescent="0.25">
      <c r="A13" s="157">
        <v>45183</v>
      </c>
      <c r="B13" s="158" t="s">
        <v>269</v>
      </c>
      <c r="C13" s="158" t="s">
        <v>460</v>
      </c>
      <c r="D13" s="158" t="s">
        <v>810</v>
      </c>
      <c r="E13" s="158">
        <v>4.2500000000000003E-2</v>
      </c>
      <c r="F13" s="158" t="s">
        <v>7</v>
      </c>
      <c r="G13" s="158">
        <v>4.2500000000000003E-2</v>
      </c>
      <c r="H13" s="158" t="s">
        <v>7</v>
      </c>
      <c r="I13" s="158">
        <v>98</v>
      </c>
      <c r="J13" s="158" t="s">
        <v>461</v>
      </c>
      <c r="K13" s="159">
        <v>0.84375</v>
      </c>
      <c r="L13" s="158" t="s">
        <v>123</v>
      </c>
      <c r="M13" s="158" t="s">
        <v>94</v>
      </c>
      <c r="N13" s="158" t="s">
        <v>462</v>
      </c>
      <c r="O13" s="158" t="s">
        <v>463</v>
      </c>
      <c r="Q13" s="32"/>
      <c r="R13" s="32"/>
      <c r="S13" s="32"/>
      <c r="T13" s="32"/>
      <c r="U13" s="32"/>
      <c r="V13" s="32"/>
    </row>
    <row r="14" spans="1:22" ht="15" x14ac:dyDescent="0.25">
      <c r="A14" s="157">
        <v>45183</v>
      </c>
      <c r="B14" s="158" t="s">
        <v>301</v>
      </c>
      <c r="C14" s="158" t="s">
        <v>302</v>
      </c>
      <c r="D14" s="158" t="s">
        <v>811</v>
      </c>
      <c r="E14" s="158" t="s">
        <v>812</v>
      </c>
      <c r="F14" s="158" t="s">
        <v>7</v>
      </c>
      <c r="G14" s="158" t="s">
        <v>446</v>
      </c>
      <c r="H14" s="158" t="s">
        <v>7</v>
      </c>
      <c r="I14" s="158">
        <v>98</v>
      </c>
      <c r="J14" s="158" t="s">
        <v>303</v>
      </c>
      <c r="K14" s="159">
        <v>0.85416666666666663</v>
      </c>
      <c r="L14" s="158" t="s">
        <v>123</v>
      </c>
      <c r="M14" s="158" t="s">
        <v>94</v>
      </c>
      <c r="N14" s="158" t="s">
        <v>304</v>
      </c>
      <c r="O14" s="158" t="s">
        <v>305</v>
      </c>
      <c r="Q14" s="32"/>
      <c r="R14" s="32"/>
      <c r="S14" s="32"/>
      <c r="T14" s="32"/>
      <c r="U14" s="32"/>
      <c r="V14" s="32"/>
    </row>
    <row r="15" spans="1:22" ht="15" x14ac:dyDescent="0.25">
      <c r="A15" s="157">
        <v>45182</v>
      </c>
      <c r="B15" s="158" t="s">
        <v>301</v>
      </c>
      <c r="C15" s="158" t="s">
        <v>133</v>
      </c>
      <c r="D15" s="158" t="s">
        <v>270</v>
      </c>
      <c r="E15" s="158">
        <v>6.0000000000000001E-3</v>
      </c>
      <c r="F15" s="158">
        <v>6.0000000000000001E-3</v>
      </c>
      <c r="G15" s="158">
        <v>2E-3</v>
      </c>
      <c r="H15" s="158" t="s">
        <v>7</v>
      </c>
      <c r="I15" s="158">
        <v>97</v>
      </c>
      <c r="J15" s="158" t="s">
        <v>476</v>
      </c>
      <c r="K15" s="159">
        <v>0.85416666666666663</v>
      </c>
      <c r="L15" s="158" t="s">
        <v>123</v>
      </c>
      <c r="M15" s="158" t="s">
        <v>265</v>
      </c>
      <c r="N15" s="158" t="s">
        <v>309</v>
      </c>
      <c r="O15" s="158" t="s">
        <v>477</v>
      </c>
      <c r="Q15" s="32"/>
      <c r="R15" s="32"/>
      <c r="S15" s="32"/>
      <c r="T15" s="32"/>
      <c r="U15" s="32"/>
      <c r="V15" s="32"/>
    </row>
    <row r="16" spans="1:22" ht="15" x14ac:dyDescent="0.25">
      <c r="A16" s="157">
        <v>45182</v>
      </c>
      <c r="B16" s="158" t="s">
        <v>301</v>
      </c>
      <c r="C16" s="158" t="s">
        <v>382</v>
      </c>
      <c r="D16" s="158" t="s">
        <v>270</v>
      </c>
      <c r="E16" s="158">
        <v>3.5999999999999997E-2</v>
      </c>
      <c r="F16" s="158">
        <v>3.6999999999999998E-2</v>
      </c>
      <c r="G16" s="158">
        <v>3.2000000000000001E-2</v>
      </c>
      <c r="H16" s="158" t="s">
        <v>7</v>
      </c>
      <c r="I16" s="158">
        <v>95</v>
      </c>
      <c r="J16" s="158" t="s">
        <v>478</v>
      </c>
      <c r="K16" s="159">
        <v>0.85416666666666663</v>
      </c>
      <c r="L16" s="158" t="s">
        <v>123</v>
      </c>
      <c r="M16" s="158" t="s">
        <v>265</v>
      </c>
      <c r="N16" s="158" t="s">
        <v>309</v>
      </c>
      <c r="O16" s="158" t="s">
        <v>479</v>
      </c>
      <c r="Q16" s="32"/>
      <c r="R16" s="32"/>
      <c r="S16" s="32"/>
      <c r="T16" s="32"/>
      <c r="U16" s="32"/>
      <c r="V16" s="32"/>
    </row>
    <row r="17" spans="1:22" ht="15" x14ac:dyDescent="0.25">
      <c r="A17" s="157">
        <v>45184</v>
      </c>
      <c r="B17" s="158" t="s">
        <v>301</v>
      </c>
      <c r="C17" s="158" t="s">
        <v>480</v>
      </c>
      <c r="D17" s="158" t="s">
        <v>481</v>
      </c>
      <c r="E17" s="158">
        <v>69</v>
      </c>
      <c r="F17" s="158" t="s">
        <v>7</v>
      </c>
      <c r="G17" s="158">
        <v>69.5</v>
      </c>
      <c r="H17" s="158" t="s">
        <v>7</v>
      </c>
      <c r="I17" s="158">
        <v>94</v>
      </c>
      <c r="J17" s="158" t="s">
        <v>482</v>
      </c>
      <c r="K17" s="159">
        <v>0.91666666666666663</v>
      </c>
      <c r="L17" s="158" t="s">
        <v>123</v>
      </c>
      <c r="M17" s="158" t="s">
        <v>473</v>
      </c>
      <c r="N17" s="158" t="s">
        <v>483</v>
      </c>
      <c r="O17" s="158" t="s">
        <v>484</v>
      </c>
      <c r="Q17" s="32"/>
      <c r="R17" s="32"/>
      <c r="S17" s="32"/>
      <c r="T17" s="32"/>
      <c r="U17" s="32"/>
      <c r="V17" s="32"/>
    </row>
    <row r="18" spans="1:22" ht="15" x14ac:dyDescent="0.25">
      <c r="A18" s="157">
        <v>45183</v>
      </c>
      <c r="B18" s="158" t="s">
        <v>301</v>
      </c>
      <c r="C18" s="158" t="s">
        <v>485</v>
      </c>
      <c r="D18" s="158" t="s">
        <v>270</v>
      </c>
      <c r="E18" s="158">
        <v>1E-3</v>
      </c>
      <c r="F18" s="158" t="s">
        <v>7</v>
      </c>
      <c r="G18" s="158">
        <v>7.0000000000000001E-3</v>
      </c>
      <c r="H18" s="158" t="s">
        <v>7</v>
      </c>
      <c r="I18" s="158">
        <v>93</v>
      </c>
      <c r="J18" s="158" t="s">
        <v>486</v>
      </c>
      <c r="K18" s="159">
        <v>0.85416666666666663</v>
      </c>
      <c r="L18" s="158" t="s">
        <v>123</v>
      </c>
      <c r="M18" s="158" t="s">
        <v>265</v>
      </c>
      <c r="N18" s="158" t="s">
        <v>309</v>
      </c>
      <c r="O18" s="158" t="s">
        <v>487</v>
      </c>
    </row>
    <row r="19" spans="1:22" ht="15" x14ac:dyDescent="0.25">
      <c r="A19" s="157">
        <v>45182</v>
      </c>
      <c r="B19" s="158" t="s">
        <v>301</v>
      </c>
      <c r="C19" s="158" t="s">
        <v>306</v>
      </c>
      <c r="D19" s="158" t="s">
        <v>813</v>
      </c>
      <c r="E19" s="158" t="s">
        <v>7</v>
      </c>
      <c r="F19" s="158">
        <v>-8.0000000000000002E-3</v>
      </c>
      <c r="G19" s="158">
        <v>-2.9000000000000001E-2</v>
      </c>
      <c r="H19" s="158" t="s">
        <v>7</v>
      </c>
      <c r="I19" s="158">
        <v>91</v>
      </c>
      <c r="J19" s="158" t="s">
        <v>307</v>
      </c>
      <c r="K19" s="159">
        <v>0.79166666666666663</v>
      </c>
      <c r="L19" s="158" t="s">
        <v>123</v>
      </c>
      <c r="M19" s="158" t="s">
        <v>94</v>
      </c>
      <c r="N19" s="158" t="s">
        <v>304</v>
      </c>
      <c r="O19" s="158" t="s">
        <v>308</v>
      </c>
      <c r="Q19" s="32"/>
      <c r="R19" s="32"/>
      <c r="S19" s="32"/>
      <c r="T19" s="32"/>
      <c r="U19" s="32"/>
      <c r="V19" s="32"/>
    </row>
    <row r="20" spans="1:22" ht="15" x14ac:dyDescent="0.25">
      <c r="A20" s="157">
        <v>45184</v>
      </c>
      <c r="B20" s="158" t="s">
        <v>300</v>
      </c>
      <c r="C20" s="158" t="s">
        <v>447</v>
      </c>
      <c r="D20" s="158" t="s">
        <v>270</v>
      </c>
      <c r="E20" s="158">
        <v>3.9E-2</v>
      </c>
      <c r="F20" s="158" t="s">
        <v>7</v>
      </c>
      <c r="G20" s="158">
        <v>3.6999999999999998E-2</v>
      </c>
      <c r="H20" s="158" t="s">
        <v>7</v>
      </c>
      <c r="I20" s="158">
        <v>88</v>
      </c>
      <c r="J20" s="158" t="s">
        <v>448</v>
      </c>
      <c r="K20" s="159">
        <v>0.41666666666666669</v>
      </c>
      <c r="L20" s="158" t="s">
        <v>123</v>
      </c>
      <c r="M20" s="158" t="s">
        <v>265</v>
      </c>
      <c r="N20" s="158" t="s">
        <v>332</v>
      </c>
      <c r="O20" s="158" t="s">
        <v>449</v>
      </c>
      <c r="V20" s="32"/>
    </row>
    <row r="21" spans="1:22" ht="15" x14ac:dyDescent="0.25">
      <c r="A21" s="157">
        <v>45183</v>
      </c>
      <c r="B21" s="158" t="s">
        <v>269</v>
      </c>
      <c r="C21" s="158" t="s">
        <v>464</v>
      </c>
      <c r="D21" s="158" t="s">
        <v>810</v>
      </c>
      <c r="E21" s="158">
        <v>3.7499999999999999E-2</v>
      </c>
      <c r="F21" s="158" t="s">
        <v>7</v>
      </c>
      <c r="G21" s="158">
        <v>3.7499999999999999E-2</v>
      </c>
      <c r="H21" s="158" t="s">
        <v>7</v>
      </c>
      <c r="I21" s="158">
        <v>88</v>
      </c>
      <c r="J21" s="158" t="s">
        <v>465</v>
      </c>
      <c r="K21" s="159">
        <v>0.84375</v>
      </c>
      <c r="L21" s="158" t="s">
        <v>123</v>
      </c>
      <c r="M21" s="158" t="s">
        <v>94</v>
      </c>
      <c r="N21" s="158" t="s">
        <v>462</v>
      </c>
      <c r="O21" s="158" t="s">
        <v>466</v>
      </c>
      <c r="V21" s="32"/>
    </row>
    <row r="22" spans="1:22" ht="15" x14ac:dyDescent="0.25">
      <c r="A22" s="157">
        <v>45184</v>
      </c>
      <c r="B22" s="158" t="s">
        <v>301</v>
      </c>
      <c r="C22" s="158" t="s">
        <v>488</v>
      </c>
      <c r="D22" s="158" t="s">
        <v>270</v>
      </c>
      <c r="E22" s="158">
        <v>1E-3</v>
      </c>
      <c r="F22" s="158" t="s">
        <v>7</v>
      </c>
      <c r="G22" s="158">
        <v>0.01</v>
      </c>
      <c r="H22" s="158" t="s">
        <v>7</v>
      </c>
      <c r="I22" s="158">
        <v>88</v>
      </c>
      <c r="J22" s="158" t="s">
        <v>489</v>
      </c>
      <c r="K22" s="159">
        <v>0.88541666666666663</v>
      </c>
      <c r="L22" s="158" t="s">
        <v>123</v>
      </c>
      <c r="M22" s="158" t="s">
        <v>265</v>
      </c>
      <c r="N22" s="158" t="s">
        <v>309</v>
      </c>
      <c r="O22" s="158" t="s">
        <v>490</v>
      </c>
      <c r="V22" s="32"/>
    </row>
    <row r="23" spans="1:22" ht="15" x14ac:dyDescent="0.25">
      <c r="A23" s="157">
        <v>45183</v>
      </c>
      <c r="B23" s="158" t="s">
        <v>301</v>
      </c>
      <c r="C23" s="158" t="s">
        <v>491</v>
      </c>
      <c r="D23" s="158" t="s">
        <v>270</v>
      </c>
      <c r="E23" s="158">
        <v>4.0000000000000001E-3</v>
      </c>
      <c r="F23" s="158" t="s">
        <v>7</v>
      </c>
      <c r="G23" s="158">
        <v>3.0000000000000001E-3</v>
      </c>
      <c r="H23" s="158" t="s">
        <v>7</v>
      </c>
      <c r="I23" s="158">
        <v>87</v>
      </c>
      <c r="J23" s="158" t="s">
        <v>492</v>
      </c>
      <c r="K23" s="159">
        <v>0.85416666666666663</v>
      </c>
      <c r="L23" s="158" t="s">
        <v>123</v>
      </c>
      <c r="M23" s="158" t="s">
        <v>265</v>
      </c>
      <c r="N23" s="158" t="s">
        <v>309</v>
      </c>
      <c r="O23" s="158" t="s">
        <v>493</v>
      </c>
      <c r="V23" s="32"/>
    </row>
    <row r="24" spans="1:22" ht="15" x14ac:dyDescent="0.25">
      <c r="A24" s="157">
        <v>45180</v>
      </c>
      <c r="B24" s="158" t="s">
        <v>300</v>
      </c>
      <c r="C24" s="158" t="s">
        <v>383</v>
      </c>
      <c r="D24" s="158" t="s">
        <v>270</v>
      </c>
      <c r="E24" s="158">
        <v>0.107</v>
      </c>
      <c r="F24" s="158">
        <v>0.106</v>
      </c>
      <c r="G24" s="158">
        <v>0.107</v>
      </c>
      <c r="H24" s="158" t="s">
        <v>7</v>
      </c>
      <c r="I24" s="158">
        <v>86</v>
      </c>
      <c r="J24" s="158" t="s">
        <v>384</v>
      </c>
      <c r="K24" s="159">
        <v>0.52847222222222223</v>
      </c>
      <c r="L24" s="158" t="s">
        <v>123</v>
      </c>
      <c r="M24" s="158" t="s">
        <v>265</v>
      </c>
      <c r="N24" s="158" t="s">
        <v>332</v>
      </c>
      <c r="O24" s="158" t="s">
        <v>385</v>
      </c>
      <c r="V24" s="32"/>
    </row>
    <row r="25" spans="1:22" ht="15" x14ac:dyDescent="0.25">
      <c r="A25" s="157">
        <v>45184</v>
      </c>
      <c r="B25" s="158" t="s">
        <v>300</v>
      </c>
      <c r="C25" s="158" t="s">
        <v>450</v>
      </c>
      <c r="D25" s="158" t="s">
        <v>270</v>
      </c>
      <c r="E25" s="158">
        <v>0.03</v>
      </c>
      <c r="F25" s="158" t="s">
        <v>7</v>
      </c>
      <c r="G25" s="158">
        <v>2.5000000000000001E-2</v>
      </c>
      <c r="H25" s="158" t="s">
        <v>7</v>
      </c>
      <c r="I25" s="158">
        <v>84</v>
      </c>
      <c r="J25" s="158" t="s">
        <v>451</v>
      </c>
      <c r="K25" s="159">
        <v>0.41666666666666669</v>
      </c>
      <c r="L25" s="158" t="s">
        <v>123</v>
      </c>
      <c r="M25" s="158" t="s">
        <v>265</v>
      </c>
      <c r="N25" s="158" t="s">
        <v>332</v>
      </c>
      <c r="O25" s="158" t="s">
        <v>452</v>
      </c>
      <c r="V25" s="32"/>
    </row>
    <row r="26" spans="1:22" ht="15" x14ac:dyDescent="0.25">
      <c r="A26" s="157">
        <v>45184</v>
      </c>
      <c r="B26" s="158" t="s">
        <v>301</v>
      </c>
      <c r="C26" s="158" t="s">
        <v>494</v>
      </c>
      <c r="D26" s="158" t="s">
        <v>471</v>
      </c>
      <c r="E26" s="158">
        <v>-10</v>
      </c>
      <c r="F26" s="158" t="s">
        <v>7</v>
      </c>
      <c r="G26" s="158">
        <v>-19</v>
      </c>
      <c r="H26" s="158" t="s">
        <v>7</v>
      </c>
      <c r="I26" s="158">
        <v>83</v>
      </c>
      <c r="J26" s="158" t="s">
        <v>495</v>
      </c>
      <c r="K26" s="159">
        <v>0.85416666666666663</v>
      </c>
      <c r="L26" s="158" t="s">
        <v>123</v>
      </c>
      <c r="M26" s="158" t="s">
        <v>473</v>
      </c>
      <c r="N26" s="158" t="s">
        <v>483</v>
      </c>
      <c r="O26" s="158" t="s">
        <v>496</v>
      </c>
      <c r="V26" s="32"/>
    </row>
    <row r="27" spans="1:22" ht="15" x14ac:dyDescent="0.25">
      <c r="A27" s="157">
        <v>45183</v>
      </c>
      <c r="B27" s="158" t="s">
        <v>269</v>
      </c>
      <c r="C27" s="158" t="s">
        <v>467</v>
      </c>
      <c r="D27" s="158" t="s">
        <v>810</v>
      </c>
      <c r="E27" s="158">
        <v>4.4999999999999998E-2</v>
      </c>
      <c r="F27" s="158" t="s">
        <v>7</v>
      </c>
      <c r="G27" s="158">
        <v>4.4999999999999998E-2</v>
      </c>
      <c r="H27" s="158" t="s">
        <v>7</v>
      </c>
      <c r="I27" s="158">
        <v>78</v>
      </c>
      <c r="J27" s="158" t="s">
        <v>468</v>
      </c>
      <c r="K27" s="159">
        <v>0.84375</v>
      </c>
      <c r="L27" s="158" t="s">
        <v>123</v>
      </c>
      <c r="M27" s="158" t="s">
        <v>94</v>
      </c>
      <c r="N27" s="158" t="s">
        <v>462</v>
      </c>
      <c r="O27" s="158" t="s">
        <v>469</v>
      </c>
      <c r="V27" s="32"/>
    </row>
    <row r="28" spans="1:22" ht="15" x14ac:dyDescent="0.25">
      <c r="A28" s="157">
        <v>45180</v>
      </c>
      <c r="B28" s="158" t="s">
        <v>300</v>
      </c>
      <c r="C28" s="158" t="s">
        <v>386</v>
      </c>
      <c r="D28" s="158" t="s">
        <v>270</v>
      </c>
      <c r="E28" s="158" t="s">
        <v>453</v>
      </c>
      <c r="F28" s="158" t="s">
        <v>809</v>
      </c>
      <c r="G28" s="158" t="s">
        <v>387</v>
      </c>
      <c r="H28" s="158" t="s">
        <v>7</v>
      </c>
      <c r="I28" s="158">
        <v>72</v>
      </c>
      <c r="J28" s="158" t="s">
        <v>388</v>
      </c>
      <c r="K28" s="159">
        <v>0.52847222222222223</v>
      </c>
      <c r="L28" s="158" t="s">
        <v>123</v>
      </c>
      <c r="M28" s="158" t="s">
        <v>265</v>
      </c>
      <c r="N28" s="158" t="s">
        <v>332</v>
      </c>
      <c r="O28" s="158" t="s">
        <v>389</v>
      </c>
    </row>
    <row r="29" spans="1:22" ht="15" x14ac:dyDescent="0.25">
      <c r="A29" s="157">
        <v>45184</v>
      </c>
      <c r="B29" s="158" t="s">
        <v>300</v>
      </c>
      <c r="C29" s="158" t="s">
        <v>454</v>
      </c>
      <c r="D29" s="158" t="s">
        <v>270</v>
      </c>
      <c r="E29" s="158">
        <v>3.7999999999999999E-2</v>
      </c>
      <c r="F29" s="158" t="s">
        <v>7</v>
      </c>
      <c r="G29" s="158">
        <v>3.7999999999999999E-2</v>
      </c>
      <c r="H29" s="158" t="s">
        <v>7</v>
      </c>
      <c r="I29" s="158">
        <v>66</v>
      </c>
      <c r="J29" s="158" t="s">
        <v>455</v>
      </c>
      <c r="K29" s="159">
        <v>0.41666666666666669</v>
      </c>
      <c r="L29" s="158" t="s">
        <v>123</v>
      </c>
      <c r="M29" s="158" t="s">
        <v>265</v>
      </c>
      <c r="N29" s="158" t="s">
        <v>332</v>
      </c>
      <c r="O29" s="158" t="s">
        <v>456</v>
      </c>
    </row>
    <row r="30" spans="1:22" ht="15" x14ac:dyDescent="0.25">
      <c r="A30" s="157">
        <v>45184</v>
      </c>
      <c r="B30" s="158" t="s">
        <v>300</v>
      </c>
      <c r="C30" s="158" t="s">
        <v>457</v>
      </c>
      <c r="D30" s="158" t="s">
        <v>270</v>
      </c>
      <c r="E30" s="158">
        <v>3.3000000000000002E-2</v>
      </c>
      <c r="F30" s="158" t="s">
        <v>7</v>
      </c>
      <c r="G30" s="158">
        <v>3.4000000000000002E-2</v>
      </c>
      <c r="H30" s="158" t="s">
        <v>7</v>
      </c>
      <c r="I30" s="158">
        <v>62</v>
      </c>
      <c r="J30" s="158" t="s">
        <v>458</v>
      </c>
      <c r="K30" s="159">
        <v>0.41666666666666669</v>
      </c>
      <c r="L30" s="158" t="s">
        <v>123</v>
      </c>
      <c r="M30" s="158" t="s">
        <v>265</v>
      </c>
      <c r="N30" s="158" t="s">
        <v>332</v>
      </c>
      <c r="O30" s="158" t="s">
        <v>459</v>
      </c>
    </row>
    <row r="31" spans="1:22" ht="15" x14ac:dyDescent="0.25">
      <c r="A31" s="157">
        <v>45181</v>
      </c>
      <c r="B31" s="158" t="s">
        <v>269</v>
      </c>
      <c r="C31" s="158" t="s">
        <v>470</v>
      </c>
      <c r="D31" s="158" t="s">
        <v>471</v>
      </c>
      <c r="E31" s="158" t="s">
        <v>7</v>
      </c>
      <c r="F31" s="158">
        <v>-8.9</v>
      </c>
      <c r="G31" s="158">
        <v>-5.5</v>
      </c>
      <c r="H31" s="158" t="s">
        <v>7</v>
      </c>
      <c r="I31" s="158">
        <v>61</v>
      </c>
      <c r="J31" s="158" t="s">
        <v>472</v>
      </c>
      <c r="K31" s="159">
        <v>0.70833333333333337</v>
      </c>
      <c r="L31" s="158" t="s">
        <v>123</v>
      </c>
      <c r="M31" s="158" t="s">
        <v>473</v>
      </c>
      <c r="N31" s="158" t="s">
        <v>474</v>
      </c>
      <c r="O31" s="158" t="s">
        <v>475</v>
      </c>
    </row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1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2">
    <dataValidation type="list" allowBlank="1" showInputMessage="1" sqref="I1" xr:uid="{247CD28C-E434-4B8B-BA8E-BA3C6FA30DA7}">
      <formula1>dd_econ</formula1>
    </dataValidation>
    <dataValidation type="list" allowBlank="1" showInputMessage="1" showErrorMessage="1" sqref="C3:C8" xr:uid="{D3F1D24E-C665-453B-91B6-9AC32DAB21A5}">
      <formula1>$O$13:$O$31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8"/>
  <sheetViews>
    <sheetView workbookViewId="0">
      <selection activeCell="C3" sqref="C3:C8"/>
    </sheetView>
  </sheetViews>
  <sheetFormatPr defaultColWidth="8.88671875" defaultRowHeight="15" x14ac:dyDescent="0.25"/>
  <cols>
    <col min="1" max="1" width="9.44140625" style="29" bestFit="1" customWidth="1"/>
    <col min="2" max="2" width="8.33203125" style="29" bestFit="1" customWidth="1"/>
    <col min="3" max="3" width="26.5546875" style="29" bestFit="1" customWidth="1"/>
    <col min="4" max="4" width="8.44140625" style="29" bestFit="1" customWidth="1"/>
    <col min="5" max="5" width="8" style="29" bestFit="1" customWidth="1"/>
    <col min="6" max="6" width="7.6640625" style="29" bestFit="1" customWidth="1"/>
    <col min="7" max="7" width="6.77734375" style="29" bestFit="1" customWidth="1"/>
    <col min="8" max="8" width="8.88671875" style="29" bestFit="1" customWidth="1"/>
    <col min="9" max="9" width="10.77734375" style="29" bestFit="1" customWidth="1" collapsed="1"/>
    <col min="10" max="10" width="15.5546875" style="29" bestFit="1" customWidth="1"/>
    <col min="11" max="11" width="10.77734375" style="29" bestFit="1" customWidth="1"/>
    <col min="12" max="12" width="7.33203125" style="29" bestFit="1" customWidth="1"/>
    <col min="13" max="13" width="5.88671875" style="29" bestFit="1" customWidth="1"/>
    <col min="14" max="14" width="9.44140625" style="29" bestFit="1" customWidth="1"/>
    <col min="15" max="15" width="33.33203125" style="29" bestFit="1" customWidth="1" collapsed="1"/>
    <col min="16" max="16" width="6.5546875" style="29" customWidth="1"/>
    <col min="17" max="17" width="6.77734375" style="29" customWidth="1"/>
    <col min="18" max="18" width="28.109375" style="29" bestFit="1" customWidth="1"/>
    <col min="19" max="19" width="12.6640625" style="29" bestFit="1" customWidth="1"/>
    <col min="20" max="22" width="7.6640625" style="29" customWidth="1"/>
    <col min="23" max="23" width="6.109375" style="29" bestFit="1" customWidth="1"/>
    <col min="24" max="24" width="9.44140625" style="29" bestFit="1" customWidth="1"/>
    <col min="25" max="25" width="35.109375" style="29" bestFit="1" customWidth="1"/>
    <col min="26" max="16384" width="8.88671875" style="29"/>
  </cols>
  <sheetData>
    <row r="1" spans="1:22" ht="59.25" customHeight="1" x14ac:dyDescent="0.25">
      <c r="A1" s="28" t="s">
        <v>174</v>
      </c>
      <c r="H1" s="89" t="s">
        <v>177</v>
      </c>
    </row>
    <row r="2" spans="1:22" x14ac:dyDescent="0.25">
      <c r="B2" s="30" t="s">
        <v>88</v>
      </c>
      <c r="C2" s="30" t="s">
        <v>177</v>
      </c>
      <c r="D2" s="30" t="s">
        <v>180</v>
      </c>
      <c r="E2" s="30" t="s">
        <v>168</v>
      </c>
      <c r="F2" s="30" t="s">
        <v>169</v>
      </c>
      <c r="V2" s="32"/>
    </row>
    <row r="3" spans="1:22" x14ac:dyDescent="0.25">
      <c r="B3" s="30">
        <v>4</v>
      </c>
      <c r="D3" s="44" t="str">
        <f ca="1">IFERROR(INDEX(FUTURE[Date],MATCH(input_future[[#This Row],[未来一周主要经济数据]],FUTURE[未来一周主要经济数据],0)),"")</f>
        <v/>
      </c>
      <c r="E3" s="34" t="str">
        <f ca="1">IFERROR(INDEX(FUTURE[Prior],MATCH(input_future[[#This Row],[未来一周主要经济数据]],FUTURE[未来一周主要经济数据],0)),"")</f>
        <v/>
      </c>
      <c r="F3" s="34" t="str">
        <f ca="1">IFERROR(INDEX(FUTURE[Survey],MATCH(input_future[[#This Row],[未来一周主要经济数据]],FUTURE[未来一周主要经济数据],0)),"")</f>
        <v/>
      </c>
      <c r="V3" s="38"/>
    </row>
    <row r="4" spans="1:22" x14ac:dyDescent="0.25">
      <c r="B4" s="30">
        <v>5</v>
      </c>
      <c r="D4" s="44" t="str">
        <f ca="1">IFERROR(INDEX(FUTURE[Date],MATCH(input_future[[#This Row],[未来一周主要经济数据]],FUTURE[未来一周主要经济数据],0)),"")</f>
        <v/>
      </c>
      <c r="E4" s="34" t="str">
        <f ca="1">IFERROR(INDEX(FUTURE[Prior],MATCH(input_future[[#This Row],[未来一周主要经济数据]],FUTURE[未来一周主要经济数据],0)),"")</f>
        <v/>
      </c>
      <c r="F4" s="34" t="str">
        <f ca="1">IFERROR(INDEX(FUTURE[Survey],MATCH(input_future[[#This Row],[未来一周主要经济数据]],FUTURE[未来一周主要经济数据],0)),"")</f>
        <v/>
      </c>
      <c r="V4" s="38"/>
    </row>
    <row r="5" spans="1:22" x14ac:dyDescent="0.25">
      <c r="B5" s="30">
        <v>1</v>
      </c>
      <c r="D5" s="44" t="str">
        <f ca="1">IFERROR(INDEX(FUTURE[Date],MATCH(input_future[[#This Row],[未来一周主要经济数据]],FUTURE[未来一周主要经济数据],0)),"")</f>
        <v/>
      </c>
      <c r="E5" s="34" t="str">
        <f ca="1">IFERROR(INDEX(FUTURE[Prior],MATCH(input_future[[#This Row],[未来一周主要经济数据]],FUTURE[未来一周主要经济数据],0)),"")</f>
        <v/>
      </c>
      <c r="F5" s="34" t="str">
        <f ca="1">IFERROR(INDEX(FUTURE[Survey],MATCH(input_future[[#This Row],[未来一周主要经济数据]],FUTURE[未来一周主要经济数据],0)),"")</f>
        <v/>
      </c>
      <c r="V5" s="38"/>
    </row>
    <row r="6" spans="1:22" x14ac:dyDescent="0.25">
      <c r="B6" s="30">
        <v>2</v>
      </c>
      <c r="D6" s="44" t="str">
        <f ca="1">IFERROR(INDEX(FUTURE[Date],MATCH(input_future[[#This Row],[未来一周主要经济数据]],FUTURE[未来一周主要经济数据],0)),"")</f>
        <v/>
      </c>
      <c r="E6" s="34" t="str">
        <f ca="1">IFERROR(INDEX(FUTURE[Prior],MATCH(input_future[[#This Row],[未来一周主要经济数据]],FUTURE[未来一周主要经济数据],0)),"")</f>
        <v/>
      </c>
      <c r="F6" s="34" t="str">
        <f ca="1">IFERROR(INDEX(FUTURE[Survey],MATCH(input_future[[#This Row],[未来一周主要经济数据]],FUTURE[未来一周主要经济数据],0)),"")</f>
        <v/>
      </c>
      <c r="V6" s="38"/>
    </row>
    <row r="7" spans="1:22" x14ac:dyDescent="0.25">
      <c r="B7" s="30">
        <v>3</v>
      </c>
      <c r="D7" s="44" t="str">
        <f ca="1">IFERROR(INDEX(FUTURE[Date],MATCH(input_future[[#This Row],[未来一周主要经济数据]],FUTURE[未来一周主要经济数据],0)),"")</f>
        <v/>
      </c>
      <c r="E7" s="34" t="str">
        <f ca="1">IFERROR(INDEX(FUTURE[Prior],MATCH(input_future[[#This Row],[未来一周主要经济数据]],FUTURE[未来一周主要经济数据],0)),"")</f>
        <v/>
      </c>
      <c r="F7" s="34" t="str">
        <f ca="1">IFERROR(INDEX(FUTURE[Survey],MATCH(input_future[[#This Row],[未来一周主要经济数据]],FUTURE[未来一周主要经济数据],0)),"")</f>
        <v/>
      </c>
      <c r="V7" s="38"/>
    </row>
    <row r="8" spans="1:22" x14ac:dyDescent="0.25">
      <c r="B8" s="30">
        <v>6</v>
      </c>
      <c r="D8" s="44" t="str">
        <f ca="1">IFERROR(INDEX(FUTURE[Date],MATCH(input_future[[#This Row],[未来一周主要经济数据]],FUTURE[未来一周主要经济数据],0)),"")</f>
        <v/>
      </c>
      <c r="E8" s="34" t="str">
        <f ca="1">IFERROR(INDEX(FUTURE[Prior],MATCH(input_future[[#This Row],[未来一周主要经济数据]],FUTURE[未来一周主要经济数据],0)),"")</f>
        <v/>
      </c>
      <c r="F8" s="34" t="str">
        <f ca="1">IFERROR(INDEX(FUTURE[Survey],MATCH(input_future[[#This Row],[未来一周主要经济数据]],FUTURE[未来一周主要经济数据],0)),"")</f>
        <v/>
      </c>
      <c r="V8" s="38"/>
    </row>
    <row r="9" spans="1:22" x14ac:dyDescent="0.25">
      <c r="Q9" s="32"/>
      <c r="R9" s="32"/>
      <c r="S9" s="32"/>
      <c r="T9" s="32"/>
      <c r="U9" s="32"/>
      <c r="V9" s="32"/>
    </row>
    <row r="10" spans="1:22" x14ac:dyDescent="0.25">
      <c r="A10" s="31" t="s">
        <v>124</v>
      </c>
      <c r="B10" s="31" t="s">
        <v>171</v>
      </c>
      <c r="C10" s="31" t="s">
        <v>125</v>
      </c>
      <c r="D10" s="31" t="s">
        <v>172</v>
      </c>
      <c r="E10" s="31" t="s">
        <v>126</v>
      </c>
      <c r="F10" s="31" t="s">
        <v>127</v>
      </c>
      <c r="G10" s="31" t="s">
        <v>128</v>
      </c>
      <c r="H10" s="31" t="s">
        <v>129</v>
      </c>
      <c r="I10" s="31" t="s">
        <v>130</v>
      </c>
      <c r="J10" s="31" t="s">
        <v>131</v>
      </c>
      <c r="K10" s="31" t="s">
        <v>132</v>
      </c>
      <c r="L10" s="31" t="s">
        <v>173</v>
      </c>
      <c r="M10" s="31" t="s">
        <v>175</v>
      </c>
      <c r="N10" s="31" t="s">
        <v>176</v>
      </c>
      <c r="O10" s="31" t="s">
        <v>177</v>
      </c>
      <c r="Q10" s="32"/>
      <c r="R10" s="32"/>
      <c r="S10" s="32"/>
      <c r="T10" s="32"/>
      <c r="U10" s="32"/>
      <c r="V10" s="32"/>
    </row>
    <row r="11" spans="1:22" x14ac:dyDescent="0.25">
      <c r="A11" s="42">
        <v>45190</v>
      </c>
      <c r="B11" s="29" t="s">
        <v>301</v>
      </c>
      <c r="C11" s="29" t="s">
        <v>302</v>
      </c>
      <c r="D11" s="29" t="s">
        <v>830</v>
      </c>
      <c r="E11" s="29" t="s">
        <v>7</v>
      </c>
      <c r="F11" s="29" t="s">
        <v>7</v>
      </c>
      <c r="G11" s="29" t="s">
        <v>7</v>
      </c>
      <c r="H11" s="29" t="s">
        <v>7</v>
      </c>
      <c r="I11" s="29">
        <v>98</v>
      </c>
      <c r="J11" s="29" t="s">
        <v>303</v>
      </c>
      <c r="K11" s="40">
        <v>0.85416666666666663</v>
      </c>
      <c r="L11" s="29" t="s">
        <v>174</v>
      </c>
      <c r="M11" s="29" t="s">
        <v>94</v>
      </c>
      <c r="N11" s="29" t="s">
        <v>304</v>
      </c>
      <c r="O11" s="29" t="s">
        <v>305</v>
      </c>
      <c r="Q11" s="32"/>
      <c r="R11" s="32"/>
      <c r="S11" s="32"/>
      <c r="T11" s="32"/>
      <c r="U11" s="32"/>
      <c r="V11" s="32"/>
    </row>
    <row r="12" spans="1:22" x14ac:dyDescent="0.25">
      <c r="A12" s="42">
        <v>45190</v>
      </c>
      <c r="B12" s="29" t="s">
        <v>301</v>
      </c>
      <c r="C12" s="29" t="s">
        <v>831</v>
      </c>
      <c r="D12" s="29" t="s">
        <v>832</v>
      </c>
      <c r="E12" s="29">
        <v>5.5E-2</v>
      </c>
      <c r="F12" s="29" t="s">
        <v>7</v>
      </c>
      <c r="G12" s="29">
        <v>5.5E-2</v>
      </c>
      <c r="H12" s="29" t="s">
        <v>7</v>
      </c>
      <c r="I12" s="29">
        <v>98</v>
      </c>
      <c r="J12" s="29" t="s">
        <v>833</v>
      </c>
      <c r="K12" s="40">
        <v>8.3333333333333329E-2</v>
      </c>
      <c r="L12" s="29" t="s">
        <v>174</v>
      </c>
      <c r="M12" s="29" t="s">
        <v>94</v>
      </c>
      <c r="N12" s="29" t="s">
        <v>304</v>
      </c>
      <c r="O12" s="29" t="s">
        <v>834</v>
      </c>
      <c r="Q12" s="32"/>
      <c r="R12" s="32"/>
      <c r="S12" s="32"/>
      <c r="T12" s="32"/>
      <c r="U12" s="32"/>
      <c r="V12" s="32"/>
    </row>
    <row r="13" spans="1:22" x14ac:dyDescent="0.25">
      <c r="A13" s="42">
        <v>45188</v>
      </c>
      <c r="B13" s="29" t="s">
        <v>269</v>
      </c>
      <c r="C13" s="29" t="s">
        <v>382</v>
      </c>
      <c r="D13" s="29" t="s">
        <v>314</v>
      </c>
      <c r="E13" s="29" t="s">
        <v>7</v>
      </c>
      <c r="F13" s="29" t="s">
        <v>7</v>
      </c>
      <c r="G13" s="29">
        <v>5.2999999999999999E-2</v>
      </c>
      <c r="H13" s="29" t="s">
        <v>7</v>
      </c>
      <c r="I13" s="29">
        <v>95</v>
      </c>
      <c r="J13" s="29" t="s">
        <v>814</v>
      </c>
      <c r="K13" s="40">
        <v>0.70833333333333337</v>
      </c>
      <c r="L13" s="29" t="s">
        <v>174</v>
      </c>
      <c r="M13" s="29" t="s">
        <v>265</v>
      </c>
      <c r="N13" s="29" t="s">
        <v>815</v>
      </c>
      <c r="O13" s="29" t="s">
        <v>816</v>
      </c>
      <c r="Q13" s="32"/>
      <c r="R13" s="32"/>
      <c r="S13" s="32"/>
      <c r="T13" s="32"/>
      <c r="U13" s="32"/>
      <c r="V13" s="32"/>
    </row>
    <row r="14" spans="1:22" x14ac:dyDescent="0.25">
      <c r="A14" s="42">
        <v>45189</v>
      </c>
      <c r="B14" s="29" t="s">
        <v>301</v>
      </c>
      <c r="C14" s="29" t="s">
        <v>306</v>
      </c>
      <c r="D14" s="29" t="s">
        <v>835</v>
      </c>
      <c r="E14" s="29" t="s">
        <v>7</v>
      </c>
      <c r="F14" s="29" t="s">
        <v>7</v>
      </c>
      <c r="G14" s="29">
        <v>-8.0000000000000002E-3</v>
      </c>
      <c r="H14" s="29" t="s">
        <v>7</v>
      </c>
      <c r="I14" s="29">
        <v>91</v>
      </c>
      <c r="J14" s="29" t="s">
        <v>307</v>
      </c>
      <c r="K14" s="40">
        <v>0.79166666666666663</v>
      </c>
      <c r="L14" s="29" t="s">
        <v>174</v>
      </c>
      <c r="M14" s="29" t="s">
        <v>94</v>
      </c>
      <c r="N14" s="29" t="s">
        <v>304</v>
      </c>
      <c r="O14" s="29" t="s">
        <v>308</v>
      </c>
      <c r="Q14" s="32"/>
      <c r="R14" s="32"/>
      <c r="S14" s="32"/>
      <c r="T14" s="32"/>
      <c r="U14" s="32"/>
      <c r="V14" s="32"/>
    </row>
    <row r="15" spans="1:22" x14ac:dyDescent="0.25">
      <c r="A15" s="42">
        <v>45191</v>
      </c>
      <c r="B15" s="29" t="s">
        <v>269</v>
      </c>
      <c r="C15" s="29" t="s">
        <v>817</v>
      </c>
      <c r="D15" s="29" t="s">
        <v>481</v>
      </c>
      <c r="E15" s="29" t="s">
        <v>7</v>
      </c>
      <c r="F15" s="29" t="s">
        <v>7</v>
      </c>
      <c r="G15" s="29">
        <v>43.5</v>
      </c>
      <c r="H15" s="29" t="s">
        <v>7</v>
      </c>
      <c r="I15" s="29">
        <v>90</v>
      </c>
      <c r="J15" s="29" t="s">
        <v>818</v>
      </c>
      <c r="K15" s="40">
        <v>0.66666666666666663</v>
      </c>
      <c r="L15" s="29" t="s">
        <v>174</v>
      </c>
      <c r="M15" s="29" t="s">
        <v>473</v>
      </c>
      <c r="N15" s="29" t="s">
        <v>473</v>
      </c>
      <c r="O15" s="29" t="s">
        <v>819</v>
      </c>
      <c r="Q15" s="32"/>
      <c r="R15" s="32"/>
      <c r="S15" s="32"/>
      <c r="T15" s="32"/>
      <c r="U15" s="32"/>
      <c r="V15" s="32"/>
    </row>
    <row r="16" spans="1:22" x14ac:dyDescent="0.25">
      <c r="A16" s="42">
        <v>45191</v>
      </c>
      <c r="B16" s="29" t="s">
        <v>301</v>
      </c>
      <c r="C16" s="29" t="s">
        <v>836</v>
      </c>
      <c r="D16" s="29" t="s">
        <v>481</v>
      </c>
      <c r="E16" s="29" t="s">
        <v>7</v>
      </c>
      <c r="F16" s="29" t="s">
        <v>7</v>
      </c>
      <c r="G16" s="29">
        <v>47.9</v>
      </c>
      <c r="H16" s="29" t="s">
        <v>7</v>
      </c>
      <c r="I16" s="29">
        <v>90</v>
      </c>
      <c r="J16" s="29" t="s">
        <v>837</v>
      </c>
      <c r="K16" s="40">
        <v>0.90625</v>
      </c>
      <c r="L16" s="29" t="s">
        <v>174</v>
      </c>
      <c r="M16" s="29" t="s">
        <v>473</v>
      </c>
      <c r="N16" s="29" t="s">
        <v>473</v>
      </c>
      <c r="O16" s="29" t="s">
        <v>838</v>
      </c>
      <c r="Q16" s="32"/>
      <c r="R16" s="32"/>
      <c r="S16" s="32"/>
      <c r="T16" s="32"/>
      <c r="U16" s="32"/>
      <c r="V16" s="32"/>
    </row>
    <row r="17" spans="1:22" x14ac:dyDescent="0.25">
      <c r="A17" s="42">
        <v>45188</v>
      </c>
      <c r="B17" s="29" t="s">
        <v>301</v>
      </c>
      <c r="C17" s="29" t="s">
        <v>839</v>
      </c>
      <c r="D17" s="29" t="s">
        <v>270</v>
      </c>
      <c r="E17" s="29" t="s">
        <v>840</v>
      </c>
      <c r="F17" s="29" t="s">
        <v>7</v>
      </c>
      <c r="G17" s="29" t="s">
        <v>841</v>
      </c>
      <c r="H17" s="29" t="s">
        <v>7</v>
      </c>
      <c r="I17" s="29">
        <v>89</v>
      </c>
      <c r="J17" s="29" t="s">
        <v>842</v>
      </c>
      <c r="K17" s="40">
        <v>0.85416666666666663</v>
      </c>
      <c r="L17" s="29" t="s">
        <v>174</v>
      </c>
      <c r="M17" s="29" t="s">
        <v>265</v>
      </c>
      <c r="N17" s="29" t="s">
        <v>309</v>
      </c>
      <c r="O17" s="29" t="s">
        <v>843</v>
      </c>
      <c r="Q17" s="32"/>
      <c r="R17" s="32"/>
      <c r="S17" s="32"/>
      <c r="T17" s="32"/>
      <c r="U17" s="32"/>
      <c r="V17" s="32"/>
    </row>
    <row r="18" spans="1:22" x14ac:dyDescent="0.25">
      <c r="A18" s="42">
        <v>45190</v>
      </c>
      <c r="B18" s="29" t="s">
        <v>301</v>
      </c>
      <c r="C18" s="29" t="s">
        <v>844</v>
      </c>
      <c r="D18" s="29" t="s">
        <v>270</v>
      </c>
      <c r="E18" s="29" t="s">
        <v>845</v>
      </c>
      <c r="F18" s="29" t="s">
        <v>7</v>
      </c>
      <c r="G18" s="29" t="s">
        <v>846</v>
      </c>
      <c r="H18" s="29" t="s">
        <v>7</v>
      </c>
      <c r="I18" s="29">
        <v>86</v>
      </c>
      <c r="J18" s="29" t="s">
        <v>847</v>
      </c>
      <c r="K18" s="40">
        <v>0.91666666666666663</v>
      </c>
      <c r="L18" s="29" t="s">
        <v>174</v>
      </c>
      <c r="M18" s="29" t="s">
        <v>265</v>
      </c>
      <c r="N18" s="29" t="s">
        <v>309</v>
      </c>
      <c r="O18" s="29" t="s">
        <v>848</v>
      </c>
    </row>
    <row r="19" spans="1:22" x14ac:dyDescent="0.25">
      <c r="A19" s="42">
        <v>45188</v>
      </c>
      <c r="B19" s="29" t="s">
        <v>269</v>
      </c>
      <c r="C19" s="29" t="s">
        <v>133</v>
      </c>
      <c r="D19" s="29" t="s">
        <v>314</v>
      </c>
      <c r="E19" s="29" t="s">
        <v>7</v>
      </c>
      <c r="F19" s="29" t="s">
        <v>7</v>
      </c>
      <c r="G19" s="29">
        <v>6.0000000000000001E-3</v>
      </c>
      <c r="H19" s="29" t="s">
        <v>7</v>
      </c>
      <c r="I19" s="29">
        <v>85</v>
      </c>
      <c r="J19" s="29" t="s">
        <v>820</v>
      </c>
      <c r="K19" s="40">
        <v>0.70833333333333337</v>
      </c>
      <c r="L19" s="29" t="s">
        <v>174</v>
      </c>
      <c r="M19" s="29" t="s">
        <v>265</v>
      </c>
      <c r="N19" s="29" t="s">
        <v>815</v>
      </c>
      <c r="O19" s="29" t="s">
        <v>821</v>
      </c>
      <c r="Q19" s="32"/>
      <c r="R19" s="32"/>
      <c r="S19" s="32"/>
      <c r="T19" s="32"/>
      <c r="U19" s="32"/>
      <c r="V19" s="32"/>
    </row>
    <row r="20" spans="1:22" x14ac:dyDescent="0.25">
      <c r="A20" s="42">
        <v>45190</v>
      </c>
      <c r="B20" s="29" t="s">
        <v>301</v>
      </c>
      <c r="C20" s="29" t="s">
        <v>849</v>
      </c>
      <c r="D20" s="29" t="s">
        <v>270</v>
      </c>
      <c r="E20" s="29">
        <v>-4.0000000000000001E-3</v>
      </c>
      <c r="F20" s="29" t="s">
        <v>7</v>
      </c>
      <c r="G20" s="29">
        <v>-4.0000000000000001E-3</v>
      </c>
      <c r="H20" s="29" t="s">
        <v>7</v>
      </c>
      <c r="I20" s="29">
        <v>82</v>
      </c>
      <c r="J20" s="29" t="s">
        <v>850</v>
      </c>
      <c r="K20" s="40">
        <v>0.91666666666666663</v>
      </c>
      <c r="L20" s="29" t="s">
        <v>174</v>
      </c>
      <c r="M20" s="29" t="s">
        <v>265</v>
      </c>
      <c r="N20" s="29" t="s">
        <v>309</v>
      </c>
      <c r="O20" s="29" t="s">
        <v>851</v>
      </c>
      <c r="V20" s="32"/>
    </row>
    <row r="21" spans="1:22" x14ac:dyDescent="0.25">
      <c r="A21" s="42">
        <v>45191</v>
      </c>
      <c r="B21" s="29" t="s">
        <v>269</v>
      </c>
      <c r="C21" s="29" t="s">
        <v>310</v>
      </c>
      <c r="D21" s="29" t="s">
        <v>481</v>
      </c>
      <c r="E21" s="29" t="s">
        <v>7</v>
      </c>
      <c r="F21" s="29" t="s">
        <v>7</v>
      </c>
      <c r="G21" s="29">
        <v>46.7</v>
      </c>
      <c r="H21" s="29" t="s">
        <v>7</v>
      </c>
      <c r="I21" s="29">
        <v>73</v>
      </c>
      <c r="J21" s="29" t="s">
        <v>311</v>
      </c>
      <c r="K21" s="40">
        <v>0.66666666666666663</v>
      </c>
      <c r="L21" s="29" t="s">
        <v>174</v>
      </c>
      <c r="M21" s="29" t="s">
        <v>473</v>
      </c>
      <c r="N21" s="29" t="s">
        <v>473</v>
      </c>
      <c r="O21" s="29" t="s">
        <v>822</v>
      </c>
      <c r="V21" s="32"/>
    </row>
    <row r="22" spans="1:22" x14ac:dyDescent="0.25">
      <c r="A22" s="42">
        <v>45188</v>
      </c>
      <c r="B22" s="29" t="s">
        <v>269</v>
      </c>
      <c r="C22" s="29" t="s">
        <v>823</v>
      </c>
      <c r="D22" s="29" t="s">
        <v>314</v>
      </c>
      <c r="E22" s="29" t="s">
        <v>7</v>
      </c>
      <c r="F22" s="29" t="s">
        <v>7</v>
      </c>
      <c r="G22" s="29">
        <v>5.2999999999999999E-2</v>
      </c>
      <c r="H22" s="29" t="s">
        <v>7</v>
      </c>
      <c r="I22" s="29">
        <v>71</v>
      </c>
      <c r="J22" s="29" t="s">
        <v>824</v>
      </c>
      <c r="K22" s="40">
        <v>0.70833333333333337</v>
      </c>
      <c r="L22" s="29" t="s">
        <v>174</v>
      </c>
      <c r="M22" s="29" t="s">
        <v>265</v>
      </c>
      <c r="N22" s="29" t="s">
        <v>815</v>
      </c>
      <c r="O22" s="29" t="s">
        <v>825</v>
      </c>
      <c r="V22" s="32"/>
    </row>
    <row r="23" spans="1:22" x14ac:dyDescent="0.25">
      <c r="A23" s="42">
        <v>45191</v>
      </c>
      <c r="B23" s="29" t="s">
        <v>269</v>
      </c>
      <c r="C23" s="29" t="s">
        <v>312</v>
      </c>
      <c r="D23" s="29" t="s">
        <v>481</v>
      </c>
      <c r="E23" s="29" t="s">
        <v>7</v>
      </c>
      <c r="F23" s="29" t="s">
        <v>7</v>
      </c>
      <c r="G23" s="29">
        <v>47.9</v>
      </c>
      <c r="H23" s="29" t="s">
        <v>7</v>
      </c>
      <c r="I23" s="29">
        <v>70</v>
      </c>
      <c r="J23" s="29" t="s">
        <v>313</v>
      </c>
      <c r="K23" s="40">
        <v>0.66666666666666663</v>
      </c>
      <c r="L23" s="29" t="s">
        <v>174</v>
      </c>
      <c r="M23" s="29" t="s">
        <v>473</v>
      </c>
      <c r="N23" s="29" t="s">
        <v>473</v>
      </c>
      <c r="O23" s="29" t="s">
        <v>826</v>
      </c>
      <c r="V23" s="32"/>
    </row>
    <row r="24" spans="1:22" x14ac:dyDescent="0.25">
      <c r="A24" s="42">
        <v>45190</v>
      </c>
      <c r="B24" s="29" t="s">
        <v>269</v>
      </c>
      <c r="C24" s="29" t="s">
        <v>827</v>
      </c>
      <c r="D24" s="29" t="s">
        <v>481</v>
      </c>
      <c r="E24" s="29" t="s">
        <v>7</v>
      </c>
      <c r="F24" s="29" t="s">
        <v>7</v>
      </c>
      <c r="G24" s="29">
        <v>-16</v>
      </c>
      <c r="H24" s="29" t="s">
        <v>7</v>
      </c>
      <c r="I24" s="29">
        <v>66</v>
      </c>
      <c r="J24" s="29" t="s">
        <v>828</v>
      </c>
      <c r="K24" s="40">
        <v>0.91666666666666663</v>
      </c>
      <c r="L24" s="29" t="s">
        <v>174</v>
      </c>
      <c r="M24" s="29" t="s">
        <v>473</v>
      </c>
      <c r="N24" s="29" t="s">
        <v>474</v>
      </c>
      <c r="O24" s="29" t="s">
        <v>829</v>
      </c>
      <c r="Q24" s="32"/>
      <c r="R24" s="32"/>
      <c r="S24" s="32"/>
      <c r="T24" s="32"/>
      <c r="U24" s="32"/>
      <c r="V24" s="32"/>
    </row>
    <row r="25" spans="1:22" x14ac:dyDescent="0.25">
      <c r="Q25" s="32"/>
      <c r="R25" s="32"/>
      <c r="S25" s="41"/>
      <c r="T25" s="38"/>
      <c r="U25" s="38"/>
      <c r="V25" s="32"/>
    </row>
    <row r="26" spans="1:22" x14ac:dyDescent="0.25">
      <c r="A26" s="42"/>
      <c r="K26" s="40"/>
      <c r="Q26" s="32"/>
      <c r="R26" s="32"/>
      <c r="S26" s="41"/>
      <c r="T26" s="38"/>
      <c r="U26" s="38"/>
      <c r="V26" s="32"/>
    </row>
    <row r="27" spans="1:22" x14ac:dyDescent="0.25">
      <c r="A27" s="42"/>
      <c r="K27" s="40"/>
      <c r="Q27" s="32"/>
      <c r="R27" s="32"/>
      <c r="S27" s="41"/>
      <c r="T27" s="38"/>
      <c r="U27" s="38"/>
      <c r="V27" s="32"/>
    </row>
    <row r="28" spans="1:22" x14ac:dyDescent="0.25">
      <c r="A28" s="42"/>
      <c r="K28" s="40"/>
      <c r="Q28" s="32"/>
      <c r="R28" s="32"/>
      <c r="S28" s="41"/>
      <c r="T28" s="38"/>
      <c r="U28" s="38"/>
    </row>
    <row r="29" spans="1:22" x14ac:dyDescent="0.25">
      <c r="A29" s="42"/>
      <c r="K29" s="40"/>
      <c r="Q29" s="32"/>
      <c r="R29" s="32"/>
      <c r="S29" s="41"/>
      <c r="T29" s="38"/>
      <c r="U29" s="38"/>
    </row>
    <row r="30" spans="1:22" x14ac:dyDescent="0.25">
      <c r="A30" s="42"/>
      <c r="K30" s="40"/>
      <c r="Q30" s="32"/>
      <c r="R30" s="32"/>
      <c r="S30" s="41"/>
      <c r="T30" s="38"/>
      <c r="U30" s="38"/>
    </row>
    <row r="31" spans="1:22" x14ac:dyDescent="0.25">
      <c r="A31" s="42"/>
      <c r="K31" s="40"/>
    </row>
    <row r="32" spans="1:22" x14ac:dyDescent="0.25">
      <c r="A32" s="42"/>
      <c r="K32" s="40"/>
    </row>
    <row r="33" spans="1:11" x14ac:dyDescent="0.25">
      <c r="A33" s="42"/>
      <c r="K33" s="40"/>
    </row>
    <row r="34" spans="1:11" x14ac:dyDescent="0.25">
      <c r="A34" s="42"/>
      <c r="K34" s="40"/>
    </row>
    <row r="35" spans="1:11" x14ac:dyDescent="0.25">
      <c r="A35" s="42"/>
      <c r="K35" s="40"/>
    </row>
    <row r="36" spans="1:11" x14ac:dyDescent="0.25">
      <c r="A36" s="42"/>
      <c r="K36" s="40"/>
    </row>
    <row r="37" spans="1:11" x14ac:dyDescent="0.25">
      <c r="A37" s="42"/>
      <c r="K37" s="40"/>
    </row>
    <row r="38" spans="1:11" x14ac:dyDescent="0.25">
      <c r="A38" s="42"/>
      <c r="K38" s="40"/>
    </row>
  </sheetData>
  <phoneticPr fontId="41" type="noConversion"/>
  <conditionalFormatting sqref="I26:I38 I11:I24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2">
    <dataValidation type="list" allowBlank="1" showInputMessage="1" sqref="H1" xr:uid="{190CA822-8438-459E-9664-4295D566F166}">
      <formula1>dd_econfuture</formula1>
    </dataValidation>
    <dataValidation type="list" allowBlank="1" showInputMessage="1" showErrorMessage="1" sqref="C3:C8" xr:uid="{1CD3A171-ADEB-4C93-BC35-F89526E9B772}">
      <formula1>$O$11:$O$24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I26:I38 I11:I24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0"/>
  <sheetViews>
    <sheetView zoomScale="85" zoomScaleNormal="85" workbookViewId="0">
      <selection activeCell="G23" sqref="G23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109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103">
        <v>45167</v>
      </c>
      <c r="H1" s="100"/>
      <c r="I1" s="86" t="s">
        <v>411</v>
      </c>
      <c r="J1" s="86" t="s">
        <v>54</v>
      </c>
      <c r="K1" s="86" t="s">
        <v>66</v>
      </c>
      <c r="L1" s="86" t="s">
        <v>76</v>
      </c>
    </row>
    <row r="2" spans="1:125" ht="36" x14ac:dyDescent="0.55000000000000004">
      <c r="A2" s="120" t="s">
        <v>422</v>
      </c>
      <c r="D2" s="110"/>
      <c r="E2" s="102"/>
      <c r="F2" s="102"/>
      <c r="M2" s="102"/>
      <c r="N2" s="100"/>
      <c r="O2" s="100"/>
      <c r="P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</row>
    <row r="4" spans="1:125" ht="27.75" customHeight="1" x14ac:dyDescent="0.45">
      <c r="B4" s="117" t="s">
        <v>421</v>
      </c>
      <c r="D4" s="110"/>
      <c r="E4" s="102"/>
      <c r="F4" s="102"/>
      <c r="G4" s="102"/>
      <c r="H4" s="102"/>
      <c r="I4" s="102"/>
      <c r="J4" s="102"/>
      <c r="K4" s="102"/>
      <c r="L4" s="102"/>
      <c r="M4" s="102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0"/>
      <c r="DH4" s="100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0"/>
      <c r="DT4" s="100"/>
      <c r="DU4" s="100"/>
    </row>
    <row r="5" spans="1:125" ht="27.75" customHeight="1" x14ac:dyDescent="0.45">
      <c r="B5" s="113" t="s">
        <v>413</v>
      </c>
      <c r="C5" s="113" t="s">
        <v>414</v>
      </c>
      <c r="D5" s="113" t="s">
        <v>419</v>
      </c>
      <c r="E5" s="102"/>
      <c r="F5" s="102"/>
      <c r="G5" s="102"/>
      <c r="H5" s="102"/>
      <c r="I5" s="102"/>
      <c r="J5" s="102"/>
      <c r="K5" s="102"/>
      <c r="L5" s="102"/>
      <c r="M5" s="102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0"/>
      <c r="CX5" s="100"/>
      <c r="CY5" s="100"/>
      <c r="CZ5" s="100"/>
      <c r="DA5" s="100"/>
      <c r="DB5" s="100"/>
      <c r="DC5" s="100"/>
      <c r="DD5" s="100"/>
      <c r="DE5" s="100"/>
      <c r="DF5" s="100"/>
      <c r="DG5" s="100"/>
      <c r="DH5" s="100"/>
      <c r="DI5" s="100"/>
      <c r="DJ5" s="100"/>
      <c r="DK5" s="100"/>
      <c r="DL5" s="100"/>
      <c r="DM5" s="100"/>
      <c r="DN5" s="100"/>
      <c r="DO5" s="100"/>
      <c r="DP5" s="100"/>
      <c r="DQ5" s="100"/>
      <c r="DR5" s="100"/>
      <c r="DS5" s="100"/>
      <c r="DT5" s="100"/>
      <c r="DU5" s="100"/>
    </row>
    <row r="6" spans="1:125" ht="27.75" customHeight="1" x14ac:dyDescent="0.45">
      <c r="B6" s="108"/>
      <c r="C6" s="108" t="s">
        <v>592</v>
      </c>
      <c r="D6" s="108" t="s">
        <v>420</v>
      </c>
      <c r="E6" s="102"/>
      <c r="F6" s="102"/>
      <c r="G6" s="102"/>
      <c r="H6" s="102"/>
      <c r="I6" s="102"/>
      <c r="J6" s="102"/>
      <c r="K6" s="102"/>
      <c r="L6" s="102"/>
      <c r="M6" s="102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</row>
    <row r="8" spans="1:125" ht="27.75" customHeight="1" x14ac:dyDescent="0.45">
      <c r="B8" s="119" t="s">
        <v>417</v>
      </c>
      <c r="C8" s="106"/>
      <c r="D8" s="111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0"/>
      <c r="P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0"/>
      <c r="DT8" s="100"/>
      <c r="DU8" s="100"/>
    </row>
    <row r="9" spans="1:125" x14ac:dyDescent="0.25">
      <c r="B9" t="s">
        <v>49</v>
      </c>
      <c r="C9" t="s">
        <v>178</v>
      </c>
      <c r="D9" s="107" t="s">
        <v>50</v>
      </c>
      <c r="E9" t="s">
        <v>145</v>
      </c>
      <c r="F9" t="s">
        <v>65</v>
      </c>
      <c r="G9" t="s">
        <v>58</v>
      </c>
      <c r="H9" t="s">
        <v>89</v>
      </c>
      <c r="I9" t="s">
        <v>122</v>
      </c>
      <c r="J9" t="s">
        <v>90</v>
      </c>
      <c r="K9" t="s">
        <v>179</v>
      </c>
    </row>
    <row r="10" spans="1:125" x14ac:dyDescent="0.25">
      <c r="B10" t="s">
        <v>593</v>
      </c>
      <c r="C10" t="s">
        <v>594</v>
      </c>
      <c r="D10" s="107">
        <v>44806</v>
      </c>
      <c r="E10" t="s">
        <v>85</v>
      </c>
      <c r="F10" t="s">
        <v>87</v>
      </c>
      <c r="G10">
        <v>2</v>
      </c>
      <c r="H10" t="s">
        <v>163</v>
      </c>
      <c r="I10" t="s">
        <v>440</v>
      </c>
      <c r="J10" t="s">
        <v>595</v>
      </c>
      <c r="K10" t="s">
        <v>596</v>
      </c>
    </row>
    <row r="12" spans="1:125" ht="27.75" x14ac:dyDescent="0.45">
      <c r="B12" s="118" t="s">
        <v>416</v>
      </c>
      <c r="C12" s="101"/>
      <c r="D12" s="112"/>
      <c r="E12" s="101"/>
      <c r="F12" s="101"/>
      <c r="G12" s="101"/>
      <c r="H12" s="101"/>
      <c r="I12" s="101"/>
      <c r="J12" s="101"/>
      <c r="K12" s="101"/>
    </row>
    <row r="13" spans="1:125" x14ac:dyDescent="0.25">
      <c r="B13" t="s">
        <v>409</v>
      </c>
      <c r="C13" t="s">
        <v>407</v>
      </c>
      <c r="D13" s="107" t="s">
        <v>151</v>
      </c>
      <c r="E13" t="s">
        <v>410</v>
      </c>
      <c r="F13" t="s">
        <v>50</v>
      </c>
      <c r="G13" t="s">
        <v>58</v>
      </c>
      <c r="H13" t="s">
        <v>411</v>
      </c>
      <c r="I13" t="s">
        <v>54</v>
      </c>
      <c r="J13" t="s">
        <v>573</v>
      </c>
      <c r="K13" t="s">
        <v>574</v>
      </c>
    </row>
    <row r="14" spans="1:125" s="90" customFormat="1" ht="35.25" customHeight="1" x14ac:dyDescent="0.25">
      <c r="B14" s="147" t="s">
        <v>593</v>
      </c>
      <c r="C14" s="147" t="s">
        <v>408</v>
      </c>
      <c r="D14" s="148" t="s">
        <v>315</v>
      </c>
      <c r="E14" s="147"/>
      <c r="F14" s="149">
        <v>45177</v>
      </c>
      <c r="G14" s="147">
        <v>1.22</v>
      </c>
      <c r="H14" s="147" t="s">
        <v>381</v>
      </c>
      <c r="I14" s="150">
        <v>6.2E-2</v>
      </c>
      <c r="J14" s="151" t="s">
        <v>257</v>
      </c>
      <c r="K14" s="151" t="s">
        <v>566</v>
      </c>
    </row>
    <row r="15" spans="1:125" ht="27.75" x14ac:dyDescent="0.45">
      <c r="L15" s="101"/>
      <c r="M15" s="101"/>
    </row>
    <row r="16" spans="1:125" ht="27.75" x14ac:dyDescent="0.45">
      <c r="B16" s="119" t="s">
        <v>418</v>
      </c>
      <c r="C16" s="102"/>
      <c r="D16" s="110"/>
      <c r="E16" s="102"/>
      <c r="F16" s="119" t="s">
        <v>423</v>
      </c>
      <c r="G16" s="102"/>
      <c r="H16" s="102"/>
      <c r="I16" s="102"/>
      <c r="J16" s="102"/>
      <c r="K16" s="102"/>
    </row>
    <row r="17" spans="2:13" x14ac:dyDescent="0.25">
      <c r="B17" t="s">
        <v>404</v>
      </c>
      <c r="C17" t="s">
        <v>406</v>
      </c>
    </row>
    <row r="18" spans="2:13" x14ac:dyDescent="0.25">
      <c r="B18" s="115" t="s">
        <v>409</v>
      </c>
      <c r="C18" s="116" t="s">
        <v>593</v>
      </c>
    </row>
    <row r="19" spans="2:13" ht="27.75" x14ac:dyDescent="0.45">
      <c r="B19" s="115" t="s">
        <v>878</v>
      </c>
      <c r="C19" s="116" t="s">
        <v>408</v>
      </c>
      <c r="L19" s="102"/>
      <c r="M19" s="102"/>
    </row>
    <row r="20" spans="2:13" x14ac:dyDescent="0.25">
      <c r="B20" s="115" t="s">
        <v>151</v>
      </c>
      <c r="C20" s="116" t="s">
        <v>315</v>
      </c>
    </row>
    <row r="21" spans="2:13" x14ac:dyDescent="0.25">
      <c r="B21" s="115" t="s">
        <v>50</v>
      </c>
      <c r="C21" s="116">
        <v>45177</v>
      </c>
    </row>
    <row r="22" spans="2:13" x14ac:dyDescent="0.25">
      <c r="B22" s="115" t="s">
        <v>58</v>
      </c>
      <c r="C22" s="116">
        <v>1.22</v>
      </c>
    </row>
    <row r="23" spans="2:13" x14ac:dyDescent="0.25">
      <c r="B23" s="115" t="s">
        <v>411</v>
      </c>
      <c r="C23" s="116" t="s">
        <v>376</v>
      </c>
    </row>
    <row r="24" spans="2:13" x14ac:dyDescent="0.25">
      <c r="B24" s="115" t="s">
        <v>54</v>
      </c>
      <c r="C24" s="116" t="s">
        <v>415</v>
      </c>
    </row>
    <row r="25" spans="2:13" x14ac:dyDescent="0.25">
      <c r="B25" s="115" t="s">
        <v>66</v>
      </c>
      <c r="C25" s="116" t="s">
        <v>564</v>
      </c>
    </row>
    <row r="26" spans="2:13" x14ac:dyDescent="0.25">
      <c r="B26" s="115" t="s">
        <v>76</v>
      </c>
      <c r="C26" s="116" t="s">
        <v>568</v>
      </c>
    </row>
    <row r="27" spans="2:13" x14ac:dyDescent="0.25">
      <c r="B27" s="115" t="s">
        <v>96</v>
      </c>
      <c r="C27" s="116" t="s">
        <v>597</v>
      </c>
    </row>
    <row r="28" spans="2:13" x14ac:dyDescent="0.25">
      <c r="B28" s="115" t="s">
        <v>49</v>
      </c>
      <c r="C28" s="116" t="s">
        <v>593</v>
      </c>
    </row>
    <row r="29" spans="2:13" x14ac:dyDescent="0.25">
      <c r="B29" s="115" t="s">
        <v>274</v>
      </c>
      <c r="C29" s="116" t="s">
        <v>85</v>
      </c>
    </row>
    <row r="30" spans="2:13" x14ac:dyDescent="0.25">
      <c r="B30" s="115" t="s">
        <v>275</v>
      </c>
      <c r="C30" s="116" t="s">
        <v>85</v>
      </c>
    </row>
    <row r="31" spans="2:13" x14ac:dyDescent="0.25">
      <c r="B31" s="115" t="s">
        <v>52</v>
      </c>
      <c r="C31" s="116" t="s">
        <v>598</v>
      </c>
    </row>
    <row r="32" spans="2:13" x14ac:dyDescent="0.25">
      <c r="B32" s="115" t="s">
        <v>65</v>
      </c>
      <c r="C32" s="116" t="s">
        <v>87</v>
      </c>
    </row>
    <row r="33" spans="2:3" x14ac:dyDescent="0.25">
      <c r="B33" s="115" t="s">
        <v>89</v>
      </c>
      <c r="C33" s="116" t="s">
        <v>163</v>
      </c>
    </row>
    <row r="34" spans="2:3" x14ac:dyDescent="0.25">
      <c r="B34" s="115" t="s">
        <v>181</v>
      </c>
      <c r="C34" s="116" t="s">
        <v>117</v>
      </c>
    </row>
    <row r="35" spans="2:3" x14ac:dyDescent="0.25">
      <c r="B35" s="115" t="s">
        <v>92</v>
      </c>
      <c r="C35" s="116" t="s">
        <v>37</v>
      </c>
    </row>
    <row r="36" spans="2:3" x14ac:dyDescent="0.25">
      <c r="B36" s="115" t="s">
        <v>93</v>
      </c>
      <c r="C36" s="116" t="s">
        <v>333</v>
      </c>
    </row>
    <row r="37" spans="2:3" x14ac:dyDescent="0.25">
      <c r="B37" s="115" t="s">
        <v>82</v>
      </c>
      <c r="C37" s="116" t="s">
        <v>141</v>
      </c>
    </row>
    <row r="38" spans="2:3" x14ac:dyDescent="0.25">
      <c r="B38" s="115" t="s">
        <v>68</v>
      </c>
      <c r="C38" s="116">
        <v>44811</v>
      </c>
    </row>
    <row r="39" spans="2:3" x14ac:dyDescent="0.25">
      <c r="B39" s="115" t="s">
        <v>71</v>
      </c>
      <c r="C39" s="116">
        <v>44992</v>
      </c>
    </row>
    <row r="40" spans="2:3" x14ac:dyDescent="0.25">
      <c r="B40" s="115" t="s">
        <v>53</v>
      </c>
      <c r="C40" s="116">
        <v>45907</v>
      </c>
    </row>
    <row r="41" spans="2:3" x14ac:dyDescent="0.25">
      <c r="B41" s="115" t="s">
        <v>186</v>
      </c>
      <c r="C41" s="116">
        <v>2</v>
      </c>
    </row>
    <row r="42" spans="2:3" x14ac:dyDescent="0.25">
      <c r="B42" s="115" t="s">
        <v>187</v>
      </c>
      <c r="C42" s="116">
        <v>13.8</v>
      </c>
    </row>
    <row r="43" spans="2:3" x14ac:dyDescent="0.25">
      <c r="B43" s="115" t="s">
        <v>229</v>
      </c>
      <c r="C43" s="116">
        <v>15.7</v>
      </c>
    </row>
    <row r="44" spans="2:3" x14ac:dyDescent="0.25">
      <c r="B44" s="115" t="s">
        <v>67</v>
      </c>
      <c r="C44" s="116" t="s">
        <v>599</v>
      </c>
    </row>
    <row r="45" spans="2:3" x14ac:dyDescent="0.25">
      <c r="B45" s="115" t="s">
        <v>254</v>
      </c>
      <c r="C45" s="116" t="s">
        <v>291</v>
      </c>
    </row>
    <row r="46" spans="2:3" ht="45" x14ac:dyDescent="0.25">
      <c r="B46" s="115" t="s">
        <v>72</v>
      </c>
      <c r="C46" s="116" t="s">
        <v>600</v>
      </c>
    </row>
    <row r="47" spans="2:3" x14ac:dyDescent="0.25">
      <c r="B47" s="115" t="s">
        <v>243</v>
      </c>
      <c r="C47" s="116" t="s">
        <v>602</v>
      </c>
    </row>
    <row r="48" spans="2:3" x14ac:dyDescent="0.25">
      <c r="B48" s="115" t="s">
        <v>216</v>
      </c>
      <c r="C48" s="116" t="s">
        <v>433</v>
      </c>
    </row>
    <row r="49" spans="2:3" x14ac:dyDescent="0.25">
      <c r="B49" s="115" t="s">
        <v>150</v>
      </c>
      <c r="C49" s="116" t="s">
        <v>601</v>
      </c>
    </row>
    <row r="50" spans="2:3" x14ac:dyDescent="0.25">
      <c r="B50" s="115" t="s">
        <v>178</v>
      </c>
      <c r="C50" s="116" t="s">
        <v>594</v>
      </c>
    </row>
  </sheetData>
  <phoneticPr fontId="13" type="noConversion"/>
  <conditionalFormatting sqref="B10:J10">
    <cfRule type="expression" dxfId="17" priority="1">
      <formula>ISNUMBER(FIND(#REF!,"【"))</formula>
    </cfRule>
  </conditionalFormatting>
  <conditionalFormatting sqref="K10">
    <cfRule type="expression" dxfId="16" priority="13">
      <formula>ISNUMBER(FIND(#REF!,"【"))</formula>
    </cfRule>
  </conditionalFormatting>
  <dataValidations count="7">
    <dataValidation type="list" allowBlank="1" showInputMessage="1" showErrorMessage="1" sqref="C14" xr:uid="{11485101-3356-430B-AD53-0DB45BFA4D76}">
      <formula1>"【】,新增记录,拆分记录"</formula1>
    </dataValidation>
    <dataValidation type="list" allowBlank="1" showInputMessage="1" showErrorMessage="1" sqref="D14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14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14 I1" xr:uid="{B8C59A8D-B217-413F-9F9F-510A2F586F44}"/>
    <dataValidation type="list" allowBlank="1" showInputMessage="1" sqref="B14" xr:uid="{630C696C-1BA5-4EF7-B919-569446863386}">
      <formula1>$B$10:$B$10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14:K14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G10" sqref="G10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86" t="s">
        <v>42</v>
      </c>
      <c r="H1" s="86" t="s">
        <v>98</v>
      </c>
      <c r="I1" s="154" t="s">
        <v>267</v>
      </c>
    </row>
    <row r="2" spans="1:9" ht="36" x14ac:dyDescent="0.55000000000000004">
      <c r="A2" s="120" t="s">
        <v>549</v>
      </c>
      <c r="E2" s="1" t="s">
        <v>553</v>
      </c>
    </row>
    <row r="3" spans="1:9" ht="15.75" x14ac:dyDescent="0.25">
      <c r="B3" s="113" t="s">
        <v>414</v>
      </c>
      <c r="C3" s="113" t="s">
        <v>419</v>
      </c>
    </row>
    <row r="4" spans="1:9" x14ac:dyDescent="0.25">
      <c r="B4" s="108" t="s">
        <v>575</v>
      </c>
      <c r="C4" s="108" t="s">
        <v>420</v>
      </c>
    </row>
    <row r="6" spans="1:9" x14ac:dyDescent="0.25">
      <c r="B6" s="121" t="s">
        <v>96</v>
      </c>
    </row>
    <row r="7" spans="1:9" x14ac:dyDescent="0.25">
      <c r="B7" s="121" t="s">
        <v>428</v>
      </c>
    </row>
    <row r="8" spans="1:9" x14ac:dyDescent="0.25">
      <c r="B8" s="121" t="s">
        <v>498</v>
      </c>
    </row>
    <row r="9" spans="1:9" x14ac:dyDescent="0.25">
      <c r="B9" s="121" t="s">
        <v>583</v>
      </c>
    </row>
    <row r="10" spans="1:9" x14ac:dyDescent="0.25">
      <c r="B10" s="121" t="s">
        <v>576</v>
      </c>
    </row>
    <row r="11" spans="1:9" x14ac:dyDescent="0.25">
      <c r="B11" s="121" t="s">
        <v>577</v>
      </c>
    </row>
    <row r="12" spans="1:9" x14ac:dyDescent="0.25">
      <c r="B12" s="121" t="s">
        <v>578</v>
      </c>
    </row>
    <row r="13" spans="1:9" x14ac:dyDescent="0.25">
      <c r="B13" s="121" t="s">
        <v>579</v>
      </c>
    </row>
    <row r="14" spans="1:9" x14ac:dyDescent="0.25">
      <c r="B14" s="121" t="s">
        <v>580</v>
      </c>
    </row>
    <row r="15" spans="1:9" x14ac:dyDescent="0.25">
      <c r="B15" s="121" t="s">
        <v>581</v>
      </c>
    </row>
    <row r="16" spans="1:9" x14ac:dyDescent="0.25">
      <c r="B16" s="121" t="s">
        <v>582</v>
      </c>
    </row>
    <row r="20" spans="2:12" x14ac:dyDescent="0.25">
      <c r="K20" s="121" t="s">
        <v>569</v>
      </c>
      <c r="L20" s="121" t="s">
        <v>570</v>
      </c>
    </row>
    <row r="21" spans="2:12" x14ac:dyDescent="0.25">
      <c r="K21" s="121" t="s">
        <v>550</v>
      </c>
      <c r="L21" s="146" t="s">
        <v>68</v>
      </c>
    </row>
    <row r="22" spans="2:12" x14ac:dyDescent="0.25">
      <c r="K22" s="121" t="s">
        <v>551</v>
      </c>
      <c r="L22" s="146" t="s">
        <v>53</v>
      </c>
    </row>
    <row r="23" spans="2:12" x14ac:dyDescent="0.25">
      <c r="K23" s="121" t="s">
        <v>573</v>
      </c>
      <c r="L23" s="121" t="s">
        <v>66</v>
      </c>
    </row>
    <row r="24" spans="2:12" ht="17.25" customHeight="1" x14ac:dyDescent="0.25">
      <c r="B24" s="1" t="s">
        <v>584</v>
      </c>
      <c r="C24" s="1" t="s">
        <v>552</v>
      </c>
      <c r="K24" s="121" t="s">
        <v>574</v>
      </c>
      <c r="L24" s="121" t="s">
        <v>76</v>
      </c>
    </row>
    <row r="25" spans="2:12" ht="17.25" customHeight="1" x14ac:dyDescent="0.25">
      <c r="B25" s="144" t="s">
        <v>49</v>
      </c>
      <c r="C25" s="152"/>
      <c r="K25" s="121" t="s">
        <v>145</v>
      </c>
      <c r="L25" s="121" t="s">
        <v>274</v>
      </c>
    </row>
    <row r="26" spans="2:12" ht="17.25" customHeight="1" x14ac:dyDescent="0.25">
      <c r="B26" s="144" t="s">
        <v>50</v>
      </c>
      <c r="C26" s="152"/>
      <c r="K26" s="121" t="s">
        <v>190</v>
      </c>
      <c r="L26" s="121" t="s">
        <v>275</v>
      </c>
    </row>
    <row r="27" spans="2:12" ht="17.25" customHeight="1" x14ac:dyDescent="0.25">
      <c r="B27" s="144" t="s">
        <v>59</v>
      </c>
      <c r="C27" s="152"/>
      <c r="K27" s="121" t="s">
        <v>122</v>
      </c>
      <c r="L27" s="121" t="s">
        <v>591</v>
      </c>
    </row>
    <row r="28" spans="2:12" ht="17.25" customHeight="1" x14ac:dyDescent="0.25">
      <c r="B28" s="144" t="s">
        <v>267</v>
      </c>
      <c r="C28" s="152"/>
    </row>
    <row r="29" spans="2:12" ht="17.25" customHeight="1" x14ac:dyDescent="0.25">
      <c r="B29" s="144" t="s">
        <v>56</v>
      </c>
      <c r="C29" s="152"/>
    </row>
    <row r="30" spans="2:12" ht="17.25" customHeight="1" x14ac:dyDescent="0.25">
      <c r="B30" s="144" t="s">
        <v>573</v>
      </c>
      <c r="C30" s="152" t="s">
        <v>255</v>
      </c>
    </row>
    <row r="31" spans="2:12" ht="17.25" customHeight="1" x14ac:dyDescent="0.25">
      <c r="B31" s="144" t="s">
        <v>574</v>
      </c>
      <c r="C31" s="152" t="s">
        <v>566</v>
      </c>
    </row>
    <row r="32" spans="2:12" ht="17.25" customHeight="1" x14ac:dyDescent="0.25">
      <c r="B32" s="144" t="s">
        <v>145</v>
      </c>
      <c r="C32" s="152"/>
    </row>
    <row r="33" spans="2:3" ht="17.25" customHeight="1" x14ac:dyDescent="0.25">
      <c r="B33" s="144" t="s">
        <v>98</v>
      </c>
      <c r="C33" s="152"/>
    </row>
    <row r="34" spans="2:3" ht="17.25" customHeight="1" x14ac:dyDescent="0.25">
      <c r="B34" s="144" t="s">
        <v>122</v>
      </c>
      <c r="C34" s="153">
        <v>3.2000000000000001E-2</v>
      </c>
    </row>
    <row r="35" spans="2:3" ht="17.25" customHeight="1" x14ac:dyDescent="0.25">
      <c r="B35" s="144" t="s">
        <v>65</v>
      </c>
      <c r="C35" s="152" t="s">
        <v>87</v>
      </c>
    </row>
    <row r="36" spans="2:3" ht="17.25" customHeight="1" x14ac:dyDescent="0.25">
      <c r="B36" s="144" t="s">
        <v>58</v>
      </c>
      <c r="C36" s="152">
        <v>2</v>
      </c>
    </row>
    <row r="37" spans="2:3" ht="17.25" customHeight="1" x14ac:dyDescent="0.25">
      <c r="B37" s="144" t="s">
        <v>411</v>
      </c>
      <c r="C37" s="152" t="s">
        <v>554</v>
      </c>
    </row>
    <row r="38" spans="2:3" ht="17.25" customHeight="1" x14ac:dyDescent="0.25">
      <c r="B38" s="144" t="s">
        <v>54</v>
      </c>
      <c r="C38" s="153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6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4.88671875" style="1" bestFit="1" customWidth="1"/>
    <col min="3" max="3" width="25" style="1" bestFit="1" customWidth="1"/>
    <col min="4" max="4" width="5.88671875" style="1" bestFit="1" customWidth="1"/>
    <col min="5" max="5" width="7.5546875" style="1" bestFit="1" customWidth="1"/>
    <col min="6" max="6" width="5.88671875" style="1" bestFit="1" customWidth="1"/>
    <col min="7" max="7" width="7.6640625" style="1" bestFit="1" customWidth="1"/>
    <col min="8" max="8" width="9.21875" style="1" bestFit="1" customWidth="1"/>
    <col min="9" max="9" width="6" style="1" bestFit="1" customWidth="1"/>
    <col min="10" max="10" width="5.886718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85" t="s">
        <v>260</v>
      </c>
    </row>
    <row r="5" spans="1:10" x14ac:dyDescent="0.25">
      <c r="A5" t="s">
        <v>50</v>
      </c>
      <c r="B5" t="s">
        <v>49</v>
      </c>
      <c r="C5" t="s">
        <v>48</v>
      </c>
      <c r="D5" t="s">
        <v>89</v>
      </c>
      <c r="E5" t="s">
        <v>186</v>
      </c>
      <c r="F5" t="s">
        <v>65</v>
      </c>
      <c r="G5" t="s">
        <v>246</v>
      </c>
      <c r="H5" t="s">
        <v>95</v>
      </c>
      <c r="I5" t="s">
        <v>109</v>
      </c>
      <c r="J5" t="s">
        <v>120</v>
      </c>
    </row>
    <row r="6" spans="1:10" x14ac:dyDescent="0.25">
      <c r="A6" s="52">
        <v>45182</v>
      </c>
      <c r="B6" t="s">
        <v>633</v>
      </c>
      <c r="C6" s="114" t="s">
        <v>634</v>
      </c>
      <c r="D6">
        <v>3</v>
      </c>
      <c r="E6">
        <v>0.5</v>
      </c>
      <c r="F6" t="s">
        <v>87</v>
      </c>
      <c r="G6" t="s">
        <v>324</v>
      </c>
      <c r="H6"/>
      <c r="I6" t="s">
        <v>587</v>
      </c>
      <c r="J6" t="s">
        <v>586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U19"/>
  <sheetViews>
    <sheetView topLeftCell="A4" workbookViewId="0">
      <selection activeCell="C11" sqref="C11"/>
    </sheetView>
  </sheetViews>
  <sheetFormatPr defaultRowHeight="15" x14ac:dyDescent="0.25"/>
  <cols>
    <col min="1" max="1" width="24.109375" style="1" bestFit="1" customWidth="1"/>
    <col min="2" max="2" width="26.33203125" style="1" bestFit="1" customWidth="1"/>
    <col min="3" max="3" width="14.88671875" style="1" bestFit="1" customWidth="1"/>
    <col min="4" max="4" width="9.33203125" style="1" bestFit="1" customWidth="1"/>
    <col min="5" max="5" width="35.8867187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35.6640625" style="1" bestFit="1" customWidth="1"/>
    <col min="15" max="15" width="34.6640625" style="1" bestFit="1" customWidth="1"/>
    <col min="16" max="16" width="40.77734375" style="1" bestFit="1" customWidth="1"/>
    <col min="17" max="17" width="12.5546875" style="1" bestFit="1" customWidth="1"/>
    <col min="18" max="18" width="9.21875" style="1" bestFit="1" customWidth="1"/>
    <col min="19" max="19" width="9.5546875" style="1" bestFit="1" customWidth="1"/>
    <col min="20" max="20" width="31.5546875" style="1" bestFit="1" customWidth="1"/>
    <col min="21" max="21" width="14.88671875" style="1" bestFit="1" customWidth="1"/>
    <col min="22" max="22" width="7.5546875" style="1" bestFit="1" customWidth="1"/>
    <col min="23" max="23" width="9.21875" style="1" bestFit="1" customWidth="1"/>
    <col min="24" max="25" width="6" style="1" bestFit="1" customWidth="1"/>
    <col min="26" max="26" width="5.88671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3" width="9.21875" style="1" bestFit="1" customWidth="1"/>
    <col min="34" max="35" width="12.5546875" style="1" bestFit="1" customWidth="1"/>
    <col min="36" max="36" width="9.21875" style="1" bestFit="1" customWidth="1"/>
    <col min="37" max="37" width="5.88671875" style="1" bestFit="1" customWidth="1"/>
    <col min="38" max="38" width="9.21875" style="1" bestFit="1" customWidth="1"/>
    <col min="39" max="39" width="11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77.21875" style="1" bestFit="1" customWidth="1"/>
    <col min="45" max="45" width="8.33203125" style="1" bestFit="1" customWidth="1"/>
    <col min="46" max="46" width="12.5546875" style="1" bestFit="1" customWidth="1"/>
    <col min="47" max="47" width="9.21875" style="1" bestFit="1" customWidth="1"/>
    <col min="48" max="48" width="9.33203125" style="1" bestFit="1" customWidth="1"/>
    <col min="49" max="49" width="10.88671875" style="1" bestFit="1" customWidth="1"/>
    <col min="50" max="50" width="12.5546875" style="1" bestFit="1" customWidth="1"/>
    <col min="51" max="51" width="14" style="1" bestFit="1" customWidth="1"/>
    <col min="52" max="52" width="10.88671875" style="1" bestFit="1" customWidth="1"/>
    <col min="53" max="53" width="37.77734375" style="1" bestFit="1" customWidth="1"/>
    <col min="54" max="54" width="24.109375" style="1" bestFit="1" customWidth="1"/>
    <col min="55" max="55" width="10.88671875" style="1" bestFit="1" customWidth="1"/>
    <col min="56" max="56" width="29" style="1" bestFit="1" customWidth="1"/>
    <col min="57" max="57" width="9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31.44140625" style="1" bestFit="1" customWidth="1"/>
    <col min="69" max="69" width="8.5546875" style="1" bestFit="1" customWidth="1"/>
    <col min="70" max="70" width="12" style="1" bestFit="1" customWidth="1"/>
    <col min="71" max="71" width="5.88671875" style="1" bestFit="1" customWidth="1"/>
    <col min="72" max="72" width="9.21875" style="1" bestFit="1" customWidth="1"/>
    <col min="73" max="73" width="21" style="1" customWidth="1"/>
    <col min="74" max="74" width="19.44140625" style="1" bestFit="1" customWidth="1"/>
    <col min="75" max="76" width="20.21875" style="1" bestFit="1" customWidth="1"/>
    <col min="77" max="81" width="19.33203125" style="1" bestFit="1" customWidth="1"/>
    <col min="82" max="82" width="6.109375" style="1" bestFit="1" customWidth="1"/>
    <col min="83" max="83" width="19.44140625" style="1" bestFit="1" customWidth="1"/>
    <col min="84" max="16384" width="8.88671875" style="1"/>
  </cols>
  <sheetData>
    <row r="1" spans="1:73" ht="67.5" customHeight="1" x14ac:dyDescent="0.25">
      <c r="A1" s="5" t="s">
        <v>276</v>
      </c>
    </row>
    <row r="5" spans="1:73" x14ac:dyDescent="0.25">
      <c r="A5" s="121" t="s">
        <v>96</v>
      </c>
      <c r="B5" s="121" t="s">
        <v>266</v>
      </c>
      <c r="C5" s="121" t="s">
        <v>49</v>
      </c>
      <c r="D5" s="121" t="s">
        <v>50</v>
      </c>
      <c r="E5" s="121" t="s">
        <v>48</v>
      </c>
      <c r="F5" s="121" t="s">
        <v>100</v>
      </c>
      <c r="G5" s="121" t="s">
        <v>101</v>
      </c>
      <c r="H5" s="121" t="s">
        <v>51</v>
      </c>
      <c r="I5" s="121" t="s">
        <v>58</v>
      </c>
      <c r="J5" s="121" t="s">
        <v>65</v>
      </c>
      <c r="K5" s="121" t="s">
        <v>59</v>
      </c>
      <c r="L5" t="s">
        <v>591</v>
      </c>
      <c r="M5" s="121" t="s">
        <v>53</v>
      </c>
      <c r="N5" s="121" t="s">
        <v>102</v>
      </c>
      <c r="O5" s="121" t="s">
        <v>224</v>
      </c>
      <c r="P5" s="121" t="s">
        <v>225</v>
      </c>
      <c r="Q5" s="121" t="s">
        <v>55</v>
      </c>
      <c r="R5" s="121" t="s">
        <v>424</v>
      </c>
      <c r="S5" s="121" t="s">
        <v>267</v>
      </c>
      <c r="T5" s="121" t="s">
        <v>56</v>
      </c>
      <c r="U5" s="121" t="s">
        <v>57</v>
      </c>
      <c r="V5" s="121" t="s">
        <v>60</v>
      </c>
      <c r="W5" s="121" t="s">
        <v>61</v>
      </c>
      <c r="X5" s="121" t="s">
        <v>97</v>
      </c>
      <c r="Y5" s="121" t="s">
        <v>46</v>
      </c>
      <c r="Z5" s="121" t="s">
        <v>47</v>
      </c>
      <c r="AA5" s="121" t="s">
        <v>142</v>
      </c>
      <c r="AB5" s="121" t="s">
        <v>62</v>
      </c>
      <c r="AC5" s="121" t="s">
        <v>63</v>
      </c>
      <c r="AD5" s="121" t="s">
        <v>64</v>
      </c>
      <c r="AE5" s="121" t="s">
        <v>66</v>
      </c>
      <c r="AF5" s="121" t="s">
        <v>216</v>
      </c>
      <c r="AG5" s="121" t="s">
        <v>45</v>
      </c>
      <c r="AH5" s="121" t="s">
        <v>189</v>
      </c>
      <c r="AI5" s="121" t="s">
        <v>52</v>
      </c>
      <c r="AJ5" s="121" t="s">
        <v>98</v>
      </c>
      <c r="AK5" s="121" t="s">
        <v>44</v>
      </c>
      <c r="AL5" s="121" t="s">
        <v>239</v>
      </c>
      <c r="AM5" s="121" t="s">
        <v>43</v>
      </c>
      <c r="AN5" s="121" t="s">
        <v>99</v>
      </c>
      <c r="AO5" s="121" t="s">
        <v>240</v>
      </c>
      <c r="AP5" s="121" t="s">
        <v>241</v>
      </c>
      <c r="AQ5" s="121" t="s">
        <v>242</v>
      </c>
      <c r="AR5" s="121" t="s">
        <v>243</v>
      </c>
      <c r="AS5" s="121" t="s">
        <v>67</v>
      </c>
      <c r="AT5" s="121" t="s">
        <v>103</v>
      </c>
      <c r="AU5" s="121" t="s">
        <v>104</v>
      </c>
      <c r="AV5" s="121" t="s">
        <v>68</v>
      </c>
      <c r="AW5" s="121" t="s">
        <v>69</v>
      </c>
      <c r="AX5" s="121" t="s">
        <v>105</v>
      </c>
      <c r="AY5" s="121" t="s">
        <v>70</v>
      </c>
      <c r="AZ5" s="121" t="s">
        <v>71</v>
      </c>
      <c r="BA5" s="121" t="s">
        <v>72</v>
      </c>
      <c r="BB5" s="121" t="s">
        <v>73</v>
      </c>
      <c r="BC5" s="121" t="s">
        <v>74</v>
      </c>
      <c r="BD5" s="121" t="s">
        <v>245</v>
      </c>
      <c r="BE5" s="121" t="s">
        <v>75</v>
      </c>
      <c r="BF5" s="121" t="s">
        <v>106</v>
      </c>
      <c r="BG5" s="121" t="s">
        <v>76</v>
      </c>
      <c r="BH5" s="121" t="s">
        <v>244</v>
      </c>
      <c r="BI5" s="121" t="s">
        <v>77</v>
      </c>
      <c r="BJ5" s="121" t="s">
        <v>78</v>
      </c>
      <c r="BK5" s="121" t="s">
        <v>79</v>
      </c>
      <c r="BL5" s="121" t="s">
        <v>80</v>
      </c>
      <c r="BM5" s="121" t="s">
        <v>81</v>
      </c>
      <c r="BN5" s="121" t="s">
        <v>107</v>
      </c>
      <c r="BO5" s="121" t="s">
        <v>82</v>
      </c>
      <c r="BP5" s="121" t="s">
        <v>83</v>
      </c>
      <c r="BQ5" s="121" t="s">
        <v>425</v>
      </c>
      <c r="BR5" t="s">
        <v>878</v>
      </c>
      <c r="BS5" s="121" t="s">
        <v>91</v>
      </c>
      <c r="BT5" s="121" t="s">
        <v>402</v>
      </c>
      <c r="BU5" s="121" t="s">
        <v>150</v>
      </c>
    </row>
    <row r="6" spans="1:73" x14ac:dyDescent="0.25">
      <c r="A6" s="121" t="s">
        <v>426</v>
      </c>
      <c r="B6" s="123" t="s">
        <v>603</v>
      </c>
      <c r="C6" s="121" t="s">
        <v>604</v>
      </c>
      <c r="D6" s="127">
        <v>45183</v>
      </c>
      <c r="E6" s="123" t="s">
        <v>605</v>
      </c>
      <c r="F6" s="123" t="s">
        <v>135</v>
      </c>
      <c r="G6" s="123" t="s">
        <v>135</v>
      </c>
      <c r="H6" s="123" t="s">
        <v>135</v>
      </c>
      <c r="I6" s="121">
        <v>2.6</v>
      </c>
      <c r="J6" s="121" t="s">
        <v>108</v>
      </c>
      <c r="K6" s="123" t="s">
        <v>215</v>
      </c>
      <c r="L6" s="114">
        <v>4.8</v>
      </c>
      <c r="M6" s="127">
        <v>46287</v>
      </c>
      <c r="N6" s="123" t="s">
        <v>295</v>
      </c>
      <c r="O6" s="121" t="s">
        <v>94</v>
      </c>
      <c r="P6" s="121" t="s">
        <v>335</v>
      </c>
      <c r="Q6" s="123"/>
      <c r="R6" s="123" t="s">
        <v>217</v>
      </c>
      <c r="S6" s="123" t="s">
        <v>606</v>
      </c>
      <c r="T6" s="121" t="s">
        <v>607</v>
      </c>
      <c r="U6" s="123" t="s">
        <v>136</v>
      </c>
      <c r="V6" s="123">
        <v>100</v>
      </c>
      <c r="W6" s="123"/>
      <c r="X6" s="123" t="s">
        <v>299</v>
      </c>
      <c r="Y6" s="123" t="s">
        <v>608</v>
      </c>
      <c r="Z6" s="121" t="s">
        <v>94</v>
      </c>
      <c r="AA6" s="121"/>
      <c r="AB6" s="123"/>
      <c r="AC6" s="123"/>
      <c r="AD6" s="123"/>
      <c r="AE6" s="123" t="s">
        <v>609</v>
      </c>
      <c r="AF6" s="123" t="s">
        <v>433</v>
      </c>
      <c r="AG6" s="123" t="s">
        <v>372</v>
      </c>
      <c r="AH6" s="123" t="s">
        <v>135</v>
      </c>
      <c r="AI6" s="121" t="s">
        <v>598</v>
      </c>
      <c r="AJ6" s="121" t="s">
        <v>94</v>
      </c>
      <c r="AK6" s="123" t="s">
        <v>1</v>
      </c>
      <c r="AL6" s="123" t="s">
        <v>610</v>
      </c>
      <c r="AM6" s="123" t="s">
        <v>134</v>
      </c>
      <c r="AN6" s="123" t="s">
        <v>84</v>
      </c>
      <c r="AO6" s="121"/>
      <c r="AP6" s="121" t="s">
        <v>94</v>
      </c>
      <c r="AQ6" s="121" t="s">
        <v>94</v>
      </c>
      <c r="AR6" s="121" t="s">
        <v>611</v>
      </c>
      <c r="AS6" s="121" t="s">
        <v>612</v>
      </c>
      <c r="AT6" s="121">
        <v>10000</v>
      </c>
      <c r="AU6" s="123">
        <v>2.6</v>
      </c>
      <c r="AV6" s="127">
        <v>45191</v>
      </c>
      <c r="AW6" s="127"/>
      <c r="AX6" s="121">
        <v>4.8</v>
      </c>
      <c r="AY6" s="121" t="s">
        <v>94</v>
      </c>
      <c r="AZ6" s="127">
        <v>45373</v>
      </c>
      <c r="BA6" s="121" t="s">
        <v>613</v>
      </c>
      <c r="BB6" s="121" t="s">
        <v>426</v>
      </c>
      <c r="BC6" s="127">
        <v>45191</v>
      </c>
      <c r="BD6" s="121" t="s">
        <v>335</v>
      </c>
      <c r="BE6" s="127">
        <v>45191</v>
      </c>
      <c r="BF6" s="123" t="s">
        <v>264</v>
      </c>
      <c r="BG6" s="121" t="s">
        <v>614</v>
      </c>
      <c r="BH6" s="121" t="s">
        <v>615</v>
      </c>
      <c r="BI6" s="123" t="s">
        <v>137</v>
      </c>
      <c r="BJ6" s="123" t="s">
        <v>137</v>
      </c>
      <c r="BK6" s="123" t="s">
        <v>138</v>
      </c>
      <c r="BL6" s="123" t="s">
        <v>139</v>
      </c>
      <c r="BM6" s="123" t="s">
        <v>140</v>
      </c>
      <c r="BN6" s="121" t="s">
        <v>94</v>
      </c>
      <c r="BO6" s="123" t="s">
        <v>141</v>
      </c>
      <c r="BP6" s="121" t="s">
        <v>94</v>
      </c>
      <c r="BQ6" s="121" t="s">
        <v>94</v>
      </c>
      <c r="BR6" t="s">
        <v>276</v>
      </c>
      <c r="BS6" s="121" t="s">
        <v>10</v>
      </c>
      <c r="BT6" s="127"/>
      <c r="BU6" s="121" t="s">
        <v>616</v>
      </c>
    </row>
    <row r="7" spans="1:73" x14ac:dyDescent="0.25">
      <c r="A7" s="121" t="s">
        <v>498</v>
      </c>
      <c r="B7" s="123" t="s">
        <v>617</v>
      </c>
      <c r="C7" s="121" t="s">
        <v>618</v>
      </c>
      <c r="D7" s="127">
        <v>45182</v>
      </c>
      <c r="E7" s="123" t="s">
        <v>619</v>
      </c>
      <c r="F7" s="123" t="s">
        <v>620</v>
      </c>
      <c r="G7" s="123" t="s">
        <v>430</v>
      </c>
      <c r="H7" s="123" t="s">
        <v>135</v>
      </c>
      <c r="I7" s="121">
        <v>5.5</v>
      </c>
      <c r="J7" s="121" t="s">
        <v>87</v>
      </c>
      <c r="K7" s="123" t="s">
        <v>215</v>
      </c>
      <c r="L7" s="114"/>
      <c r="M7" s="127">
        <v>46285</v>
      </c>
      <c r="N7" s="123" t="s">
        <v>329</v>
      </c>
      <c r="O7" s="121" t="s">
        <v>438</v>
      </c>
      <c r="P7" s="121" t="s">
        <v>621</v>
      </c>
      <c r="Q7" s="123">
        <v>47</v>
      </c>
      <c r="R7" s="123" t="s">
        <v>217</v>
      </c>
      <c r="S7" s="123" t="s">
        <v>258</v>
      </c>
      <c r="T7" s="121" t="s">
        <v>94</v>
      </c>
      <c r="U7" s="123" t="s">
        <v>136</v>
      </c>
      <c r="V7" s="123">
        <v>100</v>
      </c>
      <c r="W7" s="123"/>
      <c r="X7" s="123" t="s">
        <v>293</v>
      </c>
      <c r="Y7" s="123" t="s">
        <v>432</v>
      </c>
      <c r="Z7" s="121" t="s">
        <v>94</v>
      </c>
      <c r="AA7" s="121"/>
      <c r="AB7" s="123"/>
      <c r="AC7" s="123"/>
      <c r="AD7" s="123"/>
      <c r="AE7" s="123" t="s">
        <v>622</v>
      </c>
      <c r="AF7" s="123" t="s">
        <v>433</v>
      </c>
      <c r="AG7" s="123" t="s">
        <v>434</v>
      </c>
      <c r="AH7" s="123" t="s">
        <v>135</v>
      </c>
      <c r="AI7" s="121" t="s">
        <v>263</v>
      </c>
      <c r="AJ7" s="121" t="s">
        <v>94</v>
      </c>
      <c r="AK7" s="123" t="s">
        <v>86</v>
      </c>
      <c r="AL7" s="123" t="s">
        <v>268</v>
      </c>
      <c r="AM7" s="123" t="s">
        <v>623</v>
      </c>
      <c r="AN7" s="123" t="s">
        <v>162</v>
      </c>
      <c r="AO7" s="121"/>
      <c r="AP7" s="121" t="s">
        <v>94</v>
      </c>
      <c r="AQ7" s="121" t="s">
        <v>94</v>
      </c>
      <c r="AR7" s="121" t="s">
        <v>624</v>
      </c>
      <c r="AS7" s="121" t="s">
        <v>625</v>
      </c>
      <c r="AT7" s="121">
        <v>1000</v>
      </c>
      <c r="AU7" s="123">
        <v>5.5</v>
      </c>
      <c r="AV7" s="127">
        <v>45189</v>
      </c>
      <c r="AW7" s="127"/>
      <c r="AX7" s="121">
        <v>5.9649000000000001</v>
      </c>
      <c r="AY7" s="121" t="s">
        <v>626</v>
      </c>
      <c r="AZ7" s="127">
        <v>45280</v>
      </c>
      <c r="BA7" s="121" t="s">
        <v>627</v>
      </c>
      <c r="BB7" s="121" t="s">
        <v>94</v>
      </c>
      <c r="BC7" s="127">
        <v>45189</v>
      </c>
      <c r="BD7" s="121" t="s">
        <v>628</v>
      </c>
      <c r="BE7" s="127">
        <v>45189</v>
      </c>
      <c r="BF7" s="123" t="s">
        <v>94</v>
      </c>
      <c r="BG7" s="121" t="s">
        <v>629</v>
      </c>
      <c r="BH7" s="121" t="s">
        <v>630</v>
      </c>
      <c r="BI7" s="123" t="s">
        <v>137</v>
      </c>
      <c r="BJ7" s="123" t="s">
        <v>137</v>
      </c>
      <c r="BK7" s="123" t="s">
        <v>437</v>
      </c>
      <c r="BL7" s="123" t="s">
        <v>139</v>
      </c>
      <c r="BM7" s="123" t="s">
        <v>140</v>
      </c>
      <c r="BN7" s="121" t="s">
        <v>94</v>
      </c>
      <c r="BO7" s="123" t="s">
        <v>296</v>
      </c>
      <c r="BP7" s="121" t="s">
        <v>94</v>
      </c>
      <c r="BQ7" s="121" t="s">
        <v>94</v>
      </c>
      <c r="BR7" t="s">
        <v>276</v>
      </c>
      <c r="BS7" s="121" t="s">
        <v>12</v>
      </c>
      <c r="BT7" s="127"/>
      <c r="BU7" s="121" t="s">
        <v>631</v>
      </c>
    </row>
    <row r="8" spans="1:73" x14ac:dyDescent="0.25">
      <c r="A8" s="121" t="s">
        <v>579</v>
      </c>
      <c r="B8" s="123" t="s">
        <v>94</v>
      </c>
      <c r="C8" s="121" t="s">
        <v>801</v>
      </c>
      <c r="D8" s="127">
        <v>45182</v>
      </c>
      <c r="E8" s="123" t="s">
        <v>579</v>
      </c>
      <c r="F8" s="123" t="s">
        <v>94</v>
      </c>
      <c r="G8" s="123" t="s">
        <v>94</v>
      </c>
      <c r="H8" s="123" t="s">
        <v>94</v>
      </c>
      <c r="I8" s="121">
        <v>1.65</v>
      </c>
      <c r="J8" s="121" t="s">
        <v>108</v>
      </c>
      <c r="K8" s="123" t="s">
        <v>94</v>
      </c>
      <c r="L8" s="114">
        <v>3</v>
      </c>
      <c r="M8" s="127">
        <v>45280</v>
      </c>
      <c r="N8" s="123" t="s">
        <v>94</v>
      </c>
      <c r="O8" s="121" t="s">
        <v>874</v>
      </c>
      <c r="P8" s="121" t="s">
        <v>874</v>
      </c>
      <c r="Q8" s="123"/>
      <c r="R8" s="123"/>
      <c r="S8" s="123" t="s">
        <v>874</v>
      </c>
      <c r="T8" s="121" t="s">
        <v>94</v>
      </c>
      <c r="U8" s="123" t="s">
        <v>94</v>
      </c>
      <c r="V8" s="123"/>
      <c r="W8" s="123"/>
      <c r="X8" s="123" t="s">
        <v>94</v>
      </c>
      <c r="Y8" s="123" t="s">
        <v>94</v>
      </c>
      <c r="Z8" s="121" t="s">
        <v>94</v>
      </c>
      <c r="AA8" s="121"/>
      <c r="AB8" s="123"/>
      <c r="AC8" s="123"/>
      <c r="AD8" s="123"/>
      <c r="AE8" s="123" t="s">
        <v>94</v>
      </c>
      <c r="AF8" s="123"/>
      <c r="AG8" s="123" t="s">
        <v>94</v>
      </c>
      <c r="AH8" s="123" t="s">
        <v>94</v>
      </c>
      <c r="AI8" s="121" t="s">
        <v>94</v>
      </c>
      <c r="AJ8" s="121" t="s">
        <v>874</v>
      </c>
      <c r="AK8" s="123" t="s">
        <v>94</v>
      </c>
      <c r="AL8" s="123"/>
      <c r="AM8" s="123" t="s">
        <v>94</v>
      </c>
      <c r="AN8" s="123" t="s">
        <v>94</v>
      </c>
      <c r="AO8" s="121"/>
      <c r="AP8" s="121" t="s">
        <v>94</v>
      </c>
      <c r="AQ8" s="121" t="s">
        <v>94</v>
      </c>
      <c r="AR8" s="121" t="s">
        <v>94</v>
      </c>
      <c r="AS8" s="121" t="s">
        <v>94</v>
      </c>
      <c r="AT8" s="121"/>
      <c r="AU8" s="123"/>
      <c r="AV8" s="127">
        <v>45189</v>
      </c>
      <c r="AW8" s="127"/>
      <c r="AX8" s="121"/>
      <c r="AY8" s="121" t="s">
        <v>94</v>
      </c>
      <c r="AZ8" s="127"/>
      <c r="BA8" s="121" t="s">
        <v>880</v>
      </c>
      <c r="BB8" s="121" t="s">
        <v>7</v>
      </c>
      <c r="BC8" s="127"/>
      <c r="BD8" s="121" t="s">
        <v>94</v>
      </c>
      <c r="BE8" s="127"/>
      <c r="BF8" s="123" t="s">
        <v>94</v>
      </c>
      <c r="BG8" s="121" t="s">
        <v>94</v>
      </c>
      <c r="BH8" s="121" t="s">
        <v>94</v>
      </c>
      <c r="BI8" s="123" t="s">
        <v>94</v>
      </c>
      <c r="BJ8" s="123" t="s">
        <v>94</v>
      </c>
      <c r="BK8" s="123" t="s">
        <v>94</v>
      </c>
      <c r="BL8" s="123" t="s">
        <v>94</v>
      </c>
      <c r="BM8" s="123" t="s">
        <v>94</v>
      </c>
      <c r="BN8" s="121" t="s">
        <v>94</v>
      </c>
      <c r="BO8" s="123" t="s">
        <v>94</v>
      </c>
      <c r="BP8" s="121" t="s">
        <v>94</v>
      </c>
      <c r="BQ8" s="121" t="s">
        <v>94</v>
      </c>
      <c r="BR8" t="s">
        <v>879</v>
      </c>
      <c r="BS8" s="121" t="s">
        <v>94</v>
      </c>
      <c r="BT8" s="127"/>
      <c r="BU8" s="121" t="s">
        <v>803</v>
      </c>
    </row>
    <row r="9" spans="1:73" x14ac:dyDescent="0.25">
      <c r="A9" s="121" t="s">
        <v>577</v>
      </c>
      <c r="B9" s="123" t="s">
        <v>632</v>
      </c>
      <c r="C9" s="121" t="s">
        <v>633</v>
      </c>
      <c r="D9" s="127">
        <v>45182</v>
      </c>
      <c r="E9" s="123" t="s">
        <v>634</v>
      </c>
      <c r="F9" s="123" t="s">
        <v>635</v>
      </c>
      <c r="G9" s="123" t="s">
        <v>636</v>
      </c>
      <c r="H9" s="123" t="s">
        <v>135</v>
      </c>
      <c r="I9" s="121">
        <v>0.5</v>
      </c>
      <c r="J9" s="121" t="s">
        <v>87</v>
      </c>
      <c r="K9" s="123" t="s">
        <v>215</v>
      </c>
      <c r="L9" s="114"/>
      <c r="M9" s="127">
        <v>46285</v>
      </c>
      <c r="N9" s="123" t="s">
        <v>112</v>
      </c>
      <c r="O9" s="121" t="s">
        <v>94</v>
      </c>
      <c r="P9" s="121" t="s">
        <v>94</v>
      </c>
      <c r="Q9" s="123"/>
      <c r="R9" s="123" t="s">
        <v>217</v>
      </c>
      <c r="S9" s="123" t="s">
        <v>258</v>
      </c>
      <c r="T9" s="121" t="s">
        <v>94</v>
      </c>
      <c r="U9" s="123" t="s">
        <v>136</v>
      </c>
      <c r="V9" s="123"/>
      <c r="W9" s="123"/>
      <c r="X9" s="123" t="s">
        <v>293</v>
      </c>
      <c r="Y9" s="123" t="s">
        <v>432</v>
      </c>
      <c r="Z9" s="121" t="s">
        <v>94</v>
      </c>
      <c r="AA9" s="121"/>
      <c r="AB9" s="123"/>
      <c r="AC9" s="123"/>
      <c r="AD9" s="123"/>
      <c r="AE9" s="123" t="s">
        <v>94</v>
      </c>
      <c r="AF9" s="123" t="s">
        <v>433</v>
      </c>
      <c r="AG9" s="123" t="s">
        <v>434</v>
      </c>
      <c r="AH9" s="123" t="s">
        <v>135</v>
      </c>
      <c r="AI9" s="121" t="s">
        <v>263</v>
      </c>
      <c r="AJ9" s="121" t="s">
        <v>94</v>
      </c>
      <c r="AK9" s="123" t="s">
        <v>86</v>
      </c>
      <c r="AL9" s="123" t="s">
        <v>268</v>
      </c>
      <c r="AM9" s="123" t="s">
        <v>435</v>
      </c>
      <c r="AN9" s="123" t="s">
        <v>162</v>
      </c>
      <c r="AO9" s="121"/>
      <c r="AP9" s="121" t="s">
        <v>94</v>
      </c>
      <c r="AQ9" s="121" t="s">
        <v>94</v>
      </c>
      <c r="AR9" s="121" t="s">
        <v>94</v>
      </c>
      <c r="AS9" s="121" t="s">
        <v>637</v>
      </c>
      <c r="AT9" s="121">
        <v>1000</v>
      </c>
      <c r="AU9" s="123">
        <v>0.5</v>
      </c>
      <c r="AV9" s="127">
        <v>45189</v>
      </c>
      <c r="AW9" s="127"/>
      <c r="AX9" s="121">
        <v>5.8349000000000002</v>
      </c>
      <c r="AY9" s="121" t="s">
        <v>638</v>
      </c>
      <c r="AZ9" s="127">
        <v>45280</v>
      </c>
      <c r="BA9" s="121" t="s">
        <v>639</v>
      </c>
      <c r="BB9" s="121" t="s">
        <v>94</v>
      </c>
      <c r="BC9" s="127">
        <v>45189</v>
      </c>
      <c r="BD9" s="121" t="s">
        <v>94</v>
      </c>
      <c r="BE9" s="127">
        <v>45189</v>
      </c>
      <c r="BF9" s="123" t="s">
        <v>94</v>
      </c>
      <c r="BG9" s="121" t="s">
        <v>94</v>
      </c>
      <c r="BH9" s="121" t="s">
        <v>94</v>
      </c>
      <c r="BI9" s="123" t="s">
        <v>137</v>
      </c>
      <c r="BJ9" s="123" t="s">
        <v>137</v>
      </c>
      <c r="BK9" s="123" t="s">
        <v>437</v>
      </c>
      <c r="BL9" s="123" t="s">
        <v>139</v>
      </c>
      <c r="BM9" s="123" t="s">
        <v>140</v>
      </c>
      <c r="BN9" s="121" t="s">
        <v>94</v>
      </c>
      <c r="BO9" s="123" t="s">
        <v>296</v>
      </c>
      <c r="BP9" s="121" t="s">
        <v>94</v>
      </c>
      <c r="BQ9" s="121" t="s">
        <v>94</v>
      </c>
      <c r="BR9" t="s">
        <v>276</v>
      </c>
      <c r="BS9" s="121" t="s">
        <v>12</v>
      </c>
      <c r="BT9" s="127"/>
      <c r="BU9" s="121" t="s">
        <v>640</v>
      </c>
    </row>
    <row r="10" spans="1:73" x14ac:dyDescent="0.25">
      <c r="A10" s="121" t="s">
        <v>641</v>
      </c>
      <c r="B10" s="123" t="s">
        <v>642</v>
      </c>
      <c r="C10" s="121" t="s">
        <v>643</v>
      </c>
      <c r="D10" s="127">
        <v>45182</v>
      </c>
      <c r="E10" s="123" t="s">
        <v>644</v>
      </c>
      <c r="F10" s="123" t="s">
        <v>135</v>
      </c>
      <c r="G10" s="123" t="s">
        <v>135</v>
      </c>
      <c r="H10" s="123" t="s">
        <v>135</v>
      </c>
      <c r="I10" s="121">
        <v>30</v>
      </c>
      <c r="J10" s="121" t="s">
        <v>108</v>
      </c>
      <c r="K10" s="123" t="s">
        <v>373</v>
      </c>
      <c r="L10" s="114">
        <v>2.4500000000000002</v>
      </c>
      <c r="M10" s="127">
        <v>45920</v>
      </c>
      <c r="N10" s="123" t="s">
        <v>329</v>
      </c>
      <c r="O10" s="121" t="s">
        <v>645</v>
      </c>
      <c r="P10" s="121" t="s">
        <v>646</v>
      </c>
      <c r="Q10" s="123">
        <v>35</v>
      </c>
      <c r="R10" s="123" t="s">
        <v>217</v>
      </c>
      <c r="S10" s="123" t="s">
        <v>258</v>
      </c>
      <c r="T10" s="121" t="s">
        <v>94</v>
      </c>
      <c r="U10" s="123" t="s">
        <v>136</v>
      </c>
      <c r="V10" s="123">
        <v>100</v>
      </c>
      <c r="W10" s="123"/>
      <c r="X10" s="123" t="s">
        <v>647</v>
      </c>
      <c r="Y10" s="123" t="s">
        <v>648</v>
      </c>
      <c r="Z10" s="121" t="s">
        <v>94</v>
      </c>
      <c r="AA10" s="121"/>
      <c r="AB10" s="123"/>
      <c r="AC10" s="123"/>
      <c r="AD10" s="123"/>
      <c r="AE10" s="123" t="s">
        <v>649</v>
      </c>
      <c r="AF10" s="123" t="s">
        <v>433</v>
      </c>
      <c r="AG10" s="123" t="s">
        <v>372</v>
      </c>
      <c r="AH10" s="123" t="s">
        <v>135</v>
      </c>
      <c r="AI10" s="121" t="s">
        <v>94</v>
      </c>
      <c r="AJ10" s="121" t="s">
        <v>94</v>
      </c>
      <c r="AK10" s="123" t="s">
        <v>2</v>
      </c>
      <c r="AL10" s="123" t="s">
        <v>374</v>
      </c>
      <c r="AM10" s="123" t="s">
        <v>650</v>
      </c>
      <c r="AN10" s="123" t="s">
        <v>84</v>
      </c>
      <c r="AO10" s="121"/>
      <c r="AP10" s="121" t="s">
        <v>94</v>
      </c>
      <c r="AQ10" s="121" t="s">
        <v>94</v>
      </c>
      <c r="AR10" s="121" t="s">
        <v>94</v>
      </c>
      <c r="AS10" s="121" t="s">
        <v>651</v>
      </c>
      <c r="AT10" s="121">
        <v>10000</v>
      </c>
      <c r="AU10" s="123">
        <v>30</v>
      </c>
      <c r="AV10" s="127">
        <v>45189</v>
      </c>
      <c r="AW10" s="127"/>
      <c r="AX10" s="121">
        <v>2.4500000000000002</v>
      </c>
      <c r="AY10" s="121" t="s">
        <v>94</v>
      </c>
      <c r="AZ10" s="127">
        <v>45371</v>
      </c>
      <c r="BA10" s="121" t="s">
        <v>652</v>
      </c>
      <c r="BB10" s="121" t="s">
        <v>94</v>
      </c>
      <c r="BC10" s="127">
        <v>45189</v>
      </c>
      <c r="BD10" s="121" t="s">
        <v>646</v>
      </c>
      <c r="BE10" s="127">
        <v>45189</v>
      </c>
      <c r="BF10" s="123" t="s">
        <v>94</v>
      </c>
      <c r="BG10" s="121" t="s">
        <v>653</v>
      </c>
      <c r="BH10" s="121" t="s">
        <v>654</v>
      </c>
      <c r="BI10" s="123" t="s">
        <v>137</v>
      </c>
      <c r="BJ10" s="123" t="s">
        <v>137</v>
      </c>
      <c r="BK10" s="123" t="s">
        <v>138</v>
      </c>
      <c r="BL10" s="123" t="s">
        <v>139</v>
      </c>
      <c r="BM10" s="123" t="s">
        <v>655</v>
      </c>
      <c r="BN10" s="121" t="s">
        <v>94</v>
      </c>
      <c r="BO10" s="123" t="s">
        <v>141</v>
      </c>
      <c r="BP10" s="121" t="s">
        <v>94</v>
      </c>
      <c r="BQ10" s="121" t="s">
        <v>94</v>
      </c>
      <c r="BR10" t="s">
        <v>276</v>
      </c>
      <c r="BS10" s="121" t="s">
        <v>27</v>
      </c>
      <c r="BT10" s="127"/>
      <c r="BU10" s="121" t="s">
        <v>656</v>
      </c>
    </row>
    <row r="11" spans="1:73" x14ac:dyDescent="0.25">
      <c r="A11" s="121" t="s">
        <v>641</v>
      </c>
      <c r="B11" s="123" t="s">
        <v>657</v>
      </c>
      <c r="C11" s="121" t="s">
        <v>658</v>
      </c>
      <c r="D11" s="127">
        <v>45182</v>
      </c>
      <c r="E11" s="123" t="s">
        <v>659</v>
      </c>
      <c r="F11" s="123" t="s">
        <v>135</v>
      </c>
      <c r="G11" s="123" t="s">
        <v>135</v>
      </c>
      <c r="H11" s="123" t="s">
        <v>135</v>
      </c>
      <c r="I11" s="121">
        <v>10</v>
      </c>
      <c r="J11" s="121" t="s">
        <v>108</v>
      </c>
      <c r="K11" s="123" t="s">
        <v>215</v>
      </c>
      <c r="L11" s="114">
        <v>2.5299999999999998</v>
      </c>
      <c r="M11" s="127">
        <v>46285</v>
      </c>
      <c r="N11" s="123" t="s">
        <v>329</v>
      </c>
      <c r="O11" s="121" t="s">
        <v>660</v>
      </c>
      <c r="P11" s="121" t="s">
        <v>661</v>
      </c>
      <c r="Q11" s="123">
        <v>37</v>
      </c>
      <c r="R11" s="123" t="s">
        <v>217</v>
      </c>
      <c r="S11" s="123" t="s">
        <v>258</v>
      </c>
      <c r="T11" s="121" t="s">
        <v>94</v>
      </c>
      <c r="U11" s="123" t="s">
        <v>136</v>
      </c>
      <c r="V11" s="123">
        <v>100</v>
      </c>
      <c r="W11" s="123"/>
      <c r="X11" s="123" t="s">
        <v>647</v>
      </c>
      <c r="Y11" s="123" t="s">
        <v>648</v>
      </c>
      <c r="Z11" s="121" t="s">
        <v>94</v>
      </c>
      <c r="AA11" s="121"/>
      <c r="AB11" s="123"/>
      <c r="AC11" s="123"/>
      <c r="AD11" s="123"/>
      <c r="AE11" s="123" t="s">
        <v>649</v>
      </c>
      <c r="AF11" s="123" t="s">
        <v>433</v>
      </c>
      <c r="AG11" s="123" t="s">
        <v>372</v>
      </c>
      <c r="AH11" s="123" t="s">
        <v>135</v>
      </c>
      <c r="AI11" s="121" t="s">
        <v>94</v>
      </c>
      <c r="AJ11" s="121" t="s">
        <v>94</v>
      </c>
      <c r="AK11" s="123" t="s">
        <v>2</v>
      </c>
      <c r="AL11" s="123" t="s">
        <v>268</v>
      </c>
      <c r="AM11" s="123" t="s">
        <v>650</v>
      </c>
      <c r="AN11" s="123" t="s">
        <v>84</v>
      </c>
      <c r="AO11" s="121"/>
      <c r="AP11" s="121" t="s">
        <v>94</v>
      </c>
      <c r="AQ11" s="121" t="s">
        <v>94</v>
      </c>
      <c r="AR11" s="121" t="s">
        <v>94</v>
      </c>
      <c r="AS11" s="121" t="s">
        <v>651</v>
      </c>
      <c r="AT11" s="121">
        <v>10000</v>
      </c>
      <c r="AU11" s="123">
        <v>10</v>
      </c>
      <c r="AV11" s="127">
        <v>45189</v>
      </c>
      <c r="AW11" s="127"/>
      <c r="AX11" s="121">
        <v>2.5299999999999998</v>
      </c>
      <c r="AY11" s="121" t="s">
        <v>94</v>
      </c>
      <c r="AZ11" s="127">
        <v>45371</v>
      </c>
      <c r="BA11" s="121" t="s">
        <v>652</v>
      </c>
      <c r="BB11" s="121" t="s">
        <v>94</v>
      </c>
      <c r="BC11" s="127">
        <v>45189</v>
      </c>
      <c r="BD11" s="121" t="s">
        <v>661</v>
      </c>
      <c r="BE11" s="127">
        <v>45189</v>
      </c>
      <c r="BF11" s="123" t="s">
        <v>94</v>
      </c>
      <c r="BG11" s="121" t="s">
        <v>653</v>
      </c>
      <c r="BH11" s="121" t="s">
        <v>654</v>
      </c>
      <c r="BI11" s="123" t="s">
        <v>137</v>
      </c>
      <c r="BJ11" s="123" t="s">
        <v>137</v>
      </c>
      <c r="BK11" s="123" t="s">
        <v>138</v>
      </c>
      <c r="BL11" s="123" t="s">
        <v>139</v>
      </c>
      <c r="BM11" s="123" t="s">
        <v>655</v>
      </c>
      <c r="BN11" s="121" t="s">
        <v>94</v>
      </c>
      <c r="BO11" s="123" t="s">
        <v>141</v>
      </c>
      <c r="BP11" s="121" t="s">
        <v>94</v>
      </c>
      <c r="BQ11" s="121" t="s">
        <v>94</v>
      </c>
      <c r="BR11" t="s">
        <v>276</v>
      </c>
      <c r="BS11" s="121" t="s">
        <v>27</v>
      </c>
      <c r="BT11" s="127"/>
      <c r="BU11" s="121" t="s">
        <v>662</v>
      </c>
    </row>
    <row r="12" spans="1:73" x14ac:dyDescent="0.25">
      <c r="A12" s="121" t="s">
        <v>641</v>
      </c>
      <c r="B12" s="123" t="s">
        <v>663</v>
      </c>
      <c r="C12" s="121" t="s">
        <v>664</v>
      </c>
      <c r="D12" s="127">
        <v>45182</v>
      </c>
      <c r="E12" s="123" t="s">
        <v>665</v>
      </c>
      <c r="F12" s="123" t="s">
        <v>135</v>
      </c>
      <c r="G12" s="123" t="s">
        <v>135</v>
      </c>
      <c r="H12" s="123" t="s">
        <v>135</v>
      </c>
      <c r="I12" s="121">
        <v>10</v>
      </c>
      <c r="J12" s="121" t="s">
        <v>108</v>
      </c>
      <c r="K12" s="123" t="s">
        <v>666</v>
      </c>
      <c r="L12" s="114">
        <v>2.7</v>
      </c>
      <c r="M12" s="127">
        <v>47016</v>
      </c>
      <c r="N12" s="123" t="s">
        <v>329</v>
      </c>
      <c r="O12" s="121" t="s">
        <v>667</v>
      </c>
      <c r="P12" s="121" t="s">
        <v>668</v>
      </c>
      <c r="Q12" s="123">
        <v>40</v>
      </c>
      <c r="R12" s="123" t="s">
        <v>217</v>
      </c>
      <c r="S12" s="123" t="s">
        <v>258</v>
      </c>
      <c r="T12" s="121" t="s">
        <v>94</v>
      </c>
      <c r="U12" s="123" t="s">
        <v>136</v>
      </c>
      <c r="V12" s="123">
        <v>100</v>
      </c>
      <c r="W12" s="123"/>
      <c r="X12" s="123" t="s">
        <v>647</v>
      </c>
      <c r="Y12" s="123" t="s">
        <v>648</v>
      </c>
      <c r="Z12" s="121" t="s">
        <v>94</v>
      </c>
      <c r="AA12" s="121"/>
      <c r="AB12" s="123"/>
      <c r="AC12" s="123"/>
      <c r="AD12" s="123"/>
      <c r="AE12" s="123" t="s">
        <v>649</v>
      </c>
      <c r="AF12" s="123" t="s">
        <v>433</v>
      </c>
      <c r="AG12" s="123" t="s">
        <v>372</v>
      </c>
      <c r="AH12" s="123" t="s">
        <v>135</v>
      </c>
      <c r="AI12" s="121" t="s">
        <v>94</v>
      </c>
      <c r="AJ12" s="121" t="s">
        <v>94</v>
      </c>
      <c r="AK12" s="123" t="s">
        <v>2</v>
      </c>
      <c r="AL12" s="123" t="s">
        <v>669</v>
      </c>
      <c r="AM12" s="123" t="s">
        <v>650</v>
      </c>
      <c r="AN12" s="123" t="s">
        <v>84</v>
      </c>
      <c r="AO12" s="121"/>
      <c r="AP12" s="121" t="s">
        <v>94</v>
      </c>
      <c r="AQ12" s="121" t="s">
        <v>94</v>
      </c>
      <c r="AR12" s="121" t="s">
        <v>94</v>
      </c>
      <c r="AS12" s="121" t="s">
        <v>651</v>
      </c>
      <c r="AT12" s="121">
        <v>10000</v>
      </c>
      <c r="AU12" s="123">
        <v>10</v>
      </c>
      <c r="AV12" s="127">
        <v>45189</v>
      </c>
      <c r="AW12" s="127"/>
      <c r="AX12" s="121">
        <v>2.7</v>
      </c>
      <c r="AY12" s="121" t="s">
        <v>94</v>
      </c>
      <c r="AZ12" s="127">
        <v>45371</v>
      </c>
      <c r="BA12" s="121" t="s">
        <v>652</v>
      </c>
      <c r="BB12" s="121" t="s">
        <v>94</v>
      </c>
      <c r="BC12" s="127">
        <v>45189</v>
      </c>
      <c r="BD12" s="121" t="s">
        <v>668</v>
      </c>
      <c r="BE12" s="127">
        <v>45189</v>
      </c>
      <c r="BF12" s="123" t="s">
        <v>94</v>
      </c>
      <c r="BG12" s="121" t="s">
        <v>653</v>
      </c>
      <c r="BH12" s="121" t="s">
        <v>654</v>
      </c>
      <c r="BI12" s="123" t="s">
        <v>137</v>
      </c>
      <c r="BJ12" s="123" t="s">
        <v>137</v>
      </c>
      <c r="BK12" s="123" t="s">
        <v>138</v>
      </c>
      <c r="BL12" s="123" t="s">
        <v>139</v>
      </c>
      <c r="BM12" s="123" t="s">
        <v>655</v>
      </c>
      <c r="BN12" s="121" t="s">
        <v>94</v>
      </c>
      <c r="BO12" s="123" t="s">
        <v>141</v>
      </c>
      <c r="BP12" s="121" t="s">
        <v>94</v>
      </c>
      <c r="BQ12" s="121" t="s">
        <v>94</v>
      </c>
      <c r="BR12" t="s">
        <v>276</v>
      </c>
      <c r="BS12" s="121" t="s">
        <v>27</v>
      </c>
      <c r="BT12" s="127"/>
      <c r="BU12" s="121" t="s">
        <v>670</v>
      </c>
    </row>
    <row r="13" spans="1:73" x14ac:dyDescent="0.25">
      <c r="A13" s="121" t="s">
        <v>671</v>
      </c>
      <c r="B13" s="123" t="s">
        <v>672</v>
      </c>
      <c r="C13" s="121" t="s">
        <v>673</v>
      </c>
      <c r="D13" s="127">
        <v>45182</v>
      </c>
      <c r="E13" s="123" t="s">
        <v>674</v>
      </c>
      <c r="F13" s="123" t="s">
        <v>135</v>
      </c>
      <c r="G13" s="123" t="s">
        <v>135</v>
      </c>
      <c r="H13" s="123" t="s">
        <v>135</v>
      </c>
      <c r="I13" s="121">
        <v>5.8</v>
      </c>
      <c r="J13" s="121" t="s">
        <v>108</v>
      </c>
      <c r="K13" s="123" t="s">
        <v>215</v>
      </c>
      <c r="L13" s="114">
        <v>3.7</v>
      </c>
      <c r="M13" s="127">
        <v>46285</v>
      </c>
      <c r="N13" s="123" t="s">
        <v>329</v>
      </c>
      <c r="O13" s="121" t="s">
        <v>675</v>
      </c>
      <c r="P13" s="121" t="s">
        <v>676</v>
      </c>
      <c r="Q13" s="123">
        <v>0</v>
      </c>
      <c r="R13" s="123" t="s">
        <v>217</v>
      </c>
      <c r="S13" s="123" t="s">
        <v>259</v>
      </c>
      <c r="T13" s="121" t="s">
        <v>677</v>
      </c>
      <c r="U13" s="123" t="s">
        <v>136</v>
      </c>
      <c r="V13" s="123">
        <v>100</v>
      </c>
      <c r="W13" s="123"/>
      <c r="X13" s="123" t="s">
        <v>299</v>
      </c>
      <c r="Y13" s="123" t="s">
        <v>678</v>
      </c>
      <c r="Z13" s="121" t="s">
        <v>94</v>
      </c>
      <c r="AA13" s="121"/>
      <c r="AB13" s="123"/>
      <c r="AC13" s="123"/>
      <c r="AD13" s="123"/>
      <c r="AE13" s="123" t="s">
        <v>679</v>
      </c>
      <c r="AF13" s="123" t="s">
        <v>433</v>
      </c>
      <c r="AG13" s="123" t="s">
        <v>372</v>
      </c>
      <c r="AH13" s="123" t="s">
        <v>135</v>
      </c>
      <c r="AI13" s="121" t="s">
        <v>598</v>
      </c>
      <c r="AJ13" s="121" t="s">
        <v>94</v>
      </c>
      <c r="AK13" s="123" t="s">
        <v>2</v>
      </c>
      <c r="AL13" s="123" t="s">
        <v>268</v>
      </c>
      <c r="AM13" s="123" t="s">
        <v>134</v>
      </c>
      <c r="AN13" s="123" t="s">
        <v>84</v>
      </c>
      <c r="AO13" s="121"/>
      <c r="AP13" s="121" t="s">
        <v>94</v>
      </c>
      <c r="AQ13" s="121" t="s">
        <v>94</v>
      </c>
      <c r="AR13" s="121" t="s">
        <v>680</v>
      </c>
      <c r="AS13" s="121" t="s">
        <v>681</v>
      </c>
      <c r="AT13" s="121">
        <v>10000</v>
      </c>
      <c r="AU13" s="123">
        <v>5.8</v>
      </c>
      <c r="AV13" s="127">
        <v>45189</v>
      </c>
      <c r="AW13" s="127"/>
      <c r="AX13" s="121">
        <v>3.7</v>
      </c>
      <c r="AY13" s="121" t="s">
        <v>94</v>
      </c>
      <c r="AZ13" s="127">
        <v>45219</v>
      </c>
      <c r="BA13" s="121" t="s">
        <v>671</v>
      </c>
      <c r="BB13" s="121" t="s">
        <v>94</v>
      </c>
      <c r="BC13" s="127">
        <v>45189</v>
      </c>
      <c r="BD13" s="121" t="s">
        <v>676</v>
      </c>
      <c r="BE13" s="127">
        <v>45189</v>
      </c>
      <c r="BF13" s="123" t="s">
        <v>264</v>
      </c>
      <c r="BG13" s="121" t="s">
        <v>682</v>
      </c>
      <c r="BH13" s="121" t="s">
        <v>683</v>
      </c>
      <c r="BI13" s="123" t="s">
        <v>137</v>
      </c>
      <c r="BJ13" s="123" t="s">
        <v>137</v>
      </c>
      <c r="BK13" s="123" t="s">
        <v>138</v>
      </c>
      <c r="BL13" s="123" t="s">
        <v>139</v>
      </c>
      <c r="BM13" s="123" t="s">
        <v>140</v>
      </c>
      <c r="BN13" s="121" t="s">
        <v>94</v>
      </c>
      <c r="BO13" s="123" t="s">
        <v>141</v>
      </c>
      <c r="BP13" s="121" t="s">
        <v>94</v>
      </c>
      <c r="BQ13" s="121" t="s">
        <v>94</v>
      </c>
      <c r="BR13" t="s">
        <v>276</v>
      </c>
      <c r="BS13" s="121" t="s">
        <v>10</v>
      </c>
      <c r="BT13" s="127"/>
      <c r="BU13" s="121" t="s">
        <v>684</v>
      </c>
    </row>
    <row r="14" spans="1:73" x14ac:dyDescent="0.25">
      <c r="A14" s="115" t="s">
        <v>685</v>
      </c>
      <c r="B14" s="155" t="s">
        <v>686</v>
      </c>
      <c r="C14" s="115" t="s">
        <v>687</v>
      </c>
      <c r="D14" s="156">
        <v>45182</v>
      </c>
      <c r="E14" s="155" t="s">
        <v>688</v>
      </c>
      <c r="F14" s="155" t="s">
        <v>135</v>
      </c>
      <c r="G14" s="155" t="s">
        <v>135</v>
      </c>
      <c r="H14" s="155" t="s">
        <v>135</v>
      </c>
      <c r="I14" s="115">
        <v>76</v>
      </c>
      <c r="J14" s="115" t="s">
        <v>330</v>
      </c>
      <c r="K14" s="155" t="s">
        <v>215</v>
      </c>
      <c r="L14" s="114">
        <v>2.2999999999999998</v>
      </c>
      <c r="M14" s="156">
        <v>46284</v>
      </c>
      <c r="N14" s="155" t="s">
        <v>112</v>
      </c>
      <c r="O14" s="115" t="s">
        <v>689</v>
      </c>
      <c r="P14" s="115" t="s">
        <v>94</v>
      </c>
      <c r="Q14" s="155"/>
      <c r="R14" s="155" t="s">
        <v>217</v>
      </c>
      <c r="S14" s="155" t="s">
        <v>606</v>
      </c>
      <c r="T14" s="115" t="s">
        <v>690</v>
      </c>
      <c r="U14" s="155" t="s">
        <v>136</v>
      </c>
      <c r="V14" s="155">
        <v>100</v>
      </c>
      <c r="W14" s="155"/>
      <c r="X14" s="155" t="s">
        <v>299</v>
      </c>
      <c r="Y14" s="155" t="s">
        <v>691</v>
      </c>
      <c r="Z14" s="115" t="s">
        <v>94</v>
      </c>
      <c r="AA14" s="115"/>
      <c r="AB14" s="155"/>
      <c r="AC14" s="155"/>
      <c r="AD14" s="155"/>
      <c r="AE14" s="155" t="s">
        <v>692</v>
      </c>
      <c r="AF14" s="155" t="s">
        <v>433</v>
      </c>
      <c r="AG14" s="155" t="s">
        <v>294</v>
      </c>
      <c r="AH14" s="155" t="s">
        <v>135</v>
      </c>
      <c r="AI14" s="115" t="s">
        <v>94</v>
      </c>
      <c r="AJ14" s="115" t="s">
        <v>94</v>
      </c>
      <c r="AK14" s="155" t="s">
        <v>86</v>
      </c>
      <c r="AL14" s="155" t="s">
        <v>268</v>
      </c>
      <c r="AM14" s="155" t="s">
        <v>134</v>
      </c>
      <c r="AN14" s="155" t="s">
        <v>84</v>
      </c>
      <c r="AO14" s="115"/>
      <c r="AP14" s="115" t="s">
        <v>94</v>
      </c>
      <c r="AQ14" s="115" t="s">
        <v>94</v>
      </c>
      <c r="AR14" s="115" t="s">
        <v>693</v>
      </c>
      <c r="AS14" s="115" t="s">
        <v>694</v>
      </c>
      <c r="AT14" s="115">
        <v>10000000</v>
      </c>
      <c r="AU14" s="155">
        <v>76</v>
      </c>
      <c r="AV14" s="156">
        <v>45188</v>
      </c>
      <c r="AW14" s="156"/>
      <c r="AX14" s="115">
        <v>2.2999999999999998</v>
      </c>
      <c r="AY14" s="115" t="s">
        <v>94</v>
      </c>
      <c r="AZ14" s="156">
        <v>45370</v>
      </c>
      <c r="BA14" s="115" t="s">
        <v>695</v>
      </c>
      <c r="BB14" s="115" t="s">
        <v>685</v>
      </c>
      <c r="BC14" s="156">
        <v>45188</v>
      </c>
      <c r="BD14" s="115" t="s">
        <v>94</v>
      </c>
      <c r="BE14" s="156">
        <v>45188</v>
      </c>
      <c r="BF14" s="155" t="s">
        <v>264</v>
      </c>
      <c r="BG14" s="115" t="s">
        <v>696</v>
      </c>
      <c r="BH14" s="115" t="s">
        <v>697</v>
      </c>
      <c r="BI14" s="155" t="s">
        <v>137</v>
      </c>
      <c r="BJ14" s="155" t="s">
        <v>137</v>
      </c>
      <c r="BK14" s="155" t="s">
        <v>138</v>
      </c>
      <c r="BL14" s="155" t="s">
        <v>139</v>
      </c>
      <c r="BM14" s="155" t="s">
        <v>140</v>
      </c>
      <c r="BN14" s="115" t="s">
        <v>94</v>
      </c>
      <c r="BO14" s="155" t="s">
        <v>141</v>
      </c>
      <c r="BP14" s="115" t="s">
        <v>94</v>
      </c>
      <c r="BQ14" s="115" t="s">
        <v>94</v>
      </c>
      <c r="BR14" t="s">
        <v>276</v>
      </c>
      <c r="BS14" s="115" t="s">
        <v>10</v>
      </c>
      <c r="BT14" s="156"/>
      <c r="BU14" s="115" t="s">
        <v>698</v>
      </c>
    </row>
    <row r="15" spans="1:73" x14ac:dyDescent="0.25">
      <c r="A15" s="115" t="s">
        <v>881</v>
      </c>
      <c r="B15" s="155" t="s">
        <v>94</v>
      </c>
      <c r="C15" s="115" t="s">
        <v>804</v>
      </c>
      <c r="D15" s="156">
        <v>45181</v>
      </c>
      <c r="E15" s="155" t="s">
        <v>881</v>
      </c>
      <c r="F15" s="155" t="s">
        <v>94</v>
      </c>
      <c r="G15" s="155" t="s">
        <v>94</v>
      </c>
      <c r="H15" s="155" t="s">
        <v>94</v>
      </c>
      <c r="I15" s="115">
        <v>2</v>
      </c>
      <c r="J15" s="115" t="s">
        <v>108</v>
      </c>
      <c r="K15" s="155" t="s">
        <v>94</v>
      </c>
      <c r="L15" s="114">
        <v>4.2</v>
      </c>
      <c r="M15" s="156">
        <v>45548</v>
      </c>
      <c r="N15" s="155" t="s">
        <v>94</v>
      </c>
      <c r="O15" s="115" t="s">
        <v>874</v>
      </c>
      <c r="P15" s="115" t="s">
        <v>874</v>
      </c>
      <c r="Q15" s="155"/>
      <c r="R15" s="155"/>
      <c r="S15" s="155" t="s">
        <v>874</v>
      </c>
      <c r="T15" s="115" t="s">
        <v>94</v>
      </c>
      <c r="U15" s="155" t="s">
        <v>94</v>
      </c>
      <c r="V15" s="155"/>
      <c r="W15" s="155"/>
      <c r="X15" s="155" t="s">
        <v>94</v>
      </c>
      <c r="Y15" s="155" t="s">
        <v>94</v>
      </c>
      <c r="Z15" s="115" t="s">
        <v>94</v>
      </c>
      <c r="AA15" s="115"/>
      <c r="AB15" s="155"/>
      <c r="AC15" s="155"/>
      <c r="AD15" s="155"/>
      <c r="AE15" s="155" t="s">
        <v>94</v>
      </c>
      <c r="AF15" s="155"/>
      <c r="AG15" s="155" t="s">
        <v>94</v>
      </c>
      <c r="AH15" s="155" t="s">
        <v>94</v>
      </c>
      <c r="AI15" s="115" t="s">
        <v>94</v>
      </c>
      <c r="AJ15" s="115" t="s">
        <v>874</v>
      </c>
      <c r="AK15" s="155" t="s">
        <v>94</v>
      </c>
      <c r="AL15" s="155"/>
      <c r="AM15" s="155" t="s">
        <v>94</v>
      </c>
      <c r="AN15" s="155" t="s">
        <v>94</v>
      </c>
      <c r="AO15" s="115"/>
      <c r="AP15" s="115" t="s">
        <v>94</v>
      </c>
      <c r="AQ15" s="115" t="s">
        <v>94</v>
      </c>
      <c r="AR15" s="115" t="s">
        <v>94</v>
      </c>
      <c r="AS15" s="115" t="s">
        <v>94</v>
      </c>
      <c r="AT15" s="115"/>
      <c r="AU15" s="155"/>
      <c r="AV15" s="156">
        <v>45188</v>
      </c>
      <c r="AW15" s="156"/>
      <c r="AX15" s="115"/>
      <c r="AY15" s="115" t="s">
        <v>94</v>
      </c>
      <c r="AZ15" s="156"/>
      <c r="BA15" s="115" t="s">
        <v>882</v>
      </c>
      <c r="BB15" s="115" t="s">
        <v>7</v>
      </c>
      <c r="BC15" s="156"/>
      <c r="BD15" s="115" t="s">
        <v>94</v>
      </c>
      <c r="BE15" s="156"/>
      <c r="BF15" s="155" t="s">
        <v>94</v>
      </c>
      <c r="BG15" s="115" t="s">
        <v>94</v>
      </c>
      <c r="BH15" s="115" t="s">
        <v>94</v>
      </c>
      <c r="BI15" s="155" t="s">
        <v>94</v>
      </c>
      <c r="BJ15" s="155" t="s">
        <v>94</v>
      </c>
      <c r="BK15" s="155" t="s">
        <v>94</v>
      </c>
      <c r="BL15" s="155" t="s">
        <v>94</v>
      </c>
      <c r="BM15" s="155" t="s">
        <v>94</v>
      </c>
      <c r="BN15" s="115" t="s">
        <v>94</v>
      </c>
      <c r="BO15" s="155" t="s">
        <v>94</v>
      </c>
      <c r="BP15" s="115" t="s">
        <v>806</v>
      </c>
      <c r="BQ15" s="115" t="s">
        <v>94</v>
      </c>
      <c r="BR15" t="s">
        <v>879</v>
      </c>
      <c r="BS15" s="115" t="s">
        <v>94</v>
      </c>
      <c r="BT15" s="156"/>
      <c r="BU15" s="115" t="s">
        <v>808</v>
      </c>
    </row>
    <row r="16" spans="1:73" x14ac:dyDescent="0.25">
      <c r="A16" s="115" t="s">
        <v>699</v>
      </c>
      <c r="B16" s="155" t="s">
        <v>700</v>
      </c>
      <c r="C16" s="115" t="s">
        <v>701</v>
      </c>
      <c r="D16" s="156">
        <v>45181</v>
      </c>
      <c r="E16" s="155" t="s">
        <v>702</v>
      </c>
      <c r="F16" s="155" t="s">
        <v>135</v>
      </c>
      <c r="G16" s="155" t="s">
        <v>135</v>
      </c>
      <c r="H16" s="155" t="s">
        <v>135</v>
      </c>
      <c r="I16" s="115">
        <v>2.15</v>
      </c>
      <c r="J16" s="115" t="s">
        <v>108</v>
      </c>
      <c r="K16" s="155" t="s">
        <v>215</v>
      </c>
      <c r="L16" s="114">
        <v>5.8</v>
      </c>
      <c r="M16" s="156">
        <v>46280</v>
      </c>
      <c r="N16" s="155" t="s">
        <v>295</v>
      </c>
      <c r="O16" s="115" t="s">
        <v>94</v>
      </c>
      <c r="P16" s="115" t="s">
        <v>94</v>
      </c>
      <c r="Q16" s="155"/>
      <c r="R16" s="155" t="s">
        <v>217</v>
      </c>
      <c r="S16" s="155" t="s">
        <v>39</v>
      </c>
      <c r="T16" s="115" t="s">
        <v>94</v>
      </c>
      <c r="U16" s="155" t="s">
        <v>136</v>
      </c>
      <c r="V16" s="155">
        <v>100</v>
      </c>
      <c r="W16" s="155"/>
      <c r="X16" s="155" t="s">
        <v>703</v>
      </c>
      <c r="Y16" s="155" t="s">
        <v>704</v>
      </c>
      <c r="Z16" s="115" t="s">
        <v>94</v>
      </c>
      <c r="AA16" s="115"/>
      <c r="AB16" s="155"/>
      <c r="AC16" s="155"/>
      <c r="AD16" s="155"/>
      <c r="AE16" s="155" t="s">
        <v>705</v>
      </c>
      <c r="AF16" s="155" t="s">
        <v>433</v>
      </c>
      <c r="AG16" s="155" t="s">
        <v>294</v>
      </c>
      <c r="AH16" s="155" t="s">
        <v>135</v>
      </c>
      <c r="AI16" s="115" t="s">
        <v>94</v>
      </c>
      <c r="AJ16" s="115" t="s">
        <v>94</v>
      </c>
      <c r="AK16" s="155" t="s">
        <v>86</v>
      </c>
      <c r="AL16" s="155" t="s">
        <v>331</v>
      </c>
      <c r="AM16" s="155" t="s">
        <v>706</v>
      </c>
      <c r="AN16" s="155" t="s">
        <v>84</v>
      </c>
      <c r="AO16" s="115"/>
      <c r="AP16" s="115" t="s">
        <v>94</v>
      </c>
      <c r="AQ16" s="115" t="s">
        <v>94</v>
      </c>
      <c r="AR16" s="115" t="s">
        <v>94</v>
      </c>
      <c r="AS16" s="115" t="s">
        <v>707</v>
      </c>
      <c r="AT16" s="115">
        <v>10000</v>
      </c>
      <c r="AU16" s="155">
        <v>2.15</v>
      </c>
      <c r="AV16" s="156">
        <v>45184</v>
      </c>
      <c r="AW16" s="156"/>
      <c r="AX16" s="115">
        <v>5.8</v>
      </c>
      <c r="AY16" s="115" t="s">
        <v>94</v>
      </c>
      <c r="AZ16" s="156">
        <v>45366</v>
      </c>
      <c r="BA16" s="115" t="s">
        <v>699</v>
      </c>
      <c r="BB16" s="115" t="s">
        <v>708</v>
      </c>
      <c r="BC16" s="156">
        <v>45184</v>
      </c>
      <c r="BD16" s="115" t="s">
        <v>94</v>
      </c>
      <c r="BE16" s="156">
        <v>45184</v>
      </c>
      <c r="BF16" s="155" t="s">
        <v>94</v>
      </c>
      <c r="BG16" s="115" t="s">
        <v>709</v>
      </c>
      <c r="BH16" s="115" t="s">
        <v>710</v>
      </c>
      <c r="BI16" s="155" t="s">
        <v>137</v>
      </c>
      <c r="BJ16" s="155" t="s">
        <v>137</v>
      </c>
      <c r="BK16" s="155" t="s">
        <v>138</v>
      </c>
      <c r="BL16" s="155" t="s">
        <v>139</v>
      </c>
      <c r="BM16" s="155" t="s">
        <v>140</v>
      </c>
      <c r="BN16" s="115" t="s">
        <v>94</v>
      </c>
      <c r="BO16" s="155" t="s">
        <v>141</v>
      </c>
      <c r="BP16" s="115" t="s">
        <v>94</v>
      </c>
      <c r="BQ16" s="115" t="s">
        <v>94</v>
      </c>
      <c r="BR16" t="s">
        <v>276</v>
      </c>
      <c r="BS16" s="115" t="s">
        <v>18</v>
      </c>
      <c r="BT16" s="156"/>
      <c r="BU16" s="115" t="s">
        <v>711</v>
      </c>
    </row>
    <row r="17" spans="1:73" x14ac:dyDescent="0.25">
      <c r="A17" s="115" t="s">
        <v>428</v>
      </c>
      <c r="B17" s="155" t="s">
        <v>712</v>
      </c>
      <c r="C17" s="115" t="s">
        <v>713</v>
      </c>
      <c r="D17" s="156">
        <v>45180</v>
      </c>
      <c r="E17" s="155" t="s">
        <v>714</v>
      </c>
      <c r="F17" s="155" t="s">
        <v>429</v>
      </c>
      <c r="G17" s="155" t="s">
        <v>430</v>
      </c>
      <c r="H17" s="155" t="s">
        <v>429</v>
      </c>
      <c r="I17" s="115">
        <v>20</v>
      </c>
      <c r="J17" s="115" t="s">
        <v>108</v>
      </c>
      <c r="K17" s="155" t="s">
        <v>215</v>
      </c>
      <c r="L17" s="114">
        <v>2.98</v>
      </c>
      <c r="M17" s="156">
        <v>46283</v>
      </c>
      <c r="N17" s="155" t="s">
        <v>715</v>
      </c>
      <c r="O17" s="115" t="s">
        <v>716</v>
      </c>
      <c r="P17" s="115" t="s">
        <v>717</v>
      </c>
      <c r="Q17" s="155">
        <v>32</v>
      </c>
      <c r="R17" s="155" t="s">
        <v>217</v>
      </c>
      <c r="S17" s="155" t="s">
        <v>258</v>
      </c>
      <c r="T17" s="115" t="s">
        <v>94</v>
      </c>
      <c r="U17" s="155" t="s">
        <v>136</v>
      </c>
      <c r="V17" s="155">
        <v>100</v>
      </c>
      <c r="W17" s="155"/>
      <c r="X17" s="155" t="s">
        <v>293</v>
      </c>
      <c r="Y17" s="155" t="s">
        <v>432</v>
      </c>
      <c r="Z17" s="115" t="s">
        <v>94</v>
      </c>
      <c r="AA17" s="115"/>
      <c r="AB17" s="155"/>
      <c r="AC17" s="155"/>
      <c r="AD17" s="155"/>
      <c r="AE17" s="155" t="s">
        <v>94</v>
      </c>
      <c r="AF17" s="155" t="s">
        <v>433</v>
      </c>
      <c r="AG17" s="155" t="s">
        <v>434</v>
      </c>
      <c r="AH17" s="155" t="s">
        <v>429</v>
      </c>
      <c r="AI17" s="115" t="s">
        <v>263</v>
      </c>
      <c r="AJ17" s="115" t="s">
        <v>94</v>
      </c>
      <c r="AK17" s="155" t="s">
        <v>86</v>
      </c>
      <c r="AL17" s="155" t="s">
        <v>268</v>
      </c>
      <c r="AM17" s="155" t="s">
        <v>435</v>
      </c>
      <c r="AN17" s="155" t="s">
        <v>162</v>
      </c>
      <c r="AO17" s="115"/>
      <c r="AP17" s="115" t="s">
        <v>94</v>
      </c>
      <c r="AQ17" s="115" t="s">
        <v>94</v>
      </c>
      <c r="AR17" s="115" t="s">
        <v>94</v>
      </c>
      <c r="AS17" s="115" t="s">
        <v>436</v>
      </c>
      <c r="AT17" s="115">
        <v>10000</v>
      </c>
      <c r="AU17" s="155">
        <v>20</v>
      </c>
      <c r="AV17" s="156">
        <v>45187</v>
      </c>
      <c r="AW17" s="156"/>
      <c r="AX17" s="115">
        <v>2.98</v>
      </c>
      <c r="AY17" s="115" t="s">
        <v>94</v>
      </c>
      <c r="AZ17" s="156">
        <v>45369</v>
      </c>
      <c r="BA17" s="115" t="s">
        <v>718</v>
      </c>
      <c r="BB17" s="115" t="s">
        <v>94</v>
      </c>
      <c r="BC17" s="156">
        <v>45187</v>
      </c>
      <c r="BD17" s="115" t="s">
        <v>717</v>
      </c>
      <c r="BE17" s="156">
        <v>45187</v>
      </c>
      <c r="BF17" s="155" t="s">
        <v>94</v>
      </c>
      <c r="BG17" s="115" t="s">
        <v>719</v>
      </c>
      <c r="BH17" s="115" t="s">
        <v>719</v>
      </c>
      <c r="BI17" s="155" t="s">
        <v>137</v>
      </c>
      <c r="BJ17" s="155" t="s">
        <v>137</v>
      </c>
      <c r="BK17" s="155" t="s">
        <v>138</v>
      </c>
      <c r="BL17" s="155" t="s">
        <v>139</v>
      </c>
      <c r="BM17" s="155" t="s">
        <v>140</v>
      </c>
      <c r="BN17" s="115" t="s">
        <v>94</v>
      </c>
      <c r="BO17" s="155" t="s">
        <v>141</v>
      </c>
      <c r="BP17" s="115" t="s">
        <v>94</v>
      </c>
      <c r="BQ17" s="115" t="s">
        <v>94</v>
      </c>
      <c r="BR17" t="s">
        <v>276</v>
      </c>
      <c r="BS17" s="115" t="s">
        <v>12</v>
      </c>
      <c r="BT17" s="156"/>
      <c r="BU17" s="115" t="s">
        <v>720</v>
      </c>
    </row>
    <row r="18" spans="1:73" x14ac:dyDescent="0.25">
      <c r="A18" s="115" t="s">
        <v>428</v>
      </c>
      <c r="B18" s="155" t="s">
        <v>721</v>
      </c>
      <c r="C18" s="115" t="s">
        <v>722</v>
      </c>
      <c r="D18" s="156">
        <v>45180</v>
      </c>
      <c r="E18" s="155" t="s">
        <v>723</v>
      </c>
      <c r="F18" s="155" t="s">
        <v>429</v>
      </c>
      <c r="G18" s="155" t="s">
        <v>430</v>
      </c>
      <c r="H18" s="155" t="s">
        <v>429</v>
      </c>
      <c r="I18" s="115">
        <v>5</v>
      </c>
      <c r="J18" s="115" t="s">
        <v>87</v>
      </c>
      <c r="K18" s="155" t="s">
        <v>215</v>
      </c>
      <c r="L18" s="114">
        <v>5.9340000000000002</v>
      </c>
      <c r="M18" s="156">
        <v>46283</v>
      </c>
      <c r="N18" s="155" t="s">
        <v>715</v>
      </c>
      <c r="O18" s="115" t="s">
        <v>431</v>
      </c>
      <c r="P18" s="115" t="s">
        <v>724</v>
      </c>
      <c r="Q18" s="155">
        <v>45</v>
      </c>
      <c r="R18" s="155" t="s">
        <v>217</v>
      </c>
      <c r="S18" s="155" t="s">
        <v>258</v>
      </c>
      <c r="T18" s="115" t="s">
        <v>94</v>
      </c>
      <c r="U18" s="155" t="s">
        <v>136</v>
      </c>
      <c r="V18" s="155">
        <v>100</v>
      </c>
      <c r="W18" s="155"/>
      <c r="X18" s="155" t="s">
        <v>293</v>
      </c>
      <c r="Y18" s="155" t="s">
        <v>432</v>
      </c>
      <c r="Z18" s="115" t="s">
        <v>94</v>
      </c>
      <c r="AA18" s="115"/>
      <c r="AB18" s="155"/>
      <c r="AC18" s="155"/>
      <c r="AD18" s="155"/>
      <c r="AE18" s="155" t="s">
        <v>725</v>
      </c>
      <c r="AF18" s="155" t="s">
        <v>433</v>
      </c>
      <c r="AG18" s="155" t="s">
        <v>434</v>
      </c>
      <c r="AH18" s="155" t="s">
        <v>429</v>
      </c>
      <c r="AI18" s="115" t="s">
        <v>263</v>
      </c>
      <c r="AJ18" s="115" t="s">
        <v>94</v>
      </c>
      <c r="AK18" s="155" t="s">
        <v>86</v>
      </c>
      <c r="AL18" s="155" t="s">
        <v>268</v>
      </c>
      <c r="AM18" s="155" t="s">
        <v>435</v>
      </c>
      <c r="AN18" s="155" t="s">
        <v>162</v>
      </c>
      <c r="AO18" s="115"/>
      <c r="AP18" s="115" t="s">
        <v>94</v>
      </c>
      <c r="AQ18" s="115" t="s">
        <v>94</v>
      </c>
      <c r="AR18" s="115" t="s">
        <v>94</v>
      </c>
      <c r="AS18" s="115" t="s">
        <v>436</v>
      </c>
      <c r="AT18" s="115">
        <v>1000</v>
      </c>
      <c r="AU18" s="155">
        <v>5</v>
      </c>
      <c r="AV18" s="156">
        <v>45187</v>
      </c>
      <c r="AW18" s="156"/>
      <c r="AX18" s="115">
        <v>5.9340000000000002</v>
      </c>
      <c r="AY18" s="115" t="s">
        <v>94</v>
      </c>
      <c r="AZ18" s="156">
        <v>45278</v>
      </c>
      <c r="BA18" s="115" t="s">
        <v>726</v>
      </c>
      <c r="BB18" s="115" t="s">
        <v>94</v>
      </c>
      <c r="BC18" s="156">
        <v>45187</v>
      </c>
      <c r="BD18" s="115" t="s">
        <v>727</v>
      </c>
      <c r="BE18" s="156">
        <v>45187</v>
      </c>
      <c r="BF18" s="155" t="s">
        <v>94</v>
      </c>
      <c r="BG18" s="115" t="s">
        <v>94</v>
      </c>
      <c r="BH18" s="115" t="s">
        <v>728</v>
      </c>
      <c r="BI18" s="155" t="s">
        <v>137</v>
      </c>
      <c r="BJ18" s="155" t="s">
        <v>137</v>
      </c>
      <c r="BK18" s="155" t="s">
        <v>437</v>
      </c>
      <c r="BL18" s="155" t="s">
        <v>139</v>
      </c>
      <c r="BM18" s="155" t="s">
        <v>140</v>
      </c>
      <c r="BN18" s="115" t="s">
        <v>94</v>
      </c>
      <c r="BO18" s="155" t="s">
        <v>296</v>
      </c>
      <c r="BP18" s="115" t="s">
        <v>94</v>
      </c>
      <c r="BQ18" s="115" t="s">
        <v>94</v>
      </c>
      <c r="BR18" t="s">
        <v>276</v>
      </c>
      <c r="BS18" s="115" t="s">
        <v>12</v>
      </c>
      <c r="BT18" s="156"/>
      <c r="BU18" s="115" t="s">
        <v>729</v>
      </c>
    </row>
    <row r="19" spans="1:73" x14ac:dyDescent="0.25">
      <c r="A19" s="115" t="s">
        <v>730</v>
      </c>
      <c r="B19" s="155" t="s">
        <v>731</v>
      </c>
      <c r="C19" s="115" t="s">
        <v>732</v>
      </c>
      <c r="D19" s="156">
        <v>45180</v>
      </c>
      <c r="E19" s="155" t="s">
        <v>733</v>
      </c>
      <c r="F19" s="155" t="s">
        <v>734</v>
      </c>
      <c r="G19" s="155" t="s">
        <v>735</v>
      </c>
      <c r="H19" s="155" t="s">
        <v>135</v>
      </c>
      <c r="I19" s="115">
        <v>1.4</v>
      </c>
      <c r="J19" s="115" t="s">
        <v>87</v>
      </c>
      <c r="K19" s="155" t="s">
        <v>292</v>
      </c>
      <c r="L19" s="114">
        <v>7.5</v>
      </c>
      <c r="M19" s="156">
        <v>45547</v>
      </c>
      <c r="N19" s="155" t="s">
        <v>329</v>
      </c>
      <c r="O19" s="115" t="s">
        <v>736</v>
      </c>
      <c r="P19" s="115" t="s">
        <v>737</v>
      </c>
      <c r="Q19" s="155">
        <v>10</v>
      </c>
      <c r="R19" s="155" t="s">
        <v>217</v>
      </c>
      <c r="S19" s="155" t="s">
        <v>39</v>
      </c>
      <c r="T19" s="115" t="s">
        <v>94</v>
      </c>
      <c r="U19" s="155" t="s">
        <v>136</v>
      </c>
      <c r="V19" s="155">
        <v>100</v>
      </c>
      <c r="W19" s="155"/>
      <c r="X19" s="155" t="s">
        <v>738</v>
      </c>
      <c r="Y19" s="155" t="s">
        <v>739</v>
      </c>
      <c r="Z19" s="115" t="s">
        <v>94</v>
      </c>
      <c r="AA19" s="115"/>
      <c r="AB19" s="155"/>
      <c r="AC19" s="155"/>
      <c r="AD19" s="155"/>
      <c r="AE19" s="155" t="s">
        <v>740</v>
      </c>
      <c r="AF19" s="155" t="s">
        <v>433</v>
      </c>
      <c r="AG19" s="155" t="s">
        <v>741</v>
      </c>
      <c r="AH19" s="155" t="s">
        <v>135</v>
      </c>
      <c r="AI19" s="115" t="s">
        <v>263</v>
      </c>
      <c r="AJ19" s="115" t="s">
        <v>94</v>
      </c>
      <c r="AK19" s="155" t="s">
        <v>1</v>
      </c>
      <c r="AL19" s="155" t="s">
        <v>742</v>
      </c>
      <c r="AM19" s="155" t="s">
        <v>134</v>
      </c>
      <c r="AN19" s="155" t="s">
        <v>162</v>
      </c>
      <c r="AO19" s="115"/>
      <c r="AP19" s="115" t="s">
        <v>94</v>
      </c>
      <c r="AQ19" s="115" t="s">
        <v>94</v>
      </c>
      <c r="AR19" s="115" t="s">
        <v>743</v>
      </c>
      <c r="AS19" s="115" t="s">
        <v>744</v>
      </c>
      <c r="AT19" s="115">
        <v>1000</v>
      </c>
      <c r="AU19" s="155">
        <v>1.4</v>
      </c>
      <c r="AV19" s="156">
        <v>45183</v>
      </c>
      <c r="AW19" s="156"/>
      <c r="AX19" s="115">
        <v>7.5</v>
      </c>
      <c r="AY19" s="115" t="s">
        <v>94</v>
      </c>
      <c r="AZ19" s="156">
        <v>45363</v>
      </c>
      <c r="BA19" s="115" t="s">
        <v>745</v>
      </c>
      <c r="BB19" s="115" t="s">
        <v>730</v>
      </c>
      <c r="BC19" s="156">
        <v>45183</v>
      </c>
      <c r="BD19" s="115" t="s">
        <v>737</v>
      </c>
      <c r="BE19" s="156">
        <v>45183</v>
      </c>
      <c r="BF19" s="155" t="s">
        <v>746</v>
      </c>
      <c r="BG19" s="115" t="s">
        <v>747</v>
      </c>
      <c r="BH19" s="115" t="s">
        <v>748</v>
      </c>
      <c r="BI19" s="155" t="s">
        <v>137</v>
      </c>
      <c r="BJ19" s="155" t="s">
        <v>137</v>
      </c>
      <c r="BK19" s="155" t="s">
        <v>138</v>
      </c>
      <c r="BL19" s="155" t="s">
        <v>139</v>
      </c>
      <c r="BM19" s="155" t="s">
        <v>140</v>
      </c>
      <c r="BN19" s="115" t="s">
        <v>94</v>
      </c>
      <c r="BO19" s="155" t="s">
        <v>749</v>
      </c>
      <c r="BP19" s="115" t="s">
        <v>94</v>
      </c>
      <c r="BQ19" s="115" t="s">
        <v>94</v>
      </c>
      <c r="BR19" t="s">
        <v>276</v>
      </c>
      <c r="BS19" s="115" t="s">
        <v>28</v>
      </c>
      <c r="BT19" s="156"/>
      <c r="BU19" s="115" t="s">
        <v>750</v>
      </c>
    </row>
  </sheetData>
  <phoneticPr fontId="4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Y22"/>
  <sheetViews>
    <sheetView workbookViewId="0">
      <selection activeCell="A2" sqref="A2"/>
    </sheetView>
  </sheetViews>
  <sheetFormatPr defaultRowHeight="15" x14ac:dyDescent="0.25"/>
  <cols>
    <col min="1" max="1" width="7.109375" style="1" bestFit="1" customWidth="1"/>
    <col min="2" max="2" width="9.33203125" style="1" bestFit="1" customWidth="1"/>
    <col min="3" max="3" width="14.88671875" style="1" bestFit="1" customWidth="1"/>
    <col min="4" max="4" width="24.109375" style="1" bestFit="1" customWidth="1"/>
    <col min="5" max="5" width="80.88671875" style="1" bestFit="1" customWidth="1"/>
    <col min="6" max="6" width="10.77734375" style="1" bestFit="1" customWidth="1"/>
    <col min="7" max="7" width="12.5546875" style="1" bestFit="1" customWidth="1"/>
    <col min="8" max="8" width="14.21875" style="1" bestFit="1" customWidth="1"/>
    <col min="9" max="9" width="12.6640625" style="1" bestFit="1" customWidth="1"/>
    <col min="10" max="11" width="9.21875" style="1" bestFit="1" customWidth="1"/>
    <col min="12" max="12" width="19.21875" style="1" bestFit="1" customWidth="1"/>
    <col min="13" max="13" width="32.6640625" style="1" bestFit="1" customWidth="1"/>
    <col min="14" max="14" width="47.44140625" style="1" bestFit="1" customWidth="1"/>
    <col min="15" max="15" width="31.44140625" style="1" bestFit="1" customWidth="1"/>
    <col min="16" max="16" width="9.33203125" style="1" bestFit="1" customWidth="1"/>
    <col min="17" max="17" width="10.33203125" style="1" bestFit="1" customWidth="1"/>
    <col min="18" max="18" width="10.88671875" style="1" bestFit="1" customWidth="1"/>
    <col min="19" max="19" width="18.5546875" style="1" bestFit="1" customWidth="1"/>
    <col min="20" max="20" width="5.88671875" style="1" bestFit="1" customWidth="1"/>
    <col min="21" max="21" width="9.21875" style="1" bestFit="1" customWidth="1"/>
    <col min="22" max="22" width="12" style="1" bestFit="1" customWidth="1"/>
    <col min="23" max="23" width="9.33203125" style="1" bestFit="1" customWidth="1"/>
    <col min="24" max="24" width="11.6640625" style="1" bestFit="1" customWidth="1"/>
    <col min="25" max="25" width="21" style="1" customWidth="1"/>
    <col min="26" max="26" width="11.6640625" style="1" customWidth="1"/>
    <col min="27" max="16384" width="8.88671875" style="1"/>
  </cols>
  <sheetData>
    <row r="1" spans="1:25" ht="67.5" customHeight="1" x14ac:dyDescent="0.25">
      <c r="A1" s="54" t="s">
        <v>590</v>
      </c>
    </row>
    <row r="5" spans="1:25" x14ac:dyDescent="0.25">
      <c r="A5" t="s">
        <v>88</v>
      </c>
      <c r="B5" t="s">
        <v>50</v>
      </c>
      <c r="C5" t="s">
        <v>49</v>
      </c>
      <c r="D5" t="s">
        <v>96</v>
      </c>
      <c r="E5" t="s">
        <v>155</v>
      </c>
      <c r="F5" t="s">
        <v>145</v>
      </c>
      <c r="G5" t="s">
        <v>272</v>
      </c>
      <c r="H5" t="s">
        <v>328</v>
      </c>
      <c r="I5" t="s">
        <v>190</v>
      </c>
      <c r="J5" t="s">
        <v>121</v>
      </c>
      <c r="K5" t="s">
        <v>273</v>
      </c>
      <c r="L5" t="s">
        <v>751</v>
      </c>
      <c r="M5" t="s">
        <v>72</v>
      </c>
      <c r="N5" t="s">
        <v>73</v>
      </c>
      <c r="O5" t="s">
        <v>83</v>
      </c>
      <c r="P5" t="s">
        <v>68</v>
      </c>
      <c r="Q5" t="s">
        <v>53</v>
      </c>
      <c r="R5" t="s">
        <v>69</v>
      </c>
      <c r="S5" t="s">
        <v>122</v>
      </c>
      <c r="T5" t="s">
        <v>65</v>
      </c>
      <c r="U5" t="s">
        <v>883</v>
      </c>
      <c r="V5" t="s">
        <v>58</v>
      </c>
      <c r="W5" t="s">
        <v>274</v>
      </c>
      <c r="X5" t="s">
        <v>275</v>
      </c>
      <c r="Y5" t="s">
        <v>150</v>
      </c>
    </row>
    <row r="6" spans="1:25" x14ac:dyDescent="0.25">
      <c r="A6" s="114">
        <v>1</v>
      </c>
      <c r="B6" s="52">
        <v>45183</v>
      </c>
      <c r="C6" s="114" t="s">
        <v>604</v>
      </c>
      <c r="D6" s="114" t="s">
        <v>426</v>
      </c>
      <c r="E6"/>
      <c r="F6" s="114" t="s">
        <v>85</v>
      </c>
      <c r="G6" t="s">
        <v>290</v>
      </c>
      <c r="H6" s="114" t="s">
        <v>7</v>
      </c>
      <c r="I6" s="114" t="s">
        <v>85</v>
      </c>
      <c r="J6" s="114"/>
      <c r="K6" s="114"/>
      <c r="L6"/>
      <c r="M6" s="114" t="s">
        <v>752</v>
      </c>
      <c r="N6" s="114" t="s">
        <v>753</v>
      </c>
      <c r="O6" s="114" t="s">
        <v>94</v>
      </c>
      <c r="P6" s="52">
        <v>45191</v>
      </c>
      <c r="Q6" s="52">
        <v>46287</v>
      </c>
      <c r="R6" s="52"/>
      <c r="S6" s="114" t="s">
        <v>754</v>
      </c>
      <c r="T6" s="114" t="s">
        <v>108</v>
      </c>
      <c r="U6">
        <v>100</v>
      </c>
      <c r="V6">
        <v>2.6</v>
      </c>
      <c r="W6" t="s">
        <v>85</v>
      </c>
      <c r="X6" t="s">
        <v>85</v>
      </c>
      <c r="Y6" s="114" t="s">
        <v>616</v>
      </c>
    </row>
    <row r="7" spans="1:25" x14ac:dyDescent="0.25">
      <c r="A7" s="114">
        <v>2</v>
      </c>
      <c r="B7" s="52">
        <v>45182</v>
      </c>
      <c r="C7" s="114" t="s">
        <v>687</v>
      </c>
      <c r="D7" s="114" t="s">
        <v>685</v>
      </c>
      <c r="E7" t="s">
        <v>755</v>
      </c>
      <c r="F7" s="114" t="s">
        <v>85</v>
      </c>
      <c r="G7" t="s">
        <v>298</v>
      </c>
      <c r="H7" s="114" t="s">
        <v>7</v>
      </c>
      <c r="I7" s="114" t="s">
        <v>85</v>
      </c>
      <c r="J7" s="114"/>
      <c r="K7" s="114"/>
      <c r="L7"/>
      <c r="M7" s="114" t="s">
        <v>756</v>
      </c>
      <c r="N7" s="114" t="s">
        <v>757</v>
      </c>
      <c r="O7" s="114" t="s">
        <v>94</v>
      </c>
      <c r="P7" s="52">
        <v>45188</v>
      </c>
      <c r="Q7" s="52">
        <v>46284</v>
      </c>
      <c r="R7" s="52"/>
      <c r="S7" s="114" t="s">
        <v>758</v>
      </c>
      <c r="T7" s="114" t="s">
        <v>330</v>
      </c>
      <c r="U7">
        <v>100</v>
      </c>
      <c r="V7">
        <v>76</v>
      </c>
      <c r="W7" t="s">
        <v>85</v>
      </c>
      <c r="X7" t="s">
        <v>85</v>
      </c>
      <c r="Y7" s="114" t="s">
        <v>698</v>
      </c>
    </row>
    <row r="8" spans="1:25" x14ac:dyDescent="0.25">
      <c r="A8" s="114">
        <v>3</v>
      </c>
      <c r="B8" s="52">
        <v>45182</v>
      </c>
      <c r="C8" s="114" t="s">
        <v>633</v>
      </c>
      <c r="D8" s="114" t="s">
        <v>577</v>
      </c>
      <c r="E8" t="s">
        <v>755</v>
      </c>
      <c r="F8" s="114" t="s">
        <v>85</v>
      </c>
      <c r="G8" t="s">
        <v>291</v>
      </c>
      <c r="H8" s="114" t="s">
        <v>7</v>
      </c>
      <c r="I8" s="114" t="s">
        <v>759</v>
      </c>
      <c r="J8" s="114"/>
      <c r="K8" s="114">
        <v>50</v>
      </c>
      <c r="L8"/>
      <c r="M8" s="114" t="s">
        <v>577</v>
      </c>
      <c r="N8" s="114" t="s">
        <v>7</v>
      </c>
      <c r="O8" s="114" t="s">
        <v>94</v>
      </c>
      <c r="P8" s="52">
        <v>45189</v>
      </c>
      <c r="Q8" s="52">
        <v>46285</v>
      </c>
      <c r="R8" s="52"/>
      <c r="S8" s="114" t="s">
        <v>760</v>
      </c>
      <c r="T8" s="114" t="s">
        <v>87</v>
      </c>
      <c r="U8" t="s">
        <v>7</v>
      </c>
      <c r="V8">
        <v>0.5</v>
      </c>
      <c r="W8" t="s">
        <v>85</v>
      </c>
      <c r="X8" t="s">
        <v>761</v>
      </c>
      <c r="Y8" s="114" t="s">
        <v>640</v>
      </c>
    </row>
    <row r="9" spans="1:25" x14ac:dyDescent="0.25">
      <c r="A9" s="114">
        <v>4</v>
      </c>
      <c r="B9" s="52">
        <v>45182</v>
      </c>
      <c r="C9" s="114" t="s">
        <v>643</v>
      </c>
      <c r="D9" s="114" t="s">
        <v>641</v>
      </c>
      <c r="E9" t="s">
        <v>755</v>
      </c>
      <c r="F9" s="114" t="s">
        <v>85</v>
      </c>
      <c r="G9" t="s">
        <v>291</v>
      </c>
      <c r="H9" s="114" t="s">
        <v>7</v>
      </c>
      <c r="I9" s="114" t="s">
        <v>85</v>
      </c>
      <c r="J9" s="114"/>
      <c r="K9" s="114"/>
      <c r="L9"/>
      <c r="M9" s="114" t="s">
        <v>884</v>
      </c>
      <c r="N9" s="114" t="s">
        <v>7</v>
      </c>
      <c r="O9" s="114" t="s">
        <v>94</v>
      </c>
      <c r="P9" s="52">
        <v>45189</v>
      </c>
      <c r="Q9" s="52">
        <v>45920</v>
      </c>
      <c r="R9" s="52"/>
      <c r="S9" s="114" t="s">
        <v>762</v>
      </c>
      <c r="T9" s="114" t="s">
        <v>108</v>
      </c>
      <c r="U9">
        <v>100</v>
      </c>
      <c r="V9">
        <v>30</v>
      </c>
      <c r="W9" t="s">
        <v>85</v>
      </c>
      <c r="X9" t="s">
        <v>85</v>
      </c>
      <c r="Y9" s="114" t="s">
        <v>656</v>
      </c>
    </row>
    <row r="10" spans="1:25" x14ac:dyDescent="0.25">
      <c r="A10" s="114">
        <v>5</v>
      </c>
      <c r="B10" s="52">
        <v>45182</v>
      </c>
      <c r="C10" s="114" t="s">
        <v>664</v>
      </c>
      <c r="D10" s="114" t="s">
        <v>641</v>
      </c>
      <c r="E10" t="s">
        <v>763</v>
      </c>
      <c r="F10" s="114" t="s">
        <v>85</v>
      </c>
      <c r="G10" t="s">
        <v>291</v>
      </c>
      <c r="H10" s="114" t="s">
        <v>7</v>
      </c>
      <c r="I10" s="114" t="s">
        <v>85</v>
      </c>
      <c r="J10" s="114"/>
      <c r="K10" s="114"/>
      <c r="L10"/>
      <c r="M10" s="114" t="s">
        <v>884</v>
      </c>
      <c r="N10" s="114" t="s">
        <v>7</v>
      </c>
      <c r="O10" s="114" t="s">
        <v>94</v>
      </c>
      <c r="P10" s="52">
        <v>45189</v>
      </c>
      <c r="Q10" s="52">
        <v>47016</v>
      </c>
      <c r="R10" s="52"/>
      <c r="S10" s="114" t="s">
        <v>764</v>
      </c>
      <c r="T10" s="114" t="s">
        <v>108</v>
      </c>
      <c r="U10" t="s">
        <v>7</v>
      </c>
      <c r="V10">
        <v>10</v>
      </c>
      <c r="W10" t="s">
        <v>85</v>
      </c>
      <c r="X10" t="s">
        <v>85</v>
      </c>
      <c r="Y10" s="114" t="s">
        <v>670</v>
      </c>
    </row>
    <row r="11" spans="1:25" x14ac:dyDescent="0.25">
      <c r="A11" s="114">
        <v>6</v>
      </c>
      <c r="B11" s="52">
        <v>45182</v>
      </c>
      <c r="C11" s="114" t="s">
        <v>658</v>
      </c>
      <c r="D11" s="114" t="s">
        <v>641</v>
      </c>
      <c r="E11"/>
      <c r="F11" s="114" t="s">
        <v>85</v>
      </c>
      <c r="G11" t="s">
        <v>291</v>
      </c>
      <c r="H11" s="114" t="s">
        <v>7</v>
      </c>
      <c r="I11" s="114" t="s">
        <v>85</v>
      </c>
      <c r="J11" s="114"/>
      <c r="K11" s="114"/>
      <c r="L11"/>
      <c r="M11" s="114" t="s">
        <v>884</v>
      </c>
      <c r="N11" s="114" t="s">
        <v>7</v>
      </c>
      <c r="O11" s="114" t="s">
        <v>94</v>
      </c>
      <c r="P11" s="52">
        <v>45189</v>
      </c>
      <c r="Q11" s="52">
        <v>46285</v>
      </c>
      <c r="R11" s="52"/>
      <c r="S11" s="114" t="s">
        <v>765</v>
      </c>
      <c r="T11" s="114" t="s">
        <v>108</v>
      </c>
      <c r="U11">
        <v>100</v>
      </c>
      <c r="V11">
        <v>10</v>
      </c>
      <c r="W11" t="s">
        <v>85</v>
      </c>
      <c r="X11" t="s">
        <v>85</v>
      </c>
      <c r="Y11" s="114" t="s">
        <v>662</v>
      </c>
    </row>
    <row r="12" spans="1:25" x14ac:dyDescent="0.25">
      <c r="A12" s="114">
        <v>7</v>
      </c>
      <c r="B12" s="52">
        <v>45182</v>
      </c>
      <c r="C12" s="114" t="s">
        <v>618</v>
      </c>
      <c r="D12" s="114" t="s">
        <v>498</v>
      </c>
      <c r="E12"/>
      <c r="F12" s="114" t="s">
        <v>377</v>
      </c>
      <c r="G12" t="s">
        <v>766</v>
      </c>
      <c r="H12" s="114" t="s">
        <v>7</v>
      </c>
      <c r="I12" s="114" t="s">
        <v>85</v>
      </c>
      <c r="J12" s="114">
        <v>63</v>
      </c>
      <c r="K12" s="114">
        <v>63</v>
      </c>
      <c r="L12"/>
      <c r="M12" s="114" t="s">
        <v>767</v>
      </c>
      <c r="N12" s="114" t="s">
        <v>7</v>
      </c>
      <c r="O12" s="114" t="s">
        <v>94</v>
      </c>
      <c r="P12" s="52">
        <v>45189</v>
      </c>
      <c r="Q12" s="52">
        <v>46285</v>
      </c>
      <c r="R12" s="52"/>
      <c r="S12" s="114" t="s">
        <v>768</v>
      </c>
      <c r="T12" s="114" t="s">
        <v>87</v>
      </c>
      <c r="U12">
        <v>100</v>
      </c>
      <c r="V12">
        <v>5.5</v>
      </c>
      <c r="W12" t="s">
        <v>377</v>
      </c>
      <c r="X12" t="s">
        <v>85</v>
      </c>
      <c r="Y12" s="114" t="s">
        <v>631</v>
      </c>
    </row>
    <row r="13" spans="1:25" x14ac:dyDescent="0.25">
      <c r="A13" s="114">
        <v>8</v>
      </c>
      <c r="B13" s="52">
        <v>45182</v>
      </c>
      <c r="C13" s="114" t="s">
        <v>673</v>
      </c>
      <c r="D13" s="114" t="s">
        <v>671</v>
      </c>
      <c r="E13"/>
      <c r="F13" s="114" t="s">
        <v>85</v>
      </c>
      <c r="G13" t="s">
        <v>291</v>
      </c>
      <c r="H13" s="114" t="s">
        <v>7</v>
      </c>
      <c r="I13" s="114" t="s">
        <v>85</v>
      </c>
      <c r="J13" s="114"/>
      <c r="K13" s="114"/>
      <c r="L13"/>
      <c r="M13" s="114" t="s">
        <v>885</v>
      </c>
      <c r="N13" s="114" t="s">
        <v>7</v>
      </c>
      <c r="O13" s="114" t="s">
        <v>94</v>
      </c>
      <c r="P13" s="52">
        <v>45189</v>
      </c>
      <c r="Q13" s="52">
        <v>46285</v>
      </c>
      <c r="R13" s="52"/>
      <c r="S13" s="114" t="s">
        <v>769</v>
      </c>
      <c r="T13" s="114" t="s">
        <v>108</v>
      </c>
      <c r="U13">
        <v>100</v>
      </c>
      <c r="V13">
        <v>5.8</v>
      </c>
      <c r="W13" t="s">
        <v>85</v>
      </c>
      <c r="X13" t="s">
        <v>85</v>
      </c>
      <c r="Y13" s="114" t="s">
        <v>684</v>
      </c>
    </row>
    <row r="14" spans="1:25" x14ac:dyDescent="0.25">
      <c r="A14" s="114">
        <v>9</v>
      </c>
      <c r="B14" s="52">
        <v>45181</v>
      </c>
      <c r="C14" s="114" t="s">
        <v>701</v>
      </c>
      <c r="D14" s="114" t="s">
        <v>699</v>
      </c>
      <c r="E14"/>
      <c r="F14" s="114" t="s">
        <v>85</v>
      </c>
      <c r="G14" t="s">
        <v>291</v>
      </c>
      <c r="H14" s="114" t="s">
        <v>7</v>
      </c>
      <c r="I14" s="114" t="s">
        <v>770</v>
      </c>
      <c r="J14" s="114"/>
      <c r="K14" s="114"/>
      <c r="L14"/>
      <c r="M14" s="114" t="s">
        <v>886</v>
      </c>
      <c r="N14" s="114" t="s">
        <v>771</v>
      </c>
      <c r="O14" s="114" t="s">
        <v>94</v>
      </c>
      <c r="P14" s="52">
        <v>45184</v>
      </c>
      <c r="Q14" s="52">
        <v>46280</v>
      </c>
      <c r="R14" s="52"/>
      <c r="S14" s="114" t="s">
        <v>772</v>
      </c>
      <c r="T14" s="114" t="s">
        <v>108</v>
      </c>
      <c r="U14">
        <v>100</v>
      </c>
      <c r="V14">
        <v>2.15</v>
      </c>
      <c r="W14" t="s">
        <v>85</v>
      </c>
      <c r="X14" t="s">
        <v>770</v>
      </c>
      <c r="Y14" s="114" t="s">
        <v>711</v>
      </c>
    </row>
    <row r="15" spans="1:25" x14ac:dyDescent="0.25">
      <c r="A15" s="114">
        <v>10</v>
      </c>
      <c r="B15" s="52">
        <v>45180</v>
      </c>
      <c r="C15" s="114" t="s">
        <v>773</v>
      </c>
      <c r="D15" s="114" t="s">
        <v>774</v>
      </c>
      <c r="E15"/>
      <c r="F15" s="114" t="s">
        <v>85</v>
      </c>
      <c r="G15" t="s">
        <v>290</v>
      </c>
      <c r="H15" s="114" t="s">
        <v>290</v>
      </c>
      <c r="I15" s="114" t="s">
        <v>775</v>
      </c>
      <c r="J15" s="114"/>
      <c r="K15" s="114"/>
      <c r="L15"/>
      <c r="M15" s="114" t="s">
        <v>887</v>
      </c>
      <c r="N15" s="114" t="s">
        <v>7</v>
      </c>
      <c r="O15" s="114" t="s">
        <v>94</v>
      </c>
      <c r="P15" s="52">
        <v>45188</v>
      </c>
      <c r="Q15" s="52">
        <v>45919</v>
      </c>
      <c r="R15" s="52"/>
      <c r="S15" s="114" t="s">
        <v>776</v>
      </c>
      <c r="T15" s="114" t="s">
        <v>111</v>
      </c>
      <c r="U15" t="s">
        <v>7</v>
      </c>
      <c r="V15">
        <v>1.5</v>
      </c>
      <c r="W15" t="s">
        <v>85</v>
      </c>
      <c r="X15" t="s">
        <v>777</v>
      </c>
      <c r="Y15" s="114" t="s">
        <v>778</v>
      </c>
    </row>
    <row r="16" spans="1:25" x14ac:dyDescent="0.25">
      <c r="A16" s="114">
        <v>11</v>
      </c>
      <c r="B16" s="52">
        <v>45180</v>
      </c>
      <c r="C16" s="114" t="s">
        <v>779</v>
      </c>
      <c r="D16" s="114" t="s">
        <v>780</v>
      </c>
      <c r="E16" t="s">
        <v>781</v>
      </c>
      <c r="F16" s="114" t="s">
        <v>85</v>
      </c>
      <c r="G16" t="s">
        <v>290</v>
      </c>
      <c r="H16" s="114" t="s">
        <v>290</v>
      </c>
      <c r="I16" s="114" t="s">
        <v>85</v>
      </c>
      <c r="J16" s="114"/>
      <c r="K16" s="114"/>
      <c r="L16"/>
      <c r="M16" s="114" t="s">
        <v>888</v>
      </c>
      <c r="N16" s="114" t="s">
        <v>782</v>
      </c>
      <c r="O16" s="114" t="s">
        <v>94</v>
      </c>
      <c r="P16" s="52">
        <v>45181</v>
      </c>
      <c r="Q16" s="52">
        <v>45912</v>
      </c>
      <c r="R16" s="52">
        <v>45215</v>
      </c>
      <c r="S16" s="114" t="s">
        <v>783</v>
      </c>
      <c r="T16" s="114" t="s">
        <v>87</v>
      </c>
      <c r="U16">
        <v>100</v>
      </c>
      <c r="V16">
        <v>1.0349999999999999</v>
      </c>
      <c r="W16" t="s">
        <v>85</v>
      </c>
      <c r="X16" t="s">
        <v>85</v>
      </c>
      <c r="Y16" s="114" t="s">
        <v>784</v>
      </c>
    </row>
    <row r="17" spans="1:25" x14ac:dyDescent="0.25">
      <c r="A17" s="114">
        <v>12</v>
      </c>
      <c r="B17" s="52">
        <v>45180</v>
      </c>
      <c r="C17" s="114" t="s">
        <v>785</v>
      </c>
      <c r="D17" s="114" t="s">
        <v>786</v>
      </c>
      <c r="E17" t="s">
        <v>787</v>
      </c>
      <c r="F17" s="114" t="s">
        <v>788</v>
      </c>
      <c r="G17" t="s">
        <v>298</v>
      </c>
      <c r="H17" s="114" t="s">
        <v>7</v>
      </c>
      <c r="I17" s="114" t="s">
        <v>788</v>
      </c>
      <c r="J17" s="114"/>
      <c r="K17" s="114"/>
      <c r="L17"/>
      <c r="M17" s="114" t="s">
        <v>789</v>
      </c>
      <c r="N17" s="114" t="s">
        <v>790</v>
      </c>
      <c r="O17" s="114" t="s">
        <v>94</v>
      </c>
      <c r="P17" s="52">
        <v>45187</v>
      </c>
      <c r="Q17" s="52">
        <v>46283</v>
      </c>
      <c r="R17" s="52"/>
      <c r="S17" s="114" t="s">
        <v>791</v>
      </c>
      <c r="T17" s="114" t="s">
        <v>108</v>
      </c>
      <c r="U17">
        <v>100</v>
      </c>
      <c r="V17">
        <v>10</v>
      </c>
      <c r="W17" t="s">
        <v>788</v>
      </c>
      <c r="X17" t="s">
        <v>788</v>
      </c>
      <c r="Y17" s="114" t="s">
        <v>792</v>
      </c>
    </row>
    <row r="18" spans="1:25" x14ac:dyDescent="0.25">
      <c r="A18" s="114">
        <v>13</v>
      </c>
      <c r="B18" s="52">
        <v>45180</v>
      </c>
      <c r="C18" s="114" t="s">
        <v>722</v>
      </c>
      <c r="D18" s="114" t="s">
        <v>428</v>
      </c>
      <c r="E18"/>
      <c r="F18" s="114" t="s">
        <v>793</v>
      </c>
      <c r="G18" t="s">
        <v>291</v>
      </c>
      <c r="H18" s="114" t="s">
        <v>7</v>
      </c>
      <c r="I18" s="114" t="s">
        <v>85</v>
      </c>
      <c r="J18" s="114">
        <v>60</v>
      </c>
      <c r="K18" s="114">
        <v>60</v>
      </c>
      <c r="L18"/>
      <c r="M18" s="114" t="s">
        <v>889</v>
      </c>
      <c r="N18" s="114" t="s">
        <v>7</v>
      </c>
      <c r="O18" s="114" t="s">
        <v>94</v>
      </c>
      <c r="P18" s="52">
        <v>45187</v>
      </c>
      <c r="Q18" s="52">
        <v>46283</v>
      </c>
      <c r="R18" s="52"/>
      <c r="S18" s="114" t="s">
        <v>794</v>
      </c>
      <c r="T18" s="114" t="s">
        <v>87</v>
      </c>
      <c r="U18">
        <v>100</v>
      </c>
      <c r="V18">
        <v>5</v>
      </c>
      <c r="W18" t="s">
        <v>793</v>
      </c>
      <c r="X18" t="s">
        <v>85</v>
      </c>
      <c r="Y18" s="114" t="s">
        <v>729</v>
      </c>
    </row>
    <row r="19" spans="1:25" x14ac:dyDescent="0.25">
      <c r="A19" s="114">
        <v>14</v>
      </c>
      <c r="B19" s="52">
        <v>45180</v>
      </c>
      <c r="C19" s="114" t="s">
        <v>713</v>
      </c>
      <c r="D19" s="114" t="s">
        <v>428</v>
      </c>
      <c r="E19"/>
      <c r="F19" s="114" t="s">
        <v>795</v>
      </c>
      <c r="G19" t="s">
        <v>291</v>
      </c>
      <c r="H19" s="114" t="s">
        <v>7</v>
      </c>
      <c r="I19" s="114" t="s">
        <v>85</v>
      </c>
      <c r="J19" s="114"/>
      <c r="K19" s="114"/>
      <c r="L19"/>
      <c r="M19" s="114" t="s">
        <v>890</v>
      </c>
      <c r="N19" s="114" t="s">
        <v>7</v>
      </c>
      <c r="O19" s="114" t="s">
        <v>94</v>
      </c>
      <c r="P19" s="52">
        <v>45187</v>
      </c>
      <c r="Q19" s="52">
        <v>46283</v>
      </c>
      <c r="R19" s="52"/>
      <c r="S19" s="114" t="s">
        <v>796</v>
      </c>
      <c r="T19" s="114" t="s">
        <v>108</v>
      </c>
      <c r="U19">
        <v>100</v>
      </c>
      <c r="V19">
        <v>20</v>
      </c>
      <c r="W19" t="s">
        <v>793</v>
      </c>
      <c r="X19" t="s">
        <v>85</v>
      </c>
      <c r="Y19" s="114" t="s">
        <v>720</v>
      </c>
    </row>
    <row r="20" spans="1:25" x14ac:dyDescent="0.25">
      <c r="A20" s="114">
        <v>15</v>
      </c>
      <c r="B20" s="52">
        <v>45180</v>
      </c>
      <c r="C20" s="114" t="s">
        <v>732</v>
      </c>
      <c r="D20" s="114" t="s">
        <v>730</v>
      </c>
      <c r="E20"/>
      <c r="F20" s="114" t="s">
        <v>85</v>
      </c>
      <c r="G20" t="s">
        <v>291</v>
      </c>
      <c r="H20" s="114" t="s">
        <v>7</v>
      </c>
      <c r="I20" s="114" t="s">
        <v>797</v>
      </c>
      <c r="J20" s="114"/>
      <c r="K20" s="114"/>
      <c r="L20"/>
      <c r="M20" s="114" t="s">
        <v>891</v>
      </c>
      <c r="N20" s="114" t="s">
        <v>798</v>
      </c>
      <c r="O20" s="114" t="s">
        <v>94</v>
      </c>
      <c r="P20" s="52">
        <v>45183</v>
      </c>
      <c r="Q20" s="52">
        <v>45547</v>
      </c>
      <c r="R20" s="52"/>
      <c r="S20" s="114" t="s">
        <v>799</v>
      </c>
      <c r="T20" s="114" t="s">
        <v>87</v>
      </c>
      <c r="U20">
        <v>100</v>
      </c>
      <c r="V20">
        <v>1.4</v>
      </c>
      <c r="W20" t="s">
        <v>85</v>
      </c>
      <c r="X20" t="s">
        <v>800</v>
      </c>
      <c r="Y20" s="114" t="s">
        <v>750</v>
      </c>
    </row>
    <row r="21" spans="1:25" x14ac:dyDescent="0.25">
      <c r="A21" s="114">
        <v>16</v>
      </c>
      <c r="B21" s="52">
        <v>45182</v>
      </c>
      <c r="C21" s="114" t="s">
        <v>801</v>
      </c>
      <c r="D21" s="114" t="s">
        <v>579</v>
      </c>
      <c r="E21"/>
      <c r="F21" s="114" t="s">
        <v>85</v>
      </c>
      <c r="G21" t="s">
        <v>291</v>
      </c>
      <c r="H21" s="114" t="s">
        <v>7</v>
      </c>
      <c r="I21" s="114" t="s">
        <v>85</v>
      </c>
      <c r="J21" s="114"/>
      <c r="K21" s="114"/>
      <c r="L21"/>
      <c r="M21" s="114" t="s">
        <v>880</v>
      </c>
      <c r="N21" s="114" t="s">
        <v>7</v>
      </c>
      <c r="O21" s="114" t="s">
        <v>94</v>
      </c>
      <c r="P21" s="52">
        <v>45189</v>
      </c>
      <c r="Q21" s="52">
        <v>45280</v>
      </c>
      <c r="R21" s="52"/>
      <c r="S21" s="114" t="s">
        <v>163</v>
      </c>
      <c r="T21" s="114" t="s">
        <v>108</v>
      </c>
      <c r="U21">
        <v>100</v>
      </c>
      <c r="V21">
        <v>1.65</v>
      </c>
      <c r="W21" t="s">
        <v>85</v>
      </c>
      <c r="X21" t="s">
        <v>85</v>
      </c>
      <c r="Y21" s="114" t="s">
        <v>803</v>
      </c>
    </row>
    <row r="22" spans="1:25" x14ac:dyDescent="0.25">
      <c r="A22" s="114">
        <v>17</v>
      </c>
      <c r="B22" s="52">
        <v>45181</v>
      </c>
      <c r="C22" s="114" t="s">
        <v>804</v>
      </c>
      <c r="D22" s="114" t="s">
        <v>881</v>
      </c>
      <c r="E22"/>
      <c r="F22" s="114" t="s">
        <v>85</v>
      </c>
      <c r="G22" t="s">
        <v>290</v>
      </c>
      <c r="H22" s="114" t="s">
        <v>7</v>
      </c>
      <c r="I22" s="114" t="s">
        <v>85</v>
      </c>
      <c r="J22" s="114"/>
      <c r="K22" s="114"/>
      <c r="L22"/>
      <c r="M22" s="114" t="s">
        <v>882</v>
      </c>
      <c r="N22" s="114" t="s">
        <v>7</v>
      </c>
      <c r="O22" s="114" t="s">
        <v>806</v>
      </c>
      <c r="P22" s="52">
        <v>45188</v>
      </c>
      <c r="Q22" s="52">
        <v>45548</v>
      </c>
      <c r="R22" s="52"/>
      <c r="S22" s="114" t="s">
        <v>807</v>
      </c>
      <c r="T22" s="114" t="s">
        <v>108</v>
      </c>
      <c r="U22">
        <v>100</v>
      </c>
      <c r="V22">
        <v>2</v>
      </c>
      <c r="W22" t="s">
        <v>85</v>
      </c>
      <c r="X22" t="s">
        <v>85</v>
      </c>
      <c r="Y22" s="114" t="s">
        <v>808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5546875" style="1" bestFit="1" customWidth="1"/>
    <col min="2" max="2" width="6" style="1" bestFit="1" customWidth="1"/>
    <col min="3" max="3" width="19.44140625" style="1" bestFit="1" customWidth="1"/>
    <col min="4" max="6" width="9.21875" style="1" bestFit="1" customWidth="1"/>
    <col min="7" max="7" width="11.44140625" style="1" bestFit="1" customWidth="1"/>
    <col min="8" max="8" width="10.88671875" style="1" bestFit="1" customWidth="1"/>
    <col min="9" max="16384" width="8.88671875" style="1"/>
  </cols>
  <sheetData>
    <row r="1" spans="1:8" ht="67.5" customHeight="1" x14ac:dyDescent="0.25">
      <c r="A1" s="55" t="s">
        <v>285</v>
      </c>
    </row>
    <row r="5" spans="1:8" x14ac:dyDescent="0.25">
      <c r="A5" t="s">
        <v>201</v>
      </c>
      <c r="B5" t="s">
        <v>49</v>
      </c>
      <c r="C5" t="s">
        <v>282</v>
      </c>
      <c r="D5" t="s">
        <v>222</v>
      </c>
      <c r="E5" t="s">
        <v>283</v>
      </c>
      <c r="F5" t="s">
        <v>184</v>
      </c>
      <c r="G5" t="s">
        <v>185</v>
      </c>
      <c r="H5" t="s">
        <v>284</v>
      </c>
    </row>
    <row r="6" spans="1:8" x14ac:dyDescent="0.25">
      <c r="A6"/>
      <c r="B6" s="114"/>
      <c r="C6" s="114"/>
      <c r="D6"/>
      <c r="E6" s="114"/>
      <c r="F6" s="114"/>
      <c r="G6" s="114"/>
      <c r="H6"/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5546875" style="1" bestFit="1" customWidth="1"/>
    <col min="6" max="6" width="10.88671875" style="1" bestFit="1" customWidth="1"/>
    <col min="7" max="8" width="9.21875" style="1" bestFit="1" customWidth="1"/>
    <col min="9" max="9" width="7.6640625" style="1" bestFit="1" customWidth="1"/>
    <col min="10" max="10" width="27.109375" style="1" bestFit="1" customWidth="1"/>
    <col min="11" max="11" width="9.44140625" style="1" bestFit="1" customWidth="1"/>
    <col min="12" max="12" width="10" style="1" bestFit="1" customWidth="1"/>
    <col min="13" max="13" width="20.109375" style="1" bestFit="1" customWidth="1"/>
    <col min="14" max="14" width="9.21875" style="1" bestFit="1" customWidth="1"/>
    <col min="15" max="15" width="20.109375" style="1" bestFit="1" customWidth="1"/>
    <col min="16" max="16384" width="8.88671875" style="1"/>
  </cols>
  <sheetData>
    <row r="1" spans="1:13" ht="67.5" customHeight="1" x14ac:dyDescent="0.25">
      <c r="A1" s="7" t="s">
        <v>281</v>
      </c>
    </row>
    <row r="5" spans="1:13" x14ac:dyDescent="0.25">
      <c r="A5" t="s">
        <v>96</v>
      </c>
      <c r="B5" t="s">
        <v>50</v>
      </c>
      <c r="C5" t="s">
        <v>277</v>
      </c>
      <c r="D5" t="s">
        <v>49</v>
      </c>
      <c r="E5" t="s">
        <v>60</v>
      </c>
      <c r="F5" t="s">
        <v>278</v>
      </c>
      <c r="G5" t="s">
        <v>62</v>
      </c>
      <c r="H5" t="s">
        <v>279</v>
      </c>
      <c r="I5" t="s">
        <v>44</v>
      </c>
      <c r="J5" t="s">
        <v>280</v>
      </c>
      <c r="K5" t="s">
        <v>224</v>
      </c>
      <c r="L5" t="s">
        <v>225</v>
      </c>
      <c r="M5" t="s">
        <v>150</v>
      </c>
    </row>
    <row r="6" spans="1:13" x14ac:dyDescent="0.25">
      <c r="A6" s="114" t="s">
        <v>338</v>
      </c>
      <c r="B6" s="52">
        <v>45153</v>
      </c>
      <c r="C6" s="114" t="s">
        <v>339</v>
      </c>
      <c r="D6" s="114" t="s">
        <v>340</v>
      </c>
      <c r="E6" s="114" t="s">
        <v>341</v>
      </c>
      <c r="F6" s="114" t="s">
        <v>342</v>
      </c>
      <c r="G6" s="114"/>
      <c r="H6" s="114"/>
      <c r="I6" s="114" t="s">
        <v>343</v>
      </c>
      <c r="J6" s="114"/>
      <c r="K6" s="114" t="s">
        <v>94</v>
      </c>
      <c r="L6" s="114" t="s">
        <v>94</v>
      </c>
      <c r="M6" s="114" t="s">
        <v>344</v>
      </c>
    </row>
    <row r="7" spans="1:13" x14ac:dyDescent="0.25">
      <c r="A7" s="114" t="s">
        <v>345</v>
      </c>
      <c r="B7" s="52">
        <v>45154</v>
      </c>
      <c r="C7" s="114" t="s">
        <v>346</v>
      </c>
      <c r="D7" s="114" t="s">
        <v>347</v>
      </c>
      <c r="E7" s="114" t="s">
        <v>341</v>
      </c>
      <c r="F7" s="114" t="s">
        <v>342</v>
      </c>
      <c r="G7" s="114"/>
      <c r="H7" s="114"/>
      <c r="I7" s="114" t="s">
        <v>1</v>
      </c>
      <c r="J7" s="114"/>
      <c r="K7" s="114" t="s">
        <v>94</v>
      </c>
      <c r="L7" s="114" t="s">
        <v>94</v>
      </c>
      <c r="M7" s="114" t="s">
        <v>348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J17"/>
  <sheetViews>
    <sheetView topLeftCell="AJ1" workbookViewId="0">
      <selection activeCell="A4" sqref="A4"/>
    </sheetView>
  </sheetViews>
  <sheetFormatPr defaultRowHeight="15" x14ac:dyDescent="0.25"/>
  <cols>
    <col min="1" max="1" width="7.109375" style="1" bestFit="1" customWidth="1"/>
    <col min="2" max="2" width="24.109375" style="1" bestFit="1" customWidth="1"/>
    <col min="3" max="3" width="13.33203125" style="1" bestFit="1" customWidth="1"/>
    <col min="4" max="4" width="9.33203125" style="1" bestFit="1" customWidth="1"/>
    <col min="5" max="6" width="9.21875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8.5546875" style="1" bestFit="1" customWidth="1"/>
    <col min="12" max="12" width="10.44140625" style="1" bestFit="1" customWidth="1"/>
    <col min="13" max="14" width="8.5546875" style="1" bestFit="1" customWidth="1"/>
    <col min="15" max="16" width="9.21875" style="1" bestFit="1" customWidth="1"/>
    <col min="17" max="17" width="7.5546875" style="1" bestFit="1" customWidth="1"/>
    <col min="18" max="18" width="8.88671875" style="1" bestFit="1" customWidth="1"/>
    <col min="19" max="19" width="15.109375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10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8.33203125" style="1" bestFit="1" customWidth="1"/>
    <col min="31" max="31" width="10.88671875" style="1" bestFit="1" customWidth="1"/>
    <col min="32" max="32" width="14.21875" style="1" bestFit="1" customWidth="1"/>
    <col min="33" max="33" width="9.33203125" style="1" bestFit="1" customWidth="1"/>
    <col min="34" max="34" width="37.77734375" style="1" bestFit="1" customWidth="1"/>
    <col min="35" max="35" width="24.109375" style="1" bestFit="1" customWidth="1"/>
    <col min="36" max="36" width="31.44140625" style="1" bestFit="1" customWidth="1"/>
    <col min="37" max="37" width="7.6640625" style="1" bestFit="1" customWidth="1"/>
    <col min="38" max="38" width="5.6640625" style="1" bestFit="1" customWidth="1"/>
    <col min="39" max="39" width="11.109375" style="1" bestFit="1" customWidth="1"/>
    <col min="40" max="40" width="5.88671875" style="1" bestFit="1" customWidth="1"/>
    <col min="41" max="41" width="9.21875" style="1" bestFit="1" customWidth="1"/>
    <col min="42" max="42" width="10" style="1" bestFit="1" customWidth="1"/>
    <col min="43" max="43" width="12.44140625" style="1" bestFit="1" customWidth="1"/>
    <col min="44" max="44" width="6.5546875" style="1" bestFit="1" customWidth="1"/>
    <col min="45" max="45" width="77.21875" style="1" bestFit="1" customWidth="1"/>
    <col min="46" max="46" width="9.21875" style="1" bestFit="1" customWidth="1"/>
    <col min="47" max="47" width="9.33203125" style="1" bestFit="1" customWidth="1"/>
    <col min="48" max="48" width="11.5546875" style="1" bestFit="1" customWidth="1"/>
    <col min="49" max="49" width="19.44140625" style="1" customWidth="1"/>
    <col min="50" max="50" width="20.109375" style="1" customWidth="1"/>
    <col min="51" max="51" width="11.5546875" style="1" bestFit="1" customWidth="1"/>
    <col min="52" max="53" width="17.33203125" style="1" bestFit="1" customWidth="1"/>
    <col min="54" max="54" width="9.21875" style="1" bestFit="1" customWidth="1"/>
    <col min="55" max="55" width="15.21875" style="1" bestFit="1" customWidth="1"/>
    <col min="56" max="56" width="13.44140625" style="1" bestFit="1" customWidth="1"/>
    <col min="57" max="57" width="11.109375" style="1" bestFit="1" customWidth="1"/>
    <col min="58" max="59" width="10.88671875" style="1" bestFit="1" customWidth="1"/>
    <col min="60" max="60" width="9.21875" style="1" bestFit="1" customWidth="1"/>
    <col min="61" max="61" width="8.77734375" style="1" bestFit="1" customWidth="1"/>
    <col min="62" max="62" width="9.21875" style="1" bestFit="1" customWidth="1"/>
    <col min="63" max="63" width="14.6640625" style="1" bestFit="1" customWidth="1"/>
    <col min="64" max="64" width="9.21875" style="1" bestFit="1" customWidth="1"/>
    <col min="65" max="65" width="8.5546875" style="1" bestFit="1" customWidth="1"/>
    <col min="66" max="66" width="9.33203125" style="1" bestFit="1" customWidth="1"/>
    <col min="67" max="67" width="9.21875" style="1" bestFit="1" customWidth="1"/>
    <col min="68" max="68" width="10.109375" style="1" bestFit="1" customWidth="1"/>
    <col min="69" max="69" width="10.33203125" style="1" bestFit="1" customWidth="1"/>
    <col min="70" max="70" width="15.109375" style="1" bestFit="1" customWidth="1"/>
    <col min="71" max="71" width="10.33203125" style="1" bestFit="1" customWidth="1"/>
    <col min="72" max="72" width="5.88671875" style="1" bestFit="1" customWidth="1"/>
    <col min="73" max="73" width="9.21875" style="1" bestFit="1" customWidth="1"/>
    <col min="74" max="74" width="10.33203125" style="1" bestFit="1" customWidth="1"/>
    <col min="75" max="75" width="14.44140625" style="1" bestFit="1" customWidth="1"/>
    <col min="76" max="76" width="16.109375" style="1" bestFit="1" customWidth="1"/>
    <col min="77" max="77" width="20.6640625" style="1" bestFit="1" customWidth="1"/>
    <col min="78" max="78" width="18.88671875" style="1" bestFit="1" customWidth="1"/>
    <col min="79" max="79" width="27.109375" style="1" bestFit="1" customWidth="1"/>
    <col min="80" max="16384" width="8.88671875" style="1"/>
  </cols>
  <sheetData>
    <row r="1" spans="1:62" ht="39.75" customHeight="1" x14ac:dyDescent="0.25"/>
    <row r="2" spans="1:62" ht="39.75" customHeight="1" x14ac:dyDescent="0.25"/>
    <row r="3" spans="1:62" ht="39.75" customHeight="1" x14ac:dyDescent="0.25"/>
    <row r="4" spans="1:62" x14ac:dyDescent="0.25">
      <c r="A4" t="s">
        <v>88</v>
      </c>
      <c r="B4" t="s">
        <v>96</v>
      </c>
      <c r="C4" t="s">
        <v>49</v>
      </c>
      <c r="D4" t="s">
        <v>50</v>
      </c>
      <c r="E4" t="s">
        <v>145</v>
      </c>
      <c r="F4" t="s">
        <v>190</v>
      </c>
      <c r="G4" t="s">
        <v>52</v>
      </c>
      <c r="H4" t="s">
        <v>65</v>
      </c>
      <c r="I4" t="s">
        <v>58</v>
      </c>
      <c r="J4" t="s">
        <v>89</v>
      </c>
      <c r="K4" t="s">
        <v>122</v>
      </c>
      <c r="L4" t="s">
        <v>90</v>
      </c>
      <c r="M4" t="s">
        <v>54</v>
      </c>
      <c r="N4" t="s">
        <v>164</v>
      </c>
      <c r="O4" t="s">
        <v>179</v>
      </c>
      <c r="P4" t="s">
        <v>181</v>
      </c>
      <c r="Q4" t="s">
        <v>60</v>
      </c>
      <c r="R4" t="s">
        <v>92</v>
      </c>
      <c r="S4" t="s">
        <v>93</v>
      </c>
      <c r="T4" t="s">
        <v>199</v>
      </c>
      <c r="U4" t="s">
        <v>200</v>
      </c>
      <c r="V4" t="s">
        <v>151</v>
      </c>
      <c r="W4" t="s">
        <v>82</v>
      </c>
      <c r="X4" t="s">
        <v>68</v>
      </c>
      <c r="Y4" t="s">
        <v>71</v>
      </c>
      <c r="Z4" t="s">
        <v>53</v>
      </c>
      <c r="AA4" t="s">
        <v>186</v>
      </c>
      <c r="AB4" t="s">
        <v>187</v>
      </c>
      <c r="AC4" t="s">
        <v>229</v>
      </c>
      <c r="AD4" t="s">
        <v>67</v>
      </c>
      <c r="AE4" t="s">
        <v>254</v>
      </c>
      <c r="AF4" t="s">
        <v>328</v>
      </c>
      <c r="AG4" t="s">
        <v>226</v>
      </c>
      <c r="AH4" t="s">
        <v>72</v>
      </c>
      <c r="AI4" t="s">
        <v>73</v>
      </c>
      <c r="AJ4" t="s">
        <v>83</v>
      </c>
      <c r="AK4" t="s">
        <v>42</v>
      </c>
      <c r="AL4" t="s">
        <v>149</v>
      </c>
      <c r="AM4" t="s">
        <v>165</v>
      </c>
      <c r="AN4" t="s">
        <v>235</v>
      </c>
      <c r="AO4" t="s">
        <v>228</v>
      </c>
      <c r="AP4" t="s">
        <v>236</v>
      </c>
      <c r="AQ4" t="s">
        <v>237</v>
      </c>
      <c r="AR4" t="s">
        <v>403</v>
      </c>
      <c r="AS4" t="s">
        <v>243</v>
      </c>
      <c r="AT4" t="s">
        <v>216</v>
      </c>
      <c r="AU4" t="s">
        <v>182</v>
      </c>
      <c r="AV4" t="s">
        <v>238</v>
      </c>
      <c r="AW4" t="s">
        <v>150</v>
      </c>
    </row>
    <row r="5" spans="1:62" x14ac:dyDescent="0.25">
      <c r="A5" s="114">
        <v>13</v>
      </c>
      <c r="B5" s="114" t="s">
        <v>426</v>
      </c>
      <c r="C5" s="114" t="s">
        <v>604</v>
      </c>
      <c r="D5" s="52">
        <v>45183</v>
      </c>
      <c r="E5" s="114" t="s">
        <v>85</v>
      </c>
      <c r="F5" s="114" t="s">
        <v>85</v>
      </c>
      <c r="G5" s="114" t="s">
        <v>598</v>
      </c>
      <c r="H5" s="114" t="s">
        <v>108</v>
      </c>
      <c r="I5" s="114">
        <v>2.6</v>
      </c>
      <c r="J5" s="114" t="s">
        <v>163</v>
      </c>
      <c r="K5" s="114" t="s">
        <v>335</v>
      </c>
      <c r="L5" s="114" t="s">
        <v>7</v>
      </c>
      <c r="M5" s="114" t="s">
        <v>335</v>
      </c>
      <c r="N5" s="114" t="s">
        <v>7</v>
      </c>
      <c r="O5" s="114"/>
      <c r="P5" s="114" t="s">
        <v>117</v>
      </c>
      <c r="Q5" s="114">
        <v>100</v>
      </c>
      <c r="R5" s="114" t="s">
        <v>115</v>
      </c>
      <c r="S5" s="114" t="s">
        <v>297</v>
      </c>
      <c r="T5" s="114" t="s">
        <v>7</v>
      </c>
      <c r="U5" s="114" t="s">
        <v>7</v>
      </c>
      <c r="V5" s="114" t="s">
        <v>94</v>
      </c>
      <c r="W5" s="114" t="s">
        <v>141</v>
      </c>
      <c r="X5" s="52">
        <v>45191</v>
      </c>
      <c r="Y5" s="52">
        <v>45373</v>
      </c>
      <c r="Z5" s="52">
        <v>46287</v>
      </c>
      <c r="AA5" s="114">
        <v>0.35599999999999998</v>
      </c>
      <c r="AB5" s="114">
        <v>2.6</v>
      </c>
      <c r="AC5" s="114">
        <v>2.7919999999999998</v>
      </c>
      <c r="AD5" s="114" t="s">
        <v>612</v>
      </c>
      <c r="AE5" s="114" t="s">
        <v>290</v>
      </c>
      <c r="AF5" s="114" t="s">
        <v>7</v>
      </c>
      <c r="AG5" t="s">
        <v>94</v>
      </c>
      <c r="AH5" s="114" t="s">
        <v>613</v>
      </c>
      <c r="AI5" s="114" t="s">
        <v>426</v>
      </c>
      <c r="AJ5" s="114" t="s">
        <v>94</v>
      </c>
      <c r="AK5" s="114" t="s">
        <v>334</v>
      </c>
      <c r="AL5" s="114" t="s">
        <v>7</v>
      </c>
      <c r="AM5" s="114" t="s">
        <v>7</v>
      </c>
      <c r="AN5"/>
      <c r="AO5" s="114" t="s">
        <v>94</v>
      </c>
      <c r="AP5"/>
      <c r="AQ5"/>
      <c r="AR5" s="114" t="s">
        <v>7</v>
      </c>
      <c r="AS5" s="114" t="s">
        <v>611</v>
      </c>
      <c r="AT5" t="s">
        <v>433</v>
      </c>
      <c r="AU5"/>
      <c r="AV5"/>
      <c r="AW5" s="114" t="s">
        <v>616</v>
      </c>
      <c r="BJ5" s="20"/>
    </row>
    <row r="6" spans="1:62" x14ac:dyDescent="0.25">
      <c r="A6" s="114">
        <v>12</v>
      </c>
      <c r="B6" s="114" t="s">
        <v>685</v>
      </c>
      <c r="C6" s="114" t="s">
        <v>687</v>
      </c>
      <c r="D6" s="52">
        <v>45182</v>
      </c>
      <c r="E6" s="114" t="s">
        <v>85</v>
      </c>
      <c r="F6" s="114" t="s">
        <v>85</v>
      </c>
      <c r="G6" s="114" t="s">
        <v>7</v>
      </c>
      <c r="H6" s="114" t="s">
        <v>330</v>
      </c>
      <c r="I6" s="114">
        <v>76</v>
      </c>
      <c r="J6" s="114" t="s">
        <v>163</v>
      </c>
      <c r="K6" s="114" t="s">
        <v>375</v>
      </c>
      <c r="L6" s="114" t="s">
        <v>863</v>
      </c>
      <c r="M6" s="114" t="s">
        <v>7</v>
      </c>
      <c r="N6" s="114" t="s">
        <v>7</v>
      </c>
      <c r="O6" s="114"/>
      <c r="P6" s="114" t="s">
        <v>117</v>
      </c>
      <c r="Q6" s="114">
        <v>100</v>
      </c>
      <c r="R6" s="114" t="s">
        <v>115</v>
      </c>
      <c r="S6" s="114" t="s">
        <v>112</v>
      </c>
      <c r="T6" s="114" t="s">
        <v>7</v>
      </c>
      <c r="U6" s="114" t="s">
        <v>7</v>
      </c>
      <c r="V6" s="114" t="s">
        <v>94</v>
      </c>
      <c r="W6" s="114" t="s">
        <v>141</v>
      </c>
      <c r="X6" s="52">
        <v>45188</v>
      </c>
      <c r="Y6" s="52">
        <v>45370</v>
      </c>
      <c r="Z6" s="52">
        <v>46284</v>
      </c>
      <c r="AA6" s="114">
        <v>0.53200000000000003</v>
      </c>
      <c r="AB6" s="114">
        <v>3.7240000000000002</v>
      </c>
      <c r="AC6" s="114">
        <v>4.0279999999999996</v>
      </c>
      <c r="AD6" s="114" t="s">
        <v>694</v>
      </c>
      <c r="AE6" s="114" t="s">
        <v>298</v>
      </c>
      <c r="AF6" s="114" t="s">
        <v>7</v>
      </c>
      <c r="AG6" t="s">
        <v>94</v>
      </c>
      <c r="AH6" s="114" t="s">
        <v>695</v>
      </c>
      <c r="AI6" s="114" t="s">
        <v>685</v>
      </c>
      <c r="AJ6" s="114" t="s">
        <v>94</v>
      </c>
      <c r="AK6" s="114" t="s">
        <v>427</v>
      </c>
      <c r="AL6" s="114" t="s">
        <v>7</v>
      </c>
      <c r="AM6" s="114" t="s">
        <v>7</v>
      </c>
      <c r="AN6"/>
      <c r="AO6" s="114" t="s">
        <v>94</v>
      </c>
      <c r="AP6"/>
      <c r="AQ6"/>
      <c r="AR6" s="114" t="s">
        <v>7</v>
      </c>
      <c r="AS6" s="114" t="s">
        <v>693</v>
      </c>
      <c r="AT6" t="s">
        <v>433</v>
      </c>
      <c r="AU6"/>
      <c r="AV6"/>
      <c r="AW6" s="114" t="s">
        <v>698</v>
      </c>
      <c r="BJ6" s="20"/>
    </row>
    <row r="7" spans="1:62" x14ac:dyDescent="0.25">
      <c r="A7" s="114">
        <v>11</v>
      </c>
      <c r="B7" s="114" t="s">
        <v>671</v>
      </c>
      <c r="C7" s="114" t="s">
        <v>673</v>
      </c>
      <c r="D7" s="52">
        <v>45182</v>
      </c>
      <c r="E7" s="114" t="s">
        <v>85</v>
      </c>
      <c r="F7" s="114" t="s">
        <v>85</v>
      </c>
      <c r="G7" s="114" t="s">
        <v>598</v>
      </c>
      <c r="H7" s="114" t="s">
        <v>108</v>
      </c>
      <c r="I7" s="114">
        <v>5.8</v>
      </c>
      <c r="J7" s="114" t="s">
        <v>163</v>
      </c>
      <c r="K7" s="114" t="s">
        <v>676</v>
      </c>
      <c r="L7" s="114" t="s">
        <v>857</v>
      </c>
      <c r="M7" s="114" t="s">
        <v>676</v>
      </c>
      <c r="N7" s="114" t="s">
        <v>7</v>
      </c>
      <c r="O7" s="114"/>
      <c r="P7" s="114" t="s">
        <v>117</v>
      </c>
      <c r="Q7" s="114">
        <v>100</v>
      </c>
      <c r="R7" s="114" t="s">
        <v>114</v>
      </c>
      <c r="S7" s="114" t="s">
        <v>333</v>
      </c>
      <c r="T7" s="114" t="s">
        <v>7</v>
      </c>
      <c r="U7" s="114" t="s">
        <v>7</v>
      </c>
      <c r="V7" s="114" t="s">
        <v>94</v>
      </c>
      <c r="W7" s="114" t="s">
        <v>141</v>
      </c>
      <c r="X7" s="52">
        <v>45189</v>
      </c>
      <c r="Y7" s="52">
        <v>45219</v>
      </c>
      <c r="Z7" s="52">
        <v>46285</v>
      </c>
      <c r="AA7" s="114">
        <v>0.79500000000000004</v>
      </c>
      <c r="AB7" s="114">
        <v>5.8</v>
      </c>
      <c r="AC7" s="114">
        <v>6.2409999999999997</v>
      </c>
      <c r="AD7" s="114" t="s">
        <v>681</v>
      </c>
      <c r="AE7" s="114" t="s">
        <v>291</v>
      </c>
      <c r="AF7" s="114" t="s">
        <v>7</v>
      </c>
      <c r="AG7" t="s">
        <v>94</v>
      </c>
      <c r="AH7" s="114" t="s">
        <v>671</v>
      </c>
      <c r="AI7" s="114" t="s">
        <v>7</v>
      </c>
      <c r="AJ7" s="114" t="s">
        <v>94</v>
      </c>
      <c r="AK7" s="114" t="s">
        <v>506</v>
      </c>
      <c r="AL7" s="114" t="s">
        <v>7</v>
      </c>
      <c r="AM7" s="114" t="s">
        <v>7</v>
      </c>
      <c r="AN7"/>
      <c r="AO7" s="114" t="s">
        <v>94</v>
      </c>
      <c r="AP7"/>
      <c r="AQ7"/>
      <c r="AR7" s="114" t="s">
        <v>7</v>
      </c>
      <c r="AS7" s="114" t="s">
        <v>680</v>
      </c>
      <c r="AT7" t="s">
        <v>433</v>
      </c>
      <c r="AU7"/>
      <c r="AV7"/>
      <c r="AW7" s="114" t="s">
        <v>684</v>
      </c>
      <c r="BJ7" s="20"/>
    </row>
    <row r="8" spans="1:62" x14ac:dyDescent="0.25">
      <c r="A8" s="114">
        <v>10</v>
      </c>
      <c r="B8" s="114" t="s">
        <v>641</v>
      </c>
      <c r="C8" s="114" t="s">
        <v>664</v>
      </c>
      <c r="D8" s="52">
        <v>45182</v>
      </c>
      <c r="E8" s="114" t="s">
        <v>85</v>
      </c>
      <c r="F8" s="114" t="s">
        <v>85</v>
      </c>
      <c r="G8" s="114" t="s">
        <v>7</v>
      </c>
      <c r="H8" s="114" t="s">
        <v>108</v>
      </c>
      <c r="I8" s="114">
        <v>10</v>
      </c>
      <c r="J8" s="114" t="s">
        <v>856</v>
      </c>
      <c r="K8" s="114" t="s">
        <v>855</v>
      </c>
      <c r="L8" s="114" t="s">
        <v>854</v>
      </c>
      <c r="M8" s="114" t="s">
        <v>855</v>
      </c>
      <c r="N8" s="114" t="s">
        <v>7</v>
      </c>
      <c r="O8" s="114"/>
      <c r="P8" s="114" t="s">
        <v>117</v>
      </c>
      <c r="Q8" s="114">
        <v>100</v>
      </c>
      <c r="R8" s="114" t="s">
        <v>37</v>
      </c>
      <c r="S8" s="114" t="s">
        <v>333</v>
      </c>
      <c r="T8" s="114" t="s">
        <v>161</v>
      </c>
      <c r="U8" s="114" t="s">
        <v>7</v>
      </c>
      <c r="V8" s="114" t="s">
        <v>94</v>
      </c>
      <c r="W8" s="114" t="s">
        <v>141</v>
      </c>
      <c r="X8" s="52">
        <v>45189</v>
      </c>
      <c r="Y8" s="52">
        <v>45371</v>
      </c>
      <c r="Z8" s="52">
        <v>47016</v>
      </c>
      <c r="AA8" s="114">
        <v>1.37</v>
      </c>
      <c r="AB8" s="114">
        <v>10</v>
      </c>
      <c r="AC8" s="114">
        <v>10.76</v>
      </c>
      <c r="AD8" s="114" t="s">
        <v>651</v>
      </c>
      <c r="AE8" s="114" t="s">
        <v>291</v>
      </c>
      <c r="AF8" s="114" t="s">
        <v>7</v>
      </c>
      <c r="AG8" t="s">
        <v>94</v>
      </c>
      <c r="AH8" s="114" t="s">
        <v>652</v>
      </c>
      <c r="AI8" s="114" t="s">
        <v>7</v>
      </c>
      <c r="AJ8" s="114" t="s">
        <v>94</v>
      </c>
      <c r="AK8" s="114" t="s">
        <v>7</v>
      </c>
      <c r="AL8" s="114" t="s">
        <v>7</v>
      </c>
      <c r="AM8" s="114" t="s">
        <v>7</v>
      </c>
      <c r="AN8"/>
      <c r="AO8" s="114" t="s">
        <v>94</v>
      </c>
      <c r="AP8"/>
      <c r="AQ8"/>
      <c r="AR8" s="114" t="s">
        <v>7</v>
      </c>
      <c r="AS8" s="114" t="s">
        <v>94</v>
      </c>
      <c r="AT8" t="s">
        <v>433</v>
      </c>
      <c r="AU8"/>
      <c r="AV8"/>
      <c r="AW8" s="114" t="s">
        <v>670</v>
      </c>
      <c r="BJ8" s="20"/>
    </row>
    <row r="9" spans="1:62" x14ac:dyDescent="0.25">
      <c r="A9" s="114">
        <v>9</v>
      </c>
      <c r="B9" s="114" t="s">
        <v>641</v>
      </c>
      <c r="C9" s="114" t="s">
        <v>643</v>
      </c>
      <c r="D9" s="52">
        <v>45182</v>
      </c>
      <c r="E9" s="114" t="s">
        <v>85</v>
      </c>
      <c r="F9" s="114" t="s">
        <v>85</v>
      </c>
      <c r="G9" s="114" t="s">
        <v>7</v>
      </c>
      <c r="H9" s="114" t="s">
        <v>108</v>
      </c>
      <c r="I9" s="114">
        <v>30</v>
      </c>
      <c r="J9" s="114" t="s">
        <v>378</v>
      </c>
      <c r="K9" s="114" t="s">
        <v>646</v>
      </c>
      <c r="L9" s="114" t="s">
        <v>864</v>
      </c>
      <c r="M9" s="114" t="s">
        <v>646</v>
      </c>
      <c r="N9" s="114" t="s">
        <v>7</v>
      </c>
      <c r="O9" s="114"/>
      <c r="P9" s="114" t="s">
        <v>117</v>
      </c>
      <c r="Q9" s="114">
        <v>100</v>
      </c>
      <c r="R9" s="114" t="s">
        <v>37</v>
      </c>
      <c r="S9" s="114" t="s">
        <v>333</v>
      </c>
      <c r="T9" s="114" t="s">
        <v>161</v>
      </c>
      <c r="U9" s="114" t="s">
        <v>7</v>
      </c>
      <c r="V9" s="114" t="s">
        <v>94</v>
      </c>
      <c r="W9" s="114" t="s">
        <v>141</v>
      </c>
      <c r="X9" s="52">
        <v>45189</v>
      </c>
      <c r="Y9" s="52">
        <v>45371</v>
      </c>
      <c r="Z9" s="52">
        <v>45920</v>
      </c>
      <c r="AA9" s="114">
        <v>4.1100000000000003</v>
      </c>
      <c r="AB9" s="114">
        <v>30</v>
      </c>
      <c r="AC9" s="114">
        <v>32.28</v>
      </c>
      <c r="AD9" s="114" t="s">
        <v>651</v>
      </c>
      <c r="AE9" s="114" t="s">
        <v>291</v>
      </c>
      <c r="AF9" s="114" t="s">
        <v>7</v>
      </c>
      <c r="AG9" t="s">
        <v>94</v>
      </c>
      <c r="AH9" s="114" t="s">
        <v>652</v>
      </c>
      <c r="AI9" s="114" t="s">
        <v>7</v>
      </c>
      <c r="AJ9" s="114" t="s">
        <v>94</v>
      </c>
      <c r="AK9" s="114" t="s">
        <v>7</v>
      </c>
      <c r="AL9" s="114" t="s">
        <v>7</v>
      </c>
      <c r="AM9" s="114" t="s">
        <v>7</v>
      </c>
      <c r="AN9"/>
      <c r="AO9" s="114" t="s">
        <v>94</v>
      </c>
      <c r="AP9"/>
      <c r="AQ9"/>
      <c r="AR9" s="114" t="s">
        <v>7</v>
      </c>
      <c r="AS9" s="114" t="s">
        <v>94</v>
      </c>
      <c r="AT9" t="s">
        <v>433</v>
      </c>
      <c r="AU9"/>
      <c r="AV9"/>
      <c r="AW9" s="114" t="s">
        <v>656</v>
      </c>
      <c r="BJ9" s="20"/>
    </row>
    <row r="10" spans="1:62" x14ac:dyDescent="0.25">
      <c r="A10" s="114">
        <v>8</v>
      </c>
      <c r="B10" s="114" t="s">
        <v>641</v>
      </c>
      <c r="C10" s="114" t="s">
        <v>658</v>
      </c>
      <c r="D10" s="52">
        <v>45182</v>
      </c>
      <c r="E10" s="114" t="s">
        <v>85</v>
      </c>
      <c r="F10" s="114" t="s">
        <v>85</v>
      </c>
      <c r="G10" s="114" t="s">
        <v>7</v>
      </c>
      <c r="H10" s="114" t="s">
        <v>108</v>
      </c>
      <c r="I10" s="114">
        <v>10</v>
      </c>
      <c r="J10" s="114" t="s">
        <v>163</v>
      </c>
      <c r="K10" s="114" t="s">
        <v>661</v>
      </c>
      <c r="L10" s="114" t="s">
        <v>860</v>
      </c>
      <c r="M10" s="114" t="s">
        <v>661</v>
      </c>
      <c r="N10" s="114" t="s">
        <v>7</v>
      </c>
      <c r="O10" s="114"/>
      <c r="P10" s="114" t="s">
        <v>117</v>
      </c>
      <c r="Q10" s="114">
        <v>100</v>
      </c>
      <c r="R10" s="114" t="s">
        <v>37</v>
      </c>
      <c r="S10" s="114" t="s">
        <v>333</v>
      </c>
      <c r="T10" s="114" t="s">
        <v>161</v>
      </c>
      <c r="U10" s="114" t="s">
        <v>7</v>
      </c>
      <c r="V10" s="114" t="s">
        <v>94</v>
      </c>
      <c r="W10" s="114" t="s">
        <v>141</v>
      </c>
      <c r="X10" s="52">
        <v>45189</v>
      </c>
      <c r="Y10" s="52">
        <v>45371</v>
      </c>
      <c r="Z10" s="52">
        <v>46285</v>
      </c>
      <c r="AA10" s="114">
        <v>1.37</v>
      </c>
      <c r="AB10" s="114">
        <v>10</v>
      </c>
      <c r="AC10" s="114">
        <v>10.76</v>
      </c>
      <c r="AD10" s="114" t="s">
        <v>651</v>
      </c>
      <c r="AE10" s="114" t="s">
        <v>291</v>
      </c>
      <c r="AF10" s="114" t="s">
        <v>7</v>
      </c>
      <c r="AG10" t="s">
        <v>94</v>
      </c>
      <c r="AH10" s="114" t="s">
        <v>652</v>
      </c>
      <c r="AI10" s="114" t="s">
        <v>7</v>
      </c>
      <c r="AJ10" s="114" t="s">
        <v>94</v>
      </c>
      <c r="AK10" s="114" t="s">
        <v>7</v>
      </c>
      <c r="AL10" s="114" t="s">
        <v>7</v>
      </c>
      <c r="AM10" s="114" t="s">
        <v>7</v>
      </c>
      <c r="AN10"/>
      <c r="AO10" s="114" t="s">
        <v>94</v>
      </c>
      <c r="AP10"/>
      <c r="AQ10"/>
      <c r="AR10" s="114" t="s">
        <v>7</v>
      </c>
      <c r="AS10" s="114" t="s">
        <v>94</v>
      </c>
      <c r="AT10" t="s">
        <v>433</v>
      </c>
      <c r="AU10"/>
      <c r="AV10"/>
      <c r="AW10" s="114" t="s">
        <v>662</v>
      </c>
      <c r="BJ10" s="20"/>
    </row>
    <row r="11" spans="1:62" x14ac:dyDescent="0.25">
      <c r="A11" s="114">
        <v>7</v>
      </c>
      <c r="B11" s="114" t="s">
        <v>802</v>
      </c>
      <c r="C11" s="114" t="s">
        <v>801</v>
      </c>
      <c r="D11" s="52">
        <v>45182</v>
      </c>
      <c r="E11" s="114" t="s">
        <v>85</v>
      </c>
      <c r="F11" s="114" t="s">
        <v>85</v>
      </c>
      <c r="G11" s="114" t="s">
        <v>7</v>
      </c>
      <c r="H11" s="114" t="s">
        <v>108</v>
      </c>
      <c r="I11" s="114">
        <v>1.65</v>
      </c>
      <c r="J11" s="114" t="s">
        <v>858</v>
      </c>
      <c r="K11" s="114" t="s">
        <v>859</v>
      </c>
      <c r="L11" s="114" t="s">
        <v>874</v>
      </c>
      <c r="M11" s="114" t="s">
        <v>7</v>
      </c>
      <c r="N11" s="114" t="s">
        <v>7</v>
      </c>
      <c r="O11" s="114"/>
      <c r="P11" s="114" t="s">
        <v>874</v>
      </c>
      <c r="Q11" s="114"/>
      <c r="R11" s="114" t="s">
        <v>874</v>
      </c>
      <c r="S11" s="114" t="s">
        <v>7</v>
      </c>
      <c r="T11" s="114" t="s">
        <v>7</v>
      </c>
      <c r="U11" s="114" t="s">
        <v>7</v>
      </c>
      <c r="V11" s="114" t="s">
        <v>94</v>
      </c>
      <c r="W11" s="114" t="s">
        <v>94</v>
      </c>
      <c r="X11" s="52">
        <v>45189</v>
      </c>
      <c r="Y11" s="52"/>
      <c r="Z11" s="52">
        <v>45280</v>
      </c>
      <c r="AA11" s="114">
        <v>0.22600000000000001</v>
      </c>
      <c r="AB11" s="114">
        <v>1.65</v>
      </c>
      <c r="AC11" s="114">
        <v>1.7749999999999999</v>
      </c>
      <c r="AD11" s="114" t="s">
        <v>94</v>
      </c>
      <c r="AE11" s="114" t="s">
        <v>291</v>
      </c>
      <c r="AF11" s="114" t="s">
        <v>7</v>
      </c>
      <c r="AG11" t="s">
        <v>94</v>
      </c>
      <c r="AH11" s="114" t="s">
        <v>880</v>
      </c>
      <c r="AI11" s="114" t="s">
        <v>7</v>
      </c>
      <c r="AJ11" s="114" t="s">
        <v>94</v>
      </c>
      <c r="AK11" s="114" t="s">
        <v>7</v>
      </c>
      <c r="AL11" s="114" t="s">
        <v>7</v>
      </c>
      <c r="AM11" s="114" t="s">
        <v>7</v>
      </c>
      <c r="AN11"/>
      <c r="AO11" s="114" t="s">
        <v>94</v>
      </c>
      <c r="AP11"/>
      <c r="AQ11"/>
      <c r="AR11" s="114" t="s">
        <v>7</v>
      </c>
      <c r="AS11" s="114" t="s">
        <v>94</v>
      </c>
      <c r="AT11"/>
      <c r="AU11"/>
      <c r="AV11"/>
      <c r="AW11" s="114" t="s">
        <v>803</v>
      </c>
      <c r="BJ11" s="20"/>
    </row>
    <row r="12" spans="1:62" x14ac:dyDescent="0.25">
      <c r="A12" s="114">
        <v>6</v>
      </c>
      <c r="B12" s="114" t="s">
        <v>498</v>
      </c>
      <c r="C12" s="114" t="s">
        <v>618</v>
      </c>
      <c r="D12" s="52">
        <v>45182</v>
      </c>
      <c r="E12" s="114" t="s">
        <v>377</v>
      </c>
      <c r="F12" s="114" t="s">
        <v>85</v>
      </c>
      <c r="G12" s="114" t="s">
        <v>263</v>
      </c>
      <c r="H12" s="114" t="s">
        <v>87</v>
      </c>
      <c r="I12" s="114">
        <v>5.5</v>
      </c>
      <c r="J12" s="114" t="s">
        <v>163</v>
      </c>
      <c r="K12" s="114" t="s">
        <v>445</v>
      </c>
      <c r="L12" s="114" t="s">
        <v>444</v>
      </c>
      <c r="M12" s="114" t="s">
        <v>445</v>
      </c>
      <c r="N12" s="114" t="s">
        <v>445</v>
      </c>
      <c r="O12" s="114"/>
      <c r="P12" s="114" t="s">
        <v>442</v>
      </c>
      <c r="Q12" s="114">
        <v>100</v>
      </c>
      <c r="R12" s="114" t="s">
        <v>37</v>
      </c>
      <c r="S12" s="114" t="s">
        <v>333</v>
      </c>
      <c r="T12" s="114" t="s">
        <v>161</v>
      </c>
      <c r="U12" s="114" t="s">
        <v>7</v>
      </c>
      <c r="V12" s="114" t="s">
        <v>94</v>
      </c>
      <c r="W12" s="114" t="s">
        <v>296</v>
      </c>
      <c r="X12" s="52">
        <v>45189</v>
      </c>
      <c r="Y12" s="52">
        <v>45280</v>
      </c>
      <c r="Z12" s="52">
        <v>46285</v>
      </c>
      <c r="AA12" s="114">
        <v>5.5</v>
      </c>
      <c r="AB12" s="114">
        <v>40.002000000000002</v>
      </c>
      <c r="AC12" s="114">
        <v>43.042999999999999</v>
      </c>
      <c r="AD12" s="114" t="s">
        <v>625</v>
      </c>
      <c r="AE12" s="114" t="s">
        <v>766</v>
      </c>
      <c r="AF12" s="114" t="s">
        <v>7</v>
      </c>
      <c r="AG12" t="s">
        <v>862</v>
      </c>
      <c r="AH12" s="114" t="s">
        <v>627</v>
      </c>
      <c r="AI12" s="114" t="s">
        <v>7</v>
      </c>
      <c r="AJ12" s="114" t="s">
        <v>94</v>
      </c>
      <c r="AK12" s="114" t="s">
        <v>7</v>
      </c>
      <c r="AL12" s="114" t="s">
        <v>7</v>
      </c>
      <c r="AM12" s="114" t="s">
        <v>861</v>
      </c>
      <c r="AN12"/>
      <c r="AO12" s="114" t="s">
        <v>94</v>
      </c>
      <c r="AP12"/>
      <c r="AQ12"/>
      <c r="AR12" s="114" t="s">
        <v>7</v>
      </c>
      <c r="AS12" s="114" t="s">
        <v>624</v>
      </c>
      <c r="AT12" t="s">
        <v>433</v>
      </c>
      <c r="AU12"/>
      <c r="AV12"/>
      <c r="AW12" s="114" t="s">
        <v>631</v>
      </c>
      <c r="BJ12" s="20"/>
    </row>
    <row r="13" spans="1:62" x14ac:dyDescent="0.25">
      <c r="A13" s="114">
        <v>5</v>
      </c>
      <c r="B13" s="114" t="s">
        <v>699</v>
      </c>
      <c r="C13" s="114" t="s">
        <v>701</v>
      </c>
      <c r="D13" s="52">
        <v>45181</v>
      </c>
      <c r="E13" s="114" t="s">
        <v>85</v>
      </c>
      <c r="F13" s="114" t="s">
        <v>770</v>
      </c>
      <c r="G13" s="114" t="s">
        <v>7</v>
      </c>
      <c r="H13" s="114" t="s">
        <v>108</v>
      </c>
      <c r="I13" s="114">
        <v>2.15</v>
      </c>
      <c r="J13" s="114" t="s">
        <v>163</v>
      </c>
      <c r="K13" s="114" t="s">
        <v>867</v>
      </c>
      <c r="L13" s="114" t="s">
        <v>7</v>
      </c>
      <c r="M13" s="114" t="s">
        <v>7</v>
      </c>
      <c r="N13" s="114" t="s">
        <v>7</v>
      </c>
      <c r="O13" s="114"/>
      <c r="P13" s="114" t="s">
        <v>117</v>
      </c>
      <c r="Q13" s="114">
        <v>100</v>
      </c>
      <c r="R13" s="114" t="s">
        <v>40</v>
      </c>
      <c r="S13" s="114" t="s">
        <v>297</v>
      </c>
      <c r="T13" s="114" t="s">
        <v>7</v>
      </c>
      <c r="U13" s="114" t="s">
        <v>7</v>
      </c>
      <c r="V13" s="114" t="s">
        <v>94</v>
      </c>
      <c r="W13" s="114" t="s">
        <v>141</v>
      </c>
      <c r="X13" s="52">
        <v>45184</v>
      </c>
      <c r="Y13" s="52">
        <v>45366</v>
      </c>
      <c r="Z13" s="52">
        <v>46280</v>
      </c>
      <c r="AA13" s="114">
        <v>0.29499999999999998</v>
      </c>
      <c r="AB13" s="114">
        <v>2.15</v>
      </c>
      <c r="AC13" s="114">
        <v>2.3050000000000002</v>
      </c>
      <c r="AD13" s="114" t="s">
        <v>707</v>
      </c>
      <c r="AE13" s="114" t="s">
        <v>291</v>
      </c>
      <c r="AF13" s="114" t="s">
        <v>7</v>
      </c>
      <c r="AG13" t="s">
        <v>94</v>
      </c>
      <c r="AH13" s="114" t="s">
        <v>699</v>
      </c>
      <c r="AI13" s="114" t="s">
        <v>708</v>
      </c>
      <c r="AJ13" s="114" t="s">
        <v>94</v>
      </c>
      <c r="AK13" s="114" t="s">
        <v>7</v>
      </c>
      <c r="AL13" s="114" t="s">
        <v>7</v>
      </c>
      <c r="AM13" s="114" t="s">
        <v>7</v>
      </c>
      <c r="AN13"/>
      <c r="AO13" s="114" t="s">
        <v>94</v>
      </c>
      <c r="AP13"/>
      <c r="AQ13"/>
      <c r="AR13" s="114" t="s">
        <v>7</v>
      </c>
      <c r="AS13" s="114" t="s">
        <v>94</v>
      </c>
      <c r="AT13" t="s">
        <v>433</v>
      </c>
      <c r="AU13"/>
      <c r="AV13"/>
      <c r="AW13" s="114" t="s">
        <v>711</v>
      </c>
      <c r="BJ13" s="20"/>
    </row>
    <row r="14" spans="1:62" x14ac:dyDescent="0.25">
      <c r="A14" s="114">
        <v>4</v>
      </c>
      <c r="B14" s="114" t="s">
        <v>805</v>
      </c>
      <c r="C14" s="114" t="s">
        <v>804</v>
      </c>
      <c r="D14" s="52">
        <v>45181</v>
      </c>
      <c r="E14" s="114" t="s">
        <v>85</v>
      </c>
      <c r="F14" s="114" t="s">
        <v>85</v>
      </c>
      <c r="G14" s="114" t="s">
        <v>7</v>
      </c>
      <c r="H14" s="114" t="s">
        <v>108</v>
      </c>
      <c r="I14" s="114">
        <v>2</v>
      </c>
      <c r="J14" s="114" t="s">
        <v>336</v>
      </c>
      <c r="K14" s="114" t="s">
        <v>865</v>
      </c>
      <c r="L14" s="114" t="s">
        <v>874</v>
      </c>
      <c r="M14" s="114" t="s">
        <v>7</v>
      </c>
      <c r="N14" s="114" t="s">
        <v>7</v>
      </c>
      <c r="O14" s="114"/>
      <c r="P14" s="114" t="s">
        <v>874</v>
      </c>
      <c r="Q14" s="114"/>
      <c r="R14" s="114" t="s">
        <v>874</v>
      </c>
      <c r="S14" s="114" t="s">
        <v>7</v>
      </c>
      <c r="T14" s="114" t="s">
        <v>7</v>
      </c>
      <c r="U14" s="114" t="s">
        <v>7</v>
      </c>
      <c r="V14" s="114" t="s">
        <v>94</v>
      </c>
      <c r="W14" s="114" t="s">
        <v>94</v>
      </c>
      <c r="X14" s="52">
        <v>45188</v>
      </c>
      <c r="Y14" s="52"/>
      <c r="Z14" s="52">
        <v>45548</v>
      </c>
      <c r="AA14" s="114">
        <v>0.27400000000000002</v>
      </c>
      <c r="AB14" s="114">
        <v>2</v>
      </c>
      <c r="AC14" s="114">
        <v>2.1440000000000001</v>
      </c>
      <c r="AD14" s="114" t="s">
        <v>94</v>
      </c>
      <c r="AE14" s="114" t="s">
        <v>290</v>
      </c>
      <c r="AF14" s="114" t="s">
        <v>7</v>
      </c>
      <c r="AG14" t="s">
        <v>94</v>
      </c>
      <c r="AH14" s="114" t="s">
        <v>882</v>
      </c>
      <c r="AI14" s="114" t="s">
        <v>7</v>
      </c>
      <c r="AJ14" s="114" t="s">
        <v>806</v>
      </c>
      <c r="AK14" s="114" t="s">
        <v>7</v>
      </c>
      <c r="AL14" s="114" t="s">
        <v>7</v>
      </c>
      <c r="AM14" s="114" t="s">
        <v>7</v>
      </c>
      <c r="AN14"/>
      <c r="AO14" s="114" t="s">
        <v>866</v>
      </c>
      <c r="AP14"/>
      <c r="AQ14"/>
      <c r="AR14" s="114" t="s">
        <v>7</v>
      </c>
      <c r="AS14" s="114" t="s">
        <v>94</v>
      </c>
      <c r="AT14"/>
      <c r="AU14"/>
      <c r="AV14"/>
      <c r="AW14" s="114" t="s">
        <v>808</v>
      </c>
      <c r="BJ14" s="20"/>
    </row>
    <row r="15" spans="1:62" x14ac:dyDescent="0.25">
      <c r="A15" s="114">
        <v>3</v>
      </c>
      <c r="B15" s="114" t="s">
        <v>730</v>
      </c>
      <c r="C15" s="114" t="s">
        <v>732</v>
      </c>
      <c r="D15" s="52">
        <v>45180</v>
      </c>
      <c r="E15" s="114" t="s">
        <v>85</v>
      </c>
      <c r="F15" s="114" t="s">
        <v>800</v>
      </c>
      <c r="G15" s="114" t="s">
        <v>263</v>
      </c>
      <c r="H15" s="114" t="s">
        <v>87</v>
      </c>
      <c r="I15" s="114">
        <v>1.4</v>
      </c>
      <c r="J15" s="114" t="s">
        <v>336</v>
      </c>
      <c r="K15" s="114" t="s">
        <v>737</v>
      </c>
      <c r="L15" s="114" t="s">
        <v>873</v>
      </c>
      <c r="M15" s="114" t="s">
        <v>737</v>
      </c>
      <c r="N15" s="114" t="s">
        <v>7</v>
      </c>
      <c r="O15" s="114"/>
      <c r="P15" s="114" t="s">
        <v>117</v>
      </c>
      <c r="Q15" s="114">
        <v>100</v>
      </c>
      <c r="R15" s="114" t="s">
        <v>40</v>
      </c>
      <c r="S15" s="114" t="s">
        <v>333</v>
      </c>
      <c r="T15" s="114" t="s">
        <v>7</v>
      </c>
      <c r="U15" s="114" t="s">
        <v>7</v>
      </c>
      <c r="V15" s="114" t="s">
        <v>94</v>
      </c>
      <c r="W15" s="114" t="s">
        <v>749</v>
      </c>
      <c r="X15" s="52">
        <v>45183</v>
      </c>
      <c r="Y15" s="52">
        <v>45363</v>
      </c>
      <c r="Z15" s="52">
        <v>45547</v>
      </c>
      <c r="AA15" s="114">
        <v>1.4</v>
      </c>
      <c r="AB15" s="114">
        <v>10.226000000000001</v>
      </c>
      <c r="AC15" s="114">
        <v>10.965999999999999</v>
      </c>
      <c r="AD15" s="114" t="s">
        <v>744</v>
      </c>
      <c r="AE15" s="114" t="s">
        <v>291</v>
      </c>
      <c r="AF15" s="114" t="s">
        <v>7</v>
      </c>
      <c r="AG15" t="s">
        <v>94</v>
      </c>
      <c r="AH15" s="114" t="s">
        <v>745</v>
      </c>
      <c r="AI15" s="114" t="s">
        <v>730</v>
      </c>
      <c r="AJ15" s="114" t="s">
        <v>94</v>
      </c>
      <c r="AK15" s="114" t="s">
        <v>7</v>
      </c>
      <c r="AL15" s="114" t="s">
        <v>7</v>
      </c>
      <c r="AM15" s="114" t="s">
        <v>7</v>
      </c>
      <c r="AN15"/>
      <c r="AO15" s="114" t="s">
        <v>337</v>
      </c>
      <c r="AP15"/>
      <c r="AQ15"/>
      <c r="AR15" s="114" t="s">
        <v>7</v>
      </c>
      <c r="AS15" s="114" t="s">
        <v>743</v>
      </c>
      <c r="AT15" t="s">
        <v>433</v>
      </c>
      <c r="AU15"/>
      <c r="AV15"/>
      <c r="AW15" s="114" t="s">
        <v>750</v>
      </c>
    </row>
    <row r="16" spans="1:62" x14ac:dyDescent="0.25">
      <c r="A16" s="114">
        <v>2</v>
      </c>
      <c r="B16" s="114" t="s">
        <v>428</v>
      </c>
      <c r="C16" s="114" t="s">
        <v>722</v>
      </c>
      <c r="D16" s="52">
        <v>45180</v>
      </c>
      <c r="E16" s="114" t="s">
        <v>793</v>
      </c>
      <c r="F16" s="114" t="s">
        <v>85</v>
      </c>
      <c r="G16" s="114" t="s">
        <v>263</v>
      </c>
      <c r="H16" s="114" t="s">
        <v>87</v>
      </c>
      <c r="I16" s="114">
        <v>5</v>
      </c>
      <c r="J16" s="114" t="s">
        <v>163</v>
      </c>
      <c r="K16" s="114" t="s">
        <v>871</v>
      </c>
      <c r="L16" s="114" t="s">
        <v>441</v>
      </c>
      <c r="M16" s="114" t="s">
        <v>870</v>
      </c>
      <c r="N16" s="114" t="s">
        <v>870</v>
      </c>
      <c r="O16" s="114"/>
      <c r="P16" s="114" t="s">
        <v>442</v>
      </c>
      <c r="Q16" s="114">
        <v>100</v>
      </c>
      <c r="R16" s="114" t="s">
        <v>37</v>
      </c>
      <c r="S16" s="114" t="s">
        <v>868</v>
      </c>
      <c r="T16" s="114" t="s">
        <v>161</v>
      </c>
      <c r="U16" s="114" t="s">
        <v>7</v>
      </c>
      <c r="V16" s="114" t="s">
        <v>94</v>
      </c>
      <c r="W16" s="114" t="s">
        <v>296</v>
      </c>
      <c r="X16" s="52">
        <v>45187</v>
      </c>
      <c r="Y16" s="52">
        <v>45278</v>
      </c>
      <c r="Z16" s="52">
        <v>46283</v>
      </c>
      <c r="AA16" s="114">
        <v>5</v>
      </c>
      <c r="AB16" s="114">
        <v>36.520000000000003</v>
      </c>
      <c r="AC16" s="114">
        <v>39.164999999999999</v>
      </c>
      <c r="AD16" s="114" t="s">
        <v>436</v>
      </c>
      <c r="AE16" s="114" t="s">
        <v>291</v>
      </c>
      <c r="AF16" s="114" t="s">
        <v>7</v>
      </c>
      <c r="AG16" t="s">
        <v>872</v>
      </c>
      <c r="AH16" s="114" t="s">
        <v>726</v>
      </c>
      <c r="AI16" s="114" t="s">
        <v>7</v>
      </c>
      <c r="AJ16" s="114" t="s">
        <v>94</v>
      </c>
      <c r="AK16" s="114" t="s">
        <v>7</v>
      </c>
      <c r="AL16" s="114" t="s">
        <v>7</v>
      </c>
      <c r="AM16" s="114" t="s">
        <v>7</v>
      </c>
      <c r="AN16"/>
      <c r="AO16" s="114" t="s">
        <v>94</v>
      </c>
      <c r="AP16"/>
      <c r="AQ16"/>
      <c r="AR16" s="114" t="s">
        <v>7</v>
      </c>
      <c r="AS16" s="114" t="s">
        <v>94</v>
      </c>
      <c r="AT16" t="s">
        <v>433</v>
      </c>
      <c r="AU16"/>
      <c r="AV16"/>
      <c r="AW16" s="114" t="s">
        <v>729</v>
      </c>
    </row>
    <row r="17" spans="1:49" x14ac:dyDescent="0.25">
      <c r="A17" s="114">
        <v>1</v>
      </c>
      <c r="B17" s="114" t="s">
        <v>428</v>
      </c>
      <c r="C17" s="114" t="s">
        <v>713</v>
      </c>
      <c r="D17" s="52">
        <v>45180</v>
      </c>
      <c r="E17" s="114" t="s">
        <v>793</v>
      </c>
      <c r="F17" s="114" t="s">
        <v>85</v>
      </c>
      <c r="G17" s="114" t="s">
        <v>263</v>
      </c>
      <c r="H17" s="114" t="s">
        <v>108</v>
      </c>
      <c r="I17" s="114">
        <v>20</v>
      </c>
      <c r="J17" s="114" t="s">
        <v>163</v>
      </c>
      <c r="K17" s="114" t="s">
        <v>717</v>
      </c>
      <c r="L17" s="114" t="s">
        <v>443</v>
      </c>
      <c r="M17" s="114" t="s">
        <v>717</v>
      </c>
      <c r="N17" s="114" t="s">
        <v>7</v>
      </c>
      <c r="O17" s="114"/>
      <c r="P17" s="114" t="s">
        <v>117</v>
      </c>
      <c r="Q17" s="114">
        <v>100</v>
      </c>
      <c r="R17" s="114" t="s">
        <v>37</v>
      </c>
      <c r="S17" s="114" t="s">
        <v>868</v>
      </c>
      <c r="T17" s="114" t="s">
        <v>160</v>
      </c>
      <c r="U17" s="114" t="s">
        <v>7</v>
      </c>
      <c r="V17" s="114" t="s">
        <v>94</v>
      </c>
      <c r="W17" s="114" t="s">
        <v>141</v>
      </c>
      <c r="X17" s="52">
        <v>45187</v>
      </c>
      <c r="Y17" s="52">
        <v>45369</v>
      </c>
      <c r="Z17" s="52">
        <v>46283</v>
      </c>
      <c r="AA17" s="114">
        <v>2.74</v>
      </c>
      <c r="AB17" s="114">
        <v>20</v>
      </c>
      <c r="AC17" s="114">
        <v>21.44</v>
      </c>
      <c r="AD17" s="114" t="s">
        <v>436</v>
      </c>
      <c r="AE17" s="114" t="s">
        <v>291</v>
      </c>
      <c r="AF17" s="114" t="s">
        <v>7</v>
      </c>
      <c r="AG17" t="s">
        <v>869</v>
      </c>
      <c r="AH17" s="114" t="s">
        <v>718</v>
      </c>
      <c r="AI17" s="114" t="s">
        <v>7</v>
      </c>
      <c r="AJ17" s="114" t="s">
        <v>94</v>
      </c>
      <c r="AK17" s="114" t="s">
        <v>7</v>
      </c>
      <c r="AL17" s="114" t="s">
        <v>7</v>
      </c>
      <c r="AM17" s="114" t="s">
        <v>7</v>
      </c>
      <c r="AN17"/>
      <c r="AO17" s="114" t="s">
        <v>94</v>
      </c>
      <c r="AP17"/>
      <c r="AQ17"/>
      <c r="AR17" s="114" t="s">
        <v>7</v>
      </c>
      <c r="AS17" s="114" t="s">
        <v>94</v>
      </c>
      <c r="AT17" t="s">
        <v>433</v>
      </c>
      <c r="AU17"/>
      <c r="AV17"/>
      <c r="AW17" s="114" t="s">
        <v>720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U8"/>
  <sheetViews>
    <sheetView topLeftCell="C1" workbookViewId="0">
      <selection activeCell="E5" sqref="E5"/>
    </sheetView>
  </sheetViews>
  <sheetFormatPr defaultRowHeight="15" x14ac:dyDescent="0.25"/>
  <cols>
    <col min="1" max="1" width="7.109375" style="1" bestFit="1" customWidth="1"/>
    <col min="2" max="2" width="24.109375" style="1" bestFit="1" customWidth="1"/>
    <col min="3" max="3" width="12.5546875" style="1" bestFit="1" customWidth="1"/>
    <col min="4" max="4" width="9.21875" style="1" customWidth="1"/>
    <col min="5" max="5" width="5.88671875" style="1" bestFit="1" customWidth="1"/>
    <col min="6" max="7" width="9.21875" style="1" customWidth="1"/>
    <col min="8" max="8" width="5.88671875" style="1" bestFit="1" customWidth="1"/>
    <col min="9" max="9" width="6" style="1" bestFit="1" customWidth="1"/>
    <col min="10" max="10" width="5.88671875" style="1" bestFit="1" customWidth="1"/>
    <col min="11" max="11" width="9.21875" style="1" customWidth="1"/>
    <col min="12" max="12" width="4.21875" style="1" bestFit="1" customWidth="1"/>
    <col min="13" max="13" width="10.88671875" style="1" bestFit="1" customWidth="1"/>
    <col min="14" max="14" width="13.33203125" style="1" bestFit="1" customWidth="1"/>
    <col min="15" max="15" width="7.5546875" style="1" bestFit="1" customWidth="1"/>
    <col min="16" max="16" width="9.21875" style="1" customWidth="1"/>
    <col min="17" max="17" width="5.88671875" style="1" bestFit="1" customWidth="1"/>
    <col min="18" max="18" width="9.21875" style="1" customWidth="1"/>
    <col min="19" max="19" width="11" style="1" bestFit="1" customWidth="1"/>
    <col min="20" max="20" width="9.33203125" style="1" bestFit="1" customWidth="1"/>
    <col min="21" max="21" width="11.5546875" style="1" bestFit="1" customWidth="1"/>
    <col min="22" max="22" width="5.88671875" style="1" bestFit="1" customWidth="1"/>
    <col min="23" max="23" width="9.21875" style="1" customWidth="1"/>
    <col min="24" max="24" width="5.88671875" style="1" bestFit="1" customWidth="1"/>
    <col min="25" max="26" width="9.21875" style="1" customWidth="1"/>
    <col min="27" max="29" width="5.88671875" style="1" bestFit="1" customWidth="1"/>
    <col min="30" max="30" width="9.21875" style="1" customWidth="1"/>
    <col min="31" max="31" width="4.21875" style="1" bestFit="1" customWidth="1"/>
    <col min="32" max="32" width="10.88671875" style="1" bestFit="1" customWidth="1"/>
    <col min="33" max="33" width="13.33203125" style="1" bestFit="1" customWidth="1"/>
    <col min="34" max="34" width="7.5546875" style="1" bestFit="1" customWidth="1"/>
    <col min="35" max="35" width="9.21875" style="1" customWidth="1"/>
    <col min="36" max="36" width="5.88671875" style="1" bestFit="1" customWidth="1"/>
    <col min="37" max="38" width="9.21875" style="1" customWidth="1"/>
    <col min="39" max="39" width="9.33203125" style="1" bestFit="1" customWidth="1"/>
    <col min="40" max="40" width="11.5546875" style="1" bestFit="1" customWidth="1"/>
    <col min="41" max="41" width="5.88671875" style="1" bestFit="1" customWidth="1"/>
    <col min="42" max="42" width="9.21875" style="1" bestFit="1" customWidth="1"/>
    <col min="43" max="43" width="7.6640625" style="1" bestFit="1" customWidth="1"/>
    <col min="44" max="45" width="9.21875" style="1" bestFit="1" customWidth="1"/>
    <col min="46" max="48" width="5.88671875" style="1" bestFit="1" customWidth="1"/>
    <col min="49" max="49" width="9.21875" style="1" bestFit="1" customWidth="1"/>
    <col min="50" max="50" width="4.21875" style="1" bestFit="1" customWidth="1"/>
    <col min="51" max="51" width="10.88671875" style="1" bestFit="1" customWidth="1"/>
    <col min="52" max="52" width="13.33203125" style="1" bestFit="1" customWidth="1"/>
    <col min="53" max="53" width="7.5546875" style="1" bestFit="1" customWidth="1"/>
    <col min="54" max="54" width="9.21875" style="1" bestFit="1" customWidth="1"/>
    <col min="55" max="55" width="5.88671875" style="1" bestFit="1" customWidth="1"/>
    <col min="56" max="57" width="9.21875" style="1" bestFit="1" customWidth="1"/>
    <col min="58" max="58" width="9.33203125" style="1" bestFit="1" customWidth="1"/>
    <col min="59" max="59" width="11.5546875" style="1" bestFit="1" customWidth="1"/>
    <col min="60" max="60" width="11.77734375" style="1" bestFit="1" customWidth="1"/>
    <col min="61" max="61" width="5.88671875" style="1" bestFit="1" customWidth="1"/>
    <col min="62" max="63" width="8.33203125" style="1" bestFit="1" customWidth="1"/>
    <col min="64" max="16384" width="8.88671875" style="1"/>
  </cols>
  <sheetData>
    <row r="1" spans="1:21" ht="43.5" customHeight="1" x14ac:dyDescent="0.25"/>
    <row r="2" spans="1:21" ht="43.5" customHeight="1" x14ac:dyDescent="0.25"/>
    <row r="3" spans="1:21" ht="43.5" customHeight="1" x14ac:dyDescent="0.25"/>
    <row r="4" spans="1:21" x14ac:dyDescent="0.25">
      <c r="A4" t="s">
        <v>88</v>
      </c>
      <c r="B4" t="s">
        <v>96</v>
      </c>
      <c r="C4" t="s">
        <v>119</v>
      </c>
      <c r="D4" t="s">
        <v>223</v>
      </c>
      <c r="E4" t="s">
        <v>246</v>
      </c>
      <c r="F4" t="s">
        <v>45</v>
      </c>
      <c r="G4" t="s">
        <v>252</v>
      </c>
      <c r="H4" t="s">
        <v>91</v>
      </c>
      <c r="I4" t="s">
        <v>46</v>
      </c>
      <c r="J4" t="s">
        <v>47</v>
      </c>
      <c r="K4" t="s">
        <v>248</v>
      </c>
      <c r="L4" t="s">
        <v>261</v>
      </c>
      <c r="M4" t="s">
        <v>249</v>
      </c>
      <c r="N4" t="s">
        <v>209</v>
      </c>
      <c r="O4" t="s">
        <v>250</v>
      </c>
      <c r="P4" t="s">
        <v>251</v>
      </c>
      <c r="Q4" t="s">
        <v>44</v>
      </c>
      <c r="R4" t="s">
        <v>361</v>
      </c>
      <c r="S4" t="s">
        <v>43</v>
      </c>
      <c r="T4" t="s">
        <v>182</v>
      </c>
      <c r="U4" t="s">
        <v>238</v>
      </c>
    </row>
    <row r="5" spans="1:21" x14ac:dyDescent="0.25">
      <c r="A5" s="114"/>
      <c r="B5" s="114" t="s">
        <v>685</v>
      </c>
      <c r="C5" t="s">
        <v>875</v>
      </c>
      <c r="D5"/>
      <c r="E5" s="114"/>
      <c r="F5" s="114" t="s">
        <v>294</v>
      </c>
      <c r="G5" s="114" t="s">
        <v>7</v>
      </c>
      <c r="H5" s="114" t="s">
        <v>10</v>
      </c>
      <c r="I5" s="114" t="s">
        <v>691</v>
      </c>
      <c r="J5" s="114" t="s">
        <v>7</v>
      </c>
      <c r="K5"/>
      <c r="L5" s="114" t="s">
        <v>7</v>
      </c>
      <c r="M5"/>
      <c r="N5" s="52">
        <v>45182</v>
      </c>
      <c r="O5"/>
      <c r="P5" s="114" t="s">
        <v>7</v>
      </c>
      <c r="Q5" s="114" t="s">
        <v>86</v>
      </c>
      <c r="R5" s="114" t="s">
        <v>7</v>
      </c>
      <c r="S5" s="114" t="s">
        <v>134</v>
      </c>
      <c r="T5"/>
      <c r="U5"/>
    </row>
    <row r="6" spans="1:21" x14ac:dyDescent="0.25">
      <c r="A6" s="114"/>
      <c r="B6" s="114" t="s">
        <v>671</v>
      </c>
      <c r="C6" t="s">
        <v>876</v>
      </c>
      <c r="D6"/>
      <c r="E6" s="114"/>
      <c r="F6" s="114" t="s">
        <v>372</v>
      </c>
      <c r="G6" s="114" t="s">
        <v>7</v>
      </c>
      <c r="H6" s="114" t="s">
        <v>10</v>
      </c>
      <c r="I6" s="114" t="s">
        <v>678</v>
      </c>
      <c r="J6" s="114" t="s">
        <v>7</v>
      </c>
      <c r="K6"/>
      <c r="L6" s="114" t="s">
        <v>7</v>
      </c>
      <c r="M6"/>
      <c r="N6" s="52">
        <v>45182</v>
      </c>
      <c r="O6"/>
      <c r="P6" s="114" t="s">
        <v>7</v>
      </c>
      <c r="Q6" s="114" t="s">
        <v>2</v>
      </c>
      <c r="R6" s="114" t="s">
        <v>7</v>
      </c>
      <c r="S6" s="114" t="s">
        <v>134</v>
      </c>
      <c r="T6"/>
      <c r="U6"/>
    </row>
    <row r="7" spans="1:21" x14ac:dyDescent="0.25">
      <c r="A7" s="114"/>
      <c r="B7" s="114" t="s">
        <v>699</v>
      </c>
      <c r="C7" t="s">
        <v>877</v>
      </c>
      <c r="D7"/>
      <c r="E7" s="114"/>
      <c r="F7" s="114" t="s">
        <v>294</v>
      </c>
      <c r="G7" s="114" t="s">
        <v>7</v>
      </c>
      <c r="H7" s="114" t="s">
        <v>18</v>
      </c>
      <c r="I7" s="114" t="s">
        <v>704</v>
      </c>
      <c r="J7" s="114" t="s">
        <v>7</v>
      </c>
      <c r="K7"/>
      <c r="L7" s="114" t="s">
        <v>7</v>
      </c>
      <c r="M7"/>
      <c r="N7" s="52">
        <v>45181</v>
      </c>
      <c r="O7"/>
      <c r="P7" s="114" t="s">
        <v>7</v>
      </c>
      <c r="Q7" s="114" t="s">
        <v>86</v>
      </c>
      <c r="R7" s="114" t="s">
        <v>7</v>
      </c>
      <c r="S7" s="114" t="s">
        <v>706</v>
      </c>
      <c r="T7"/>
      <c r="U7"/>
    </row>
    <row r="8" spans="1:21" x14ac:dyDescent="0.25">
      <c r="A8" s="114"/>
      <c r="B8" s="114" t="s">
        <v>805</v>
      </c>
      <c r="C8" t="s">
        <v>94</v>
      </c>
      <c r="D8"/>
      <c r="E8" s="114"/>
      <c r="F8" s="114" t="s">
        <v>7</v>
      </c>
      <c r="G8" s="114" t="s">
        <v>7</v>
      </c>
      <c r="H8" s="114"/>
      <c r="I8" s="114" t="s">
        <v>7</v>
      </c>
      <c r="J8" s="114" t="s">
        <v>7</v>
      </c>
      <c r="K8"/>
      <c r="L8" s="114" t="s">
        <v>7</v>
      </c>
      <c r="M8"/>
      <c r="N8" s="52"/>
      <c r="O8"/>
      <c r="P8" s="114" t="s">
        <v>7</v>
      </c>
      <c r="Q8" s="114"/>
      <c r="R8" s="114" t="s">
        <v>7</v>
      </c>
      <c r="S8" s="114"/>
      <c r="T8"/>
      <c r="U8"/>
    </row>
  </sheetData>
  <phoneticPr fontId="4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S8"/>
  <sheetViews>
    <sheetView workbookViewId="0">
      <selection activeCell="G31" sqref="G31"/>
    </sheetView>
  </sheetViews>
  <sheetFormatPr defaultRowHeight="15" x14ac:dyDescent="0.25"/>
  <cols>
    <col min="1" max="1" width="7.109375" style="1" bestFit="1" customWidth="1"/>
    <col min="2" max="2" width="13.33203125" style="1" bestFit="1" customWidth="1"/>
    <col min="3" max="3" width="9.33203125" style="1" bestFit="1" customWidth="1"/>
    <col min="4" max="4" width="23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9.44140625" style="1" bestFit="1" customWidth="1"/>
    <col min="18" max="18" width="10.33203125" style="1" bestFit="1" customWidth="1"/>
    <col min="19" max="19" width="11.33203125" style="1" bestFit="1" customWidth="1"/>
    <col min="20" max="20" width="10.33203125" style="1" bestFit="1" customWidth="1"/>
    <col min="21" max="21" width="11.109375" style="1" bestFit="1" customWidth="1"/>
    <col min="22" max="22" width="8.77734375" style="1" bestFit="1" customWidth="1"/>
    <col min="23" max="23" width="9.21875" style="1" bestFit="1" customWidth="1"/>
    <col min="24" max="16384" width="8.88671875" style="1"/>
  </cols>
  <sheetData>
    <row r="5" spans="1:19" x14ac:dyDescent="0.25">
      <c r="A5" t="s">
        <v>88</v>
      </c>
      <c r="B5" t="s">
        <v>49</v>
      </c>
      <c r="C5" t="s">
        <v>50</v>
      </c>
      <c r="D5" t="s">
        <v>96</v>
      </c>
      <c r="E5" t="s">
        <v>158</v>
      </c>
      <c r="F5" t="s">
        <v>218</v>
      </c>
      <c r="G5" t="s">
        <v>219</v>
      </c>
      <c r="H5" t="s">
        <v>220</v>
      </c>
      <c r="I5" t="s">
        <v>184</v>
      </c>
      <c r="J5" t="s">
        <v>185</v>
      </c>
      <c r="K5" t="s">
        <v>195</v>
      </c>
      <c r="L5" t="s">
        <v>183</v>
      </c>
      <c r="M5" t="s">
        <v>222</v>
      </c>
      <c r="N5" t="s">
        <v>232</v>
      </c>
      <c r="O5" t="s">
        <v>233</v>
      </c>
      <c r="P5" t="s">
        <v>234</v>
      </c>
      <c r="Q5" t="s">
        <v>150</v>
      </c>
      <c r="R5" t="s">
        <v>359</v>
      </c>
      <c r="S5" t="s">
        <v>907</v>
      </c>
    </row>
    <row r="6" spans="1:19" x14ac:dyDescent="0.25">
      <c r="A6" s="114">
        <v>11</v>
      </c>
      <c r="B6" s="114" t="s">
        <v>673</v>
      </c>
      <c r="C6" s="52">
        <v>45182</v>
      </c>
      <c r="D6" s="114" t="s">
        <v>671</v>
      </c>
      <c r="E6" s="114" t="s">
        <v>160</v>
      </c>
      <c r="F6" s="114" t="s">
        <v>7</v>
      </c>
      <c r="G6" s="114" t="s">
        <v>7</v>
      </c>
      <c r="H6" s="114" t="s">
        <v>7</v>
      </c>
      <c r="I6" t="s">
        <v>94</v>
      </c>
      <c r="J6" s="114" t="s">
        <v>94</v>
      </c>
      <c r="K6" s="114" t="s">
        <v>874</v>
      </c>
      <c r="L6" s="114" t="s">
        <v>874</v>
      </c>
      <c r="M6" s="114" t="s">
        <v>94</v>
      </c>
      <c r="N6" s="114">
        <v>3</v>
      </c>
      <c r="O6" s="114">
        <v>2</v>
      </c>
      <c r="P6" s="114">
        <v>3</v>
      </c>
      <c r="Q6" s="114" t="s">
        <v>684</v>
      </c>
      <c r="R6"/>
      <c r="S6"/>
    </row>
    <row r="7" spans="1:19" x14ac:dyDescent="0.25">
      <c r="A7" s="114">
        <v>6</v>
      </c>
      <c r="B7" s="114" t="s">
        <v>618</v>
      </c>
      <c r="C7" s="52">
        <v>45182</v>
      </c>
      <c r="D7" s="114" t="s">
        <v>498</v>
      </c>
      <c r="E7" s="114" t="s">
        <v>160</v>
      </c>
      <c r="F7" s="114" t="s">
        <v>7</v>
      </c>
      <c r="G7" s="114" t="s">
        <v>7</v>
      </c>
      <c r="H7" s="114" t="s">
        <v>7</v>
      </c>
      <c r="I7" t="s">
        <v>94</v>
      </c>
      <c r="J7" s="114" t="s">
        <v>94</v>
      </c>
      <c r="K7" s="114" t="s">
        <v>874</v>
      </c>
      <c r="L7" s="114" t="s">
        <v>874</v>
      </c>
      <c r="M7" s="114" t="s">
        <v>94</v>
      </c>
      <c r="N7" s="114">
        <v>3</v>
      </c>
      <c r="O7" s="114">
        <v>2</v>
      </c>
      <c r="P7" s="114">
        <v>3</v>
      </c>
      <c r="Q7" s="114" t="s">
        <v>631</v>
      </c>
      <c r="R7"/>
      <c r="S7"/>
    </row>
    <row r="8" spans="1:19" x14ac:dyDescent="0.25">
      <c r="A8" s="114">
        <v>2</v>
      </c>
      <c r="B8" s="114" t="s">
        <v>722</v>
      </c>
      <c r="C8" s="52">
        <v>45180</v>
      </c>
      <c r="D8" s="114" t="s">
        <v>428</v>
      </c>
      <c r="E8" s="114" t="s">
        <v>161</v>
      </c>
      <c r="F8" s="114" t="s">
        <v>7</v>
      </c>
      <c r="G8" s="114" t="s">
        <v>7</v>
      </c>
      <c r="H8" s="114" t="s">
        <v>7</v>
      </c>
      <c r="I8" t="s">
        <v>94</v>
      </c>
      <c r="J8" s="114" t="s">
        <v>94</v>
      </c>
      <c r="K8" s="114" t="s">
        <v>874</v>
      </c>
      <c r="L8" s="114" t="s">
        <v>874</v>
      </c>
      <c r="M8" s="114" t="s">
        <v>94</v>
      </c>
      <c r="N8" s="114">
        <v>3</v>
      </c>
      <c r="O8" s="114">
        <v>2</v>
      </c>
      <c r="P8" s="114">
        <v>3</v>
      </c>
      <c r="Q8" s="114" t="s">
        <v>729</v>
      </c>
      <c r="R8"/>
      <c r="S8"/>
    </row>
  </sheetData>
  <phoneticPr fontId="4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29</vt:i4>
      </vt:variant>
    </vt:vector>
  </HeadingPairs>
  <TitlesOfParts>
    <vt:vector size="48" baseType="lpstr">
      <vt:lpstr>MDM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WST</vt:lpstr>
      <vt:lpstr>wCurated</vt:lpstr>
      <vt:lpstr>wCredit</vt:lpstr>
      <vt:lpstr>wBISL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2023-03-10T12:57:22Z</dcterms:created>
  <dcterms:modified xsi:type="dcterms:W3CDTF">2023-09-15T13:38:08Z</dcterms:modified>
</cp:coreProperties>
</file>