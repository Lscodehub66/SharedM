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1.xml" ContentType="application/vnd.openxmlformats-officedocument.spreadsheetml.queryTable+xml"/>
  <Override PartName="/xl/tables/table13.xml" ContentType="application/vnd.openxmlformats-officedocument.spreadsheetml.table+xml"/>
  <Override PartName="/xl/queryTables/queryTable2.xml" ContentType="application/vnd.openxmlformats-officedocument.spreadsheetml.queryTable+xml"/>
  <Override PartName="/xl/tables/table14.xml" ContentType="application/vnd.openxmlformats-officedocument.spreadsheetml.table+xml"/>
  <Override PartName="/xl/queryTables/queryTable3.xml" ContentType="application/vnd.openxmlformats-officedocument.spreadsheetml.queryTable+xml"/>
  <Override PartName="/xl/tables/table15.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queryTables/queryTable5.xml" ContentType="application/vnd.openxmlformats-officedocument.spreadsheetml.queryTable+xml"/>
  <Override PartName="/xl/tables/table18.xml" ContentType="application/vnd.openxmlformats-officedocument.spreadsheetml.table+xml"/>
  <Override PartName="/xl/queryTables/queryTable6.xml" ContentType="application/vnd.openxmlformats-officedocument.spreadsheetml.queryTable+xml"/>
  <Override PartName="/xl/drawings/drawing2.xml" ContentType="application/vnd.openxmlformats-officedocument.drawing+xml"/>
  <Override PartName="/xl/ctrlProps/ctrlProp1.xml" ContentType="application/vnd.ms-excel.controlproperties+xml"/>
  <Override PartName="/xl/tables/table19.xml" ContentType="application/vnd.openxmlformats-officedocument.spreadsheetml.table+xml"/>
  <Override PartName="/xl/queryTables/queryTable7.xml" ContentType="application/vnd.openxmlformats-officedocument.spreadsheetml.queryTable+xml"/>
  <Override PartName="/xl/tables/table20.xml" ContentType="application/vnd.openxmlformats-officedocument.spreadsheetml.table+xml"/>
  <Override PartName="/xl/queryTables/queryTable8.xml" ContentType="application/vnd.openxmlformats-officedocument.spreadsheetml.queryTable+xml"/>
  <Override PartName="/xl/tables/table21.xml" ContentType="application/vnd.openxmlformats-officedocument.spreadsheetml.table+xml"/>
  <Override PartName="/xl/queryTables/queryTable9.xml" ContentType="application/vnd.openxmlformats-officedocument.spreadsheetml.queryTable+xml"/>
  <Override PartName="/xl/tables/table22.xml" ContentType="application/vnd.openxmlformats-officedocument.spreadsheetml.table+xml"/>
  <Override PartName="/xl/queryTables/queryTable10.xml" ContentType="application/vnd.openxmlformats-officedocument.spreadsheetml.queryTable+xml"/>
  <Override PartName="/xl/comments1.xml" ContentType="application/vnd.openxmlformats-officedocument.spreadsheetml.comments+xml"/>
  <Override PartName="/xl/drawings/drawing3.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drawings/drawing4.xml" ContentType="application/vnd.openxmlformats-officedocument.drawing+xml"/>
  <Override PartName="/xl/tables/table26.xml" ContentType="application/vnd.openxmlformats-officedocument.spreadsheetml.table+xml"/>
  <Override PartName="/xl/queryTables/queryTable11.xml" ContentType="application/vnd.openxmlformats-officedocument.spreadsheetml.queryTable+xml"/>
  <Override PartName="/xl/tables/table27.xml" ContentType="application/vnd.openxmlformats-officedocument.spreadsheetml.table+xml"/>
  <Override PartName="/xl/queryTables/queryTable12.xml" ContentType="application/vnd.openxmlformats-officedocument.spreadsheetml.queryTable+xml"/>
  <Override PartName="/xl/drawings/drawing5.xml" ContentType="application/vnd.openxmlformats-officedocument.drawing+xml"/>
  <Override PartName="/xl/tables/table28.xml" ContentType="application/vnd.openxmlformats-officedocument.spreadsheetml.table+xml"/>
  <Override PartName="/xl/queryTables/queryTable13.xml" ContentType="application/vnd.openxmlformats-officedocument.spreadsheetml.queryTable+xml"/>
  <Override PartName="/xl/tables/table29.xml" ContentType="application/vnd.openxmlformats-officedocument.spreadsheetml.table+xml"/>
  <Override PartName="/xl/queryTables/queryTable14.xml" ContentType="application/vnd.openxmlformats-officedocument.spreadsheetml.queryTable+xml"/>
  <Override PartName="/xl/tables/table30.xml" ContentType="application/vnd.openxmlformats-officedocument.spreadsheetml.table+xml"/>
  <Override PartName="/xl/queryTables/queryTable15.xml" ContentType="application/vnd.openxmlformats-officedocument.spreadsheetml.queryTable+xml"/>
  <Override PartName="/xl/tables/table31.xml" ContentType="application/vnd.openxmlformats-officedocument.spreadsheetml.table+xml"/>
  <Override PartName="/xl/queryTables/queryTable16.xml" ContentType="application/vnd.openxmlformats-officedocument.spreadsheetml.queryTable+xml"/>
  <Override PartName="/xl/tables/table32.xml" ContentType="application/vnd.openxmlformats-officedocument.spreadsheetml.table+xml"/>
  <Override PartName="/xl/comments2.xml" ContentType="application/vnd.openxmlformats-officedocument.spreadsheetml.comments+xml"/>
  <Override PartName="/xl/tables/table33.xml" ContentType="application/vnd.openxmlformats-officedocument.spreadsheetml.table+xml"/>
  <Override PartName="/xl/queryTables/queryTable17.xml" ContentType="application/vnd.openxmlformats-officedocument.spreadsheetml.queryTable+xml"/>
  <Override PartName="/xl/tables/table34.xml" ContentType="application/vnd.openxmlformats-officedocument.spreadsheetml.table+xml"/>
  <Override PartName="/xl/comments3.xml" ContentType="application/vnd.openxmlformats-officedocument.spreadsheetml.comments+xml"/>
  <Override PartName="/xl/drawings/drawing6.xml" ContentType="application/vnd.openxmlformats-officedocument.drawing+xml"/>
  <Override PartName="/xl/tables/table35.xml" ContentType="application/vnd.openxmlformats-officedocument.spreadsheetml.table+xml"/>
  <Override PartName="/xl/tables/table36.xml" ContentType="application/vnd.openxmlformats-officedocument.spreadsheetml.table+xml"/>
  <Override PartName="/xl/queryTables/queryTable18.xml" ContentType="application/vnd.openxmlformats-officedocument.spreadsheetml.queryTable+xml"/>
  <Override PartName="/xl/tables/table37.xml" ContentType="application/vnd.openxmlformats-officedocument.spreadsheetml.table+xml"/>
  <Override PartName="/xl/queryTables/queryTable19.xml" ContentType="application/vnd.openxmlformats-officedocument.spreadsheetml.queryTable+xml"/>
  <Override PartName="/xl/tables/table38.xml" ContentType="application/vnd.openxmlformats-officedocument.spreadsheetml.table+xml"/>
  <Override PartName="/xl/queryTables/queryTable20.xml" ContentType="application/vnd.openxmlformats-officedocument.spreadsheetml.queryTable+xml"/>
  <Override PartName="/xl/tables/table39.xml" ContentType="application/vnd.openxmlformats-officedocument.spreadsheetml.table+xml"/>
  <Override PartName="/xl/queryTables/queryTable21.xml" ContentType="application/vnd.openxmlformats-officedocument.spreadsheetml.queryTable+xml"/>
  <Override PartName="/xl/drawings/drawing7.xml" ContentType="application/vnd.openxmlformats-officedocument.drawing+xml"/>
  <Override PartName="/xl/tables/table40.xml" ContentType="application/vnd.openxmlformats-officedocument.spreadsheetml.table+xml"/>
  <Override PartName="/xl/queryTables/queryTable22.xml" ContentType="application/vnd.openxmlformats-officedocument.spreadsheetml.queryTable+xml"/>
  <Override PartName="/xl/drawings/drawing8.xml" ContentType="application/vnd.openxmlformats-officedocument.drawing+xml"/>
  <Override PartName="/xl/tables/table41.xml" ContentType="application/vnd.openxmlformats-officedocument.spreadsheetml.table+xml"/>
  <Override PartName="/xl/queryTables/queryTable23.xml" ContentType="application/vnd.openxmlformats-officedocument.spreadsheetml.queryTable+xml"/>
  <Override PartName="/xl/tables/table42.xml" ContentType="application/vnd.openxmlformats-officedocument.spreadsheetml.table+xml"/>
  <Override PartName="/xl/queryTables/queryTable2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401" codeName="{3D1A710C-6663-3D7B-7F91-EC182F24A4BC}"/>
  <workbookPr codeName="ThisWorkbook"/>
  <mc:AlternateContent xmlns:mc="http://schemas.openxmlformats.org/markup-compatibility/2006">
    <mc:Choice Requires="x15">
      <x15ac:absPath xmlns:x15ac="http://schemas.microsoft.com/office/spreadsheetml/2010/11/ac" url="\\10.10.1.215\dcm$\Team Folder\Execution Team\Weekly AM\20230814\Data\"/>
    </mc:Choice>
  </mc:AlternateContent>
  <xr:revisionPtr revIDLastSave="0" documentId="13_ncr:1_{3A832767-629D-4026-9766-F0A0EFA01AF7}" xr6:coauthVersionLast="36" xr6:coauthVersionMax="36" xr10:uidLastSave="{00000000-0000-0000-0000-000000000000}"/>
  <bookViews>
    <workbookView xWindow="0" yWindow="0" windowWidth="28800" windowHeight="11625" tabRatio="594" firstSheet="1" activeTab="1" xr2:uid="{00000000-000D-0000-FFFF-FFFF00000000}"/>
  </bookViews>
  <sheets>
    <sheet name="EXE" sheetId="27" state="hidden" r:id="rId1"/>
    <sheet name="DOWNLOAD" sheetId="1" r:id="rId2"/>
    <sheet name="FIMTN" sheetId="43" state="hidden" r:id="rId3"/>
    <sheet name="load" sheetId="23" r:id="rId4"/>
    <sheet name="REVIEW_LIST" sheetId="33" r:id="rId5"/>
    <sheet name="Charts" sheetId="40" r:id="rId6"/>
    <sheet name="WRITER" sheetId="39" r:id="rId7"/>
    <sheet name="ECON" sheetId="30" r:id="rId8"/>
    <sheet name="FUTURE" sheetId="41" r:id="rId9"/>
    <sheet name="Add" sheetId="15" r:id="rId10"/>
    <sheet name="dmi" sheetId="42" state="hidden" r:id="rId11"/>
    <sheet name="bbgcorp" sheetId="49" state="hidden" r:id="rId12"/>
    <sheet name="台账" sheetId="51" state="hidden" r:id="rId13"/>
    <sheet name="WST" sheetId="50" state="hidden" r:id="rId14"/>
    <sheet name="AddtoCurated" sheetId="48" state="hidden" r:id="rId15"/>
    <sheet name="AddtoCredit" sheetId="46" state="hidden" r:id="rId16"/>
    <sheet name="AddtoBISL" sheetId="47" state="hidden" r:id="rId17"/>
  </sheets>
  <definedNames>
    <definedName name="_xlnm._FilterDatabase" localSheetId="2" hidden="1">FIMTN!#REF!</definedName>
    <definedName name="dd_BISL_role">BISL_ROLE[BISL_ROLE]</definedName>
    <definedName name="dd_bocomdeal">BOCOM_DEAL[BOCOM_DEAL?]</definedName>
    <definedName name="dd_bocomrole">tbl_dd_role[其他交银_ROLE]</definedName>
    <definedName name="dd_by_rtg">tbl_dd_by_rtg[评级分类]</definedName>
    <definedName name="dd_byrtg">tbl_dd_by_rtg[评级分类]</definedName>
    <definedName name="dd_coverage">tbl_dd_coverage[COVERAGE]</definedName>
    <definedName name="dd_crcy">tbl_dd_crcy[货币]</definedName>
    <definedName name="dd_econ">ECON[上周主要经济数据]</definedName>
    <definedName name="dd_ECONEvent">ECON[上周主要经济数据]</definedName>
    <definedName name="dd_econfuture">FUTURE[未来一周主要经济数据]</definedName>
    <definedName name="dd_fi_shortlisted">#REF!</definedName>
    <definedName name="dd_FutureEvent">FUTURE[未来一周主要经济数据]</definedName>
    <definedName name="dd_listing">tbl_dd_listing[上市]</definedName>
    <definedName name="dd_region">tbl_dd_region[地区]</definedName>
    <definedName name="dd_sector">tbl_ddsector[行业]</definedName>
    <definedName name="dd_sfcrole">tbl_dd_sfcrole[新规角色]</definedName>
    <definedName name="dd_strct">tbl_dd_structure[结构]</definedName>
    <definedName name="dd_structure">tbl_dd_structure[结构]</definedName>
    <definedName name="dd_theme">tbl_dd_theme[主题]</definedName>
    <definedName name="dd_updator">tbl_dd_updator[EXE]</definedName>
    <definedName name="dd_weeklylist">#REF!</definedName>
    <definedName name="dd_中资属性">中资属性[中资属性]</definedName>
    <definedName name="dd_板块">板块[板块]</definedName>
    <definedName name="ExternalData_1" localSheetId="14" hidden="1">AddtoCurated!$A$4:$AS$9</definedName>
    <definedName name="ExternalData_1" localSheetId="11" hidden="1">bbgcorp!$A$5:$L$6</definedName>
    <definedName name="ExternalData_1" localSheetId="7" hidden="1">ECON!$A$12:$O$27</definedName>
    <definedName name="ExternalData_1" localSheetId="0" hidden="1">EXE!$I$6:$I$11</definedName>
    <definedName name="ExternalData_1" localSheetId="2" hidden="1">FIMTN!$A$5:$J$6</definedName>
    <definedName name="ExternalData_1" localSheetId="13" hidden="1">WST!$A$5:$M$8</definedName>
    <definedName name="ExternalData_10" localSheetId="0" hidden="1">EXE!$E$18:$E$25</definedName>
    <definedName name="ExternalData_11" localSheetId="1" hidden="1">DOWNLOAD!#REF!</definedName>
    <definedName name="ExternalData_11" localSheetId="6" hidden="1">WRITER!$A$9:$F$11</definedName>
    <definedName name="ExternalData_12" localSheetId="6" hidden="1">WRITER!$A$16:$F$18</definedName>
    <definedName name="ExternalData_15" localSheetId="1" hidden="1">DOWNLOAD!$A$10:$CA$15</definedName>
    <definedName name="ExternalData_16" localSheetId="10" hidden="1">dmi!$A$5:$BQ$10</definedName>
    <definedName name="ExternalData_16" localSheetId="1" hidden="1">DOWNLOAD!#REF!</definedName>
    <definedName name="ExternalData_17" localSheetId="1" hidden="1">DOWNLOAD!#REF!</definedName>
    <definedName name="ExternalData_18" localSheetId="1" hidden="1">DOWNLOAD!#REF!</definedName>
    <definedName name="ExternalData_19" localSheetId="1" hidden="1">DOWNLOAD!#REF!</definedName>
    <definedName name="ExternalData_19" localSheetId="3" hidden="1">load!$C$5:$AD$10</definedName>
    <definedName name="ExternalData_2" localSheetId="0" hidden="1">EXE!$J$6:$J$12</definedName>
    <definedName name="ExternalData_2" localSheetId="8" hidden="1">FUTURE!$A$10:$O$27</definedName>
    <definedName name="ExternalData_2" localSheetId="3" hidden="1">load!$AH$5:$AW$8</definedName>
    <definedName name="ExternalData_2" localSheetId="12" hidden="1">台账!$A$5:$H$7</definedName>
    <definedName name="ExternalData_21" localSheetId="3" hidden="1">load!$AI$11:$AL$12</definedName>
    <definedName name="ExternalData_3" localSheetId="0" hidden="1">EXE!$K$6:$K$12</definedName>
    <definedName name="ExternalData_3" localSheetId="3" hidden="1">load!$A$5:$A$33</definedName>
    <definedName name="ExternalData_4" localSheetId="5" hidden="1">Charts!$P$5:$AF$10</definedName>
    <definedName name="ExternalData_4" localSheetId="0" hidden="1">EXE!$M$6:$M$15</definedName>
    <definedName name="ExternalData_5" localSheetId="14" hidden="1">AddtoCurated!$A$4:$BL$14</definedName>
    <definedName name="ExternalData_6" localSheetId="16" hidden="1">AddtoBISL!$A$5:$S$7</definedName>
    <definedName name="ExternalData_8" localSheetId="5" hidden="1">Charts!$A$5:$J$10</definedName>
    <definedName name="ExternalData_8" localSheetId="6" hidden="1">WRITER!$A$4:$F$5</definedName>
    <definedName name="ExternalData_9" localSheetId="15" hidden="1">AddtoCredit!$A$4:$T$6</definedName>
    <definedName name="ExternalData_9" localSheetId="0" hidden="1">EXE!#REF!</definedName>
    <definedName name="GPS">EXE!$A$1</definedName>
    <definedName name="hard_coded_1">Add!$G$2:$H$20</definedName>
    <definedName name="hard_coded_2">REVIEW_LIST!$A$4:$AD$41</definedName>
    <definedName name="hard_coded_3">REVIEW_LIST!$AG$4:$AV$40</definedName>
    <definedName name="hard_coded_4">REVIEW_LIST!$AY$4:$BB$40</definedName>
    <definedName name="hard_coded_5">input_econ[上周主要经济数据]</definedName>
    <definedName name="hard_coded_6">input_future[未来一周主要经济数据]</definedName>
    <definedName name="input_data">Add!$G$2:$H$19</definedName>
    <definedName name="Name">load!$S$4</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4" i="1" l="1"/>
  <c r="C7" i="1"/>
  <c r="C6" i="1"/>
  <c r="D6" i="1" s="1"/>
  <c r="C5" i="1"/>
  <c r="D5" i="1" l="1"/>
  <c r="D1" i="23"/>
  <c r="S4" i="23" l="1"/>
  <c r="A1" i="27"/>
  <c r="C1" i="40" l="1"/>
  <c r="R1" i="40" l="1"/>
  <c r="Q1" i="40" l="1"/>
  <c r="F4" i="41" l="1"/>
  <c r="E4" i="41"/>
  <c r="D4" i="41"/>
  <c r="F6" i="41"/>
  <c r="E6" i="41"/>
  <c r="D6" i="41"/>
  <c r="F3" i="41"/>
  <c r="E3" i="41"/>
  <c r="D3" i="41"/>
  <c r="F7" i="41"/>
  <c r="E7" i="41"/>
  <c r="D7" i="41"/>
  <c r="F5" i="41"/>
  <c r="E5" i="41"/>
  <c r="D5" i="41"/>
  <c r="F8" i="41"/>
  <c r="E8" i="41"/>
  <c r="D8" i="41"/>
  <c r="H21" i="15"/>
  <c r="G21" i="15"/>
  <c r="F21" i="15"/>
  <c r="H22" i="15" l="1"/>
  <c r="G22" i="15"/>
  <c r="F22" i="15"/>
  <c r="H24" i="15"/>
  <c r="F24" i="15"/>
  <c r="G24" i="15"/>
  <c r="H23" i="15"/>
  <c r="G23" i="15"/>
  <c r="F23" i="15"/>
  <c r="D4" i="30" l="1"/>
  <c r="E4" i="30"/>
  <c r="E8" i="30"/>
  <c r="E7" i="30"/>
  <c r="E5" i="30"/>
  <c r="E3" i="30"/>
  <c r="E6" i="30"/>
  <c r="F4" i="30"/>
  <c r="F8" i="30"/>
  <c r="F7" i="30"/>
  <c r="F5" i="30"/>
  <c r="F3" i="30"/>
  <c r="F6" i="30"/>
  <c r="G4" i="30"/>
  <c r="G8" i="30"/>
  <c r="G7" i="30"/>
  <c r="G5" i="30"/>
  <c r="G3" i="30"/>
  <c r="G6" i="30"/>
  <c r="D8" i="30"/>
  <c r="D7" i="30"/>
  <c r="D5" i="30"/>
  <c r="D3" i="30"/>
  <c r="D6" i="30"/>
  <c r="H26" i="15" l="1"/>
  <c r="G26" i="15"/>
  <c r="F26" i="15"/>
  <c r="H25" i="15"/>
  <c r="G25" i="15"/>
  <c r="F25"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Kingsley Tong 童富涵</author>
  </authors>
  <commentList>
    <comment ref="D1" authorId="0" shapeId="0" xr:uid="{47F3EA3D-92D0-444E-B637-DD2064F0A57D}">
      <text>
        <r>
          <rPr>
            <b/>
            <sz val="9"/>
            <color indexed="81"/>
            <rFont val="Tahoma"/>
            <family val="2"/>
          </rPr>
          <t>Formula to check paste value in 1.Download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Kingsley Tong 童富涵</author>
  </authors>
  <commentList>
    <comment ref="I1" authorId="0" shapeId="0" xr:uid="{9E79F6EF-C573-41CC-A542-C28D3DFED6AB}">
      <text>
        <r>
          <rPr>
            <b/>
            <sz val="9"/>
            <color indexed="81"/>
            <rFont val="Tahoma"/>
            <family val="2"/>
          </rPr>
          <t>Data Validation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Kingsley Tong 童富涵</author>
  </authors>
  <commentList>
    <comment ref="H1" authorId="0" shapeId="0" xr:uid="{D9E72B1F-ECB3-4013-8B69-1FAC32DEFBFF}">
      <text>
        <r>
          <rPr>
            <b/>
            <sz val="9"/>
            <color indexed="81"/>
            <rFont val="Tahoma"/>
            <family val="2"/>
          </rPr>
          <t>Data Validation Cell</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1000000}" keepAlive="1" name="Query - append" description="Connection to the 'append' query in the workbook." type="5" refreshedVersion="0" background="1" saveData="1">
    <dbPr connection="Provider=Microsoft.Mashup.OleDb.1;Data Source=$Workbook$;Location=append;Extended Properties=&quot;&quot;" command="SELECT * FROM [append]"/>
    <extLst>
      <ext xmlns:x15="http://schemas.microsoft.com/office/spreadsheetml/2010/11/main" uri="{DE250136-89BD-433C-8126-D09CA5730AF9}">
        <x15:connection id="" excludeFromRefreshAll="1"/>
      </ext>
    </extLst>
  </connection>
  <connection id="2" xr16:uid="{00000000-0015-0000-FFFF-FFFF02000000}" keepAlive="1" name="Query - append_charts" description="Connection to the 'append_charts' query in the workbook." type="5" refreshedVersion="0" background="1" saveData="1">
    <dbPr connection="Provider=Microsoft.Mashup.OleDb.1;Data Source=$Workbook$;Location=append_charts;Extended Properties=&quot;&quot;" command="SELECT * FROM [append_charts]"/>
    <extLst>
      <ext xmlns:x15="http://schemas.microsoft.com/office/spreadsheetml/2010/11/main" uri="{DE250136-89BD-433C-8126-D09CA5730AF9}">
        <x15:connection id="" excludeFromRefreshAll="1"/>
      </ext>
    </extLst>
  </connection>
  <connection id="3" xr16:uid="{00000000-0015-0000-FFFF-FFFF03000000}" keepAlive="1" name="Query - BBGcorp" description="Connection to the 'BBGcorp' query in the workbook." type="5" refreshedVersion="6" background="1" saveData="1">
    <dbPr connection="Provider=Microsoft.Mashup.OleDb.1;Data Source=$Workbook$;Location=BBGcorp;Extended Properties=&quot;&quot;" command="SELECT * FROM [BBGcorp]"/>
    <extLst>
      <ext xmlns:x15="http://schemas.microsoft.com/office/spreadsheetml/2010/11/main" uri="{DE250136-89BD-433C-8126-D09CA5730AF9}">
        <x15:connection id="" excludeFromRefreshAll="1"/>
      </ext>
    </extLst>
  </connection>
  <connection id="4" xr16:uid="{7271C9AE-7E6A-4CA5-AE87-5A56963D7E9D}" keepAlive="1" name="Query - BBGRtg" description="Connection to the 'BBGRtg' query in the workbook." type="5" refreshedVersion="0" background="1">
    <dbPr connection="Provider=Microsoft.Mashup.OleDb.1;Data Source=$Workbook$;Location=BBGRtg;Extended Properties=&quot;&quot;" command="SELECT * FROM [BBGRtg]"/>
  </connection>
  <connection id="5" xr16:uid="{5ECC110B-5941-4CB2-94EB-3F1D17502467}" keepAlive="1" name="Query - BISL_ROLE" description="Connection to the 'BISL_ROLE' query in the workbook." type="5" refreshedVersion="6" background="1" saveData="1">
    <dbPr connection="Provider=Microsoft.Mashup.OleDb.1;Data Source=$Workbook$;Location=BISL_ROLE;Extended Properties=&quot;&quot;" command="SELECT * FROM [BISL_ROLE]"/>
  </connection>
  <connection id="6" xr16:uid="{80FE2552-31D9-4ED7-AA13-128037E31F67}" keepAlive="1" name="Query - BOCOM_DEAL" description="Connection to the 'BOCOM_DEAL' query in the workbook." type="5" refreshedVersion="6" background="1" saveData="1">
    <dbPr connection="Provider=Microsoft.Mashup.OleDb.1;Data Source=$Workbook$;Location=BOCOM_DEAL;Extended Properties=&quot;&quot;" command="SELECT * FROM [BOCOM_DEAL]"/>
  </connection>
  <connection id="7" xr16:uid="{00000000-0015-0000-FFFF-FFFF04000000}" keepAlive="1" name="Query - charts" description="Connection to the 'charts' query in the workbook." type="5" refreshedVersion="6" background="1" saveData="1">
    <dbPr connection="Provider=Microsoft.Mashup.OleDb.1;Data Source=$Workbook$;Location=charts;Extended Properties=&quot;&quot;" command="SELECT * FROM [charts]"/>
    <extLst>
      <ext xmlns:x15="http://schemas.microsoft.com/office/spreadsheetml/2010/11/main" uri="{DE250136-89BD-433C-8126-D09CA5730AF9}">
        <x15:connection id="" excludeFromRefreshAll="1"/>
      </ext>
    </extLst>
  </connection>
  <connection id="8" xr16:uid="{00000000-0015-0000-FFFF-FFFF05000000}" keepAlive="1" name="Query - charts_list" description="Connection to the 'charts_list' query in the workbook." type="5" refreshedVersion="6" background="1" saveData="1">
    <dbPr connection="Provider=Microsoft.Mashup.OleDb.1;Data Source=$Workbook$;Location=Charts_list;Extended Properties=&quot;&quot;" command="SELECT * FROM [charts_list]"/>
  </connection>
  <connection id="9" xr16:uid="{478B3F06-FC65-4BFF-995C-3141BA3E15B8}" keepAlive="1" name="Query - ColNow_charts" description="Connection to the 'ColNow_charts' query in the workbook." type="5" refreshedVersion="0" background="1">
    <dbPr connection="Provider=Microsoft.Mashup.OleDb.1;Data Source=$Workbook$;Location=ColNow_charts;Extended Properties=&quot;&quot;" command="SELECT * FROM [ColNow_charts]"/>
  </connection>
  <connection id="10" xr16:uid="{33FD96BB-2061-4D64-B212-F4E92D26C14A}" keepAlive="1" name="Query - ColNow_Graph" description="Connection to the 'ColNow_Graph' query in the workbook." type="5" refreshedVersion="0" background="1">
    <dbPr connection="Provider=Microsoft.Mashup.OleDb.1;Data Source=$Workbook$;Location=ColNow_Graph;Extended Properties=&quot;&quot;" command="SELECT * FROM [ColNow_Graph]"/>
  </connection>
  <connection id="11" xr16:uid="{00000000-0015-0000-FFFF-FFFF27000000}" keepAlive="1" name="Query - ColNow_mBISL" description="Connection to the 'ColNow_mBISL' query in the workbook." type="5" refreshedVersion="0" background="1">
    <dbPr connection="Provider=Microsoft.Mashup.OleDb.1;Data Source=$Workbook$;Location=ColNow_mBISL;Extended Properties=&quot;&quot;" command="SELECT * FROM [ColNow_mBISL]"/>
  </connection>
  <connection id="12" xr16:uid="{F6638094-FD8F-4406-890E-04C11EEAACAB}" keepAlive="1" name="Query - ColNow_mCredit" description="Connection to the 'ColNow_mCredit' query in the workbook." type="5" refreshedVersion="0" background="1">
    <dbPr connection="Provider=Microsoft.Mashup.OleDb.1;Data Source=$Workbook$;Location=ColNow_mCredit;Extended Properties=&quot;&quot;" command="SELECT * FROM [ColNow_mCredit]"/>
  </connection>
  <connection id="13" xr16:uid="{28F817A5-DA87-4C75-ABB7-1836A531F661}" keepAlive="1" name="Query - ColNow_mCurated" description="Connection to the 'ColNow_mCurated' query in the workbook." type="5" refreshedVersion="0" background="1">
    <dbPr connection="Provider=Microsoft.Mashup.OleDb.1;Data Source=$Workbook$;Location=ColNow_mCurated;Extended Properties=&quot;&quot;" command="SELECT * FROM [ColNow_mCurated]"/>
  </connection>
  <connection id="14" xr16:uid="{0AF1C12F-6409-4D40-8000-EA1EAF0A94F1}" keepAlive="1" name="Query - ColNow_mDMI" description="Connection to the 'ColNow_mDMI' query in the workbook." type="5" refreshedVersion="0" background="1">
    <dbPr connection="Provider=Microsoft.Mashup.OleDb.1;Data Source=$Workbook$;Location=ColNow_mDMI;Extended Properties=&quot;&quot;" command="SELECT * FROM [ColNow_mDMI]"/>
  </connection>
  <connection id="15" xr16:uid="{00000000-0015-0000-FFFF-FFFF06000000}" keepAlive="1" name="Query - credit_all" description="Connection to the 'credit_all' query in the workbook." type="5" refreshedVersion="8" background="1" saveData="1">
    <dbPr connection="Provider=Microsoft.Mashup.OleDb.1;Data Source=$Workbook$;Location=credit_all;Extended Properties=&quot;&quot;" command="SELECT * FROM [credit_all]"/>
  </connection>
  <connection id="16" xr16:uid="{00000000-0015-0000-FFFF-FFFF07000000}" keepAlive="1" name="Query - credit_all(1)" description="Connection to the 'credit_all' query in the workbook." type="5" refreshedVersion="0" background="1">
    <dbPr connection="Provider=Microsoft.Mashup.OleDb.1;Data Source=$Workbook$;Location=credit_all;Extended Properties=&quot;&quot;" command="SELECT * FROM [credit_all]"/>
  </connection>
  <connection id="17" xr16:uid="{00000000-0015-0000-FFFF-FFFF08000000}" keepAlive="1" name="Query - credit_all2" description="Connection to the 'credit_all2' query in the workbook." type="5" refreshedVersion="0" background="1">
    <dbPr connection="Provider=Microsoft.Mashup.OleDb.1;Data Source=$Workbook$;Location=credit_all2;Extended Properties=&quot;&quot;" command="SELECT * FROM [credit_all2]"/>
  </connection>
  <connection id="18" xr16:uid="{30F28B3F-FE28-4E31-BE48-AE3BE321E910}" keepAlive="1" name="Query - deal_master" description="Connection to the 'deal_master' query in the workbook." type="5" refreshedVersion="0" background="1">
    <dbPr connection="Provider=Microsoft.Mashup.OleDb.1;Data Source=$Workbook$;Location=deal_master;Extended Properties=&quot;&quot;" command="SELECT * FROM [deal_master]"/>
  </connection>
  <connection id="19" xr16:uid="{00000000-0015-0000-FFFF-FFFF38000000}" keepAlive="1" name="Query - DimDate" description="Connection to the 'DimDate' query in the workbook." type="5" refreshedVersion="0" background="1">
    <dbPr connection="Provider=Microsoft.Mashup.OleDb.1;Data Source=$Workbook$;Location=DimDate;Extended Properties=&quot;&quot;" command="SELECT * FROM [DimDate]"/>
  </connection>
  <connection id="20" xr16:uid="{00000000-0015-0000-FFFF-FFFF2B000000}" keepAlive="1" name="Query - DiscoverPrice" description="Connection to the 'DiscoverPrice' query in the workbook." type="5" refreshedVersion="6" background="1" saveData="1">
    <dbPr connection="Provider=Microsoft.Mashup.OleDb.1;Data Source=$Workbook$;Location=DiscoverPrice;Extended Properties=&quot;&quot;" command="SELECT * FROM [DiscoverPrice]"/>
    <extLst>
      <ext xmlns:x15="http://schemas.microsoft.com/office/spreadsheetml/2010/11/main" uri="{DE250136-89BD-433C-8126-D09CA5730AF9}">
        <x15:connection id="" excludeFromRefreshAll="1"/>
      </ext>
    </extLst>
  </connection>
  <connection id="21" xr16:uid="{00000000-0015-0000-FFFF-FFFF09000000}" keepAlive="1" name="Query - DLDconso" description="Connection to the 'DLDconso' query in the workbook." type="5" refreshedVersion="6" background="1" saveData="1">
    <dbPr connection="Provider=Microsoft.Mashup.OleDb.1;Data Source=$Workbook$;Location=DLDconso;Extended Properties=&quot;&quot;" command="SELECT * FROM [DLDconso]"/>
    <extLst>
      <ext xmlns:x15="http://schemas.microsoft.com/office/spreadsheetml/2010/11/main" uri="{DE250136-89BD-433C-8126-D09CA5730AF9}">
        <x15:connection id="" excludeFromRefreshAll="1"/>
      </ext>
    </extLst>
  </connection>
  <connection id="22" xr16:uid="{00000000-0015-0000-FFFF-FFFF0A000000}" keepAlive="1" name="Query - dmi" description="Connection to the 'dmi' query in the workbook." type="5" refreshedVersion="6" background="1" saveData="1">
    <dbPr connection="Provider=Microsoft.Mashup.OleDb.1;Data Source=$Workbook$;Location=dmi;Extended Properties=&quot;&quot;" command="SELECT * FROM [dmi]"/>
    <extLst>
      <ext xmlns:x15="http://schemas.microsoft.com/office/spreadsheetml/2010/11/main" uri="{DE250136-89BD-433C-8126-D09CA5730AF9}">
        <x15:connection id="" excludeFromRefreshAll="1"/>
      </ext>
    </extLst>
  </connection>
  <connection id="23" xr16:uid="{00000000-0015-0000-FFFF-FFFF0B000000}" keepAlive="1" name="Query - DMIBBG" description="Connection to the 'DMIBBG' query in the workbook." type="5" refreshedVersion="6" background="1" saveData="1">
    <dbPr connection="Provider=Microsoft.Mashup.OleDb.1;Data Source=$Workbook$;Location=dmibbg;Extended Properties=&quot;&quot;" command="SELECT * FROM [DMIBBG]"/>
  </connection>
  <connection id="24" xr16:uid="{00000000-0015-0000-FFFF-FFFF0C000000}" keepAlive="1" name="Query - DMIFilters" description="Connection to the 'DMIFilters' query in the workbook." type="5" refreshedVersion="0" background="1">
    <dbPr connection="Provider=Microsoft.Mashup.OleDb.1;Data Source=$Workbook$;Location=DMIFilters;Extended Properties=&quot;&quot;" command="SELECT * FROM [DMIFilters]"/>
  </connection>
  <connection id="25" xr16:uid="{B4C9D457-3E61-492F-833F-377DEFF635B1}" keepAlive="1" name="Query - DMIRtg" description="Connection to the 'DMIRtg' query in the workbook." type="5" refreshedVersion="0" background="1">
    <dbPr connection="Provider=Microsoft.Mashup.OleDb.1;Data Source=$Workbook$;Location=DMIRtg;Extended Properties=&quot;&quot;" command="SELECT * FROM [DMIRtg]"/>
  </connection>
  <connection id="26" xr16:uid="{C3C1AEC2-FEE9-4A89-928B-FEC21EF44F9F}" keepAlive="1" name="Query - dmistats" description="Connection to the 'dmistats' query in the workbook." type="5" refreshedVersion="0" background="1" saveData="1">
    <dbPr connection="Provider=Microsoft.Mashup.OleDb.1;Data Source=$Workbook$;Location=dmistats;Extended Properties=&quot;&quot;" command="SELECT * FROM [dmistats]"/>
    <extLst>
      <ext xmlns:x15="http://schemas.microsoft.com/office/spreadsheetml/2010/11/main" uri="{DE250136-89BD-433C-8126-D09CA5730AF9}">
        <x15:connection id="" excludeFromRefreshAll="1"/>
      </ext>
    </extLst>
  </connection>
  <connection id="27" xr16:uid="{00000000-0015-0000-FFFF-FFFF0D000000}" keepAlive="1" name="Query - DupeCheck" description="Connection to the 'DupeCheck' query in the workbook." type="5" refreshedVersion="0" background="1">
    <dbPr connection="Provider=Microsoft.Mashup.OleDb.1;Data Source=$Workbook$;Location=DupeCheck;Extended Properties=&quot;&quot;" command="SELECT * FROM [DupeCheck]"/>
  </connection>
  <connection id="28" xr16:uid="{00000000-0015-0000-FFFF-FFFF0E000000}" keepAlive="1" name="Query - ECON(1)" description="Connection to the 'ECON' query in the workbook." type="5" refreshedVersion="6" background="1" saveData="1">
    <dbPr connection="Provider=Microsoft.Mashup.OleDb.1;Data Source=$Workbook$;Location=ECON;Extended Properties=&quot;&quot;" command="SELECT * FROM [ECON]"/>
    <extLst>
      <ext xmlns:x15="http://schemas.microsoft.com/office/spreadsheetml/2010/11/main" uri="{DE250136-89BD-433C-8126-D09CA5730AF9}">
        <x15:connection id="" excludeFromRefreshAll="1"/>
      </ext>
    </extLst>
  </connection>
  <connection id="29" xr16:uid="{00000000-0015-0000-FFFF-FFFF0F000000}" keepAlive="1" name="Query - ECON_all" description="Connection to the 'ECON_all' query in the workbook." type="5" refreshedVersion="6" background="1" saveData="1">
    <dbPr connection="Provider=Microsoft.Mashup.OleDb.1;Data Source=$Workbook$;Location=ECON_all;Extended Properties=&quot;&quot;" command="SELECT * FROM [ECON_all]"/>
    <extLst>
      <ext xmlns:x15="http://schemas.microsoft.com/office/spreadsheetml/2010/11/main" uri="{DE250136-89BD-433C-8126-D09CA5730AF9}">
        <x15:connection id="" excludeFromRefreshAll="1"/>
      </ext>
    </extLst>
  </connection>
  <connection id="30" xr16:uid="{00000000-0015-0000-FFFF-FFFF2C000000}" keepAlive="1" name="Query - ForReview_wBOCOM" description="Connection to the 'ForReview_wBOCOM' query in the workbook." type="5" refreshedVersion="6" background="1" saveData="1">
    <dbPr connection="Provider=Microsoft.Mashup.OleDb.1;Data Source=$Workbook$;Location=ForReview_wBOCOM;Extended Properties=&quot;&quot;" command="SELECT * FROM [ForReview_wBOCOM]"/>
    <extLst>
      <ext xmlns:x15="http://schemas.microsoft.com/office/spreadsheetml/2010/11/main" uri="{DE250136-89BD-433C-8126-D09CA5730AF9}">
        <x15:connection id="" excludeFromRefreshAll="1"/>
      </ext>
    </extLst>
  </connection>
  <connection id="31" xr16:uid="{00000000-0015-0000-FFFF-FFFF00000000}" keepAlive="1" name="Query - ForReview_wCredit" description="Connection to the 'ForReview_wCredit' query in the workbook." type="5" refreshedVersion="6" background="1" saveData="1">
    <dbPr connection="Provider=Microsoft.Mashup.OleDb.1;Data Source=$Workbook$;Location=ForReview_wCredit;Extended Properties=&quot;&quot;" command="SELECT * FROM [ForReview_wCredit]"/>
    <extLst>
      <ext xmlns:x15="http://schemas.microsoft.com/office/spreadsheetml/2010/11/main" uri="{DE250136-89BD-433C-8126-D09CA5730AF9}">
        <x15:connection id="" excludeFromRefreshAll="1"/>
      </ext>
    </extLst>
  </connection>
  <connection id="32" xr16:uid="{00000000-0015-0000-FFFF-FFFF10000000}" keepAlive="1" name="Query - ForReview_wCurated" description="Connection to the 'ForReview_wCurated' query in the workbook." type="5" refreshedVersion="6" background="1" saveData="1">
    <dbPr connection="Provider=Microsoft.Mashup.OleDb.1;Data Source=$Workbook$;Location=ForReview_wCurated;Extended Properties=&quot;&quot;" command="SELECT * FROM [ForReview_wCurated]"/>
    <extLst>
      <ext xmlns:x15="http://schemas.microsoft.com/office/spreadsheetml/2010/11/main" uri="{DE250136-89BD-433C-8126-D09CA5730AF9}">
        <x15:connection id="" excludeFromRefreshAll="1"/>
      </ext>
    </extLst>
  </connection>
  <connection id="33" xr16:uid="{00000000-0015-0000-FFFF-FFFF12000000}" keepAlive="1" name="Query - FUTURE" description="Connection to the 'FUTURE' query in the workbook." type="5" refreshedVersion="6" background="1" saveData="1">
    <dbPr connection="Provider=Microsoft.Mashup.OleDb.1;Data Source=$Workbook$;Location=FUTURE;Extended Properties=&quot;&quot;" command="SELECT * FROM [FUTURE]"/>
    <extLst>
      <ext xmlns:x15="http://schemas.microsoft.com/office/spreadsheetml/2010/11/main" uri="{DE250136-89BD-433C-8126-D09CA5730AF9}">
        <x15:connection id="" excludeFromRefreshAll="1"/>
      </ext>
    </extLst>
  </connection>
  <connection id="34" xr16:uid="{ED7E70F9-70B4-4AEA-8E71-2D91C389FDB7}" keepAlive="1" name="Query - fxAddFeatured" description="Connection to the 'fxAddFeatured' query in the workbook." type="5" refreshedVersion="0" background="1">
    <dbPr connection="Provider=Microsoft.Mashup.OleDb.1;Data Source=$Workbook$;Location=fxAddFeatured;Extended Properties=&quot;&quot;" command="SELECT * FROM [fxAddFeatured]"/>
  </connection>
  <connection id="35" xr16:uid="{8C66136B-EB79-46C3-B6F6-314DCAD59AF0}" keepAlive="1" name="Query - fxAddTenor" description="Connection to the 'fxAddTenor' query in the workbook." type="5" refreshedVersion="0" background="1">
    <dbPr connection="Provider=Microsoft.Mashup.OleDb.1;Data Source=$Workbook$;Location=fxAddTenor;Extended Properties=&quot;&quot;" command="SELECT * FROM [fxAddTenor]"/>
  </connection>
  <connection id="36" xr16:uid="{00000000-0015-0000-FFFF-FFFF14000000}" keepAlive="1" name="Query - fxBOCOMDEAL" description="Connection to the 'fxBOCOMDEAL' query in the workbook." type="5" refreshedVersion="0" background="1">
    <dbPr connection="Provider=Microsoft.Mashup.OleDb.1;Data Source=$Workbook$;Location=fxBOCOMDEAL;Extended Properties=&quot;&quot;" command="SELECT * FROM [fxBOCOMDEAL]"/>
  </connection>
  <connection id="37" xr16:uid="{63E6814B-CE42-4A07-8E95-9A16BE683808}" keepAlive="1" name="Query - fxByeAllErrors" description="Connection to the 'fxByeAllErrors' query in the workbook." type="5" refreshedVersion="0" background="1">
    <dbPr connection="Provider=Microsoft.Mashup.OleDb.1;Data Source=$Workbook$;Location=fxByeAllerrors;Extended Properties=&quot;&quot;" command="SELECT * FROM [fxByeAllErrors]"/>
  </connection>
  <connection id="38" xr16:uid="{50B95D9B-B58A-47BF-A8B7-327A21A09BA5}" keepAlive="1" name="Query - fxByeAllErrors(1)" description="Connection to the 'fxByeAllErrors' query in the workbook." type="5" refreshedVersion="0" background="1">
    <dbPr connection="Provider=Microsoft.Mashup.OleDb.1;Data Source=$Workbook$;Location=fxByeAllErrors;Extended Properties=&quot;&quot;" command="SELECT * FROM [fxByeAllErrors]"/>
  </connection>
  <connection id="39" xr16:uid="{0B163748-9083-4CCF-929A-2DCBEFF0F446}" keepAlive="1" name="Query - fxCheck" description="Connection to the 'fxCheck' query in the workbook." type="5" refreshedVersion="0" background="1">
    <dbPr connection="Provider=Microsoft.Mashup.OleDb.1;Data Source=$Workbook$;Location=fxCheck;Extended Properties=&quot;&quot;" command="SELECT * FROM [fxCheck]"/>
  </connection>
  <connection id="40" xr16:uid="{00000000-0015-0000-FFFF-FFFF16000000}" keepAlive="1" name="Query - fxCheckNDupe" description="Connection to the 'fxCheckNDupe' query in the workbook." type="5" refreshedVersion="0" background="1">
    <dbPr connection="Provider=Microsoft.Mashup.OleDb.1;Data Source=$Workbook$;Location=fxCheckNDupe;Extended Properties=&quot;&quot;" command="SELECT * FROM [fxCheckNDupe]"/>
  </connection>
  <connection id="41" xr16:uid="{D92DE01B-67AA-48C8-9ED8-CF0A12C90E35}" keepAlive="1" name="Query - fxClean" description="Connection to the 'fxClean' query in the workbook." type="5" refreshedVersion="0" background="1">
    <dbPr connection="Provider=Microsoft.Mashup.OleDb.1;Data Source=$Workbook$;Location=fxClean;Extended Properties=&quot;&quot;" command="SELECT * FROM [fxClean]"/>
  </connection>
  <connection id="42" xr16:uid="{240046F4-3549-4CF6-A44E-D16FD099BE8E}" keepAlive="1" name="Query - fxCNPresenter" description="Connection to the 'fxCNPresenter' query in the workbook." type="5" refreshedVersion="0" background="1">
    <dbPr connection="Provider=Microsoft.Mashup.OleDb.1;Data Source=$Workbook$;Location=fxCNPresenter;Extended Properties=&quot;&quot;" command="SELECT * FROM [fxCNPresenter]"/>
  </connection>
  <connection id="43" xr16:uid="{00000000-0015-0000-FFFF-FFFF1A000000}" keepAlive="1" name="Query - fxCNSecName" description="Connection to the 'fxCNSecName' query in the workbook." type="5" refreshedVersion="0" background="1">
    <dbPr connection="Provider=Microsoft.Mashup.OleDb.1;Data Source=$Workbook$;Location=fxCNSecName;Extended Properties=&quot;&quot;" command="SELECT * FROM [fxCNSecName]"/>
  </connection>
  <connection id="44" xr16:uid="{E862A2C4-7470-4098-AE96-B028F7664735}" keepAlive="1" name="Query - fxCNTheme" description="Connection to the 'fxCNTheme' query in the workbook." type="5" refreshedVersion="0" background="1">
    <dbPr connection="Provider=Microsoft.Mashup.OleDb.1;Data Source=$Workbook$;Location=fxCNTheme;Extended Properties=&quot;&quot;" command="SELECT * FROM [fxCNTheme]"/>
  </connection>
  <connection id="45" xr16:uid="{D3527853-721E-4A51-B3A7-14652259259C}" keepAlive="1" name="Query - fxCountDelimeter" description="Connection to the 'fxCountDelimeter' query in the workbook." type="5" refreshedVersion="0" background="1">
    <dbPr connection="Provider=Microsoft.Mashup.OleDb.1;Data Source=$Workbook$;Location=fxCountDelimeter;Extended Properties=&quot;&quot;" command="SELECT * FROM [fxCountDelimeter]"/>
  </connection>
  <connection id="46" xr16:uid="{51259F8B-6A8C-4BF0-9F04-FA33835D5B73}" keepAlive="1" name="Query - fxCountMore" description="Connection to the 'fxCountMore' query in the workbook." type="5" refreshedVersion="0" background="1">
    <dbPr connection="Provider=Microsoft.Mashup.OleDb.1;Data Source=$Workbook$;Location=fxCountMore;Extended Properties=&quot;&quot;" command="SELECT * FROM [fxCountMore]"/>
  </connection>
  <connection id="47" xr16:uid="{00000000-0015-0000-FFFF-FFFF19000000}" keepAlive="1" name="Query - fxDataFormat" description="Connection to the 'fxDataFormat' query in the workbook." type="5" refreshedVersion="0" background="1">
    <dbPr connection="Provider=Microsoft.Mashup.OleDb.1;Data Source=$Workbook$;Location=fxDataFormat;Extended Properties=&quot;&quot;" command="SELECT * FROM [fxDataFormat]"/>
  </connection>
  <connection id="48" xr16:uid="{2ECF697F-3E92-4C6D-9AA0-C99AA86B1952}" keepAlive="1" name="Query - fxDebug" description="Connection to the 'fxDebug' query in the workbook." type="5" refreshedVersion="0" background="1">
    <dbPr connection="Provider=Microsoft.Mashup.OleDb.1;Data Source=$Workbook$;Location=fxDebug;Extended Properties=&quot;&quot;" command="SELECT * FROM [fxDebug]"/>
  </connection>
  <connection id="49" xr16:uid="{37291519-D44D-4941-B5BA-94033263FC34}" keepAlive="1" name="Query - fxDiscoverPrice" description="Connection to the 'fxDiscoverPrice' query in the workbook." type="5" refreshedVersion="0" background="1">
    <dbPr connection="Provider=Microsoft.Mashup.OleDb.1;Data Source=$Workbook$;Location=fxDiscoverPrice;Extended Properties=&quot;&quot;" command="SELECT * FROM [fxDiscoverPrice]"/>
  </connection>
  <connection id="50" xr16:uid="{B5341989-3143-46DE-A183-C2941DF8ABA2}" keepAlive="1" name="Query - fxDMILoad" description="Connection to the 'fxDMILoad' query in the workbook." type="5" refreshedVersion="0" background="1">
    <dbPr connection="Provider=Microsoft.Mashup.OleDb.1;Data Source=$Workbook$;Location=fxDMILoad;Extended Properties=&quot;&quot;" command="SELECT * FROM [fxDMILoad]"/>
  </connection>
  <connection id="51" xr16:uid="{184A33D4-2BA1-4DAB-B9AB-226ACCB9CA8B}" keepAlive="1" name="Query - fxDupeRemover" description="Connection to the 'fxDupeRemover' query in the workbook." type="5" refreshedVersion="0" background="1">
    <dbPr connection="Provider=Microsoft.Mashup.OleDb.1;Data Source=$Workbook$;Location=fxDupeRemover;Extended Properties=&quot;&quot;" command="SELECT * FROM [fxDupeRemover]"/>
  </connection>
  <connection id="52" xr16:uid="{B489F661-F60D-4F25-A3B3-43B02FA79E73}" keepAlive="1" name="Query - fxExchFilter" description="Connection to the 'fxExchFilter' query in the workbook." type="5" refreshedVersion="0" background="1">
    <dbPr connection="Provider=Microsoft.Mashup.OleDb.1;Data Source=$Workbook$;Location=fxExchFilter;Extended Properties=&quot;&quot;" command="SELECT * FROM [fxExchFilter]"/>
  </connection>
  <connection id="53" xr16:uid="{E21B6A99-46D6-4B3B-8C05-B1C704BFC87F}" keepAlive="1" name="Query - fxFPGNum" description="Connection to the 'fxFPGNum' query in the workbook." type="5" refreshedVersion="0" background="1">
    <dbPr connection="Provider=Microsoft.Mashup.OleDb.1;Data Source=$Workbook$;Location=fxFPGNum;Extended Properties=&quot;&quot;" command="SELECT * FROM [fxFPGNum]"/>
  </connection>
  <connection id="54" xr16:uid="{075E3E6E-CC91-48D0-BDED-C10A9AC8925D}" keepAlive="1" name="Query - fxFRN" description="Connection to the 'fxFRN' query in the workbook." type="5" refreshedVersion="0" background="1">
    <dbPr connection="Provider=Microsoft.Mashup.OleDb.1;Data Source=$Workbook$;Location=fxFRN;Extended Properties=&quot;&quot;" command="SELECT * FROM [fxFRN]"/>
  </connection>
  <connection id="55" xr16:uid="{AD66991F-8EB3-49E8-A820-AEAFB16691FC}" keepAlive="1" name="Query - fxGroupRtg" description="Connection to the 'fxGroupRtg' query in the workbook." type="5" refreshedVersion="0" background="1">
    <dbPr connection="Provider=Microsoft.Mashup.OleDb.1;Data Source=$Workbook$;Location=fxGroupRtg;Extended Properties=&quot;&quot;" command="SELECT * FROM [fxGroupRtg]"/>
  </connection>
  <connection id="56" xr16:uid="{E4E445F1-00CA-41E8-906C-4F2E323EEF9B}" keepAlive="1" name="Query - fxGroupSTR" description="Connection to the 'fxGroupSTR' query in the workbook." type="5" refreshedVersion="0" background="1">
    <dbPr connection="Provider=Microsoft.Mashup.OleDb.1;Data Source=$Workbook$;Location=fxGroupSTR;Extended Properties=&quot;&quot;" command="SELECT * FROM [fxGroupSTR]"/>
  </connection>
  <connection id="57" xr16:uid="{6AD4BE48-B5C2-4038-BEBF-6EBAC26EDA9D}" keepAlive="1" name="Query - fxIPGNum" description="Connection to the 'fxIPGNum' query in the workbook." type="5" refreshedVersion="0" background="1">
    <dbPr connection="Provider=Microsoft.Mashup.OleDb.1;Data Source=$Workbook$;Location=fxIPGNum;Extended Properties=&quot;&quot;" command="SELECT * FROM [fxIPGNum]"/>
  </connection>
  <connection id="58" xr16:uid="{00000000-0015-0000-FFFF-FFFF20000000}" keepAlive="1" name="Query - fxIsBOCOM" description="Connection to the 'fxIsBOCOM' query in the workbook." type="5" refreshedVersion="0" background="1">
    <dbPr connection="Provider=Microsoft.Mashup.OleDb.1;Data Source=$Workbook$;Location=fxIsBOCOM;Extended Properties=&quot;&quot;" command="SELECT * FROM [fxIsBOCOM]"/>
  </connection>
  <connection id="59" xr16:uid="{C5509861-E5FF-4403-9202-DA8BD6C5164D}" keepAlive="1" name="Query - fxIsFIMTN" description="Connection to the 'fxIsFIMTN' query in the workbook." type="5" refreshedVersion="0" background="1">
    <dbPr connection="Provider=Microsoft.Mashup.OleDb.1;Data Source=$Workbook$;Location=fxIsFIMTN;Extended Properties=&quot;&quot;" command="SELECT * FROM [fxIsFIMTN]"/>
  </connection>
  <connection id="60" xr16:uid="{2139C9B8-76BA-4CD9-82E3-EB8C9500DAD3}" keepAlive="1" name="Query - fxLauncher" description="Connection to the 'fxLauncher' query in the workbook." type="5" refreshedVersion="0" background="1">
    <dbPr connection="Provider=Microsoft.Mashup.OleDb.1;Data Source=$Workbook$;Location=fxLauncher;Extended Properties=&quot;&quot;" command="SELECT * FROM [fxLauncher]"/>
  </connection>
  <connection id="61" xr16:uid="{CE85A986-9F65-42B1-8700-3B4C6CCEFC5C}" keepAlive="1" name="Query - fxListToNull" description="Connection to the 'fxListToNull' query in the workbook." type="5" refreshedVersion="0" background="1">
    <dbPr connection="Provider=Microsoft.Mashup.OleDb.1;Data Source=$Workbook$;Location=fxListToNull;Extended Properties=&quot;&quot;" command="SELECT * FROM [fxListToNull]"/>
  </connection>
  <connection id="62" xr16:uid="{1C1F67D1-A3C4-43D2-BE41-533971CDEAD3}" keepAlive="1" name="Query - fxNameCombiner" description="Connection to the 'fxNameCombiner' query in the workbook." type="5" refreshedVersion="0" background="1">
    <dbPr connection="Provider=Microsoft.Mashup.OleDb.1;Data Source=$Workbook$;Location=fxNameCombiner;Extended Properties=&quot;&quot;" command="SELECT * FROM [fxNameCombiner]"/>
  </connection>
  <connection id="63" xr16:uid="{71492AF0-6A7F-433F-860C-FC6E729FD2C3}" keepAlive="1" name="Query - fxNewIssueWriter" description="Connection to the 'fxNewIssueWriter' query in the workbook." type="5" refreshedVersion="0" background="1">
    <dbPr connection="Provider=Microsoft.Mashup.OleDb.1;Data Source=$Workbook$;Location=fxNewIssueWriter;Extended Properties=&quot;&quot;" command="SELECT * FROM [fxNewIssueWriter]"/>
  </connection>
  <connection id="64" xr16:uid="{8BF13D0C-F2A1-45B0-85F3-434C33CD2614}" keepAlive="1" name="Query - fxPBMK" description="Connection to the 'fxPBMK' query in the workbook." type="5" refreshedVersion="0" background="1">
    <dbPr connection="Provider=Microsoft.Mashup.OleDb.1;Data Source=$Workbook$;Location=fxPBMK;Extended Properties=&quot;&quot;" command="SELECT * FROM [fxPBMK]"/>
  </connection>
  <connection id="65" xr16:uid="{D9FF31A8-14C9-4CBE-9DB8-F74ED0BDCAC2}" keepAlive="1" name="Query - fxPNum" description="Connection to the 'fxPNum' query in the workbook." type="5" refreshedVersion="0" background="1">
    <dbPr connection="Provider=Microsoft.Mashup.OleDb.1;Data Source=$Workbook$;Location=fxPNum;Extended Properties=&quot;&quot;" command="SELECT * FROM [fxPNum]"/>
  </connection>
  <connection id="66" xr16:uid="{00000000-0015-0000-FFFF-FFFF1D000000}" keepAlive="1" name="Query - fxPresentNoData" description="Connection to the 'fxPresentNoData' query in the workbook." type="5" refreshedVersion="0" background="1">
    <dbPr connection="Provider=Microsoft.Mashup.OleDb.1;Data Source=$Workbook$;Location=fxPresentNoData;Extended Properties=&quot;&quot;" command="SELECT * FROM [fxPresentNoData]"/>
  </connection>
  <connection id="67" xr16:uid="{9023BC3E-A247-433A-9C1E-B2C14AF030B5}" keepAlive="1" name="Query - fxPriceDES" description="Connection to the 'fxPriceDES' query in the workbook." type="5" refreshedVersion="0" background="1">
    <dbPr connection="Provider=Microsoft.Mashup.OleDb.1;Data Source=$Workbook$;Location=fxPriceDES;Extended Properties=&quot;&quot;" command="SELECT * FROM [fxPriceDES]"/>
  </connection>
  <connection id="68" xr16:uid="{00000000-0015-0000-FFFF-FFFF1F000000}" keepAlive="1" name="Query - fxProjectNamer" description="Connection to the 'fxProjectNamer' query in the workbook." type="5" refreshedVersion="0" background="1">
    <dbPr connection="Provider=Microsoft.Mashup.OleDb.1;Data Source=$Workbook$;Location=fxProjectNamer;Extended Properties=&quot;&quot;" command="SELECT * FROM [fxProjectNamer]"/>
  </connection>
  <connection id="69" xr16:uid="{77921D40-3CEB-495E-864A-1DD75AF27186}" keepAlive="1" name="Query - fxRemoveRepeated" description="Connection to the 'fxRemoveRepeated' query in the workbook." type="5" refreshedVersion="0" background="1">
    <dbPr connection="Provider=Microsoft.Mashup.OleDb.1;Data Source=$Workbook$;Location=fxRemoveRepeated;Extended Properties=&quot;&quot;" command="SELECT * FROM [fxRemoveRepeated]"/>
  </connection>
  <connection id="70" xr16:uid="{00000000-0015-0000-FFFF-FFFF21000000}" keepAlive="1" name="Query - fxReplacer" description="Connection to the 'fxReplacer' query in the workbook." type="5" refreshedVersion="0" background="1">
    <dbPr connection="Provider=Microsoft.Mashup.OleDb.1;Data Source=$Workbook$;Location=fxReplacer;Extended Properties=&quot;&quot;" command="SELECT * FROM [fxReplacer]"/>
  </connection>
  <connection id="71" xr16:uid="{00000000-0015-0000-FFFF-FFFF22000000}" keepAlive="1" name="Query - fxReversedIndex" description="Connection to the 'fxReversedIndex' query in the workbook." type="5" refreshedVersion="0" background="1">
    <dbPr connection="Provider=Microsoft.Mashup.OleDb.1;Data Source=$Workbook$;Location=fxReversedIndex;Extended Properties=&quot;&quot;" command="SELECT * FROM [fxReversedIndex]"/>
  </connection>
  <connection id="72" xr16:uid="{C398B2ED-510C-4D1A-A4EE-6D6B06D28282}" keepAlive="1" name="Query - fxShared" description="Connection to the 'fxShared' query in the workbook." type="5" refreshedVersion="0" background="1">
    <dbPr connection="Provider=Microsoft.Mashup.OleDb.1;Data Source=$Workbook$;Location=fxShared;Extended Properties=&quot;&quot;" command="SELECT * FROM [fxShared]"/>
  </connection>
  <connection id="73" xr16:uid="{D5FB265F-395B-4041-8CCB-CF6142AC1931}" keepAlive="1" name="Query - fxSmartClean" description="Connection to the 'fxSmartClean' query in the workbook." type="5" refreshedVersion="0" background="1">
    <dbPr connection="Provider=Microsoft.Mashup.OleDb.1;Data Source=$Workbook$;Location=fxSmartClean;Extended Properties=&quot;&quot;" command="SELECT * FROM [fxSmartClean]"/>
  </connection>
  <connection id="74" xr16:uid="{91C92796-6331-42B0-8296-3B0669BACA64}" keepAlive="1" name="Query - fxSmartFX" description="Connection to the 'fxSmartFX' query in the workbook." type="5" refreshedVersion="0" background="1">
    <dbPr connection="Provider=Microsoft.Mashup.OleDb.1;Data Source=$Workbook$;Location=fxSmartFX;Extended Properties=&quot;&quot;" command="SELECT * FROM [fxSmartFX]"/>
  </connection>
  <connection id="75" xr16:uid="{00000000-0015-0000-FFFF-FFFF15000000}" keepAlive="1" name="Query - fxSNBranch" description="Connection to the 'fxSNBranch' query in the workbook." type="5" refreshedVersion="0" background="1">
    <dbPr connection="Provider=Microsoft.Mashup.OleDb.1;Data Source=$Workbook$;Location=fxSNBranch;Extended Properties=&quot;&quot;" command="SELECT * FROM [fxSNBranch]"/>
  </connection>
  <connection id="76" xr16:uid="{23C855AD-E4B0-4C68-B306-AE6BED1B3368}" keepAlive="1" name="Query - fxSNCredit" description="Connection to the 'fxSNCredit' query in the workbook." type="5" refreshedVersion="0" background="1">
    <dbPr connection="Provider=Microsoft.Mashup.OleDb.1;Data Source=$Workbook$;Location=fxSNCredit;Extended Properties=&quot;&quot;" command="SELECT * FROM [fxSNCredit]"/>
  </connection>
  <connection id="77" xr16:uid="{2E795B6C-9702-49CA-B1CD-DD39A0CF0CE4}" keepAlive="1" name="Query - fxSNSBLC" description="Connection to the 'fxSNSBLC' query in the workbook." type="5" refreshedVersion="0" background="1">
    <dbPr connection="Provider=Microsoft.Mashup.OleDb.1;Data Source=$Workbook$;Location=fxSNSBLC;Extended Properties=&quot;&quot;" command="SELECT * FROM [fxSNSBLC]"/>
  </connection>
  <connection id="78" xr16:uid="{37660B10-7705-47AC-9AC3-B0B4E2F65AFC}" keepAlive="1" name="Query - fxSortNIndex" description="Connection to the 'fxSortNIndex' query in the workbook." type="5" refreshedVersion="0" background="1">
    <dbPr connection="Provider=Microsoft.Mashup.OleDb.1;Data Source=$Workbook$;Location=fxSortNIndex;Extended Properties=&quot;&quot;" command="SELECT * FROM [fxSortNIndex]"/>
  </connection>
  <connection id="79" xr16:uid="{E3E21612-304A-4C29-9188-3FC44F9A04E9}" keepAlive="1" name="Query - fxSplitRtg" description="Connection to the 'fxSplitRtg' query in the workbook." type="5" refreshedVersion="0" background="1">
    <dbPr connection="Provider=Microsoft.Mashup.OleDb.1;Data Source=$Workbook$;Location=fxSplitRtg;Extended Properties=&quot;&quot;" command="SELECT * FROM [fxSplitRtg]"/>
  </connection>
  <connection id="80" xr16:uid="{C311F849-FC06-46C6-9800-714C81B7B13D}" keepAlive="1" name="Query - fxTimeSlicer" description="Connection to the 'fxTimeSlicer' query in the workbook." type="5" refreshedVersion="0" background="1">
    <dbPr connection="Provider=Microsoft.Mashup.OleDb.1;Data Source=$Workbook$;Location=fxTimeSlicer;Extended Properties=&quot;&quot;" command="SELECT * FROM [fxTimeSlicer]"/>
  </connection>
  <connection id="81" xr16:uid="{00000000-0015-0000-FFFF-FFFF23000000}" keepAlive="1" name="Query - fxTrancher" description="Connection to the 'fxTrancher' query in the workbook." type="5" refreshedVersion="0" background="1">
    <dbPr connection="Provider=Microsoft.Mashup.OleDb.1;Data Source=$Workbook$;Location=fxTrancher;Extended Properties=&quot;&quot;" command="SELECT * FROM [fxTrancher]"/>
  </connection>
  <connection id="82" xr16:uid="{00000000-0015-0000-FFFF-FFFF24000000}" keepAlive="1" name="Query - fxValidator" description="Connection to the 'fxValidator' query in the workbook." type="5" refreshedVersion="0" background="1">
    <dbPr connection="Provider=Microsoft.Mashup.OleDb.1;Data Source=$Workbook$;Location=fxValidator;Extended Properties=&quot;&quot;" command="SELECT * FROM [fxValidator]"/>
  </connection>
  <connection id="83" xr16:uid="{AA79BE51-A3B2-4776-824A-95A7F20FEAC3}" keepAlive="1" name="Query - GPS" description="Connection to the 'GPS' query in the workbook." type="5" refreshedVersion="0" background="1">
    <dbPr connection="Provider=Microsoft.Mashup.OleDb.1;Data Source=$Workbook$;Location=GPS;Extended Properties=&quot;&quot;" command="SELECT * FROM [GPS]"/>
  </connection>
  <connection id="84" xr16:uid="{00000000-0015-0000-FFFF-FFFF25000000}" keepAlive="1" name="Query - graph_weeklydeal" description="Connection to the 'graph_weeklydeal' query in the workbook." type="5" refreshedVersion="6" background="1" saveData="1">
    <dbPr connection="Provider=Microsoft.Mashup.OleDb.1;Data Source=$Workbook$;Location=graph_weeklydeal;Extended Properties=&quot;&quot;" command="SELECT * FROM [graph_weeklydeal]"/>
  </connection>
  <connection id="85" xr16:uid="{00000000-0015-0000-FFFF-FFFF26000000}" keepAlive="1" name="Query - headers_load_identifiers" description="Connection to the 'headers_load_identifiers' query in the workbook." type="5" refreshedVersion="0" background="1">
    <dbPr connection="Provider=Microsoft.Mashup.OleDb.1;Data Source=$Workbook$;Location=headers_load_identifiers;Extended Properties=&quot;&quot;" command="SELECT * FROM [headers_load_identifiers]"/>
  </connection>
  <connection id="86" xr16:uid="{00000000-0015-0000-FFFF-FFFF28000000}" keepAlive="1" name="Query - headers_review" description="Connection to the 'headers_review' query in the workbook." type="5" refreshedVersion="6" background="1" saveData="1">
    <dbPr connection="Provider=Microsoft.Mashup.OleDb.1;Data Source=$Workbook$;Location=headers_review;Extended Properties=&quot;&quot;" command="SELECT * FROM [headers_review]"/>
  </connection>
  <connection id="87" xr16:uid="{BEC68C88-028F-4B9B-B737-E060542A5742}" keepAlive="1" name="Query - IsTap" description="Connection to the 'IsTap' query in the workbook." type="5" refreshedVersion="6" background="1" saveData="1">
    <dbPr connection="Provider=Microsoft.Mashup.OleDb.1;Data Source=$Workbook$;Location=IsTap;Extended Properties=&quot;&quot;" command="SELECT * FROM [IsTap]"/>
    <extLst>
      <ext xmlns:x15="http://schemas.microsoft.com/office/spreadsheetml/2010/11/main" uri="{DE250136-89BD-433C-8126-D09CA5730AF9}">
        <x15:connection id="" excludeFromRefreshAll="1"/>
      </ext>
    </extLst>
  </connection>
  <connection id="88" xr16:uid="{CCF5AEA9-4876-4713-9EE0-D7F0D0E127ED}" keepAlive="1" name="Query - LaunchDownload" description="Connection to the 'LaunchDownload' query in the workbook." type="5" refreshedVersion="0" background="1" saveData="1">
    <dbPr connection="Provider=Microsoft.Mashup.OleDb.1;Data Source=$Workbook$;Location=LaunchDownload;Extended Properties=&quot;&quot;" command="SELECT * FROM [LaunchDownload]"/>
    <extLst>
      <ext xmlns:x15="http://schemas.microsoft.com/office/spreadsheetml/2010/11/main" uri="{DE250136-89BD-433C-8126-D09CA5730AF9}">
        <x15:connection id="" excludeFromRefreshAll="1"/>
      </ext>
    </extLst>
  </connection>
  <connection id="89" xr16:uid="{00000000-0015-0000-FFFF-FFFF2F000000}" keepAlive="1" name="Query - ListToMcode" description="Connection to the 'ListToMcode' query in the workbook." type="5" refreshedVersion="0" background="1">
    <dbPr connection="Provider=Microsoft.Mashup.OleDb.1;Data Source=$Workbook$;Location=ListToMcode;Extended Properties=&quot;&quot;" command="SELECT * FROM [ListToMcode]"/>
  </connection>
  <connection id="90" xr16:uid="{00000000-0015-0000-FFFF-FFFF30000000}" keepAlive="1" name="Query - mCreditNames" description="Connection to the 'mCreditNames' query in the workbook." type="5" refreshedVersion="0" background="1">
    <dbPr connection="Provider=Microsoft.Mashup.OleDb.1;Data Source=$Workbook$;Location=mCreditNames;Extended Properties=&quot;&quot;" command="SELECT * FROM [mCreditNames]"/>
  </connection>
  <connection id="91" xr16:uid="{37E886E7-3555-40D0-87C0-23B9D1E8DA68}" keepAlive="1" name="Query - Monday" description="Connection to the 'Monday' query in the workbook." type="5" refreshedVersion="0" background="1">
    <dbPr connection="Provider=Microsoft.Mashup.OleDb.1;Data Source=$Workbook$;Location=Monday;Extended Properties=&quot;&quot;" command="SELECT * FROM [Monday]"/>
  </connection>
  <connection id="92" xr16:uid="{DE6CD2C6-01DD-4C16-ACE4-D69FFA2ADFAE}" keepAlive="1" name="Query - NameCo" description="Connection to the 'NameCo' query in the workbook." type="5" refreshedVersion="6" background="1" saveData="1">
    <dbPr connection="Provider=Microsoft.Mashup.OleDb.1;Data Source=$Workbook$;Location=NameCo;Extended Properties=&quot;&quot;" command="SELECT * FROM [NameCo]"/>
    <extLst>
      <ext xmlns:x15="http://schemas.microsoft.com/office/spreadsheetml/2010/11/main" uri="{DE250136-89BD-433C-8126-D09CA5730AF9}">
        <x15:connection id="" excludeFromRefreshAll="1"/>
      </ext>
    </extLst>
  </connection>
  <connection id="93" xr16:uid="{72EC8C20-40C7-466B-8F20-7CAEAE24D846}" keepAlive="1" name="Query - P_DefaultedEntity" description="Connection to the 'P_DefaultedEntity' query in the workbook." type="5" refreshedVersion="0" background="1" saveData="1">
    <dbPr connection="Provider=Microsoft.Mashup.OleDb.1;Data Source=$Workbook$;Location=P_DefaultedEntity;Extended Properties=&quot;&quot;" command="SELECT * FROM [P_DefaultedEntity]"/>
    <extLst>
      <ext xmlns:x15="http://schemas.microsoft.com/office/spreadsheetml/2010/11/main" uri="{DE250136-89BD-433C-8126-D09CA5730AF9}">
        <x15:connection id="" excludeFromRefreshAll="1"/>
      </ext>
    </extLst>
  </connection>
  <connection id="94" xr16:uid="{7E2B54C3-A951-45B3-8619-BD0F0AF782C5}" keepAlive="1" name="Query - P_DefaultedEntityQry" description="Connection to the 'P_DefaultedEntityQry' query in the workbook." type="5" refreshedVersion="0" background="1" saveData="1">
    <dbPr connection="Provider=Microsoft.Mashup.OleDb.1;Data Source=$Workbook$;Location=P_DefaultedEntityQry;Extended Properties=&quot;&quot;" command="SELECT * FROM [P_DefaultedEntityQry]"/>
    <extLst>
      <ext xmlns:x15="http://schemas.microsoft.com/office/spreadsheetml/2010/11/main" uri="{DE250136-89BD-433C-8126-D09CA5730AF9}">
        <x15:connection id="" excludeFromRefreshAll="1"/>
      </ext>
    </extLst>
  </connection>
  <connection id="95" xr16:uid="{1BDF5794-999D-4820-9D8F-42590D7C7106}" keepAlive="1" name="Query - postreview(1)" description="Connection to the 'postreview' query in the workbook." type="5" refreshedVersion="6" background="1" saveData="1">
    <dbPr connection="Provider=Microsoft.Mashup.OleDb.1;Data Source=$Workbook$;Location=postreview;Extended Properties=&quot;&quot;" command="SELECT * FROM [postreview]"/>
  </connection>
  <connection id="96" xr16:uid="{D36D6443-03D4-4272-B842-9D0BD4D781FA}" keepAlive="1" name="Query - Query1(1)" description="Connection to the 'Query1' query in the workbook." type="5" refreshedVersion="0" background="1">
    <dbPr connection="Provider=Microsoft.Mashup.OleDb.1;Data Source=$Workbook$;Location=Query1;Extended Properties=&quot;&quot;" command="SELECT * FROM [Query1]"/>
  </connection>
  <connection id="97" xr16:uid="{2CEDF875-0920-42D5-ACCC-A3888D29C729}" keepAlive="1" name="Query - Query2" description="Connection to the 'Query2' query in the workbook." type="5" refreshedVersion="0" background="1">
    <dbPr connection="Provider=Microsoft.Mashup.OleDb.1;Data Source=$Workbook$;Location=Query2;Extended Properties=&quot;&quot;" command="SELECT * FROM [Query2]"/>
  </connection>
  <connection id="98" xr16:uid="{24FB9EA4-7F06-4E6C-B36B-3725CA5C4173}" keepAlive="1" name="Query - Query3" description="Connection to the 'Query3' query in the workbook." type="5" refreshedVersion="0" background="1">
    <dbPr connection="Provider=Microsoft.Mashup.OleDb.1;Data Source=$Workbook$;Location=Query3;Extended Properties=&quot;&quot;" command="SELECT * FROM [Query3]"/>
  </connection>
  <connection id="99" xr16:uid="{BB5D0DB2-172D-4CDD-BB85-10C3AEDBC156}" keepAlive="1" name="Query - RemovedDMICol" description="Connection to the 'RemovedDMICol' query in the workbook." type="5" refreshedVersion="0" background="1">
    <dbPr connection="Provider=Microsoft.Mashup.OleDb.1;Data Source=$Workbook$;Location=RemovedDMICol;Extended Properties=&quot;&quot;" command="SELECT * FROM [RemovedDMICol]"/>
  </connection>
  <connection id="100" xr16:uid="{DD67756B-4E79-4EEB-9D1D-2A958FC7C782}" keepAlive="1" name="Query - review" description="Connection to the 'review' query in the workbook." type="5" refreshedVersion="6" background="1" saveData="1">
    <dbPr connection="Provider=Microsoft.Mashup.OleDb.1;Data Source=$Workbook$;Location=review;Extended Properties=&quot;&quot;" command="SELECT * FROM [review]"/>
  </connection>
  <connection id="101" xr16:uid="{00000000-0015-0000-FFFF-FFFF35000000}" keepAlive="1" name="Query - review_BISL" description="Connection to the 'review_BISL' query in the workbook." type="5" refreshedVersion="6" background="1" saveData="1">
    <dbPr connection="Provider=Microsoft.Mashup.OleDb.1;Data Source=$Workbook$;Location=review_BISL;Extended Properties=&quot;&quot;" command="SELECT * FROM [review_BISL]"/>
  </connection>
  <connection id="102" xr16:uid="{00000000-0015-0000-FFFF-FFFF36000000}" keepAlive="1" name="Query - review_shortname" description="Connection to the 'review_shortname' query in the workbook." type="5" refreshedVersion="6" background="1" saveData="1">
    <dbPr connection="Provider=Microsoft.Mashup.OleDb.1;Data Source=$Workbook$;Location=review_shortname;Extended Properties=&quot;&quot;" command="SELECT * FROM [review_shortname]"/>
  </connection>
  <connection id="103" xr16:uid="{00000000-0015-0000-FFFF-FFFF37000000}" keepAlive="1" name="Query - RlvLvl" description="Connection to the 'RlvLvl' query in the workbook." type="5" refreshedVersion="0" background="1">
    <dbPr connection="Provider=Microsoft.Mashup.OleDb.1;Data Source=$Workbook$;Location=RlvLvl;Extended Properties=&quot;&quot;" command="SELECT * FROM [RlvLvl]"/>
  </connection>
  <connection id="104" xr16:uid="{ED951367-368F-4C4D-9AB2-667FE65264C5}" keepAlive="1" name="Query - SharedM" description="Connection to the 'SharedM' query in the workbook." type="5" refreshedVersion="0" background="1">
    <dbPr connection="Provider=Microsoft.Mashup.OleDb.1;Data Source=$Workbook$;Location=SharedM;Extended Properties=&quot;&quot;" command="SELECT * FROM [SharedM]"/>
  </connection>
  <connection id="105" xr16:uid="{00000000-0015-0000-FFFF-FFFF11000000}" keepAlive="1" name="Query - ss FTZ_region" description="Connection to the 'ss FTZ_region' query in the workbook." type="5" refreshedVersion="6" background="1" saveData="1">
    <dbPr connection="Provider=Microsoft.Mashup.OleDb.1;Data Source=$Workbook$;Location=&quot;ss FTZ_region&quot;;Extended Properties=&quot;&quot;" command="SELECT * FROM [ss FTZ_region]"/>
    <extLst>
      <ext xmlns:x15="http://schemas.microsoft.com/office/spreadsheetml/2010/11/main" uri="{DE250136-89BD-433C-8126-D09CA5730AF9}">
        <x15:connection id="" excludeFromRefreshAll="1"/>
      </ext>
    </extLst>
  </connection>
  <connection id="106" xr16:uid="{00000000-0015-0000-FFFF-FFFF39000000}" keepAlive="1" name="Query - US_addon" description="Connection to the 'US_addon' query in the workbook." type="5" refreshedVersion="0" background="1">
    <dbPr connection="Provider=Microsoft.Mashup.OleDb.1;Data Source=$Workbook$;Location=US_addon;Extended Properties=&quot;&quot;" command="SELECT * FROM [US_addon]"/>
  </connection>
  <connection id="107" xr16:uid="{00000000-0015-0000-FFFF-FFFF2E000000}" keepAlive="1" name="Query - Validate" description="Connection to the 'Validate' query in the workbook." type="5" refreshedVersion="6" background="1" saveData="1">
    <dbPr connection="Provider=Microsoft.Mashup.OleDb.1;Data Source=$Workbook$;Location=Validate;Extended Properties=&quot;&quot;" command="SELECT * FROM [Validate]"/>
    <extLst>
      <ext xmlns:x15="http://schemas.microsoft.com/office/spreadsheetml/2010/11/main" uri="{DE250136-89BD-433C-8126-D09CA5730AF9}">
        <x15:connection id="" excludeFromRefreshAll="1"/>
      </ext>
    </extLst>
  </connection>
  <connection id="108" xr16:uid="{00000000-0015-0000-FFFF-FFFF3A000000}" keepAlive="1" name="Query - WeeklyDate" description="Connection to the 'WeeklyDate' query in the workbook." type="5" refreshedVersion="0" background="1">
    <dbPr connection="Provider=Microsoft.Mashup.OleDb.1;Data Source=$Workbook$;Location=WEEKLYDATE;Extended Properties=&quot;&quot;" command="SELECT * FROM [WeeklyDate]"/>
  </connection>
  <connection id="109" xr16:uid="{19D1300C-0BAB-4E05-B057-6BE735762337}" keepAlive="1" name="Query - WeeklyFilter" description="Connection to the 'WeeklyFilter' query in the workbook." type="5" refreshedVersion="0" background="1">
    <dbPr connection="Provider=Microsoft.Mashup.OleDb.1;Data Source=$Workbook$;Location=WeeklyFilter;Extended Properties=&quot;&quot;" command="SELECT * FROM [WeeklyFilter]"/>
  </connection>
  <connection id="110" xr16:uid="{87E2E6BF-1E97-4F0D-8D48-5C22F420A132}" keepAlive="1" name="Query - WeeklyFIMTN" description="Connection to the 'WeeklyFIMTN' query in the workbook." type="5" refreshedVersion="6" background="1" saveData="1">
    <dbPr connection="Provider=Microsoft.Mashup.OleDb.1;Data Source=$Workbook$;Location=WeeklyFIMTN;Extended Properties=&quot;&quot;" command="SELECT * FROM [WeeklyFIMTN]"/>
    <extLst>
      <ext xmlns:x15="http://schemas.microsoft.com/office/spreadsheetml/2010/11/main" uri="{DE250136-89BD-433C-8126-D09CA5730AF9}">
        <x15:connection id="" excludeFromRefreshAll="1"/>
      </ext>
    </extLst>
  </connection>
  <connection id="111" xr16:uid="{00000000-0015-0000-FFFF-FFFF3B000000}" keepAlive="1" name="Query - writer" description="Connection to the 'writer' query in the workbook." type="5" refreshedVersion="8" background="1" saveData="1">
    <dbPr connection="Provider=Microsoft.Mashup.OleDb.1;Data Source=$Workbook$;Location=writer;Extended Properties=&quot;&quot;" command="SELECT * FROM [writer]"/>
    <extLst>
      <ext xmlns:x15="http://schemas.microsoft.com/office/spreadsheetml/2010/11/main" uri="{DE250136-89BD-433C-8126-D09CA5730AF9}">
        <x15:connection id="" excludeFromRefreshAll="1"/>
      </ext>
    </extLst>
  </connection>
  <connection id="112" xr16:uid="{00000000-0015-0000-FFFF-FFFF3E000000}" keepAlive="1" name="Query - writer_CNH" description="Connection to the 'writer_CNH' query in the workbook." type="5" refreshedVersion="6" background="1" saveData="1">
    <dbPr connection="Provider=Microsoft.Mashup.OleDb.1;Data Source=$Workbook$;Location=writer_CNH;Extended Properties=&quot;&quot;" command="SELECT * FROM [writer_CNH]"/>
    <extLst>
      <ext xmlns:x15="http://schemas.microsoft.com/office/spreadsheetml/2010/11/main" uri="{DE250136-89BD-433C-8126-D09CA5730AF9}">
        <x15:connection id="" excludeFromRefreshAll="1"/>
      </ext>
    </extLst>
  </connection>
  <connection id="113" xr16:uid="{00000000-0015-0000-FFFF-FFFF3C000000}" keepAlive="1" name="Query - writer_fi" description="Connection to the 'writer_fi' query in the workbook." type="5" refreshedVersion="6" background="1" saveData="1">
    <dbPr connection="Provider=Microsoft.Mashup.OleDb.1;Data Source=$Workbook$;Location=writer_fi;Extended Properties=&quot;&quot;" command="SELECT * FROM [writer_fi]"/>
    <extLst>
      <ext xmlns:x15="http://schemas.microsoft.com/office/spreadsheetml/2010/11/main" uri="{DE250136-89BD-433C-8126-D09CA5730AF9}">
        <x15:connection id="" excludeFromRefreshAll="1"/>
      </ext>
    </extLst>
  </connection>
  <connection id="114" xr16:uid="{00000000-0015-0000-FFFF-FFFF3D000000}" keepAlive="1" name="Query - writer_NotCNH" description="Connection to the 'writer_NotCNH' query in the workbook." type="5" refreshedVersion="6" background="1" saveData="1">
    <dbPr connection="Provider=Microsoft.Mashup.OleDb.1;Data Source=$Workbook$;Location=writer_NotCNH;Extended Properties=&quot;&quot;" command="SELECT * FROM [writer_NotCNH]"/>
    <extLst>
      <ext xmlns:x15="http://schemas.microsoft.com/office/spreadsheetml/2010/11/main" uri="{DE250136-89BD-433C-8126-D09CA5730AF9}">
        <x15:connection id="" excludeFromRefreshAll="1"/>
      </ext>
    </extLst>
  </connection>
  <connection id="115" xr16:uid="{00000000-0015-0000-FFFF-FFFF3F000000}" keepAlive="1" name="Query - writer_others" description="Connection to the 'writer_others' query in the workbook." type="5" refreshedVersion="8" background="1" saveData="1">
    <dbPr connection="Provider=Microsoft.Mashup.OleDb.1;Data Source=$Workbook$;Location=writer_others;Extended Properties=&quot;&quot;" command="SELECT * FROM [writer_others]"/>
    <extLst>
      <ext xmlns:x15="http://schemas.microsoft.com/office/spreadsheetml/2010/11/main" uri="{DE250136-89BD-433C-8126-D09CA5730AF9}">
        <x15:connection id="" excludeFromRefreshAll="1"/>
      </ext>
    </extLst>
  </connection>
  <connection id="116" xr16:uid="{00000000-0015-0000-FFFF-FFFF40000000}" keepAlive="1" name="Query - WST" description="Connection to the 'WST' query in the workbook." type="5" refreshedVersion="6" background="1" saveData="1">
    <dbPr connection="Provider=Microsoft.Mashup.OleDb.1;Data Source=$Workbook$;Location=WST;Extended Properties=&quot;&quot;" command="SELECT * FROM [WST]"/>
    <extLst>
      <ext xmlns:x15="http://schemas.microsoft.com/office/spreadsheetml/2010/11/main" uri="{DE250136-89BD-433C-8126-D09CA5730AF9}">
        <x15:connection id="" excludeFromRefreshAll="1"/>
      </ext>
    </extLst>
  </connection>
  <connection id="117" xr16:uid="{370A6D65-AD92-4777-A563-8BCAE798FDE5}" keepAlive="1" name="Query - 中资属性" description="Connection to the '中资属性' query in the workbook." type="5" refreshedVersion="6" background="1" saveData="1">
    <dbPr connection="Provider=Microsoft.Mashup.OleDb.1;Data Source=$Workbook$;Location=中资属性;Extended Properties=&quot;&quot;" command="SELECT * FROM [中资属性]"/>
  </connection>
  <connection id="118" xr16:uid="{5803C420-57A2-4823-B625-8F1D20F98284}" keepAlive="1" name="Query - 债务管理Filter" description="Connection to the '债务管理Filter' query in the workbook." type="5" refreshedVersion="0" background="1">
    <dbPr connection="Provider=Microsoft.Mashup.OleDb.1;Data Source=$Workbook$;Location=债务管理Filter;Extended Properties=&quot;&quot;" command="SELECT * FROM [债务管理Filter]"/>
  </connection>
  <connection id="119" xr16:uid="{00000000-0015-0000-FFFF-FFFF33000000}" keepAlive="1" name="Query - 台账23" description="Connection to the '台账23' query in the workbook." type="5" refreshedVersion="6" background="1" saveData="1">
    <dbPr connection="Provider=Microsoft.Mashup.OleDb.1;Data Source=$Workbook$;Location=台账23;Extended Properties=&quot;&quot;" command="SELECT * FROM [台账23]"/>
    <extLst>
      <ext xmlns:x15="http://schemas.microsoft.com/office/spreadsheetml/2010/11/main" uri="{DE250136-89BD-433C-8126-D09CA5730AF9}">
        <x15:connection id="" excludeFromRefreshAll="1"/>
      </ext>
    </extLst>
  </connection>
  <connection id="120" xr16:uid="{44C1FC59-A385-4F10-963A-D0BA37120278}" keepAlive="1" name="Query - 板块" description="Connection to the '板块' query in the workbook." type="5" refreshedVersion="6" background="1" saveData="1">
    <dbPr connection="Provider=Microsoft.Mashup.OleDb.1;Data Source=$Workbook$;Location=板块;Extended Properties=&quot;&quot;" command="SELECT * FROM [板块]"/>
  </connection>
  <connection id="121" xr16:uid="{5FAD6CB1-4054-4D46-BC8C-78174FE2C605}" keepAlive="1" name="Query - 澳门Filter" description="Connection to the '澳门Filter' query in the workbook." type="5" refreshedVersion="0" background="1">
    <dbPr connection="Provider=Microsoft.Mashup.OleDb.1;Data Source=$Workbook$;Location=澳门Filter;Extended Properties=&quot;&quot;" command="SELECT * FROM [澳门Filter]"/>
  </connection>
  <connection id="122" xr16:uid="{60E777FB-0FBC-439A-9E26-0443E2DF96BF}" keepAlive="1" name="Query - 香港Filter" description="Connection to the '香港Filter' query in the workbook." type="5" refreshedVersion="0" background="1">
    <dbPr connection="Provider=Microsoft.Mashup.OleDb.1;Data Source=$Workbook$;Location=香港Filter;Extended Properties=&quot;&quot;" command="SELECT * FROM [香港Filter]"/>
  </connection>
</connections>
</file>

<file path=xl/sharedStrings.xml><?xml version="1.0" encoding="utf-8"?>
<sst xmlns="http://schemas.openxmlformats.org/spreadsheetml/2006/main" count="2174" uniqueCount="626">
  <si>
    <t>EXE</t>
  </si>
  <si>
    <t>KT</t>
  </si>
  <si>
    <t>城投</t>
  </si>
  <si>
    <t>其他</t>
  </si>
  <si>
    <t>地产</t>
  </si>
  <si>
    <t>JH</t>
  </si>
  <si>
    <t>CL</t>
  </si>
  <si>
    <t>ES</t>
  </si>
  <si>
    <t>--</t>
  </si>
  <si>
    <t>浙江</t>
  </si>
  <si>
    <t>辽宁</t>
  </si>
  <si>
    <t>山东</t>
  </si>
  <si>
    <t>重庆</t>
  </si>
  <si>
    <t>北京</t>
  </si>
  <si>
    <t>上海</t>
  </si>
  <si>
    <t>湖南</t>
  </si>
  <si>
    <t>陕西</t>
  </si>
  <si>
    <t>福建</t>
  </si>
  <si>
    <t>江苏</t>
  </si>
  <si>
    <t>广东</t>
  </si>
  <si>
    <t>四川</t>
  </si>
  <si>
    <t>江西</t>
  </si>
  <si>
    <t>湖北</t>
  </si>
  <si>
    <t>安徽</t>
  </si>
  <si>
    <t>云南</t>
  </si>
  <si>
    <t>广西</t>
  </si>
  <si>
    <t>贵州</t>
  </si>
  <si>
    <t>河南</t>
  </si>
  <si>
    <t>海南</t>
  </si>
  <si>
    <t>天津</t>
  </si>
  <si>
    <t>山西</t>
  </si>
  <si>
    <t>吉林</t>
  </si>
  <si>
    <t>新疆</t>
  </si>
  <si>
    <t>黑龙江</t>
  </si>
  <si>
    <t>河北</t>
  </si>
  <si>
    <t>内蒙古</t>
  </si>
  <si>
    <t>甘肃</t>
  </si>
  <si>
    <t>主题</t>
  </si>
  <si>
    <t>明珠债</t>
  </si>
  <si>
    <t>绿债</t>
  </si>
  <si>
    <t>可持续债</t>
  </si>
  <si>
    <t>绿色明珠债</t>
  </si>
  <si>
    <t>资本工具</t>
  </si>
  <si>
    <t>可持续挂钩债</t>
  </si>
  <si>
    <t>直发</t>
  </si>
  <si>
    <t>维好+担保</t>
  </si>
  <si>
    <t>担保发行</t>
  </si>
  <si>
    <t>担保</t>
  </si>
  <si>
    <t>维好</t>
  </si>
  <si>
    <t>备证行</t>
  </si>
  <si>
    <t>公司类型</t>
  </si>
  <si>
    <t>行业</t>
  </si>
  <si>
    <t>细分行业</t>
  </si>
  <si>
    <t>城市</t>
  </si>
  <si>
    <t>区县</t>
  </si>
  <si>
    <t>债券简称</t>
  </si>
  <si>
    <t>ISIN</t>
  </si>
  <si>
    <t>定价日</t>
  </si>
  <si>
    <t>债项评级</t>
  </si>
  <si>
    <t>境内主体评级</t>
  </si>
  <si>
    <t>发行票面利率</t>
  </si>
  <si>
    <t>兑付日</t>
  </si>
  <si>
    <t>FPG</t>
  </si>
  <si>
    <t>收窄幅度(bp)</t>
  </si>
  <si>
    <t>SBLC提供者</t>
  </si>
  <si>
    <t>偿还顺位</t>
  </si>
  <si>
    <t>发行规模(亿)</t>
  </si>
  <si>
    <t>发行期限(年)</t>
  </si>
  <si>
    <t>发行价</t>
  </si>
  <si>
    <t>首日涨跌</t>
  </si>
  <si>
    <t>认购倍数</t>
  </si>
  <si>
    <t>亚洲占比</t>
  </si>
  <si>
    <t>基金占比</t>
  </si>
  <si>
    <t>货币</t>
  </si>
  <si>
    <t>联席全球协调人</t>
  </si>
  <si>
    <t>ticker</t>
  </si>
  <si>
    <t>起息日期</t>
  </si>
  <si>
    <t>行权兑付日</t>
  </si>
  <si>
    <t>计息基准</t>
  </si>
  <si>
    <t>首次付息日</t>
  </si>
  <si>
    <t>发行人</t>
  </si>
  <si>
    <t>担保人</t>
  </si>
  <si>
    <t>发行起始日</t>
  </si>
  <si>
    <t>上市日期</t>
  </si>
  <si>
    <t>牵头经办人</t>
  </si>
  <si>
    <t>是否永续债</t>
  </si>
  <si>
    <t>是否存单</t>
  </si>
  <si>
    <t>利率类型</t>
  </si>
  <si>
    <t>交易状态</t>
  </si>
  <si>
    <t>债券类型</t>
  </si>
  <si>
    <t>付息频率</t>
  </si>
  <si>
    <t>维好协议提供者</t>
  </si>
  <si>
    <t>无评级</t>
  </si>
  <si>
    <t>--/--/--</t>
  </si>
  <si>
    <t>金融</t>
  </si>
  <si>
    <t>USD</t>
  </si>
  <si>
    <t>Index</t>
  </si>
  <si>
    <t>年期</t>
  </si>
  <si>
    <t>IPG</t>
  </si>
  <si>
    <t>地区</t>
  </si>
  <si>
    <t>结构</t>
  </si>
  <si>
    <t>SGX</t>
  </si>
  <si>
    <t>MOX</t>
  </si>
  <si>
    <t>上市</t>
  </si>
  <si>
    <t/>
  </si>
  <si>
    <t>评级分类</t>
  </si>
  <si>
    <t>信用主体</t>
  </si>
  <si>
    <t>省份</t>
  </si>
  <si>
    <t>主题债券</t>
  </si>
  <si>
    <t>评级类型</t>
  </si>
  <si>
    <t>穆迪/标普</t>
  </si>
  <si>
    <t>主体评级展望</t>
  </si>
  <si>
    <t>发行场所</t>
  </si>
  <si>
    <t>债券最新面值</t>
  </si>
  <si>
    <t>债券余额</t>
  </si>
  <si>
    <t>最新票面利率</t>
  </si>
  <si>
    <t>特殊条款说明</t>
  </si>
  <si>
    <t>特殊条款</t>
  </si>
  <si>
    <t>XS2572949274</t>
  </si>
  <si>
    <t>List</t>
  </si>
  <si>
    <t>CNH</t>
  </si>
  <si>
    <t>品种</t>
  </si>
  <si>
    <t>Example</t>
  </si>
  <si>
    <t>Extra ISIN</t>
  </si>
  <si>
    <t>GENERATOR</t>
  </si>
  <si>
    <t>HKD</t>
  </si>
  <si>
    <t>未上市</t>
  </si>
  <si>
    <t>可持续明珠债</t>
  </si>
  <si>
    <t>HKEX</t>
  </si>
  <si>
    <t>EUR</t>
  </si>
  <si>
    <t>HKEX;MOX</t>
  </si>
  <si>
    <t>SGX;MOX</t>
  </si>
  <si>
    <t>Extra ISIN 1</t>
  </si>
  <si>
    <t>红筹架构</t>
  </si>
  <si>
    <t>备证</t>
  </si>
  <si>
    <t>备证+担保</t>
  </si>
  <si>
    <t>备证+维好</t>
  </si>
  <si>
    <t>备证+担保+维好</t>
  </si>
  <si>
    <t>ISIN CHECK</t>
  </si>
  <si>
    <t>%</t>
  </si>
  <si>
    <t>NR</t>
  </si>
  <si>
    <t>信用主体简称</t>
  </si>
  <si>
    <t>按年</t>
  </si>
  <si>
    <t>定价息差</t>
  </si>
  <si>
    <t>票息</t>
  </si>
  <si>
    <t>ECON</t>
  </si>
  <si>
    <t>Date</t>
  </si>
  <si>
    <t>Event</t>
  </si>
  <si>
    <t>Survey</t>
  </si>
  <si>
    <t>Actual</t>
  </si>
  <si>
    <t>Prior</t>
  </si>
  <si>
    <t>Revised</t>
  </si>
  <si>
    <t>Relevance</t>
  </si>
  <si>
    <t>Ticker</t>
  </si>
  <si>
    <t>Time</t>
  </si>
  <si>
    <t>US</t>
  </si>
  <si>
    <t>CPI 月环比</t>
  </si>
  <si>
    <t>周度MBA抵押贷款申请指数环比</t>
  </si>
  <si>
    <t>MBAVCHNG Index</t>
  </si>
  <si>
    <t>周度首次申领失业救济人数</t>
  </si>
  <si>
    <t>INJCJC Index</t>
  </si>
  <si>
    <t>CH</t>
  </si>
  <si>
    <t>地方国有企业</t>
  </si>
  <si>
    <t>--/--</t>
  </si>
  <si>
    <t>Senior Unsecured</t>
  </si>
  <si>
    <t>否</t>
  </si>
  <si>
    <t>固定利率</t>
  </si>
  <si>
    <t>未到期</t>
  </si>
  <si>
    <t>普通债</t>
  </si>
  <si>
    <t>M6</t>
  </si>
  <si>
    <t>认购额(亿)</t>
  </si>
  <si>
    <t>IG</t>
  </si>
  <si>
    <t>HY</t>
  </si>
  <si>
    <t>IPG number</t>
  </si>
  <si>
    <t>FPG number</t>
  </si>
  <si>
    <t>ADD</t>
  </si>
  <si>
    <t>发行评级</t>
  </si>
  <si>
    <t>USD &amp; CNH</t>
  </si>
  <si>
    <t>描述</t>
  </si>
  <si>
    <t>WRITER</t>
  </si>
  <si>
    <t>ESG</t>
  </si>
  <si>
    <t>Check</t>
  </si>
  <si>
    <t>增发判定</t>
  </si>
  <si>
    <t>宁夏</t>
  </si>
  <si>
    <t>西藏</t>
  </si>
  <si>
    <t>青海</t>
  </si>
  <si>
    <t>香港</t>
  </si>
  <si>
    <t>补充OMAS updates</t>
  </si>
  <si>
    <t>信用主体全名</t>
  </si>
  <si>
    <t>headers_review</t>
  </si>
  <si>
    <t>LOAD</t>
  </si>
  <si>
    <t>BISL_ROLE</t>
  </si>
  <si>
    <t>BOCOM_DEAL?</t>
  </si>
  <si>
    <t>JBR</t>
  </si>
  <si>
    <t>JGC</t>
  </si>
  <si>
    <t>投资级</t>
  </si>
  <si>
    <t>3</t>
  </si>
  <si>
    <t>定价</t>
  </si>
  <si>
    <t>其他交银_ROLE</t>
  </si>
  <si>
    <t>FEATURED</t>
  </si>
  <si>
    <t>美国</t>
  </si>
  <si>
    <t>上周主要经济数据</t>
  </si>
  <si>
    <t xml:space="preserve">发布(HKT) </t>
  </si>
  <si>
    <t>前值</t>
  </si>
  <si>
    <t>预期</t>
  </si>
  <si>
    <t>现值</t>
  </si>
  <si>
    <t>Region</t>
  </si>
  <si>
    <t>Period</t>
  </si>
  <si>
    <t>Table</t>
  </si>
  <si>
    <t>FUTURE</t>
  </si>
  <si>
    <t>区间</t>
  </si>
  <si>
    <t>范围</t>
  </si>
  <si>
    <t>未来一周主要经济数据</t>
  </si>
  <si>
    <t>美国周度首次申领失业救济人数</t>
  </si>
  <si>
    <t>美国周度MBA抵押贷款申请指数环比</t>
  </si>
  <si>
    <t>信用主体(备证行)</t>
  </si>
  <si>
    <t>收窄基点</t>
  </si>
  <si>
    <t xml:space="preserve">预计发布(HKT) </t>
  </si>
  <si>
    <t>定价基准</t>
  </si>
  <si>
    <t>4.2%</t>
  </si>
  <si>
    <t>Updator</t>
  </si>
  <si>
    <t>期数</t>
  </si>
  <si>
    <t>新规角色</t>
  </si>
  <si>
    <t>COVERAGE</t>
  </si>
  <si>
    <t>亿美元</t>
  </si>
  <si>
    <t>亿元</t>
  </si>
  <si>
    <t>IS_FIMTN</t>
  </si>
  <si>
    <t>债项初始评级</t>
  </si>
  <si>
    <t>主体评级</t>
  </si>
  <si>
    <t>SHORTNAMER</t>
  </si>
  <si>
    <t>CHARTs</t>
  </si>
  <si>
    <t>SCMI</t>
  </si>
  <si>
    <t>FI组</t>
  </si>
  <si>
    <t>PROJECT_CODE</t>
  </si>
  <si>
    <t>OC</t>
  </si>
  <si>
    <t>SOE组</t>
  </si>
  <si>
    <t>GRAPH</t>
  </si>
  <si>
    <t>港分_ROLE</t>
  </si>
  <si>
    <t>澳分_ROLE</t>
  </si>
  <si>
    <t>Project Name</t>
  </si>
  <si>
    <t>Global Advisor</t>
  </si>
  <si>
    <t>Co-Manager</t>
  </si>
  <si>
    <t>PA</t>
  </si>
  <si>
    <t>NSCMI</t>
  </si>
  <si>
    <t>POE组</t>
  </si>
  <si>
    <t>审阅简称</t>
  </si>
  <si>
    <t>审阅角色详情</t>
  </si>
  <si>
    <t>审阅债券详情</t>
  </si>
  <si>
    <t>DEBUT_DATE</t>
  </si>
  <si>
    <t>央企</t>
  </si>
  <si>
    <t>央企(子)</t>
  </si>
  <si>
    <t>地方国企</t>
  </si>
  <si>
    <t>民企</t>
  </si>
  <si>
    <t>n/a</t>
  </si>
  <si>
    <t>3.0000</t>
  </si>
  <si>
    <t>发行方式</t>
  </si>
  <si>
    <t>RegS</t>
  </si>
  <si>
    <t>IS_LEAD</t>
  </si>
  <si>
    <t>IS_B&amp;D</t>
  </si>
  <si>
    <t>是否合名</t>
  </si>
  <si>
    <t>六月</t>
  </si>
  <si>
    <t>美国六月</t>
  </si>
  <si>
    <t>JUN</t>
  </si>
  <si>
    <t>DynamicList</t>
  </si>
  <si>
    <t>台账序号</t>
  </si>
  <si>
    <t>hardcode3</t>
  </si>
  <si>
    <t>中资属性</t>
  </si>
  <si>
    <t>IPT_DMI</t>
  </si>
  <si>
    <t>FPG_DMI</t>
  </si>
  <si>
    <t>通过分行</t>
  </si>
  <si>
    <t>NotCNH</t>
  </si>
  <si>
    <t>期限备注</t>
  </si>
  <si>
    <t>亿港币</t>
  </si>
  <si>
    <t>SGC</t>
  </si>
  <si>
    <t>Dealer</t>
  </si>
  <si>
    <t>美元债</t>
  </si>
  <si>
    <t>1-3年</t>
  </si>
  <si>
    <t>多笔</t>
  </si>
  <si>
    <t>多币种</t>
  </si>
  <si>
    <t>多品种</t>
  </si>
  <si>
    <t>多期限</t>
  </si>
  <si>
    <t>PRJ对帐号</t>
  </si>
  <si>
    <t>亮点</t>
  </si>
  <si>
    <t>SPECIALs</t>
  </si>
  <si>
    <t>OTHER_ISIN</t>
  </si>
  <si>
    <t>Timestamp</t>
  </si>
  <si>
    <t>剩余期限</t>
  </si>
  <si>
    <t>投资者账户数</t>
  </si>
  <si>
    <t>投资者类型</t>
  </si>
  <si>
    <t>投资者分布</t>
  </si>
  <si>
    <t>筹款用途</t>
  </si>
  <si>
    <t>联席账簿管理人</t>
  </si>
  <si>
    <t>定价_DMI</t>
  </si>
  <si>
    <t>七月</t>
  </si>
  <si>
    <t>美国七月</t>
  </si>
  <si>
    <t>BISL,港分</t>
  </si>
  <si>
    <t>板块</t>
  </si>
  <si>
    <t>主权/政府</t>
  </si>
  <si>
    <t>金融机构类</t>
  </si>
  <si>
    <t>地方平台类</t>
  </si>
  <si>
    <t>产业类</t>
  </si>
  <si>
    <t>房地产类</t>
  </si>
  <si>
    <t>平台级别</t>
  </si>
  <si>
    <t>首次违约日</t>
  </si>
  <si>
    <t>曾用名</t>
  </si>
  <si>
    <t>主体备注</t>
  </si>
  <si>
    <t>行业二级</t>
  </si>
  <si>
    <t>CY</t>
  </si>
  <si>
    <t>注册成立地</t>
  </si>
  <si>
    <t>BISL</t>
  </si>
  <si>
    <t>BISL,港分Global Advisor*</t>
  </si>
  <si>
    <t>港分,澳分</t>
  </si>
  <si>
    <t>港分</t>
  </si>
  <si>
    <t>澳分</t>
  </si>
  <si>
    <t>交行参与投资未承销*</t>
  </si>
  <si>
    <t>直接发行</t>
  </si>
  <si>
    <t>SBLC</t>
  </si>
  <si>
    <t>FI MTN</t>
  </si>
  <si>
    <t>系</t>
  </si>
  <si>
    <t>Stats描述</t>
  </si>
  <si>
    <t>AAA</t>
  </si>
  <si>
    <t>控制权变更回售@100%</t>
  </si>
  <si>
    <t>JUL</t>
  </si>
  <si>
    <t>基础建设</t>
  </si>
  <si>
    <t>3.0Y</t>
  </si>
  <si>
    <t>密歇根大学消费者信心指数</t>
  </si>
  <si>
    <t>CONSSENT Index</t>
  </si>
  <si>
    <t>四川省</t>
  </si>
  <si>
    <t>香港交易所</t>
  </si>
  <si>
    <t>港交所</t>
  </si>
  <si>
    <t>中国七月</t>
  </si>
  <si>
    <t>227k</t>
  </si>
  <si>
    <t>稳定/--</t>
  </si>
  <si>
    <t>广东省</t>
  </si>
  <si>
    <t>AA</t>
  </si>
  <si>
    <t>深圳市</t>
  </si>
  <si>
    <t>国有企业</t>
  </si>
  <si>
    <t>负面/稳定</t>
  </si>
  <si>
    <t>99.0%</t>
  </si>
  <si>
    <t>可赎回债</t>
  </si>
  <si>
    <t>5.75%</t>
  </si>
  <si>
    <t>CPI 同比</t>
  </si>
  <si>
    <t>CNCPIYOY Index</t>
  </si>
  <si>
    <t>中国七月CPI 同比</t>
  </si>
  <si>
    <t>PPI同比</t>
  </si>
  <si>
    <t>CHEFTYOY Index</t>
  </si>
  <si>
    <t>中国七月PPI同比</t>
  </si>
  <si>
    <t>货币供应M2同比</t>
  </si>
  <si>
    <t>CNMS2YOY Index</t>
  </si>
  <si>
    <t>中国七月货币供应M2同比</t>
  </si>
  <si>
    <t>贸易余额</t>
  </si>
  <si>
    <t>$70.00b</t>
  </si>
  <si>
    <t>$70.62b</t>
  </si>
  <si>
    <t>CNFRBAL$ Index</t>
  </si>
  <si>
    <t>中国七月贸易余额</t>
  </si>
  <si>
    <t>出口同比</t>
  </si>
  <si>
    <t>CNFREXPY Index</t>
  </si>
  <si>
    <t>中国七月出口同比</t>
  </si>
  <si>
    <t>进口同比</t>
  </si>
  <si>
    <t>CNFRIMPY Index</t>
  </si>
  <si>
    <t>中国七月进口同比</t>
  </si>
  <si>
    <t>新增人民币贷款</t>
  </si>
  <si>
    <t>780.0b</t>
  </si>
  <si>
    <t>3050.0b</t>
  </si>
  <si>
    <t>3049.5b</t>
  </si>
  <si>
    <t>CNLNNEW Index</t>
  </si>
  <si>
    <t>中国七月新增人民币贷款</t>
  </si>
  <si>
    <t>外汇储备</t>
  </si>
  <si>
    <t>$3203.00b</t>
  </si>
  <si>
    <t>$3193.00b</t>
  </si>
  <si>
    <t>CNGFOREX Index</t>
  </si>
  <si>
    <t>中国七月外汇储备</t>
  </si>
  <si>
    <t>230k</t>
  </si>
  <si>
    <t>CPI CHNG Index</t>
  </si>
  <si>
    <t>美国七月CPI 月环比</t>
  </si>
  <si>
    <t>AUG P</t>
  </si>
  <si>
    <t>八月</t>
  </si>
  <si>
    <t>美国八月</t>
  </si>
  <si>
    <t>美国八月密歇根大学消费者信心指数</t>
  </si>
  <si>
    <t>CPI YOY Index</t>
  </si>
  <si>
    <t>美国七月CPI 同比</t>
  </si>
  <si>
    <t>生产者价格环比</t>
  </si>
  <si>
    <t>FDIDFDMO Index</t>
  </si>
  <si>
    <t>美国七月生产者价格环比</t>
  </si>
  <si>
    <t>-$65.0b</t>
  </si>
  <si>
    <t>-$69.0b</t>
  </si>
  <si>
    <t>USTBTOT Index</t>
  </si>
  <si>
    <t>美国六月贸易余额</t>
  </si>
  <si>
    <t>点心债</t>
  </si>
  <si>
    <t>45</t>
  </si>
  <si>
    <t>英文简称</t>
  </si>
  <si>
    <t>发行架构</t>
  </si>
  <si>
    <t>临沂城市建设投资集团有限公司</t>
  </si>
  <si>
    <t>LYURBN 7.4 08/17/26</t>
  </si>
  <si>
    <t>XS2658712752</t>
  </si>
  <si>
    <t>临沂城市建设投资 7.4 2026-08-17</t>
  </si>
  <si>
    <t>Baa3/--</t>
  </si>
  <si>
    <t>7.6%区域</t>
  </si>
  <si>
    <t>7.4%</t>
  </si>
  <si>
    <t>山东省</t>
  </si>
  <si>
    <t>临沂市</t>
  </si>
  <si>
    <t>China Industrial Securities International Brokerage Limited;China International Capital Corporation Hong Kong Securities Limited;Guotai Junan International Holdings;Orient Securities (Hong Kong) Limited;Essence International Securities (Hong Kong) Limited</t>
  </si>
  <si>
    <t>3.01Y</t>
  </si>
  <si>
    <t>为现有离岸债务再融资、项目开发和营运资金补充</t>
  </si>
  <si>
    <t>LYURBN</t>
  </si>
  <si>
    <t>沂晟国际有限公司</t>
  </si>
  <si>
    <t>Bank of China Limited;Hua Xia Bank Co., Limited Hong Kong Branch;Industrial Bank Co., Ltd. Hong Kong Branch;BOCOM International Securities Limited;CNCB (Hong Kong) Capital Limited;China Galaxy International Securities (Hong Kong) Company Limited;SPDB International Capital Limited;CMBC Securities Company Limited;Sigma Capital Management Limited</t>
  </si>
  <si>
    <t>Bank of China Limited;Guotai Junan International Holdings;China Galaxy International Securities (Hong Kong) Company Limited;Orient Securities (Hong Kong) Limited;Essence International Securities (Hong Kong) Limited;SPDB International Capital Limited;China Industrial Securities International Brokerage Limited;Hua Xia Bank Co., Limited Hong Kong Branch;Industrial Bank Co., Ltd. Hong Kong Branch;BOCOM International Securities Limited;CNCB (Hong Kong) Capital Limited;China International Capital Corporation Hong Kong Securities Limited;CMBC Securities Company Limited;Sigma Capital Management Limited</t>
  </si>
  <si>
    <t>230810XS2658712752</t>
  </si>
  <si>
    <t>攀枝花城建交通(集团)有限公司</t>
  </si>
  <si>
    <t>PZHCJ 4.65 08/11/26</t>
  </si>
  <si>
    <t>XS2665495391</t>
  </si>
  <si>
    <t>攀枝花城建交通(集团) 4.65 2026-08-11</t>
  </si>
  <si>
    <t>天津银行股份有限公司</t>
  </si>
  <si>
    <t>攀枝花市</t>
  </si>
  <si>
    <t>BOCOM International Securities Limited;Wilson Securities Limited;Essence International Securities (Hong Kong) Limited</t>
  </si>
  <si>
    <t>用于攀枝花金江镇云智慧配套服务产业园建设项目和攀枝花生产服务型国家物流枢纽建设一期工程，并补充营运资金</t>
  </si>
  <si>
    <t>PZHCJ</t>
  </si>
  <si>
    <t>4.65%</t>
  </si>
  <si>
    <t>Industrial Bank Co., Ltd. Hong Kong Branch;CNCB (Hong Kong) Capital Limited;China Zheshang Bank Co., Ltd. Hong Kong Branch;Haitong International Securities Company Limited</t>
  </si>
  <si>
    <t>Industrial Bank Co., Ltd. Hong Kong Branch;BOCOM International Securities Limited;CNCB (Hong Kong) Capital Limited;China Zheshang Bank Co., Ltd. Hong Kong Branch;Wilson Securities Limited;Essence International Securities (Hong Kong) Limited;Haitong International Securities Company Limited</t>
  </si>
  <si>
    <t>230809XS2665495391</t>
  </si>
  <si>
    <t>中国人寿保险(海外)股份有限公司</t>
  </si>
  <si>
    <t>CHILOV 5.35 08/15/33</t>
  </si>
  <si>
    <t>XS2621319040</t>
  </si>
  <si>
    <t>中国人寿(海外) 5.35 2033-08-15</t>
  </si>
  <si>
    <t>A1/A</t>
  </si>
  <si>
    <t>10.0000</t>
  </si>
  <si>
    <t>5.80%区域</t>
  </si>
  <si>
    <t>5.35%</t>
  </si>
  <si>
    <t>Subordinated</t>
  </si>
  <si>
    <t>11.0%</t>
  </si>
  <si>
    <t>CMB International Capital Limited;Goldman Sachs (Asia) L.L.C.;China CITIC Bank International Limited;BOC International Holdings Limited</t>
  </si>
  <si>
    <t>保险</t>
  </si>
  <si>
    <t>T2</t>
  </si>
  <si>
    <t>5.01Y+5.0Y</t>
  </si>
  <si>
    <t>191</t>
  </si>
  <si>
    <t>银行/金融机构：40%
公司：38%
基金管理/资产管理：11%
保险公司：10%
私人银行/其他：1%</t>
  </si>
  <si>
    <t>亚洲占比99%
欧洲、中东和非洲占比1%</t>
  </si>
  <si>
    <t>发行人拟将债券发行所得净额用于补充其资本金</t>
  </si>
  <si>
    <t>CHILOV</t>
  </si>
  <si>
    <t>CHINA LIFE INSURANCE (OVERSEAS) COMPANY LIMITED, HONG KONG BRANCH</t>
  </si>
  <si>
    <t>CMBC Capital Holdings;BNP Finance;China Minsheng Banking Corp., Ltd., Hong Kong Branch;CCB International Capital Limited;China Galaxy International Securities (Hong Kong) Company Limited;GF Securities (Hong Kong) Brokerage Limited;SPDB International Capital Limited;Bank of Communications Co., Ltd. Hong Kong Branch;Industrial Bank Co., Ltd. Hong Kong Branch;The Hongkong and Shanghai Banking Corporation Limited;CNCB (Hong Kong) Capital Limited;Huatai Financial Holdings (Hong Kong) Limited;Industrial and Commercial Bank of China (Asia) Limited;Guotai Junan Securities (Hong Kong) Limited;Agricultural Bank of China Limited Hong Kong Branch;CMB Wing Lung Bank Limited;ABCI Capital Limited;Mizuho Securities Asia Limited;China Securities (International) Corporate Finance Company Limited;Haitong International Securities Company Limited</t>
  </si>
  <si>
    <t>CMBC Capital Holdings;BNP Finance;China Minsheng Banking Corp., Ltd., Hong Kong Branch;CCB International Capital Limited;China Galaxy International Securities (Hong Kong) Company Limited;GF Securities (Hong Kong) Brokerage Limited;SPDB International Capital Limited;CMB International Capital Limited;Goldman Sachs (Asia) L.L.C.;Bank of Communications Co., Ltd. Hong Kong Branch;Industrial Bank Co., Ltd. Hong Kong Branch;The Hongkong and Shanghai Banking Corporation Limited;CNCB (Hong Kong) Capital Limited;Huatai Financial Holdings (Hong Kong) Limited;Industrial and Commercial Bank of China (Asia) Limited;China CITIC Bank International Limited;Guotai Junan Securities (Hong Kong) Limited;Agricultural Bank of China Limited Hong Kong Branch;CMB Wing Lung Bank Limited;ABCI Capital Limited;Mizuho Securities Asia Limited;BOC International Holdings Limited;China Securities (International) Corporate Finance Company Limited;Haitong International Securities Company Limited</t>
  </si>
  <si>
    <t>230808XS2621319040</t>
  </si>
  <si>
    <t>山东省商业集团有限公司</t>
  </si>
  <si>
    <t>SHDCOM 3.9 08/11/26</t>
  </si>
  <si>
    <t>XS2654507842</t>
  </si>
  <si>
    <t>鲁商集团 3.9 2026-08-11</t>
  </si>
  <si>
    <t>4.3%区域</t>
  </si>
  <si>
    <t>3.9%</t>
  </si>
  <si>
    <t>北京银行股份有限公司济南分行</t>
  </si>
  <si>
    <t>济南市</t>
  </si>
  <si>
    <t>Shenwan Hongyuan Securities (H.K.) Limited</t>
  </si>
  <si>
    <t>一般零售</t>
  </si>
  <si>
    <t>AA+</t>
  </si>
  <si>
    <t>用于再融资部分离岸债务、发展零售业务和补充营运资金</t>
  </si>
  <si>
    <t>SHDCOM</t>
  </si>
  <si>
    <t>China Everbright Bank Co., Ltd Hong Kong Branch;CCB International Capital Limited;Industrial and Commercial Bank of China (Asia) Limited;China CITIC Bank International Limited;China Galaxy International Securities (Hong Kong) Company Limited;Shanghai Pudong Development Bank Hong Kong Branch;SunRiver International Securities Group Limited;Zhongtai International Securities Limited;CMB International Capital Limited</t>
  </si>
  <si>
    <t>CMB International Capital Limited;Shenwan Hongyuan Securities (H.K.) Limited;China Everbright Bank Co., Ltd Hong Kong Branch;CCB International Capital Limited;Industrial and Commercial Bank of China (Asia) Limited;China CITIC Bank International Limited;China Galaxy International Securities (Hong Kong) Company Limited;Shanghai Pudong Development Bank Hong Kong Branch;SunRiver International Securities Group Limited;Zhongtai International Securities Limited</t>
  </si>
  <si>
    <t>230808XS2654507842</t>
  </si>
  <si>
    <t>攀枝花城建交通</t>
  </si>
  <si>
    <t>中国人寿</t>
  </si>
  <si>
    <t>云南省能源投资集团有限公司</t>
  </si>
  <si>
    <t>YNPOWE 5.75 08/14/26</t>
  </si>
  <si>
    <t>XS2659087139</t>
  </si>
  <si>
    <t>云南省能源投资集团有限公司 5.75 2026-08-14</t>
  </si>
  <si>
    <t>6.3%区域</t>
  </si>
  <si>
    <t>SBLC+担保</t>
  </si>
  <si>
    <t>中国邮政储蓄银行股份有限公司昆明分行</t>
  </si>
  <si>
    <t>云南省</t>
  </si>
  <si>
    <t>昆明市</t>
  </si>
  <si>
    <t>SunRiver International Securities Group Limited;ABC International Holdings Limited;Bank of China Shanghai Branch;Shanghai Pudong Development Bank Co., Ltd., Hong Kong Branch</t>
  </si>
  <si>
    <t>综合</t>
  </si>
  <si>
    <t>用于偿还与可持续融资框架下定义的符合条件的绿色项目的融资和/或再融资有关的一年内到期的中长期外债</t>
  </si>
  <si>
    <t>YNPOWE</t>
  </si>
  <si>
    <t>YUNNAN ENERGY INVESTMENT OVERSEAS FINANCE COMPANY LTD.</t>
  </si>
  <si>
    <t>CLSA Securities Limited;CMBC Capital Holdings;CNCB (Hong Kong) Capital Limited; Guotai Junan International;SPDB International Capital Limited;Tai Fung Bank Limited</t>
  </si>
  <si>
    <t>CMBC Capital Holdings;CNCB (Hong Kong) Capital Limited;Tai Fung Bank Limited;Bank of China Shanghai Branch;SunRiver International Securities Group Limited;Shanghai Pudong Development Bank Co., Ltd., Hong Kong Branch;CLSA Securities Limited;SPDB International Capital Limited;ABC International Holdings Limited; Guotai Junan International</t>
  </si>
  <si>
    <t>230807XS2659087139</t>
  </si>
  <si>
    <t>$80.60b</t>
  </si>
  <si>
    <t>345.9b</t>
  </si>
  <si>
    <t>$3204.27b</t>
  </si>
  <si>
    <t>45143</t>
  </si>
  <si>
    <t>248k</t>
  </si>
  <si>
    <t>8/4/2023</t>
  </si>
  <si>
    <t>-$65.5b</t>
  </si>
  <si>
    <t>-$68.3b</t>
  </si>
  <si>
    <t>工业增加值同比</t>
  </si>
  <si>
    <t>CHVAIOY Index</t>
  </si>
  <si>
    <t>中国七月工业增加值同比</t>
  </si>
  <si>
    <t>社会消费品零售总额同比</t>
  </si>
  <si>
    <t>CNRSCYOY Index</t>
  </si>
  <si>
    <t>中国七月社会消费品零售总额同比</t>
  </si>
  <si>
    <t>工业增加值年迄今同比</t>
  </si>
  <si>
    <t>CHVAICY Index</t>
  </si>
  <si>
    <t>中国七月工业增加值年迄今同比</t>
  </si>
  <si>
    <t>固定资产除农村年迄今同比</t>
  </si>
  <si>
    <t>CNFAYOY Index</t>
  </si>
  <si>
    <t>中国七月固定资产除农村年迄今同比</t>
  </si>
  <si>
    <t>EC</t>
  </si>
  <si>
    <t>JUL F</t>
  </si>
  <si>
    <t>ECCPEMUY Index</t>
  </si>
  <si>
    <t>欧元区七月</t>
  </si>
  <si>
    <t>欧元区七月CPI 同比</t>
  </si>
  <si>
    <t>GDP经季调季环比</t>
  </si>
  <si>
    <t>2Q P</t>
  </si>
  <si>
    <t>EUGNEMUQ Index</t>
  </si>
  <si>
    <t>二季度</t>
  </si>
  <si>
    <t>欧元区二季度</t>
  </si>
  <si>
    <t>欧元区二季度GDP经季调季环比</t>
  </si>
  <si>
    <t>GDP经季调同比</t>
  </si>
  <si>
    <t>EUGNEMUY Index</t>
  </si>
  <si>
    <t>欧元区二季度GDP经季调同比</t>
  </si>
  <si>
    <t>ECCPEMUM Index</t>
  </si>
  <si>
    <t>欧元区七月CPI 月环比</t>
  </si>
  <si>
    <t>核心CPI同比</t>
  </si>
  <si>
    <t>CPEXEMUY Index</t>
  </si>
  <si>
    <t>欧元区七月核心CPI同比</t>
  </si>
  <si>
    <t>ZEW调查预期</t>
  </si>
  <si>
    <t>AUG</t>
  </si>
  <si>
    <t>GRZEEUEX Index</t>
  </si>
  <si>
    <t>欧元区八月</t>
  </si>
  <si>
    <t>欧元区八月ZEW调查预期</t>
  </si>
  <si>
    <t>45150</t>
  </si>
  <si>
    <t>240k</t>
  </si>
  <si>
    <t>零售销售月环比</t>
  </si>
  <si>
    <t>RSTAMOM Index</t>
  </si>
  <si>
    <t>美国七月零售销售月环比</t>
  </si>
  <si>
    <t>8/11/2023</t>
  </si>
  <si>
    <t>新宅开工指数</t>
  </si>
  <si>
    <t>1445k</t>
  </si>
  <si>
    <t>1434k</t>
  </si>
  <si>
    <t>NHSPSTOT Index</t>
  </si>
  <si>
    <t>美国七月新宅开工指数</t>
  </si>
  <si>
    <t>工业产值(月环比)</t>
  </si>
  <si>
    <t>IP CHNG Index</t>
  </si>
  <si>
    <t>美国七月工业产值(月环比)</t>
  </si>
  <si>
    <t>纽约州制造业调查指数</t>
  </si>
  <si>
    <t>EMPRGBCI Index</t>
  </si>
  <si>
    <t>美国八月纽约州制造业调查指数</t>
  </si>
  <si>
    <t>世界大型企业研究会领先指数环比</t>
  </si>
  <si>
    <t>LEI CHNG Index</t>
  </si>
  <si>
    <t>美国七月世界大型企业研究会领先指数环比</t>
  </si>
  <si>
    <t>7.6%a</t>
  </si>
  <si>
    <t>天津银行</t>
  </si>
  <si>
    <t>10</t>
  </si>
  <si>
    <t>5.8%a</t>
  </si>
  <si>
    <t>北京银行</t>
  </si>
  <si>
    <t>4.3%a</t>
  </si>
  <si>
    <t>邮储银行</t>
  </si>
  <si>
    <t>6.3%a</t>
  </si>
  <si>
    <t>Green</t>
  </si>
  <si>
    <t>临沂城投</t>
  </si>
  <si>
    <t>20</t>
  </si>
  <si>
    <t>鲁商集团(北京银行)</t>
  </si>
  <si>
    <t>40</t>
  </si>
  <si>
    <t>二级资本债</t>
  </si>
  <si>
    <t>云南能投(邮储银行)</t>
  </si>
  <si>
    <t>55</t>
  </si>
  <si>
    <t>绿色债券</t>
  </si>
  <si>
    <t xml:space="preserve">
地区分布：亚洲占比99%
欧洲、中东和非洲占比1%；
投资者类型：银行/金融机构：40%
公司：38%
基金管理/资产管理：11%
保险：10%
私行/其他：1%</t>
  </si>
  <si>
    <t>Kapok</t>
  </si>
  <si>
    <t>Yimeng III</t>
  </si>
  <si>
    <t>攀枝花城建(天津银行)</t>
  </si>
  <si>
    <t>≥5年</t>
  </si>
  <si>
    <t>Yimeng</t>
  </si>
  <si>
    <t>III</t>
  </si>
  <si>
    <t>B&amp;D FOP</t>
  </si>
  <si>
    <t>周二，中国人寿（A1/A/--）定价20亿美元10年期二级资本债（--/A-/--），价格5.35%，较IPG收窄45个基点，交通银行担任账簿管理人</t>
  </si>
  <si>
    <t>周三，攀枝花城建定价人民币2.569亿元3年期点心债（天津银行提供备证），价格4.65%，交银国际担任全球协调人及交割行</t>
  </si>
  <si>
    <t>周二，鲁商集团定价人民币4.85亿元3年期点心债（北京银行提供备证），价格3.9%，较IPG收窄40个基点</t>
  </si>
  <si>
    <t>周一，云南能投（--/--/BBB-）定价7000万美元3年期绿色债券（邮储银行提供备证），价格5.75%，较IPG收窄55个基点</t>
  </si>
  <si>
    <t>周四，临沂城投（Baa3/--/BBB-）定价3.1亿美元3年期高级债（Baa3/--/--），价格7.4%，较IPG收窄20个基点，交银国际担任账簿管理人</t>
  </si>
  <si>
    <t>中国人寿海外</t>
  </si>
  <si>
    <t>发行及交存代理*</t>
  </si>
  <si>
    <t>Baa3/--/--</t>
  </si>
  <si>
    <t>--/A-/--</t>
  </si>
  <si>
    <t>Baa3/--/BBB-</t>
  </si>
  <si>
    <t>A1/A/--</t>
  </si>
  <si>
    <t>--/--/BBB-</t>
  </si>
  <si>
    <t>REVIEW
⬇️</t>
  </si>
  <si>
    <t>攀枝花城建交通(天津银行)</t>
  </si>
  <si>
    <t>54</t>
  </si>
  <si>
    <t>53</t>
  </si>
  <si>
    <t>发行人注册地</t>
  </si>
  <si>
    <t>浮息息差</t>
  </si>
  <si>
    <t>债项BBG</t>
  </si>
  <si>
    <t>主体BBG</t>
  </si>
  <si>
    <t>DMI</t>
  </si>
  <si>
    <t>BBGCorp</t>
  </si>
  <si>
    <t>债券名称</t>
  </si>
  <si>
    <t>初始发行价</t>
  </si>
  <si>
    <t>首日表现</t>
  </si>
  <si>
    <t>最终订单量/峰值订单（亿美元）</t>
  </si>
  <si>
    <t>WSTIPT</t>
  </si>
  <si>
    <t>WSTFPT</t>
  </si>
  <si>
    <t>淄博高新国有资本投资有限公司</t>
  </si>
  <si>
    <t>ZBHiTech 8 03/31/2026</t>
  </si>
  <si>
    <t>XS2643016293</t>
  </si>
  <si>
    <t>100/8%</t>
  </si>
  <si>
    <t>-/-</t>
  </si>
  <si>
    <t>230725XS2643016293</t>
  </si>
  <si>
    <t>杭州钱塘新区建设投资集团有限公司</t>
  </si>
  <si>
    <t>HZQiantang 6.28 07/31/2026</t>
  </si>
  <si>
    <t>XS2654510556</t>
  </si>
  <si>
    <t>100/6.28%</t>
  </si>
  <si>
    <t>6.7%/-</t>
  </si>
  <si>
    <t>6.7%区域</t>
  </si>
  <si>
    <t>230726XS2654510556</t>
  </si>
  <si>
    <t>成都东进淮州新城投资集团有限公司</t>
  </si>
  <si>
    <t>CDDJHZ 6.5 08/02/2026</t>
  </si>
  <si>
    <t>XS2645241642</t>
  </si>
  <si>
    <t>100/6.5%</t>
  </si>
  <si>
    <t>230726XS2645241642</t>
  </si>
  <si>
    <t>WST</t>
  </si>
  <si>
    <t>项目名称（集团全称）</t>
  </si>
  <si>
    <t>担任角色</t>
  </si>
  <si>
    <t>项目定价日</t>
  </si>
  <si>
    <t>攀枝花城建交通（集团）有限公司</t>
  </si>
  <si>
    <t>QRC台账</t>
  </si>
  <si>
    <t>DMI Count</t>
  </si>
  <si>
    <t>BBG Count</t>
  </si>
  <si>
    <t>WST Date</t>
  </si>
  <si>
    <t>Max 台账序号</t>
  </si>
  <si>
    <t>Health Checker of Load 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</si>
</sst>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yyyy/m/d;@"/>
    <numFmt numFmtId="165" formatCode="0.000%"/>
    <numFmt numFmtId="166" formatCode="[$-F400]h:mm:ss\ AM/PM"/>
    <numFmt numFmtId="167" formatCode="m/d;@"/>
    <numFmt numFmtId="168" formatCode="0.0%"/>
  </numFmts>
  <fonts count="49" x14ac:knownFonts="1">
    <font>
      <sz val="11"/>
      <color theme="1"/>
      <name val="Microsoft JhengHei UI"/>
      <family val="2"/>
      <scheme val="minor"/>
    </font>
    <font>
      <sz val="8"/>
      <color theme="1"/>
      <name val="Microsoft JhengHei UI"/>
      <family val="2"/>
      <scheme val="minor"/>
    </font>
    <font>
      <sz val="8"/>
      <color theme="1"/>
      <name val="Microsoft JhengHei UI"/>
      <family val="2"/>
      <scheme val="minor"/>
    </font>
    <font>
      <sz val="8"/>
      <color theme="1"/>
      <name val="Microsoft JhengHei UI"/>
      <family val="2"/>
      <scheme val="minor"/>
    </font>
    <font>
      <sz val="8"/>
      <color theme="1"/>
      <name val="Microsoft JhengHei UI"/>
      <family val="2"/>
      <scheme val="minor"/>
    </font>
    <font>
      <sz val="8"/>
      <color theme="1"/>
      <name val="Microsoft JhengHei UI"/>
      <family val="2"/>
      <scheme val="minor"/>
    </font>
    <font>
      <sz val="11"/>
      <color theme="1"/>
      <name val="Microsoft JhengHei UI"/>
      <family val="2"/>
      <scheme val="minor"/>
    </font>
    <font>
      <b/>
      <sz val="11"/>
      <color theme="0"/>
      <name val="Microsoft JhengHei UI"/>
      <family val="2"/>
      <scheme val="minor"/>
    </font>
    <font>
      <sz val="8"/>
      <color theme="1"/>
      <name val="Microsoft JhengHei UI"/>
      <family val="2"/>
      <scheme val="minor"/>
    </font>
    <font>
      <sz val="10"/>
      <color theme="1"/>
      <name val="Microsoft JhengHei UI"/>
      <family val="2"/>
      <scheme val="minor"/>
    </font>
    <font>
      <i/>
      <sz val="10"/>
      <color theme="1" tint="0.39994506668294322"/>
      <name val="Microsoft JhengHei UI"/>
      <family val="2"/>
      <scheme val="minor"/>
    </font>
    <font>
      <b/>
      <i/>
      <sz val="10"/>
      <color theme="0"/>
      <name val="Microsoft JhengHei UI"/>
      <family val="2"/>
      <scheme val="minor"/>
    </font>
    <font>
      <sz val="36"/>
      <color rgb="FF0071BA"/>
      <name val="Microsoft JhengHei UI"/>
      <family val="2"/>
      <scheme val="minor"/>
    </font>
    <font>
      <sz val="36"/>
      <color rgb="FF2A7968"/>
      <name val="Microsoft JhengHei UI"/>
      <family val="2"/>
      <scheme val="minor"/>
    </font>
    <font>
      <sz val="11"/>
      <color rgb="FF2A7968"/>
      <name val="Microsoft JhengHei UI"/>
      <family val="2"/>
      <scheme val="minor"/>
    </font>
    <font>
      <sz val="36"/>
      <color rgb="FFC69E62"/>
      <name val="Microsoft JhengHei UI"/>
      <family val="2"/>
      <scheme val="minor"/>
    </font>
    <font>
      <sz val="11"/>
      <color rgb="FFC69E62"/>
      <name val="Microsoft JhengHei UI"/>
      <family val="2"/>
      <scheme val="minor"/>
    </font>
    <font>
      <sz val="8"/>
      <name val="Microsoft JhengHei UI"/>
      <family val="2"/>
      <scheme val="minor"/>
    </font>
    <font>
      <b/>
      <u/>
      <sz val="9"/>
      <color theme="9" tint="-0.249977111117893"/>
      <name val="Segoe UI"/>
      <family val="2"/>
    </font>
    <font>
      <i/>
      <u/>
      <sz val="18"/>
      <color rgb="FFC69E62"/>
      <name val="Microsoft JhengHei UI"/>
      <family val="2"/>
      <scheme val="minor"/>
    </font>
    <font>
      <sz val="18"/>
      <color rgb="FF2A7968"/>
      <name val="Microsoft JhengHei UI"/>
      <family val="2"/>
      <scheme val="minor"/>
    </font>
    <font>
      <sz val="18"/>
      <color rgb="FF888AA6"/>
      <name val="Microsoft JhengHei UI"/>
      <family val="2"/>
      <scheme val="minor"/>
    </font>
    <font>
      <sz val="11"/>
      <color theme="9"/>
      <name val="Microsoft JhengHei UI"/>
      <family val="2"/>
      <scheme val="minor"/>
    </font>
    <font>
      <sz val="36"/>
      <color rgb="FF234473"/>
      <name val="Microsoft JhengHei UI"/>
      <family val="2"/>
      <scheme val="minor"/>
    </font>
    <font>
      <sz val="8"/>
      <color rgb="FF888AA6"/>
      <name val="Microsoft JhengHei UI"/>
      <family val="2"/>
      <scheme val="minor"/>
    </font>
    <font>
      <sz val="26"/>
      <color theme="9"/>
      <name val="Microsoft JhengHei UI"/>
      <family val="2"/>
      <scheme val="minor"/>
    </font>
    <font>
      <b/>
      <i/>
      <sz val="8"/>
      <color theme="1" tint="0.39997558519241921"/>
      <name val="Microsoft JhengHei UI"/>
      <family val="2"/>
      <scheme val="minor"/>
    </font>
    <font>
      <b/>
      <i/>
      <sz val="8"/>
      <color theme="0"/>
      <name val="Microsoft JhengHei UI"/>
      <family val="2"/>
      <scheme val="minor"/>
    </font>
    <font>
      <i/>
      <sz val="8"/>
      <color theme="1" tint="0.39994506668294322"/>
      <name val="Microsoft JhengHei UI"/>
      <family val="2"/>
      <scheme val="minor"/>
    </font>
    <font>
      <sz val="11"/>
      <color indexed="8"/>
      <name val="Microsoft JhengHei UI"/>
      <family val="2"/>
      <scheme val="minor"/>
    </font>
    <font>
      <sz val="11"/>
      <color rgb="FF404040"/>
      <name val="Microsoft JhengHei UI"/>
      <family val="2"/>
    </font>
    <font>
      <sz val="36"/>
      <color theme="0"/>
      <name val="Microsoft JhengHei UI"/>
      <family val="2"/>
      <scheme val="minor"/>
    </font>
    <font>
      <sz val="36"/>
      <color rgb="FF888AA6"/>
      <name val="Microsoft JhengHei UI"/>
      <family val="2"/>
      <scheme val="minor"/>
    </font>
    <font>
      <sz val="28"/>
      <color rgb="FF2A7968"/>
      <name val="Microsoft JhengHei UI"/>
      <family val="2"/>
      <scheme val="minor"/>
    </font>
    <font>
      <sz val="8"/>
      <color rgb="FF404040"/>
      <name val="Microsoft JhengHei UI"/>
      <family val="2"/>
    </font>
    <font>
      <sz val="11"/>
      <color theme="2" tint="0.499984740745262"/>
      <name val="Microsoft JhengHei UI"/>
      <family val="2"/>
      <scheme val="minor"/>
    </font>
    <font>
      <b/>
      <sz val="8"/>
      <color rgb="FFFA7D00"/>
      <name val="Microsoft JhengHei UI"/>
      <family val="2"/>
      <scheme val="minor"/>
    </font>
    <font>
      <b/>
      <sz val="36"/>
      <color rgb="FF888AA6"/>
      <name val="Microsoft JhengHei UI"/>
      <family val="2"/>
      <scheme val="minor"/>
    </font>
    <font>
      <sz val="36"/>
      <color rgb="FFC2B59B"/>
      <name val="Microsoft JhengHei UI"/>
      <family val="2"/>
      <scheme val="minor"/>
    </font>
    <font>
      <b/>
      <sz val="8"/>
      <color rgb="FF3F3F3F"/>
      <name val="Microsoft JhengHei UI"/>
      <family val="2"/>
      <scheme val="minor"/>
    </font>
    <font>
      <b/>
      <sz val="9"/>
      <color indexed="81"/>
      <name val="Tahoma"/>
      <family val="2"/>
    </font>
    <font>
      <sz val="18"/>
      <color theme="9" tint="-0.249977111117893"/>
      <name val="Microsoft JhengHei UI"/>
      <family val="2"/>
      <scheme val="minor"/>
    </font>
    <font>
      <sz val="22"/>
      <color theme="0"/>
      <name val="Microsoft JhengHei UI"/>
      <family val="2"/>
      <scheme val="minor"/>
    </font>
    <font>
      <sz val="36"/>
      <color theme="8"/>
      <name val="Microsoft JhengHei UI"/>
      <family val="2"/>
      <scheme val="minor"/>
    </font>
    <font>
      <sz val="14"/>
      <color theme="1"/>
      <name val="Microsoft JhengHei UI"/>
      <family val="2"/>
      <scheme val="minor"/>
    </font>
    <font>
      <sz val="14"/>
      <color rgb="FF888AA6"/>
      <name val="Microsoft JhengHei UI"/>
      <family val="2"/>
      <scheme val="minor"/>
    </font>
    <font>
      <sz val="12"/>
      <color rgb="FF888AA6"/>
      <name val="Microsoft JhengHei UI"/>
      <family val="2"/>
      <scheme val="minor"/>
    </font>
    <font>
      <b/>
      <sz val="14"/>
      <color rgb="FF888AA6"/>
      <name val="Microsoft JhengHei UI"/>
      <family val="2"/>
      <scheme val="minor"/>
    </font>
    <font>
      <b/>
      <sz val="14"/>
      <color rgb="FFC2B59B"/>
      <name val="Microsoft JhengHei UI"/>
      <family val="2"/>
      <scheme val="minor"/>
    </font>
  </fonts>
  <fills count="17">
    <fill>
      <patternFill patternType="none"/>
    </fill>
    <fill>
      <patternFill patternType="gray125"/>
    </fill>
    <fill>
      <patternFill patternType="solid">
        <fgColor rgb="FFFFFFCC"/>
      </patternFill>
    </fill>
    <fill>
      <patternFill patternType="solid">
        <fgColor theme="0"/>
        <bgColor indexed="64"/>
      </patternFill>
    </fill>
    <fill>
      <patternFill patternType="solid">
        <fgColor rgb="FFE1E1E9"/>
        <bgColor indexed="64"/>
      </patternFill>
    </fill>
    <fill>
      <patternFill patternType="solid">
        <fgColor rgb="FF234473"/>
        <bgColor indexed="64"/>
      </patternFill>
    </fill>
    <fill>
      <patternFill patternType="solid">
        <fgColor rgb="FFF4EBDF"/>
        <bgColor indexed="64"/>
      </patternFill>
    </fill>
    <fill>
      <patternFill patternType="solid">
        <fgColor rgb="FFC49162"/>
        <bgColor indexed="64"/>
      </patternFill>
    </fill>
    <fill>
      <patternFill patternType="solid">
        <fgColor rgb="FF2A7968"/>
        <bgColor indexed="64"/>
      </patternFill>
    </fill>
    <fill>
      <patternFill patternType="solid">
        <fgColor rgb="FF888AA6"/>
        <bgColor indexed="64"/>
      </patternFill>
    </fill>
    <fill>
      <patternFill patternType="solid">
        <fgColor rgb="FF0071BA"/>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F4EBE0"/>
        <bgColor indexed="64"/>
      </patternFill>
    </fill>
    <fill>
      <patternFill patternType="solid">
        <fgColor rgb="FFFFFFFF"/>
        <bgColor rgb="FF000000"/>
      </patternFill>
    </fill>
    <fill>
      <patternFill patternType="solid">
        <fgColor theme="6" tint="0.59999389629810485"/>
        <bgColor indexed="64"/>
      </patternFill>
    </fill>
    <fill>
      <patternFill patternType="solid">
        <fgColor rgb="FFF2F2F2"/>
      </patternFill>
    </fill>
  </fills>
  <borders count="10">
    <border>
      <left/>
      <right/>
      <top/>
      <bottom/>
      <diagonal/>
    </border>
    <border>
      <left style="thin">
        <color rgb="FFB2B2B2"/>
      </left>
      <right style="thin">
        <color rgb="FFB2B2B2"/>
      </right>
      <top style="thin">
        <color rgb="FFB2B2B2"/>
      </top>
      <bottom style="thin">
        <color rgb="FFB2B2B2"/>
      </bottom>
      <diagonal/>
    </border>
    <border>
      <left/>
      <right style="thin">
        <color indexed="64"/>
      </right>
      <top/>
      <bottom/>
      <diagonal/>
    </border>
    <border>
      <left style="double">
        <color rgb="FF234473"/>
      </left>
      <right style="double">
        <color rgb="FF234473"/>
      </right>
      <top/>
      <bottom style="thin">
        <color rgb="FF234473"/>
      </bottom>
      <diagonal/>
    </border>
    <border>
      <left style="double">
        <color rgb="FF234473"/>
      </left>
      <right style="thin">
        <color rgb="FF234473"/>
      </right>
      <top style="thin">
        <color rgb="FF234473"/>
      </top>
      <bottom style="thin">
        <color rgb="FF234473"/>
      </bottom>
      <diagonal/>
    </border>
    <border>
      <left style="hair">
        <color theme="1" tint="0.39994506668294322"/>
      </left>
      <right style="hair">
        <color theme="1" tint="0.39994506668294322"/>
      </right>
      <top style="thin">
        <color auto="1"/>
      </top>
      <bottom style="thin">
        <color auto="1"/>
      </bottom>
      <diagonal/>
    </border>
    <border>
      <left style="hair">
        <color theme="1" tint="0.39994506668294322"/>
      </left>
      <right style="hair">
        <color theme="1" tint="0.39994506668294322"/>
      </right>
      <top style="hair">
        <color theme="1" tint="0.39994506668294322"/>
      </top>
      <bottom style="hair">
        <color theme="1" tint="0.3999450666829432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thin">
        <color theme="1" tint="0.59996337778862885"/>
      </bottom>
      <diagonal/>
    </border>
  </borders>
  <cellStyleXfs count="9">
    <xf numFmtId="0" fontId="0" fillId="0" borderId="0"/>
    <xf numFmtId="0" fontId="6" fillId="2" borderId="1" applyNumberFormat="0" applyFont="0" applyAlignment="0" applyProtection="0"/>
    <xf numFmtId="0" fontId="11" fillId="10" borderId="0">
      <alignment horizontal="center" vertical="center" wrapText="1"/>
    </xf>
    <xf numFmtId="164" fontId="11" fillId="10" borderId="0">
      <alignment horizontal="center" vertical="center"/>
    </xf>
    <xf numFmtId="165" fontId="11" fillId="10" borderId="0">
      <alignment horizontal="center" vertical="center"/>
    </xf>
    <xf numFmtId="0" fontId="10" fillId="11" borderId="0">
      <alignment horizontal="center" vertical="center" wrapText="1"/>
    </xf>
    <xf numFmtId="0" fontId="29" fillId="0" borderId="0"/>
    <xf numFmtId="0" fontId="36" fillId="16" borderId="7" applyNumberFormat="0" applyAlignment="0" applyProtection="0"/>
    <xf numFmtId="0" fontId="39" fillId="16" borderId="8" applyNumberFormat="0" applyAlignment="0" applyProtection="0"/>
  </cellStyleXfs>
  <cellXfs count="154">
    <xf numFmtId="0" fontId="0" fillId="0" borderId="0" xfId="0"/>
    <xf numFmtId="0" fontId="0" fillId="3" borderId="0" xfId="0" applyFill="1"/>
    <xf numFmtId="0" fontId="8" fillId="3" borderId="0" xfId="0" applyFont="1" applyFill="1" applyAlignment="1">
      <alignment vertical="center"/>
    </xf>
    <xf numFmtId="0" fontId="9" fillId="3" borderId="0" xfId="0" applyFont="1" applyFill="1"/>
    <xf numFmtId="0" fontId="0" fillId="3" borderId="0" xfId="0" applyFill="1" applyAlignment="1">
      <alignment horizontal="center" vertical="center"/>
    </xf>
    <xf numFmtId="0" fontId="12" fillId="3" borderId="0" xfId="0" applyFont="1" applyFill="1" applyAlignment="1">
      <alignment horizontal="left" vertical="center"/>
    </xf>
    <xf numFmtId="0" fontId="13" fillId="3" borderId="0" xfId="0" applyFont="1" applyFill="1" applyAlignment="1">
      <alignment vertical="center"/>
    </xf>
    <xf numFmtId="0" fontId="14" fillId="3" borderId="0" xfId="0" applyFont="1" applyFill="1"/>
    <xf numFmtId="0" fontId="15" fillId="3" borderId="0" xfId="0" applyFont="1" applyFill="1" applyAlignment="1">
      <alignment vertical="center"/>
    </xf>
    <xf numFmtId="0" fontId="15" fillId="3" borderId="0" xfId="0" applyFont="1" applyFill="1" applyAlignment="1">
      <alignment horizontal="left" vertical="center"/>
    </xf>
    <xf numFmtId="0" fontId="16" fillId="3" borderId="0" xfId="0" applyFont="1" applyFill="1" applyAlignment="1">
      <alignment horizontal="center" vertical="center"/>
    </xf>
    <xf numFmtId="0" fontId="5" fillId="5" borderId="0" xfId="0" applyFont="1" applyFill="1" applyAlignment="1">
      <alignment vertical="center"/>
    </xf>
    <xf numFmtId="0" fontId="5" fillId="7" borderId="0" xfId="0" applyFont="1" applyFill="1" applyAlignment="1">
      <alignment vertical="center"/>
    </xf>
    <xf numFmtId="0" fontId="5" fillId="3" borderId="0" xfId="0" applyFont="1" applyFill="1" applyAlignment="1">
      <alignment vertical="center"/>
    </xf>
    <xf numFmtId="0" fontId="5" fillId="10" borderId="0" xfId="0" applyFont="1" applyFill="1" applyAlignment="1">
      <alignment vertical="center"/>
    </xf>
    <xf numFmtId="0" fontId="5" fillId="8" borderId="0" xfId="0" applyFont="1" applyFill="1" applyAlignment="1">
      <alignment vertical="center"/>
    </xf>
    <xf numFmtId="0" fontId="5" fillId="9" borderId="0" xfId="0" applyFont="1" applyFill="1" applyAlignment="1">
      <alignment vertical="center"/>
    </xf>
    <xf numFmtId="0" fontId="5" fillId="4" borderId="0" xfId="0" applyFont="1" applyFill="1" applyAlignment="1">
      <alignment vertical="center"/>
    </xf>
    <xf numFmtId="0" fontId="5" fillId="6" borderId="0" xfId="0" applyFont="1" applyFill="1" applyAlignment="1">
      <alignment vertical="center"/>
    </xf>
    <xf numFmtId="0" fontId="5" fillId="0" borderId="0" xfId="0" applyFont="1" applyAlignment="1">
      <alignment horizontal="center" vertical="center"/>
    </xf>
    <xf numFmtId="0" fontId="5" fillId="3" borderId="0" xfId="0" applyFont="1" applyFill="1" applyAlignment="1">
      <alignment horizontal="center" vertical="center" wrapText="1"/>
    </xf>
    <xf numFmtId="0" fontId="5" fillId="3" borderId="0" xfId="0" applyFont="1" applyFill="1" applyAlignment="1">
      <alignment horizontal="center" vertical="center"/>
    </xf>
    <xf numFmtId="0" fontId="5" fillId="0" borderId="0" xfId="0" applyFont="1" applyAlignment="1">
      <alignment vertical="center"/>
    </xf>
    <xf numFmtId="0" fontId="18" fillId="0" borderId="0" xfId="0" applyFont="1"/>
    <xf numFmtId="0" fontId="19" fillId="3" borderId="0" xfId="0" applyFont="1" applyFill="1" applyAlignment="1">
      <alignment vertical="center"/>
    </xf>
    <xf numFmtId="0" fontId="0" fillId="3" borderId="0" xfId="0" applyFill="1" applyAlignment="1">
      <alignment horizontal="center"/>
    </xf>
    <xf numFmtId="14" fontId="0" fillId="3" borderId="0" xfId="0" applyNumberFormat="1" applyFill="1"/>
    <xf numFmtId="0" fontId="13" fillId="3" borderId="0" xfId="0" applyFont="1" applyFill="1" applyAlignment="1">
      <alignment horizontal="left" vertical="center"/>
    </xf>
    <xf numFmtId="0" fontId="13" fillId="3" borderId="0" xfId="0" applyFont="1" applyFill="1" applyAlignment="1">
      <alignment horizontal="center" vertical="center"/>
    </xf>
    <xf numFmtId="0" fontId="20" fillId="3" borderId="0" xfId="0" applyFont="1" applyFill="1" applyAlignment="1">
      <alignment horizontal="center" vertical="center"/>
    </xf>
    <xf numFmtId="0" fontId="21" fillId="3" borderId="0" xfId="0" applyFont="1" applyFill="1" applyAlignment="1">
      <alignment horizontal="center" vertical="center"/>
    </xf>
    <xf numFmtId="0" fontId="23" fillId="3" borderId="0" xfId="0" applyFont="1" applyFill="1" applyAlignment="1">
      <alignment vertical="center"/>
    </xf>
    <xf numFmtId="0" fontId="24" fillId="3" borderId="0" xfId="0" applyFont="1" applyFill="1" applyAlignment="1">
      <alignment vertical="center"/>
    </xf>
    <xf numFmtId="167" fontId="25" fillId="6" borderId="4" xfId="0" applyNumberFormat="1" applyFont="1" applyFill="1" applyBorder="1" applyAlignment="1" applyProtection="1">
      <alignment horizontal="center" vertical="center"/>
      <protection locked="0"/>
    </xf>
    <xf numFmtId="0" fontId="22" fillId="3" borderId="0" xfId="0" applyFont="1" applyFill="1" applyAlignment="1">
      <alignment vertical="center"/>
    </xf>
    <xf numFmtId="0" fontId="4" fillId="0" borderId="0" xfId="0" applyFont="1" applyAlignment="1">
      <alignment horizontal="center" vertical="center"/>
    </xf>
    <xf numFmtId="0" fontId="4" fillId="0" borderId="0" xfId="0" applyFont="1" applyAlignment="1" applyProtection="1">
      <alignment horizontal="center" vertical="center"/>
      <protection locked="0"/>
    </xf>
    <xf numFmtId="0" fontId="4" fillId="0" borderId="2" xfId="0" applyFont="1" applyBorder="1" applyAlignment="1">
      <alignment horizontal="center" vertical="center"/>
    </xf>
    <xf numFmtId="0" fontId="26" fillId="3" borderId="0" xfId="2" applyFont="1" applyFill="1" applyProtection="1">
      <alignment horizontal="center" vertical="center" wrapText="1"/>
      <protection hidden="1"/>
    </xf>
    <xf numFmtId="0" fontId="27" fillId="10" borderId="0" xfId="2" applyFont="1" applyProtection="1">
      <alignment horizontal="center" vertical="center" wrapText="1"/>
      <protection locked="0"/>
    </xf>
    <xf numFmtId="164" fontId="26" fillId="3" borderId="0" xfId="3" applyFont="1" applyFill="1" applyProtection="1">
      <alignment horizontal="center" vertical="center"/>
      <protection hidden="1"/>
    </xf>
    <xf numFmtId="164" fontId="27" fillId="10" borderId="0" xfId="2" applyNumberFormat="1" applyFont="1" applyProtection="1">
      <alignment horizontal="center" vertical="center" wrapText="1"/>
      <protection locked="0"/>
    </xf>
    <xf numFmtId="0" fontId="26" fillId="3" borderId="0" xfId="2" quotePrefix="1" applyFont="1" applyFill="1" applyProtection="1">
      <alignment horizontal="center" vertical="center" wrapText="1"/>
      <protection hidden="1"/>
    </xf>
    <xf numFmtId="0" fontId="27" fillId="10" borderId="0" xfId="2" quotePrefix="1" applyFont="1" applyProtection="1">
      <alignment horizontal="center" vertical="center" wrapText="1"/>
      <protection locked="0"/>
    </xf>
    <xf numFmtId="49" fontId="26" fillId="3" borderId="0" xfId="4" applyNumberFormat="1" applyFont="1" applyFill="1" applyProtection="1">
      <alignment horizontal="center" vertical="center"/>
      <protection hidden="1"/>
    </xf>
    <xf numFmtId="49" fontId="27" fillId="10" borderId="0" xfId="2" applyNumberFormat="1" applyFont="1" applyProtection="1">
      <alignment horizontal="center" vertical="center" wrapText="1"/>
      <protection locked="0"/>
    </xf>
    <xf numFmtId="49" fontId="27" fillId="10" borderId="0" xfId="4" applyNumberFormat="1" applyFont="1" applyProtection="1">
      <alignment horizontal="center" vertical="center"/>
      <protection locked="0"/>
    </xf>
    <xf numFmtId="10" fontId="27" fillId="10" borderId="0" xfId="2" quotePrefix="1" applyNumberFormat="1" applyFont="1" applyProtection="1">
      <alignment horizontal="center" vertical="center" wrapText="1"/>
      <protection locked="0"/>
    </xf>
    <xf numFmtId="10" fontId="26" fillId="3" borderId="0" xfId="2" applyNumberFormat="1" applyFont="1" applyFill="1" applyProtection="1">
      <alignment horizontal="center" vertical="center" wrapText="1"/>
      <protection hidden="1"/>
    </xf>
    <xf numFmtId="0" fontId="26" fillId="3" borderId="0" xfId="2" applyFont="1" applyFill="1" applyAlignment="1" applyProtection="1">
      <alignment horizontal="center" vertical="center"/>
      <protection hidden="1"/>
    </xf>
    <xf numFmtId="0" fontId="28" fillId="11" borderId="0" xfId="5" applyFont="1" applyProtection="1">
      <alignment horizontal="center" vertical="center" wrapText="1"/>
      <protection hidden="1"/>
    </xf>
    <xf numFmtId="0" fontId="28" fillId="11" borderId="0" xfId="5" quotePrefix="1" applyFont="1" applyProtection="1">
      <alignment horizontal="center" vertical="center" wrapText="1"/>
      <protection hidden="1"/>
    </xf>
    <xf numFmtId="0" fontId="14" fillId="3" borderId="0" xfId="0" applyFont="1" applyFill="1" applyAlignment="1">
      <alignment vertical="center"/>
    </xf>
    <xf numFmtId="0" fontId="4" fillId="3" borderId="0" xfId="0" applyFont="1" applyFill="1" applyAlignment="1">
      <alignment vertical="center"/>
    </xf>
    <xf numFmtId="0" fontId="4" fillId="3" borderId="0" xfId="0" applyFont="1" applyFill="1" applyAlignment="1">
      <alignment horizontal="center" vertical="center"/>
    </xf>
    <xf numFmtId="0" fontId="4" fillId="3" borderId="0" xfId="0" applyFont="1" applyFill="1"/>
    <xf numFmtId="0" fontId="15" fillId="3" borderId="0" xfId="0" applyFont="1" applyFill="1" applyAlignment="1" applyProtection="1">
      <alignment vertical="center"/>
      <protection locked="0"/>
    </xf>
    <xf numFmtId="0" fontId="0" fillId="3" borderId="0" xfId="0" applyFill="1" applyProtection="1">
      <protection locked="0"/>
    </xf>
    <xf numFmtId="0" fontId="0" fillId="0" borderId="0" xfId="0" applyAlignment="1" applyProtection="1">
      <alignment horizontal="left"/>
      <protection locked="0"/>
    </xf>
    <xf numFmtId="0" fontId="0" fillId="0" borderId="0" xfId="0" applyProtection="1">
      <protection locked="0"/>
    </xf>
    <xf numFmtId="0" fontId="0" fillId="3" borderId="0" xfId="0" applyFill="1" applyAlignment="1" applyProtection="1">
      <alignment horizontal="left"/>
      <protection locked="0"/>
    </xf>
    <xf numFmtId="0" fontId="0" fillId="4" borderId="0" xfId="0" applyFill="1" applyAlignment="1">
      <alignment horizontal="left"/>
    </xf>
    <xf numFmtId="0" fontId="0" fillId="13" borderId="0" xfId="0" applyFill="1" applyAlignment="1">
      <alignment horizontal="left"/>
    </xf>
    <xf numFmtId="0" fontId="23" fillId="3" borderId="0" xfId="0" applyFont="1" applyFill="1" applyAlignment="1" applyProtection="1">
      <alignment vertical="center"/>
      <protection locked="0"/>
    </xf>
    <xf numFmtId="0" fontId="12" fillId="3" borderId="0" xfId="0" applyFont="1" applyFill="1" applyAlignment="1">
      <alignment horizontal="right" vertical="center"/>
    </xf>
    <xf numFmtId="0" fontId="0" fillId="0" borderId="0" xfId="0" applyAlignment="1">
      <alignment vertical="center"/>
    </xf>
    <xf numFmtId="0" fontId="3" fillId="0" borderId="2" xfId="0" applyFont="1" applyBorder="1" applyAlignment="1">
      <alignment horizontal="center" vertical="center"/>
    </xf>
    <xf numFmtId="0" fontId="0" fillId="3" borderId="0" xfId="0" applyFill="1" applyAlignment="1">
      <alignment horizontal="left"/>
    </xf>
    <xf numFmtId="0" fontId="0" fillId="0" borderId="0" xfId="0" applyAlignment="1">
      <alignment horizontal="center" vertical="center"/>
    </xf>
    <xf numFmtId="0" fontId="31" fillId="3" borderId="0" xfId="0" applyFont="1" applyFill="1" applyAlignment="1">
      <alignment vertical="center"/>
    </xf>
    <xf numFmtId="0" fontId="0" fillId="0" borderId="0" xfId="0" applyAlignment="1">
      <alignment horizontal="center"/>
    </xf>
    <xf numFmtId="0" fontId="0" fillId="12" borderId="0" xfId="0" applyFill="1"/>
    <xf numFmtId="164" fontId="0" fillId="6" borderId="0" xfId="0" applyNumberFormat="1" applyFill="1" applyAlignment="1">
      <alignment horizontal="center" vertical="center"/>
    </xf>
    <xf numFmtId="164" fontId="0" fillId="0" borderId="0" xfId="0" applyNumberFormat="1" applyAlignment="1">
      <alignment horizontal="center" vertical="center"/>
    </xf>
    <xf numFmtId="0" fontId="0" fillId="12" borderId="0" xfId="0" applyFill="1" applyAlignment="1">
      <alignment horizontal="center" vertical="center"/>
    </xf>
    <xf numFmtId="0" fontId="0" fillId="13" borderId="0" xfId="0" applyFill="1" applyAlignment="1">
      <alignment horizontal="center"/>
    </xf>
    <xf numFmtId="0" fontId="32" fillId="3" borderId="0" xfId="0" applyFont="1" applyFill="1" applyAlignment="1">
      <alignment horizontal="left" vertical="center"/>
    </xf>
    <xf numFmtId="166" fontId="0" fillId="3" borderId="0" xfId="0" applyNumberFormat="1" applyFill="1" applyProtection="1">
      <protection locked="0"/>
    </xf>
    <xf numFmtId="167" fontId="0" fillId="3" borderId="0" xfId="0" applyNumberFormat="1" applyFill="1" applyAlignment="1">
      <alignment horizontal="left"/>
    </xf>
    <xf numFmtId="14" fontId="0" fillId="3" borderId="0" xfId="0" applyNumberFormat="1" applyFill="1" applyProtection="1">
      <protection locked="0"/>
    </xf>
    <xf numFmtId="0" fontId="2" fillId="0" borderId="0" xfId="0" applyFont="1"/>
    <xf numFmtId="0" fontId="0" fillId="3" borderId="6" xfId="0" applyFill="1" applyBorder="1"/>
    <xf numFmtId="0" fontId="7" fillId="9" borderId="5" xfId="0" applyFont="1" applyFill="1" applyBorder="1"/>
    <xf numFmtId="0" fontId="2" fillId="3" borderId="0" xfId="0" applyFont="1" applyFill="1" applyAlignment="1">
      <alignment vertical="center"/>
    </xf>
    <xf numFmtId="0" fontId="7" fillId="9" borderId="5" xfId="0" applyFont="1" applyFill="1" applyBorder="1" applyAlignment="1">
      <alignment horizontal="center" vertical="center"/>
    </xf>
    <xf numFmtId="0" fontId="33" fillId="3" borderId="0" xfId="0" applyFont="1" applyFill="1"/>
    <xf numFmtId="0" fontId="34" fillId="14" borderId="0" xfId="0" applyFont="1" applyFill="1"/>
    <xf numFmtId="0" fontId="0" fillId="15" borderId="0" xfId="0" applyFill="1"/>
    <xf numFmtId="10" fontId="0" fillId="0" borderId="0" xfId="0" applyNumberFormat="1" applyAlignment="1">
      <alignment horizontal="center" vertical="center"/>
    </xf>
    <xf numFmtId="0" fontId="0" fillId="12" borderId="0" xfId="0" applyFill="1" applyAlignment="1">
      <alignment horizontal="center"/>
    </xf>
    <xf numFmtId="0" fontId="0" fillId="12" borderId="0" xfId="0" quotePrefix="1" applyFill="1"/>
    <xf numFmtId="164" fontId="0" fillId="4" borderId="0" xfId="0" applyNumberFormat="1" applyFill="1" applyAlignment="1">
      <alignment horizontal="left"/>
    </xf>
    <xf numFmtId="164" fontId="0" fillId="13" borderId="0" xfId="0" applyNumberFormat="1" applyFill="1" applyAlignment="1">
      <alignment horizontal="left"/>
    </xf>
    <xf numFmtId="164" fontId="0" fillId="0" borderId="0" xfId="0" applyNumberFormat="1"/>
    <xf numFmtId="0" fontId="35" fillId="3" borderId="0" xfId="0" applyFont="1" applyFill="1"/>
    <xf numFmtId="164" fontId="0" fillId="12" borderId="0" xfId="0" applyNumberFormat="1" applyFill="1" applyAlignment="1">
      <alignment horizontal="center"/>
    </xf>
    <xf numFmtId="164" fontId="0" fillId="12" borderId="0" xfId="0" quotePrefix="1" applyNumberFormat="1" applyFill="1"/>
    <xf numFmtId="10" fontId="0" fillId="12" borderId="0" xfId="0" applyNumberFormat="1" applyFill="1" applyAlignment="1">
      <alignment horizontal="center" vertical="center"/>
    </xf>
    <xf numFmtId="0" fontId="0" fillId="12" borderId="0" xfId="0" quotePrefix="1" applyFill="1" applyAlignment="1">
      <alignment horizontal="center" vertical="center"/>
    </xf>
    <xf numFmtId="14" fontId="0" fillId="0" borderId="0" xfId="0" applyNumberFormat="1" applyProtection="1">
      <protection locked="0"/>
    </xf>
    <xf numFmtId="166" fontId="0" fillId="0" borderId="0" xfId="0" applyNumberFormat="1" applyProtection="1">
      <protection locked="0"/>
    </xf>
    <xf numFmtId="0" fontId="36" fillId="16" borderId="7" xfId="7" applyAlignment="1">
      <alignment horizontal="center" vertical="center"/>
    </xf>
    <xf numFmtId="164" fontId="0" fillId="3" borderId="6" xfId="0" applyNumberFormat="1" applyFill="1" applyBorder="1" applyAlignment="1">
      <alignment vertical="center"/>
    </xf>
    <xf numFmtId="0" fontId="37" fillId="3" borderId="0" xfId="0" applyFont="1" applyFill="1" applyAlignment="1">
      <alignment vertical="center"/>
    </xf>
    <xf numFmtId="0" fontId="38" fillId="3" borderId="0" xfId="0" applyFont="1" applyFill="1" applyAlignment="1">
      <alignment vertical="center"/>
    </xf>
    <xf numFmtId="164" fontId="0" fillId="12" borderId="0" xfId="0" quotePrefix="1" applyNumberFormat="1" applyFill="1" applyAlignment="1">
      <alignment horizontal="center"/>
    </xf>
    <xf numFmtId="0" fontId="0" fillId="12" borderId="0" xfId="0" quotePrefix="1" applyFill="1" applyAlignment="1">
      <alignment horizontal="center"/>
    </xf>
    <xf numFmtId="0" fontId="0" fillId="0" borderId="0" xfId="0" quotePrefix="1" applyAlignment="1">
      <alignment vertical="center"/>
    </xf>
    <xf numFmtId="0" fontId="0" fillId="0" borderId="0" xfId="1" applyFont="1" applyFill="1" applyBorder="1" applyAlignment="1" applyProtection="1">
      <alignment horizontal="center" vertical="center"/>
      <protection locked="0"/>
    </xf>
    <xf numFmtId="0" fontId="0" fillId="0" borderId="0" xfId="1" applyFont="1" applyFill="1" applyBorder="1" applyAlignment="1">
      <alignment horizontal="center" vertical="center"/>
    </xf>
    <xf numFmtId="0" fontId="0" fillId="0" borderId="0" xfId="0" applyAlignment="1">
      <alignment horizontal="left" vertical="center"/>
    </xf>
    <xf numFmtId="0" fontId="0" fillId="0" borderId="0" xfId="0" applyAlignment="1">
      <alignment horizontal="left"/>
    </xf>
    <xf numFmtId="0" fontId="0" fillId="0" borderId="0" xfId="0" applyAlignment="1">
      <alignment wrapText="1"/>
    </xf>
    <xf numFmtId="0" fontId="0" fillId="0" borderId="0" xfId="0" applyFont="1" applyFill="1"/>
    <xf numFmtId="0" fontId="0" fillId="0" borderId="0" xfId="0" applyNumberFormat="1" applyFont="1" applyFill="1"/>
    <xf numFmtId="0" fontId="0" fillId="0" borderId="0" xfId="0" applyFont="1" applyFill="1" applyAlignment="1">
      <alignment horizontal="left" vertical="center"/>
    </xf>
    <xf numFmtId="0" fontId="0" fillId="0" borderId="0" xfId="0" applyNumberFormat="1" applyFont="1" applyFill="1" applyAlignment="1">
      <alignment horizontal="left"/>
    </xf>
    <xf numFmtId="164" fontId="0" fillId="0" borderId="0" xfId="0" applyNumberFormat="1" applyFont="1" applyFill="1" applyAlignment="1">
      <alignment horizontal="left" vertical="center"/>
    </xf>
    <xf numFmtId="0" fontId="0" fillId="0" borderId="0" xfId="0" applyFont="1" applyFill="1" applyAlignment="1">
      <alignment horizontal="left"/>
    </xf>
    <xf numFmtId="0" fontId="0" fillId="0" borderId="0" xfId="0" quotePrefix="1" applyAlignment="1">
      <alignment horizontal="center" vertical="center"/>
    </xf>
    <xf numFmtId="168" fontId="0" fillId="12" borderId="0" xfId="0" applyNumberFormat="1" applyFill="1" applyAlignment="1">
      <alignment horizontal="center" vertical="center"/>
    </xf>
    <xf numFmtId="168" fontId="0" fillId="3" borderId="0" xfId="0" applyNumberFormat="1" applyFill="1" applyAlignment="1">
      <alignment horizontal="center" vertical="center"/>
    </xf>
    <xf numFmtId="0" fontId="0" fillId="3" borderId="0" xfId="0" quotePrefix="1" applyFill="1" applyAlignment="1">
      <alignment horizontal="center" vertical="center"/>
    </xf>
    <xf numFmtId="0" fontId="0" fillId="0" borderId="0" xfId="0" applyNumberFormat="1" applyAlignment="1">
      <alignment wrapText="1"/>
    </xf>
    <xf numFmtId="0" fontId="0" fillId="0" borderId="0" xfId="0" applyAlignment="1"/>
    <xf numFmtId="167" fontId="0" fillId="0" borderId="0" xfId="0" applyNumberFormat="1" applyFont="1" applyFill="1" applyAlignment="1" applyProtection="1">
      <alignment horizontal="left"/>
      <protection locked="0"/>
    </xf>
    <xf numFmtId="0" fontId="0" fillId="0" borderId="0" xfId="0" applyFont="1" applyFill="1" applyProtection="1">
      <protection locked="0"/>
    </xf>
    <xf numFmtId="166" fontId="0" fillId="0" borderId="0" xfId="0" applyNumberFormat="1" applyFont="1" applyFill="1" applyProtection="1">
      <protection locked="0"/>
    </xf>
    <xf numFmtId="0" fontId="0" fillId="0" borderId="0" xfId="0" applyFont="1" applyFill="1" applyBorder="1"/>
    <xf numFmtId="0" fontId="0" fillId="0" borderId="0" xfId="0" applyFont="1" applyFill="1" applyBorder="1" applyAlignment="1">
      <alignment vertical="center"/>
    </xf>
    <xf numFmtId="164" fontId="0" fillId="0" borderId="0" xfId="0" applyNumberFormat="1" applyFont="1" applyFill="1" applyBorder="1" applyAlignment="1">
      <alignment vertical="center"/>
    </xf>
    <xf numFmtId="0" fontId="0" fillId="0" borderId="0" xfId="0" applyNumberFormat="1" applyFont="1" applyFill="1" applyBorder="1"/>
    <xf numFmtId="0" fontId="0" fillId="0" borderId="0" xfId="0" applyNumberFormat="1" applyFont="1" applyFill="1" applyBorder="1" applyAlignment="1">
      <alignment vertical="center"/>
    </xf>
    <xf numFmtId="14" fontId="0" fillId="0" borderId="0" xfId="0" applyNumberFormat="1" applyFont="1" applyFill="1"/>
    <xf numFmtId="14" fontId="0" fillId="0" borderId="0" xfId="0" applyNumberFormat="1"/>
    <xf numFmtId="14" fontId="0" fillId="0" borderId="0" xfId="0" applyNumberFormat="1" applyFont="1" applyFill="1" applyBorder="1" applyAlignment="1">
      <alignment vertical="center"/>
    </xf>
    <xf numFmtId="0" fontId="39" fillId="16" borderId="8" xfId="8" applyProtection="1">
      <protection locked="0"/>
    </xf>
    <xf numFmtId="0" fontId="0" fillId="0" borderId="0" xfId="0" applyNumberFormat="1"/>
    <xf numFmtId="0" fontId="41" fillId="3" borderId="0" xfId="0" applyFont="1" applyFill="1" applyAlignment="1">
      <alignment horizontal="center" wrapText="1"/>
    </xf>
    <xf numFmtId="0" fontId="1" fillId="0" borderId="2" xfId="0" applyFont="1" applyBorder="1" applyAlignment="1">
      <alignment horizontal="center" vertical="center"/>
    </xf>
    <xf numFmtId="14" fontId="0" fillId="0" borderId="0" xfId="0" applyNumberFormat="1" applyFont="1" applyFill="1" applyBorder="1"/>
    <xf numFmtId="0" fontId="42" fillId="3" borderId="0" xfId="0" applyFont="1" applyFill="1" applyAlignment="1">
      <alignment vertical="center"/>
    </xf>
    <xf numFmtId="0" fontId="32" fillId="3" borderId="0" xfId="0" applyFont="1" applyFill="1" applyAlignment="1">
      <alignment vertical="center"/>
    </xf>
    <xf numFmtId="0" fontId="43" fillId="3" borderId="0" xfId="0" applyFont="1" applyFill="1" applyAlignment="1">
      <alignment vertical="center"/>
    </xf>
    <xf numFmtId="0" fontId="44" fillId="3" borderId="0" xfId="0" applyFont="1" applyFill="1" applyBorder="1" applyAlignment="1">
      <alignment horizontal="left" vertical="center"/>
    </xf>
    <xf numFmtId="0" fontId="46" fillId="4" borderId="3" xfId="0" applyFont="1" applyFill="1" applyBorder="1" applyAlignment="1">
      <alignment horizontal="center" vertical="center" wrapText="1"/>
    </xf>
    <xf numFmtId="0" fontId="45" fillId="3" borderId="9" xfId="0" applyFont="1" applyFill="1" applyBorder="1" applyAlignment="1"/>
    <xf numFmtId="0" fontId="44" fillId="3" borderId="9" xfId="0" applyFont="1" applyFill="1" applyBorder="1" applyAlignment="1">
      <alignment vertical="center"/>
    </xf>
    <xf numFmtId="0" fontId="47" fillId="3" borderId="0" xfId="0" applyFont="1" applyFill="1" applyBorder="1" applyAlignment="1">
      <alignment horizontal="right" vertical="center" wrapText="1"/>
    </xf>
    <xf numFmtId="0" fontId="48" fillId="3" borderId="0" xfId="0" applyFont="1" applyFill="1" applyBorder="1" applyAlignment="1">
      <alignment horizontal="center" vertical="center"/>
    </xf>
    <xf numFmtId="0" fontId="44" fillId="3" borderId="0" xfId="0" applyFont="1" applyFill="1" applyBorder="1" applyAlignment="1">
      <alignment vertical="center"/>
    </xf>
    <xf numFmtId="167" fontId="48" fillId="3" borderId="0" xfId="0" applyNumberFormat="1" applyFont="1" applyFill="1" applyBorder="1" applyAlignment="1">
      <alignment horizontal="center" vertical="center"/>
    </xf>
    <xf numFmtId="0" fontId="47" fillId="3" borderId="9" xfId="0" applyFont="1" applyFill="1" applyBorder="1" applyAlignment="1">
      <alignment horizontal="right" vertical="center" wrapText="1"/>
    </xf>
    <xf numFmtId="0" fontId="48" fillId="3" borderId="9" xfId="0" applyFont="1" applyFill="1" applyBorder="1" applyAlignment="1">
      <alignment horizontal="center" vertical="center"/>
    </xf>
  </cellXfs>
  <cellStyles count="9">
    <cellStyle name="Calculation" xfId="7" builtinId="22"/>
    <cellStyle name="For Input" xfId="2" xr:uid="{00000000-0005-0000-0000-000001000000}"/>
    <cellStyle name="Formula" xfId="5" xr:uid="{00000000-0005-0000-0000-000002000000}"/>
    <cellStyle name="Input %" xfId="4" xr:uid="{00000000-0005-0000-0000-000003000000}"/>
    <cellStyle name="Input Date" xfId="3" xr:uid="{00000000-0005-0000-0000-000004000000}"/>
    <cellStyle name="Normal" xfId="0" builtinId="0"/>
    <cellStyle name="Normal 2" xfId="6" xr:uid="{00000000-0005-0000-0000-000006000000}"/>
    <cellStyle name="Note" xfId="1" builtinId="10"/>
    <cellStyle name="Output" xfId="8" builtinId="21"/>
  </cellStyles>
  <dxfs count="453">
    <dxf>
      <font>
        <b val="0"/>
        <i val="0"/>
        <strike val="0"/>
        <condense val="0"/>
        <extend val="0"/>
        <outline val="0"/>
        <shadow val="0"/>
        <u val="none"/>
        <vertAlign val="baseline"/>
        <sz val="11"/>
        <color theme="1"/>
        <name val="Microsoft JhengHei UI"/>
        <scheme val="minor"/>
      </font>
      <fill>
        <patternFill patternType="none">
          <fgColor indexed="64"/>
          <bgColor indexed="65"/>
        </patternFill>
      </fill>
      <protection locked="0" hidden="0"/>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protection locked="0" hidden="0"/>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protection locked="0" hidden="0"/>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protection locked="0" hidden="0"/>
    </dxf>
    <dxf>
      <font>
        <b val="0"/>
        <i val="0"/>
        <strike val="0"/>
        <condense val="0"/>
        <extend val="0"/>
        <outline val="0"/>
        <shadow val="0"/>
        <u val="none"/>
        <vertAlign val="baseline"/>
        <sz val="11"/>
        <color theme="1"/>
        <name val="Microsoft JhengHei UI"/>
        <scheme val="minor"/>
      </font>
      <numFmt numFmtId="166" formatCode="[$-F400]h:mm:ss\ AM/PM"/>
      <fill>
        <patternFill patternType="none">
          <fgColor indexed="64"/>
          <bgColor indexed="65"/>
        </patternFill>
      </fill>
      <protection locked="0" hidden="0"/>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protection locked="0" hidden="0"/>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protection locked="0" hidden="0"/>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protection locked="0" hidden="0"/>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protection locked="0" hidden="0"/>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protection locked="0" hidden="0"/>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protection locked="0" hidden="0"/>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protection locked="0" hidden="0"/>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protection locked="0" hidden="0"/>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protection locked="0" hidden="0"/>
    </dxf>
    <dxf>
      <font>
        <b val="0"/>
        <i val="0"/>
        <strike val="0"/>
        <condense val="0"/>
        <extend val="0"/>
        <outline val="0"/>
        <shadow val="0"/>
        <u val="none"/>
        <vertAlign val="baseline"/>
        <sz val="11"/>
        <color theme="1"/>
        <name val="Microsoft JhengHei UI"/>
        <scheme val="minor"/>
      </font>
      <numFmt numFmtId="167" formatCode="m/d;@"/>
      <fill>
        <patternFill patternType="none">
          <fgColor indexed="64"/>
          <bgColor indexed="65"/>
        </patternFill>
      </fill>
      <alignment horizontal="left" vertical="bottom" textRotation="0" wrapText="0" indent="0" justifyLastLine="0" shrinkToFit="0" readingOrder="0"/>
      <protection locked="0" hidden="0"/>
    </dxf>
    <dxf>
      <protection locked="0" hidden="0"/>
    </dxf>
    <dxf>
      <protection locked="0" hidden="0"/>
    </dxf>
    <dxf>
      <protection locked="0" hidden="0"/>
    </dxf>
    <dxf>
      <protection locked="0" hidden="0"/>
    </dxf>
    <dxf>
      <numFmt numFmtId="166" formatCode="[$-F400]h:mm:ss\ AM/P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19" formatCode="m/d/yyyy"/>
      <protection locked="0" hidden="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164" formatCode="yyyy/m/d;@"/>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164" formatCode="yyyy/m/d;@"/>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2"/>
        <color rgb="FF888AA6"/>
        <name val="Microsoft JhengHei UI"/>
        <family val="2"/>
        <scheme val="minor"/>
      </font>
      <fill>
        <patternFill patternType="solid">
          <fgColor indexed="64"/>
          <bgColor rgb="FFE1E1E9"/>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numFmt numFmtId="19" formatCode="m/d/yyyy"/>
    </dxf>
    <dxf>
      <numFmt numFmtId="19" formatCode="m/d/yyyy"/>
    </dxf>
    <dxf>
      <numFmt numFmtId="19" formatCode="m/d/yyyy"/>
    </dxf>
    <dxf>
      <numFmt numFmtId="19" formatCode="m/d/yyyy"/>
    </dxf>
    <dxf>
      <font>
        <color theme="4" tint="-0.499984740745262"/>
      </font>
      <fill>
        <patternFill>
          <bgColor theme="5" tint="0.79998168889431442"/>
        </patternFill>
      </fill>
    </dxf>
    <dxf>
      <font>
        <color rgb="FF2A7968"/>
      </font>
      <fill>
        <patternFill>
          <bgColor theme="6" tint="0.79998168889431442"/>
        </patternFill>
      </fill>
    </dxf>
    <dxf>
      <fill>
        <patternFill>
          <bgColor rgb="FFE1E1E9"/>
        </patternFill>
      </fill>
    </dxf>
    <dxf>
      <font>
        <b val="0"/>
        <i val="0"/>
        <color theme="0"/>
      </font>
      <fill>
        <patternFill>
          <bgColor theme="9"/>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strike val="0"/>
        <outline val="0"/>
        <shadow val="0"/>
        <u val="none"/>
        <vertAlign val="baseline"/>
        <sz val="8"/>
        <name val="Microsoft JhengHei U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8"/>
        <name val="Microsoft JhengHei U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style="thin">
          <color indexed="64"/>
        </right>
        <top/>
        <bottom/>
      </border>
    </dxf>
    <dxf>
      <font>
        <b/>
        <i/>
        <strike val="0"/>
        <outline val="0"/>
        <shadow val="0"/>
        <u val="none"/>
        <vertAlign val="baseline"/>
        <sz val="8"/>
        <color theme="1" tint="0.3999755851924192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right style="thin">
          <color indexed="64"/>
        </right>
        <top/>
        <bottom/>
      </border>
      <protection locked="1" hidden="1"/>
    </dxf>
    <dxf>
      <font>
        <strike val="0"/>
        <outline val="0"/>
        <shadow val="0"/>
        <u val="none"/>
        <vertAlign val="baseline"/>
        <sz val="8"/>
        <name val="Microsoft JhengHei U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8"/>
        <name val="Microsoft JhengHei UI"/>
        <scheme val="minor"/>
      </font>
      <alignment horizontal="center" vertical="center" textRotation="0" indent="0" justifyLastLine="0" shrinkToFit="0" readingOrder="0"/>
    </dxf>
    <dxf>
      <font>
        <strike val="0"/>
        <outline val="0"/>
        <shadow val="0"/>
        <u val="none"/>
        <vertAlign val="baseline"/>
        <sz val="8"/>
        <name val="Microsoft JhengHei UI"/>
        <scheme val="minor"/>
      </font>
      <alignment horizontal="center" vertical="center" textRotation="0" indent="0" justifyLastLine="0" shrinkToFit="0" readingOrder="0"/>
    </dxf>
    <dxf>
      <fill>
        <patternFill patternType="solid">
          <fgColor indexed="64"/>
          <bgColor rgb="FFF4EBE0"/>
        </patternFill>
      </fill>
      <alignment horizontal="left" vertical="bottom" textRotation="0" wrapText="0" indent="0" justifyLastLine="0" shrinkToFit="0" readingOrder="0"/>
      <protection locked="1" hidden="0"/>
    </dxf>
    <dxf>
      <fill>
        <patternFill patternType="solid">
          <fgColor indexed="64"/>
          <bgColor rgb="FFF4EBE0"/>
        </patternFill>
      </fill>
      <alignment horizontal="left" vertical="bottom" textRotation="0" wrapText="0" indent="0" justifyLastLine="0" shrinkToFit="0" readingOrder="0"/>
      <protection locked="1" hidden="0"/>
    </dxf>
    <dxf>
      <numFmt numFmtId="164" formatCode="yyyy/m/d;@"/>
      <fill>
        <patternFill patternType="solid">
          <fgColor indexed="64"/>
          <bgColor rgb="FFF4EBE0"/>
        </patternFill>
      </fill>
      <alignment horizontal="left" vertical="bottom" textRotation="0" wrapText="0" indent="0" justifyLastLine="0" shrinkToFit="0" readingOrder="0"/>
      <protection locked="1" hidden="0"/>
    </dxf>
    <dxf>
      <fill>
        <patternFill patternType="none">
          <fgColor indexed="64"/>
          <bgColor indexed="65"/>
        </patternFill>
      </fill>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fill>
        <patternFill patternType="solid">
          <fgColor indexed="64"/>
          <bgColor rgb="FFE1E1E9"/>
        </patternFill>
      </fill>
      <alignment horizontal="left" vertical="bottom" textRotation="0" wrapText="0" indent="0" justifyLastLine="0" shrinkToFit="0" readingOrder="0"/>
      <protection locked="1" hidden="0"/>
    </dxf>
    <dxf>
      <numFmt numFmtId="0" formatCode="General"/>
      <fill>
        <patternFill patternType="solid">
          <fgColor indexed="64"/>
          <bgColor rgb="FFE1E1E9"/>
        </patternFill>
      </fill>
      <alignment horizontal="left" vertical="bottom" textRotation="0" wrapText="0" indent="0" justifyLastLine="0" shrinkToFit="0" readingOrder="0"/>
      <protection locked="1" hidden="0"/>
    </dxf>
    <dxf>
      <numFmt numFmtId="0" formatCode="General"/>
      <fill>
        <patternFill patternType="solid">
          <fgColor indexed="64"/>
          <bgColor rgb="FFE1E1E9"/>
        </patternFill>
      </fill>
      <alignment horizontal="left" vertical="bottom" textRotation="0" wrapText="0" indent="0" justifyLastLine="0" shrinkToFit="0" readingOrder="0"/>
      <protection locked="1" hidden="0"/>
    </dxf>
    <dxf>
      <numFmt numFmtId="164" formatCode="yyyy/m/d;@"/>
      <fill>
        <patternFill patternType="solid">
          <fgColor indexed="64"/>
          <bgColor rgb="FFE1E1E9"/>
        </patternFill>
      </fill>
      <alignment horizontal="left" vertical="bottom" textRotation="0" wrapText="0" indent="0" justifyLastLine="0" shrinkToFit="0" readingOrder="0"/>
      <protection locked="1" hidden="0"/>
    </dxf>
    <dxf>
      <fill>
        <patternFill patternType="none">
          <fgColor indexed="64"/>
          <bgColor indexed="65"/>
        </patternFill>
      </fill>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indent="0" justifyLastLine="0" shrinkToFit="0" readingOrder="0"/>
    </dxf>
    <dxf>
      <alignment horizontal="general" vertical="bottom" textRotation="0"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indent="0" justifyLastLine="0" shrinkToFit="0" readingOrder="0"/>
    </dxf>
    <dxf>
      <alignment horizontal="general" vertical="bottom" textRotation="0" indent="0" justifyLastLine="0" shrinkToFit="0" readingOrder="0"/>
    </dxf>
    <dxf>
      <fill>
        <patternFill patternType="solid">
          <fgColor indexed="64"/>
          <bgColor theme="0"/>
        </patternFill>
      </fill>
    </dxf>
    <dxf>
      <fill>
        <patternFill patternType="solid">
          <fgColor indexed="64"/>
          <bgColor theme="0"/>
        </patternFill>
      </fill>
    </dxf>
    <dxf>
      <alignment horizontal="center" vertical="bottom" textRotation="0" wrapText="0" indent="0" justifyLastLine="0" shrinkToFit="0" readingOrder="0"/>
    </dxf>
    <dxf>
      <fill>
        <patternFill patternType="solid">
          <fgColor indexed="64"/>
          <bgColor theme="6" tint="0.79998168889431442"/>
        </patternFill>
      </fill>
    </dxf>
    <dxf>
      <fill>
        <patternFill patternType="solid">
          <fgColor indexed="64"/>
          <bgColor theme="6" tint="0.79998168889431442"/>
        </patternFill>
      </fill>
    </dxf>
    <dxf>
      <numFmt numFmtId="164" formatCode="yyyy/m/d;@"/>
      <fill>
        <patternFill patternType="solid">
          <fgColor indexed="64"/>
          <bgColor theme="6" tint="0.79998168889431442"/>
        </patternFill>
      </fill>
    </dxf>
    <dxf>
      <fill>
        <patternFill patternType="solid">
          <fgColor indexed="64"/>
          <bgColor theme="6" tint="0.79998168889431442"/>
        </patternFill>
      </fill>
    </dxf>
    <dxf>
      <fill>
        <patternFill patternType="solid">
          <fgColor indexed="64"/>
          <bgColor theme="6" tint="0.79998168889431442"/>
        </patternFill>
      </fill>
    </dxf>
    <dxf>
      <fill>
        <patternFill patternType="solid">
          <fgColor indexed="64"/>
          <bgColor theme="6" tint="0.79998168889431442"/>
        </patternFill>
      </fill>
    </dxf>
    <dxf>
      <fill>
        <patternFill patternType="solid">
          <fgColor indexed="64"/>
          <bgColor theme="6" tint="0.79998168889431442"/>
        </patternFill>
      </fill>
    </dxf>
    <dxf>
      <fill>
        <patternFill patternType="solid">
          <fgColor indexed="64"/>
          <bgColor theme="6" tint="0.79998168889431442"/>
        </patternFill>
      </fill>
    </dxf>
    <dxf>
      <fill>
        <patternFill patternType="solid">
          <fgColor indexed="64"/>
          <bgColor theme="6" tint="0.79998168889431442"/>
        </patternFill>
      </fill>
    </dxf>
    <dxf>
      <fill>
        <patternFill patternType="solid">
          <fgColor indexed="64"/>
          <bgColor theme="6" tint="0.79998168889431442"/>
        </patternFill>
      </fill>
    </dxf>
    <dxf>
      <fill>
        <patternFill patternType="solid">
          <fgColor indexed="64"/>
          <bgColor theme="6" tint="0.79998168889431442"/>
        </patternFill>
      </fill>
    </dxf>
    <dxf>
      <fill>
        <patternFill patternType="solid">
          <fgColor indexed="64"/>
          <bgColor theme="6" tint="0.79998168889431442"/>
        </patternFill>
      </fill>
    </dxf>
    <dxf>
      <numFmt numFmtId="164" formatCode="yyyy/m/d;@"/>
    </dxf>
    <dxf>
      <alignment horizontal="center" vertical="bottom" textRotation="0" wrapText="0" indent="0" justifyLastLine="0" shrinkToFit="0" readingOrder="0"/>
    </dxf>
    <dxf>
      <font>
        <strike val="0"/>
        <outline val="0"/>
        <shadow val="0"/>
        <u val="none"/>
        <vertAlign val="baseline"/>
        <sz val="11"/>
        <color theme="1"/>
        <name val="Microsoft JhengHei U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Microsoft JhengHei U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Microsoft JhengHei U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Microsoft JhengHei U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Microsoft JhengHei U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Microsoft JhengHei U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Microsoft JhengHei U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Microsoft JhengHei U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Microsoft JhengHei U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dxf>
    <dxf>
      <font>
        <strike val="0"/>
        <outline val="0"/>
        <shadow val="0"/>
        <u val="none"/>
        <vertAlign val="baseline"/>
        <sz val="11"/>
        <color theme="1"/>
        <name val="Microsoft JhengHei U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Microsoft JhengHei U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Microsoft JhengHei UI"/>
        <scheme val="minor"/>
      </font>
      <numFmt numFmtId="0" formatCode="General"/>
      <fill>
        <patternFill patternType="solid">
          <fgColor indexed="64"/>
          <bgColor theme="6" tint="0.79998168889431442"/>
        </patternFill>
      </fill>
      <alignment horizontal="center" vertical="center" textRotation="0" wrapText="0" indent="0" justifyLastLine="0" shrinkToFit="0" readingOrder="0"/>
    </dxf>
    <dxf>
      <font>
        <strike val="0"/>
        <outline val="0"/>
        <shadow val="0"/>
        <u val="none"/>
        <vertAlign val="baseline"/>
        <sz val="11"/>
        <color theme="1"/>
        <name val="Microsoft JhengHei UI"/>
        <scheme val="minor"/>
      </font>
      <numFmt numFmtId="0" formatCode="General"/>
      <fill>
        <patternFill patternType="solid">
          <fgColor indexed="64"/>
          <bgColor theme="6" tint="0.79998168889431442"/>
        </patternFill>
      </fill>
      <alignment horizontal="center" vertical="center" textRotation="0" wrapText="0" indent="0" justifyLastLine="0" shrinkToFit="0" readingOrder="0"/>
    </dxf>
    <dxf>
      <font>
        <strike val="0"/>
        <outline val="0"/>
        <shadow val="0"/>
        <u val="none"/>
        <vertAlign val="baseline"/>
        <sz val="11"/>
        <color theme="1"/>
        <name val="Microsoft JhengHei UI"/>
        <scheme val="minor"/>
      </font>
      <numFmt numFmtId="0" formatCode="General"/>
      <fill>
        <patternFill patternType="solid">
          <fgColor indexed="64"/>
          <bgColor theme="6" tint="0.79998168889431442"/>
        </patternFill>
      </fill>
      <alignment horizontal="center" vertical="center" textRotation="0" wrapText="0" indent="0" justifyLastLine="0" shrinkToFit="0" readingOrder="0"/>
    </dxf>
    <dxf>
      <font>
        <strike val="0"/>
        <outline val="0"/>
        <shadow val="0"/>
        <u val="none"/>
        <vertAlign val="baseline"/>
        <sz val="11"/>
        <color theme="1"/>
        <name val="Microsoft JhengHei U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Microsoft JhengHei U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Microsoft JhengHei U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Microsoft JhengHei U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Microsoft JhengHei U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Microsoft JhengHei U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Microsoft JhengHei UI"/>
        <scheme val="minor"/>
      </font>
      <numFmt numFmtId="0" formatCode="General"/>
      <fill>
        <patternFill patternType="solid">
          <fgColor indexed="64"/>
          <bgColor theme="6" tint="0.79998168889431442"/>
        </patternFill>
      </fill>
      <alignment horizontal="center" vertical="center" textRotation="0" wrapText="0" indent="0" justifyLastLine="0" shrinkToFit="0" readingOrder="0"/>
    </dxf>
    <dxf>
      <font>
        <strike val="0"/>
        <outline val="0"/>
        <shadow val="0"/>
        <u val="none"/>
        <vertAlign val="baseline"/>
        <sz val="11"/>
        <color theme="1"/>
        <name val="Microsoft JhengHei UI"/>
        <scheme val="minor"/>
      </font>
      <numFmt numFmtId="0" formatCode="General"/>
      <fill>
        <patternFill patternType="solid">
          <fgColor indexed="64"/>
          <bgColor theme="6" tint="0.79998168889431442"/>
        </patternFill>
      </fill>
      <alignment horizontal="center" vertical="center" textRotation="0" wrapText="0" indent="0" justifyLastLine="0" shrinkToFit="0" readingOrder="0"/>
    </dxf>
    <dxf>
      <font>
        <strike val="0"/>
        <outline val="0"/>
        <shadow val="0"/>
        <u val="none"/>
        <vertAlign val="baseline"/>
        <sz val="11"/>
        <color theme="1"/>
        <name val="Microsoft JhengHei U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Microsoft JhengHei UI"/>
        <scheme val="minor"/>
      </font>
      <numFmt numFmtId="0" formatCode="General"/>
      <alignment horizontal="center" vertical="center" textRotation="0" wrapText="0" indent="0" justifyLastLine="0" shrinkToFit="0" readingOrder="0"/>
    </dxf>
    <dxf>
      <font>
        <strike val="0"/>
        <outline val="0"/>
        <shadow val="0"/>
        <u val="none"/>
        <vertAlign val="baseline"/>
        <sz val="11"/>
        <color theme="1"/>
        <name val="Microsoft JhengHei UI"/>
        <scheme val="minor"/>
      </font>
      <numFmt numFmtId="164" formatCode="yyyy/m/d;@"/>
      <alignment horizontal="center" vertical="center" textRotation="0" wrapText="0" indent="0" justifyLastLine="0" shrinkToFit="0" readingOrder="0"/>
    </dxf>
    <dxf>
      <font>
        <strike val="0"/>
        <outline val="0"/>
        <shadow val="0"/>
        <u val="none"/>
        <vertAlign val="baseline"/>
        <sz val="11"/>
        <color theme="1"/>
        <name val="Microsoft JhengHei UI"/>
        <scheme val="minor"/>
      </font>
      <numFmt numFmtId="164" formatCode="yyyy/m/d;@"/>
      <alignment horizontal="center" vertical="center" textRotation="0" wrapText="0" indent="0" justifyLastLine="0" shrinkToFit="0" readingOrder="0"/>
    </dxf>
    <dxf>
      <font>
        <strike val="0"/>
        <outline val="0"/>
        <shadow val="0"/>
        <u val="none"/>
        <vertAlign val="baseline"/>
        <sz val="11"/>
        <color theme="1"/>
        <name val="Microsoft JhengHei UI"/>
        <scheme val="minor"/>
      </font>
      <alignment horizontal="center" vertical="center" textRotation="0" wrapText="0" indent="0" justifyLastLine="0" shrinkToFit="0" readingOrder="0"/>
    </dxf>
    <dxf>
      <font>
        <strike val="0"/>
        <outline val="0"/>
        <shadow val="0"/>
        <u val="none"/>
        <vertAlign val="baseline"/>
        <sz val="11"/>
        <color theme="1"/>
        <name val="Microsoft JhengHei UI"/>
        <scheme val="minor"/>
      </font>
    </dxf>
    <dxf>
      <alignment horizontal="left" textRotation="0" wrapText="0" indent="0" justifyLastLine="0" shrinkToFit="0" readingOrder="0"/>
    </dxf>
    <dxf>
      <alignment horizontal="left"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strike val="0"/>
        <outline val="0"/>
        <shadow val="0"/>
        <u val="none"/>
        <vertAlign val="baseline"/>
        <sz val="26"/>
        <color theme="9"/>
        <name val="Microsoft JhengHei UI"/>
        <scheme val="minor"/>
      </font>
      <numFmt numFmtId="167" formatCode="m/d;@"/>
      <fill>
        <patternFill patternType="solid">
          <fgColor indexed="64"/>
          <bgColor rgb="FFF4EBDF"/>
        </patternFill>
      </fill>
      <alignment horizontal="center" vertical="center" textRotation="0" wrapText="0" indent="0" justifyLastLine="0" shrinkToFit="0" readingOrder="0"/>
      <border diagonalUp="0" diagonalDown="0" outline="0">
        <left style="double">
          <color rgb="FF234473"/>
        </left>
        <right style="thin">
          <color rgb="FF234473"/>
        </right>
        <top style="thin">
          <color rgb="FF234473"/>
        </top>
        <bottom style="thin">
          <color rgb="FF234473"/>
        </bottom>
      </border>
      <protection locked="0" hidden="0"/>
    </dxf>
    <dxf>
      <font>
        <b/>
        <i val="0"/>
        <strike val="0"/>
        <condense val="0"/>
        <extend val="0"/>
        <outline val="0"/>
        <shadow val="0"/>
        <u val="none"/>
        <vertAlign val="baseline"/>
        <sz val="12"/>
        <color theme="9" tint="-0.249977111117893"/>
        <name val="Microsoft JhengHei UI"/>
        <scheme val="minor"/>
      </font>
      <fill>
        <patternFill patternType="solid">
          <fgColor indexed="64"/>
          <bgColor rgb="FFFFFF00"/>
        </patternFill>
      </fill>
      <alignment horizontal="center" vertical="center" textRotation="0" wrapText="0" indent="0" justifyLastLine="0" shrinkToFit="0" readingOrder="0"/>
    </dxf>
    <dxf>
      <font>
        <strike val="0"/>
        <outline val="0"/>
        <shadow val="0"/>
        <u val="none"/>
        <vertAlign val="baseline"/>
        <sz val="8"/>
        <name val="Microsoft JhengHei UI"/>
        <scheme val="minor"/>
      </font>
    </dxf>
    <dxf>
      <font>
        <strike val="0"/>
        <outline val="0"/>
        <shadow val="0"/>
        <u val="none"/>
        <vertAlign val="baseline"/>
        <sz val="8"/>
        <name val="Microsoft JhengHei UI"/>
        <scheme val="minor"/>
      </font>
    </dxf>
    <dxf>
      <font>
        <strike val="0"/>
        <outline val="0"/>
        <shadow val="0"/>
        <u val="none"/>
        <vertAlign val="baseline"/>
        <sz val="8"/>
        <name val="Microsoft JhengHei UI"/>
        <scheme val="minor"/>
      </font>
    </dxf>
    <dxf>
      <font>
        <strike val="0"/>
        <outline val="0"/>
        <shadow val="0"/>
        <u val="none"/>
        <vertAlign val="baseline"/>
        <sz val="8"/>
        <name val="Microsoft JhengHei UI"/>
        <scheme val="minor"/>
      </font>
    </dxf>
    <dxf>
      <font>
        <strike val="0"/>
        <outline val="0"/>
        <shadow val="0"/>
        <u val="none"/>
        <vertAlign val="baseline"/>
        <sz val="8"/>
        <name val="Microsoft JhengHei UI"/>
        <scheme val="minor"/>
      </font>
    </dxf>
    <dxf>
      <font>
        <strike val="0"/>
        <outline val="0"/>
        <shadow val="0"/>
        <u val="none"/>
        <vertAlign val="baseline"/>
        <sz val="8"/>
        <name val="Microsoft JhengHei UI"/>
        <scheme val="minor"/>
      </font>
    </dxf>
    <dxf>
      <border>
        <top style="thin">
          <color auto="1"/>
        </top>
        <bottom style="double">
          <color auto="1"/>
        </bottom>
      </border>
    </dxf>
    <dxf>
      <font>
        <b/>
        <i val="0"/>
        <color theme="0"/>
      </font>
      <fill>
        <patternFill>
          <bgColor theme="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2A796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ont>
        <b/>
        <i/>
      </font>
      <fill>
        <patternFill>
          <bgColor rgb="FFF4EBE0"/>
        </patternFill>
      </fill>
      <border>
        <bottom style="thin">
          <color theme="1" tint="0.39991454817346722"/>
        </bottom>
        <vertical style="hair">
          <color theme="1" tint="0.39994506668294322"/>
        </vertical>
        <horizontal style="hair">
          <color theme="1" tint="0.39994506668294322"/>
        </horizontal>
      </border>
    </dxf>
    <dxf>
      <font>
        <b val="0"/>
        <i val="0"/>
        <color theme="1"/>
      </font>
      <fill>
        <patternFill>
          <bgColor theme="0"/>
        </patternFill>
      </fill>
      <border>
        <left/>
        <right/>
        <top style="thin">
          <color theme="1" tint="0.39988402966399123"/>
        </top>
        <bottom style="thin">
          <color theme="1" tint="0.39988402966399123"/>
        </bottom>
        <vertical style="hair">
          <color theme="1" tint="0.39994506668294322"/>
        </vertical>
        <horizontal style="hair">
          <color theme="1" tint="0.39994506668294322"/>
        </horizontal>
      </border>
    </dxf>
    <dxf>
      <font>
        <b/>
        <i val="0"/>
      </font>
      <fill>
        <patternFill>
          <bgColor rgb="FFF4EBE0"/>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234473"/>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0071BA"/>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2B59B"/>
        </patternFill>
      </fill>
      <border>
        <top/>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888AA6"/>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font>
      <fill>
        <patternFill>
          <bgColor rgb="FFE1E1E9"/>
        </patternFill>
      </fill>
      <border>
        <bottom style="thin">
          <color theme="0" tint="-0.499984740745262"/>
        </bottom>
      </border>
    </dxf>
    <dxf>
      <font>
        <color theme="1"/>
      </font>
      <fill>
        <patternFill>
          <bgColor theme="0"/>
        </patternFill>
      </fill>
      <border>
        <left/>
        <right/>
        <top style="thin">
          <color theme="0" tint="-0.499984740745262"/>
        </top>
        <bottom style="thin">
          <color theme="0" tint="-0.499984740745262"/>
        </bottom>
        <vertical style="hair">
          <color theme="1" tint="0.39994506668294322"/>
        </vertical>
        <horizontal style="hair">
          <color theme="1" tint="0.39994506668294322"/>
        </horizontal>
      </border>
    </dxf>
    <dxf>
      <font>
        <b/>
        <i/>
      </font>
    </dxf>
    <dxf>
      <font>
        <b val="0"/>
        <i/>
      </font>
      <fill>
        <patternFill>
          <bgColor rgb="FFFFFFCC"/>
        </patternFill>
      </fill>
      <border>
        <left style="thin">
          <color theme="1" tint="0.79998168889431442"/>
        </left>
        <right style="thin">
          <color theme="1" tint="0.79998168889431442"/>
        </right>
        <top style="thin">
          <color theme="1" tint="0.79998168889431442"/>
        </top>
        <bottom style="thin">
          <color theme="1" tint="0.79998168889431442"/>
        </bottom>
        <vertical style="thin">
          <color theme="1" tint="0.79998168889431442"/>
        </vertical>
        <horizontal style="thin">
          <color theme="1" tint="0.79998168889431442"/>
        </horizontal>
      </border>
    </dxf>
    <dxf>
      <font>
        <b/>
        <i/>
      </font>
    </dxf>
    <dxf>
      <font>
        <b val="0"/>
        <i/>
      </font>
      <fill>
        <patternFill>
          <bgColor rgb="FFFFFFCC"/>
        </patternFill>
      </fill>
      <border>
        <left style="thin">
          <color theme="1" tint="0.79998168889431442"/>
        </left>
        <right style="thin">
          <color theme="1" tint="0.79998168889431442"/>
        </right>
        <top style="thin">
          <color theme="1" tint="0.79998168889431442"/>
        </top>
        <bottom style="thin">
          <color theme="1" tint="0.79998168889431442"/>
        </bottom>
        <vertical style="thin">
          <color theme="1" tint="0.79998168889431442"/>
        </vertical>
        <horizontal style="thin">
          <color theme="1" tint="0.79998168889431442"/>
        </horizontal>
      </border>
    </dxf>
    <dxf>
      <font>
        <b/>
        <i val="0"/>
      </font>
    </dxf>
    <dxf>
      <font>
        <b val="0"/>
        <i val="0"/>
      </font>
      <fill>
        <patternFill>
          <bgColor rgb="FFFFFFCC"/>
        </patternFill>
      </fill>
      <border>
        <left style="thin">
          <color theme="1" tint="0.79998168889431442"/>
        </left>
        <right style="thin">
          <color theme="1" tint="0.79998168889431442"/>
        </right>
        <top style="thin">
          <color theme="1" tint="0.79998168889431442"/>
        </top>
        <bottom style="thin">
          <color theme="1" tint="0.79998168889431442"/>
        </bottom>
        <vertical style="thin">
          <color theme="1" tint="0.79998168889431442"/>
        </vertical>
        <horizontal style="thin">
          <color theme="1" tint="0.79998168889431442"/>
        </horizontal>
      </border>
    </dxf>
    <dxf>
      <font>
        <b/>
        <i val="0"/>
      </font>
      <fill>
        <patternFill>
          <bgColor rgb="FFE1E1E9"/>
        </patternFill>
      </fill>
      <border>
        <bottom style="thin">
          <color auto="1"/>
        </bottom>
      </border>
    </dxf>
    <dxf>
      <font>
        <color theme="1"/>
      </font>
      <fill>
        <patternFill>
          <bgColor theme="7" tint="0.79998168889431442"/>
        </patternFill>
      </fill>
      <border>
        <left/>
        <right/>
        <top style="thin">
          <color auto="1"/>
        </top>
        <bottom style="thin">
          <color auto="1"/>
        </bottom>
        <vertical style="hair">
          <color theme="1" tint="0.39994506668294322"/>
        </vertical>
        <horizontal style="hair">
          <color theme="1" tint="0.39994506668294322"/>
        </horizontal>
      </border>
    </dxf>
    <dxf>
      <fill>
        <patternFill>
          <bgColor theme="0"/>
        </patternFill>
      </fill>
    </dxf>
  </dxfs>
  <tableStyles count="14" defaultTableStyle="Qry Load" defaultPivotStyle="PivotStyleLight16">
    <tableStyle name="Blank" pivot="0" count="1" xr9:uid="{00000000-0011-0000-FFFF-FFFF00000000}">
      <tableStyleElement type="wholeTable" dxfId="452"/>
    </tableStyle>
    <tableStyle name="ECON" pivot="0" count="2" xr9:uid="{00000000-0011-0000-FFFF-FFFF01000000}">
      <tableStyleElement type="wholeTable" dxfId="451"/>
      <tableStyleElement type="headerRow" dxfId="450"/>
    </tableStyle>
    <tableStyle name="Named_dd" pivot="0" count="2" xr9:uid="{00000000-0011-0000-FFFF-FFFF02000000}">
      <tableStyleElement type="wholeTable" dxfId="449"/>
      <tableStyleElement type="headerRow" dxfId="448"/>
    </tableStyle>
    <tableStyle name="Named_dd 2" pivot="0" count="2" xr9:uid="{00000000-0011-0000-FFFF-FFFF03000000}">
      <tableStyleElement type="wholeTable" dxfId="447"/>
      <tableStyleElement type="headerRow" dxfId="446"/>
    </tableStyle>
    <tableStyle name="Named_dd 3" pivot="0" count="2" xr9:uid="{00000000-0011-0000-FFFF-FFFF04000000}">
      <tableStyleElement type="wholeTable" dxfId="445"/>
      <tableStyleElement type="headerRow" dxfId="444"/>
    </tableStyle>
    <tableStyle name="Qry Load" pivot="0" count="3" xr9:uid="{00000000-0011-0000-FFFF-FFFF05000000}">
      <tableStyleElement type="wholeTable" dxfId="443"/>
      <tableStyleElement type="headerRow" dxfId="442"/>
      <tableStyleElement type="totalRow" dxfId="441"/>
    </tableStyle>
    <tableStyle name="Qry Load 2" pivot="0" count="3" xr9:uid="{00000000-0011-0000-FFFF-FFFF06000000}">
      <tableStyleElement type="wholeTable" dxfId="440"/>
      <tableStyleElement type="headerRow" dxfId="439"/>
      <tableStyleElement type="totalRow" dxfId="438"/>
    </tableStyle>
    <tableStyle name="Qry Load 3" pivot="0" count="3" xr9:uid="{00000000-0011-0000-FFFF-FFFF07000000}">
      <tableStyleElement type="wholeTable" dxfId="437"/>
      <tableStyleElement type="headerRow" dxfId="436"/>
      <tableStyleElement type="totalRow" dxfId="435"/>
    </tableStyle>
    <tableStyle name="Qry Load 4" pivot="0" count="3" xr9:uid="{00000000-0011-0000-FFFF-FFFF08000000}">
      <tableStyleElement type="wholeTable" dxfId="434"/>
      <tableStyleElement type="headerRow" dxfId="433"/>
      <tableStyleElement type="totalRow" dxfId="432"/>
    </tableStyle>
    <tableStyle name="Qry Load 5" pivot="0" count="3" xr9:uid="{00000000-0011-0000-FFFF-FFFF09000000}">
      <tableStyleElement type="wholeTable" dxfId="431"/>
      <tableStyleElement type="headerRow" dxfId="430"/>
      <tableStyleElement type="totalRow" dxfId="429"/>
    </tableStyle>
    <tableStyle name="Qry Source" pivot="0" count="2" xr9:uid="{00000000-0011-0000-FFFF-FFFF0A000000}">
      <tableStyleElement type="wholeTable" dxfId="428"/>
      <tableStyleElement type="headerRow" dxfId="427"/>
    </tableStyle>
    <tableStyle name="Qry Source 2" pivot="0" count="2" xr9:uid="{00000000-0011-0000-FFFF-FFFF0B000000}">
      <tableStyleElement type="wholeTable" dxfId="426"/>
      <tableStyleElement type="headerRow" dxfId="425"/>
    </tableStyle>
    <tableStyle name="review" pivot="0" count="3" xr9:uid="{00000000-0011-0000-FFFF-FFFF0C000000}">
      <tableStyleElement type="wholeTable" dxfId="424"/>
      <tableStyleElement type="headerRow" dxfId="423"/>
      <tableStyleElement type="totalRow" dxfId="422"/>
    </tableStyle>
    <tableStyle name="review 2" pivot="0" count="3" xr9:uid="{7E48D373-8BD3-405C-AC0B-582D578C48DF}">
      <tableStyleElement type="wholeTable" dxfId="421"/>
      <tableStyleElement type="headerRow" dxfId="420"/>
      <tableStyleElement type="totalRow" dxfId="419"/>
    </tableStyle>
  </tableStyles>
  <colors>
    <mruColors>
      <color rgb="FFC2B59B"/>
      <color rgb="FF888AA6"/>
      <color rgb="FFC69E62"/>
      <color rgb="FF2A7968"/>
      <color rgb="FFE1E1E9"/>
      <color rgb="FFF4EBE0"/>
      <color rgb="FFF4EBDF"/>
      <color rgb="FF234473"/>
      <color rgb="FF0000FF"/>
      <color rgb="FF0071B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258297</xdr:colOff>
      <xdr:row>0</xdr:row>
      <xdr:rowOff>44824</xdr:rowOff>
    </xdr:from>
    <xdr:to>
      <xdr:col>4</xdr:col>
      <xdr:colOff>258298</xdr:colOff>
      <xdr:row>1</xdr:row>
      <xdr:rowOff>56030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2970121" y="44824"/>
          <a:ext cx="2868706" cy="8516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ts val="3840"/>
            </a:lnSpc>
            <a:spcBef>
              <a:spcPts val="0"/>
            </a:spcBef>
            <a:spcAft>
              <a:spcPts val="0"/>
            </a:spcAft>
            <a:buClrTx/>
            <a:buSzTx/>
            <a:buFontTx/>
            <a:buNone/>
            <a:tabLst/>
            <a:defRPr/>
          </a:pPr>
          <a:r>
            <a:rPr lang="en-US" sz="2000" b="0" i="0">
              <a:solidFill>
                <a:schemeClr val="tx1"/>
              </a:solidFill>
              <a:effectLst/>
              <a:latin typeface="+mn-lt"/>
              <a:ea typeface="+mn-ea"/>
              <a:cs typeface="+mn-cs"/>
            </a:rPr>
            <a:t>⚠️</a:t>
          </a:r>
          <a:r>
            <a:rPr lang="en-US" sz="3200" b="1" i="0">
              <a:solidFill>
                <a:schemeClr val="tx1"/>
              </a:solidFill>
              <a:effectLst/>
              <a:latin typeface="+mn-lt"/>
              <a:ea typeface="+mn-ea"/>
              <a:cs typeface="+mn-cs"/>
            </a:rPr>
            <a:t> </a:t>
          </a:r>
          <a:r>
            <a:rPr lang="en-US" sz="1600">
              <a:solidFill>
                <a:schemeClr val="dk1"/>
              </a:solidFill>
              <a:effectLst/>
              <a:latin typeface="+mn-lt"/>
              <a:ea typeface="+mn-ea"/>
              <a:cs typeface="+mn-cs"/>
            </a:rPr>
            <a:t>Change Updator </a:t>
          </a:r>
          <a:endParaRPr lang="en-US" sz="1600">
            <a:solidFill>
              <a:schemeClr val="tx1"/>
            </a:solidFill>
          </a:endParaRPr>
        </a:p>
        <a:p>
          <a:pPr algn="ctr"/>
          <a:r>
            <a:rPr lang="en-US" sz="1100">
              <a:solidFill>
                <a:schemeClr val="tx1"/>
              </a:solidFill>
            </a:rPr>
            <a:t>will wipe out TAB "Add" &amp;"REVIEW_LIST"</a:t>
          </a:r>
        </a:p>
      </xdr:txBody>
    </xdr:sp>
    <xdr:clientData fPrintsWithSheet="0"/>
  </xdr:twoCellAnchor>
  <xdr:twoCellAnchor editAs="oneCell">
    <xdr:from>
      <xdr:col>5</xdr:col>
      <xdr:colOff>90208</xdr:colOff>
      <xdr:row>3</xdr:row>
      <xdr:rowOff>33617</xdr:rowOff>
    </xdr:from>
    <xdr:to>
      <xdr:col>5</xdr:col>
      <xdr:colOff>3137647</xdr:colOff>
      <xdr:row>7</xdr:row>
      <xdr:rowOff>22412</xdr:rowOff>
    </xdr:to>
    <xdr:sp macro="" textlink="">
      <xdr:nvSpPr>
        <xdr:cNvPr id="10" name="TextBox 9">
          <a:extLst>
            <a:ext uri="{FF2B5EF4-FFF2-40B4-BE49-F238E27FC236}">
              <a16:creationId xmlns:a16="http://schemas.microsoft.com/office/drawing/2014/main" id="{030CF176-DB92-44C4-AAED-F26930184E43}"/>
            </a:ext>
          </a:extLst>
        </xdr:cNvPr>
        <xdr:cNvSpPr txBox="1"/>
      </xdr:nvSpPr>
      <xdr:spPr>
        <a:xfrm>
          <a:off x="6477561" y="2005852"/>
          <a:ext cx="3047439" cy="115420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sz="1600">
              <a:solidFill>
                <a:schemeClr val="accent6">
                  <a:lumMod val="75000"/>
                </a:schemeClr>
              </a:solidFill>
              <a:effectLst/>
              <a:latin typeface="+mn-lt"/>
              <a:ea typeface="+mn-ea"/>
              <a:cs typeface="+mn-cs"/>
            </a:rPr>
            <a:t>Step</a:t>
          </a:r>
          <a:r>
            <a:rPr lang="en-US" sz="1600" baseline="0">
              <a:solidFill>
                <a:schemeClr val="accent6">
                  <a:lumMod val="75000"/>
                </a:schemeClr>
              </a:solidFill>
              <a:effectLst/>
              <a:latin typeface="+mn-lt"/>
              <a:ea typeface="+mn-ea"/>
              <a:cs typeface="+mn-cs"/>
            </a:rPr>
            <a:t> 1: </a:t>
          </a:r>
          <a:r>
            <a:rPr lang="en-US" sz="1600">
              <a:solidFill>
                <a:schemeClr val="accent6">
                  <a:lumMod val="75000"/>
                </a:schemeClr>
              </a:solidFill>
              <a:effectLst/>
              <a:latin typeface="+mn-lt"/>
              <a:ea typeface="+mn-ea"/>
              <a:cs typeface="+mn-cs"/>
            </a:rPr>
            <a:t>Set</a:t>
          </a:r>
          <a:r>
            <a:rPr lang="en-US" altLang="zh-CN" sz="1600">
              <a:solidFill>
                <a:schemeClr val="accent6">
                  <a:lumMod val="75000"/>
                </a:schemeClr>
              </a:solidFill>
              <a:effectLst/>
            </a:rPr>
            <a:t>【1】</a:t>
          </a:r>
          <a:r>
            <a:rPr lang="en-US" altLang="zh-CN" sz="1600" baseline="0">
              <a:solidFill>
                <a:schemeClr val="accent6">
                  <a:lumMod val="75000"/>
                </a:schemeClr>
              </a:solidFill>
              <a:effectLst/>
            </a:rPr>
            <a:t> Paramether</a:t>
          </a:r>
        </a:p>
        <a:p>
          <a:pPr marL="0" marR="0" lvl="0" indent="0" algn="l" defTabSz="914400" eaLnBrk="1" fontAlgn="auto" latinLnBrk="0" hangingPunct="1">
            <a:lnSpc>
              <a:spcPct val="100000"/>
            </a:lnSpc>
            <a:spcBef>
              <a:spcPts val="0"/>
            </a:spcBef>
            <a:spcAft>
              <a:spcPts val="0"/>
            </a:spcAft>
            <a:buClrTx/>
            <a:buSzTx/>
            <a:buFontTx/>
            <a:buNone/>
            <a:tabLst/>
            <a:defRPr/>
          </a:pPr>
          <a:r>
            <a:rPr lang="en-US" sz="1600">
              <a:solidFill>
                <a:schemeClr val="accent6">
                  <a:lumMod val="75000"/>
                </a:schemeClr>
              </a:solidFill>
              <a:effectLst/>
              <a:latin typeface="+mn-lt"/>
              <a:ea typeface="+mn-ea"/>
              <a:cs typeface="+mn-cs"/>
            </a:rPr>
            <a:t>Step</a:t>
          </a:r>
          <a:r>
            <a:rPr lang="en-US" sz="1600" baseline="0">
              <a:solidFill>
                <a:schemeClr val="accent6">
                  <a:lumMod val="75000"/>
                </a:schemeClr>
              </a:solidFill>
              <a:effectLst/>
              <a:latin typeface="+mn-lt"/>
              <a:ea typeface="+mn-ea"/>
              <a:cs typeface="+mn-cs"/>
            </a:rPr>
            <a:t> 2: </a:t>
          </a:r>
          <a:r>
            <a:rPr lang="en-US" sz="1600">
              <a:solidFill>
                <a:schemeClr val="accent6">
                  <a:lumMod val="75000"/>
                </a:schemeClr>
              </a:solidFill>
              <a:effectLst/>
            </a:rPr>
            <a:t>Refresh</a:t>
          </a:r>
          <a:r>
            <a:rPr lang="en-US" altLang="zh-CN" sz="1600">
              <a:solidFill>
                <a:schemeClr val="accent6">
                  <a:lumMod val="75000"/>
                </a:schemeClr>
              </a:solidFill>
              <a:effectLst/>
            </a:rPr>
            <a:t>【2】Folder</a:t>
          </a:r>
        </a:p>
        <a:p>
          <a:pPr marL="0" marR="0" lvl="0" indent="0" algn="l" defTabSz="914400" eaLnBrk="1" fontAlgn="auto" latinLnBrk="0" hangingPunct="1">
            <a:lnSpc>
              <a:spcPct val="100000"/>
            </a:lnSpc>
            <a:spcBef>
              <a:spcPts val="0"/>
            </a:spcBef>
            <a:spcAft>
              <a:spcPts val="0"/>
            </a:spcAft>
            <a:buClrTx/>
            <a:buSzTx/>
            <a:buFontTx/>
            <a:buNone/>
            <a:tabLst/>
            <a:defRPr/>
          </a:pPr>
          <a:r>
            <a:rPr lang="en-US" sz="1600">
              <a:solidFill>
                <a:schemeClr val="accent6">
                  <a:lumMod val="75000"/>
                </a:schemeClr>
              </a:solidFill>
              <a:effectLst/>
              <a:latin typeface="+mn-lt"/>
              <a:ea typeface="+mn-ea"/>
              <a:cs typeface="+mn-cs"/>
            </a:rPr>
            <a:t>Step</a:t>
          </a:r>
          <a:r>
            <a:rPr lang="en-US" sz="1600" baseline="0">
              <a:solidFill>
                <a:schemeClr val="accent6">
                  <a:lumMod val="75000"/>
                </a:schemeClr>
              </a:solidFill>
              <a:effectLst/>
              <a:latin typeface="+mn-lt"/>
              <a:ea typeface="+mn-ea"/>
              <a:cs typeface="+mn-cs"/>
            </a:rPr>
            <a:t> 3: </a:t>
          </a:r>
          <a:r>
            <a:rPr lang="en-US" sz="1600">
              <a:solidFill>
                <a:schemeClr val="accent6">
                  <a:lumMod val="75000"/>
                </a:schemeClr>
              </a:solidFill>
              <a:effectLst/>
            </a:rPr>
            <a:t>A</a:t>
          </a:r>
          <a:r>
            <a:rPr lang="en-US" altLang="zh-CN" sz="1600">
              <a:solidFill>
                <a:schemeClr val="accent6">
                  <a:lumMod val="75000"/>
                </a:schemeClr>
              </a:solidFill>
              <a:effectLst/>
            </a:rPr>
            <a:t>utocopy</a:t>
          </a:r>
          <a:endParaRPr lang="en-US" sz="1600">
            <a:solidFill>
              <a:schemeClr val="accent6">
                <a:lumMod val="75000"/>
              </a:schemeClr>
            </a:solidFill>
            <a:effectLst/>
          </a:endParaRP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2</xdr:row>
      <xdr:rowOff>322707</xdr:rowOff>
    </xdr:from>
    <xdr:to>
      <xdr:col>1</xdr:col>
      <xdr:colOff>156</xdr:colOff>
      <xdr:row>3</xdr:row>
      <xdr:rowOff>716407</xdr:rowOff>
    </xdr:to>
    <xdr:grpSp>
      <xdr:nvGrpSpPr>
        <xdr:cNvPr id="2" name="Group 1">
          <a:extLst>
            <a:ext uri="{FF2B5EF4-FFF2-40B4-BE49-F238E27FC236}">
              <a16:creationId xmlns:a16="http://schemas.microsoft.com/office/drawing/2014/main" id="{00000000-0008-0000-0400-000002000000}"/>
            </a:ext>
          </a:extLst>
        </xdr:cNvPr>
        <xdr:cNvGrpSpPr/>
      </xdr:nvGrpSpPr>
      <xdr:grpSpPr>
        <a:xfrm>
          <a:off x="0" y="1264001"/>
          <a:ext cx="1501744" cy="718671"/>
          <a:chOff x="4143376" y="1933575"/>
          <a:chExt cx="1457324" cy="714375"/>
        </a:xfrm>
      </xdr:grpSpPr>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4143376" y="1933575"/>
            <a:ext cx="1457324"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800">
                <a:solidFill>
                  <a:schemeClr val="tx1"/>
                </a:solidFill>
                <a:effectLst/>
                <a:latin typeface="+mn-lt"/>
                <a:ea typeface="+mn-ea"/>
                <a:cs typeface="+mn-cs"/>
              </a:rPr>
              <a:t>Qry:</a:t>
            </a:r>
            <a:r>
              <a:rPr lang="en-US" sz="800" baseline="0">
                <a:solidFill>
                  <a:schemeClr val="tx1"/>
                </a:solidFill>
                <a:effectLst/>
                <a:latin typeface="+mn-lt"/>
                <a:ea typeface="+mn-ea"/>
                <a:cs typeface="+mn-cs"/>
              </a:rPr>
              <a:t> headers_review</a:t>
            </a:r>
          </a:p>
        </xdr:txBody>
      </xdr:sp>
      <xdr:pic>
        <xdr:nvPicPr>
          <xdr:cNvPr id="4" name="Graphic 3" descr="Repeat outline">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672012" y="1933575"/>
            <a:ext cx="304800" cy="304800"/>
          </a:xfrm>
          <a:prstGeom prst="rect">
            <a:avLst/>
          </a:prstGeom>
        </xdr:spPr>
      </xdr:pic>
    </xdr:grpSp>
    <xdr:clientData fPrintsWithSheet="0"/>
  </xdr:twoCellAnchor>
  <xdr:twoCellAnchor editAs="oneCell">
    <xdr:from>
      <xdr:col>1</xdr:col>
      <xdr:colOff>735502</xdr:colOff>
      <xdr:row>3</xdr:row>
      <xdr:rowOff>0</xdr:rowOff>
    </xdr:from>
    <xdr:to>
      <xdr:col>3</xdr:col>
      <xdr:colOff>394159</xdr:colOff>
      <xdr:row>3</xdr:row>
      <xdr:rowOff>711201</xdr:rowOff>
    </xdr:to>
    <xdr:grpSp>
      <xdr:nvGrpSpPr>
        <xdr:cNvPr id="14" name="Group 13">
          <a:extLst>
            <a:ext uri="{FF2B5EF4-FFF2-40B4-BE49-F238E27FC236}">
              <a16:creationId xmlns:a16="http://schemas.microsoft.com/office/drawing/2014/main" id="{00000000-0008-0000-0400-00000E000000}"/>
            </a:ext>
          </a:extLst>
        </xdr:cNvPr>
        <xdr:cNvGrpSpPr/>
      </xdr:nvGrpSpPr>
      <xdr:grpSpPr>
        <a:xfrm>
          <a:off x="1846565" y="1266265"/>
          <a:ext cx="1203388" cy="711201"/>
          <a:chOff x="4143376" y="1933574"/>
          <a:chExt cx="1209675" cy="714376"/>
        </a:xfrm>
      </xdr:grpSpPr>
      <xdr:sp macro="" textlink="">
        <xdr:nvSpPr>
          <xdr:cNvPr id="15" name="TextBox 14">
            <a:extLst>
              <a:ext uri="{FF2B5EF4-FFF2-40B4-BE49-F238E27FC236}">
                <a16:creationId xmlns:a16="http://schemas.microsoft.com/office/drawing/2014/main" id="{00000000-0008-0000-0400-00000F000000}"/>
              </a:ext>
            </a:extLst>
          </xdr:cNvPr>
          <xdr:cNvSpPr txBox="1"/>
        </xdr:nvSpPr>
        <xdr:spPr>
          <a:xfrm>
            <a:off x="4143376" y="1933575"/>
            <a:ext cx="1209675"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ForReview_</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wCurated</a:t>
            </a:r>
            <a:endParaRPr lang="en-US" sz="1050">
              <a:solidFill>
                <a:schemeClr val="tx1"/>
              </a:solidFill>
            </a:endParaRPr>
          </a:p>
        </xdr:txBody>
      </xdr:sp>
      <xdr:pic>
        <xdr:nvPicPr>
          <xdr:cNvPr id="16" name="Graphic 15" descr="Repeat outline">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473228" y="1933574"/>
            <a:ext cx="349321" cy="349321"/>
          </a:xfrm>
          <a:prstGeom prst="rect">
            <a:avLst/>
          </a:prstGeom>
        </xdr:spPr>
      </xdr:pic>
    </xdr:grpSp>
    <xdr:clientData fPrintsWithSheet="0"/>
  </xdr:twoCellAnchor>
  <mc:AlternateContent xmlns:mc="http://schemas.openxmlformats.org/markup-compatibility/2006">
    <mc:Choice xmlns:a14="http://schemas.microsoft.com/office/drawing/2010/main" Requires="a14">
      <xdr:twoCellAnchor>
        <xdr:from>
          <xdr:col>3</xdr:col>
          <xdr:colOff>466725</xdr:colOff>
          <xdr:row>2</xdr:row>
          <xdr:rowOff>266700</xdr:rowOff>
        </xdr:from>
        <xdr:to>
          <xdr:col>3</xdr:col>
          <xdr:colOff>1857375</xdr:colOff>
          <xdr:row>3</xdr:row>
          <xdr:rowOff>723900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400-000004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404040"/>
                  </a:solidFill>
                  <a:latin typeface="Microsoft JhengHei UI"/>
                  <a:ea typeface="Microsoft JhengHei UI"/>
                </a:rPr>
                <a:t>Autocopy Button</a:t>
              </a:r>
            </a:p>
          </xdr:txBody>
        </xdr:sp>
        <xdr:clientData fPrintsWithSheet="0"/>
      </xdr:twoCellAnchor>
    </mc:Choice>
    <mc:Fallback/>
  </mc:AlternateContent>
  <xdr:oneCellAnchor>
    <xdr:from>
      <xdr:col>33</xdr:col>
      <xdr:colOff>122296</xdr:colOff>
      <xdr:row>3</xdr:row>
      <xdr:rowOff>18934</xdr:rowOff>
    </xdr:from>
    <xdr:ext cx="1460174" cy="695252"/>
    <xdr:grpSp>
      <xdr:nvGrpSpPr>
        <xdr:cNvPr id="17" name="Group 16">
          <a:extLst>
            <a:ext uri="{FF2B5EF4-FFF2-40B4-BE49-F238E27FC236}">
              <a16:creationId xmlns:a16="http://schemas.microsoft.com/office/drawing/2014/main" id="{00000000-0008-0000-0400-000011000000}"/>
            </a:ext>
          </a:extLst>
        </xdr:cNvPr>
        <xdr:cNvGrpSpPr/>
      </xdr:nvGrpSpPr>
      <xdr:grpSpPr>
        <a:xfrm>
          <a:off x="27487061" y="1285199"/>
          <a:ext cx="1460174" cy="695252"/>
          <a:chOff x="4143375" y="1933575"/>
          <a:chExt cx="1466021" cy="722475"/>
        </a:xfrm>
      </xdr:grpSpPr>
      <xdr:sp macro="" textlink="">
        <xdr:nvSpPr>
          <xdr:cNvPr id="18" name="TextBox 17">
            <a:extLst>
              <a:ext uri="{FF2B5EF4-FFF2-40B4-BE49-F238E27FC236}">
                <a16:creationId xmlns:a16="http://schemas.microsoft.com/office/drawing/2014/main" id="{00000000-0008-0000-0400-000012000000}"/>
              </a:ext>
            </a:extLst>
          </xdr:cNvPr>
          <xdr:cNvSpPr txBox="1"/>
        </xdr:nvSpPr>
        <xdr:spPr>
          <a:xfrm>
            <a:off x="4143375" y="1933575"/>
            <a:ext cx="1466021" cy="722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7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00" baseline="0">
                <a:solidFill>
                  <a:schemeClr val="tx1"/>
                </a:solidFill>
                <a:effectLst/>
                <a:latin typeface="+mn-lt"/>
                <a:ea typeface="+mn-ea"/>
                <a:cs typeface="+mn-cs"/>
              </a:rPr>
              <a:t>ForReview_wBOCOM</a:t>
            </a:r>
            <a:endParaRPr lang="en-US" sz="1000">
              <a:solidFill>
                <a:schemeClr val="tx1"/>
              </a:solidFill>
            </a:endParaRPr>
          </a:p>
        </xdr:txBody>
      </xdr:sp>
      <xdr:pic>
        <xdr:nvPicPr>
          <xdr:cNvPr id="19" name="Graphic 18" descr="Repeat outline">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622315" y="1933575"/>
            <a:ext cx="349321" cy="349321"/>
          </a:xfrm>
          <a:prstGeom prst="rect">
            <a:avLst/>
          </a:prstGeom>
        </xdr:spPr>
      </xdr:pic>
    </xdr:grpSp>
    <xdr:clientData fPrintsWithSheet="0"/>
  </xdr:oneCellAnchor>
</xdr:wsDr>
</file>

<file path=xl/drawings/drawing3.xml><?xml version="1.0" encoding="utf-8"?>
<xdr:wsDr xmlns:xdr="http://schemas.openxmlformats.org/drawingml/2006/spreadsheetDrawing" xmlns:a="http://schemas.openxmlformats.org/drawingml/2006/main">
  <xdr:twoCellAnchor editAs="absolute">
    <xdr:from>
      <xdr:col>14</xdr:col>
      <xdr:colOff>76749</xdr:colOff>
      <xdr:row>0</xdr:row>
      <xdr:rowOff>192659</xdr:rowOff>
    </xdr:from>
    <xdr:to>
      <xdr:col>16</xdr:col>
      <xdr:colOff>513871</xdr:colOff>
      <xdr:row>1</xdr:row>
      <xdr:rowOff>892469</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5044606" y="192659"/>
          <a:ext cx="2138015" cy="1284917"/>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ts val="3000"/>
            </a:lnSpc>
            <a:spcBef>
              <a:spcPts val="0"/>
            </a:spcBef>
            <a:spcAft>
              <a:spcPts val="0"/>
            </a:spcAft>
            <a:buClrTx/>
            <a:buSzTx/>
            <a:buFontTx/>
            <a:buNone/>
            <a:tabLst/>
            <a:defRPr/>
          </a:pPr>
          <a:r>
            <a:rPr lang="en-US" sz="1800">
              <a:solidFill>
                <a:schemeClr val="tx1"/>
              </a:solidFill>
              <a:effectLst/>
              <a:latin typeface="+mn-lt"/>
              <a:ea typeface="+mn-ea"/>
              <a:cs typeface="+mn-cs"/>
            </a:rPr>
            <a:t>⚠️</a:t>
          </a:r>
          <a:r>
            <a:rPr lang="en-US" sz="2800">
              <a:solidFill>
                <a:schemeClr val="tx1"/>
              </a:solidFill>
              <a:effectLst/>
              <a:latin typeface="+mn-lt"/>
              <a:ea typeface="+mn-ea"/>
              <a:cs typeface="+mn-cs"/>
            </a:rPr>
            <a:t> </a:t>
          </a:r>
          <a:r>
            <a:rPr lang="zh-CN" altLang="en-US" sz="2000">
              <a:solidFill>
                <a:schemeClr val="tx1"/>
              </a:solidFill>
              <a:effectLst/>
              <a:latin typeface="+mn-lt"/>
              <a:ea typeface="+mn-ea"/>
              <a:cs typeface="+mn-cs"/>
            </a:rPr>
            <a:t>如有修改</a:t>
          </a:r>
          <a:endParaRPr lang="en-US" sz="1800">
            <a:solidFill>
              <a:schemeClr val="tx1"/>
            </a:solidFill>
            <a:effectLst/>
            <a:latin typeface="+mn-lt"/>
            <a:ea typeface="+mn-ea"/>
            <a:cs typeface="+mn-cs"/>
          </a:endParaRPr>
        </a:p>
        <a:p>
          <a:pPr marL="0" marR="0" lvl="0" indent="0" algn="ctr" defTabSz="914400" eaLnBrk="1" fontAlgn="auto" latinLnBrk="0" hangingPunct="1">
            <a:lnSpc>
              <a:spcPts val="3000"/>
            </a:lnSpc>
            <a:spcBef>
              <a:spcPts val="0"/>
            </a:spcBef>
            <a:spcAft>
              <a:spcPts val="0"/>
            </a:spcAft>
            <a:buClrTx/>
            <a:buSzTx/>
            <a:buFontTx/>
            <a:buNone/>
            <a:tabLst/>
            <a:defRPr/>
          </a:pPr>
          <a:r>
            <a:rPr lang="en-US" altLang="zh-CN" sz="2000">
              <a:solidFill>
                <a:schemeClr val="accent6"/>
              </a:solidFill>
              <a:effectLst/>
              <a:latin typeface="+mn-lt"/>
              <a:ea typeface="+mn-ea"/>
              <a:cs typeface="+mn-cs"/>
            </a:rPr>
            <a:t>Ctrl+Alt+F5</a:t>
          </a:r>
        </a:p>
        <a:p>
          <a:pPr marL="0" marR="0" lvl="0" indent="0" algn="ctr" defTabSz="914400" eaLnBrk="1" fontAlgn="auto" latinLnBrk="0" hangingPunct="1">
            <a:lnSpc>
              <a:spcPts val="3000"/>
            </a:lnSpc>
            <a:spcBef>
              <a:spcPts val="0"/>
            </a:spcBef>
            <a:spcAft>
              <a:spcPts val="0"/>
            </a:spcAft>
            <a:buClrTx/>
            <a:buSzTx/>
            <a:buFontTx/>
            <a:buNone/>
            <a:tabLst/>
            <a:defRPr/>
          </a:pPr>
          <a:r>
            <a:rPr lang="en-US" altLang="zh-CN" sz="2000">
              <a:solidFill>
                <a:schemeClr val="accent6"/>
              </a:solidFill>
              <a:effectLst/>
              <a:latin typeface="+mn-lt"/>
              <a:ea typeface="+mn-ea"/>
              <a:cs typeface="+mn-cs"/>
            </a:rPr>
            <a:t>To refresh all</a:t>
          </a:r>
          <a:endParaRPr lang="en-US" sz="2000">
            <a:solidFill>
              <a:schemeClr val="accent6"/>
            </a:solidFill>
          </a:endParaRPr>
        </a:p>
      </xdr:txBody>
    </xdr:sp>
    <xdr:clientData fPrintsWithSheet="0"/>
  </xdr:twoCellAnchor>
  <xdr:twoCellAnchor editAs="oneCell">
    <xdr:from>
      <xdr:col>28</xdr:col>
      <xdr:colOff>535844</xdr:colOff>
      <xdr:row>0</xdr:row>
      <xdr:rowOff>85573</xdr:rowOff>
    </xdr:from>
    <xdr:to>
      <xdr:col>29</xdr:col>
      <xdr:colOff>1523999</xdr:colOff>
      <xdr:row>11</xdr:row>
      <xdr:rowOff>0</xdr:rowOff>
    </xdr:to>
    <xdr:pic>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rotWithShape="1">
        <a:blip xmlns:r="http://schemas.openxmlformats.org/officeDocument/2006/relationships" r:embed="rId1"/>
        <a:srcRect r="6835"/>
        <a:stretch/>
      </xdr:blipFill>
      <xdr:spPr>
        <a:xfrm>
          <a:off x="25681844" y="85573"/>
          <a:ext cx="1594291" cy="3811018"/>
        </a:xfrm>
        <a:prstGeom prst="rect">
          <a:avLst/>
        </a:prstGeom>
        <a:ln w="6350">
          <a:solidFill>
            <a:schemeClr val="tx1">
              <a:lumMod val="20000"/>
              <a:lumOff val="80000"/>
            </a:schemeClr>
          </a:solidFill>
        </a:ln>
      </xdr:spPr>
    </xdr:pic>
    <xdr:clientData/>
  </xdr:twoCellAnchor>
  <xdr:twoCellAnchor editAs="oneCell">
    <xdr:from>
      <xdr:col>30</xdr:col>
      <xdr:colOff>0</xdr:colOff>
      <xdr:row>0</xdr:row>
      <xdr:rowOff>571500</xdr:rowOff>
    </xdr:from>
    <xdr:to>
      <xdr:col>31</xdr:col>
      <xdr:colOff>176893</xdr:colOff>
      <xdr:row>1</xdr:row>
      <xdr:rowOff>883227</xdr:rowOff>
    </xdr:to>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27826607" y="571500"/>
          <a:ext cx="2775857" cy="8968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en-US" altLang="zh-CN" sz="1800">
              <a:solidFill>
                <a:schemeClr val="tx1"/>
              </a:solidFill>
              <a:effectLst/>
              <a:latin typeface="+mn-lt"/>
              <a:ea typeface="+mn-ea"/>
              <a:cs typeface="+mn-cs"/>
            </a:rPr>
            <a:t>⚠️ When</a:t>
          </a:r>
          <a:r>
            <a:rPr lang="en-US" altLang="zh-CN" sz="1800" baseline="0">
              <a:solidFill>
                <a:schemeClr val="tx1"/>
              </a:solidFill>
              <a:effectLst/>
              <a:latin typeface="+mn-lt"/>
              <a:ea typeface="+mn-ea"/>
              <a:cs typeface="+mn-cs"/>
            </a:rPr>
            <a:t> done</a:t>
          </a:r>
        </a:p>
        <a:p>
          <a:pPr marL="0" marR="0" lvl="0" indent="0" defTabSz="914400" eaLnBrk="1" fontAlgn="auto" latinLnBrk="0" hangingPunct="1">
            <a:lnSpc>
              <a:spcPct val="100000"/>
            </a:lnSpc>
            <a:spcBef>
              <a:spcPts val="0"/>
            </a:spcBef>
            <a:spcAft>
              <a:spcPts val="0"/>
            </a:spcAft>
            <a:buClrTx/>
            <a:buSzTx/>
            <a:buFontTx/>
            <a:buNone/>
            <a:tabLst/>
            <a:defRPr/>
          </a:pPr>
          <a:r>
            <a:rPr lang="en-US" sz="1800" baseline="0">
              <a:solidFill>
                <a:schemeClr val="accent6"/>
              </a:solidFill>
              <a:effectLst/>
              <a:latin typeface="+mn-lt"/>
              <a:ea typeface="+mn-ea"/>
              <a:cs typeface="+mn-cs"/>
            </a:rPr>
            <a:t>Capscreen to 🧑Kings</a:t>
          </a:r>
          <a:endParaRPr lang="en-US" sz="1800" b="1">
            <a:solidFill>
              <a:schemeClr val="accent6"/>
            </a:solidFill>
          </a:endParaRPr>
        </a:p>
      </xdr:txBody>
    </xdr:sp>
    <xdr:clientData fPrintsWithSheet="0"/>
  </xdr:twoCellAnchor>
  <xdr:twoCellAnchor editAs="oneCell">
    <xdr:from>
      <xdr:col>48</xdr:col>
      <xdr:colOff>0</xdr:colOff>
      <xdr:row>0</xdr:row>
      <xdr:rowOff>571500</xdr:rowOff>
    </xdr:from>
    <xdr:to>
      <xdr:col>49</xdr:col>
      <xdr:colOff>244927</xdr:colOff>
      <xdr:row>1</xdr:row>
      <xdr:rowOff>883227</xdr:rowOff>
    </xdr:to>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46400357" y="571500"/>
          <a:ext cx="2666999" cy="8968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en-US" altLang="zh-CN" sz="1800">
              <a:solidFill>
                <a:schemeClr val="tx1"/>
              </a:solidFill>
              <a:effectLst/>
              <a:latin typeface="+mn-lt"/>
              <a:ea typeface="+mn-ea"/>
              <a:cs typeface="+mn-cs"/>
            </a:rPr>
            <a:t>⚠️ When done</a:t>
          </a:r>
        </a:p>
        <a:p>
          <a:pPr marL="0" marR="0" lvl="0" indent="0" defTabSz="914400" eaLnBrk="1" fontAlgn="auto" latinLnBrk="0" hangingPunct="1">
            <a:lnSpc>
              <a:spcPct val="100000"/>
            </a:lnSpc>
            <a:spcBef>
              <a:spcPts val="0"/>
            </a:spcBef>
            <a:spcAft>
              <a:spcPts val="0"/>
            </a:spcAft>
            <a:buClrTx/>
            <a:buSzTx/>
            <a:buFontTx/>
            <a:buNone/>
            <a:tabLst/>
            <a:defRPr/>
          </a:pPr>
          <a:r>
            <a:rPr lang="en-US" sz="1800" baseline="0">
              <a:solidFill>
                <a:schemeClr val="accent6"/>
              </a:solidFill>
              <a:effectLst/>
              <a:latin typeface="+mn-lt"/>
              <a:ea typeface="+mn-ea"/>
              <a:cs typeface="+mn-cs"/>
            </a:rPr>
            <a:t>Capscreen to 🧑Jason</a:t>
          </a:r>
          <a:endParaRPr lang="en-US" sz="1800">
            <a:solidFill>
              <a:schemeClr val="accent6"/>
            </a:solidFill>
          </a:endParaRPr>
        </a:p>
      </xdr:txBody>
    </xdr:sp>
    <xdr:clientData fPrintsWithSheet="0"/>
  </xdr:twoCellAnchor>
  <xdr:twoCellAnchor editAs="oneCell">
    <xdr:from>
      <xdr:col>0</xdr:col>
      <xdr:colOff>27214</xdr:colOff>
      <xdr:row>1</xdr:row>
      <xdr:rowOff>1</xdr:rowOff>
    </xdr:from>
    <xdr:to>
      <xdr:col>1</xdr:col>
      <xdr:colOff>1959428</xdr:colOff>
      <xdr:row>1</xdr:row>
      <xdr:rowOff>896835</xdr:rowOff>
    </xdr:to>
    <xdr:sp macro="" textlink="">
      <xdr:nvSpPr>
        <xdr:cNvPr id="9" name="TextBox 8">
          <a:extLst>
            <a:ext uri="{FF2B5EF4-FFF2-40B4-BE49-F238E27FC236}">
              <a16:creationId xmlns:a16="http://schemas.microsoft.com/office/drawing/2014/main" id="{00000000-0008-0000-0500-000009000000}"/>
            </a:ext>
          </a:extLst>
        </xdr:cNvPr>
        <xdr:cNvSpPr txBox="1"/>
      </xdr:nvSpPr>
      <xdr:spPr>
        <a:xfrm>
          <a:off x="27214" y="585108"/>
          <a:ext cx="4272643" cy="8968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a:solidFill>
                <a:schemeClr val="tx1"/>
              </a:solidFill>
              <a:effectLst/>
              <a:latin typeface="+mn-lt"/>
              <a:ea typeface="+mn-ea"/>
              <a:cs typeface="+mn-cs"/>
            </a:rPr>
            <a:t>⚠️ When</a:t>
          </a:r>
          <a:r>
            <a:rPr lang="en-US" altLang="zh-CN" sz="1600" baseline="0">
              <a:solidFill>
                <a:schemeClr val="tx1"/>
              </a:solidFill>
              <a:effectLst/>
              <a:latin typeface="+mn-lt"/>
              <a:ea typeface="+mn-ea"/>
              <a:cs typeface="+mn-cs"/>
            </a:rPr>
            <a:t> done</a:t>
          </a:r>
        </a:p>
        <a:p>
          <a:pPr marL="0" marR="0" lvl="0" indent="0" algn="l" defTabSz="914400" eaLnBrk="1" fontAlgn="auto" latinLnBrk="0" hangingPunct="1">
            <a:lnSpc>
              <a:spcPct val="100000"/>
            </a:lnSpc>
            <a:spcBef>
              <a:spcPts val="0"/>
            </a:spcBef>
            <a:spcAft>
              <a:spcPts val="0"/>
            </a:spcAft>
            <a:buClrTx/>
            <a:buSzTx/>
            <a:buFontTx/>
            <a:buNone/>
            <a:tabLst/>
            <a:defRPr/>
          </a:pPr>
          <a:r>
            <a:rPr lang="en-US" sz="1600" baseline="0">
              <a:solidFill>
                <a:schemeClr val="accent6"/>
              </a:solidFill>
              <a:effectLst/>
              <a:latin typeface="+mn-lt"/>
              <a:ea typeface="+mn-ea"/>
              <a:cs typeface="+mn-cs"/>
            </a:rPr>
            <a:t>Capscreen </a:t>
          </a:r>
          <a:r>
            <a:rPr lang="en-US" altLang="zh-CN" sz="1600" baseline="0">
              <a:solidFill>
                <a:schemeClr val="accent6"/>
              </a:solidFill>
              <a:effectLst/>
              <a:latin typeface="+mn-lt"/>
              <a:ea typeface="+mn-ea"/>
              <a:cs typeface="+mn-cs"/>
            </a:rPr>
            <a:t>of </a:t>
          </a:r>
          <a:r>
            <a:rPr lang="zh-CN" altLang="en-US" sz="1600" baseline="0">
              <a:solidFill>
                <a:schemeClr val="accent6"/>
              </a:solidFill>
              <a:effectLst/>
              <a:latin typeface="+mn-lt"/>
              <a:ea typeface="+mn-ea"/>
              <a:cs typeface="+mn-cs"/>
            </a:rPr>
            <a:t>主体及发行评级</a:t>
          </a:r>
          <a:r>
            <a:rPr lang="en-US" sz="1600" baseline="0">
              <a:solidFill>
                <a:schemeClr val="accent6"/>
              </a:solidFill>
              <a:effectLst/>
              <a:latin typeface="+mn-lt"/>
              <a:ea typeface="+mn-ea"/>
              <a:cs typeface="+mn-cs"/>
            </a:rPr>
            <a:t> to 🧑Jason</a:t>
          </a:r>
          <a:endParaRPr lang="en-US" sz="1600" b="1">
            <a:solidFill>
              <a:schemeClr val="accent6"/>
            </a:solidFill>
          </a:endParaRPr>
        </a:p>
      </xdr:txBody>
    </xdr:sp>
    <xdr:clientData fPrintsWithSheet="0"/>
  </xdr:twoCellAnchor>
</xdr:wsDr>
</file>

<file path=xl/drawings/drawing4.xml><?xml version="1.0" encoding="utf-8"?>
<xdr:wsDr xmlns:xdr="http://schemas.openxmlformats.org/drawingml/2006/spreadsheetDrawing" xmlns:a="http://schemas.openxmlformats.org/drawingml/2006/main">
  <xdr:oneCellAnchor>
    <xdr:from>
      <xdr:col>0</xdr:col>
      <xdr:colOff>47625</xdr:colOff>
      <xdr:row>2</xdr:row>
      <xdr:rowOff>9525</xdr:rowOff>
    </xdr:from>
    <xdr:ext cx="1062610" cy="714376"/>
    <xdr:grpSp>
      <xdr:nvGrpSpPr>
        <xdr:cNvPr id="5" name="Group 4">
          <a:extLst>
            <a:ext uri="{FF2B5EF4-FFF2-40B4-BE49-F238E27FC236}">
              <a16:creationId xmlns:a16="http://schemas.microsoft.com/office/drawing/2014/main" id="{00000000-0008-0000-0600-000005000000}"/>
            </a:ext>
          </a:extLst>
        </xdr:cNvPr>
        <xdr:cNvGrpSpPr/>
      </xdr:nvGrpSpPr>
      <xdr:grpSpPr>
        <a:xfrm>
          <a:off x="47625" y="1712819"/>
          <a:ext cx="1062610" cy="714376"/>
          <a:chOff x="4143376" y="1933574"/>
          <a:chExt cx="1068457" cy="714376"/>
        </a:xfrm>
      </xdr:grpSpPr>
      <xdr:sp macro="" textlink="">
        <xdr:nvSpPr>
          <xdr:cNvPr id="6" name="TextBox 5">
            <a:extLst>
              <a:ext uri="{FF2B5EF4-FFF2-40B4-BE49-F238E27FC236}">
                <a16:creationId xmlns:a16="http://schemas.microsoft.com/office/drawing/2014/main" id="{00000000-0008-0000-0600-000006000000}"/>
              </a:ext>
            </a:extLst>
          </xdr:cNvPr>
          <xdr:cNvSpPr txBox="1"/>
        </xdr:nvSpPr>
        <xdr:spPr>
          <a:xfrm>
            <a:off x="4143376" y="1933575"/>
            <a:ext cx="1068457"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50">
                <a:solidFill>
                  <a:schemeClr val="tx1"/>
                </a:solidFill>
                <a:effectLst/>
                <a:latin typeface="+mn-lt"/>
                <a:ea typeface="+mn-ea"/>
                <a:cs typeface="+mn-cs"/>
              </a:rPr>
              <a:t>Q</a:t>
            </a:r>
            <a:r>
              <a:rPr lang="en-US" altLang="zh-CN" sz="1050">
                <a:solidFill>
                  <a:schemeClr val="tx1"/>
                </a:solidFill>
                <a:effectLst/>
                <a:latin typeface="+mn-lt"/>
                <a:ea typeface="+mn-ea"/>
                <a:cs typeface="+mn-cs"/>
              </a:rPr>
              <a:t>ry:</a:t>
            </a:r>
            <a:r>
              <a:rPr lang="en-US" altLang="zh-CN" sz="1050" baseline="0">
                <a:solidFill>
                  <a:schemeClr val="tx1"/>
                </a:solidFill>
                <a:effectLst/>
                <a:latin typeface="+mn-lt"/>
                <a:ea typeface="+mn-ea"/>
                <a:cs typeface="+mn-cs"/>
              </a:rPr>
              <a:t> </a:t>
            </a:r>
            <a:r>
              <a:rPr lang="en-US" altLang="zh-CN" sz="1050">
                <a:solidFill>
                  <a:schemeClr val="tx1"/>
                </a:solidFill>
                <a:effectLst/>
                <a:latin typeface="+mn-lt"/>
                <a:ea typeface="+mn-ea"/>
                <a:cs typeface="+mn-cs"/>
              </a:rPr>
              <a:t>charts</a:t>
            </a:r>
            <a:endParaRPr lang="en-US" sz="1050">
              <a:solidFill>
                <a:schemeClr val="tx1"/>
              </a:solidFill>
            </a:endParaRPr>
          </a:p>
        </xdr:txBody>
      </xdr:sp>
      <xdr:pic>
        <xdr:nvPicPr>
          <xdr:cNvPr id="7" name="Graphic 6" descr="Repeat outline">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473228" y="1933574"/>
            <a:ext cx="349321" cy="349321"/>
          </a:xfrm>
          <a:prstGeom prst="rect">
            <a:avLst/>
          </a:prstGeom>
        </xdr:spPr>
      </xdr:pic>
    </xdr:grpSp>
    <xdr:clientData fPrintsWithSheet="0"/>
  </xdr:oneCellAnchor>
  <xdr:oneCellAnchor>
    <xdr:from>
      <xdr:col>15</xdr:col>
      <xdr:colOff>0</xdr:colOff>
      <xdr:row>2</xdr:row>
      <xdr:rowOff>20731</xdr:rowOff>
    </xdr:from>
    <xdr:ext cx="1062610" cy="909357"/>
    <xdr:grpSp>
      <xdr:nvGrpSpPr>
        <xdr:cNvPr id="2" name="Group 1">
          <a:extLst>
            <a:ext uri="{FF2B5EF4-FFF2-40B4-BE49-F238E27FC236}">
              <a16:creationId xmlns:a16="http://schemas.microsoft.com/office/drawing/2014/main" id="{00000000-0008-0000-0600-000002000000}"/>
            </a:ext>
          </a:extLst>
        </xdr:cNvPr>
        <xdr:cNvGrpSpPr/>
      </xdr:nvGrpSpPr>
      <xdr:grpSpPr>
        <a:xfrm>
          <a:off x="13368618" y="1724025"/>
          <a:ext cx="1062610" cy="909357"/>
          <a:chOff x="4143376" y="1933574"/>
          <a:chExt cx="1068457" cy="909357"/>
        </a:xfrm>
      </xdr:grpSpPr>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4143376" y="1933575"/>
            <a:ext cx="1068457" cy="9093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50">
                <a:solidFill>
                  <a:schemeClr val="tx1"/>
                </a:solidFill>
                <a:effectLst/>
                <a:latin typeface="+mn-lt"/>
                <a:ea typeface="+mn-ea"/>
                <a:cs typeface="+mn-cs"/>
              </a:rPr>
              <a:t>Graph</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50">
                <a:solidFill>
                  <a:schemeClr val="tx1"/>
                </a:solidFill>
                <a:effectLst/>
                <a:latin typeface="+mn-lt"/>
                <a:ea typeface="+mn-ea"/>
                <a:cs typeface="+mn-cs"/>
              </a:rPr>
              <a:t>Weeklydeal</a:t>
            </a:r>
            <a:endParaRPr lang="en-US" sz="1050">
              <a:solidFill>
                <a:schemeClr val="tx1"/>
              </a:solidFill>
            </a:endParaRPr>
          </a:p>
        </xdr:txBody>
      </xdr:sp>
      <xdr:pic>
        <xdr:nvPicPr>
          <xdr:cNvPr id="4" name="Graphic 3" descr="Repeat outline">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473228" y="1933574"/>
            <a:ext cx="349321" cy="349321"/>
          </a:xfrm>
          <a:prstGeom prst="rect">
            <a:avLst/>
          </a:prstGeom>
        </xdr:spPr>
      </xdr:pic>
    </xdr:grpSp>
    <xdr:clientData fPrintsWithSheet="0"/>
  </xdr:oneCellAnchor>
</xdr:wsDr>
</file>

<file path=xl/drawings/drawing5.xml><?xml version="1.0" encoding="utf-8"?>
<xdr:wsDr xmlns:xdr="http://schemas.openxmlformats.org/drawingml/2006/spreadsheetDrawing" xmlns:a="http://schemas.openxmlformats.org/drawingml/2006/main">
  <xdr:twoCellAnchor editAs="absolute">
    <xdr:from>
      <xdr:col>1</xdr:col>
      <xdr:colOff>433316</xdr:colOff>
      <xdr:row>0</xdr:row>
      <xdr:rowOff>75032</xdr:rowOff>
    </xdr:from>
    <xdr:to>
      <xdr:col>3</xdr:col>
      <xdr:colOff>1763908</xdr:colOff>
      <xdr:row>1</xdr:row>
      <xdr:rowOff>510887</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2312339" y="75032"/>
          <a:ext cx="4329184" cy="12065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2000" b="0" i="0">
              <a:solidFill>
                <a:schemeClr val="dk1"/>
              </a:solidFill>
              <a:effectLst/>
              <a:latin typeface="+mn-lt"/>
              <a:ea typeface="+mn-ea"/>
              <a:cs typeface="+mn-cs"/>
            </a:rPr>
            <a:t>⚠️</a:t>
          </a:r>
          <a:r>
            <a:rPr lang="en-US" sz="2000" b="1" i="0">
              <a:solidFill>
                <a:schemeClr val="dk1"/>
              </a:solidFill>
              <a:effectLst/>
              <a:latin typeface="+mn-lt"/>
              <a:ea typeface="+mn-ea"/>
              <a:cs typeface="+mn-cs"/>
            </a:rPr>
            <a:t> </a:t>
          </a:r>
        </a:p>
        <a:p>
          <a:pPr marL="171450" marR="0" lvl="0" indent="-171450" defTabSz="914400" eaLnBrk="1" fontAlgn="auto" latinLnBrk="0" hangingPunct="1">
            <a:lnSpc>
              <a:spcPct val="100000"/>
            </a:lnSpc>
            <a:spcBef>
              <a:spcPts val="0"/>
            </a:spcBef>
            <a:spcAft>
              <a:spcPts val="0"/>
            </a:spcAft>
            <a:buClrTx/>
            <a:buSzTx/>
            <a:buFont typeface="Wingdings" panose="05000000000000000000" pitchFamily="2" charset="2"/>
            <a:buChar char="§"/>
            <a:tabLst/>
            <a:defRPr/>
          </a:pPr>
          <a:r>
            <a:rPr lang="en-US" sz="1100">
              <a:solidFill>
                <a:schemeClr val="accent6"/>
              </a:solidFill>
              <a:effectLst/>
              <a:latin typeface="+mn-lt"/>
              <a:ea typeface="+mn-ea"/>
              <a:cs typeface="+mn-cs"/>
            </a:rPr>
            <a:t>M</a:t>
          </a:r>
          <a:r>
            <a:rPr lang="en-US" altLang="zh-CN" sz="1100">
              <a:solidFill>
                <a:schemeClr val="accent6"/>
              </a:solidFill>
              <a:effectLst/>
              <a:latin typeface="+mn-lt"/>
              <a:ea typeface="+mn-ea"/>
              <a:cs typeface="+mn-cs"/>
            </a:rPr>
            <a:t>anually Refresh</a:t>
          </a:r>
          <a:r>
            <a:rPr lang="en-US" altLang="zh-CN" sz="1100" baseline="0">
              <a:solidFill>
                <a:schemeClr val="accent6"/>
              </a:solidFill>
              <a:effectLst/>
              <a:latin typeface="+mn-lt"/>
              <a:ea typeface="+mn-ea"/>
              <a:cs typeface="+mn-cs"/>
            </a:rPr>
            <a:t> </a:t>
          </a:r>
          <a:r>
            <a:rPr lang="en-US" altLang="zh-CN" sz="1100" u="sng" baseline="0">
              <a:solidFill>
                <a:schemeClr val="accent6"/>
              </a:solidFill>
              <a:effectLst/>
              <a:latin typeface="+mn-lt"/>
              <a:ea typeface="+mn-ea"/>
              <a:cs typeface="+mn-cs"/>
            </a:rPr>
            <a:t>AFTER</a:t>
          </a:r>
          <a:r>
            <a:rPr lang="en-US" altLang="zh-CN" sz="1100" baseline="0">
              <a:solidFill>
                <a:schemeClr val="accent6"/>
              </a:solidFill>
              <a:effectLst/>
              <a:latin typeface="+mn-lt"/>
              <a:ea typeface="+mn-ea"/>
              <a:cs typeface="+mn-cs"/>
            </a:rPr>
            <a:t> </a:t>
          </a:r>
          <a:r>
            <a:rPr lang="en-US" sz="1100" baseline="0">
              <a:solidFill>
                <a:schemeClr val="accent6"/>
              </a:solidFill>
              <a:effectLst/>
              <a:latin typeface="+mn-lt"/>
              <a:ea typeface="+mn-ea"/>
              <a:cs typeface="+mn-cs"/>
            </a:rPr>
            <a:t>revising Tab REVISED_LIST</a:t>
          </a:r>
        </a:p>
        <a:p>
          <a:pPr marL="171450" marR="0" lvl="0" indent="-171450" defTabSz="914400" eaLnBrk="1" fontAlgn="auto" latinLnBrk="0" hangingPunct="1">
            <a:lnSpc>
              <a:spcPct val="100000"/>
            </a:lnSpc>
            <a:spcBef>
              <a:spcPts val="0"/>
            </a:spcBef>
            <a:spcAft>
              <a:spcPts val="0"/>
            </a:spcAft>
            <a:buClrTx/>
            <a:buSzTx/>
            <a:buFont typeface="Wingdings" panose="05000000000000000000" pitchFamily="2" charset="2"/>
            <a:buChar char="§"/>
            <a:tabLst/>
            <a:defRPr/>
          </a:pPr>
          <a:r>
            <a:rPr lang="en-US" sz="1100" baseline="0">
              <a:solidFill>
                <a:schemeClr val="accent6"/>
              </a:solidFill>
              <a:effectLst/>
              <a:latin typeface="+mn-lt"/>
              <a:ea typeface="+mn-ea"/>
              <a:cs typeface="+mn-cs"/>
            </a:rPr>
            <a:t>Combine multi-tranches issuances into one point</a:t>
          </a:r>
        </a:p>
        <a:p>
          <a:pPr marL="171450" marR="0" lvl="0" indent="-171450" defTabSz="914400" eaLnBrk="1" fontAlgn="auto" latinLnBrk="0" hangingPunct="1">
            <a:lnSpc>
              <a:spcPct val="100000"/>
            </a:lnSpc>
            <a:spcBef>
              <a:spcPts val="0"/>
            </a:spcBef>
            <a:spcAft>
              <a:spcPts val="0"/>
            </a:spcAft>
            <a:buClrTx/>
            <a:buSzTx/>
            <a:buFont typeface="Wingdings" panose="05000000000000000000" pitchFamily="2" charset="2"/>
            <a:buChar char="§"/>
            <a:tabLst/>
            <a:defRPr/>
          </a:pPr>
          <a:r>
            <a:rPr lang="en-US" sz="1100" baseline="0">
              <a:solidFill>
                <a:schemeClr val="accent6"/>
              </a:solidFill>
              <a:effectLst/>
              <a:latin typeface="+mn-lt"/>
              <a:ea typeface="+mn-ea"/>
              <a:cs typeface="+mn-cs"/>
            </a:rPr>
            <a:t>Confirm with Fion for IG Eligibility</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accent6"/>
            </a:solidFill>
            <a:effectLst/>
            <a:latin typeface="+mn-lt"/>
            <a:ea typeface="+mn-ea"/>
            <a:cs typeface="+mn-cs"/>
          </a:endParaRPr>
        </a:p>
      </xdr:txBody>
    </xdr:sp>
    <xdr:clientData fPrintsWithSheet="0"/>
  </xdr:twoCellAnchor>
  <xdr:twoCellAnchor editAs="oneCell">
    <xdr:from>
      <xdr:col>4</xdr:col>
      <xdr:colOff>9307087</xdr:colOff>
      <xdr:row>0</xdr:row>
      <xdr:rowOff>57221</xdr:rowOff>
    </xdr:from>
    <xdr:to>
      <xdr:col>5</xdr:col>
      <xdr:colOff>1687973</xdr:colOff>
      <xdr:row>2</xdr:row>
      <xdr:rowOff>516906</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526" b="38729"/>
        <a:stretch/>
      </xdr:blipFill>
      <xdr:spPr>
        <a:xfrm>
          <a:off x="15940969" y="57221"/>
          <a:ext cx="1726592" cy="2006097"/>
        </a:xfrm>
        <a:prstGeom prst="rect">
          <a:avLst/>
        </a:prstGeom>
      </xdr:spPr>
    </xdr:pic>
    <xdr:clientData fPrintsWithSheet="0"/>
  </xdr:twoCellAnchor>
</xdr:wsDr>
</file>

<file path=xl/drawings/drawing6.xml><?xml version="1.0" encoding="utf-8"?>
<xdr:wsDr xmlns:xdr="http://schemas.openxmlformats.org/drawingml/2006/spreadsheetDrawing" xmlns:a="http://schemas.openxmlformats.org/drawingml/2006/main">
  <xdr:oneCellAnchor>
    <xdr:from>
      <xdr:col>0</xdr:col>
      <xdr:colOff>0</xdr:colOff>
      <xdr:row>0</xdr:row>
      <xdr:rowOff>849923</xdr:rowOff>
    </xdr:from>
    <xdr:ext cx="1367118" cy="1646704"/>
    <xdr:sp macro="" textlink="">
      <xdr:nvSpPr>
        <xdr:cNvPr id="8" name="TextBox 7">
          <a:extLst>
            <a:ext uri="{FF2B5EF4-FFF2-40B4-BE49-F238E27FC236}">
              <a16:creationId xmlns:a16="http://schemas.microsoft.com/office/drawing/2014/main" id="{00000000-0008-0000-0A00-000008000000}"/>
            </a:ext>
          </a:extLst>
        </xdr:cNvPr>
        <xdr:cNvSpPr txBox="1"/>
      </xdr:nvSpPr>
      <xdr:spPr>
        <a:xfrm>
          <a:off x="0" y="849923"/>
          <a:ext cx="1367118" cy="16467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2000" b="0" i="0">
              <a:solidFill>
                <a:schemeClr val="dk1"/>
              </a:solidFill>
              <a:effectLst/>
              <a:latin typeface="+mn-lt"/>
              <a:ea typeface="+mn-ea"/>
              <a:cs typeface="+mn-cs"/>
            </a:rPr>
            <a:t>⚠️</a:t>
          </a:r>
          <a:r>
            <a:rPr lang="en-US" sz="2000" b="1" i="0">
              <a:solidFill>
                <a:schemeClr val="dk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accent6"/>
              </a:solidFill>
              <a:effectLst/>
              <a:latin typeface="+mn-lt"/>
              <a:ea typeface="+mn-ea"/>
              <a:cs typeface="+mn-cs"/>
            </a:rPr>
            <a:t>Refresh</a:t>
          </a:r>
          <a:r>
            <a:rPr lang="en-US" sz="1100" baseline="0">
              <a:solidFill>
                <a:schemeClr val="accent6"/>
              </a:solidFill>
              <a:effectLst/>
              <a:latin typeface="+mn-lt"/>
              <a:ea typeface="+mn-ea"/>
              <a:cs typeface="+mn-cs"/>
            </a:rPr>
            <a:t> </a:t>
          </a:r>
          <a:r>
            <a:rPr lang="en-US" sz="1100">
              <a:solidFill>
                <a:schemeClr val="accent6"/>
              </a:solidFill>
              <a:effectLst/>
              <a:latin typeface="+mn-lt"/>
              <a:ea typeface="+mn-ea"/>
              <a:cs typeface="+mn-cs"/>
            </a:rPr>
            <a:t>ALL</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accent6"/>
              </a:solidFill>
            </a:rPr>
            <a:t>A</a:t>
          </a:r>
          <a:r>
            <a:rPr lang="en-US" altLang="zh-CN" sz="1100">
              <a:solidFill>
                <a:schemeClr val="accent6"/>
              </a:solidFill>
            </a:rPr>
            <a:t>gain</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accent6"/>
              </a:solidFill>
            </a:rPr>
            <a:t>When</a:t>
          </a:r>
          <a:r>
            <a:rPr lang="en-US" sz="1100" baseline="0">
              <a:solidFill>
                <a:schemeClr val="accent6"/>
              </a:solidFill>
            </a:rPr>
            <a:t> Added</a:t>
          </a:r>
          <a:endParaRPr lang="en-US" sz="1100">
            <a:solidFill>
              <a:schemeClr val="accent6"/>
            </a:solidFill>
          </a:endParaRPr>
        </a:p>
      </xdr:txBody>
    </xdr:sp>
    <xdr:clientData fPrintsWithSheet="0"/>
  </xdr:oneCellAnchor>
</xdr:wsDr>
</file>

<file path=xl/drawings/drawing7.xml><?xml version="1.0" encoding="utf-8"?>
<xdr:wsDr xmlns:xdr="http://schemas.openxmlformats.org/drawingml/2006/spreadsheetDrawing" xmlns:a="http://schemas.openxmlformats.org/drawingml/2006/main">
  <xdr:oneCellAnchor>
    <xdr:from>
      <xdr:col>1</xdr:col>
      <xdr:colOff>0</xdr:colOff>
      <xdr:row>1</xdr:row>
      <xdr:rowOff>0</xdr:rowOff>
    </xdr:from>
    <xdr:ext cx="2655791" cy="920563"/>
    <xdr:grpSp>
      <xdr:nvGrpSpPr>
        <xdr:cNvPr id="2" name="Group 1">
          <a:extLst>
            <a:ext uri="{FF2B5EF4-FFF2-40B4-BE49-F238E27FC236}">
              <a16:creationId xmlns:a16="http://schemas.microsoft.com/office/drawing/2014/main" id="{00000000-0008-0000-0B00-000002000000}"/>
            </a:ext>
          </a:extLst>
        </xdr:cNvPr>
        <xdr:cNvGrpSpPr/>
      </xdr:nvGrpSpPr>
      <xdr:grpSpPr>
        <a:xfrm>
          <a:off x="609600" y="504825"/>
          <a:ext cx="2655791" cy="920563"/>
          <a:chOff x="4143376" y="1933574"/>
          <a:chExt cx="2670407" cy="920563"/>
        </a:xfrm>
      </xdr:grpSpPr>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4143376" y="1933575"/>
            <a:ext cx="2670407" cy="920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50">
                <a:solidFill>
                  <a:schemeClr val="tx1"/>
                </a:solidFill>
                <a:effectLst/>
                <a:latin typeface="+mn-lt"/>
                <a:ea typeface="+mn-ea"/>
                <a:cs typeface="+mn-cs"/>
              </a:rPr>
              <a:t>Qry:</a:t>
            </a:r>
            <a:r>
              <a:rPr lang="en-US" sz="1050" baseline="0">
                <a:solidFill>
                  <a:schemeClr val="tx1"/>
                </a:solidFill>
                <a:effectLst/>
                <a:latin typeface="+mn-lt"/>
                <a:ea typeface="+mn-ea"/>
                <a:cs typeface="+mn-cs"/>
              </a:rPr>
              <a:t> postreview</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50" baseline="0">
                <a:solidFill>
                  <a:schemeClr val="tx1"/>
                </a:solidFill>
                <a:effectLst/>
                <a:latin typeface="+mn-lt"/>
                <a:ea typeface="+mn-ea"/>
                <a:cs typeface="+mn-cs"/>
              </a:rPr>
              <a:t>To DEALs MASTER (wCurated)</a:t>
            </a:r>
            <a:endParaRPr lang="en-US" sz="1050">
              <a:solidFill>
                <a:schemeClr val="tx1"/>
              </a:solidFill>
            </a:endParaRPr>
          </a:p>
        </xdr:txBody>
      </xdr:sp>
      <xdr:pic>
        <xdr:nvPicPr>
          <xdr:cNvPr id="4" name="Graphic 3" descr="Repeat outline">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318294" y="1933574"/>
            <a:ext cx="349321" cy="349321"/>
          </a:xfrm>
          <a:prstGeom prst="rect">
            <a:avLst/>
          </a:prstGeom>
        </xdr:spPr>
      </xdr:pic>
    </xdr:grpSp>
    <xdr:clientData fPrintsWithSheet="0"/>
  </xdr:oneCellAnchor>
</xdr:wsDr>
</file>

<file path=xl/drawings/drawing8.xml><?xml version="1.0" encoding="utf-8"?>
<xdr:wsDr xmlns:xdr="http://schemas.openxmlformats.org/drawingml/2006/spreadsheetDrawing" xmlns:a="http://schemas.openxmlformats.org/drawingml/2006/main">
  <xdr:oneCellAnchor>
    <xdr:from>
      <xdr:col>0</xdr:col>
      <xdr:colOff>95250</xdr:colOff>
      <xdr:row>0</xdr:row>
      <xdr:rowOff>171450</xdr:rowOff>
    </xdr:from>
    <xdr:ext cx="2574551" cy="853328"/>
    <xdr:grpSp>
      <xdr:nvGrpSpPr>
        <xdr:cNvPr id="2" name="Group 1">
          <a:extLst>
            <a:ext uri="{FF2B5EF4-FFF2-40B4-BE49-F238E27FC236}">
              <a16:creationId xmlns:a16="http://schemas.microsoft.com/office/drawing/2014/main" id="{00000000-0008-0000-0C00-000002000000}"/>
            </a:ext>
          </a:extLst>
        </xdr:cNvPr>
        <xdr:cNvGrpSpPr/>
      </xdr:nvGrpSpPr>
      <xdr:grpSpPr>
        <a:xfrm>
          <a:off x="95250" y="171450"/>
          <a:ext cx="2574551" cy="853328"/>
          <a:chOff x="4143374" y="1933574"/>
          <a:chExt cx="2588717" cy="853328"/>
        </a:xfrm>
      </xdr:grpSpPr>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4143374" y="1933575"/>
            <a:ext cx="2588717" cy="8533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50">
                <a:solidFill>
                  <a:schemeClr val="tx1"/>
                </a:solidFill>
                <a:effectLst/>
                <a:latin typeface="+mn-lt"/>
                <a:ea typeface="+mn-ea"/>
                <a:cs typeface="+mn-cs"/>
              </a:rPr>
              <a:t>Q</a:t>
            </a:r>
            <a:r>
              <a:rPr lang="en-US" altLang="zh-CN" sz="1050">
                <a:solidFill>
                  <a:schemeClr val="tx1"/>
                </a:solidFill>
                <a:effectLst/>
                <a:latin typeface="+mn-lt"/>
                <a:ea typeface="+mn-ea"/>
                <a:cs typeface="+mn-cs"/>
              </a:rPr>
              <a:t>ry:</a:t>
            </a:r>
            <a:r>
              <a:rPr lang="en-US" altLang="zh-CN" sz="1050" baseline="0">
                <a:solidFill>
                  <a:schemeClr val="tx1"/>
                </a:solidFill>
                <a:effectLst/>
                <a:latin typeface="+mn-lt"/>
                <a:ea typeface="+mn-ea"/>
                <a:cs typeface="+mn-cs"/>
              </a:rPr>
              <a:t> </a:t>
            </a:r>
            <a:r>
              <a:rPr lang="en-US" altLang="zh-CN" sz="1050">
                <a:solidFill>
                  <a:schemeClr val="tx1"/>
                </a:solidFill>
                <a:effectLst/>
                <a:latin typeface="+mn-lt"/>
                <a:ea typeface="+mn-ea"/>
                <a:cs typeface="+mn-cs"/>
              </a:rPr>
              <a:t>review_shortname</a:t>
            </a:r>
          </a:p>
          <a:p>
            <a:pPr marL="0" marR="0" lvl="0" indent="0" algn="ctr" defTabSz="914400" eaLnBrk="1" fontAlgn="auto" latinLnBrk="0" hangingPunct="1">
              <a:lnSpc>
                <a:spcPct val="100000"/>
              </a:lnSpc>
              <a:spcBef>
                <a:spcPts val="0"/>
              </a:spcBef>
              <a:spcAft>
                <a:spcPts val="0"/>
              </a:spcAft>
              <a:buClrTx/>
              <a:buSzTx/>
              <a:buFontTx/>
              <a:buNone/>
              <a:tabLst/>
              <a:defRPr/>
            </a:pPr>
            <a:r>
              <a:rPr lang="zh-CN" altLang="en-US" sz="1050">
                <a:solidFill>
                  <a:schemeClr val="tx1"/>
                </a:solidFill>
                <a:effectLst/>
                <a:latin typeface="+mn-lt"/>
                <a:ea typeface="+mn-ea"/>
                <a:cs typeface="+mn-cs"/>
              </a:rPr>
              <a:t>（</a:t>
            </a:r>
            <a:r>
              <a:rPr lang="en-US" altLang="zh-CN" sz="1050">
                <a:solidFill>
                  <a:schemeClr val="tx1"/>
                </a:solidFill>
                <a:effectLst/>
                <a:latin typeface="+mn-lt"/>
                <a:ea typeface="+mn-ea"/>
                <a:cs typeface="+mn-cs"/>
              </a:rPr>
              <a:t>To DEALs</a:t>
            </a:r>
            <a:r>
              <a:rPr lang="en-US" altLang="zh-CN" sz="1050" baseline="0">
                <a:solidFill>
                  <a:schemeClr val="tx1"/>
                </a:solidFill>
                <a:effectLst/>
                <a:latin typeface="+mn-lt"/>
                <a:ea typeface="+mn-ea"/>
                <a:cs typeface="+mn-cs"/>
              </a:rPr>
              <a:t> MASTER: </a:t>
            </a:r>
            <a:r>
              <a:rPr lang="en-US" altLang="zh-CN" sz="1050">
                <a:solidFill>
                  <a:schemeClr val="tx1"/>
                </a:solidFill>
                <a:effectLst/>
                <a:latin typeface="+mn-lt"/>
                <a:ea typeface="+mn-ea"/>
                <a:cs typeface="+mn-cs"/>
              </a:rPr>
              <a:t>wCredit</a:t>
            </a:r>
            <a:r>
              <a:rPr lang="zh-CN" altLang="en-US" sz="1050">
                <a:solidFill>
                  <a:schemeClr val="tx1"/>
                </a:solidFill>
                <a:effectLst/>
                <a:latin typeface="+mn-lt"/>
                <a:ea typeface="+mn-ea"/>
                <a:cs typeface="+mn-cs"/>
              </a:rPr>
              <a:t>）</a:t>
            </a:r>
            <a:endParaRPr lang="en-US" sz="1050">
              <a:solidFill>
                <a:schemeClr val="tx1"/>
              </a:solidFill>
            </a:endParaRPr>
          </a:p>
        </xdr:txBody>
      </xdr:sp>
      <xdr:pic>
        <xdr:nvPicPr>
          <xdr:cNvPr id="4" name="Graphic 3" descr="Repeat outline">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295759" y="1933574"/>
            <a:ext cx="349321" cy="349321"/>
          </a:xfrm>
          <a:prstGeom prst="rect">
            <a:avLst/>
          </a:prstGeom>
        </xdr:spPr>
      </xdr:pic>
    </xdr:grpSp>
    <xdr:clientData fPrintsWithSheet="0"/>
  </xdr:one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0" xr16:uid="{A6361912-58D1-4981-A964-B119518F56C6}" autoFormatId="16" applyNumberFormats="0" applyBorderFormats="0" applyFontFormats="0" applyPatternFormats="0" applyAlignmentFormats="0" applyWidthHeightFormats="0">
  <queryTableRefresh nextId="2">
    <queryTableFields count="1">
      <queryTableField id="1" name="板块"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17" xr16:uid="{F6F408C1-5F5C-4646-8990-EA8FE33BBFF2}" autoFormatId="16" applyNumberFormats="0" applyBorderFormats="0" applyFontFormats="0" applyPatternFormats="0" applyAlignmentFormats="0" applyWidthHeightFormats="0">
  <queryTableRefresh nextId="2">
    <queryTableFields count="1">
      <queryTableField id="1" name="中资属性"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connectionId="5" xr16:uid="{C4096DD0-AB84-4A53-B115-89BF556605B4}" autoFormatId="16" applyNumberFormats="0" applyBorderFormats="0" applyFontFormats="0" applyPatternFormats="0" applyAlignmentFormats="0" applyWidthHeightFormats="0">
  <queryTableRefresh nextId="2">
    <queryTableFields count="1">
      <queryTableField id="1" name="BISL_ROLE"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6" xr16:uid="{E4DA41F8-D207-4CA8-8A33-AF4705C2A064}" autoFormatId="16" applyNumberFormats="0" applyBorderFormats="0" applyFontFormats="0" applyPatternFormats="0" applyAlignmentFormats="0" applyWidthHeightFormats="0">
  <queryTableRefresh nextId="2">
    <queryTableFields count="1">
      <queryTableField id="1" name="BOCOM_DEAL?"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5" connectionId="21" xr16:uid="{00000000-0016-0000-0100-000000000000}" autoFormatId="16" applyNumberFormats="0" applyBorderFormats="0" applyFontFormats="0" applyPatternFormats="0" applyAlignmentFormats="0" applyWidthHeightFormats="0">
  <queryTableRefresh nextId="379">
    <queryTableFields count="79">
      <queryTableField id="107" name="Index" tableColumnId="67"/>
      <queryTableField id="1" name="信用主体" tableColumnId="1"/>
      <queryTableField id="341" name="英文简称" tableColumnId="80"/>
      <queryTableField id="9" name="ISIN" tableColumnId="9"/>
      <queryTableField id="12" name="定价日" tableColumnId="12"/>
      <queryTableField id="8" name="债券简称" tableColumnId="8"/>
      <queryTableField id="13" name="穆迪/标普" tableColumnId="13"/>
      <queryTableField id="14" name="主体评级展望" tableColumnId="14"/>
      <queryTableField id="15" name="债项评级" tableColumnId="15"/>
      <queryTableField id="26" name="发行规模(亿)" tableColumnId="26"/>
      <queryTableField id="27" name="货币" tableColumnId="27"/>
      <queryTableField id="28" name="发行期限(年)" tableColumnId="28"/>
      <queryTableField id="182" name="发行票面利率" tableColumnId="23"/>
      <queryTableField id="19" name="兑付日" tableColumnId="19"/>
      <queryTableField id="30" name="发行场所" tableColumnId="30"/>
      <queryTableField id="98" name="IPT_DMI" tableColumnId="20"/>
      <queryTableField id="99" name="FPG_DMI" tableColumnId="21"/>
      <queryTableField id="22" name="收窄幅度(bp)" tableColumnId="22"/>
      <queryTableField id="93" name="发行方式" tableColumnId="72"/>
      <queryTableField id="144" name="发行架构" tableColumnId="62"/>
      <queryTableField id="24" name="SBLC提供者" tableColumnId="24"/>
      <queryTableField id="25" name="偿还顺位" tableColumnId="25"/>
      <queryTableField id="29" name="发行价" tableColumnId="29"/>
      <queryTableField id="31" name="首日涨跌" tableColumnId="31"/>
      <queryTableField id="5" name="省份" tableColumnId="5"/>
      <queryTableField id="6" name="城市" tableColumnId="6"/>
      <queryTableField id="7" name="区县" tableColumnId="7"/>
      <queryTableField id="32" name="认购额(亿)" tableColumnId="32"/>
      <queryTableField id="33" name="认购倍数" tableColumnId="33"/>
      <queryTableField id="34" name="亚洲占比" tableColumnId="34"/>
      <queryTableField id="35" name="基金占比" tableColumnId="35"/>
      <queryTableField id="36" name="联席全球协调人" tableColumnId="36"/>
      <queryTableField id="4" name="细分行业" tableColumnId="4"/>
      <queryTableField id="10" name="主题债券" tableColumnId="10"/>
      <queryTableField id="16" name="债项初始评级" tableColumnId="16"/>
      <queryTableField id="17" name="境内主体评级" tableColumnId="17"/>
      <queryTableField id="3" name="行业" tableColumnId="3"/>
      <queryTableField id="122" name="剩余期限" tableColumnId="70"/>
      <queryTableField id="2" name="公司类型" tableColumnId="2"/>
      <queryTableField id="11" name="评级类型" tableColumnId="11"/>
      <queryTableField id="123" name="投资者账户数" tableColumnId="73"/>
      <queryTableField id="124" name="投资者类型" tableColumnId="74"/>
      <queryTableField id="125" name="投资者分布" tableColumnId="75"/>
      <queryTableField id="126" name="筹款用途" tableColumnId="76"/>
      <queryTableField id="37" name="ticker" tableColumnId="37"/>
      <queryTableField id="38" name="债券最新面值" tableColumnId="38"/>
      <queryTableField id="40" name="起息日期" tableColumnId="40"/>
      <queryTableField id="39" name="债券余额" tableColumnId="39"/>
      <queryTableField id="41" name="行权兑付日" tableColumnId="41"/>
      <queryTableField id="42" name="最新票面利率" tableColumnId="42"/>
      <queryTableField id="43" name="计息基准" tableColumnId="43"/>
      <queryTableField id="44" name="首次付息日" tableColumnId="44"/>
      <queryTableField id="45" name="发行人" tableColumnId="45"/>
      <queryTableField id="46" name="担保人" tableColumnId="46"/>
      <queryTableField id="47" name="发行起始日" tableColumnId="47"/>
      <queryTableField id="136" name="定价_DMI" tableColumnId="77"/>
      <queryTableField id="48" name="上市日期" tableColumnId="48"/>
      <queryTableField id="49" name="特殊条款说明" tableColumnId="49"/>
      <queryTableField id="50" name="牵头经办人" tableColumnId="50"/>
      <queryTableField id="128" name="联席账簿管理人" tableColumnId="78"/>
      <queryTableField id="51" name="是否永续债" tableColumnId="51"/>
      <queryTableField id="52" name="是否存单" tableColumnId="52"/>
      <queryTableField id="53" name="利率类型" tableColumnId="53"/>
      <queryTableField id="54" name="交易状态" tableColumnId="54"/>
      <queryTableField id="55" name="债券类型" tableColumnId="55"/>
      <queryTableField id="56" name="特殊条款" tableColumnId="56"/>
      <queryTableField id="57" name="付息频率" tableColumnId="57"/>
      <queryTableField id="58" name="维好协议提供者" tableColumnId="58"/>
      <queryTableField id="91" name="地区" tableColumnId="71"/>
      <queryTableField id="100" name="亿美元" tableColumnId="60"/>
      <queryTableField id="105" name="亿元" tableColumnId="64"/>
      <queryTableField id="120" name="亿港币" tableColumnId="69"/>
      <queryTableField id="140" name="注册成立地" tableColumnId="79"/>
      <queryTableField id="111" name="补充OMAS updates" tableColumnId="63"/>
      <queryTableField id="112" name="定价息差" tableColumnId="65"/>
      <queryTableField id="113" name="发行评级" tableColumnId="66"/>
      <queryTableField id="114" name="主体评级" tableColumnId="68"/>
      <queryTableField id="59" name="Check" tableColumnId="59"/>
      <queryTableField id="109" name="IS_FIMTN" tableColumnId="6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10" xr16:uid="{BCA25F3D-5EA7-4438-BD47-A2F505717EAC}" autoFormatId="16" applyNumberFormats="0" applyBorderFormats="0" applyFontFormats="0" applyPatternFormats="0" applyAlignmentFormats="0" applyWidthHeightFormats="0">
  <queryTableRefresh nextId="17">
    <queryTableFields count="10">
      <queryTableField id="2" name="定价日" tableColumnId="2"/>
      <queryTableField id="3" name="ISIN" tableColumnId="3"/>
      <queryTableField id="4" name="债券简称" tableColumnId="4"/>
      <queryTableField id="5" name="年期" tableColumnId="5"/>
      <queryTableField id="6" name="亿美元" tableColumnId="6"/>
      <queryTableField id="7" name="货币" tableColumnId="7"/>
      <queryTableField id="12" name="板块" tableColumnId="1"/>
      <queryTableField id="9" name="评级分类" tableColumnId="9"/>
      <queryTableField id="10" name="品种" tableColumnId="10"/>
      <queryTableField id="11" name="按年" tableColumnId="1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3" adjustColumnWidth="0" connectionId="86" xr16:uid="{00000000-0016-0000-0200-000002000000}" autoFormatId="16" applyNumberFormats="0" applyBorderFormats="0" applyFontFormats="0" applyPatternFormats="0" applyAlignmentFormats="0" applyWidthHeightFormats="0">
  <queryTableRefresh nextId="2">
    <queryTableFields count="1">
      <queryTableField id="1" name="headers_review" tableColumnId="1"/>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9" connectionId="32" xr16:uid="{00000000-0016-0000-0200-000003000000}" autoFormatId="16" applyNumberFormats="0" applyBorderFormats="0" applyFontFormats="0" applyPatternFormats="0" applyAlignmentFormats="0" applyWidthHeightFormats="0">
  <queryTableRefresh nextId="110">
    <queryTableFields count="28">
      <queryTableField id="1" name="定价日" tableColumnId="1"/>
      <queryTableField id="2" name="信用主体" tableColumnId="2"/>
      <queryTableField id="36" name="主体评级" tableColumnId="4"/>
      <queryTableField id="6" name="发行评级" tableColumnId="6"/>
      <queryTableField id="108" name="发行架构" tableColumnId="7"/>
      <queryTableField id="71" name="备证行" tableColumnId="30"/>
      <queryTableField id="8" name="货币" tableColumnId="8"/>
      <queryTableField id="9" name="发行规模(亿)" tableColumnId="9"/>
      <queryTableField id="52" name="年期" tableColumnId="5"/>
      <queryTableField id="11" name="票息" tableColumnId="11"/>
      <queryTableField id="12" name="IPG" tableColumnId="12"/>
      <queryTableField id="13" name="FPG" tableColumnId="13"/>
      <queryTableField id="14" name="收窄基点" tableColumnId="14"/>
      <queryTableField id="55" name="ESG" tableColumnId="15"/>
      <queryTableField id="57" name="FEATURED" tableColumnId="20"/>
      <queryTableField id="73" name="上市" tableColumnId="33"/>
      <queryTableField id="72" name="增发判定" tableColumnId="31"/>
      <queryTableField id="25" name="定价" tableColumnId="25"/>
      <queryTableField id="26" name="定价基准" tableColumnId="26"/>
      <queryTableField id="27" name="发行票面利率" tableColumnId="27"/>
      <queryTableField id="32" name="境内主体评级" tableColumnId="32"/>
      <queryTableField id="80" name="通过分行" tableColumnId="3"/>
      <queryTableField id="82" name="期限备注" tableColumnId="34"/>
      <queryTableField id="35" name="ISIN" tableColumnId="35"/>
      <queryTableField id="23" name="亿美元" tableColumnId="23"/>
      <queryTableField id="24" name="亿元" tableColumnId="24"/>
      <queryTableField id="84" name="亿港币" tableColumnId="21"/>
      <queryTableField id="49" name="Check" tableColumnId="1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30" xr16:uid="{00000000-0016-0000-0200-000004000000}" autoFormatId="16" applyNumberFormats="0" applyBorderFormats="0" applyFontFormats="0" applyPatternFormats="0" applyAlignmentFormats="0" applyWidthHeightFormats="0">
  <queryTableRefresh nextId="50">
    <queryTableFields count="16">
      <queryTableField id="4" name="信用主体" tableColumnId="4"/>
      <queryTableField id="1" name="Check" tableColumnId="1"/>
      <queryTableField id="2" name="ISIN" tableColumnId="2"/>
      <queryTableField id="3" name="定价日" tableColumnId="3"/>
      <queryTableField id="38" name="台账序号" tableColumnId="18"/>
      <queryTableField id="16" name="COVERAGE" tableColumnId="8"/>
      <queryTableField id="22" name="Project Name" tableColumnId="10"/>
      <queryTableField id="12" name="新规角色" tableColumnId="12"/>
      <queryTableField id="17" name="PROJECT_CODE" tableColumnId="9"/>
      <queryTableField id="15" name="期数" tableColumnId="15"/>
      <queryTableField id="5" name="BISL_ROLE" tableColumnId="5"/>
      <queryTableField id="20" name="港分_ROLE" tableColumnId="6"/>
      <queryTableField id="21" name="澳分_ROLE" tableColumnId="7"/>
      <queryTableField id="30" name="IS_LEAD" tableColumnId="11"/>
      <queryTableField id="31" name="IS_B&amp;D" tableColumnId="13"/>
      <queryTableField id="32" name="是否合名"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1" connectionId="31" xr16:uid="{00000000-0016-0000-0200-000005000000}" autoFormatId="16" applyNumberFormats="0" applyBorderFormats="0" applyFontFormats="0" applyPatternFormats="0" applyAlignmentFormats="0" applyWidthHeightFormats="0">
  <queryTableRefresh nextId="9">
    <queryTableFields count="4">
      <queryTableField id="1" name="信用主体" tableColumnId="1"/>
      <queryTableField id="3" name="SHORTNAMER" tableColumnId="3"/>
      <queryTableField id="6" name="中资属性" tableColumnId="2"/>
      <queryTableField id="8" name="板块" tableColumnId="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8" connectionId="7" xr16:uid="{00000000-0016-0000-0400-000009000000}" autoFormatId="16" applyNumberFormats="0" applyBorderFormats="0" applyFontFormats="0" applyPatternFormats="0" applyAlignmentFormats="0" applyWidthHeightFormats="0">
  <queryTableRefresh nextId="17">
    <queryTableFields count="10">
      <queryTableField id="1" name="定价日" tableColumnId="1"/>
      <queryTableField id="2" name="ISIN" tableColumnId="2"/>
      <queryTableField id="3" name="债券简称" tableColumnId="3"/>
      <queryTableField id="4" name="年期" tableColumnId="4"/>
      <queryTableField id="5" name="亿美元" tableColumnId="5"/>
      <queryTableField id="10" name="货币" tableColumnId="10"/>
      <queryTableField id="12" name="板块" tableColumnId="11"/>
      <queryTableField id="7" name="评级分类" tableColumnId="7"/>
      <queryTableField id="8" name="品种" tableColumnId="8"/>
      <queryTableField id="9" name="按年" tableColumnId="9"/>
    </queryTableFields>
    <queryTableDeletedFields count="1">
      <deletedField name="行业"/>
    </queryTableDeleted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4" connectionId="84" xr16:uid="{00000000-0016-0000-0400-000006000000}" autoFormatId="16" applyNumberFormats="0" applyBorderFormats="0" applyFontFormats="0" applyPatternFormats="0" applyAlignmentFormats="0" applyWidthHeightFormats="0">
  <queryTableRefresh nextId="115">
    <queryTableFields count="17">
      <queryTableField id="39" name="Index" tableColumnId="2"/>
      <queryTableField id="33" name="ISIN" tableColumnId="33"/>
      <queryTableField id="1" name="定价日" tableColumnId="1"/>
      <queryTableField id="40" name="信用主体(备证行)" tableColumnId="3"/>
      <queryTableField id="7" name="发行评级" tableColumnId="7"/>
      <queryTableField id="9" name="货币" tableColumnId="9"/>
      <queryTableField id="10" name="发行规模(亿)" tableColumnId="10"/>
      <queryTableField id="11" name="年期" tableColumnId="11"/>
      <queryTableField id="12" name="票息" tableColumnId="12"/>
      <queryTableField id="13" name="IPG" tableColumnId="13"/>
      <queryTableField id="15" name="收窄基点" tableColumnId="15"/>
      <queryTableField id="16" name="结构" tableColumnId="16"/>
      <queryTableField id="17" name="主题" tableColumnId="17"/>
      <queryTableField id="113" name="板块" tableColumnId="4"/>
      <queryTableField id="19" name="地区" tableColumnId="19"/>
      <queryTableField id="38" name="BOCOM_DEAL?" tableColumnId="38"/>
      <queryTableField id="52" name="亿美元" tableColumnId="2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8" adjustColumnWidth="0" connectionId="113" xr16:uid="{00000000-0016-0000-0500-00000E000000}" autoFormatId="16" applyNumberFormats="0" applyBorderFormats="0" applyFontFormats="0" applyPatternFormats="0" applyAlignmentFormats="0" applyWidthHeightFormats="0">
  <queryTableRefresh nextId="184">
    <queryTableFields count="6">
      <queryTableField id="32" name="Index" tableColumnId="12"/>
      <queryTableField id="182" name="板块" tableColumnId="2"/>
      <queryTableField id="39" name="货币" tableColumnId="19"/>
      <queryTableField id="101" name="信用主体(备证行)" tableColumnId="52"/>
      <queryTableField id="14" name="描述" tableColumnId="8"/>
      <queryTableField id="180" name="Stats描述" tableColumnId="1"/>
    </queryTableFields>
    <queryTableDeletedFields count="11">
      <deletedField name="描述"/>
      <deletedField name="Index"/>
      <deletedField name="信用主体简称"/>
      <deletedField name="BISL_ROLE"/>
      <deletedField name="其他交银_ROLE"/>
      <deletedField name="地区"/>
      <deletedField name="行业"/>
      <deletedField name="主题"/>
      <deletedField name="货币"/>
      <deletedField name="结构"/>
      <deletedField name="增发判定"/>
    </queryTableDeleted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1" adjustColumnWidth="0" connectionId="112" xr16:uid="{00000000-0016-0000-0500-00000C000000}" autoFormatId="16" applyNumberFormats="0" applyBorderFormats="0" applyFontFormats="0" applyPatternFormats="0" applyAlignmentFormats="0" applyWidthHeightFormats="0">
  <queryTableRefresh nextId="216">
    <queryTableFields count="6">
      <queryTableField id="22" name="Index" tableColumnId="12"/>
      <queryTableField id="214" name="板块" tableColumnId="2"/>
      <queryTableField id="3" name="货币" tableColumnId="3"/>
      <queryTableField id="74" name="信用主体(备证行)" tableColumnId="52"/>
      <queryTableField id="5" name="描述" tableColumnId="5"/>
      <queryTableField id="213" name="Stats描述" tableColumnId="1"/>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2" adjustColumnWidth="0" connectionId="114" xr16:uid="{00000000-0016-0000-0500-00000D000000}" autoFormatId="16" applyNumberFormats="0" applyBorderFormats="0" applyFontFormats="0" applyPatternFormats="0" applyAlignmentFormats="0" applyWidthHeightFormats="0">
  <queryTableRefresh nextId="33">
    <queryTableFields count="6">
      <queryTableField id="22" name="Index" tableColumnId="11"/>
      <queryTableField id="31" name="板块" tableColumnId="2"/>
      <queryTableField id="3" name="货币" tableColumnId="3"/>
      <queryTableField id="27" name="信用主体(备证行)" tableColumnId="1"/>
      <queryTableField id="5" name="描述" tableColumnId="5"/>
      <queryTableField id="30" name="Stats描述"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28" xr16:uid="{00000000-0016-0000-0600-00000F000000}" autoFormatId="16" applyNumberFormats="0" applyBorderFormats="0" applyFontFormats="0" applyPatternFormats="0" applyAlignmentFormats="0" applyWidthHeightFormats="0">
  <queryTableRefresh nextId="26">
    <queryTableFields count="15">
      <queryTableField id="1" name="Date" tableColumnId="1"/>
      <queryTableField id="13" name="Region" tableColumnId="13"/>
      <queryTableField id="3" name="Event" tableColumnId="3"/>
      <queryTableField id="14" name="Period" tableColumnId="14"/>
      <queryTableField id="5" name="Survey" tableColumnId="5"/>
      <queryTableField id="6" name="Actual" tableColumnId="6"/>
      <queryTableField id="7" name="Prior" tableColumnId="7"/>
      <queryTableField id="8" name="Revised" tableColumnId="8"/>
      <queryTableField id="9" name="Relevance" tableColumnId="9"/>
      <queryTableField id="10" name="Ticker" tableColumnId="10"/>
      <queryTableField id="11" name="Time" tableColumnId="11"/>
      <queryTableField id="15" name="Table" tableColumnId="15"/>
      <queryTableField id="22" name="区间" tableColumnId="17"/>
      <queryTableField id="23" name="范围" tableColumnId="18"/>
      <queryTableField id="16" name="上周主要经济数据" tableColumnId="16"/>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2" connectionId="33" xr16:uid="{00000000-0016-0000-0700-000010000000}" autoFormatId="16" applyNumberFormats="0" applyBorderFormats="0" applyFontFormats="0" applyPatternFormats="0" applyAlignmentFormats="0" applyWidthHeightFormats="0">
  <queryTableRefresh nextId="17">
    <queryTableFields count="15">
      <queryTableField id="1" name="Date" tableColumnId="1"/>
      <queryTableField id="2" name="Region" tableColumnId="2"/>
      <queryTableField id="3" name="Event" tableColumnId="3"/>
      <queryTableField id="4" name="Period" tableColumnId="4"/>
      <queryTableField id="5" name="Survey" tableColumnId="5"/>
      <queryTableField id="6" name="Actual" tableColumnId="6"/>
      <queryTableField id="7" name="Prior" tableColumnId="7"/>
      <queryTableField id="8" name="Revised" tableColumnId="8"/>
      <queryTableField id="9" name="Relevance" tableColumnId="9"/>
      <queryTableField id="10" name="Ticker" tableColumnId="10"/>
      <queryTableField id="11" name="Time" tableColumnId="11"/>
      <queryTableField id="12" name="Table" tableColumnId="12"/>
      <queryTableField id="14" name="区间" tableColumnId="14"/>
      <queryTableField id="15" name="范围" tableColumnId="15"/>
      <queryTableField id="16" name="未来一周主要经济数据" tableColumnId="16"/>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6" connectionId="22" xr16:uid="{B8FD89C8-856C-4BC4-965B-5913312DB0D0}" autoFormatId="16" applyNumberFormats="0" applyBorderFormats="0" applyFontFormats="0" applyPatternFormats="0" applyAlignmentFormats="0" applyWidthHeightFormats="0">
  <queryTableRefresh nextId="313">
    <queryTableFields count="69">
      <queryTableField id="1" name="信用主体" tableColumnId="1"/>
      <queryTableField id="275" name="英文简称" tableColumnId="70"/>
      <queryTableField id="9" name="ISIN" tableColumnId="9"/>
      <queryTableField id="12" name="定价日" tableColumnId="12"/>
      <queryTableField id="8" name="债券简称" tableColumnId="8"/>
      <queryTableField id="13" name="穆迪/标普" tableColumnId="13"/>
      <queryTableField id="14" name="主体评级展望" tableColumnId="14"/>
      <queryTableField id="15" name="债项评级" tableColumnId="15"/>
      <queryTableField id="27" name="发行规模(亿)" tableColumnId="27"/>
      <queryTableField id="28" name="货币" tableColumnId="28"/>
      <queryTableField id="29" name="发行期限(年)" tableColumnId="29"/>
      <queryTableField id="116" name="发行票面利率" tableColumnId="24"/>
      <queryTableField id="19" name="兑付日" tableColumnId="19"/>
      <queryTableField id="31" name="发行场所" tableColumnId="31"/>
      <queryTableField id="20" name="IPT_DMI" tableColumnId="20"/>
      <queryTableField id="21" name="FPG_DMI" tableColumnId="21"/>
      <queryTableField id="22" name="收窄幅度(bp)" tableColumnId="22"/>
      <queryTableField id="23" name="发行方式" tableColumnId="23"/>
      <queryTableField id="78" name="发行架构" tableColumnId="69"/>
      <queryTableField id="25" name="SBLC提供者" tableColumnId="25"/>
      <queryTableField id="26" name="偿还顺位" tableColumnId="26"/>
      <queryTableField id="30" name="发行价" tableColumnId="30"/>
      <queryTableField id="32" name="首日涨跌" tableColumnId="32"/>
      <queryTableField id="5" name="省份" tableColumnId="5"/>
      <queryTableField id="6" name="城市" tableColumnId="6"/>
      <queryTableField id="7" name="区县" tableColumnId="7"/>
      <queryTableField id="33" name="认购额(亿)" tableColumnId="33"/>
      <queryTableField id="34" name="认购倍数" tableColumnId="34"/>
      <queryTableField id="35" name="亚洲占比" tableColumnId="35"/>
      <queryTableField id="36" name="基金占比" tableColumnId="36"/>
      <queryTableField id="37" name="联席全球协调人" tableColumnId="37"/>
      <queryTableField id="4" name="细分行业" tableColumnId="4"/>
      <queryTableField id="10" name="主题债券" tableColumnId="10"/>
      <queryTableField id="16" name="债项初始评级" tableColumnId="16"/>
      <queryTableField id="17" name="境内主体评级" tableColumnId="17"/>
      <queryTableField id="3" name="行业" tableColumnId="3"/>
      <queryTableField id="62" name="剩余期限" tableColumnId="62"/>
      <queryTableField id="2" name="公司类型" tableColumnId="2"/>
      <queryTableField id="11" name="评级类型" tableColumnId="11"/>
      <queryTableField id="63" name="投资者账户数" tableColumnId="63"/>
      <queryTableField id="64" name="投资者类型" tableColumnId="64"/>
      <queryTableField id="65" name="投资者分布" tableColumnId="65"/>
      <queryTableField id="66" name="筹款用途" tableColumnId="66"/>
      <queryTableField id="38" name="ticker" tableColumnId="38"/>
      <queryTableField id="39" name="债券最新面值" tableColumnId="39"/>
      <queryTableField id="41" name="起息日期" tableColumnId="41"/>
      <queryTableField id="40" name="债券余额" tableColumnId="40"/>
      <queryTableField id="42" name="行权兑付日" tableColumnId="42"/>
      <queryTableField id="43" name="最新票面利率" tableColumnId="43"/>
      <queryTableField id="44" name="计息基准" tableColumnId="44"/>
      <queryTableField id="45" name="首次付息日" tableColumnId="45"/>
      <queryTableField id="46" name="发行人" tableColumnId="46"/>
      <queryTableField id="47" name="担保人" tableColumnId="47"/>
      <queryTableField id="48" name="发行起始日" tableColumnId="48"/>
      <queryTableField id="67" name="定价_DMI" tableColumnId="67"/>
      <queryTableField id="49" name="上市日期" tableColumnId="49"/>
      <queryTableField id="50" name="特殊条款说明" tableColumnId="50"/>
      <queryTableField id="51" name="牵头经办人" tableColumnId="51"/>
      <queryTableField id="68" name="联席账簿管理人" tableColumnId="68"/>
      <queryTableField id="52" name="是否永续债" tableColumnId="52"/>
      <queryTableField id="53" name="是否存单" tableColumnId="53"/>
      <queryTableField id="54" name="利率类型" tableColumnId="54"/>
      <queryTableField id="55" name="交易状态" tableColumnId="55"/>
      <queryTableField id="56" name="债券类型" tableColumnId="56"/>
      <queryTableField id="57" name="特殊条款" tableColumnId="57"/>
      <queryTableField id="58" name="付息频率" tableColumnId="58"/>
      <queryTableField id="59" name="维好协议提供者" tableColumnId="59"/>
      <queryTableField id="60" name="地区" tableColumnId="60"/>
      <queryTableField id="61" name="Check" tableColumnId="61"/>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connectionId="3" xr16:uid="{0B373777-6D0E-4373-8161-40D12EDDEF4D}" autoFormatId="16" applyNumberFormats="0" applyBorderFormats="0" applyFontFormats="0" applyPatternFormats="0" applyAlignmentFormats="0" applyWidthHeightFormats="0">
  <queryTableRefresh nextId="13">
    <queryTableFields count="12">
      <queryTableField id="1" name="Index" tableColumnId="1"/>
      <queryTableField id="2" name="定价日" tableColumnId="2"/>
      <queryTableField id="3" name="ISIN" tableColumnId="3"/>
      <queryTableField id="4" name="补充OMAS updates" tableColumnId="4"/>
      <queryTableField id="5" name="发行评级" tableColumnId="5"/>
      <queryTableField id="6" name="发行人注册地" tableColumnId="6"/>
      <queryTableField id="7" name="主体评级" tableColumnId="7"/>
      <queryTableField id="8" name="定价息差" tableColumnId="8"/>
      <queryTableField id="9" name="浮息息差" tableColumnId="9"/>
      <queryTableField id="10" name="Check" tableColumnId="10"/>
      <queryTableField id="11" name="债项BBG" tableColumnId="11"/>
      <queryTableField id="12" name="主体BBG" tableColumnId="12"/>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2" connectionId="119" xr16:uid="{F411338F-7C60-4E47-A1F5-A5A87D4E0DE3}" autoFormatId="16" applyNumberFormats="0" applyBorderFormats="0" applyFontFormats="0" applyPatternFormats="0" applyAlignmentFormats="0" applyWidthHeightFormats="0">
  <queryTableRefresh nextId="9">
    <queryTableFields count="8">
      <queryTableField id="1" name="Project Name" tableColumnId="1"/>
      <queryTableField id="2" name="ISIN" tableColumnId="2"/>
      <queryTableField id="3" name="项目名称（集团全称）" tableColumnId="3"/>
      <queryTableField id="4" name="台账序号" tableColumnId="4"/>
      <queryTableField id="5" name="担任角色" tableColumnId="5"/>
      <queryTableField id="6" name="新规角色" tableColumnId="6"/>
      <queryTableField id="7" name="COVERAGE" tableColumnId="7"/>
      <queryTableField id="8" name="项目定价日" tableColumnId="8"/>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 connectionId="116" xr16:uid="{77DE529F-18C5-4C93-9015-01A7C00BE612}" autoFormatId="16" applyNumberFormats="0" applyBorderFormats="0" applyFontFormats="0" applyPatternFormats="0" applyAlignmentFormats="0" applyWidthHeightFormats="0">
  <queryTableRefresh nextId="14">
    <queryTableFields count="13">
      <queryTableField id="1" name="信用主体" tableColumnId="1"/>
      <queryTableField id="2" name="定价日" tableColumnId="2"/>
      <queryTableField id="3" name="债券名称" tableColumnId="3"/>
      <queryTableField id="4" name="ISIN" tableColumnId="4"/>
      <queryTableField id="5" name="发行价" tableColumnId="5"/>
      <queryTableField id="6" name="初始发行价" tableColumnId="6"/>
      <queryTableField id="7" name="认购倍数" tableColumnId="7"/>
      <queryTableField id="8" name="首日表现" tableColumnId="8"/>
      <queryTableField id="9" name="行业" tableColumnId="9"/>
      <queryTableField id="10" name="最终订单量/峰值订单（亿美元）" tableColumnId="10"/>
      <queryTableField id="11" name="WSTIPT" tableColumnId="11"/>
      <queryTableField id="12" name="WSTFPT" tableColumnId="12"/>
      <queryTableField id="13" name="Check" tableColumnId="13"/>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connectionId="95" xr16:uid="{9A83D6E5-8028-451F-81EB-6106800FC1B7}" autoFormatId="16" applyNumberFormats="0" applyBorderFormats="0" applyFontFormats="0" applyPatternFormats="0" applyAlignmentFormats="0" applyWidthHeightFormats="0">
  <queryTableRefresh nextId="59">
    <queryTableFields count="45">
      <queryTableField id="1" name="Index" tableColumnId="1"/>
      <queryTableField id="2" name="信用主体" tableColumnId="2"/>
      <queryTableField id="3" name="ISIN" tableColumnId="3"/>
      <queryTableField id="4" name="定价日" tableColumnId="4"/>
      <queryTableField id="5" name="发行评级" tableColumnId="5"/>
      <queryTableField id="6" name="主体评级" tableColumnId="6"/>
      <queryTableField id="7" name="境内主体评级" tableColumnId="7"/>
      <queryTableField id="8" name="货币" tableColumnId="8"/>
      <queryTableField id="9" name="发行规模(亿)" tableColumnId="9"/>
      <queryTableField id="10" name="年期" tableColumnId="10"/>
      <queryTableField id="11" name="票息" tableColumnId="11"/>
      <queryTableField id="12" name="IPG" tableColumnId="12"/>
      <queryTableField id="13" name="FPG" tableColumnId="13"/>
      <queryTableField id="14" name="定价" tableColumnId="14"/>
      <queryTableField id="15" name="收窄基点" tableColumnId="15"/>
      <queryTableField id="16" name="定价基准" tableColumnId="16"/>
      <queryTableField id="39" name="发行价" tableColumnId="18"/>
      <queryTableField id="17" name="结构" tableColumnId="17"/>
      <queryTableField id="19" name="上市" tableColumnId="19"/>
      <queryTableField id="20" name="港分_ROLE" tableColumnId="20"/>
      <queryTableField id="21" name="澳分_ROLE" tableColumnId="21"/>
      <queryTableField id="22" name="增发判定" tableColumnId="22"/>
      <queryTableField id="40" name="付息频率" tableColumnId="26"/>
      <queryTableField id="41" name="起息日期" tableColumnId="27"/>
      <queryTableField id="42" name="首次付息日" tableColumnId="39"/>
      <queryTableField id="43" name="兑付日" tableColumnId="40"/>
      <queryTableField id="23" name="亿美元" tableColumnId="23"/>
      <queryTableField id="24" name="亿元" tableColumnId="24"/>
      <queryTableField id="25" name="亿港币" tableColumnId="25"/>
      <queryTableField id="44" name="ticker" tableColumnId="41"/>
      <queryTableField id="57" name="注册成立地" tableColumnId="45"/>
      <queryTableField id="45" name="发行人" tableColumnId="42"/>
      <queryTableField id="46" name="担保人" tableColumnId="43"/>
      <queryTableField id="47" name="维好协议提供者" tableColumnId="44"/>
      <queryTableField id="28" name="备证行" tableColumnId="28"/>
      <queryTableField id="29" name="ESG" tableColumnId="29"/>
      <queryTableField id="30" name="FEATURED" tableColumnId="30"/>
      <queryTableField id="31" name="亮点" tableColumnId="31"/>
      <queryTableField id="32" name="通过分行" tableColumnId="32"/>
      <queryTableField id="33" name="期限备注" tableColumnId="33"/>
      <queryTableField id="34" name="SPECIALs" tableColumnId="34"/>
      <queryTableField id="35" name="OTHER_ISIN" tableColumnId="35"/>
      <queryTableField id="36" name="Updator" tableColumnId="36"/>
      <queryTableField id="37" name="Timestamp" tableColumnId="37"/>
      <queryTableField id="38" name="Check" tableColumnId="38"/>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9" connectionId="102" xr16:uid="{00000000-0016-0000-0400-00000A000000}" autoFormatId="16" applyNumberFormats="0" applyBorderFormats="0" applyFontFormats="0" applyPatternFormats="0" applyAlignmentFormats="0" applyWidthHeightFormats="0">
  <queryTableRefresh nextId="58">
    <queryTableFields count="20">
      <queryTableField id="24" name="Index" tableColumnId="1"/>
      <queryTableField id="7" name="信用主体" tableColumnId="7"/>
      <queryTableField id="25" name="信用主体简称" tableColumnId="12"/>
      <queryTableField id="22" name="板块" tableColumnId="3"/>
      <queryTableField id="45" name="行业二级" tableColumnId="13"/>
      <queryTableField id="4" name="地区" tableColumnId="4"/>
      <queryTableField id="5" name="城市" tableColumnId="5"/>
      <queryTableField id="6" name="区县" tableColumnId="6"/>
      <queryTableField id="27" name="平台级别" tableColumnId="14"/>
      <queryTableField id="12" name="中资属性" tableColumnId="2"/>
      <queryTableField id="56" name="系" tableColumnId="20"/>
      <queryTableField id="28" name="首次违约日" tableColumnId="15"/>
      <queryTableField id="11" name="DEBUT_DATE" tableColumnId="11"/>
      <queryTableField id="29" name="曾用名" tableColumnId="16"/>
      <queryTableField id="30" name="主体备注" tableColumnId="17"/>
      <queryTableField id="8" name="行业" tableColumnId="8"/>
      <queryTableField id="9" name="细分行业" tableColumnId="9"/>
      <queryTableField id="10" name="公司类型" tableColumnId="10"/>
      <queryTableField id="31" name="Updator" tableColumnId="18"/>
      <queryTableField id="32" name="Timestamp" tableColumnId="19"/>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6" connectionId="101" xr16:uid="{00000000-0016-0000-0400-000008000000}" autoFormatId="16" applyNumberFormats="0" applyBorderFormats="0" applyFontFormats="0" applyPatternFormats="0" applyAlignmentFormats="0" applyWidthHeightFormats="0">
  <queryTableRefresh nextId="56">
    <queryTableFields count="19">
      <queryTableField id="33" name="Index" tableColumnId="6"/>
      <queryTableField id="2" name="ISIN" tableColumnId="2"/>
      <queryTableField id="3" name="定价日" tableColumnId="3"/>
      <queryTableField id="4" name="信用主体" tableColumnId="4"/>
      <queryTableField id="5" name="BISL_ROLE" tableColumnId="5"/>
      <queryTableField id="14" name="IS_LEAD" tableColumnId="12"/>
      <queryTableField id="15" name="IS_B&amp;D" tableColumnId="14"/>
      <queryTableField id="16" name="是否合名" tableColumnId="15"/>
      <queryTableField id="10" name="新规角色" tableColumnId="10"/>
      <queryTableField id="11" name="COVERAGE" tableColumnId="11"/>
      <queryTableField id="8" name="PROJECT_CODE" tableColumnId="8"/>
      <queryTableField id="9" name="期数" tableColumnId="9"/>
      <queryTableField id="22" name="台账序号" tableColumnId="18"/>
      <queryTableField id="34" name="多笔" tableColumnId="7"/>
      <queryTableField id="35" name="多币种" tableColumnId="13"/>
      <queryTableField id="36" name="多品种" tableColumnId="16"/>
      <queryTableField id="37" name="多期限" tableColumnId="17"/>
      <queryTableField id="1" name="Check" tableColumnId="1"/>
      <queryTableField id="38" name="PRJ对帐号" tableColumnId="19"/>
    </queryTableFields>
  </queryTableRefresh>
</queryTable>
</file>

<file path=xl/tables/_rels/table1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bl_ddsector" displayName="tbl_ddsector" ref="A6:A10" totalsRowShown="0">
  <autoFilter ref="A6:A10" xr:uid="{00000000-0009-0000-0100-000006000000}"/>
  <tableColumns count="1">
    <tableColumn id="1" xr3:uid="{00000000-0010-0000-0000-000001000000}" name="行业"/>
  </tableColumns>
  <tableStyleInfo name="Named_dd"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1000000}" name="tbl_dd_updator" displayName="tbl_dd_updator" ref="L6:L11" totalsRowShown="0">
  <autoFilter ref="L6:L11" xr:uid="{00000000-0009-0000-0100-000009000000}"/>
  <tableColumns count="1">
    <tableColumn id="1" xr3:uid="{00000000-0010-0000-0100-000001000000}" name="EXE"/>
  </tableColumns>
  <tableStyleInfo name="Named_dd"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2000000}" name="tbl_dd_by_rtg" displayName="tbl_dd_by_rtg" ref="B6:B9" totalsRowShown="0">
  <autoFilter ref="B6:B9" xr:uid="{00000000-0009-0000-0100-000005000000}"/>
  <tableColumns count="1">
    <tableColumn id="1" xr3:uid="{00000000-0010-0000-0200-000001000000}" name="评级分类"/>
  </tableColumns>
  <tableStyleInfo name="Named_dd"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5000000}" name="tbl_dd_crcy" displayName="tbl_dd_crcy" ref="C6:C10" totalsRowShown="0">
  <autoFilter ref="C6:C10" xr:uid="{00000000-0009-0000-0100-000003000000}"/>
  <tableColumns count="1">
    <tableColumn id="1" xr3:uid="{00000000-0010-0000-0500-000001000000}" name="货币"/>
  </tableColumns>
  <tableStyleInfo name="Named_dd"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6000000}" name="tbl_dd_listing" displayName="tbl_dd_listing" ref="D6:D14" totalsRowShown="0">
  <autoFilter ref="D6:D14" xr:uid="{00000000-0009-0000-0100-00000C000000}"/>
  <tableColumns count="1">
    <tableColumn id="1" xr3:uid="{00000000-0010-0000-0600-000001000000}" name="上市"/>
  </tableColumns>
  <tableStyleInfo name="Named_dd"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7000000}" name="tbl_dd_structure" displayName="tbl_dd_structure" ref="E6:E15" totalsRowShown="0">
  <autoFilter ref="E6:E15" xr:uid="{00000000-0009-0000-0100-00000D000000}"/>
  <tableColumns count="1">
    <tableColumn id="1" xr3:uid="{00000000-0010-0000-0700-000001000000}" name="结构"/>
  </tableColumns>
  <tableStyleInfo name="Named_dd"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9000000}" name="tbl_dd_region" displayName="tbl_dd_region" ref="A12:A44" totalsRowShown="0" headerRowDxfId="418" dataDxfId="417">
  <autoFilter ref="A12:A44" xr:uid="{00000000-0009-0000-0100-000019000000}"/>
  <tableColumns count="1">
    <tableColumn id="1" xr3:uid="{00000000-0010-0000-0900-000001000000}" name="地区" dataDxfId="416"/>
  </tableColumns>
  <tableStyleInfo name="Named_dd"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A000000}" name="tbl_dd_theme" displayName="tbl_dd_theme" ref="B12:B20" totalsRowShown="0" headerRowDxfId="415" dataDxfId="414">
  <autoFilter ref="B12:B20" xr:uid="{00000000-0009-0000-0100-00001A000000}"/>
  <tableColumns count="1">
    <tableColumn id="1" xr3:uid="{00000000-0010-0000-0A00-000001000000}" name="主题" dataDxfId="413"/>
  </tableColumns>
  <tableStyleInfo name="Named_dd"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D000000}" name="tbl_dd_role" displayName="tbl_dd_role" ref="F6:F10" totalsRowShown="0">
  <autoFilter ref="F6:F10" xr:uid="{00000000-0009-0000-0100-000018000000}"/>
  <tableColumns count="1">
    <tableColumn id="1" xr3:uid="{00000000-0010-0000-0D00-000001000000}" name="其他交银_ROLE"/>
  </tableColumns>
  <tableStyleInfo name="Named_dd"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E000000}" name="tbl_dd_sfcrole" displayName="tbl_dd_sfcrole" ref="G6:G10" totalsRowShown="0">
  <autoFilter ref="G6:G10" xr:uid="{00000000-0009-0000-0100-00001B000000}"/>
  <tableColumns count="1">
    <tableColumn id="1" xr3:uid="{00000000-0010-0000-0E00-000001000000}" name="新规角色"/>
  </tableColumns>
  <tableStyleInfo name="Named_dd"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F000000}" name="tbl_dd_coverage" displayName="tbl_dd_coverage" ref="H6:H10" totalsRowShown="0">
  <autoFilter ref="H6:H10" xr:uid="{00000000-0009-0000-0100-00001D000000}"/>
  <tableColumns count="1">
    <tableColumn id="1" xr3:uid="{00000000-0010-0000-0F00-000001000000}" name="COVERAGE"/>
  </tableColumns>
  <tableStyleInfo name="Named_dd"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3720B71-7512-485F-9B25-637F17EE38C6}" name="板块" displayName="板块" ref="I6:I11" tableType="queryTable" totalsRowShown="0">
  <autoFilter ref="I6:I11" xr:uid="{26FE236B-2A97-45BE-82BB-C1AD85E2DB46}"/>
  <tableColumns count="1">
    <tableColumn id="1" xr3:uid="{DE820937-D9CF-434A-8A46-AEA8816786C6}" uniqueName="1" name="板块" queryTableFieldId="1" dataDxfId="310"/>
  </tableColumns>
  <tableStyleInfo name="Named_dd"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85AFF-F2CA-4E91-B091-BF7323F57092}" name="中资属性" displayName="中资属性" ref="J6:J12" tableType="queryTable" totalsRowShown="0">
  <autoFilter ref="J6:J12" xr:uid="{468C1FBA-82A3-4DD0-AF71-D0CA0ACFFFD2}"/>
  <tableColumns count="1">
    <tableColumn id="1" xr3:uid="{E46ED5D9-5689-449D-A1E6-5A3A303F856D}" uniqueName="1" name="中资属性" queryTableFieldId="1" dataDxfId="309"/>
  </tableColumns>
  <tableStyleInfo name="Named_dd"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47FCD76-5C14-4204-AF5E-8A7CCACA1AA0}" name="BISL_ROLE" displayName="BISL_ROLE" ref="K6:K12" tableType="queryTable" totalsRowShown="0">
  <autoFilter ref="K6:K12" xr:uid="{FF208760-EA58-4FEC-8BFC-A2D10CC56FD3}"/>
  <tableColumns count="1">
    <tableColumn id="1" xr3:uid="{E8A08C19-4FDD-411B-A6E1-3AEE07FBDDD9}" uniqueName="1" name="BISL_ROLE" queryTableFieldId="1" dataDxfId="312"/>
  </tableColumns>
  <tableStyleInfo name="Named_dd"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A0C9D44-CD1D-472C-AE88-CA3B607FE7CC}" name="BOCOM_DEAL" displayName="BOCOM_DEAL" ref="M6:M15" tableType="queryTable" totalsRowShown="0">
  <autoFilter ref="M6:M15" xr:uid="{BBFF4DEA-A6A6-4E4A-BBFF-5F70C9A4075B}"/>
  <tableColumns count="1">
    <tableColumn id="1" xr3:uid="{16D02616-7CFF-4860-A675-A380E36236C5}" uniqueName="1" name="BOCOM_DEAL?" queryTableFieldId="1" dataDxfId="311"/>
  </tableColumns>
  <tableStyleInfo name="Named_dd"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2000000}" name="tbl_dt" displayName="tbl_dt" ref="I1:I2" totalsRowShown="0" headerRowDxfId="265" dataDxfId="412">
  <autoFilter ref="I1:I2" xr:uid="{00000000-0009-0000-0100-00001C000000}">
    <filterColumn colId="0" hiddenButton="1"/>
  </autoFilter>
  <tableColumns count="1">
    <tableColumn id="1" xr3:uid="{00000000-0010-0000-1200-000001000000}" name="Updator" dataDxfId="411"/>
  </tableColumns>
  <tableStyleInfo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4000000}" name="Table_DLDconso" displayName="Table_DLDconso" ref="A10:CA15" tableType="queryTable" totalsRowShown="0">
  <autoFilter ref="A10:CA15" xr:uid="{00000000-0009-0000-0100-00000E000000}">
    <filterColumn colId="0" hiddenButton="1"/>
    <filterColumn colId="1"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3" hiddenButton="1"/>
    <filterColumn colId="14" hiddenButton="1"/>
    <filterColumn colId="15" hiddenButton="1"/>
    <filterColumn colId="16" hiddenButton="1"/>
    <filterColumn colId="17" hiddenButton="1"/>
    <filterColumn colId="18"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8" hiddenButton="1"/>
    <filterColumn colId="39"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6" hiddenButton="1"/>
    <filterColumn colId="57" hiddenButton="1"/>
    <filterColumn colId="58"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7" hiddenButton="1"/>
  </autoFilter>
  <tableColumns count="79">
    <tableColumn id="67" xr3:uid="{89571AE0-3879-457F-B318-34D498859252}" uniqueName="67" name="Index" queryTableFieldId="107" dataDxfId="152"/>
    <tableColumn id="1" xr3:uid="{00000000-0010-0000-1400-000001000000}" uniqueName="1" name="信用主体" queryTableFieldId="1" dataDxfId="151"/>
    <tableColumn id="80" xr3:uid="{E0DB2110-7E9D-4125-956E-B1A969ACDD95}" uniqueName="80" name="英文简称" queryTableFieldId="341" dataDxfId="150"/>
    <tableColumn id="9" xr3:uid="{00000000-0010-0000-1400-000009000000}" uniqueName="9" name="ISIN" queryTableFieldId="9" dataDxfId="149"/>
    <tableColumn id="12" xr3:uid="{00000000-0010-0000-1400-00000C000000}" uniqueName="12" name="定价日" queryTableFieldId="12" dataDxfId="148"/>
    <tableColumn id="8" xr3:uid="{00000000-0010-0000-1400-000008000000}" uniqueName="8" name="债券简称" queryTableFieldId="8" dataDxfId="147"/>
    <tableColumn id="13" xr3:uid="{00000000-0010-0000-1400-00000D000000}" uniqueName="13" name="穆迪/标普" queryTableFieldId="13" dataDxfId="146"/>
    <tableColumn id="14" xr3:uid="{00000000-0010-0000-1400-00000E000000}" uniqueName="14" name="主体评级展望" queryTableFieldId="14" dataDxfId="145"/>
    <tableColumn id="15" xr3:uid="{00000000-0010-0000-1400-00000F000000}" uniqueName="15" name="债项评级" queryTableFieldId="15" dataDxfId="144"/>
    <tableColumn id="26" xr3:uid="{00000000-0010-0000-1400-00001A000000}" uniqueName="26" name="发行规模(亿)" queryTableFieldId="26" dataDxfId="143"/>
    <tableColumn id="27" xr3:uid="{00000000-0010-0000-1400-00001B000000}" uniqueName="27" name="货币" queryTableFieldId="27" dataDxfId="142"/>
    <tableColumn id="28" xr3:uid="{00000000-0010-0000-1400-00001C000000}" uniqueName="28" name="发行期限(年)" queryTableFieldId="28" dataDxfId="141"/>
    <tableColumn id="23" xr3:uid="{D374B6CB-0A6B-4955-BCE8-B77932AA19D3}" uniqueName="23" name="发行票面利率" queryTableFieldId="182" dataDxfId="140"/>
    <tableColumn id="19" xr3:uid="{00000000-0010-0000-1400-000013000000}" uniqueName="19" name="兑付日" queryTableFieldId="19" dataDxfId="139"/>
    <tableColumn id="30" xr3:uid="{00000000-0010-0000-1400-00001E000000}" uniqueName="30" name="发行场所" queryTableFieldId="30" dataDxfId="138"/>
    <tableColumn id="20" xr3:uid="{2E21E1F0-B3C8-4D63-81C1-4DEA5849D935}" uniqueName="20" name="IPT_DMI" queryTableFieldId="98" dataDxfId="137"/>
    <tableColumn id="21" xr3:uid="{721CAAAA-9532-4A2C-AF68-00307121AC06}" uniqueName="21" name="FPG_DMI" queryTableFieldId="99" dataDxfId="136"/>
    <tableColumn id="22" xr3:uid="{00000000-0010-0000-1400-000016000000}" uniqueName="22" name="收窄幅度(bp)" queryTableFieldId="22" dataDxfId="135"/>
    <tableColumn id="72" xr3:uid="{00000000-0010-0000-1400-000048000000}" uniqueName="72" name="发行方式" queryTableFieldId="93" dataDxfId="134"/>
    <tableColumn id="62" xr3:uid="{9E4808FC-4C9C-428D-82BA-2929B856B8D6}" uniqueName="62" name="发行架构" queryTableFieldId="144" dataDxfId="133"/>
    <tableColumn id="24" xr3:uid="{00000000-0010-0000-1400-000018000000}" uniqueName="24" name="SBLC提供者" queryTableFieldId="24" dataDxfId="132"/>
    <tableColumn id="25" xr3:uid="{00000000-0010-0000-1400-000019000000}" uniqueName="25" name="偿还顺位" queryTableFieldId="25" dataDxfId="131"/>
    <tableColumn id="29" xr3:uid="{00000000-0010-0000-1400-00001D000000}" uniqueName="29" name="发行价" queryTableFieldId="29" dataDxfId="130"/>
    <tableColumn id="31" xr3:uid="{00000000-0010-0000-1400-00001F000000}" uniqueName="31" name="首日涨跌" queryTableFieldId="31" dataDxfId="129"/>
    <tableColumn id="5" xr3:uid="{00000000-0010-0000-1400-000005000000}" uniqueName="5" name="省份" queryTableFieldId="5" dataDxfId="128"/>
    <tableColumn id="6" xr3:uid="{00000000-0010-0000-1400-000006000000}" uniqueName="6" name="城市" queryTableFieldId="6" dataDxfId="127"/>
    <tableColumn id="7" xr3:uid="{00000000-0010-0000-1400-000007000000}" uniqueName="7" name="区县" queryTableFieldId="7" dataDxfId="126"/>
    <tableColumn id="32" xr3:uid="{00000000-0010-0000-1400-000020000000}" uniqueName="32" name="认购额(亿)" queryTableFieldId="32" dataDxfId="125"/>
    <tableColumn id="33" xr3:uid="{00000000-0010-0000-1400-000021000000}" uniqueName="33" name="认购倍数" queryTableFieldId="33" dataDxfId="124"/>
    <tableColumn id="34" xr3:uid="{00000000-0010-0000-1400-000022000000}" uniqueName="34" name="亚洲占比" queryTableFieldId="34" dataDxfId="123"/>
    <tableColumn id="35" xr3:uid="{00000000-0010-0000-1400-000023000000}" uniqueName="35" name="基金占比" queryTableFieldId="35" dataDxfId="122"/>
    <tableColumn id="36" xr3:uid="{00000000-0010-0000-1400-000024000000}" uniqueName="36" name="联席全球协调人" queryTableFieldId="36" dataDxfId="121"/>
    <tableColumn id="4" xr3:uid="{00000000-0010-0000-1400-000004000000}" uniqueName="4" name="细分行业" queryTableFieldId="4" dataDxfId="120"/>
    <tableColumn id="10" xr3:uid="{00000000-0010-0000-1400-00000A000000}" uniqueName="10" name="主题债券" queryTableFieldId="10" dataDxfId="119"/>
    <tableColumn id="16" xr3:uid="{00000000-0010-0000-1400-000010000000}" uniqueName="16" name="债项初始评级" queryTableFieldId="16" dataDxfId="118"/>
    <tableColumn id="17" xr3:uid="{00000000-0010-0000-1400-000011000000}" uniqueName="17" name="境内主体评级" queryTableFieldId="17" dataDxfId="117"/>
    <tableColumn id="3" xr3:uid="{00000000-0010-0000-1400-000003000000}" uniqueName="3" name="行业" queryTableFieldId="3" dataDxfId="116"/>
    <tableColumn id="70" xr3:uid="{D4D745FA-E2EC-49A7-8DD6-A7E0C561075E}" uniqueName="70" name="剩余期限" queryTableFieldId="122" dataDxfId="115"/>
    <tableColumn id="2" xr3:uid="{00000000-0010-0000-1400-000002000000}" uniqueName="2" name="公司类型" queryTableFieldId="2" dataDxfId="114"/>
    <tableColumn id="11" xr3:uid="{00000000-0010-0000-1400-00000B000000}" uniqueName="11" name="评级类型" queryTableFieldId="11" dataDxfId="113"/>
    <tableColumn id="73" xr3:uid="{EC155D5D-7034-4D98-AE8E-9FD72DE0014F}" uniqueName="73" name="投资者账户数" queryTableFieldId="123" dataDxfId="112"/>
    <tableColumn id="74" xr3:uid="{F3AEB759-21B8-4CF1-A6A6-D6587E7B0569}" uniqueName="74" name="投资者类型" queryTableFieldId="124" dataDxfId="111"/>
    <tableColumn id="75" xr3:uid="{8379EAC2-F6FB-4868-9327-F4926D5314B2}" uniqueName="75" name="投资者分布" queryTableFieldId="125" dataDxfId="110"/>
    <tableColumn id="76" xr3:uid="{99F5C9BF-819A-4B74-90A6-3D912D600F26}" uniqueName="76" name="筹款用途" queryTableFieldId="126" dataDxfId="109"/>
    <tableColumn id="37" xr3:uid="{00000000-0010-0000-1400-000025000000}" uniqueName="37" name="ticker" queryTableFieldId="37" dataDxfId="108"/>
    <tableColumn id="38" xr3:uid="{00000000-0010-0000-1400-000026000000}" uniqueName="38" name="债券最新面值" queryTableFieldId="38" dataDxfId="107"/>
    <tableColumn id="40" xr3:uid="{00000000-0010-0000-1400-000028000000}" uniqueName="40" name="起息日期" queryTableFieldId="40" dataDxfId="106"/>
    <tableColumn id="39" xr3:uid="{00000000-0010-0000-1400-000027000000}" uniqueName="39" name="债券余额" queryTableFieldId="39" dataDxfId="105"/>
    <tableColumn id="41" xr3:uid="{00000000-0010-0000-1400-000029000000}" uniqueName="41" name="行权兑付日" queryTableFieldId="41" dataDxfId="104"/>
    <tableColumn id="42" xr3:uid="{00000000-0010-0000-1400-00002A000000}" uniqueName="42" name="最新票面利率" queryTableFieldId="42" dataDxfId="103"/>
    <tableColumn id="43" xr3:uid="{00000000-0010-0000-1400-00002B000000}" uniqueName="43" name="计息基准" queryTableFieldId="43" dataDxfId="102"/>
    <tableColumn id="44" xr3:uid="{00000000-0010-0000-1400-00002C000000}" uniqueName="44" name="首次付息日" queryTableFieldId="44" dataDxfId="101"/>
    <tableColumn id="45" xr3:uid="{00000000-0010-0000-1400-00002D000000}" uniqueName="45" name="发行人" queryTableFieldId="45" dataDxfId="100"/>
    <tableColumn id="46" xr3:uid="{00000000-0010-0000-1400-00002E000000}" uniqueName="46" name="担保人" queryTableFieldId="46" dataDxfId="99"/>
    <tableColumn id="47" xr3:uid="{00000000-0010-0000-1400-00002F000000}" uniqueName="47" name="发行起始日" queryTableFieldId="47" dataDxfId="98"/>
    <tableColumn id="77" xr3:uid="{96AB1C8E-595F-43D9-A802-E2A6579CD92F}" uniqueName="77" name="定价_DMI" queryTableFieldId="136" dataDxfId="97"/>
    <tableColumn id="48" xr3:uid="{00000000-0010-0000-1400-000030000000}" uniqueName="48" name="上市日期" queryTableFieldId="48" dataDxfId="96"/>
    <tableColumn id="49" xr3:uid="{00000000-0010-0000-1400-000031000000}" uniqueName="49" name="特殊条款说明" queryTableFieldId="49" dataDxfId="95"/>
    <tableColumn id="50" xr3:uid="{00000000-0010-0000-1400-000032000000}" uniqueName="50" name="牵头经办人" queryTableFieldId="50" dataDxfId="94"/>
    <tableColumn id="78" xr3:uid="{A0CF3BD1-5FCF-4795-AF10-20DDD23A6110}" uniqueName="78" name="联席账簿管理人" queryTableFieldId="128" dataDxfId="93"/>
    <tableColumn id="51" xr3:uid="{00000000-0010-0000-1400-000033000000}" uniqueName="51" name="是否永续债" queryTableFieldId="51" dataDxfId="92"/>
    <tableColumn id="52" xr3:uid="{00000000-0010-0000-1400-000034000000}" uniqueName="52" name="是否存单" queryTableFieldId="52" dataDxfId="91"/>
    <tableColumn id="53" xr3:uid="{00000000-0010-0000-1400-000035000000}" uniqueName="53" name="利率类型" queryTableFieldId="53" dataDxfId="90"/>
    <tableColumn id="54" xr3:uid="{00000000-0010-0000-1400-000036000000}" uniqueName="54" name="交易状态" queryTableFieldId="54" dataDxfId="89"/>
    <tableColumn id="55" xr3:uid="{00000000-0010-0000-1400-000037000000}" uniqueName="55" name="债券类型" queryTableFieldId="55" dataDxfId="88"/>
    <tableColumn id="56" xr3:uid="{00000000-0010-0000-1400-000038000000}" uniqueName="56" name="特殊条款" queryTableFieldId="56" dataDxfId="87"/>
    <tableColumn id="57" xr3:uid="{00000000-0010-0000-1400-000039000000}" uniqueName="57" name="付息频率" queryTableFieldId="57" dataDxfId="86"/>
    <tableColumn id="58" xr3:uid="{00000000-0010-0000-1400-00003A000000}" uniqueName="58" name="维好协议提供者" queryTableFieldId="58" dataDxfId="85"/>
    <tableColumn id="71" xr3:uid="{00000000-0010-0000-1400-000047000000}" uniqueName="71" name="地区" queryTableFieldId="91" dataDxfId="84"/>
    <tableColumn id="60" xr3:uid="{FFDB6495-96BB-4A1F-8A95-F7E651B4C829}" uniqueName="60" name="亿美元" queryTableFieldId="100" dataDxfId="83"/>
    <tableColumn id="64" xr3:uid="{8A4D7B30-87EA-4608-AF0A-57BD31C54E25}" uniqueName="64" name="亿元" queryTableFieldId="105" dataDxfId="82"/>
    <tableColumn id="69" xr3:uid="{CF2B540E-0281-473E-8195-E64D9272102B}" uniqueName="69" name="亿港币" queryTableFieldId="120" dataDxfId="81"/>
    <tableColumn id="79" xr3:uid="{4D5A05D7-BD47-4CF2-BA37-25E4CD582264}" uniqueName="79" name="注册成立地" queryTableFieldId="140" dataDxfId="80"/>
    <tableColumn id="63" xr3:uid="{222E9603-970D-4782-9F61-BA306470C980}" uniqueName="63" name="补充OMAS updates" queryTableFieldId="111" dataDxfId="79"/>
    <tableColumn id="65" xr3:uid="{80765AA5-3F0E-470B-9194-548C15E96FE2}" uniqueName="65" name="定价息差" queryTableFieldId="112" dataDxfId="78"/>
    <tableColumn id="66" xr3:uid="{835384CB-5EA1-4AA5-80C7-6E7A7E31992D}" uniqueName="66" name="发行评级" queryTableFieldId="113" dataDxfId="77"/>
    <tableColumn id="68" xr3:uid="{3FAE810C-DBB1-4EA1-887E-C959C6AEE507}" uniqueName="68" name="主体评级" queryTableFieldId="114" dataDxfId="76"/>
    <tableColumn id="59" xr3:uid="{00000000-0010-0000-1400-00003B000000}" uniqueName="59" name="Check" queryTableFieldId="59" dataDxfId="75"/>
    <tableColumn id="61" xr3:uid="{C8615552-A40D-44A0-968D-B22B635B4874}" uniqueName="61" name="IS_FIMTN" queryTableFieldId="109" dataDxfId="74"/>
  </tableColumns>
  <tableStyleInfo name="Qry Load" showFirstColumn="0" showLastColumn="0" showRowStripes="0"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AE104A2-68B4-43DE-A626-D8C1F553DB0E}" name="Table_WeeklyFIMTN" displayName="Table_WeeklyFIMTN" ref="A5:J6" tableType="queryTable" insertRow="1" totalsRowShown="0">
  <autoFilter ref="A5:J6" xr:uid="{6AE104A2-68B4-43DE-A626-D8C1F553DB0E}">
    <filterColumn colId="0" hiddenButton="1"/>
    <filterColumn colId="1" hiddenButton="1"/>
    <filterColumn colId="2" hiddenButton="1"/>
    <filterColumn colId="3" hiddenButton="1"/>
    <filterColumn colId="4" hiddenButton="1"/>
    <filterColumn colId="5" hiddenButton="1"/>
    <filterColumn colId="7" hiddenButton="1"/>
  </autoFilter>
  <tableColumns count="10">
    <tableColumn id="2" xr3:uid="{1BDBF4C9-A94A-4461-8D96-48885513318D}" uniqueName="2" name="定价日" queryTableFieldId="2" dataDxfId="162"/>
    <tableColumn id="3" xr3:uid="{A4050823-CF41-4CB7-9327-CCA27CCCD0E4}" uniqueName="3" name="ISIN" queryTableFieldId="3" dataDxfId="161"/>
    <tableColumn id="4" xr3:uid="{9D24D768-6BC8-4791-8E2E-C86E5BF82512}" uniqueName="4" name="债券简称" queryTableFieldId="4" dataDxfId="160"/>
    <tableColumn id="5" xr3:uid="{B89E485D-90FD-42CA-8E06-07E227BFAC56}" uniqueName="5" name="年期" queryTableFieldId="5" dataDxfId="159"/>
    <tableColumn id="6" xr3:uid="{48E5A60E-B3FA-4455-ABB7-055B82F3F12D}" uniqueName="6" name="亿美元" queryTableFieldId="6" dataDxfId="158"/>
    <tableColumn id="7" xr3:uid="{E1A849A5-2B7E-46F5-AA30-62AB73378003}" uniqueName="7" name="货币" queryTableFieldId="7" dataDxfId="157"/>
    <tableColumn id="1" xr3:uid="{21EC3522-50EE-494B-B37E-A2DBB3CAFDF6}" uniqueName="1" name="板块" queryTableFieldId="12" dataDxfId="156"/>
    <tableColumn id="9" xr3:uid="{8518B990-BE3D-498F-99C1-D5BB48BDB6F4}" uniqueName="9" name="评级分类" queryTableFieldId="9" dataDxfId="155"/>
    <tableColumn id="10" xr3:uid="{B1604B6E-D553-4497-BF5C-15D6A76CC790}" uniqueName="10" name="品种" queryTableFieldId="10" dataDxfId="154"/>
    <tableColumn id="11" xr3:uid="{CE10F02A-05E7-45BB-9E38-F4B08F95D57D}" uniqueName="11" name="按年" queryTableFieldId="11" dataDxfId="153"/>
  </tableColumns>
  <tableStyleInfo name="Qry Load 4" showFirstColumn="0" showLastColumn="0" showRowStripes="0"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6000000}" name="headers_review" displayName="headers_review" ref="A5:A33" tableType="queryTable" totalsRowShown="0">
  <autoFilter ref="A5:A33" xr:uid="{00000000-0009-0000-0100-000028000000}">
    <filterColumn colId="0" hiddenButton="1"/>
  </autoFilter>
  <tableColumns count="1">
    <tableColumn id="1" xr3:uid="{00000000-0010-0000-1600-000001000000}" uniqueName="1" name="headers_review" queryTableFieldId="1" dataDxfId="410"/>
  </tableColumns>
  <tableStyleInfo name="Qry Load"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7000000}" name="ForReview_wCurated" displayName="ForReview_wCurated" ref="C5:AD10" tableType="queryTable" totalsRowShown="0">
  <autoFilter ref="C5:AD10" xr:uid="{00000000-0009-0000-0100-00002F000000}"/>
  <tableColumns count="28">
    <tableColumn id="1" xr3:uid="{00000000-0010-0000-1700-000001000000}" uniqueName="1" name="定价日" queryTableFieldId="1" dataDxfId="57"/>
    <tableColumn id="2" xr3:uid="{00000000-0010-0000-1700-000002000000}" uniqueName="2" name="信用主体" queryTableFieldId="2" dataDxfId="56"/>
    <tableColumn id="4" xr3:uid="{00000000-0010-0000-1700-000004000000}" uniqueName="4" name="主体评级" queryTableFieldId="36" dataDxfId="55"/>
    <tableColumn id="6" xr3:uid="{00000000-0010-0000-1700-000006000000}" uniqueName="6" name="发行评级" queryTableFieldId="6" dataDxfId="54"/>
    <tableColumn id="7" xr3:uid="{2AB1CDE9-E882-4295-83A6-A23F593BD389}" uniqueName="7" name="发行架构" queryTableFieldId="108" dataDxfId="53"/>
    <tableColumn id="30" xr3:uid="{510F9677-E5E7-4EF2-B231-02CFB970A361}" uniqueName="30" name="备证行" queryTableFieldId="71" dataDxfId="52"/>
    <tableColumn id="8" xr3:uid="{00000000-0010-0000-1700-000008000000}" uniqueName="8" name="货币" queryTableFieldId="8" dataDxfId="51"/>
    <tableColumn id="9" xr3:uid="{00000000-0010-0000-1700-000009000000}" uniqueName="9" name="发行规模(亿)" queryTableFieldId="9" dataDxfId="50"/>
    <tableColumn id="5" xr3:uid="{A465A109-439B-46CC-B8D9-8536815366D7}" uniqueName="5" name="年期" queryTableFieldId="52" dataDxfId="49"/>
    <tableColumn id="11" xr3:uid="{00000000-0010-0000-1700-00000B000000}" uniqueName="11" name="票息" queryTableFieldId="11" dataDxfId="48"/>
    <tableColumn id="12" xr3:uid="{00000000-0010-0000-1700-00000C000000}" uniqueName="12" name="IPG" queryTableFieldId="12" dataDxfId="47"/>
    <tableColumn id="13" xr3:uid="{00000000-0010-0000-1700-00000D000000}" uniqueName="13" name="FPG" queryTableFieldId="13" dataDxfId="46"/>
    <tableColumn id="14" xr3:uid="{00000000-0010-0000-1700-00000E000000}" uniqueName="14" name="收窄基点" queryTableFieldId="14" dataDxfId="45"/>
    <tableColumn id="15" xr3:uid="{E24E777A-D49C-4B3E-93AA-DFAEBA57F42B}" uniqueName="15" name="ESG" queryTableFieldId="55" dataDxfId="44"/>
    <tableColumn id="20" xr3:uid="{7E19D719-1D4A-42E1-9F7A-3CD7D5DA6A44}" uniqueName="20" name="FEATURED" queryTableFieldId="57" dataDxfId="43"/>
    <tableColumn id="33" xr3:uid="{F7F8C15B-103F-4121-B909-0AA998B5A268}" uniqueName="33" name="上市" queryTableFieldId="73" dataDxfId="42"/>
    <tableColumn id="31" xr3:uid="{FFCE47EB-D5CF-4D34-81FA-065EDA65F5D5}" uniqueName="31" name="增发判定" queryTableFieldId="72" dataDxfId="41"/>
    <tableColumn id="25" xr3:uid="{00000000-0010-0000-1700-000019000000}" uniqueName="25" name="定价" queryTableFieldId="25" dataDxfId="40"/>
    <tableColumn id="26" xr3:uid="{00000000-0010-0000-1700-00001A000000}" uniqueName="26" name="定价基准" queryTableFieldId="26" dataDxfId="39"/>
    <tableColumn id="27" xr3:uid="{00000000-0010-0000-1700-00001B000000}" uniqueName="27" name="发行票面利率" queryTableFieldId="27" dataDxfId="38"/>
    <tableColumn id="32" xr3:uid="{00000000-0010-0000-1700-000020000000}" uniqueName="32" name="境内主体评级" queryTableFieldId="32" dataDxfId="37"/>
    <tableColumn id="3" xr3:uid="{0D8767D9-8A3E-4DE0-A81A-BA74924ABBE9}" uniqueName="3" name="通过分行" queryTableFieldId="80" dataDxfId="36"/>
    <tableColumn id="34" xr3:uid="{54CE4E1B-194A-4B7A-8136-018BFA61D12B}" uniqueName="34" name="期限备注" queryTableFieldId="82" dataDxfId="35"/>
    <tableColumn id="35" xr3:uid="{00000000-0010-0000-1700-000023000000}" uniqueName="35" name="ISIN" queryTableFieldId="35" dataDxfId="34"/>
    <tableColumn id="23" xr3:uid="{00000000-0010-0000-1700-000017000000}" uniqueName="23" name="亿美元" queryTableFieldId="23" dataDxfId="33"/>
    <tableColumn id="24" xr3:uid="{00000000-0010-0000-1700-000018000000}" uniqueName="24" name="亿元" queryTableFieldId="24" dataDxfId="32"/>
    <tableColumn id="21" xr3:uid="{02205151-A1BC-4641-96CA-0A9C736A8B39}" uniqueName="21" name="亿港币" queryTableFieldId="84" dataDxfId="31"/>
    <tableColumn id="19" xr3:uid="{00000000-0010-0000-1700-000013000000}" uniqueName="19" name="Check" queryTableFieldId="49" dataDxfId="30"/>
  </tableColumns>
  <tableStyleInfo name="Qry Load"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8000000}" name="ForReview_wBOCOM" displayName="ForReview_wBOCOM" ref="AH5:AW8" tableType="queryTable" totalsRowShown="0" headerRowDxfId="409" dataDxfId="408">
  <autoFilter ref="AH5:AW8" xr:uid="{00000000-0009-0000-0100-000013000000}"/>
  <tableColumns count="16">
    <tableColumn id="4" xr3:uid="{00000000-0010-0000-1800-000004000000}" uniqueName="4" name="信用主体" queryTableFieldId="4" dataDxfId="73"/>
    <tableColumn id="1" xr3:uid="{00000000-0010-0000-1800-000001000000}" uniqueName="1" name="Check" queryTableFieldId="1" dataDxfId="72"/>
    <tableColumn id="2" xr3:uid="{00000000-0010-0000-1800-000002000000}" uniqueName="2" name="ISIN" queryTableFieldId="2" dataDxfId="71"/>
    <tableColumn id="3" xr3:uid="{00000000-0010-0000-1800-000003000000}" uniqueName="3" name="定价日" queryTableFieldId="3" dataDxfId="70"/>
    <tableColumn id="18" xr3:uid="{CE8319FC-590C-4EDF-A68D-FBC91063B4F2}" uniqueName="18" name="台账序号" queryTableFieldId="38" dataDxfId="69"/>
    <tableColumn id="8" xr3:uid="{00000000-0010-0000-1800-000008000000}" uniqueName="8" name="COVERAGE" queryTableFieldId="16" dataDxfId="68"/>
    <tableColumn id="10" xr3:uid="{00000000-0010-0000-1800-00000A000000}" uniqueName="10" name="Project Name" queryTableFieldId="22" dataDxfId="67"/>
    <tableColumn id="12" xr3:uid="{00000000-0010-0000-1800-00000C000000}" uniqueName="12" name="新规角色" queryTableFieldId="12" dataDxfId="66"/>
    <tableColumn id="9" xr3:uid="{00000000-0010-0000-1800-000009000000}" uniqueName="9" name="PROJECT_CODE" queryTableFieldId="17" dataDxfId="65"/>
    <tableColumn id="15" xr3:uid="{00000000-0010-0000-1800-00000F000000}" uniqueName="15" name="期数" queryTableFieldId="15" dataDxfId="64"/>
    <tableColumn id="5" xr3:uid="{00000000-0010-0000-1800-000005000000}" uniqueName="5" name="BISL_ROLE" queryTableFieldId="5" dataDxfId="63"/>
    <tableColumn id="6" xr3:uid="{00000000-0010-0000-1800-000006000000}" uniqueName="6" name="港分_ROLE" queryTableFieldId="20" dataDxfId="62"/>
    <tableColumn id="7" xr3:uid="{00000000-0010-0000-1800-000007000000}" uniqueName="7" name="澳分_ROLE" queryTableFieldId="21" dataDxfId="61"/>
    <tableColumn id="11" xr3:uid="{00000000-0010-0000-1800-00000B000000}" uniqueName="11" name="IS_LEAD" queryTableFieldId="30" dataDxfId="60"/>
    <tableColumn id="13" xr3:uid="{00000000-0010-0000-1800-00000D000000}" uniqueName="13" name="IS_B&amp;D" queryTableFieldId="31" dataDxfId="59"/>
    <tableColumn id="14" xr3:uid="{00000000-0010-0000-1800-00000E000000}" uniqueName="14" name="是否合名" queryTableFieldId="32" dataDxfId="58"/>
  </tableColumns>
  <tableStyleInfo name="Qry Load 4"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19000000}" name="ForReview_wCredit" displayName="ForReview_wCredit" ref="AI11:AL12" tableType="queryTable" insertRow="1" totalsRowShown="0">
  <autoFilter ref="AI11:AL12" xr:uid="{00000000-0009-0000-0100-00000F000000}"/>
  <tableColumns count="4">
    <tableColumn id="1" xr3:uid="{00000000-0010-0000-1900-000001000000}" uniqueName="1" name="信用主体" queryTableFieldId="1"/>
    <tableColumn id="3" xr3:uid="{00000000-0010-0000-1900-000003000000}" uniqueName="3" name="SHORTNAMER" queryTableFieldId="3"/>
    <tableColumn id="2" xr3:uid="{067E2B2D-938B-409B-BBB9-BD65FC38D959}" uniqueName="2" name="中资属性" queryTableFieldId="6"/>
    <tableColumn id="4" xr3:uid="{5D8C0826-4749-4B80-BE52-B2AE7B522193}" uniqueName="4" name="板块" queryTableFieldId="8"/>
  </tableColumns>
  <tableStyleInfo name="review 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A000000}" name="tbl_review" displayName="tbl_review" ref="A3:AB26" totalsRowShown="0" headerRowDxfId="407" dataDxfId="406">
  <autoFilter ref="A3:AB26" xr:uid="{00000000-0009-0000-0100-00000B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autoFilter>
  <tableColumns count="28">
    <tableColumn id="1" xr3:uid="{00000000-0010-0000-1A00-000001000000}" name="定价日" dataDxfId="405"/>
    <tableColumn id="2" xr3:uid="{00000000-0010-0000-1A00-000002000000}" name="信用主体" dataDxfId="404"/>
    <tableColumn id="3" xr3:uid="{00000000-0010-0000-1A00-000003000000}" name="主体评级" dataDxfId="403"/>
    <tableColumn id="4" xr3:uid="{00000000-0010-0000-1A00-000004000000}" name="发行评级" dataDxfId="402"/>
    <tableColumn id="5" xr3:uid="{00000000-0010-0000-1A00-000005000000}" name="结构" dataDxfId="401"/>
    <tableColumn id="6" xr3:uid="{00000000-0010-0000-1A00-000006000000}" name="备证行" dataDxfId="400"/>
    <tableColumn id="7" xr3:uid="{00000000-0010-0000-1A00-000007000000}" name="货币" dataDxfId="399"/>
    <tableColumn id="8" xr3:uid="{00000000-0010-0000-1A00-000008000000}" name="发行规模(亿)" dataDxfId="398"/>
    <tableColumn id="9" xr3:uid="{00000000-0010-0000-1A00-000009000000}" name="年期" dataDxfId="397"/>
    <tableColumn id="10" xr3:uid="{00000000-0010-0000-1A00-00000A000000}" name="票息" dataDxfId="396"/>
    <tableColumn id="11" xr3:uid="{00000000-0010-0000-1A00-00000B000000}" name="IPG" dataDxfId="395"/>
    <tableColumn id="12" xr3:uid="{00000000-0010-0000-1A00-00000C000000}" name="FPG" dataDxfId="394"/>
    <tableColumn id="13" xr3:uid="{00000000-0010-0000-1A00-00000D000000}" name="收窄基点" dataDxfId="393"/>
    <tableColumn id="16" xr3:uid="{00000000-0010-0000-1A00-000010000000}" name="ESG" dataDxfId="392"/>
    <tableColumn id="17" xr3:uid="{00000000-0010-0000-1A00-000011000000}" name="FEATURED" dataDxfId="391"/>
    <tableColumn id="18" xr3:uid="{00000000-0010-0000-1A00-000012000000}" name="上市" dataDxfId="390"/>
    <tableColumn id="19" xr3:uid="{00000000-0010-0000-1A00-000013000000}" name="增发判定" dataDxfId="389"/>
    <tableColumn id="14" xr3:uid="{00000000-0010-0000-1A00-00000E000000}" name="定价" dataDxfId="388"/>
    <tableColumn id="15" xr3:uid="{00000000-0010-0000-1A00-00000F000000}" name="定价基准" dataDxfId="387"/>
    <tableColumn id="20" xr3:uid="{00000000-0010-0000-1A00-000014000000}" name="发行票面利率" dataDxfId="386"/>
    <tableColumn id="21" xr3:uid="{00000000-0010-0000-1A00-000015000000}" name="境内主体评级" dataDxfId="385"/>
    <tableColumn id="22" xr3:uid="{00000000-0010-0000-1A00-000016000000}" name="通过分行" dataDxfId="384"/>
    <tableColumn id="23" xr3:uid="{00000000-0010-0000-1A00-000017000000}" name="期限备注" dataDxfId="383"/>
    <tableColumn id="24" xr3:uid="{00000000-0010-0000-1A00-000018000000}" name="ISIN" dataDxfId="382"/>
    <tableColumn id="25" xr3:uid="{00000000-0010-0000-1A00-000019000000}" name="亿美元" dataDxfId="381"/>
    <tableColumn id="26" xr3:uid="{00000000-0010-0000-1A00-00001A000000}" name="亿元" dataDxfId="380"/>
    <tableColumn id="27" xr3:uid="{00000000-0010-0000-1A00-00001B000000}" name="亿港币" dataDxfId="379"/>
    <tableColumn id="28" xr3:uid="{00000000-0010-0000-1A00-00001C000000}" name="Check" dataDxfId="378"/>
  </tableColumns>
  <tableStyleInfo name="review"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B000000}" name="tbl_review_BISL" displayName="tbl_review_BISL" ref="AE3:AT11" totalsRowShown="0" headerRowDxfId="377">
  <tableColumns count="16">
    <tableColumn id="1" xr3:uid="{00000000-0010-0000-1B00-000001000000}" name="信用主体"/>
    <tableColumn id="2" xr3:uid="{00000000-0010-0000-1B00-000002000000}" name="Check"/>
    <tableColumn id="3" xr3:uid="{00000000-0010-0000-1B00-000003000000}" name="ISIN" dataDxfId="376"/>
    <tableColumn id="4" xr3:uid="{00000000-0010-0000-1B00-000004000000}" name="定价日"/>
    <tableColumn id="5" xr3:uid="{00000000-0010-0000-1B00-000005000000}" name="台账序号" dataDxfId="375"/>
    <tableColumn id="6" xr3:uid="{00000000-0010-0000-1B00-000006000000}" name="COVERAGE" dataDxfId="374"/>
    <tableColumn id="7" xr3:uid="{00000000-0010-0000-1B00-000007000000}" name="Project Name" dataDxfId="373"/>
    <tableColumn id="8" xr3:uid="{00000000-0010-0000-1B00-000008000000}" name="新规角色" dataDxfId="372"/>
    <tableColumn id="9" xr3:uid="{00000000-0010-0000-1B00-000009000000}" name="PROJECT_CODE" dataDxfId="371"/>
    <tableColumn id="10" xr3:uid="{00000000-0010-0000-1B00-00000A000000}" name="期数" dataDxfId="370"/>
    <tableColumn id="11" xr3:uid="{00000000-0010-0000-1B00-00000B000000}" name="BISL_ROLE" dataDxfId="369"/>
    <tableColumn id="12" xr3:uid="{00000000-0010-0000-1B00-00000C000000}" name="港分_ROLE" dataDxfId="368"/>
    <tableColumn id="13" xr3:uid="{00000000-0010-0000-1B00-00000D000000}" name="澳分_ROLE" dataDxfId="367"/>
    <tableColumn id="14" xr3:uid="{00000000-0010-0000-1B00-00000E000000}" name="IS_LEAD" dataDxfId="366"/>
    <tableColumn id="15" xr3:uid="{00000000-0010-0000-1B00-00000F000000}" name="IS_B&amp;D" dataDxfId="365"/>
    <tableColumn id="16" xr3:uid="{4944CEE3-9CA6-4C3E-8070-375A0A0EC795}" name="是否合名" dataDxfId="364"/>
  </tableColumns>
  <tableStyleInfo name="review"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1C000000}" name="tbl_review_shortname" displayName="tbl_review_shortname" ref="AW3:AZ10" totalsRowShown="0" headerRowDxfId="363">
  <autoFilter ref="AW3:AZ10" xr:uid="{00000000-0009-0000-0100-00000A000000}">
    <filterColumn colId="0" hiddenButton="1"/>
    <filterColumn colId="1" hiddenButton="1"/>
    <filterColumn colId="2" hiddenButton="1"/>
    <filterColumn colId="3" hiddenButton="1"/>
  </autoFilter>
  <tableColumns count="4">
    <tableColumn id="1" xr3:uid="{00000000-0010-0000-1C00-000001000000}" name="信用主体"/>
    <tableColumn id="2" xr3:uid="{00000000-0010-0000-1C00-000002000000}" name="SHORTNAMER"/>
    <tableColumn id="3" xr3:uid="{00000000-0010-0000-1C00-000003000000}" name="中资属性" dataDxfId="362"/>
    <tableColumn id="4" xr3:uid="{00000000-0010-0000-1C00-000004000000}" name="板块" dataDxfId="361"/>
  </tableColumns>
  <tableStyleInfo name="review"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20000000}" name="charts" displayName="charts" ref="A5:J10" tableType="queryTable" totalsRowShown="0">
  <autoFilter ref="A5:J10" xr:uid="{00000000-0009-0000-0100-00002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2000-000001000000}" uniqueName="1" name="定价日" queryTableFieldId="1" dataDxfId="322"/>
    <tableColumn id="2" xr3:uid="{00000000-0010-0000-2000-000002000000}" uniqueName="2" name="ISIN" queryTableFieldId="2" dataDxfId="321"/>
    <tableColumn id="3" xr3:uid="{00000000-0010-0000-2000-000003000000}" uniqueName="3" name="债券简称" queryTableFieldId="3" dataDxfId="320"/>
    <tableColumn id="4" xr3:uid="{00000000-0010-0000-2000-000004000000}" uniqueName="4" name="年期" queryTableFieldId="4" dataDxfId="319"/>
    <tableColumn id="5" xr3:uid="{00000000-0010-0000-2000-000005000000}" uniqueName="5" name="亿美元" queryTableFieldId="5" dataDxfId="318"/>
    <tableColumn id="10" xr3:uid="{4DD127ED-3CFA-482D-824F-8996B3B2FF61}" uniqueName="10" name="货币" queryTableFieldId="10" dataDxfId="317"/>
    <tableColumn id="11" xr3:uid="{736609AE-728A-49BC-8EC6-3BE5EAB61E97}" uniqueName="11" name="板块" queryTableFieldId="12" dataDxfId="316"/>
    <tableColumn id="7" xr3:uid="{00000000-0010-0000-2000-000007000000}" uniqueName="7" name="评级分类" queryTableFieldId="7" dataDxfId="315"/>
    <tableColumn id="8" xr3:uid="{00000000-0010-0000-2000-000008000000}" uniqueName="8" name="品种" queryTableFieldId="8" dataDxfId="314"/>
    <tableColumn id="9" xr3:uid="{00000000-0010-0000-2000-000009000000}" uniqueName="9" name="按年" queryTableFieldId="9" dataDxfId="313"/>
  </tableColumns>
  <tableStyleInfo name="Qry Load 4"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1D000000}" name="Table_graph_weeklydeal" displayName="Table_graph_weeklydeal" ref="P5:AF10" tableType="queryTable" totalsRowShown="0">
  <autoFilter ref="P5:AF10" xr:uid="{00000000-0009-0000-0100-000004000000}"/>
  <tableColumns count="17">
    <tableColumn id="2" xr3:uid="{00000000-0010-0000-1D00-000002000000}" uniqueName="2" name="Index" queryTableFieldId="39" dataDxfId="308"/>
    <tableColumn id="33" xr3:uid="{00000000-0010-0000-1D00-000021000000}" uniqueName="33" name="ISIN" queryTableFieldId="33" dataDxfId="307"/>
    <tableColumn id="1" xr3:uid="{00000000-0010-0000-1D00-000001000000}" uniqueName="1" name="定价日" queryTableFieldId="1" dataDxfId="306"/>
    <tableColumn id="3" xr3:uid="{00000000-0010-0000-1D00-000003000000}" uniqueName="3" name="信用主体(备证行)" queryTableFieldId="40" dataDxfId="305"/>
    <tableColumn id="7" xr3:uid="{00000000-0010-0000-1D00-000007000000}" uniqueName="7" name="发行评级" queryTableFieldId="7" dataDxfId="304"/>
    <tableColumn id="9" xr3:uid="{00000000-0010-0000-1D00-000009000000}" uniqueName="9" name="货币" queryTableFieldId="9" dataDxfId="303"/>
    <tableColumn id="10" xr3:uid="{00000000-0010-0000-1D00-00000A000000}" uniqueName="10" name="发行规模(亿)" queryTableFieldId="10" dataDxfId="302"/>
    <tableColumn id="11" xr3:uid="{00000000-0010-0000-1D00-00000B000000}" uniqueName="11" name="年期" queryTableFieldId="11" dataDxfId="301"/>
    <tableColumn id="12" xr3:uid="{00000000-0010-0000-1D00-00000C000000}" uniqueName="12" name="票息" queryTableFieldId="12" dataDxfId="300"/>
    <tableColumn id="13" xr3:uid="{00000000-0010-0000-1D00-00000D000000}" uniqueName="13" name="IPG" queryTableFieldId="13" dataDxfId="299"/>
    <tableColumn id="15" xr3:uid="{00000000-0010-0000-1D00-00000F000000}" uniqueName="15" name="收窄基点" queryTableFieldId="15" dataDxfId="298"/>
    <tableColumn id="16" xr3:uid="{00000000-0010-0000-1D00-000010000000}" uniqueName="16" name="结构" queryTableFieldId="16" dataDxfId="297"/>
    <tableColumn id="17" xr3:uid="{00000000-0010-0000-1D00-000011000000}" uniqueName="17" name="主题" queryTableFieldId="17" dataDxfId="296"/>
    <tableColumn id="4" xr3:uid="{FA4F2C95-A39F-499C-B714-9F3BFC490D1F}" uniqueName="4" name="板块" queryTableFieldId="113"/>
    <tableColumn id="19" xr3:uid="{00000000-0010-0000-1D00-000013000000}" uniqueName="19" name="地区" queryTableFieldId="19" dataDxfId="295"/>
    <tableColumn id="38" xr3:uid="{00000000-0010-0000-1D00-000026000000}" uniqueName="38" name="BOCOM_DEAL?" queryTableFieldId="38" dataDxfId="294"/>
    <tableColumn id="23" xr3:uid="{00000000-0010-0000-1D00-000017000000}" uniqueName="23" name="亿美元" queryTableFieldId="52" dataDxfId="293"/>
  </tableColumns>
  <tableStyleInfo name="Qry Load 5"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25000000}" name="writer_fi" displayName="writer_fi" ref="A4:F5" tableType="queryTable" totalsRowShown="0" headerRowDxfId="360" dataDxfId="359">
  <autoFilter ref="A4:F5" xr:uid="{00000000-0009-0000-0100-000020000000}"/>
  <tableColumns count="6">
    <tableColumn id="12" xr3:uid="{00000000-0010-0000-2500-00000C000000}" uniqueName="12" name="Index" queryTableFieldId="32"/>
    <tableColumn id="2" xr3:uid="{DC9FDCD3-4D4A-4186-A5C9-F5B48634CAC0}" uniqueName="2" name="板块" queryTableFieldId="182"/>
    <tableColumn id="19" xr3:uid="{00000000-0010-0000-2500-000013000000}" uniqueName="19" name="货币" queryTableFieldId="39"/>
    <tableColumn id="52" xr3:uid="{AB26975F-D9EA-48BA-ABD9-CE520C3C1B20}" uniqueName="52" name="信用主体(备证行)" queryTableFieldId="101"/>
    <tableColumn id="8" xr3:uid="{00000000-0010-0000-2500-000008000000}" uniqueName="8" name="描述" queryTableFieldId="14"/>
    <tableColumn id="1" xr3:uid="{AAB49F9D-B49B-4DF6-8D13-D7CB4D93209D}" uniqueName="1" name="Stats描述" queryTableFieldId="180" dataDxfId="358"/>
  </tableColumns>
  <tableStyleInfo name="Qry Load 5"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writer_CNH" displayName="writer_CNH" ref="A9:F11" tableType="queryTable" totalsRowShown="0" headerRowDxfId="357" dataDxfId="356">
  <autoFilter ref="A9:F11" xr:uid="{00000000-0009-0000-0100-000024000000}"/>
  <tableColumns count="6">
    <tableColumn id="12" xr3:uid="{00000000-0010-0000-2300-00000C000000}" uniqueName="12" name="Index" queryTableFieldId="22" dataDxfId="355"/>
    <tableColumn id="2" xr3:uid="{6DD35146-7DF1-4CCE-9356-C22B108F4F39}" uniqueName="2" name="板块" queryTableFieldId="214"/>
    <tableColumn id="3" xr3:uid="{00000000-0010-0000-2300-000003000000}" uniqueName="3" name="货币" queryTableFieldId="3" dataDxfId="354"/>
    <tableColumn id="52" xr3:uid="{747DCABA-F2CB-44A1-BB61-12F09EA77A65}" uniqueName="52" name="信用主体(备证行)" queryTableFieldId="74" dataDxfId="353"/>
    <tableColumn id="5" xr3:uid="{00000000-0010-0000-2300-000005000000}" uniqueName="5" name="描述" queryTableFieldId="5" dataDxfId="352"/>
    <tableColumn id="1" xr3:uid="{DCE0C678-7429-4B20-B919-874EAF955EBE}" uniqueName="1" name="Stats描述" queryTableFieldId="213" dataDxfId="351"/>
  </tableColumns>
  <tableStyleInfo name="Qry Load 5"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24000000}" name="writer_NotCNH" displayName="writer_NotCNH" ref="A16:F18" tableType="queryTable" totalsRowShown="0" headerRowDxfId="350" dataDxfId="349">
  <autoFilter ref="A16:F18" xr:uid="{00000000-0009-0000-0100-000026000000}"/>
  <tableColumns count="6">
    <tableColumn id="11" xr3:uid="{00000000-0010-0000-2400-00000B000000}" uniqueName="11" name="Index" queryTableFieldId="22" dataDxfId="348"/>
    <tableColumn id="2" xr3:uid="{2E4D374C-6CDD-42F1-B20B-3BBE7554D480}" uniqueName="2" name="板块" queryTableFieldId="31"/>
    <tableColumn id="3" xr3:uid="{00000000-0010-0000-2400-000003000000}" uniqueName="3" name="货币" queryTableFieldId="3" dataDxfId="347"/>
    <tableColumn id="1" xr3:uid="{2E389034-2B87-4958-B802-5B79867D001B}" uniqueName="1" name="信用主体(备证行)" queryTableFieldId="27" dataDxfId="346"/>
    <tableColumn id="5" xr3:uid="{00000000-0010-0000-2400-000005000000}" uniqueName="5" name="描述" queryTableFieldId="5" dataDxfId="345"/>
    <tableColumn id="4" xr3:uid="{16F5A068-483F-4DF8-A04E-F4CBC2061169}" uniqueName="4" name="Stats描述" queryTableFieldId="30" dataDxfId="344"/>
  </tableColumns>
  <tableStyleInfo name="Qry Load 5"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26000000}" name="ECON" displayName="ECON" ref="A12:O27" tableType="queryTable" totalsRowShown="0">
  <autoFilter ref="A12:O27" xr:uid="{00000000-0009-0000-0100-00002C000000}"/>
  <sortState ref="A13:O27">
    <sortCondition descending="1" ref="I12:I27"/>
  </sortState>
  <tableColumns count="15">
    <tableColumn id="1" xr3:uid="{00000000-0010-0000-2600-000001000000}" uniqueName="1" name="Date" queryTableFieldId="1" dataDxfId="14"/>
    <tableColumn id="13" xr3:uid="{00000000-0010-0000-2600-00000D000000}" uniqueName="13" name="Region" queryTableFieldId="13" dataDxfId="13"/>
    <tableColumn id="3" xr3:uid="{00000000-0010-0000-2600-000003000000}" uniqueName="3" name="Event" queryTableFieldId="3" dataDxfId="12"/>
    <tableColumn id="14" xr3:uid="{00000000-0010-0000-2600-00000E000000}" uniqueName="14" name="Period" queryTableFieldId="14" dataDxfId="11"/>
    <tableColumn id="5" xr3:uid="{00000000-0010-0000-2600-000005000000}" uniqueName="5" name="Survey" queryTableFieldId="5" dataDxfId="10"/>
    <tableColumn id="6" xr3:uid="{00000000-0010-0000-2600-000006000000}" uniqueName="6" name="Actual" queryTableFieldId="6" dataDxfId="9"/>
    <tableColumn id="7" xr3:uid="{00000000-0010-0000-2600-000007000000}" uniqueName="7" name="Prior" queryTableFieldId="7" dataDxfId="8"/>
    <tableColumn id="8" xr3:uid="{00000000-0010-0000-2600-000008000000}" uniqueName="8" name="Revised" queryTableFieldId="8" dataDxfId="7"/>
    <tableColumn id="9" xr3:uid="{00000000-0010-0000-2600-000009000000}" uniqueName="9" name="Relevance" queryTableFieldId="9" dataDxfId="6"/>
    <tableColumn id="10" xr3:uid="{00000000-0010-0000-2600-00000A000000}" uniqueName="10" name="Ticker" queryTableFieldId="10" dataDxfId="5"/>
    <tableColumn id="11" xr3:uid="{00000000-0010-0000-2600-00000B000000}" uniqueName="11" name="Time" queryTableFieldId="11" dataDxfId="4"/>
    <tableColumn id="15" xr3:uid="{00000000-0010-0000-2600-00000F000000}" uniqueName="15" name="Table" queryTableFieldId="15" dataDxfId="3"/>
    <tableColumn id="17" xr3:uid="{00000000-0010-0000-2600-000011000000}" uniqueName="17" name="区间" queryTableFieldId="22" dataDxfId="2"/>
    <tableColumn id="18" xr3:uid="{00000000-0010-0000-2600-000012000000}" uniqueName="18" name="范围" queryTableFieldId="23" dataDxfId="1"/>
    <tableColumn id="16" xr3:uid="{00000000-0010-0000-2600-000010000000}" uniqueName="16" name="上周主要经济数据" queryTableFieldId="16" dataDxfId="0"/>
  </tableColumns>
  <tableStyleInfo name="Qry Load 5"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27000000}" name="input_econ" displayName="input_econ" ref="B2:G8" totalsRowShown="0" headerRowDxfId="343" dataDxfId="342">
  <autoFilter ref="B2:G8" xr:uid="{24589828-60FF-4B5D-BC74-4E07AE81626F}"/>
  <sortState ref="B3:G8">
    <sortCondition ref="D2:D8"/>
  </sortState>
  <tableColumns count="6">
    <tableColumn id="6" xr3:uid="{00000000-0010-0000-2700-000006000000}" name="Index" dataDxfId="341"/>
    <tableColumn id="1" xr3:uid="{00000000-0010-0000-2700-000001000000}" name="上周主要经济数据" dataDxfId="340"/>
    <tableColumn id="2" xr3:uid="{00000000-0010-0000-2700-000002000000}" name="发布(HKT) " dataDxfId="339">
      <calculatedColumnFormula>IFERROR(INDEX(ECON[Date],MATCH(input_econ[[#This Row],[上周主要经济数据]],ECON[上周主要经济数据],0)),"")</calculatedColumnFormula>
    </tableColumn>
    <tableColumn id="3" xr3:uid="{00000000-0010-0000-2700-000003000000}" name="前值" dataDxfId="338">
      <calculatedColumnFormula>IFERROR(INDEX(ECON[Prior],MATCH(input_econ[[#This Row],[上周主要经济数据]],ECON[上周主要经济数据],0)),"")</calculatedColumnFormula>
    </tableColumn>
    <tableColumn id="4" xr3:uid="{00000000-0010-0000-2700-000004000000}" name="预期" dataDxfId="337">
      <calculatedColumnFormula>IFERROR(INDEX(ECON[Survey],MATCH(input_econ[[#This Row],[上周主要经济数据]],ECON[上周主要经济数据],0)),"")</calculatedColumnFormula>
    </tableColumn>
    <tableColumn id="5" xr3:uid="{00000000-0010-0000-2700-000005000000}" name="现值" dataDxfId="336">
      <calculatedColumnFormula>IFERROR(INDEX(ECON[Actual],MATCH(input_econ[[#This Row],[上周主要经济数据]],ECON[上周主要经济数据],0)),"")</calculatedColumnFormula>
    </tableColumn>
  </tableColumns>
  <tableStyleInfo name="Qry Load 5"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28000000}" name="FUTURE" displayName="FUTURE" ref="A10:O27" tableType="queryTable" totalsRowShown="0">
  <autoFilter ref="A10:O27" xr:uid="{00000000-0009-0000-0100-000010000000}"/>
  <sortState ref="A11:O27">
    <sortCondition descending="1" ref="I10:I27"/>
  </sortState>
  <tableColumns count="15">
    <tableColumn id="1" xr3:uid="{00000000-0010-0000-2800-000001000000}" uniqueName="1" name="Date" queryTableFieldId="1" dataDxfId="29"/>
    <tableColumn id="2" xr3:uid="{00000000-0010-0000-2800-000002000000}" uniqueName="2" name="Region" queryTableFieldId="2" dataDxfId="28"/>
    <tableColumn id="3" xr3:uid="{00000000-0010-0000-2800-000003000000}" uniqueName="3" name="Event" queryTableFieldId="3" dataDxfId="27"/>
    <tableColumn id="4" xr3:uid="{00000000-0010-0000-2800-000004000000}" uniqueName="4" name="Period" queryTableFieldId="4" dataDxfId="26"/>
    <tableColumn id="5" xr3:uid="{00000000-0010-0000-2800-000005000000}" uniqueName="5" name="Survey" queryTableFieldId="5" dataDxfId="25"/>
    <tableColumn id="6" xr3:uid="{00000000-0010-0000-2800-000006000000}" uniqueName="6" name="Actual" queryTableFieldId="6" dataDxfId="24"/>
    <tableColumn id="7" xr3:uid="{00000000-0010-0000-2800-000007000000}" uniqueName="7" name="Prior" queryTableFieldId="7" dataDxfId="23"/>
    <tableColumn id="8" xr3:uid="{00000000-0010-0000-2800-000008000000}" uniqueName="8" name="Revised" queryTableFieldId="8" dataDxfId="22"/>
    <tableColumn id="9" xr3:uid="{00000000-0010-0000-2800-000009000000}" uniqueName="9" name="Relevance" queryTableFieldId="9" dataDxfId="21"/>
    <tableColumn id="10" xr3:uid="{00000000-0010-0000-2800-00000A000000}" uniqueName="10" name="Ticker" queryTableFieldId="10" dataDxfId="20"/>
    <tableColumn id="11" xr3:uid="{00000000-0010-0000-2800-00000B000000}" uniqueName="11" name="Time" queryTableFieldId="11" dataDxfId="19"/>
    <tableColumn id="12" xr3:uid="{00000000-0010-0000-2800-00000C000000}" uniqueName="12" name="Table" queryTableFieldId="12" dataDxfId="18"/>
    <tableColumn id="14" xr3:uid="{00000000-0010-0000-2800-00000E000000}" uniqueName="14" name="区间" queryTableFieldId="14" dataDxfId="17"/>
    <tableColumn id="15" xr3:uid="{00000000-0010-0000-2800-00000F000000}" uniqueName="15" name="范围" queryTableFieldId="15" dataDxfId="16"/>
    <tableColumn id="16" xr3:uid="{00000000-0010-0000-2800-000010000000}" uniqueName="16" name="未来一周主要经济数据" queryTableFieldId="16" dataDxfId="15"/>
  </tableColumns>
  <tableStyleInfo name="Qry Load 3"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29000000}" name="input_future" displayName="input_future" ref="B2:F8" totalsRowShown="0" headerRowDxfId="335" dataDxfId="334">
  <autoFilter ref="B2:F8" xr:uid="{00000000-0009-0000-0100-000012000000}"/>
  <sortState ref="B3:F8">
    <sortCondition ref="D2:D8"/>
  </sortState>
  <tableColumns count="5">
    <tableColumn id="6" xr3:uid="{00000000-0010-0000-2900-000006000000}" name="Index" dataDxfId="333"/>
    <tableColumn id="1" xr3:uid="{00000000-0010-0000-2900-000001000000}" name="未来一周主要经济数据" dataDxfId="332"/>
    <tableColumn id="2" xr3:uid="{00000000-0010-0000-2900-000002000000}" name="预计发布(HKT) " dataDxfId="331">
      <calculatedColumnFormula>IFERROR(INDEX(FUTURE[Date],MATCH(input_future[[#This Row],[未来一周主要经济数据]],FUTURE[未来一周主要经济数据],0)),"")</calculatedColumnFormula>
    </tableColumn>
    <tableColumn id="3" xr3:uid="{00000000-0010-0000-2900-000003000000}" name="前值" dataDxfId="330">
      <calculatedColumnFormula>IFERROR(INDEX(FUTURE[Prior],MATCH(input_future[[#This Row],[未来一周主要经济数据]],FUTURE[未来一周主要经济数据],0)),"")</calculatedColumnFormula>
    </tableColumn>
    <tableColumn id="4" xr3:uid="{00000000-0010-0000-2900-000004000000}" name="预期" dataDxfId="329">
      <calculatedColumnFormula>IFERROR(INDEX(FUTURE[Survey],MATCH(input_future[[#This Row],[未来一周主要经济数据]],FUTURE[未来一周主要经济数据],0)),"")</calculatedColumnFormula>
    </tableColumn>
  </tableColumns>
  <tableStyleInfo name="Qry Load 3"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2A000000}" name="tbl_extra_isin" displayName="tbl_extra_isin" ref="E1:H26" totalsRowShown="0" headerRowDxfId="328" dataDxfId="327">
  <autoFilter ref="E1:H26" xr:uid="{00000000-0009-0000-0100-000008000000}">
    <filterColumn colId="0" hiddenButton="1"/>
    <filterColumn colId="1" hiddenButton="1"/>
    <filterColumn colId="2" hiddenButton="1"/>
    <filterColumn colId="3" hiddenButton="1"/>
  </autoFilter>
  <tableColumns count="4">
    <tableColumn id="1" xr3:uid="{00000000-0010-0000-2A00-000001000000}" name="List" dataDxfId="326"/>
    <tableColumn id="2" xr3:uid="{00000000-0010-0000-2A00-000002000000}" name="Example" dataDxfId="325" dataCellStyle="For Input"/>
    <tableColumn id="3" xr3:uid="{00000000-0010-0000-2A00-000003000000}" name="Extra ISIN" dataDxfId="324" dataCellStyle="For Input"/>
    <tableColumn id="4" xr3:uid="{00000000-0010-0000-2A00-000004000000}" name="Extra ISIN 1" dataDxfId="323" dataCellStyle="For Input"/>
  </tableColumns>
  <tableStyleInfo name="Qry Source"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760A78EB-B646-4F10-831A-D22B21A96B57}" name="Table_dmi" displayName="Table_dmi" ref="A5:BQ10" tableType="queryTable" totalsRowShown="0">
  <autoFilter ref="A5:BQ10" xr:uid="{760A78EB-B646-4F10-831A-D22B21A96B57}"/>
  <tableColumns count="69">
    <tableColumn id="1" xr3:uid="{65CE1E33-8359-4C0B-9221-1E30F7E1CEF4}" uniqueName="1" name="信用主体" queryTableFieldId="1" dataDxfId="231"/>
    <tableColumn id="70" xr3:uid="{64E83C1A-313C-476B-9170-F901A2817E01}" uniqueName="70" name="英文简称" queryTableFieldId="275" dataDxfId="230"/>
    <tableColumn id="9" xr3:uid="{6CF5A73E-65DE-485F-A790-2A65D986DCCA}" uniqueName="9" name="ISIN" queryTableFieldId="9" dataDxfId="229"/>
    <tableColumn id="12" xr3:uid="{2FAEB098-B99A-49BC-8F9E-60BB22B8B1A8}" uniqueName="12" name="定价日" queryTableFieldId="12" dataDxfId="228"/>
    <tableColumn id="8" xr3:uid="{5ABB02D5-4AA9-47AD-B0BA-BE18B2B3C4DE}" uniqueName="8" name="债券简称" queryTableFieldId="8" dataDxfId="227"/>
    <tableColumn id="13" xr3:uid="{5E4165C1-E3B4-48D3-8D3A-10EB35D470E0}" uniqueName="13" name="穆迪/标普" queryTableFieldId="13" dataDxfId="226"/>
    <tableColumn id="14" xr3:uid="{D0CD7E0A-5738-4057-9BC0-77E832B4C25E}" uniqueName="14" name="主体评级展望" queryTableFieldId="14" dataDxfId="225"/>
    <tableColumn id="15" xr3:uid="{32ECF4B7-EF13-4935-98C6-7E853C1916B9}" uniqueName="15" name="债项评级" queryTableFieldId="15" dataDxfId="224"/>
    <tableColumn id="27" xr3:uid="{00C79F5A-7701-4B0D-8C7E-8C5F683178C5}" uniqueName="27" name="发行规模(亿)" queryTableFieldId="27" dataDxfId="223"/>
    <tableColumn id="28" xr3:uid="{E7406E52-8977-4808-A788-298B36157479}" uniqueName="28" name="货币" queryTableFieldId="28" dataDxfId="222"/>
    <tableColumn id="29" xr3:uid="{697EF4DB-C377-4637-A8D4-B512822D8F0E}" uniqueName="29" name="发行期限(年)" queryTableFieldId="29" dataDxfId="221"/>
    <tableColumn id="24" xr3:uid="{C9BEE45D-13D4-48FD-AF33-804F14801843}" uniqueName="24" name="发行票面利率" queryTableFieldId="116" dataDxfId="220"/>
    <tableColumn id="19" xr3:uid="{4C2677D7-B95D-4CBD-97D0-A324C689DECD}" uniqueName="19" name="兑付日" queryTableFieldId="19" dataDxfId="219"/>
    <tableColumn id="31" xr3:uid="{9394B226-D977-440D-BBB4-696AAAD92014}" uniqueName="31" name="发行场所" queryTableFieldId="31" dataDxfId="218"/>
    <tableColumn id="20" xr3:uid="{140F0A6F-50E8-4D1A-8A9F-8D00CEE04850}" uniqueName="20" name="IPT_DMI" queryTableFieldId="20" dataDxfId="217"/>
    <tableColumn id="21" xr3:uid="{536CD873-CE57-4DE2-A54F-18E33D004325}" uniqueName="21" name="FPG_DMI" queryTableFieldId="21" dataDxfId="216"/>
    <tableColumn id="22" xr3:uid="{82FAF641-AB3E-4935-B71A-3C539F35361C}" uniqueName="22" name="收窄幅度(bp)" queryTableFieldId="22" dataDxfId="215"/>
    <tableColumn id="23" xr3:uid="{50116619-6391-40C5-AAE1-F0D778876139}" uniqueName="23" name="发行方式" queryTableFieldId="23" dataDxfId="214"/>
    <tableColumn id="69" xr3:uid="{66B79F56-B661-4ED8-8D3C-3F444AAC1C7D}" uniqueName="69" name="发行架构" queryTableFieldId="78" dataDxfId="213"/>
    <tableColumn id="25" xr3:uid="{89B2DB1E-4CFE-4140-9A07-0F1E43F6C9AC}" uniqueName="25" name="SBLC提供者" queryTableFieldId="25" dataDxfId="212"/>
    <tableColumn id="26" xr3:uid="{C94A4441-8480-4C30-99DA-F2FF91A5E801}" uniqueName="26" name="偿还顺位" queryTableFieldId="26" dataDxfId="211"/>
    <tableColumn id="30" xr3:uid="{6BA1C82B-55CF-4344-AFEE-FD6746AB9A6C}" uniqueName="30" name="发行价" queryTableFieldId="30" dataDxfId="210"/>
    <tableColumn id="32" xr3:uid="{A6056AD5-48AD-4001-A74C-ECA77FC26CB2}" uniqueName="32" name="首日涨跌" queryTableFieldId="32" dataDxfId="209"/>
    <tableColumn id="5" xr3:uid="{FFD49085-9527-4367-B0C2-2E8443581C7C}" uniqueName="5" name="省份" queryTableFieldId="5" dataDxfId="208"/>
    <tableColumn id="6" xr3:uid="{851B0F66-A6A0-4EE3-AEC3-02593C4D8B13}" uniqueName="6" name="城市" queryTableFieldId="6" dataDxfId="207"/>
    <tableColumn id="7" xr3:uid="{015C4268-F544-4F8B-A375-27371977DA3A}" uniqueName="7" name="区县" queryTableFieldId="7" dataDxfId="206"/>
    <tableColumn id="33" xr3:uid="{072BF78A-2040-4CCF-95BA-462ACF02A26B}" uniqueName="33" name="认购额(亿)" queryTableFieldId="33" dataDxfId="205"/>
    <tableColumn id="34" xr3:uid="{79315342-FB4B-48FA-9D0E-BB5182F1342A}" uniqueName="34" name="认购倍数" queryTableFieldId="34" dataDxfId="204"/>
    <tableColumn id="35" xr3:uid="{3B7B9C0D-05D5-4554-9DD5-4648FC9FD35A}" uniqueName="35" name="亚洲占比" queryTableFieldId="35" dataDxfId="203"/>
    <tableColumn id="36" xr3:uid="{7E161805-3582-4E8B-AD1E-8D44C6578511}" uniqueName="36" name="基金占比" queryTableFieldId="36" dataDxfId="202"/>
    <tableColumn id="37" xr3:uid="{678B1454-0186-4392-9084-8A4631663D07}" uniqueName="37" name="联席全球协调人" queryTableFieldId="37" dataDxfId="201"/>
    <tableColumn id="4" xr3:uid="{F2F32A9C-87BC-497A-A806-ABCC694FD9DD}" uniqueName="4" name="细分行业" queryTableFieldId="4" dataDxfId="200"/>
    <tableColumn id="10" xr3:uid="{43CE6995-65BA-4391-BADA-3C1BCBA73A55}" uniqueName="10" name="主题债券" queryTableFieldId="10" dataDxfId="199"/>
    <tableColumn id="16" xr3:uid="{31CB77BA-C75C-4904-BE05-EA3D31CB0E8E}" uniqueName="16" name="债项初始评级" queryTableFieldId="16" dataDxfId="198"/>
    <tableColumn id="17" xr3:uid="{EAB58105-9561-4364-BE64-FA9715A8F45D}" uniqueName="17" name="境内主体评级" queryTableFieldId="17" dataDxfId="197"/>
    <tableColumn id="3" xr3:uid="{0D6292F2-14C6-4D00-9C2B-D4771C6FCBEB}" uniqueName="3" name="行业" queryTableFieldId="3" dataDxfId="196"/>
    <tableColumn id="62" xr3:uid="{788704BA-E54A-4436-9FC7-E5EEF473C596}" uniqueName="62" name="剩余期限" queryTableFieldId="62" dataDxfId="195"/>
    <tableColumn id="2" xr3:uid="{D2679A15-B28C-4B9B-90D8-85DA1F060224}" uniqueName="2" name="公司类型" queryTableFieldId="2" dataDxfId="194"/>
    <tableColumn id="11" xr3:uid="{A0E133D3-082C-430A-8830-87B8C99C392A}" uniqueName="11" name="评级类型" queryTableFieldId="11" dataDxfId="193"/>
    <tableColumn id="63" xr3:uid="{EE264CCC-DCFC-4688-9A0B-4A404F87045B}" uniqueName="63" name="投资者账户数" queryTableFieldId="63" dataDxfId="192"/>
    <tableColumn id="64" xr3:uid="{EAE71064-4CB1-4B07-944E-84D6F3C49081}" uniqueName="64" name="投资者类型" queryTableFieldId="64" dataDxfId="191"/>
    <tableColumn id="65" xr3:uid="{E7174B24-DE40-43F6-8633-438CBA936C58}" uniqueName="65" name="投资者分布" queryTableFieldId="65" dataDxfId="190"/>
    <tableColumn id="66" xr3:uid="{CC4128EA-9B08-4BCD-B35C-71CF4AAFA24C}" uniqueName="66" name="筹款用途" queryTableFieldId="66" dataDxfId="189"/>
    <tableColumn id="38" xr3:uid="{975ADB86-B00A-4806-9500-96E93B0E8E67}" uniqueName="38" name="ticker" queryTableFieldId="38" dataDxfId="188"/>
    <tableColumn id="39" xr3:uid="{72AA5BB3-7E54-4DE0-9CE8-13DDE5A6A94C}" uniqueName="39" name="债券最新面值" queryTableFieldId="39" dataDxfId="187"/>
    <tableColumn id="41" xr3:uid="{4BFB0F89-8CA1-4D0F-9EB3-325F7C449AB2}" uniqueName="41" name="起息日期" queryTableFieldId="41" dataDxfId="186"/>
    <tableColumn id="40" xr3:uid="{4EE46BC2-E1CF-462A-A03E-DF0563BE31D9}" uniqueName="40" name="债券余额" queryTableFieldId="40" dataDxfId="185"/>
    <tableColumn id="42" xr3:uid="{2E685F7F-FFBA-484A-A377-6390F6A585BE}" uniqueName="42" name="行权兑付日" queryTableFieldId="42" dataDxfId="184"/>
    <tableColumn id="43" xr3:uid="{7A00E475-6904-4819-BC88-02B7AD3D67B7}" uniqueName="43" name="最新票面利率" queryTableFieldId="43" dataDxfId="183"/>
    <tableColumn id="44" xr3:uid="{0E120977-4EC2-4818-BC4D-6CCE5264355E}" uniqueName="44" name="计息基准" queryTableFieldId="44" dataDxfId="182"/>
    <tableColumn id="45" xr3:uid="{1C61FECB-9E8B-4B0A-A577-E0EADEE6ACB0}" uniqueName="45" name="首次付息日" queryTableFieldId="45" dataDxfId="181"/>
    <tableColumn id="46" xr3:uid="{20F5098B-FF11-4DA0-A626-7DF045DB0FB3}" uniqueName="46" name="发行人" queryTableFieldId="46" dataDxfId="180"/>
    <tableColumn id="47" xr3:uid="{17C9AFD4-5642-48EA-8D06-494AAC11A915}" uniqueName="47" name="担保人" queryTableFieldId="47" dataDxfId="179"/>
    <tableColumn id="48" xr3:uid="{E3D34E72-CB63-4E18-AED9-A3EC74CFDD3C}" uniqueName="48" name="发行起始日" queryTableFieldId="48" dataDxfId="178"/>
    <tableColumn id="67" xr3:uid="{AD599695-8522-46E7-B118-DE2179D8EA71}" uniqueName="67" name="定价_DMI" queryTableFieldId="67" dataDxfId="177"/>
    <tableColumn id="49" xr3:uid="{1682CF98-DB54-47C3-8A44-144BB70D0821}" uniqueName="49" name="上市日期" queryTableFieldId="49" dataDxfId="176"/>
    <tableColumn id="50" xr3:uid="{2215B6A7-05C9-4C6B-8AE1-E60AE330BE07}" uniqueName="50" name="特殊条款说明" queryTableFieldId="50" dataDxfId="175"/>
    <tableColumn id="51" xr3:uid="{E59ECFC4-F0C9-41B1-9733-1AEB70C7437B}" uniqueName="51" name="牵头经办人" queryTableFieldId="51" dataDxfId="174"/>
    <tableColumn id="68" xr3:uid="{DDA77D44-FA04-425D-9DA1-4DAB31A61BB6}" uniqueName="68" name="联席账簿管理人" queryTableFieldId="68" dataDxfId="173"/>
    <tableColumn id="52" xr3:uid="{A98F2AA1-AD8E-4BE7-8B74-C3458DC2EC64}" uniqueName="52" name="是否永续债" queryTableFieldId="52" dataDxfId="172"/>
    <tableColumn id="53" xr3:uid="{74446647-F415-46DC-A41C-CE06D819E843}" uniqueName="53" name="是否存单" queryTableFieldId="53" dataDxfId="171"/>
    <tableColumn id="54" xr3:uid="{D1474CED-58C4-4A46-81D9-D99210D02234}" uniqueName="54" name="利率类型" queryTableFieldId="54" dataDxfId="170"/>
    <tableColumn id="55" xr3:uid="{40CC185A-EE88-4DE1-8A90-03B8F737740F}" uniqueName="55" name="交易状态" queryTableFieldId="55" dataDxfId="169"/>
    <tableColumn id="56" xr3:uid="{6CE7EEB7-7E14-4960-892D-D2B4A752EA7F}" uniqueName="56" name="债券类型" queryTableFieldId="56" dataDxfId="168"/>
    <tableColumn id="57" xr3:uid="{145EA911-7D60-43D2-854F-080D2E91B1E5}" uniqueName="57" name="特殊条款" queryTableFieldId="57" dataDxfId="167"/>
    <tableColumn id="58" xr3:uid="{019381F3-72FB-4C5F-9AB8-FA53CD073BE5}" uniqueName="58" name="付息频率" queryTableFieldId="58" dataDxfId="166"/>
    <tableColumn id="59" xr3:uid="{C8D1AF04-7E6F-4D88-B06F-C8310837A162}" uniqueName="59" name="维好协议提供者" queryTableFieldId="59" dataDxfId="165"/>
    <tableColumn id="60" xr3:uid="{92CFA544-119D-46AF-AD53-05E6F7709CB5}" uniqueName="60" name="地区" queryTableFieldId="60" dataDxfId="164"/>
    <tableColumn id="61" xr3:uid="{EFAB649D-F0FE-4812-A2D5-2D3BCB496CCA}" uniqueName="61" name="Check" queryTableFieldId="61" dataDxfId="163"/>
  </tableColumns>
  <tableStyleInfo name="Qry Load"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679C65D-7F6A-4598-8413-1F8EB9AAFBB2}" name="BBGcorp" displayName="BBGcorp" ref="A5:L6" tableType="queryTable" insertRow="1" totalsRowShown="0">
  <autoFilter ref="A5:L6" xr:uid="{FD7ECA0B-0FF6-411A-8C06-812B258A1B50}"/>
  <tableColumns count="12">
    <tableColumn id="1" xr3:uid="{708FCF03-69E0-45CA-8914-D229D5C86DFC}" uniqueName="1" name="Index" queryTableFieldId="1" dataDxfId="264"/>
    <tableColumn id="2" xr3:uid="{C3F732B3-45FA-4844-A166-E4D90A2FF4A7}" uniqueName="2" name="定价日" queryTableFieldId="2" dataDxfId="263"/>
    <tableColumn id="3" xr3:uid="{693984F3-D10B-45D9-B70A-607684C923C4}" uniqueName="3" name="ISIN" queryTableFieldId="3" dataDxfId="262"/>
    <tableColumn id="4" xr3:uid="{B82F24B2-2DE7-431E-BEF8-F7696535CFF8}" uniqueName="4" name="补充OMAS updates" queryTableFieldId="4" dataDxfId="261"/>
    <tableColumn id="5" xr3:uid="{51954C56-B4CD-447B-A9B9-324865237CD6}" uniqueName="5" name="发行评级" queryTableFieldId="5" dataDxfId="260"/>
    <tableColumn id="6" xr3:uid="{AED08928-756A-48CC-A444-204CF6809787}" uniqueName="6" name="发行人注册地" queryTableFieldId="6" dataDxfId="259"/>
    <tableColumn id="7" xr3:uid="{A5B0308D-B1F8-4208-A561-DF94E20F0BAA}" uniqueName="7" name="主体评级" queryTableFieldId="7" dataDxfId="258"/>
    <tableColumn id="8" xr3:uid="{8DD9D5B0-06FC-4925-B90A-757DFCE21989}" uniqueName="8" name="定价息差" queryTableFieldId="8" dataDxfId="257"/>
    <tableColumn id="9" xr3:uid="{6E3DDE2C-C376-4E7A-80DB-DA717BE2BC0D}" uniqueName="9" name="浮息息差" queryTableFieldId="9" dataDxfId="256"/>
    <tableColumn id="10" xr3:uid="{FB6745CE-81E9-4406-ACE4-86067C25D3F3}" uniqueName="10" name="Check" queryTableFieldId="10" dataDxfId="255"/>
    <tableColumn id="11" xr3:uid="{5DB9999E-F7D2-433B-8890-B1C56C19BF69}" uniqueName="11" name="债项BBG" queryTableFieldId="11" dataDxfId="254"/>
    <tableColumn id="12" xr3:uid="{A644B0B6-8830-44E1-848F-4DD23B0FA826}" uniqueName="12" name="主体BBG" queryTableFieldId="12" dataDxfId="253"/>
  </tableColumns>
  <tableStyleInfo name="Qry Load"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8122B9D-D88A-4417-A590-C14D4FEDCC2B}" name="台账23" displayName="台账23" ref="A5:H7" tableType="queryTable" totalsRowShown="0">
  <autoFilter ref="A5:H7" xr:uid="{78CB3706-FAC2-467E-9AB9-E7D9BDB149B1}"/>
  <tableColumns count="8">
    <tableColumn id="1" xr3:uid="{452685CD-B6AF-41B0-9DCA-05BCB9D70F7E}" uniqueName="1" name="Project Name" queryTableFieldId="1" dataDxfId="239"/>
    <tableColumn id="2" xr3:uid="{986CDE42-782A-49E7-91BC-67A8850799D0}" uniqueName="2" name="ISIN" queryTableFieldId="2" dataDxfId="238"/>
    <tableColumn id="3" xr3:uid="{61325DEE-E54D-4931-99A5-C22FE3CF3CB3}" uniqueName="3" name="项目名称（集团全称）" queryTableFieldId="3" dataDxfId="237"/>
    <tableColumn id="4" xr3:uid="{6444732D-9545-4654-97A1-5FB2111E8A94}" uniqueName="4" name="台账序号" queryTableFieldId="4" dataDxfId="236"/>
    <tableColumn id="5" xr3:uid="{0F08114E-4D0F-44F0-ABEC-1B6A077D3B97}" uniqueName="5" name="担任角色" queryTableFieldId="5" dataDxfId="235"/>
    <tableColumn id="6" xr3:uid="{3D2B4DC5-D21C-4000-9D31-864D1C6A7896}" uniqueName="6" name="新规角色" queryTableFieldId="6" dataDxfId="234"/>
    <tableColumn id="7" xr3:uid="{AAF702ED-6B9D-4AB7-B165-E5357C3BC81D}" uniqueName="7" name="COVERAGE" queryTableFieldId="7" dataDxfId="233"/>
    <tableColumn id="8" xr3:uid="{7627D9B7-40E3-4CE4-A8E1-8C41A826F986}" uniqueName="8" name="项目定价日" queryTableFieldId="8" dataDxfId="232"/>
  </tableColumns>
  <tableStyleInfo name="review 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F3CEA282-4DD0-444D-8E1A-CD6CC475A516}" name="WST" displayName="WST" ref="A5:M8" tableType="queryTable" totalsRowShown="0">
  <autoFilter ref="A5:M8" xr:uid="{5F9F53E5-3FF9-4DA7-9FCA-ADC3C794787C}"/>
  <tableColumns count="13">
    <tableColumn id="1" xr3:uid="{73CD5201-082E-498B-9B10-CEEE707D3AE5}" uniqueName="1" name="信用主体" queryTableFieldId="1" dataDxfId="252"/>
    <tableColumn id="2" xr3:uid="{315FC98E-B8F8-486A-B226-FDF59406D65F}" uniqueName="2" name="定价日" queryTableFieldId="2" dataDxfId="251"/>
    <tableColumn id="3" xr3:uid="{B54A3A77-1989-4DFF-8375-331766138419}" uniqueName="3" name="债券名称" queryTableFieldId="3" dataDxfId="250"/>
    <tableColumn id="4" xr3:uid="{0D6706BF-6495-4C1A-A63C-43284EE2FE35}" uniqueName="4" name="ISIN" queryTableFieldId="4" dataDxfId="249"/>
    <tableColumn id="5" xr3:uid="{EB58C7EE-E358-43AD-9703-17A9EDF69E5D}" uniqueName="5" name="发行价" queryTableFieldId="5" dataDxfId="248"/>
    <tableColumn id="6" xr3:uid="{3F74B019-98B1-4372-AF0A-53DC78AB3064}" uniqueName="6" name="初始发行价" queryTableFieldId="6" dataDxfId="247"/>
    <tableColumn id="7" xr3:uid="{0F80C7C4-A7BE-4F40-822B-B7C5F8247FF7}" uniqueName="7" name="认购倍数" queryTableFieldId="7" dataDxfId="246"/>
    <tableColumn id="8" xr3:uid="{28C62948-F18B-4A4D-88AD-A4FC4E6A0737}" uniqueName="8" name="首日表现" queryTableFieldId="8" dataDxfId="245"/>
    <tableColumn id="9" xr3:uid="{C69C4FB6-08B5-45AF-9AF7-4C1F46AAE1AB}" uniqueName="9" name="行业" queryTableFieldId="9" dataDxfId="244"/>
    <tableColumn id="10" xr3:uid="{DC0041C0-4531-4065-B9BF-CD8778A86D35}" uniqueName="10" name="最终订单量/峰值订单（亿美元）" queryTableFieldId="10" dataDxfId="243"/>
    <tableColumn id="11" xr3:uid="{28B7D2D8-085E-4201-8DA8-9CB4698F6516}" uniqueName="11" name="WSTIPT" queryTableFieldId="11" dataDxfId="242"/>
    <tableColumn id="12" xr3:uid="{CF71063B-0A8C-44D6-B40D-94C01A017AA1}" uniqueName="12" name="WSTFPT" queryTableFieldId="12" dataDxfId="241"/>
    <tableColumn id="13" xr3:uid="{FC486DC8-207A-41B0-97F5-FD11AD7CAD15}" uniqueName="13" name="Check" queryTableFieldId="13" dataDxfId="240"/>
  </tableColumns>
  <tableStyleInfo name="Qry Source"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688D936-206D-4D1F-B6DB-3CCA6BF8C461}" name="Table_postreview" displayName="Table_postreview" ref="A4:AS9" tableType="queryTable" totalsRowShown="0">
  <autoFilter ref="A4:AS9" xr:uid="{BED11331-0A79-433D-AD27-4FE128D28EA4}"/>
  <tableColumns count="45">
    <tableColumn id="1" xr3:uid="{791E5B07-BD81-4C7D-914D-F61E0BD81704}" uniqueName="1" name="Index" queryTableFieldId="1"/>
    <tableColumn id="2" xr3:uid="{E4F1AA1A-4561-4DCC-BD36-6E0C0BF9681D}" uniqueName="2" name="信用主体" queryTableFieldId="2"/>
    <tableColumn id="3" xr3:uid="{BCA724F0-8962-4CF8-9F27-DFAB5A7EE57F}" uniqueName="3" name="ISIN" queryTableFieldId="3"/>
    <tableColumn id="4" xr3:uid="{7B86C8AE-E7F7-4B8E-A455-4336C7F9D6D4}" uniqueName="4" name="定价日" queryTableFieldId="4" dataDxfId="288"/>
    <tableColumn id="5" xr3:uid="{8479A384-B664-40C5-817C-35D95E248CA9}" uniqueName="5" name="发行评级" queryTableFieldId="5"/>
    <tableColumn id="6" xr3:uid="{560F1DF2-A9DC-4732-81D4-617CC1DDABEC}" uniqueName="6" name="主体评级" queryTableFieldId="6"/>
    <tableColumn id="7" xr3:uid="{78286578-0202-44D4-898F-7BC8053C30D1}" uniqueName="7" name="境内主体评级" queryTableFieldId="7"/>
    <tableColumn id="8" xr3:uid="{11202A1D-7F53-4AFC-889F-FD580FC6F359}" uniqueName="8" name="货币" queryTableFieldId="8"/>
    <tableColumn id="9" xr3:uid="{00F822E0-673A-426E-97E0-C7C03264A9B7}" uniqueName="9" name="发行规模(亿)" queryTableFieldId="9"/>
    <tableColumn id="10" xr3:uid="{A4600EBC-E807-4C67-B01C-5CD1E3909F2C}" uniqueName="10" name="年期" queryTableFieldId="10"/>
    <tableColumn id="11" xr3:uid="{3882855A-6F78-4733-843C-A5CCC8C71BBE}" uniqueName="11" name="票息" queryTableFieldId="11"/>
    <tableColumn id="12" xr3:uid="{AA7813E9-B7C0-4485-97E4-3E4D3C485DA4}" uniqueName="12" name="IPG" queryTableFieldId="12"/>
    <tableColumn id="13" xr3:uid="{6BC3F1E2-AC4E-42E4-8B1C-4FFDBF40A64D}" uniqueName="13" name="FPG" queryTableFieldId="13"/>
    <tableColumn id="14" xr3:uid="{A56676CE-514E-4236-AF6A-12F9A2068657}" uniqueName="14" name="定价" queryTableFieldId="14"/>
    <tableColumn id="15" xr3:uid="{8DC4F8E2-94E1-4CA7-8249-B35B934BB7A7}" uniqueName="15" name="收窄基点" queryTableFieldId="15"/>
    <tableColumn id="16" xr3:uid="{2A30FA30-EA68-445A-B3B2-07A216AE817C}" uniqueName="16" name="定价基准" queryTableFieldId="16"/>
    <tableColumn id="18" xr3:uid="{68B928C8-F110-4275-943D-B563184CF448}" uniqueName="18" name="发行价" queryTableFieldId="39"/>
    <tableColumn id="17" xr3:uid="{0ACF0E03-B0D4-4057-BF46-E322F4936C17}" uniqueName="17" name="结构" queryTableFieldId="17"/>
    <tableColumn id="19" xr3:uid="{979EE12C-AD42-4833-8A99-EC817C6F2D45}" uniqueName="19" name="上市" queryTableFieldId="19"/>
    <tableColumn id="20" xr3:uid="{E6204F0C-29FB-48D4-9E0E-4731335D7A28}" uniqueName="20" name="港分_ROLE" queryTableFieldId="20"/>
    <tableColumn id="21" xr3:uid="{DBF246C1-9F14-46AE-BBC3-92DB6B28A9F5}" uniqueName="21" name="澳分_ROLE" queryTableFieldId="21"/>
    <tableColumn id="22" xr3:uid="{A427B15A-1E3B-4176-8AAF-3C66C694FA16}" uniqueName="22" name="增发判定" queryTableFieldId="22"/>
    <tableColumn id="26" xr3:uid="{D81B8EC4-1E43-4536-91C9-D9443CB5B5E6}" uniqueName="26" name="付息频率" queryTableFieldId="40"/>
    <tableColumn id="27" xr3:uid="{1B4F1862-A915-4343-BD42-60FE8D9C5914}" uniqueName="27" name="起息日期" queryTableFieldId="41" dataDxfId="287"/>
    <tableColumn id="39" xr3:uid="{63B90420-8840-4507-9FE7-AEEA98D3C1EA}" uniqueName="39" name="首次付息日" queryTableFieldId="42" dataDxfId="286"/>
    <tableColumn id="40" xr3:uid="{BD1F8AC9-D7AC-4D02-8E73-E640E429EA37}" uniqueName="40" name="兑付日" queryTableFieldId="43" dataDxfId="285"/>
    <tableColumn id="23" xr3:uid="{32278D46-AAFB-46AC-B876-F0B2F5B3D38C}" uniqueName="23" name="亿美元" queryTableFieldId="23"/>
    <tableColumn id="24" xr3:uid="{1F885E33-0B82-4272-882B-8A2CC2097721}" uniqueName="24" name="亿元" queryTableFieldId="24"/>
    <tableColumn id="25" xr3:uid="{636B29DB-50B6-49B5-9EE5-519500C5F4C5}" uniqueName="25" name="亿港币" queryTableFieldId="25"/>
    <tableColumn id="41" xr3:uid="{88894D22-D148-449D-8AFE-C1E41A6237D0}" uniqueName="41" name="ticker" queryTableFieldId="44"/>
    <tableColumn id="45" xr3:uid="{D35F78CD-33DF-4BE5-B09E-5792350E6F5E}" uniqueName="45" name="注册成立地" queryTableFieldId="57"/>
    <tableColumn id="42" xr3:uid="{A2CC7DB9-0BC7-4182-BD08-B5982994B9A6}" uniqueName="42" name="发行人" queryTableFieldId="45"/>
    <tableColumn id="43" xr3:uid="{D8401749-5222-4202-B6A6-652D8A1D8E68}" uniqueName="43" name="担保人" queryTableFieldId="46"/>
    <tableColumn id="44" xr3:uid="{38FFC5B5-8532-438A-9D5B-F9205283973B}" uniqueName="44" name="维好协议提供者" queryTableFieldId="47"/>
    <tableColumn id="28" xr3:uid="{636A1BFB-2DD2-4E7A-8C04-E4AD77737D6B}" uniqueName="28" name="备证行" queryTableFieldId="28"/>
    <tableColumn id="29" xr3:uid="{22C55275-6BA9-4912-9032-F35F16DFEF5E}" uniqueName="29" name="ESG" queryTableFieldId="29"/>
    <tableColumn id="30" xr3:uid="{E89FFB45-1C1B-48CF-9DCC-B98D4629418D}" uniqueName="30" name="FEATURED" queryTableFieldId="30"/>
    <tableColumn id="31" xr3:uid="{C11B3DB5-9721-4EF1-B0A1-D0EB6C66C057}" uniqueName="31" name="亮点" queryTableFieldId="31"/>
    <tableColumn id="32" xr3:uid="{DF9610CA-17E8-4B49-910E-BA6EB58E92E6}" uniqueName="32" name="通过分行" queryTableFieldId="32"/>
    <tableColumn id="33" xr3:uid="{F3F9AA75-29DA-43EE-BB6E-5BA6DF5BB1E3}" uniqueName="33" name="期限备注" queryTableFieldId="33"/>
    <tableColumn id="34" xr3:uid="{4A3208F5-5206-4EA3-95FD-A6BD27F0D520}" uniqueName="34" name="SPECIALs" queryTableFieldId="34"/>
    <tableColumn id="35" xr3:uid="{73AAEBCD-2442-42BC-AB08-3A3863CB5C99}" uniqueName="35" name="OTHER_ISIN" queryTableFieldId="35"/>
    <tableColumn id="36" xr3:uid="{61919150-9D6F-4CBE-8719-CA359C7CA25C}" uniqueName="36" name="Updator" queryTableFieldId="36"/>
    <tableColumn id="37" xr3:uid="{CB28926C-FFC9-47EB-9DA3-BF96F8567F5C}" uniqueName="37" name="Timestamp" queryTableFieldId="37"/>
    <tableColumn id="38" xr3:uid="{3EA076FB-AA17-4F08-9B14-AE62CEE4EA94}" uniqueName="38" name="Check" queryTableFieldId="38"/>
  </tableColumns>
  <tableStyleInfo name="Qry Load 3"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21000000}" name="review_shortname" displayName="review_shortname" ref="A4:T6" tableType="queryTable" totalsRowShown="0">
  <autoFilter ref="A4:T6" xr:uid="{00000000-0009-0000-0100-00001E000000}"/>
  <tableColumns count="20">
    <tableColumn id="1" xr3:uid="{839D15CD-929C-426E-BE35-D71776CF4847}" uniqueName="1" name="Index" queryTableFieldId="24" dataDxfId="284"/>
    <tableColumn id="7" xr3:uid="{00000000-0010-0000-2100-000007000000}" uniqueName="7" name="信用主体" queryTableFieldId="7" dataDxfId="283"/>
    <tableColumn id="12" xr3:uid="{D8848C67-C257-40AA-BA2E-11E9707D0C96}" uniqueName="12" name="信用主体简称" queryTableFieldId="25" dataDxfId="282"/>
    <tableColumn id="3" xr3:uid="{B0A40063-19C6-436A-B9D7-8F869CBB7078}" uniqueName="3" name="板块" queryTableFieldId="22" dataDxfId="281"/>
    <tableColumn id="13" xr3:uid="{EF898015-116B-4F44-8180-3FBDA10D157E}" uniqueName="13" name="行业二级" queryTableFieldId="45" dataDxfId="280"/>
    <tableColumn id="4" xr3:uid="{00000000-0010-0000-2100-000004000000}" uniqueName="4" name="地区" queryTableFieldId="4" dataDxfId="279"/>
    <tableColumn id="5" xr3:uid="{00000000-0010-0000-2100-000005000000}" uniqueName="5" name="城市" queryTableFieldId="5" dataDxfId="278"/>
    <tableColumn id="6" xr3:uid="{00000000-0010-0000-2100-000006000000}" uniqueName="6" name="区县" queryTableFieldId="6" dataDxfId="277"/>
    <tableColumn id="14" xr3:uid="{FA0B5668-222B-4765-812C-C03B5B97EC30}" uniqueName="14" name="平台级别" queryTableFieldId="27" dataDxfId="276"/>
    <tableColumn id="2" xr3:uid="{2E2AEFE9-AB5E-4BE5-BAE0-A95DCF912FA9}" uniqueName="2" name="中资属性" queryTableFieldId="12" dataDxfId="275"/>
    <tableColumn id="20" xr3:uid="{0AE5210F-C482-43A4-AC19-BA6841B87837}" uniqueName="20" name="系" queryTableFieldId="56"/>
    <tableColumn id="15" xr3:uid="{9EB1F89B-CC53-4B89-9385-E7B40FF125C7}" uniqueName="15" name="首次违约日" queryTableFieldId="28" dataDxfId="274"/>
    <tableColumn id="11" xr3:uid="{00000000-0010-0000-2100-00000B000000}" uniqueName="11" name="DEBUT_DATE" queryTableFieldId="11" dataDxfId="273"/>
    <tableColumn id="16" xr3:uid="{0B2ECDC0-ECBB-49D2-AE22-30BDCBF42B44}" uniqueName="16" name="曾用名" queryTableFieldId="29" dataDxfId="272"/>
    <tableColumn id="17" xr3:uid="{1E2A9035-C305-4E84-8A00-32F6B16469B0}" uniqueName="17" name="主体备注" queryTableFieldId="30" dataDxfId="271"/>
    <tableColumn id="8" xr3:uid="{00000000-0010-0000-2100-000008000000}" uniqueName="8" name="行业" queryTableFieldId="8" dataDxfId="270"/>
    <tableColumn id="9" xr3:uid="{00000000-0010-0000-2100-000009000000}" uniqueName="9" name="细分行业" queryTableFieldId="9" dataDxfId="269"/>
    <tableColumn id="10" xr3:uid="{00000000-0010-0000-2100-00000A000000}" uniqueName="10" name="公司类型" queryTableFieldId="10" dataDxfId="268"/>
    <tableColumn id="18" xr3:uid="{8745C1D2-A151-43DA-9DB4-BE5C10F1E3EA}" uniqueName="18" name="Updator" queryTableFieldId="31" dataDxfId="267"/>
    <tableColumn id="19" xr3:uid="{DE99903B-F628-4B59-9730-5822264C6BC0}" uniqueName="19" name="Timestamp" queryTableFieldId="32" dataDxfId="266"/>
  </tableColumns>
  <tableStyleInfo name="review 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1F000000}" name="Table_review_BISL" displayName="Table_review_BISL" ref="A5:S7" tableType="queryTable" totalsRowShown="0">
  <autoFilter ref="A5:S7" xr:uid="{00000000-0009-0000-0100-000002000000}"/>
  <tableColumns count="19">
    <tableColumn id="6" xr3:uid="{3411C0CF-976A-4264-975A-7FF83ECA3A4F}" uniqueName="6" name="Index" queryTableFieldId="33"/>
    <tableColumn id="2" xr3:uid="{00000000-0010-0000-1F00-000002000000}" uniqueName="2" name="ISIN" queryTableFieldId="2"/>
    <tableColumn id="3" xr3:uid="{00000000-0010-0000-1F00-000003000000}" uniqueName="3" name="定价日" queryTableFieldId="3"/>
    <tableColumn id="4" xr3:uid="{00000000-0010-0000-1F00-000004000000}" uniqueName="4" name="信用主体" queryTableFieldId="4"/>
    <tableColumn id="5" xr3:uid="{00000000-0010-0000-1F00-000005000000}" uniqueName="5" name="BISL_ROLE" queryTableFieldId="5"/>
    <tableColumn id="12" xr3:uid="{00000000-0010-0000-1F00-00000C000000}" uniqueName="12" name="IS_LEAD" queryTableFieldId="14"/>
    <tableColumn id="14" xr3:uid="{00000000-0010-0000-1F00-00000E000000}" uniqueName="14" name="IS_B&amp;D" queryTableFieldId="15"/>
    <tableColumn id="15" xr3:uid="{00000000-0010-0000-1F00-00000F000000}" uniqueName="15" name="是否合名" queryTableFieldId="16"/>
    <tableColumn id="10" xr3:uid="{00000000-0010-0000-1F00-00000A000000}" uniqueName="10" name="新规角色" queryTableFieldId="10"/>
    <tableColumn id="11" xr3:uid="{00000000-0010-0000-1F00-00000B000000}" uniqueName="11" name="COVERAGE" queryTableFieldId="11"/>
    <tableColumn id="8" xr3:uid="{00000000-0010-0000-1F00-000008000000}" uniqueName="8" name="PROJECT_CODE" queryTableFieldId="8"/>
    <tableColumn id="9" xr3:uid="{00000000-0010-0000-1F00-000009000000}" uniqueName="9" name="期数" queryTableFieldId="9"/>
    <tableColumn id="18" xr3:uid="{BD2A2563-6D0C-4C70-8C7F-DBFEB75BF9F7}" uniqueName="18" name="台账序号" queryTableFieldId="22"/>
    <tableColumn id="7" xr3:uid="{6DE07327-A6E4-4356-AA50-0A878930CEA5}" uniqueName="7" name="多笔" queryTableFieldId="34"/>
    <tableColumn id="13" xr3:uid="{46C7532C-3BEE-4236-939A-E9519058A4F0}" uniqueName="13" name="多币种" queryTableFieldId="35"/>
    <tableColumn id="16" xr3:uid="{A77870FD-F6DE-4CA1-B614-9C21258B5A9A}" uniqueName="16" name="多品种" queryTableFieldId="36"/>
    <tableColumn id="17" xr3:uid="{B157A89E-0608-47B6-B1F4-C5375D9EE80D}" uniqueName="17" name="多期限" queryTableFieldId="37"/>
    <tableColumn id="1" xr3:uid="{00000000-0010-0000-1F00-000001000000}" uniqueName="1" name="Check" queryTableFieldId="1"/>
    <tableColumn id="19" xr3:uid="{21B06EAE-8568-4B4F-9535-B0BA6BEED0CC}" uniqueName="19" name="PRJ对帐号" queryTableFieldId="38"/>
  </tableColumns>
  <tableStyleInfo name="Qry Load 4" showFirstColumn="0" showLastColumn="0" showRowStripes="1" showColumnStripes="0"/>
</table>
</file>

<file path=xl/theme/theme1.xml><?xml version="1.0" encoding="utf-8"?>
<a:theme xmlns:a="http://schemas.openxmlformats.org/drawingml/2006/main" name="BOCOMI DCM">
  <a:themeElements>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Execution">
      <a:majorFont>
        <a:latin typeface="Microsoft JhengHei UI"/>
        <a:ea typeface="Microsoft JhengHei UI"/>
        <a:cs typeface=""/>
      </a:majorFont>
      <a:minorFont>
        <a:latin typeface="Microsoft JhengHei UI"/>
        <a:ea typeface="Microsoft JhengHei U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BOCOMI DCM" id="{6C8F52D0-0E37-4C2F-BA85-5E53D98C4ED5}" vid="{2F00F42E-6EA7-4C9F-B862-BBFEA557747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1.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table" Target="../tables/table17.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table" Target="../tables/table22.xml"/><Relationship Id="rId3" Type="http://schemas.openxmlformats.org/officeDocument/2006/relationships/vmlDrawing" Target="../drawings/vmlDrawing1.vml"/><Relationship Id="rId7" Type="http://schemas.openxmlformats.org/officeDocument/2006/relationships/table" Target="../tables/table21.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25.xml"/><Relationship Id="rId4" Type="http://schemas.openxmlformats.org/officeDocument/2006/relationships/table" Target="../tables/table2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table" Target="../tables/table27.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8.x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30.xml"/><Relationship Id="rId4" Type="http://schemas.openxmlformats.org/officeDocument/2006/relationships/table" Target="../tables/table29.xml"/></Relationships>
</file>

<file path=xl/worksheets/_rels/sheet8.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vmlDrawing" Target="../drawings/vmlDrawing2.vml"/><Relationship Id="rId1" Type="http://schemas.openxmlformats.org/officeDocument/2006/relationships/printerSettings" Target="../printerSettings/printerSettings8.bin"/><Relationship Id="rId5" Type="http://schemas.openxmlformats.org/officeDocument/2006/relationships/comments" Target="../comments2.xml"/><Relationship Id="rId4" Type="http://schemas.openxmlformats.org/officeDocument/2006/relationships/table" Target="../tables/table32.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vmlDrawing" Target="../drawings/vmlDrawing3.vml"/><Relationship Id="rId1" Type="http://schemas.openxmlformats.org/officeDocument/2006/relationships/printerSettings" Target="../printerSettings/printerSettings9.bin"/><Relationship Id="rId5" Type="http://schemas.openxmlformats.org/officeDocument/2006/relationships/comments" Target="../comments3.xml"/><Relationship Id="rId4" Type="http://schemas.openxmlformats.org/officeDocument/2006/relationships/table" Target="../tables/table34.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3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37.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3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9.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drawing" Target="../drawings/drawing7.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drawing" Target="../drawings/drawing8.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M44"/>
  <sheetViews>
    <sheetView zoomScale="115" zoomScaleNormal="115" workbookViewId="0">
      <selection activeCell="M7" sqref="M7:M14"/>
    </sheetView>
  </sheetViews>
  <sheetFormatPr defaultColWidth="8.21875" defaultRowHeight="18.75" customHeight="1" outlineLevelRow="1" x14ac:dyDescent="0.25"/>
  <cols>
    <col min="1" max="1" width="8.109375" style="21" bestFit="1" customWidth="1"/>
    <col min="2" max="2" width="8.109375" style="20" bestFit="1" customWidth="1"/>
    <col min="3" max="3" width="11.44140625" style="21" bestFit="1" customWidth="1"/>
    <col min="4" max="4" width="9.33203125" style="13" bestFit="1" customWidth="1"/>
    <col min="5" max="5" width="9.5546875" style="13" bestFit="1" customWidth="1"/>
    <col min="6" max="6" width="13.5546875" style="13" bestFit="1" customWidth="1"/>
    <col min="7" max="7" width="11.77734375" style="13" bestFit="1" customWidth="1"/>
    <col min="8" max="8" width="15" style="13" bestFit="1" customWidth="1"/>
    <col min="9" max="9" width="9.33203125" style="13" bestFit="1" customWidth="1"/>
    <col min="10" max="10" width="9.21875" style="13" bestFit="1" customWidth="1"/>
    <col min="11" max="12" width="11.109375" style="13" bestFit="1" customWidth="1"/>
    <col min="13" max="13" width="20.44140625" style="13" bestFit="1" customWidth="1"/>
    <col min="14" max="14" width="7.109375" style="13" bestFit="1" customWidth="1"/>
    <col min="15" max="15" width="10.6640625" style="13" bestFit="1" customWidth="1"/>
    <col min="16" max="16" width="7.109375" style="13" bestFit="1" customWidth="1"/>
    <col min="17" max="17" width="7.88671875" style="13" bestFit="1" customWidth="1"/>
    <col min="18" max="18" width="23.109375" style="13" bestFit="1" customWidth="1"/>
    <col min="19" max="19" width="7.21875" style="13" bestFit="1" customWidth="1"/>
    <col min="20" max="20" width="15.5546875" style="13" bestFit="1" customWidth="1"/>
    <col min="21" max="21" width="15.5546875" style="13" customWidth="1"/>
    <col min="22" max="22" width="8.109375" style="13" bestFit="1" customWidth="1"/>
    <col min="23" max="23" width="9" style="13" bestFit="1" customWidth="1"/>
    <col min="24" max="24" width="7.109375" style="13" bestFit="1" customWidth="1"/>
    <col min="25" max="25" width="10.6640625" style="13" bestFit="1" customWidth="1"/>
    <col min="26" max="26" width="7.109375" style="13" bestFit="1" customWidth="1"/>
    <col min="27" max="27" width="15.21875" style="13" bestFit="1" customWidth="1"/>
    <col min="28" max="28" width="7.109375" style="13" bestFit="1" customWidth="1"/>
    <col min="29" max="29" width="5.77734375" style="13" bestFit="1" customWidth="1"/>
    <col min="30" max="30" width="7.109375" style="13" bestFit="1" customWidth="1"/>
    <col min="31" max="16384" width="8.21875" style="13"/>
  </cols>
  <sheetData>
    <row r="1" spans="1:13" ht="18.75" customHeight="1" x14ac:dyDescent="0.25">
      <c r="A1" s="101" t="str">
        <f ca="1" xml:space="preserve"> IF(ISNUMBER(FIND("ktkt2",CELL("filename"))),"Remote",IF(ISNUMBER(FIND("docs.live",CELL("filename"))),"Remote","Global"))</f>
        <v>Global</v>
      </c>
      <c r="B1" s="11"/>
      <c r="C1" s="12"/>
      <c r="D1" s="17"/>
      <c r="E1" s="14"/>
      <c r="F1" s="15"/>
      <c r="G1" s="18"/>
      <c r="H1" s="16"/>
      <c r="I1" s="17"/>
    </row>
    <row r="2" spans="1:13" ht="18.75" customHeight="1" outlineLevel="1" x14ac:dyDescent="0.25">
      <c r="A2" s="13"/>
      <c r="B2" s="13"/>
      <c r="C2" s="13"/>
    </row>
    <row r="3" spans="1:13" ht="18.75" customHeight="1" outlineLevel="1" x14ac:dyDescent="0.25">
      <c r="A3" s="13"/>
      <c r="B3" s="13"/>
      <c r="C3" s="13"/>
    </row>
    <row r="4" spans="1:13" ht="18.75" customHeight="1" outlineLevel="1" x14ac:dyDescent="0.25">
      <c r="A4" s="13"/>
      <c r="B4" s="13"/>
      <c r="C4" s="13"/>
    </row>
    <row r="5" spans="1:13" ht="18.75" customHeight="1" outlineLevel="1" x14ac:dyDescent="0.25">
      <c r="A5" s="20"/>
      <c r="B5" s="21"/>
      <c r="C5" s="13"/>
    </row>
    <row r="6" spans="1:13" ht="15" x14ac:dyDescent="0.25">
      <c r="A6" s="109" t="s">
        <v>51</v>
      </c>
      <c r="B6" s="108" t="s">
        <v>105</v>
      </c>
      <c r="C6" s="108" t="s">
        <v>73</v>
      </c>
      <c r="D6" s="68" t="s">
        <v>103</v>
      </c>
      <c r="E6" s="68" t="s">
        <v>100</v>
      </c>
      <c r="F6" s="65" t="s">
        <v>198</v>
      </c>
      <c r="G6" s="65" t="s">
        <v>222</v>
      </c>
      <c r="H6" s="65" t="s">
        <v>223</v>
      </c>
      <c r="I6" s="65" t="s">
        <v>296</v>
      </c>
      <c r="J6" s="65" t="s">
        <v>266</v>
      </c>
      <c r="K6" s="65" t="s">
        <v>191</v>
      </c>
      <c r="L6" s="108" t="s">
        <v>0</v>
      </c>
      <c r="M6" s="65" t="s">
        <v>192</v>
      </c>
    </row>
    <row r="7" spans="1:13" ht="15" x14ac:dyDescent="0.25">
      <c r="A7" s="109" t="s">
        <v>2</v>
      </c>
      <c r="B7" s="108" t="s">
        <v>171</v>
      </c>
      <c r="C7" s="109" t="s">
        <v>95</v>
      </c>
      <c r="D7" s="68" t="s">
        <v>128</v>
      </c>
      <c r="E7" s="68" t="s">
        <v>134</v>
      </c>
      <c r="F7" s="65" t="s">
        <v>194</v>
      </c>
      <c r="G7" s="65" t="s">
        <v>234</v>
      </c>
      <c r="H7" s="65" t="s">
        <v>232</v>
      </c>
      <c r="I7" s="65" t="s">
        <v>297</v>
      </c>
      <c r="J7" s="65" t="s">
        <v>249</v>
      </c>
      <c r="K7" s="65" t="s">
        <v>273</v>
      </c>
      <c r="L7" s="108" t="s">
        <v>1</v>
      </c>
      <c r="M7" s="65" t="s">
        <v>309</v>
      </c>
    </row>
    <row r="8" spans="1:13" ht="15" x14ac:dyDescent="0.25">
      <c r="A8" s="109" t="s">
        <v>94</v>
      </c>
      <c r="B8" s="108" t="s">
        <v>172</v>
      </c>
      <c r="C8" s="109" t="s">
        <v>120</v>
      </c>
      <c r="D8" s="68" t="s">
        <v>102</v>
      </c>
      <c r="E8" s="68" t="s">
        <v>135</v>
      </c>
      <c r="F8" s="65" t="s">
        <v>193</v>
      </c>
      <c r="G8" s="65" t="s">
        <v>231</v>
      </c>
      <c r="H8" s="65" t="s">
        <v>235</v>
      </c>
      <c r="I8" s="65" t="s">
        <v>298</v>
      </c>
      <c r="J8" s="65" t="s">
        <v>250</v>
      </c>
      <c r="K8" s="65" t="s">
        <v>193</v>
      </c>
      <c r="L8" s="108" t="s">
        <v>5</v>
      </c>
      <c r="M8" s="65" t="s">
        <v>310</v>
      </c>
    </row>
    <row r="9" spans="1:13" ht="15" x14ac:dyDescent="0.25">
      <c r="A9" s="109" t="s">
        <v>3</v>
      </c>
      <c r="B9" s="108" t="s">
        <v>140</v>
      </c>
      <c r="C9" s="109" t="s">
        <v>129</v>
      </c>
      <c r="D9" s="68" t="s">
        <v>101</v>
      </c>
      <c r="E9" s="68" t="s">
        <v>137</v>
      </c>
      <c r="F9" s="65" t="s">
        <v>240</v>
      </c>
      <c r="G9" s="65" t="s">
        <v>243</v>
      </c>
      <c r="H9" s="65" t="s">
        <v>244</v>
      </c>
      <c r="I9" s="65" t="s">
        <v>299</v>
      </c>
      <c r="J9" s="65" t="s">
        <v>251</v>
      </c>
      <c r="K9" s="65" t="s">
        <v>274</v>
      </c>
      <c r="L9" s="108" t="s">
        <v>6</v>
      </c>
      <c r="M9" s="65" t="s">
        <v>295</v>
      </c>
    </row>
    <row r="10" spans="1:13" ht="15" x14ac:dyDescent="0.25">
      <c r="A10" s="109" t="s">
        <v>4</v>
      </c>
      <c r="C10" s="109" t="s">
        <v>125</v>
      </c>
      <c r="D10" s="68" t="s">
        <v>130</v>
      </c>
      <c r="E10" s="68" t="s">
        <v>136</v>
      </c>
      <c r="F10" s="107" t="s">
        <v>8</v>
      </c>
      <c r="G10" s="107" t="s">
        <v>8</v>
      </c>
      <c r="H10" s="107" t="s">
        <v>8</v>
      </c>
      <c r="I10" s="65" t="s">
        <v>300</v>
      </c>
      <c r="J10" s="65" t="s">
        <v>252</v>
      </c>
      <c r="K10" s="65" t="s">
        <v>242</v>
      </c>
      <c r="L10" s="108" t="s">
        <v>7</v>
      </c>
      <c r="M10" s="65" t="s">
        <v>311</v>
      </c>
    </row>
    <row r="11" spans="1:13" ht="15" x14ac:dyDescent="0.25">
      <c r="D11" s="68" t="s">
        <v>131</v>
      </c>
      <c r="E11" s="68" t="s">
        <v>47</v>
      </c>
      <c r="F11" s="83"/>
      <c r="I11" s="65" t="s">
        <v>301</v>
      </c>
      <c r="J11" s="65" t="s">
        <v>3</v>
      </c>
      <c r="K11" s="65" t="s">
        <v>194</v>
      </c>
      <c r="L11" s="108" t="s">
        <v>307</v>
      </c>
      <c r="M11" s="65" t="s">
        <v>312</v>
      </c>
    </row>
    <row r="12" spans="1:13" ht="15" x14ac:dyDescent="0.25">
      <c r="A12" s="22" t="s">
        <v>99</v>
      </c>
      <c r="B12" s="19" t="s">
        <v>37</v>
      </c>
      <c r="C12" s="13"/>
      <c r="D12" s="68" t="s">
        <v>130</v>
      </c>
      <c r="E12" s="68" t="s">
        <v>44</v>
      </c>
      <c r="F12" s="83"/>
      <c r="J12" s="65" t="s">
        <v>253</v>
      </c>
      <c r="K12" s="65" t="s">
        <v>241</v>
      </c>
      <c r="M12" s="65" t="s">
        <v>313</v>
      </c>
    </row>
    <row r="13" spans="1:13" ht="15" x14ac:dyDescent="0.25">
      <c r="A13" s="22" t="s">
        <v>14</v>
      </c>
      <c r="B13" s="19" t="s">
        <v>38</v>
      </c>
      <c r="C13" s="13"/>
      <c r="D13" s="68" t="s">
        <v>126</v>
      </c>
      <c r="E13" s="68" t="s">
        <v>133</v>
      </c>
      <c r="F13" s="107"/>
      <c r="G13" s="83"/>
      <c r="M13" s="65" t="s">
        <v>575</v>
      </c>
    </row>
    <row r="14" spans="1:13" ht="15" x14ac:dyDescent="0.25">
      <c r="A14" s="22" t="s">
        <v>11</v>
      </c>
      <c r="B14" s="19" t="s">
        <v>41</v>
      </c>
      <c r="C14" s="13"/>
      <c r="D14" s="68" t="s">
        <v>3</v>
      </c>
      <c r="E14" s="68" t="s">
        <v>48</v>
      </c>
      <c r="F14" s="83"/>
      <c r="G14" s="83"/>
      <c r="M14" s="65" t="s">
        <v>314</v>
      </c>
    </row>
    <row r="15" spans="1:13" ht="15" x14ac:dyDescent="0.25">
      <c r="A15" s="22" t="s">
        <v>30</v>
      </c>
      <c r="B15" s="19" t="s">
        <v>39</v>
      </c>
      <c r="D15" s="21"/>
      <c r="E15" s="68" t="s">
        <v>45</v>
      </c>
      <c r="F15" s="83"/>
      <c r="M15" s="65" t="s">
        <v>8</v>
      </c>
    </row>
    <row r="16" spans="1:13" ht="18.75" customHeight="1" x14ac:dyDescent="0.25">
      <c r="A16" s="22" t="s">
        <v>19</v>
      </c>
      <c r="B16" s="19" t="s">
        <v>40</v>
      </c>
    </row>
    <row r="17" spans="1:10" ht="18.75" customHeight="1" x14ac:dyDescent="0.25">
      <c r="A17" s="22" t="s">
        <v>25</v>
      </c>
      <c r="B17" s="19" t="s">
        <v>43</v>
      </c>
    </row>
    <row r="18" spans="1:10" ht="18.75" customHeight="1" x14ac:dyDescent="0.25">
      <c r="A18" s="22" t="s">
        <v>24</v>
      </c>
      <c r="B18" s="19" t="s">
        <v>42</v>
      </c>
      <c r="C18" s="84" t="s">
        <v>191</v>
      </c>
      <c r="D18" s="82" t="s">
        <v>237</v>
      </c>
      <c r="E18" s="82" t="s">
        <v>238</v>
      </c>
      <c r="F18" s="84" t="s">
        <v>222</v>
      </c>
      <c r="G18" s="82" t="s">
        <v>223</v>
      </c>
      <c r="H18" s="82" t="s">
        <v>257</v>
      </c>
      <c r="I18" s="82" t="s">
        <v>258</v>
      </c>
      <c r="J18" s="82" t="s">
        <v>259</v>
      </c>
    </row>
    <row r="19" spans="1:10" ht="18.75" customHeight="1" x14ac:dyDescent="0.25">
      <c r="A19" s="22" t="s">
        <v>35</v>
      </c>
      <c r="B19" s="19" t="s">
        <v>127</v>
      </c>
      <c r="C19" s="81" t="s">
        <v>193</v>
      </c>
      <c r="D19" s="81" t="s">
        <v>194</v>
      </c>
      <c r="E19" s="81" t="s">
        <v>8</v>
      </c>
      <c r="F19" s="81" t="s">
        <v>231</v>
      </c>
      <c r="G19" s="81" t="s">
        <v>232</v>
      </c>
      <c r="H19" s="81"/>
      <c r="I19" s="81"/>
      <c r="J19" s="81"/>
    </row>
    <row r="20" spans="1:10" ht="18.75" customHeight="1" x14ac:dyDescent="0.25">
      <c r="A20" s="22" t="s">
        <v>29</v>
      </c>
      <c r="B20" s="19" t="s">
        <v>8</v>
      </c>
      <c r="C20" s="54"/>
      <c r="D20" s="53"/>
      <c r="H20" s="53"/>
      <c r="J20" s="53"/>
    </row>
    <row r="21" spans="1:10" ht="18.75" customHeight="1" x14ac:dyDescent="0.25">
      <c r="A21" s="22" t="s">
        <v>13</v>
      </c>
      <c r="H21" s="53"/>
    </row>
    <row r="22" spans="1:10" ht="18.75" customHeight="1" x14ac:dyDescent="0.25">
      <c r="A22" s="22" t="s">
        <v>20</v>
      </c>
      <c r="C22" s="13"/>
      <c r="F22" s="53"/>
      <c r="G22" s="53"/>
    </row>
    <row r="23" spans="1:10" ht="18.75" customHeight="1" x14ac:dyDescent="0.25">
      <c r="A23" s="22" t="s">
        <v>183</v>
      </c>
      <c r="C23" s="13"/>
      <c r="F23" s="53"/>
      <c r="G23" s="53"/>
    </row>
    <row r="24" spans="1:10" ht="18.75" customHeight="1" x14ac:dyDescent="0.25">
      <c r="A24" s="22" t="s">
        <v>36</v>
      </c>
      <c r="C24" s="13"/>
      <c r="F24" s="53"/>
      <c r="G24" s="53"/>
    </row>
    <row r="25" spans="1:10" ht="18.75" customHeight="1" x14ac:dyDescent="0.25">
      <c r="A25" s="22" t="s">
        <v>31</v>
      </c>
      <c r="C25" s="13"/>
      <c r="F25" s="53"/>
      <c r="G25" s="53"/>
    </row>
    <row r="26" spans="1:10" ht="18.75" customHeight="1" x14ac:dyDescent="0.25">
      <c r="A26" s="22" t="s">
        <v>23</v>
      </c>
      <c r="C26" s="13"/>
      <c r="F26" s="53"/>
      <c r="G26" s="53"/>
    </row>
    <row r="27" spans="1:10" ht="18.75" customHeight="1" x14ac:dyDescent="0.25">
      <c r="A27" s="22" t="s">
        <v>21</v>
      </c>
      <c r="C27" s="13"/>
      <c r="F27" s="53"/>
      <c r="G27" s="53"/>
    </row>
    <row r="28" spans="1:10" ht="18.75" customHeight="1" x14ac:dyDescent="0.2">
      <c r="A28" s="22" t="s">
        <v>18</v>
      </c>
      <c r="C28" s="13"/>
      <c r="F28" s="86"/>
      <c r="G28" s="80"/>
    </row>
    <row r="29" spans="1:10" ht="18.75" customHeight="1" x14ac:dyDescent="0.25">
      <c r="A29" s="22" t="s">
        <v>184</v>
      </c>
      <c r="C29" s="13"/>
    </row>
    <row r="30" spans="1:10" ht="18.75" customHeight="1" x14ac:dyDescent="0.25">
      <c r="A30" s="22" t="s">
        <v>10</v>
      </c>
      <c r="C30" s="13"/>
    </row>
    <row r="31" spans="1:10" ht="18.75" customHeight="1" x14ac:dyDescent="0.25">
      <c r="A31" s="22" t="s">
        <v>34</v>
      </c>
      <c r="C31" s="13"/>
    </row>
    <row r="32" spans="1:10" ht="18.75" customHeight="1" x14ac:dyDescent="0.25">
      <c r="A32" s="22" t="s">
        <v>27</v>
      </c>
      <c r="C32" s="13"/>
    </row>
    <row r="33" spans="1:3" ht="18.75" customHeight="1" x14ac:dyDescent="0.25">
      <c r="A33" s="22" t="s">
        <v>185</v>
      </c>
      <c r="C33" s="13"/>
    </row>
    <row r="34" spans="1:3" ht="18.75" customHeight="1" x14ac:dyDescent="0.25">
      <c r="A34" s="22" t="s">
        <v>26</v>
      </c>
      <c r="C34" s="13"/>
    </row>
    <row r="35" spans="1:3" ht="18.75" customHeight="1" x14ac:dyDescent="0.25">
      <c r="A35" s="22" t="s">
        <v>12</v>
      </c>
      <c r="C35" s="13"/>
    </row>
    <row r="36" spans="1:3" ht="18.75" customHeight="1" x14ac:dyDescent="0.25">
      <c r="A36" s="22" t="s">
        <v>16</v>
      </c>
      <c r="C36" s="13"/>
    </row>
    <row r="37" spans="1:3" ht="18.75" customHeight="1" x14ac:dyDescent="0.25">
      <c r="A37" s="22" t="s">
        <v>9</v>
      </c>
      <c r="C37" s="13"/>
    </row>
    <row r="38" spans="1:3" ht="18.75" customHeight="1" x14ac:dyDescent="0.25">
      <c r="A38" s="22" t="s">
        <v>28</v>
      </c>
    </row>
    <row r="39" spans="1:3" ht="18.75" customHeight="1" x14ac:dyDescent="0.25">
      <c r="A39" s="22" t="s">
        <v>22</v>
      </c>
    </row>
    <row r="40" spans="1:3" ht="18.75" customHeight="1" x14ac:dyDescent="0.25">
      <c r="A40" s="22" t="s">
        <v>15</v>
      </c>
    </row>
    <row r="41" spans="1:3" ht="18.75" customHeight="1" x14ac:dyDescent="0.25">
      <c r="A41" s="22" t="s">
        <v>33</v>
      </c>
    </row>
    <row r="42" spans="1:3" ht="18.75" customHeight="1" x14ac:dyDescent="0.25">
      <c r="A42" s="22" t="s">
        <v>32</v>
      </c>
    </row>
    <row r="43" spans="1:3" ht="18.75" customHeight="1" x14ac:dyDescent="0.25">
      <c r="A43" s="22" t="s">
        <v>17</v>
      </c>
    </row>
    <row r="44" spans="1:3" ht="18.75" customHeight="1" x14ac:dyDescent="0.25">
      <c r="A44" s="22" t="s">
        <v>186</v>
      </c>
    </row>
  </sheetData>
  <sortState ref="E7:E16">
    <sortCondition ref="E7"/>
  </sortState>
  <phoneticPr fontId="17" type="noConversion"/>
  <dataValidations disablePrompts="1" count="7">
    <dataValidation type="list" allowBlank="1" showInputMessage="1" showErrorMessage="1" sqref="G19" xr:uid="{00000000-0002-0000-0000-000001000000}">
      <formula1>dd_coverage</formula1>
    </dataValidation>
    <dataValidation type="list" allowBlank="1" showInputMessage="1" showErrorMessage="1" sqref="F19" xr:uid="{00000000-0002-0000-0000-000002000000}">
      <formula1>dd_sfcrole</formula1>
    </dataValidation>
    <dataValidation type="list" allowBlank="1" showInputMessage="1" showErrorMessage="1" sqref="D19:E19" xr:uid="{00000000-0002-0000-0000-000003000000}">
      <formula1>dd_bocomrole</formula1>
    </dataValidation>
    <dataValidation type="list" allowBlank="1" showInputMessage="1" showErrorMessage="1" sqref="C19" xr:uid="{00000000-0002-0000-0000-000004000000}">
      <formula1>dd_BISL_role</formula1>
    </dataValidation>
    <dataValidation type="list" allowBlank="1" showInputMessage="1" showErrorMessage="1" sqref="H19" xr:uid="{00000000-0002-0000-0000-000005000000}">
      <formula1>"--,Left-lead,Lead"</formula1>
    </dataValidation>
    <dataValidation type="list" allowBlank="1" showInputMessage="1" showErrorMessage="1" sqref="I19" xr:uid="{00000000-0002-0000-0000-000006000000}">
      <formula1>"--,B&amp;D FOP,B&amp;D DvP,CCDC"</formula1>
    </dataValidation>
    <dataValidation type="list" allowBlank="1" showInputMessage="1" showErrorMessage="1" sqref="J19" xr:uid="{00000000-0002-0000-0000-000007000000}">
      <formula1>"--,合名"</formula1>
    </dataValidation>
  </dataValidations>
  <pageMargins left="0.7" right="0.7" top="0.75" bottom="0.75" header="0.3" footer="0.3"/>
  <pageSetup orientation="portrait"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E1E1E9"/>
  </sheetPr>
  <dimension ref="A1:CA28"/>
  <sheetViews>
    <sheetView tabSelected="1" zoomScale="85" zoomScaleNormal="85" workbookViewId="0">
      <selection activeCell="BY4" sqref="BY4"/>
    </sheetView>
  </sheetViews>
  <sheetFormatPr defaultColWidth="8.88671875" defaultRowHeight="18" customHeight="1" outlineLevelCol="1" x14ac:dyDescent="0.25"/>
  <cols>
    <col min="1" max="1" width="5.6640625" style="2" bestFit="1" customWidth="1"/>
    <col min="2" max="2" width="26" style="2" bestFit="1" customWidth="1"/>
    <col min="3" max="3" width="20.109375" style="2" bestFit="1" customWidth="1"/>
    <col min="4" max="4" width="13.33203125" style="2" bestFit="1" customWidth="1"/>
    <col min="5" max="5" width="9.44140625" style="2" bestFit="1" customWidth="1"/>
    <col min="6" max="6" width="37" style="2" bestFit="1" customWidth="1"/>
    <col min="7" max="7" width="8.5546875" style="2" bestFit="1" customWidth="1"/>
    <col min="8" max="8" width="11.109375" style="2" bestFit="1" customWidth="1"/>
    <col min="9" max="9" width="7.77734375" style="2" bestFit="1" customWidth="1"/>
    <col min="10" max="10" width="10.5546875" style="2" bestFit="1" customWidth="1"/>
    <col min="11" max="11" width="4.77734375" style="2" bestFit="1" customWidth="1"/>
    <col min="12" max="12" width="10.5546875" style="2" bestFit="1" customWidth="1"/>
    <col min="13" max="13" width="12.5546875" style="2" bestFit="1" customWidth="1"/>
    <col min="14" max="15" width="9.44140625" style="2" hidden="1" customWidth="1" outlineLevel="1"/>
    <col min="16" max="16" width="9.21875" style="2" hidden="1" customWidth="1" outlineLevel="1"/>
    <col min="17" max="17" width="8.5546875" style="2" hidden="1" customWidth="1" outlineLevel="1"/>
    <col min="18" max="18" width="11.109375" style="2" hidden="1" customWidth="1" outlineLevel="1"/>
    <col min="19" max="19" width="7.77734375" style="2" hidden="1" customWidth="1" outlineLevel="1"/>
    <col min="20" max="20" width="9.6640625" style="2" hidden="1" customWidth="1" outlineLevel="1"/>
    <col min="21" max="21" width="31.6640625" style="2" hidden="1" customWidth="1" outlineLevel="1"/>
    <col min="22" max="22" width="15" style="2" hidden="1" customWidth="1" outlineLevel="1"/>
    <col min="23" max="23" width="6.109375" style="2" hidden="1" customWidth="1" outlineLevel="1"/>
    <col min="24" max="24" width="7.77734375" style="2" hidden="1" customWidth="1" outlineLevel="1"/>
    <col min="25" max="25" width="6.109375" style="2" hidden="1" customWidth="1" outlineLevel="1"/>
    <col min="26" max="26" width="7.77734375" style="2" hidden="1" customWidth="1" outlineLevel="1"/>
    <col min="27" max="27" width="4.44140625" style="2" hidden="1" customWidth="1" outlineLevel="1"/>
    <col min="28" max="28" width="8.88671875" style="2" hidden="1" customWidth="1" outlineLevel="1"/>
    <col min="29" max="31" width="7.77734375" style="2" hidden="1" customWidth="1" outlineLevel="1"/>
    <col min="32" max="32" width="80.88671875" style="2" hidden="1" customWidth="1" outlineLevel="1"/>
    <col min="33" max="34" width="7.77734375" style="2" hidden="1" customWidth="1" outlineLevel="1"/>
    <col min="35" max="36" width="11.109375" style="2" hidden="1" customWidth="1" outlineLevel="1"/>
    <col min="37" max="37" width="4.44140625" style="2" hidden="1" customWidth="1" outlineLevel="1"/>
    <col min="38" max="38" width="10" style="2" hidden="1" customWidth="1" outlineLevel="1"/>
    <col min="39" max="39" width="11.109375" style="2" hidden="1" customWidth="1" outlineLevel="1"/>
    <col min="40" max="40" width="7.77734375" style="2" hidden="1" customWidth="1" outlineLevel="1"/>
    <col min="41" max="41" width="12.5546875" style="2" hidden="1" customWidth="1" outlineLevel="1"/>
    <col min="42" max="42" width="72.6640625" style="2" hidden="1" customWidth="1" outlineLevel="1"/>
    <col min="43" max="43" width="30.88671875" style="2" hidden="1" customWidth="1" outlineLevel="1"/>
    <col min="44" max="44" width="80.88671875" style="2" hidden="1" customWidth="1" outlineLevel="1"/>
    <col min="45" max="45" width="8.5546875" style="2" hidden="1" customWidth="1" outlineLevel="1"/>
    <col min="46" max="46" width="11.109375" style="2" hidden="1" customWidth="1" outlineLevel="1"/>
    <col min="47" max="47" width="9.44140625" style="2" hidden="1" customWidth="1" outlineLevel="1"/>
    <col min="48" max="48" width="7.77734375" style="2" hidden="1" customWidth="1" outlineLevel="1"/>
    <col min="49" max="49" width="9.44140625" style="2" hidden="1" customWidth="1" outlineLevel="1"/>
    <col min="50" max="50" width="11.109375" style="2" hidden="1" customWidth="1" outlineLevel="1"/>
    <col min="51" max="51" width="7.77734375" style="2" hidden="1" customWidth="1" outlineLevel="1"/>
    <col min="52" max="52" width="9.44140625" style="2" hidden="1" customWidth="1" outlineLevel="1"/>
    <col min="53" max="53" width="65.5546875" style="2" hidden="1" customWidth="1" outlineLevel="1"/>
    <col min="54" max="54" width="24.77734375" style="2" hidden="1" customWidth="1" outlineLevel="1"/>
    <col min="55" max="55" width="9.44140625" style="2" hidden="1" customWidth="1" outlineLevel="1"/>
    <col min="56" max="56" width="10.21875" style="2" hidden="1" customWidth="1" outlineLevel="1"/>
    <col min="57" max="57" width="9.44140625" style="2" hidden="1" customWidth="1" outlineLevel="1"/>
    <col min="58" max="58" width="19.109375" style="2" hidden="1" customWidth="1" outlineLevel="1"/>
    <col min="59" max="60" width="80.88671875" style="2" hidden="1" customWidth="1" outlineLevel="1"/>
    <col min="61" max="61" width="9.44140625" style="2" hidden="1" customWidth="1" outlineLevel="1"/>
    <col min="62" max="67" width="7.77734375" style="2" hidden="1" customWidth="1" outlineLevel="1"/>
    <col min="68" max="68" width="12.77734375" style="2" hidden="1" customWidth="1" outlineLevel="1"/>
    <col min="69" max="69" width="4.44140625" style="2" hidden="1" customWidth="1" outlineLevel="1"/>
    <col min="70" max="70" width="6.109375" style="2" hidden="1" customWidth="1" outlineLevel="1"/>
    <col min="71" max="71" width="7.109375" style="2" hidden="1" customWidth="1" outlineLevel="1"/>
    <col min="72" max="72" width="7.5546875" style="2" hidden="1" customWidth="1" outlineLevel="1"/>
    <col min="73" max="73" width="10.88671875" style="2" hidden="1" customWidth="1" outlineLevel="1"/>
    <col min="74" max="74" width="18.21875" style="2" hidden="1" customWidth="1" outlineLevel="1"/>
    <col min="75" max="76" width="9.21875" style="2" hidden="1" customWidth="1" outlineLevel="1"/>
    <col min="77" max="77" width="9.21875" style="2" bestFit="1" customWidth="1" collapsed="1"/>
    <col min="78" max="78" width="19.44140625" style="2" bestFit="1" customWidth="1"/>
    <col min="79" max="82" width="10.33203125" style="2" bestFit="1" customWidth="1"/>
    <col min="83" max="83" width="10.5546875" style="2" bestFit="1" customWidth="1"/>
    <col min="84" max="84" width="19.5546875" style="2" bestFit="1" customWidth="1"/>
    <col min="85" max="85" width="10.5546875" style="2" bestFit="1" customWidth="1"/>
    <col min="86" max="86" width="10.33203125" style="2" bestFit="1" customWidth="1"/>
    <col min="87" max="88" width="10.5546875" style="2" bestFit="1" customWidth="1"/>
    <col min="89" max="89" width="16.6640625" style="2" bestFit="1" customWidth="1"/>
    <col min="90" max="90" width="7.6640625" style="2" bestFit="1" customWidth="1"/>
    <col min="91" max="92" width="10.44140625" style="2" bestFit="1" customWidth="1"/>
    <col min="93" max="93" width="17.33203125" style="2" bestFit="1" customWidth="1"/>
    <col min="94" max="95" width="10.109375" style="2" bestFit="1" customWidth="1"/>
    <col min="96" max="97" width="12.44140625" style="2" bestFit="1" customWidth="1"/>
    <col min="98" max="98" width="8.6640625" style="2" bestFit="1" customWidth="1"/>
    <col min="99" max="101" width="8.6640625" style="2" customWidth="1"/>
    <col min="102" max="102" width="9.21875" style="2" customWidth="1"/>
    <col min="103" max="103" width="28.6640625" style="2" customWidth="1"/>
    <col min="104" max="104" width="9" style="2" customWidth="1"/>
    <col min="105" max="105" width="11.6640625" style="2" customWidth="1"/>
    <col min="106" max="107" width="9.21875" style="2" customWidth="1"/>
    <col min="108" max="108" width="10.44140625" style="2" customWidth="1"/>
    <col min="109" max="109" width="11.6640625" style="2" customWidth="1"/>
    <col min="110" max="110" width="9.21875" style="2" customWidth="1"/>
    <col min="111" max="111" width="10.44140625" style="2" customWidth="1"/>
    <col min="112" max="112" width="20.109375" style="2" customWidth="1"/>
    <col min="113" max="113" width="37.77734375" style="2" customWidth="1"/>
    <col min="114" max="114" width="43.21875" style="2" customWidth="1"/>
    <col min="115" max="115" width="9.21875" style="2" customWidth="1"/>
    <col min="116" max="116" width="13.77734375" style="2" customWidth="1"/>
    <col min="117" max="117" width="37.109375" style="2" customWidth="1"/>
    <col min="118" max="118" width="10.44140625" style="2" customWidth="1"/>
    <col min="119" max="124" width="9.21875" style="2" customWidth="1"/>
    <col min="125" max="125" width="12.33203125" style="2" bestFit="1" customWidth="1"/>
    <col min="126" max="126" width="11.109375" style="2" customWidth="1"/>
    <col min="127" max="127" width="11.6640625" style="2" bestFit="1" customWidth="1"/>
    <col min="128" max="128" width="11.6640625" style="2" customWidth="1"/>
    <col min="129" max="129" width="4.77734375" style="2" bestFit="1" customWidth="1"/>
    <col min="130" max="130" width="7.44140625" style="2" bestFit="1" customWidth="1"/>
    <col min="131" max="16384" width="8.88671875" style="2"/>
  </cols>
  <sheetData>
    <row r="1" spans="1:79" ht="66" customHeight="1" x14ac:dyDescent="0.25">
      <c r="A1" s="103" t="s">
        <v>263</v>
      </c>
      <c r="B1" s="8"/>
      <c r="I1" s="145" t="s">
        <v>220</v>
      </c>
    </row>
    <row r="2" spans="1:79" ht="66" customHeight="1" x14ac:dyDescent="0.25">
      <c r="A2" s="104" t="s">
        <v>124</v>
      </c>
      <c r="I2" s="33" t="s">
        <v>6</v>
      </c>
    </row>
    <row r="3" spans="1:79" ht="23.25" customHeight="1" x14ac:dyDescent="0.3">
      <c r="B3" s="146" t="s">
        <v>625</v>
      </c>
      <c r="C3" s="147"/>
      <c r="D3" s="147"/>
      <c r="G3" s="34"/>
    </row>
    <row r="4" spans="1:79" ht="23.25" customHeight="1" x14ac:dyDescent="0.25">
      <c r="B4" s="148" t="s">
        <v>621</v>
      </c>
      <c r="C4" s="149">
        <f>MAX(Table_DLDconso[Index])</f>
        <v>5</v>
      </c>
      <c r="D4" s="150"/>
    </row>
    <row r="5" spans="1:79" ht="23.25" customHeight="1" x14ac:dyDescent="0.25">
      <c r="B5" s="148" t="s">
        <v>622</v>
      </c>
      <c r="C5" s="149">
        <f>MAX(BBGcorp[Index])</f>
        <v>0</v>
      </c>
      <c r="D5" s="144">
        <f>$C$5-C$4</f>
        <v>-5</v>
      </c>
    </row>
    <row r="6" spans="1:79" ht="23.25" customHeight="1" x14ac:dyDescent="0.25">
      <c r="B6" s="148" t="s">
        <v>623</v>
      </c>
      <c r="C6" s="151">
        <f>MAX(WST[定价日])</f>
        <v>45133</v>
      </c>
      <c r="D6" s="144">
        <f>WEEKNUM(C$6)-WEEKNUM(MAX(Table_DLDconso[定价日]))</f>
        <v>-2</v>
      </c>
      <c r="L6" s="102"/>
    </row>
    <row r="7" spans="1:79" ht="23.25" customHeight="1" x14ac:dyDescent="0.25">
      <c r="B7" s="152" t="s">
        <v>624</v>
      </c>
      <c r="C7" s="153">
        <f>MAX(台账23[台账序号])</f>
        <v>54</v>
      </c>
      <c r="D7" s="147"/>
    </row>
    <row r="8" spans="1:79" ht="14.25" customHeight="1" x14ac:dyDescent="0.25"/>
    <row r="9" spans="1:79" ht="11.25" x14ac:dyDescent="0.25"/>
    <row r="10" spans="1:79" ht="15" x14ac:dyDescent="0.25">
      <c r="A10" s="128" t="s">
        <v>96</v>
      </c>
      <c r="B10" s="129" t="s">
        <v>106</v>
      </c>
      <c r="C10" s="128" t="s">
        <v>390</v>
      </c>
      <c r="D10" s="129" t="s">
        <v>56</v>
      </c>
      <c r="E10" s="129" t="s">
        <v>57</v>
      </c>
      <c r="F10" s="129" t="s">
        <v>55</v>
      </c>
      <c r="G10" s="129" t="s">
        <v>110</v>
      </c>
      <c r="H10" s="129" t="s">
        <v>111</v>
      </c>
      <c r="I10" s="129" t="s">
        <v>58</v>
      </c>
      <c r="J10" s="129" t="s">
        <v>66</v>
      </c>
      <c r="K10" s="129" t="s">
        <v>73</v>
      </c>
      <c r="L10" s="129" t="s">
        <v>67</v>
      </c>
      <c r="M10" s="128" t="s">
        <v>60</v>
      </c>
      <c r="N10" s="129" t="s">
        <v>61</v>
      </c>
      <c r="O10" s="129" t="s">
        <v>112</v>
      </c>
      <c r="P10" s="128" t="s">
        <v>267</v>
      </c>
      <c r="Q10" s="128" t="s">
        <v>268</v>
      </c>
      <c r="R10" s="129" t="s">
        <v>63</v>
      </c>
      <c r="S10" s="128" t="s">
        <v>255</v>
      </c>
      <c r="T10" s="128" t="s">
        <v>391</v>
      </c>
      <c r="U10" s="129" t="s">
        <v>64</v>
      </c>
      <c r="V10" s="129" t="s">
        <v>65</v>
      </c>
      <c r="W10" s="129" t="s">
        <v>68</v>
      </c>
      <c r="X10" s="129" t="s">
        <v>69</v>
      </c>
      <c r="Y10" s="129" t="s">
        <v>107</v>
      </c>
      <c r="Z10" s="129" t="s">
        <v>53</v>
      </c>
      <c r="AA10" s="129" t="s">
        <v>54</v>
      </c>
      <c r="AB10" s="129" t="s">
        <v>170</v>
      </c>
      <c r="AC10" s="129" t="s">
        <v>70</v>
      </c>
      <c r="AD10" s="129" t="s">
        <v>71</v>
      </c>
      <c r="AE10" s="129" t="s">
        <v>72</v>
      </c>
      <c r="AF10" s="129" t="s">
        <v>74</v>
      </c>
      <c r="AG10" s="129" t="s">
        <v>52</v>
      </c>
      <c r="AH10" s="129" t="s">
        <v>108</v>
      </c>
      <c r="AI10" s="129" t="s">
        <v>227</v>
      </c>
      <c r="AJ10" s="129" t="s">
        <v>59</v>
      </c>
      <c r="AK10" s="129" t="s">
        <v>51</v>
      </c>
      <c r="AL10" s="128" t="s">
        <v>286</v>
      </c>
      <c r="AM10" s="129" t="s">
        <v>50</v>
      </c>
      <c r="AN10" s="129" t="s">
        <v>109</v>
      </c>
      <c r="AO10" s="128" t="s">
        <v>287</v>
      </c>
      <c r="AP10" s="128" t="s">
        <v>288</v>
      </c>
      <c r="AQ10" s="128" t="s">
        <v>289</v>
      </c>
      <c r="AR10" s="128" t="s">
        <v>290</v>
      </c>
      <c r="AS10" s="129" t="s">
        <v>75</v>
      </c>
      <c r="AT10" s="129" t="s">
        <v>113</v>
      </c>
      <c r="AU10" s="129" t="s">
        <v>76</v>
      </c>
      <c r="AV10" s="129" t="s">
        <v>114</v>
      </c>
      <c r="AW10" s="129" t="s">
        <v>77</v>
      </c>
      <c r="AX10" s="129" t="s">
        <v>115</v>
      </c>
      <c r="AY10" s="129" t="s">
        <v>78</v>
      </c>
      <c r="AZ10" s="129" t="s">
        <v>79</v>
      </c>
      <c r="BA10" s="129" t="s">
        <v>80</v>
      </c>
      <c r="BB10" s="129" t="s">
        <v>81</v>
      </c>
      <c r="BC10" s="129" t="s">
        <v>82</v>
      </c>
      <c r="BD10" s="128" t="s">
        <v>292</v>
      </c>
      <c r="BE10" s="129" t="s">
        <v>83</v>
      </c>
      <c r="BF10" s="129" t="s">
        <v>116</v>
      </c>
      <c r="BG10" s="129" t="s">
        <v>84</v>
      </c>
      <c r="BH10" s="128" t="s">
        <v>291</v>
      </c>
      <c r="BI10" s="129" t="s">
        <v>85</v>
      </c>
      <c r="BJ10" s="129" t="s">
        <v>86</v>
      </c>
      <c r="BK10" s="129" t="s">
        <v>87</v>
      </c>
      <c r="BL10" s="129" t="s">
        <v>88</v>
      </c>
      <c r="BM10" s="129" t="s">
        <v>89</v>
      </c>
      <c r="BN10" s="129" t="s">
        <v>117</v>
      </c>
      <c r="BO10" s="129" t="s">
        <v>90</v>
      </c>
      <c r="BP10" s="129" t="s">
        <v>91</v>
      </c>
      <c r="BQ10" s="128" t="s">
        <v>99</v>
      </c>
      <c r="BR10" s="128" t="s">
        <v>224</v>
      </c>
      <c r="BS10" s="128" t="s">
        <v>225</v>
      </c>
      <c r="BT10" s="128" t="s">
        <v>272</v>
      </c>
      <c r="BU10" s="128" t="s">
        <v>308</v>
      </c>
      <c r="BV10" s="128" t="s">
        <v>187</v>
      </c>
      <c r="BW10" s="128" t="s">
        <v>143</v>
      </c>
      <c r="BX10" s="128" t="s">
        <v>176</v>
      </c>
      <c r="BY10" s="128" t="s">
        <v>228</v>
      </c>
      <c r="BZ10" s="129" t="s">
        <v>181</v>
      </c>
      <c r="CA10" s="128" t="s">
        <v>226</v>
      </c>
    </row>
    <row r="11" spans="1:79" ht="15" x14ac:dyDescent="0.25">
      <c r="A11" s="128">
        <v>1</v>
      </c>
      <c r="B11" s="129" t="s">
        <v>392</v>
      </c>
      <c r="C11" s="131" t="s">
        <v>393</v>
      </c>
      <c r="D11" s="129" t="s">
        <v>394</v>
      </c>
      <c r="E11" s="130">
        <v>45148</v>
      </c>
      <c r="F11" s="129" t="s">
        <v>395</v>
      </c>
      <c r="G11" s="129" t="s">
        <v>396</v>
      </c>
      <c r="H11" s="129" t="s">
        <v>332</v>
      </c>
      <c r="I11" s="129" t="s">
        <v>396</v>
      </c>
      <c r="J11" s="128">
        <v>3.1</v>
      </c>
      <c r="K11" s="129" t="s">
        <v>95</v>
      </c>
      <c r="L11" s="132" t="s">
        <v>254</v>
      </c>
      <c r="M11" s="128">
        <v>7.4</v>
      </c>
      <c r="N11" s="135">
        <v>46251</v>
      </c>
      <c r="O11" s="129" t="s">
        <v>328</v>
      </c>
      <c r="P11" s="128" t="s">
        <v>397</v>
      </c>
      <c r="Q11" s="128" t="s">
        <v>398</v>
      </c>
      <c r="R11" s="131">
        <v>20</v>
      </c>
      <c r="S11" s="128" t="s">
        <v>256</v>
      </c>
      <c r="T11" s="128" t="s">
        <v>46</v>
      </c>
      <c r="U11" s="129" t="s">
        <v>104</v>
      </c>
      <c r="V11" s="129" t="s">
        <v>104</v>
      </c>
      <c r="W11" s="128">
        <v>100</v>
      </c>
      <c r="X11" s="129"/>
      <c r="Y11" s="129" t="s">
        <v>399</v>
      </c>
      <c r="Z11" s="129" t="s">
        <v>400</v>
      </c>
      <c r="AA11" s="129"/>
      <c r="AB11" s="132"/>
      <c r="AC11" s="132"/>
      <c r="AD11" s="129"/>
      <c r="AE11" s="129"/>
      <c r="AF11" s="129" t="s">
        <v>401</v>
      </c>
      <c r="AG11" s="129" t="s">
        <v>323</v>
      </c>
      <c r="AH11" s="129" t="s">
        <v>104</v>
      </c>
      <c r="AI11" s="129" t="s">
        <v>396</v>
      </c>
      <c r="AJ11" s="129" t="s">
        <v>320</v>
      </c>
      <c r="AK11" s="129" t="s">
        <v>2</v>
      </c>
      <c r="AL11" s="128" t="s">
        <v>402</v>
      </c>
      <c r="AM11" s="129" t="s">
        <v>162</v>
      </c>
      <c r="AN11" s="129" t="s">
        <v>195</v>
      </c>
      <c r="AO11" s="128"/>
      <c r="AP11" s="128"/>
      <c r="AQ11" s="128"/>
      <c r="AR11" s="128" t="s">
        <v>403</v>
      </c>
      <c r="AS11" s="129" t="s">
        <v>404</v>
      </c>
      <c r="AT11" s="128">
        <v>1000</v>
      </c>
      <c r="AU11" s="135">
        <v>45155</v>
      </c>
      <c r="AV11" s="128">
        <v>3.1</v>
      </c>
      <c r="AW11" s="135"/>
      <c r="AX11" s="128">
        <v>7.4</v>
      </c>
      <c r="AY11" s="132" t="s">
        <v>104</v>
      </c>
      <c r="AZ11" s="135">
        <v>45339</v>
      </c>
      <c r="BA11" s="129" t="s">
        <v>405</v>
      </c>
      <c r="BB11" s="129" t="s">
        <v>392</v>
      </c>
      <c r="BC11" s="135">
        <v>45155</v>
      </c>
      <c r="BD11" s="131" t="s">
        <v>398</v>
      </c>
      <c r="BE11" s="135">
        <v>45155</v>
      </c>
      <c r="BF11" s="129" t="s">
        <v>104</v>
      </c>
      <c r="BG11" s="129" t="s">
        <v>406</v>
      </c>
      <c r="BH11" s="128" t="s">
        <v>407</v>
      </c>
      <c r="BI11" s="129" t="s">
        <v>165</v>
      </c>
      <c r="BJ11" s="129" t="s">
        <v>165</v>
      </c>
      <c r="BK11" s="129" t="s">
        <v>166</v>
      </c>
      <c r="BL11" s="129" t="s">
        <v>167</v>
      </c>
      <c r="BM11" s="129" t="s">
        <v>168</v>
      </c>
      <c r="BN11" s="129" t="s">
        <v>104</v>
      </c>
      <c r="BO11" s="129" t="s">
        <v>169</v>
      </c>
      <c r="BP11" s="129" t="s">
        <v>104</v>
      </c>
      <c r="BQ11" s="128" t="s">
        <v>11</v>
      </c>
      <c r="BR11" s="128">
        <v>3.1</v>
      </c>
      <c r="BS11" s="128">
        <v>22.425000000000001</v>
      </c>
      <c r="BT11" s="128">
        <v>24.239000000000001</v>
      </c>
      <c r="BU11" s="128"/>
      <c r="BV11" s="128"/>
      <c r="BW11" s="128"/>
      <c r="BX11" s="128" t="s">
        <v>396</v>
      </c>
      <c r="BY11" s="128" t="s">
        <v>396</v>
      </c>
      <c r="BZ11" s="131" t="s">
        <v>408</v>
      </c>
      <c r="CA11" s="128" t="s">
        <v>8</v>
      </c>
    </row>
    <row r="12" spans="1:79" ht="15" x14ac:dyDescent="0.25">
      <c r="A12" s="128">
        <v>2</v>
      </c>
      <c r="B12" s="129" t="s">
        <v>409</v>
      </c>
      <c r="C12" s="131" t="s">
        <v>410</v>
      </c>
      <c r="D12" s="129" t="s">
        <v>411</v>
      </c>
      <c r="E12" s="130">
        <v>45147</v>
      </c>
      <c r="F12" s="129" t="s">
        <v>412</v>
      </c>
      <c r="G12" s="129" t="s">
        <v>163</v>
      </c>
      <c r="H12" s="129" t="s">
        <v>163</v>
      </c>
      <c r="I12" s="129" t="s">
        <v>163</v>
      </c>
      <c r="J12" s="128">
        <v>2.569</v>
      </c>
      <c r="K12" s="129" t="s">
        <v>120</v>
      </c>
      <c r="L12" s="132" t="s">
        <v>254</v>
      </c>
      <c r="M12" s="128">
        <v>4.6500000000000004</v>
      </c>
      <c r="N12" s="135">
        <v>46245</v>
      </c>
      <c r="O12" s="129" t="s">
        <v>328</v>
      </c>
      <c r="P12" s="128" t="s">
        <v>104</v>
      </c>
      <c r="Q12" s="128" t="s">
        <v>104</v>
      </c>
      <c r="R12" s="131"/>
      <c r="S12" s="128" t="s">
        <v>256</v>
      </c>
      <c r="T12" s="128" t="s">
        <v>316</v>
      </c>
      <c r="U12" s="129" t="s">
        <v>413</v>
      </c>
      <c r="V12" s="129" t="s">
        <v>164</v>
      </c>
      <c r="W12" s="128">
        <v>100</v>
      </c>
      <c r="X12" s="129"/>
      <c r="Y12" s="129" t="s">
        <v>327</v>
      </c>
      <c r="Z12" s="129" t="s">
        <v>414</v>
      </c>
      <c r="AA12" s="129"/>
      <c r="AB12" s="132"/>
      <c r="AC12" s="132"/>
      <c r="AD12" s="129"/>
      <c r="AE12" s="129"/>
      <c r="AF12" s="129" t="s">
        <v>415</v>
      </c>
      <c r="AG12" s="129" t="s">
        <v>323</v>
      </c>
      <c r="AH12" s="129" t="s">
        <v>104</v>
      </c>
      <c r="AI12" s="129" t="s">
        <v>163</v>
      </c>
      <c r="AJ12" s="129" t="s">
        <v>334</v>
      </c>
      <c r="AK12" s="129" t="s">
        <v>2</v>
      </c>
      <c r="AL12" s="128" t="s">
        <v>324</v>
      </c>
      <c r="AM12" s="129" t="s">
        <v>162</v>
      </c>
      <c r="AN12" s="129" t="s">
        <v>92</v>
      </c>
      <c r="AO12" s="128"/>
      <c r="AP12" s="128"/>
      <c r="AQ12" s="128"/>
      <c r="AR12" s="128" t="s">
        <v>416</v>
      </c>
      <c r="AS12" s="129" t="s">
        <v>417</v>
      </c>
      <c r="AT12" s="128">
        <v>10000</v>
      </c>
      <c r="AU12" s="135">
        <v>45149</v>
      </c>
      <c r="AV12" s="128">
        <v>2.5688</v>
      </c>
      <c r="AW12" s="135"/>
      <c r="AX12" s="128">
        <v>4.6500000000000004</v>
      </c>
      <c r="AY12" s="132" t="s">
        <v>104</v>
      </c>
      <c r="AZ12" s="135">
        <v>45333</v>
      </c>
      <c r="BA12" s="129" t="s">
        <v>409</v>
      </c>
      <c r="BB12" s="129" t="s">
        <v>104</v>
      </c>
      <c r="BC12" s="135">
        <v>45149</v>
      </c>
      <c r="BD12" s="131" t="s">
        <v>418</v>
      </c>
      <c r="BE12" s="135">
        <v>45149</v>
      </c>
      <c r="BF12" s="129" t="s">
        <v>321</v>
      </c>
      <c r="BG12" s="129" t="s">
        <v>419</v>
      </c>
      <c r="BH12" s="128" t="s">
        <v>420</v>
      </c>
      <c r="BI12" s="129" t="s">
        <v>165</v>
      </c>
      <c r="BJ12" s="129" t="s">
        <v>165</v>
      </c>
      <c r="BK12" s="129" t="s">
        <v>166</v>
      </c>
      <c r="BL12" s="129" t="s">
        <v>167</v>
      </c>
      <c r="BM12" s="129" t="s">
        <v>168</v>
      </c>
      <c r="BN12" s="129" t="s">
        <v>104</v>
      </c>
      <c r="BO12" s="129" t="s">
        <v>169</v>
      </c>
      <c r="BP12" s="129" t="s">
        <v>104</v>
      </c>
      <c r="BQ12" s="128" t="s">
        <v>20</v>
      </c>
      <c r="BR12" s="128">
        <v>0.35499999999999998</v>
      </c>
      <c r="BS12" s="128">
        <v>2.569</v>
      </c>
      <c r="BT12" s="128">
        <v>2.7770000000000001</v>
      </c>
      <c r="BU12" s="128"/>
      <c r="BV12" s="128"/>
      <c r="BW12" s="128"/>
      <c r="BX12" s="128" t="s">
        <v>163</v>
      </c>
      <c r="BY12" s="128" t="s">
        <v>163</v>
      </c>
      <c r="BZ12" s="131" t="s">
        <v>421</v>
      </c>
      <c r="CA12" s="128" t="s">
        <v>8</v>
      </c>
    </row>
    <row r="13" spans="1:79" ht="15" x14ac:dyDescent="0.25">
      <c r="A13" s="128">
        <v>3</v>
      </c>
      <c r="B13" s="129" t="s">
        <v>422</v>
      </c>
      <c r="C13" s="131" t="s">
        <v>423</v>
      </c>
      <c r="D13" s="129" t="s">
        <v>424</v>
      </c>
      <c r="E13" s="130">
        <v>45146</v>
      </c>
      <c r="F13" s="129" t="s">
        <v>425</v>
      </c>
      <c r="G13" s="129" t="s">
        <v>426</v>
      </c>
      <c r="H13" s="129" t="s">
        <v>337</v>
      </c>
      <c r="I13" s="129" t="s">
        <v>163</v>
      </c>
      <c r="J13" s="128">
        <v>20</v>
      </c>
      <c r="K13" s="129" t="s">
        <v>95</v>
      </c>
      <c r="L13" s="132" t="s">
        <v>427</v>
      </c>
      <c r="M13" s="128">
        <v>5.35</v>
      </c>
      <c r="N13" s="135">
        <v>48806</v>
      </c>
      <c r="O13" s="129" t="s">
        <v>328</v>
      </c>
      <c r="P13" s="128" t="s">
        <v>428</v>
      </c>
      <c r="Q13" s="128" t="s">
        <v>429</v>
      </c>
      <c r="R13" s="131">
        <v>45</v>
      </c>
      <c r="S13" s="128" t="s">
        <v>256</v>
      </c>
      <c r="T13" s="128" t="s">
        <v>315</v>
      </c>
      <c r="U13" s="129" t="s">
        <v>104</v>
      </c>
      <c r="V13" s="129" t="s">
        <v>430</v>
      </c>
      <c r="W13" s="128">
        <v>100</v>
      </c>
      <c r="X13" s="129"/>
      <c r="Y13" s="129" t="s">
        <v>333</v>
      </c>
      <c r="Z13" s="129" t="s">
        <v>335</v>
      </c>
      <c r="AA13" s="129"/>
      <c r="AB13" s="132"/>
      <c r="AC13" s="132"/>
      <c r="AD13" s="129" t="s">
        <v>338</v>
      </c>
      <c r="AE13" s="129" t="s">
        <v>431</v>
      </c>
      <c r="AF13" s="129" t="s">
        <v>432</v>
      </c>
      <c r="AG13" s="129" t="s">
        <v>433</v>
      </c>
      <c r="AH13" s="129" t="s">
        <v>434</v>
      </c>
      <c r="AI13" s="129" t="s">
        <v>163</v>
      </c>
      <c r="AJ13" s="129" t="s">
        <v>104</v>
      </c>
      <c r="AK13" s="129" t="s">
        <v>94</v>
      </c>
      <c r="AL13" s="128" t="s">
        <v>435</v>
      </c>
      <c r="AM13" s="129" t="s">
        <v>336</v>
      </c>
      <c r="AN13" s="129" t="s">
        <v>195</v>
      </c>
      <c r="AO13" s="128" t="s">
        <v>436</v>
      </c>
      <c r="AP13" s="128" t="s">
        <v>437</v>
      </c>
      <c r="AQ13" s="128" t="s">
        <v>438</v>
      </c>
      <c r="AR13" s="128" t="s">
        <v>439</v>
      </c>
      <c r="AS13" s="129" t="s">
        <v>440</v>
      </c>
      <c r="AT13" s="128">
        <v>1000</v>
      </c>
      <c r="AU13" s="135">
        <v>45153</v>
      </c>
      <c r="AV13" s="128">
        <v>20</v>
      </c>
      <c r="AW13" s="135">
        <v>46980</v>
      </c>
      <c r="AX13" s="128">
        <v>5.35</v>
      </c>
      <c r="AY13" s="132" t="s">
        <v>104</v>
      </c>
      <c r="AZ13" s="135">
        <v>45337</v>
      </c>
      <c r="BA13" s="129" t="s">
        <v>441</v>
      </c>
      <c r="BB13" s="129" t="s">
        <v>104</v>
      </c>
      <c r="BC13" s="135">
        <v>45153</v>
      </c>
      <c r="BD13" s="131" t="s">
        <v>429</v>
      </c>
      <c r="BE13" s="135">
        <v>45153</v>
      </c>
      <c r="BF13" s="129" t="s">
        <v>104</v>
      </c>
      <c r="BG13" s="129" t="s">
        <v>442</v>
      </c>
      <c r="BH13" s="128" t="s">
        <v>443</v>
      </c>
      <c r="BI13" s="129" t="s">
        <v>165</v>
      </c>
      <c r="BJ13" s="129" t="s">
        <v>165</v>
      </c>
      <c r="BK13" s="129" t="s">
        <v>166</v>
      </c>
      <c r="BL13" s="129" t="s">
        <v>167</v>
      </c>
      <c r="BM13" s="129" t="s">
        <v>339</v>
      </c>
      <c r="BN13" s="129" t="s">
        <v>104</v>
      </c>
      <c r="BO13" s="129" t="s">
        <v>169</v>
      </c>
      <c r="BP13" s="129" t="s">
        <v>104</v>
      </c>
      <c r="BQ13" s="128" t="s">
        <v>19</v>
      </c>
      <c r="BR13" s="128">
        <v>20</v>
      </c>
      <c r="BS13" s="128">
        <v>144.78</v>
      </c>
      <c r="BT13" s="128">
        <v>156.26</v>
      </c>
      <c r="BU13" s="128"/>
      <c r="BV13" s="128"/>
      <c r="BW13" s="128"/>
      <c r="BX13" s="128" t="s">
        <v>163</v>
      </c>
      <c r="BY13" s="128" t="s">
        <v>426</v>
      </c>
      <c r="BZ13" s="131" t="s">
        <v>444</v>
      </c>
      <c r="CA13" s="128" t="s">
        <v>8</v>
      </c>
    </row>
    <row r="14" spans="1:79" ht="15" x14ac:dyDescent="0.25">
      <c r="A14" s="128">
        <v>4</v>
      </c>
      <c r="B14" s="129" t="s">
        <v>445</v>
      </c>
      <c r="C14" s="131" t="s">
        <v>446</v>
      </c>
      <c r="D14" s="129" t="s">
        <v>447</v>
      </c>
      <c r="E14" s="130">
        <v>45146</v>
      </c>
      <c r="F14" s="129" t="s">
        <v>448</v>
      </c>
      <c r="G14" s="129" t="s">
        <v>163</v>
      </c>
      <c r="H14" s="129" t="s">
        <v>163</v>
      </c>
      <c r="I14" s="129" t="s">
        <v>163</v>
      </c>
      <c r="J14" s="128">
        <v>4.8499999999999996</v>
      </c>
      <c r="K14" s="129" t="s">
        <v>120</v>
      </c>
      <c r="L14" s="132" t="s">
        <v>254</v>
      </c>
      <c r="M14" s="128">
        <v>3.9</v>
      </c>
      <c r="N14" s="135">
        <v>46245</v>
      </c>
      <c r="O14" s="129" t="s">
        <v>328</v>
      </c>
      <c r="P14" s="128" t="s">
        <v>449</v>
      </c>
      <c r="Q14" s="128" t="s">
        <v>450</v>
      </c>
      <c r="R14" s="131">
        <v>40</v>
      </c>
      <c r="S14" s="128" t="s">
        <v>256</v>
      </c>
      <c r="T14" s="128" t="s">
        <v>316</v>
      </c>
      <c r="U14" s="129" t="s">
        <v>451</v>
      </c>
      <c r="V14" s="129" t="s">
        <v>164</v>
      </c>
      <c r="W14" s="128">
        <v>100</v>
      </c>
      <c r="X14" s="129"/>
      <c r="Y14" s="129" t="s">
        <v>399</v>
      </c>
      <c r="Z14" s="129" t="s">
        <v>452</v>
      </c>
      <c r="AA14" s="129"/>
      <c r="AB14" s="132"/>
      <c r="AC14" s="132"/>
      <c r="AD14" s="129"/>
      <c r="AE14" s="129"/>
      <c r="AF14" s="129" t="s">
        <v>453</v>
      </c>
      <c r="AG14" s="129" t="s">
        <v>454</v>
      </c>
      <c r="AH14" s="129" t="s">
        <v>104</v>
      </c>
      <c r="AI14" s="129" t="s">
        <v>163</v>
      </c>
      <c r="AJ14" s="129" t="s">
        <v>455</v>
      </c>
      <c r="AK14" s="129" t="s">
        <v>3</v>
      </c>
      <c r="AL14" s="128" t="s">
        <v>324</v>
      </c>
      <c r="AM14" s="129" t="s">
        <v>162</v>
      </c>
      <c r="AN14" s="129" t="s">
        <v>92</v>
      </c>
      <c r="AO14" s="128"/>
      <c r="AP14" s="128"/>
      <c r="AQ14" s="128"/>
      <c r="AR14" s="128" t="s">
        <v>456</v>
      </c>
      <c r="AS14" s="129" t="s">
        <v>457</v>
      </c>
      <c r="AT14" s="128">
        <v>100</v>
      </c>
      <c r="AU14" s="135">
        <v>45149</v>
      </c>
      <c r="AV14" s="128">
        <v>4.8499999999999996</v>
      </c>
      <c r="AW14" s="135"/>
      <c r="AX14" s="128">
        <v>3.9</v>
      </c>
      <c r="AY14" s="132" t="s">
        <v>104</v>
      </c>
      <c r="AZ14" s="135">
        <v>45333</v>
      </c>
      <c r="BA14" s="129" t="s">
        <v>445</v>
      </c>
      <c r="BB14" s="129" t="s">
        <v>104</v>
      </c>
      <c r="BC14" s="135">
        <v>45149</v>
      </c>
      <c r="BD14" s="131" t="s">
        <v>450</v>
      </c>
      <c r="BE14" s="135">
        <v>45149</v>
      </c>
      <c r="BF14" s="129" t="s">
        <v>321</v>
      </c>
      <c r="BG14" s="129" t="s">
        <v>458</v>
      </c>
      <c r="BH14" s="128" t="s">
        <v>459</v>
      </c>
      <c r="BI14" s="129" t="s">
        <v>165</v>
      </c>
      <c r="BJ14" s="129" t="s">
        <v>165</v>
      </c>
      <c r="BK14" s="129" t="s">
        <v>166</v>
      </c>
      <c r="BL14" s="129" t="s">
        <v>167</v>
      </c>
      <c r="BM14" s="129" t="s">
        <v>168</v>
      </c>
      <c r="BN14" s="129" t="s">
        <v>104</v>
      </c>
      <c r="BO14" s="129" t="s">
        <v>169</v>
      </c>
      <c r="BP14" s="129" t="s">
        <v>104</v>
      </c>
      <c r="BQ14" s="128" t="s">
        <v>11</v>
      </c>
      <c r="BR14" s="128">
        <v>0.66900000000000004</v>
      </c>
      <c r="BS14" s="128">
        <v>4.8499999999999996</v>
      </c>
      <c r="BT14" s="128">
        <v>5.2329999999999997</v>
      </c>
      <c r="BU14" s="128"/>
      <c r="BV14" s="128"/>
      <c r="BW14" s="128"/>
      <c r="BX14" s="128" t="s">
        <v>163</v>
      </c>
      <c r="BY14" s="128" t="s">
        <v>163</v>
      </c>
      <c r="BZ14" s="131" t="s">
        <v>460</v>
      </c>
      <c r="CA14" s="128" t="s">
        <v>8</v>
      </c>
    </row>
    <row r="15" spans="1:79" ht="15" x14ac:dyDescent="0.25">
      <c r="A15" s="128">
        <v>5</v>
      </c>
      <c r="B15" s="129" t="s">
        <v>463</v>
      </c>
      <c r="C15" s="131" t="s">
        <v>464</v>
      </c>
      <c r="D15" s="129" t="s">
        <v>465</v>
      </c>
      <c r="E15" s="130">
        <v>45145</v>
      </c>
      <c r="F15" s="129" t="s">
        <v>466</v>
      </c>
      <c r="G15" s="129" t="s">
        <v>163</v>
      </c>
      <c r="H15" s="129" t="s">
        <v>163</v>
      </c>
      <c r="I15" s="129" t="s">
        <v>163</v>
      </c>
      <c r="J15" s="128">
        <v>0.7</v>
      </c>
      <c r="K15" s="129" t="s">
        <v>95</v>
      </c>
      <c r="L15" s="132" t="s">
        <v>254</v>
      </c>
      <c r="M15" s="128">
        <v>5.75</v>
      </c>
      <c r="N15" s="135">
        <v>46248</v>
      </c>
      <c r="O15" s="129" t="s">
        <v>328</v>
      </c>
      <c r="P15" s="128" t="s">
        <v>467</v>
      </c>
      <c r="Q15" s="128" t="s">
        <v>340</v>
      </c>
      <c r="R15" s="131">
        <v>55</v>
      </c>
      <c r="S15" s="128" t="s">
        <v>256</v>
      </c>
      <c r="T15" s="128" t="s">
        <v>468</v>
      </c>
      <c r="U15" s="129" t="s">
        <v>469</v>
      </c>
      <c r="V15" s="129" t="s">
        <v>164</v>
      </c>
      <c r="W15" s="128">
        <v>100</v>
      </c>
      <c r="X15" s="129"/>
      <c r="Y15" s="129" t="s">
        <v>470</v>
      </c>
      <c r="Z15" s="129" t="s">
        <v>471</v>
      </c>
      <c r="AA15" s="129"/>
      <c r="AB15" s="132"/>
      <c r="AC15" s="132"/>
      <c r="AD15" s="129"/>
      <c r="AE15" s="129"/>
      <c r="AF15" s="129" t="s">
        <v>472</v>
      </c>
      <c r="AG15" s="129" t="s">
        <v>473</v>
      </c>
      <c r="AH15" s="129" t="s">
        <v>104</v>
      </c>
      <c r="AI15" s="129" t="s">
        <v>163</v>
      </c>
      <c r="AJ15" s="129" t="s">
        <v>320</v>
      </c>
      <c r="AK15" s="129" t="s">
        <v>3</v>
      </c>
      <c r="AL15" s="128" t="s">
        <v>402</v>
      </c>
      <c r="AM15" s="129" t="s">
        <v>162</v>
      </c>
      <c r="AN15" s="129" t="s">
        <v>195</v>
      </c>
      <c r="AO15" s="128"/>
      <c r="AP15" s="128"/>
      <c r="AQ15" s="128"/>
      <c r="AR15" s="128" t="s">
        <v>474</v>
      </c>
      <c r="AS15" s="129" t="s">
        <v>475</v>
      </c>
      <c r="AT15" s="128">
        <v>1000</v>
      </c>
      <c r="AU15" s="135">
        <v>45152</v>
      </c>
      <c r="AV15" s="128">
        <v>0.7</v>
      </c>
      <c r="AW15" s="135"/>
      <c r="AX15" s="128">
        <v>5.75</v>
      </c>
      <c r="AY15" s="132" t="s">
        <v>104</v>
      </c>
      <c r="AZ15" s="135">
        <v>45336</v>
      </c>
      <c r="BA15" s="129" t="s">
        <v>476</v>
      </c>
      <c r="BB15" s="129" t="s">
        <v>463</v>
      </c>
      <c r="BC15" s="135">
        <v>45152</v>
      </c>
      <c r="BD15" s="131" t="s">
        <v>340</v>
      </c>
      <c r="BE15" s="135">
        <v>45152</v>
      </c>
      <c r="BF15" s="129" t="s">
        <v>104</v>
      </c>
      <c r="BG15" s="129" t="s">
        <v>477</v>
      </c>
      <c r="BH15" s="128" t="s">
        <v>478</v>
      </c>
      <c r="BI15" s="129" t="s">
        <v>165</v>
      </c>
      <c r="BJ15" s="129" t="s">
        <v>165</v>
      </c>
      <c r="BK15" s="129" t="s">
        <v>166</v>
      </c>
      <c r="BL15" s="129" t="s">
        <v>167</v>
      </c>
      <c r="BM15" s="129" t="s">
        <v>168</v>
      </c>
      <c r="BN15" s="129" t="s">
        <v>104</v>
      </c>
      <c r="BO15" s="129" t="s">
        <v>169</v>
      </c>
      <c r="BP15" s="129" t="s">
        <v>104</v>
      </c>
      <c r="BQ15" s="128" t="s">
        <v>24</v>
      </c>
      <c r="BR15" s="128">
        <v>0.7</v>
      </c>
      <c r="BS15" s="128">
        <v>5.0419999999999998</v>
      </c>
      <c r="BT15" s="128">
        <v>5.4649999999999999</v>
      </c>
      <c r="BU15" s="128"/>
      <c r="BV15" s="128"/>
      <c r="BW15" s="128"/>
      <c r="BX15" s="128" t="s">
        <v>163</v>
      </c>
      <c r="BY15" s="128" t="s">
        <v>163</v>
      </c>
      <c r="BZ15" s="131" t="s">
        <v>479</v>
      </c>
      <c r="CA15" s="128" t="s">
        <v>8</v>
      </c>
    </row>
    <row r="16" spans="1:79" ht="11.25" x14ac:dyDescent="0.25"/>
    <row r="17" ht="11.25" x14ac:dyDescent="0.25"/>
    <row r="18" ht="11.25" x14ac:dyDescent="0.25"/>
    <row r="19" ht="14.25" customHeight="1" x14ac:dyDescent="0.25"/>
    <row r="20" ht="14.25" customHeight="1" x14ac:dyDescent="0.25"/>
    <row r="21" ht="14.25" customHeight="1" x14ac:dyDescent="0.25"/>
    <row r="22" ht="14.25" customHeight="1" x14ac:dyDescent="0.25"/>
    <row r="23" ht="11.25" x14ac:dyDescent="0.25"/>
    <row r="24" ht="11.25" x14ac:dyDescent="0.25"/>
    <row r="25" ht="11.25" x14ac:dyDescent="0.25"/>
    <row r="26" ht="11.25" x14ac:dyDescent="0.25"/>
    <row r="27" ht="11.25" x14ac:dyDescent="0.25"/>
    <row r="28" ht="11.25" x14ac:dyDescent="0.25"/>
  </sheetData>
  <phoneticPr fontId="17" type="noConversion"/>
  <conditionalFormatting sqref="D6">
    <cfRule type="iconSet" priority="2">
      <iconSet showValue="0">
        <cfvo type="percent" val="0"/>
        <cfvo type="num" val="-1"/>
        <cfvo type="num" val="0"/>
      </iconSet>
    </cfRule>
  </conditionalFormatting>
  <conditionalFormatting sqref="D5">
    <cfRule type="iconSet" priority="1">
      <iconSet showValue="0">
        <cfvo type="percent" val="0"/>
        <cfvo type="num" val="-1"/>
        <cfvo type="num" val="0"/>
      </iconSet>
    </cfRule>
  </conditionalFormatting>
  <dataValidations count="1">
    <dataValidation type="list" allowBlank="1" showInputMessage="1" showErrorMessage="1" sqref="I2" xr:uid="{00000000-0002-0000-0100-000002000000}">
      <formula1>dd_updator</formula1>
    </dataValidation>
  </dataValidations>
  <pageMargins left="0.7" right="0.7" top="0.75" bottom="0.75" header="0.3" footer="0.3"/>
  <pageSetup orientation="portrait" r:id="rId1"/>
  <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485E74-E8A0-4729-83E3-EFD401F92620}">
  <sheetPr codeName="Sheet11">
    <tabColor rgb="FFE1E1E9"/>
  </sheetPr>
  <dimension ref="A1:J6"/>
  <sheetViews>
    <sheetView workbookViewId="0">
      <selection activeCell="H6" sqref="H6"/>
    </sheetView>
  </sheetViews>
  <sheetFormatPr defaultRowHeight="15" x14ac:dyDescent="0.25"/>
  <cols>
    <col min="1" max="1" width="7.5546875" style="1" bestFit="1" customWidth="1"/>
    <col min="2" max="2" width="6" style="1" bestFit="1" customWidth="1"/>
    <col min="3" max="3" width="9.21875" style="1" bestFit="1" customWidth="1"/>
    <col min="4" max="4" width="5.88671875" style="1" bestFit="1" customWidth="1"/>
    <col min="5" max="5" width="7.5546875" style="1" bestFit="1" customWidth="1"/>
    <col min="6" max="7" width="5.88671875" style="1" bestFit="1" customWidth="1"/>
    <col min="8" max="8" width="9.21875" style="1" bestFit="1" customWidth="1"/>
    <col min="9" max="10" width="5.88671875" style="1" bestFit="1" customWidth="1"/>
    <col min="11" max="11" width="5.88671875" style="1" customWidth="1"/>
    <col min="12" max="12" width="6.109375" style="1" bestFit="1" customWidth="1"/>
    <col min="13" max="16384" width="8.88671875" style="1"/>
  </cols>
  <sheetData>
    <row r="1" spans="1:10" ht="58.5" customHeight="1" x14ac:dyDescent="0.55000000000000004">
      <c r="A1" s="85" t="s">
        <v>317</v>
      </c>
    </row>
    <row r="5" spans="1:10" x14ac:dyDescent="0.25">
      <c r="A5" s="128" t="s">
        <v>57</v>
      </c>
      <c r="B5" s="128" t="s">
        <v>56</v>
      </c>
      <c r="C5" s="128" t="s">
        <v>55</v>
      </c>
      <c r="D5" s="128" t="s">
        <v>97</v>
      </c>
      <c r="E5" s="128" t="s">
        <v>224</v>
      </c>
      <c r="F5" s="128" t="s">
        <v>73</v>
      </c>
      <c r="G5" s="128" t="s">
        <v>296</v>
      </c>
      <c r="H5" s="128" t="s">
        <v>105</v>
      </c>
      <c r="I5" s="128" t="s">
        <v>121</v>
      </c>
      <c r="J5" s="128" t="s">
        <v>142</v>
      </c>
    </row>
    <row r="6" spans="1:10" x14ac:dyDescent="0.25">
      <c r="A6" s="140"/>
      <c r="B6" s="128"/>
      <c r="C6" s="128"/>
      <c r="D6" s="128"/>
      <c r="E6" s="128"/>
      <c r="F6" s="128"/>
      <c r="G6" s="128"/>
      <c r="H6" s="128"/>
      <c r="I6" s="128"/>
      <c r="J6" s="128"/>
    </row>
  </sheetData>
  <phoneticPr fontId="17" type="noConversion"/>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E1E1E9"/>
  </sheetPr>
  <dimension ref="A1:CU73"/>
  <sheetViews>
    <sheetView topLeftCell="X1" zoomScale="85" zoomScaleNormal="100" workbookViewId="0">
      <selection activeCell="AH25" sqref="AH25"/>
    </sheetView>
  </sheetViews>
  <sheetFormatPr defaultColWidth="8.88671875" defaultRowHeight="15.75" customHeight="1" outlineLevelCol="1" x14ac:dyDescent="0.25"/>
  <cols>
    <col min="1" max="1" width="17.5546875" style="3" bestFit="1" customWidth="1"/>
    <col min="2" max="2" width="4" style="3" customWidth="1"/>
    <col min="3" max="3" width="9.44140625" style="3" bestFit="1" customWidth="1"/>
    <col min="4" max="4" width="26" style="3" bestFit="1" customWidth="1"/>
    <col min="5" max="6" width="9.21875" style="3" bestFit="1" customWidth="1"/>
    <col min="7" max="7" width="9.6640625" style="3" bestFit="1" customWidth="1" outlineLevel="1"/>
    <col min="8" max="8" width="7.77734375" style="3" bestFit="1" customWidth="1" outlineLevel="1"/>
    <col min="9" max="9" width="5.88671875" style="3" bestFit="1" customWidth="1" outlineLevel="1"/>
    <col min="10" max="10" width="12" style="3" bestFit="1" customWidth="1" outlineLevel="1"/>
    <col min="11" max="12" width="5.88671875" style="3" bestFit="1" customWidth="1" outlineLevel="1"/>
    <col min="13" max="13" width="5.77734375" style="3" bestFit="1" customWidth="1" outlineLevel="1"/>
    <col min="14" max="14" width="5.88671875" style="3" bestFit="1" customWidth="1" outlineLevel="1"/>
    <col min="15" max="15" width="9.21875" style="3" bestFit="1" customWidth="1" outlineLevel="1"/>
    <col min="16" max="16" width="5.77734375" style="3" bestFit="1" customWidth="1" outlineLevel="1"/>
    <col min="17" max="17" width="11.109375" style="3" bestFit="1" customWidth="1" outlineLevel="1"/>
    <col min="18" max="18" width="6.109375" style="3" bestFit="1" customWidth="1" outlineLevel="1"/>
    <col min="19" max="19" width="9.21875" style="3" bestFit="1" customWidth="1" outlineLevel="1"/>
    <col min="20" max="20" width="5.88671875" style="3" bestFit="1" customWidth="1" outlineLevel="1"/>
    <col min="21" max="21" width="9.21875" style="3" bestFit="1" customWidth="1" outlineLevel="1"/>
    <col min="22" max="23" width="12.5546875" style="3" bestFit="1" customWidth="1" outlineLevel="1"/>
    <col min="24" max="25" width="9.21875" style="3" bestFit="1" customWidth="1" outlineLevel="1"/>
    <col min="26" max="26" width="13.33203125" style="3" bestFit="1" customWidth="1" outlineLevel="1"/>
    <col min="27" max="27" width="7.5546875" style="3" bestFit="1" customWidth="1" outlineLevel="1"/>
    <col min="28" max="28" width="7.109375" style="3" bestFit="1" customWidth="1" outlineLevel="1"/>
    <col min="29" max="29" width="7.5546875" style="3" bestFit="1" customWidth="1" outlineLevel="1"/>
    <col min="30" max="30" width="19.44140625" style="3" bestFit="1" customWidth="1" outlineLevel="1"/>
    <col min="31" max="31" width="19.44140625" style="3" bestFit="1" customWidth="1"/>
    <col min="32" max="33" width="5" style="3" customWidth="1"/>
    <col min="34" max="34" width="26" style="3" bestFit="1" customWidth="1"/>
    <col min="35" max="35" width="9.21875" style="3" bestFit="1" customWidth="1"/>
    <col min="36" max="36" width="14.6640625" style="3" bestFit="1" customWidth="1"/>
    <col min="37" max="37" width="9.21875" style="3" bestFit="1" customWidth="1"/>
    <col min="38" max="38" width="5.88671875" style="3" bestFit="1" customWidth="1"/>
    <col min="39" max="39" width="11.44140625" style="3" bestFit="1" customWidth="1"/>
    <col min="40" max="40" width="13.5546875" style="3" bestFit="1" customWidth="1"/>
    <col min="41" max="41" width="9.21875" style="3" bestFit="1" customWidth="1"/>
    <col min="42" max="42" width="15.21875" style="3" bestFit="1" customWidth="1"/>
    <col min="43" max="43" width="5.88671875" style="3" bestFit="1" customWidth="1"/>
    <col min="44" max="44" width="11.109375" style="3" bestFit="1" customWidth="1"/>
    <col min="45" max="46" width="10.88671875" style="55" bestFit="1" customWidth="1"/>
    <col min="47" max="47" width="9.21875" style="55" bestFit="1" customWidth="1"/>
    <col min="48" max="48" width="8.77734375" style="55" bestFit="1" customWidth="1"/>
    <col min="49" max="49" width="9.21875" style="55" bestFit="1" customWidth="1"/>
    <col min="50" max="51" width="9.44140625" style="55" bestFit="1" customWidth="1"/>
    <col min="52" max="53" width="11.109375" style="55" bestFit="1" customWidth="1"/>
    <col min="54" max="54" width="9.44140625" style="55" bestFit="1" customWidth="1"/>
    <col min="55" max="55" width="9" style="55" bestFit="1" customWidth="1"/>
    <col min="56" max="57" width="9.44140625" style="55" bestFit="1" customWidth="1"/>
    <col min="58" max="58" width="9.21875" style="55" bestFit="1" customWidth="1"/>
    <col min="59" max="59" width="8.77734375" style="55" bestFit="1" customWidth="1"/>
    <col min="60" max="60" width="9.21875" style="55" bestFit="1" customWidth="1"/>
    <col min="61" max="61" width="42.77734375" style="55" bestFit="1" customWidth="1"/>
    <col min="62" max="62" width="9.21875" style="55" bestFit="1" customWidth="1"/>
    <col min="63" max="63" width="9.44140625" style="55" bestFit="1" customWidth="1"/>
    <col min="64" max="64" width="8.77734375" style="55" bestFit="1" customWidth="1"/>
    <col min="65" max="65" width="9.21875" style="55" bestFit="1" customWidth="1"/>
    <col min="66" max="66" width="15.21875" style="55" bestFit="1" customWidth="1"/>
    <col min="67" max="67" width="5.88671875" style="55" bestFit="1" customWidth="1"/>
    <col min="68" max="68" width="10.77734375" style="55" bestFit="1" customWidth="1"/>
    <col min="69" max="69" width="10.88671875" style="55" bestFit="1" customWidth="1"/>
    <col min="70" max="70" width="11.44140625" style="55" bestFit="1" customWidth="1"/>
    <col min="71" max="71" width="13.5546875" style="55" bestFit="1" customWidth="1"/>
    <col min="72" max="72" width="42.77734375" style="55" bestFit="1" customWidth="1"/>
    <col min="73" max="73" width="9.21875" style="55" bestFit="1" customWidth="1"/>
    <col min="74" max="74" width="10.88671875" style="55" bestFit="1" customWidth="1"/>
    <col min="75" max="75" width="11.44140625" style="55" bestFit="1" customWidth="1"/>
    <col min="76" max="76" width="13.5546875" style="55" bestFit="1" customWidth="1"/>
    <col min="77" max="77" width="51.44140625" style="55" bestFit="1" customWidth="1"/>
    <col min="78" max="78" width="9.21875" style="55" bestFit="1" customWidth="1"/>
    <col min="79" max="79" width="51.44140625" style="55" bestFit="1" customWidth="1"/>
    <col min="80" max="80" width="9.21875" style="55" bestFit="1" customWidth="1"/>
    <col min="81" max="81" width="11.6640625" style="55" bestFit="1" customWidth="1"/>
    <col min="82" max="82" width="15.5546875" style="55" bestFit="1" customWidth="1"/>
    <col min="83" max="83" width="9.44140625" style="55" bestFit="1" customWidth="1"/>
    <col min="84" max="84" width="11.6640625" style="55" bestFit="1" customWidth="1"/>
    <col min="85" max="85" width="15.5546875" style="55" bestFit="1" customWidth="1"/>
    <col min="86" max="86" width="9.44140625" style="55" bestFit="1" customWidth="1"/>
    <col min="87" max="87" width="15.44140625" style="55" bestFit="1" customWidth="1"/>
    <col min="88" max="88" width="6.109375" style="55" bestFit="1" customWidth="1"/>
    <col min="89" max="89" width="15.21875" style="55" bestFit="1" customWidth="1"/>
    <col min="90" max="90" width="5.88671875" style="55" bestFit="1" customWidth="1"/>
    <col min="91" max="91" width="13.109375" style="55" bestFit="1" customWidth="1"/>
    <col min="92" max="92" width="5.88671875" style="55" bestFit="1" customWidth="1"/>
    <col min="93" max="93" width="9.6640625" style="55" bestFit="1" customWidth="1"/>
    <col min="94" max="94" width="14" style="55" bestFit="1" customWidth="1"/>
    <col min="95" max="95" width="14.109375" style="55" bestFit="1" customWidth="1"/>
    <col min="96" max="96" width="13.33203125" style="55" bestFit="1" customWidth="1"/>
    <col min="97" max="98" width="8.109375" style="55" customWidth="1"/>
    <col min="99" max="99" width="8.88671875" style="55" bestFit="1" customWidth="1"/>
    <col min="100" max="120" width="8.109375" style="3" customWidth="1"/>
    <col min="121" max="124" width="9" style="3" customWidth="1"/>
    <col min="125" max="125" width="2.88671875" style="3" customWidth="1"/>
    <col min="126" max="126" width="8.109375" style="3" customWidth="1"/>
    <col min="127" max="127" width="9" style="3" customWidth="1"/>
    <col min="128" max="128" width="6.109375" style="3" bestFit="1" customWidth="1"/>
    <col min="129" max="129" width="7.77734375" style="3" bestFit="1" customWidth="1"/>
    <col min="130" max="16384" width="8.88671875" style="3"/>
  </cols>
  <sheetData>
    <row r="1" spans="1:99" s="1" customFormat="1" ht="48.75" customHeight="1" x14ac:dyDescent="0.25">
      <c r="A1" s="76" t="s">
        <v>190</v>
      </c>
      <c r="B1" s="6"/>
      <c r="D1" s="141" t="str">
        <f>IF(LEN($E$6)-LEN(SUBSTITUTE($E$6,"/",""))=1,"请检查1.Download是否已Paste Value",0)</f>
        <v>请检查1.Download是否已Paste Value</v>
      </c>
      <c r="P1" s="8"/>
      <c r="AS1" s="55"/>
      <c r="AT1" s="55"/>
      <c r="AU1" s="55"/>
      <c r="AV1" s="55"/>
      <c r="AW1" s="55"/>
      <c r="AX1" s="55"/>
      <c r="AY1" s="55"/>
      <c r="AZ1" s="55"/>
      <c r="BA1" s="55"/>
      <c r="BB1" s="55"/>
      <c r="BC1" s="55"/>
      <c r="BD1" s="55"/>
      <c r="BE1" s="55"/>
      <c r="BF1" s="55"/>
      <c r="BG1" s="55"/>
      <c r="BH1" s="55"/>
      <c r="BI1" s="55"/>
      <c r="BJ1" s="55"/>
      <c r="BK1" s="55"/>
      <c r="BL1" s="55"/>
      <c r="BM1" s="55"/>
      <c r="BN1" s="55"/>
      <c r="BO1" s="55"/>
      <c r="BP1" s="55"/>
      <c r="BQ1" s="55"/>
      <c r="BR1" s="55"/>
      <c r="BS1" s="55"/>
      <c r="BT1" s="55"/>
      <c r="BU1" s="55"/>
      <c r="BV1" s="55"/>
      <c r="BW1" s="55"/>
      <c r="BX1" s="55"/>
      <c r="BY1" s="55"/>
      <c r="BZ1" s="55"/>
      <c r="CA1" s="55"/>
      <c r="CB1" s="55"/>
      <c r="CC1" s="55"/>
      <c r="CD1" s="55"/>
      <c r="CE1" s="55"/>
      <c r="CF1" s="55"/>
      <c r="CG1" s="55"/>
      <c r="CH1" s="55"/>
      <c r="CI1" s="55"/>
      <c r="CJ1" s="55"/>
      <c r="CK1" s="55"/>
      <c r="CL1" s="55"/>
      <c r="CM1" s="55"/>
      <c r="CN1" s="55"/>
      <c r="CO1" s="55"/>
      <c r="CP1" s="55"/>
      <c r="CQ1" s="55"/>
      <c r="CR1" s="55"/>
      <c r="CS1" s="55"/>
      <c r="CT1" s="55"/>
      <c r="CU1" s="55"/>
    </row>
    <row r="2" spans="1:99" s="1" customFormat="1" ht="25.5" customHeight="1" x14ac:dyDescent="0.25">
      <c r="AS2" s="55"/>
      <c r="AT2" s="55"/>
      <c r="AU2" s="55"/>
      <c r="AV2" s="55"/>
      <c r="AW2" s="55"/>
      <c r="AX2" s="55"/>
      <c r="AY2" s="55"/>
      <c r="AZ2" s="55"/>
      <c r="BA2" s="55"/>
      <c r="BB2" s="55"/>
      <c r="BC2" s="55"/>
      <c r="BD2" s="55"/>
      <c r="BE2" s="55"/>
      <c r="BF2" s="55"/>
      <c r="BG2" s="55"/>
      <c r="BH2" s="55"/>
      <c r="BI2" s="55"/>
      <c r="BJ2" s="55"/>
      <c r="BK2" s="55"/>
      <c r="BL2" s="55"/>
      <c r="BM2" s="55"/>
      <c r="BN2" s="55"/>
      <c r="BO2" s="55"/>
      <c r="BP2" s="55"/>
      <c r="BQ2" s="55"/>
      <c r="BR2" s="55"/>
      <c r="BS2" s="55"/>
      <c r="BT2" s="55"/>
      <c r="BU2" s="55"/>
      <c r="BV2" s="55"/>
      <c r="BW2" s="55"/>
      <c r="BX2" s="55"/>
      <c r="BY2" s="55"/>
      <c r="BZ2" s="55"/>
      <c r="CA2" s="55"/>
      <c r="CB2" s="55"/>
      <c r="CC2" s="55"/>
      <c r="CI2" s="55"/>
      <c r="CJ2" s="55"/>
      <c r="CK2" s="55"/>
      <c r="CL2" s="55"/>
      <c r="CM2" s="55"/>
      <c r="CN2" s="55"/>
      <c r="CO2" s="55"/>
      <c r="CP2" s="55"/>
      <c r="CQ2" s="55"/>
      <c r="CR2" s="55"/>
      <c r="CS2" s="55"/>
      <c r="CT2" s="55"/>
      <c r="CU2" s="55"/>
    </row>
    <row r="3" spans="1:99" s="1" customFormat="1" ht="25.5" customHeight="1" x14ac:dyDescent="0.25">
      <c r="AS3" s="55"/>
      <c r="AT3" s="55"/>
      <c r="AU3" s="55"/>
      <c r="AV3" s="55"/>
      <c r="AW3" s="55"/>
      <c r="AX3" s="55"/>
      <c r="AY3" s="55"/>
      <c r="AZ3" s="55"/>
      <c r="BA3" s="55"/>
      <c r="BB3" s="55"/>
      <c r="BC3" s="55"/>
      <c r="BD3" s="55"/>
      <c r="BE3" s="55"/>
      <c r="BF3" s="55"/>
      <c r="BG3" s="55"/>
      <c r="BH3" s="55"/>
      <c r="BI3" s="55"/>
      <c r="BJ3" s="55"/>
      <c r="BK3" s="55"/>
      <c r="BL3" s="55"/>
      <c r="BM3" s="55"/>
      <c r="BN3" s="55"/>
      <c r="BO3" s="55"/>
      <c r="BP3" s="55"/>
      <c r="BQ3" s="55"/>
      <c r="BR3" s="55"/>
      <c r="BS3" s="55"/>
      <c r="BT3" s="55"/>
      <c r="BU3" s="55"/>
      <c r="BV3" s="55"/>
      <c r="BW3" s="55"/>
      <c r="BX3" s="55"/>
      <c r="BY3" s="55"/>
      <c r="BZ3" s="55"/>
      <c r="CA3" s="55"/>
      <c r="CB3" s="55"/>
      <c r="CC3" s="55"/>
      <c r="CI3" s="55"/>
      <c r="CJ3" s="55"/>
      <c r="CK3" s="55"/>
      <c r="CL3" s="55"/>
      <c r="CM3" s="55"/>
      <c r="CN3" s="55"/>
      <c r="CO3" s="55"/>
      <c r="CP3" s="55"/>
      <c r="CQ3" s="55"/>
      <c r="CR3" s="55"/>
      <c r="CS3" s="55"/>
      <c r="CT3" s="55"/>
      <c r="CU3" s="55"/>
    </row>
    <row r="4" spans="1:99" ht="61.5" customHeight="1" x14ac:dyDescent="0.25">
      <c r="O4" s="5"/>
      <c r="P4" s="8"/>
      <c r="Q4" s="8"/>
      <c r="S4" s="3" t="str">
        <f ca="1">RIGHT(CELL("filename",tbl_review[[#Headers],[定价日]]),LEN(CELL("filename",tbl_review[[#Headers],[定价日]]))-FIND("]",CELL("filename",tbl_review[[#Headers],[定价日]])))</f>
        <v>REVIEW_LIST</v>
      </c>
    </row>
    <row r="5" spans="1:99" ht="15" x14ac:dyDescent="0.25">
      <c r="A5" t="s">
        <v>189</v>
      </c>
      <c r="C5" t="s">
        <v>57</v>
      </c>
      <c r="D5" t="s">
        <v>106</v>
      </c>
      <c r="E5" t="s">
        <v>228</v>
      </c>
      <c r="F5" t="s">
        <v>176</v>
      </c>
      <c r="G5" t="s">
        <v>391</v>
      </c>
      <c r="H5" t="s">
        <v>49</v>
      </c>
      <c r="I5" t="s">
        <v>73</v>
      </c>
      <c r="J5" t="s">
        <v>66</v>
      </c>
      <c r="K5" t="s">
        <v>97</v>
      </c>
      <c r="L5" t="s">
        <v>144</v>
      </c>
      <c r="M5" t="s">
        <v>98</v>
      </c>
      <c r="N5" t="s">
        <v>62</v>
      </c>
      <c r="O5" t="s">
        <v>216</v>
      </c>
      <c r="P5" t="s">
        <v>180</v>
      </c>
      <c r="Q5" t="s">
        <v>199</v>
      </c>
      <c r="R5" t="s">
        <v>103</v>
      </c>
      <c r="S5" t="s">
        <v>182</v>
      </c>
      <c r="T5" t="s">
        <v>197</v>
      </c>
      <c r="U5" t="s">
        <v>218</v>
      </c>
      <c r="V5" t="s">
        <v>60</v>
      </c>
      <c r="W5" t="s">
        <v>59</v>
      </c>
      <c r="X5" t="s">
        <v>269</v>
      </c>
      <c r="Y5" t="s">
        <v>271</v>
      </c>
      <c r="Z5" t="s">
        <v>56</v>
      </c>
      <c r="AA5" t="s">
        <v>224</v>
      </c>
      <c r="AB5" t="s">
        <v>225</v>
      </c>
      <c r="AC5" t="s">
        <v>272</v>
      </c>
      <c r="AD5" t="s">
        <v>181</v>
      </c>
      <c r="AE5" s="67"/>
      <c r="AH5" s="110" t="s">
        <v>106</v>
      </c>
      <c r="AI5" s="110" t="s">
        <v>181</v>
      </c>
      <c r="AJ5" s="110" t="s">
        <v>56</v>
      </c>
      <c r="AK5" s="110" t="s">
        <v>57</v>
      </c>
      <c r="AL5" s="111" t="s">
        <v>264</v>
      </c>
      <c r="AM5" s="111" t="s">
        <v>223</v>
      </c>
      <c r="AN5" s="111" t="s">
        <v>239</v>
      </c>
      <c r="AO5" s="110" t="s">
        <v>222</v>
      </c>
      <c r="AP5" s="111" t="s">
        <v>233</v>
      </c>
      <c r="AQ5" s="111" t="s">
        <v>221</v>
      </c>
      <c r="AR5" s="110" t="s">
        <v>191</v>
      </c>
      <c r="AS5" s="111" t="s">
        <v>237</v>
      </c>
      <c r="AT5" s="111" t="s">
        <v>238</v>
      </c>
      <c r="AU5" s="111" t="s">
        <v>257</v>
      </c>
      <c r="AV5" s="111" t="s">
        <v>258</v>
      </c>
      <c r="AW5" s="111" t="s">
        <v>259</v>
      </c>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row>
    <row r="6" spans="1:99" ht="15" x14ac:dyDescent="0.25">
      <c r="A6" t="s">
        <v>57</v>
      </c>
      <c r="C6" s="133">
        <v>45148</v>
      </c>
      <c r="D6" s="113" t="s">
        <v>392</v>
      </c>
      <c r="E6" s="113" t="s">
        <v>396</v>
      </c>
      <c r="F6" s="113" t="s">
        <v>396</v>
      </c>
      <c r="G6" s="137" t="s">
        <v>46</v>
      </c>
      <c r="H6" s="113" t="s">
        <v>8</v>
      </c>
      <c r="I6" s="113" t="s">
        <v>95</v>
      </c>
      <c r="J6" s="113">
        <v>3.1</v>
      </c>
      <c r="K6" s="113" t="s">
        <v>196</v>
      </c>
      <c r="L6" s="113" t="s">
        <v>398</v>
      </c>
      <c r="M6" s="113" t="s">
        <v>544</v>
      </c>
      <c r="N6" s="113" t="s">
        <v>398</v>
      </c>
      <c r="O6" s="113">
        <v>20</v>
      </c>
      <c r="P6" s="113" t="s">
        <v>8</v>
      </c>
      <c r="Q6" s="113" t="s">
        <v>8</v>
      </c>
      <c r="R6" s="113" t="s">
        <v>329</v>
      </c>
      <c r="S6" s="113"/>
      <c r="T6" s="113"/>
      <c r="U6" s="113" t="s">
        <v>139</v>
      </c>
      <c r="V6" s="113">
        <v>7.4</v>
      </c>
      <c r="W6" s="113" t="s">
        <v>320</v>
      </c>
      <c r="X6" s="113" t="s">
        <v>104</v>
      </c>
      <c r="Y6" s="113" t="s">
        <v>104</v>
      </c>
      <c r="Z6" s="113" t="s">
        <v>394</v>
      </c>
      <c r="AA6" s="113">
        <v>3.1</v>
      </c>
      <c r="AB6" s="113">
        <v>22.425000000000001</v>
      </c>
      <c r="AC6" s="113">
        <v>24.239000000000001</v>
      </c>
      <c r="AD6" s="114" t="s">
        <v>408</v>
      </c>
      <c r="AE6" s="67"/>
      <c r="AH6" s="115" t="s">
        <v>409</v>
      </c>
      <c r="AI6" s="116" t="s">
        <v>421</v>
      </c>
      <c r="AJ6" s="115" t="s">
        <v>411</v>
      </c>
      <c r="AK6" s="117">
        <v>45147</v>
      </c>
      <c r="AL6" s="118">
        <v>53</v>
      </c>
      <c r="AM6" s="118" t="s">
        <v>244</v>
      </c>
      <c r="AN6" s="118" t="s">
        <v>562</v>
      </c>
      <c r="AO6" s="118" t="s">
        <v>231</v>
      </c>
      <c r="AP6" s="118"/>
      <c r="AQ6" s="118"/>
      <c r="AR6" s="118" t="s">
        <v>194</v>
      </c>
      <c r="AS6" s="118" t="s">
        <v>8</v>
      </c>
      <c r="AT6" s="118" t="s">
        <v>8</v>
      </c>
      <c r="AU6" s="118"/>
      <c r="AV6" s="118"/>
      <c r="AW6" s="118"/>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row>
    <row r="7" spans="1:99" ht="15" x14ac:dyDescent="0.25">
      <c r="A7" t="s">
        <v>106</v>
      </c>
      <c r="C7" s="133">
        <v>45147</v>
      </c>
      <c r="D7" s="113" t="s">
        <v>409</v>
      </c>
      <c r="E7" s="113" t="s">
        <v>163</v>
      </c>
      <c r="F7" s="113" t="s">
        <v>163</v>
      </c>
      <c r="G7" s="137" t="s">
        <v>316</v>
      </c>
      <c r="H7" s="113" t="s">
        <v>545</v>
      </c>
      <c r="I7" s="113" t="s">
        <v>120</v>
      </c>
      <c r="J7" s="113">
        <v>2.569</v>
      </c>
      <c r="K7" s="113" t="s">
        <v>196</v>
      </c>
      <c r="L7" s="113" t="s">
        <v>418</v>
      </c>
      <c r="M7" s="113"/>
      <c r="N7" s="113"/>
      <c r="O7" s="113"/>
      <c r="P7" s="113" t="s">
        <v>8</v>
      </c>
      <c r="Q7" s="113" t="s">
        <v>8</v>
      </c>
      <c r="R7" s="113" t="s">
        <v>329</v>
      </c>
      <c r="S7" s="113"/>
      <c r="T7" s="113"/>
      <c r="U7" s="113" t="s">
        <v>139</v>
      </c>
      <c r="V7" s="113">
        <v>4.6500000000000004</v>
      </c>
      <c r="W7" s="113" t="s">
        <v>334</v>
      </c>
      <c r="X7" s="113" t="s">
        <v>104</v>
      </c>
      <c r="Y7" s="113" t="s">
        <v>104</v>
      </c>
      <c r="Z7" s="113" t="s">
        <v>411</v>
      </c>
      <c r="AA7" s="113">
        <v>0.35499999999999998</v>
      </c>
      <c r="AB7" s="113">
        <v>2.569</v>
      </c>
      <c r="AC7" s="113">
        <v>2.7770000000000001</v>
      </c>
      <c r="AD7" s="114" t="s">
        <v>421</v>
      </c>
      <c r="AE7" s="67"/>
      <c r="AH7" s="115" t="s">
        <v>392</v>
      </c>
      <c r="AI7" s="116" t="s">
        <v>408</v>
      </c>
      <c r="AJ7" s="115" t="s">
        <v>394</v>
      </c>
      <c r="AK7" s="117">
        <v>45148</v>
      </c>
      <c r="AL7" s="118">
        <v>54</v>
      </c>
      <c r="AM7" s="118" t="s">
        <v>235</v>
      </c>
      <c r="AN7" s="118" t="s">
        <v>563</v>
      </c>
      <c r="AO7" s="118" t="s">
        <v>231</v>
      </c>
      <c r="AP7" s="118"/>
      <c r="AQ7" s="118"/>
      <c r="AR7" s="118" t="s">
        <v>193</v>
      </c>
      <c r="AS7" s="118" t="s">
        <v>8</v>
      </c>
      <c r="AT7" s="118" t="s">
        <v>8</v>
      </c>
      <c r="AU7" s="118"/>
      <c r="AV7" s="118"/>
      <c r="AW7" s="118"/>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row>
    <row r="8" spans="1:99" ht="15" x14ac:dyDescent="0.25">
      <c r="A8" t="s">
        <v>228</v>
      </c>
      <c r="C8" s="133">
        <v>45146</v>
      </c>
      <c r="D8" s="113" t="s">
        <v>445</v>
      </c>
      <c r="E8" s="113" t="s">
        <v>163</v>
      </c>
      <c r="F8" s="113" t="s">
        <v>163</v>
      </c>
      <c r="G8" s="137" t="s">
        <v>316</v>
      </c>
      <c r="H8" s="113" t="s">
        <v>548</v>
      </c>
      <c r="I8" s="113" t="s">
        <v>120</v>
      </c>
      <c r="J8" s="113">
        <v>4.8499999999999996</v>
      </c>
      <c r="K8" s="113" t="s">
        <v>196</v>
      </c>
      <c r="L8" s="113" t="s">
        <v>450</v>
      </c>
      <c r="M8" s="113" t="s">
        <v>549</v>
      </c>
      <c r="N8" s="113" t="s">
        <v>450</v>
      </c>
      <c r="O8" s="113">
        <v>40</v>
      </c>
      <c r="P8" s="113" t="s">
        <v>8</v>
      </c>
      <c r="Q8" s="113" t="s">
        <v>8</v>
      </c>
      <c r="R8" s="113" t="s">
        <v>329</v>
      </c>
      <c r="S8" s="113"/>
      <c r="T8" s="113"/>
      <c r="U8" s="113" t="s">
        <v>139</v>
      </c>
      <c r="V8" s="113">
        <v>3.9</v>
      </c>
      <c r="W8" s="113" t="s">
        <v>455</v>
      </c>
      <c r="X8" s="113" t="s">
        <v>104</v>
      </c>
      <c r="Y8" s="113" t="s">
        <v>104</v>
      </c>
      <c r="Z8" s="113" t="s">
        <v>447</v>
      </c>
      <c r="AA8" s="113">
        <v>0.66900000000000004</v>
      </c>
      <c r="AB8" s="113">
        <v>4.8499999999999996</v>
      </c>
      <c r="AC8" s="113">
        <v>5.2329999999999997</v>
      </c>
      <c r="AD8" s="114" t="s">
        <v>460</v>
      </c>
      <c r="AE8" s="67"/>
      <c r="AH8" s="115" t="s">
        <v>422</v>
      </c>
      <c r="AI8" s="116" t="s">
        <v>444</v>
      </c>
      <c r="AJ8" s="115" t="s">
        <v>424</v>
      </c>
      <c r="AK8" s="117">
        <v>45146</v>
      </c>
      <c r="AL8" s="118"/>
      <c r="AM8" s="118"/>
      <c r="AN8" s="118"/>
      <c r="AO8" s="118"/>
      <c r="AP8" s="118"/>
      <c r="AQ8" s="118"/>
      <c r="AR8" s="118" t="s">
        <v>8</v>
      </c>
      <c r="AS8" s="118" t="s">
        <v>193</v>
      </c>
      <c r="AT8" s="118" t="s">
        <v>8</v>
      </c>
      <c r="AU8" s="118"/>
      <c r="AV8" s="118"/>
      <c r="AW8" s="118"/>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row>
    <row r="9" spans="1:99" ht="15" x14ac:dyDescent="0.25">
      <c r="A9" t="s">
        <v>176</v>
      </c>
      <c r="C9" s="133">
        <v>45146</v>
      </c>
      <c r="D9" s="113" t="s">
        <v>422</v>
      </c>
      <c r="E9" s="113" t="s">
        <v>426</v>
      </c>
      <c r="F9" s="113" t="s">
        <v>163</v>
      </c>
      <c r="G9" s="137" t="s">
        <v>315</v>
      </c>
      <c r="H9" s="113" t="s">
        <v>8</v>
      </c>
      <c r="I9" s="113" t="s">
        <v>95</v>
      </c>
      <c r="J9" s="113">
        <v>20</v>
      </c>
      <c r="K9" s="113" t="s">
        <v>546</v>
      </c>
      <c r="L9" s="113" t="s">
        <v>429</v>
      </c>
      <c r="M9" s="113" t="s">
        <v>547</v>
      </c>
      <c r="N9" s="113" t="s">
        <v>429</v>
      </c>
      <c r="O9" s="113">
        <v>45</v>
      </c>
      <c r="P9" s="113" t="s">
        <v>8</v>
      </c>
      <c r="Q9" s="113" t="s">
        <v>434</v>
      </c>
      <c r="R9" s="113" t="s">
        <v>329</v>
      </c>
      <c r="S9" s="113"/>
      <c r="T9" s="113"/>
      <c r="U9" s="113" t="s">
        <v>139</v>
      </c>
      <c r="V9" s="113">
        <v>5.35</v>
      </c>
      <c r="W9" s="113" t="s">
        <v>104</v>
      </c>
      <c r="X9" s="113" t="s">
        <v>104</v>
      </c>
      <c r="Y9" s="113" t="s">
        <v>104</v>
      </c>
      <c r="Z9" s="113" t="s">
        <v>424</v>
      </c>
      <c r="AA9" s="113">
        <v>20</v>
      </c>
      <c r="AB9" s="113">
        <v>144.78</v>
      </c>
      <c r="AC9" s="113">
        <v>156.26</v>
      </c>
      <c r="AD9" s="114" t="s">
        <v>444</v>
      </c>
      <c r="AE9" s="67"/>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row>
    <row r="10" spans="1:99" ht="15" x14ac:dyDescent="0.25">
      <c r="A10" t="s">
        <v>391</v>
      </c>
      <c r="C10" s="133">
        <v>45145</v>
      </c>
      <c r="D10" s="113" t="s">
        <v>463</v>
      </c>
      <c r="E10" s="113" t="s">
        <v>163</v>
      </c>
      <c r="F10" s="113" t="s">
        <v>163</v>
      </c>
      <c r="G10" s="137" t="s">
        <v>468</v>
      </c>
      <c r="H10" s="113" t="s">
        <v>550</v>
      </c>
      <c r="I10" s="113" t="s">
        <v>95</v>
      </c>
      <c r="J10" s="113">
        <v>0.7</v>
      </c>
      <c r="K10" s="113" t="s">
        <v>196</v>
      </c>
      <c r="L10" s="113" t="s">
        <v>340</v>
      </c>
      <c r="M10" s="113" t="s">
        <v>551</v>
      </c>
      <c r="N10" s="113" t="s">
        <v>340</v>
      </c>
      <c r="O10" s="113">
        <v>55</v>
      </c>
      <c r="P10" s="113" t="s">
        <v>552</v>
      </c>
      <c r="Q10" s="113" t="s">
        <v>8</v>
      </c>
      <c r="R10" s="113" t="s">
        <v>329</v>
      </c>
      <c r="S10" s="113"/>
      <c r="T10" s="113"/>
      <c r="U10" s="113" t="s">
        <v>139</v>
      </c>
      <c r="V10" s="113">
        <v>5.75</v>
      </c>
      <c r="W10" s="113" t="s">
        <v>320</v>
      </c>
      <c r="X10" s="113" t="s">
        <v>104</v>
      </c>
      <c r="Y10" s="113" t="s">
        <v>104</v>
      </c>
      <c r="Z10" s="113" t="s">
        <v>465</v>
      </c>
      <c r="AA10" s="113">
        <v>0.7</v>
      </c>
      <c r="AB10" s="113">
        <v>5.0419999999999998</v>
      </c>
      <c r="AC10" s="113">
        <v>5.4649999999999999</v>
      </c>
      <c r="AD10" s="114" t="s">
        <v>479</v>
      </c>
      <c r="AE10" s="55"/>
      <c r="AF10" s="55"/>
      <c r="AG10" s="55"/>
      <c r="AH10" s="55"/>
      <c r="AI10" s="55"/>
      <c r="AJ10" s="55"/>
      <c r="AK10" s="67"/>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row>
    <row r="11" spans="1:99" ht="15" x14ac:dyDescent="0.25">
      <c r="A11" t="s">
        <v>49</v>
      </c>
      <c r="L11" s="55"/>
      <c r="M11" s="55"/>
      <c r="N11" s="55"/>
      <c r="O11" s="55"/>
      <c r="P11" s="55"/>
      <c r="Q11" s="55"/>
      <c r="R11" s="55"/>
      <c r="S11" s="55"/>
      <c r="T11" s="55"/>
      <c r="U11" s="55"/>
      <c r="V11" s="55"/>
      <c r="W11" s="55"/>
      <c r="X11" s="55"/>
      <c r="Y11" s="55"/>
      <c r="Z11" s="55"/>
      <c r="AA11" s="55"/>
      <c r="AB11" s="55"/>
      <c r="AC11" s="55"/>
      <c r="AD11" s="55"/>
      <c r="AE11" s="55"/>
      <c r="AF11" s="55"/>
      <c r="AG11" s="55"/>
      <c r="AH11" s="55"/>
      <c r="AI11" t="s">
        <v>106</v>
      </c>
      <c r="AJ11" t="s">
        <v>229</v>
      </c>
      <c r="AK11" t="s">
        <v>266</v>
      </c>
      <c r="AL11" t="s">
        <v>296</v>
      </c>
      <c r="AN11" s="55"/>
      <c r="AY11" s="67"/>
      <c r="AZ11" s="3"/>
      <c r="BA11" s="3"/>
      <c r="BE11" s="3"/>
      <c r="BG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row>
    <row r="12" spans="1:99" ht="15" x14ac:dyDescent="0.25">
      <c r="A12" t="s">
        <v>73</v>
      </c>
      <c r="L12" s="55"/>
      <c r="M12" s="55"/>
      <c r="N12" s="55"/>
      <c r="O12" s="55"/>
      <c r="P12" s="55"/>
      <c r="Q12" s="55"/>
      <c r="R12" s="55"/>
      <c r="S12" s="55"/>
      <c r="T12" s="55"/>
      <c r="U12" s="55"/>
      <c r="V12" s="55"/>
      <c r="W12" s="55"/>
      <c r="X12" s="55"/>
      <c r="Y12" s="55"/>
      <c r="Z12" s="55"/>
      <c r="AA12" s="55"/>
      <c r="AB12" s="55"/>
      <c r="AC12" s="55"/>
      <c r="AD12" s="55"/>
      <c r="AE12" s="55"/>
      <c r="AF12" s="55"/>
      <c r="AG12" s="55"/>
      <c r="AH12" s="55"/>
      <c r="AI12"/>
      <c r="AJ12"/>
      <c r="AK12"/>
      <c r="AL12"/>
      <c r="AN12" s="55"/>
      <c r="BA12" s="3"/>
      <c r="BE12" s="3"/>
      <c r="BG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row>
    <row r="13" spans="1:99" ht="15" x14ac:dyDescent="0.25">
      <c r="A13" t="s">
        <v>66</v>
      </c>
      <c r="L13" s="55"/>
      <c r="M13" s="55"/>
      <c r="N13" s="55"/>
      <c r="O13" s="55"/>
      <c r="P13" s="55"/>
      <c r="Q13" s="55"/>
      <c r="R13" s="55"/>
      <c r="S13" s="55"/>
      <c r="T13" s="55"/>
      <c r="U13" s="55"/>
      <c r="V13" s="55"/>
      <c r="W13" s="55"/>
      <c r="X13" s="55"/>
      <c r="Y13" s="55"/>
      <c r="Z13" s="55"/>
      <c r="AA13" s="55"/>
      <c r="AB13" s="55"/>
      <c r="AC13" s="55"/>
      <c r="AD13" s="55"/>
      <c r="AE13" s="55"/>
      <c r="AF13" s="55"/>
      <c r="AG13" s="55"/>
      <c r="AH13" s="55"/>
      <c r="AI13" s="55"/>
      <c r="AJ13" s="55"/>
      <c r="AK13" s="55"/>
      <c r="AL13" s="55"/>
      <c r="AN13" s="55"/>
      <c r="BB13" s="3"/>
      <c r="BD13" s="3"/>
      <c r="BE13" s="3"/>
      <c r="BF13" s="3"/>
      <c r="BG13" s="3"/>
      <c r="BK13" s="3"/>
      <c r="BL13" s="3"/>
      <c r="BM13" s="3"/>
      <c r="BN13" s="3"/>
      <c r="BO13" s="3"/>
      <c r="BP13" s="3"/>
      <c r="BQ13" s="3"/>
      <c r="BR13" s="3"/>
      <c r="BS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row>
    <row r="14" spans="1:99" ht="15" x14ac:dyDescent="0.25">
      <c r="A14" t="s">
        <v>97</v>
      </c>
      <c r="L14" s="55"/>
      <c r="M14" s="55"/>
      <c r="N14" s="55"/>
      <c r="O14" s="55"/>
      <c r="P14" s="55"/>
      <c r="Q14" s="55"/>
      <c r="R14" s="55"/>
      <c r="S14" s="55"/>
      <c r="T14" s="55"/>
      <c r="U14" s="55"/>
      <c r="V14" s="55"/>
      <c r="W14" s="55"/>
      <c r="X14" s="55"/>
      <c r="Y14" s="55"/>
      <c r="Z14" s="55"/>
      <c r="AA14" s="55"/>
      <c r="AB14" s="55"/>
      <c r="AC14" s="55"/>
      <c r="AD14" s="55"/>
      <c r="AE14" s="55"/>
      <c r="AF14" s="55"/>
      <c r="AG14" s="55"/>
      <c r="AH14" s="55"/>
      <c r="AI14" s="55"/>
      <c r="AJ14" s="55"/>
      <c r="AK14" s="55"/>
      <c r="AL14" s="55"/>
      <c r="AN14" s="55"/>
      <c r="BB14" s="3"/>
      <c r="BD14" s="3"/>
      <c r="BE14" s="3"/>
      <c r="BF14" s="3"/>
      <c r="BG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c r="CS14" s="3"/>
      <c r="CT14" s="3"/>
      <c r="CU14" s="3"/>
    </row>
    <row r="15" spans="1:99" ht="15" x14ac:dyDescent="0.25">
      <c r="A15" t="s">
        <v>144</v>
      </c>
      <c r="L15" s="55"/>
      <c r="M15" s="55"/>
      <c r="N15" s="55"/>
      <c r="O15" s="55"/>
      <c r="P15" s="55"/>
      <c r="Q15" s="55"/>
      <c r="R15" s="55"/>
      <c r="S15" s="55"/>
      <c r="T15" s="55"/>
      <c r="U15" s="55"/>
      <c r="V15" s="55"/>
      <c r="W15" s="55"/>
      <c r="X15" s="55"/>
      <c r="Y15" s="55"/>
      <c r="Z15" s="55"/>
      <c r="AA15" s="55"/>
      <c r="AB15" s="55"/>
      <c r="AC15" s="55"/>
      <c r="AD15" s="55"/>
      <c r="AE15" s="55"/>
      <c r="AF15" s="55"/>
      <c r="AG15" s="55"/>
      <c r="AH15" s="55"/>
      <c r="AI15" s="55"/>
      <c r="AJ15" s="55"/>
      <c r="AK15" s="55"/>
      <c r="AL15" s="55"/>
      <c r="AN15" s="55"/>
      <c r="BB15" s="3"/>
      <c r="BD15" s="3"/>
      <c r="BE15" s="3"/>
      <c r="BF15" s="3"/>
      <c r="BG15" s="3"/>
      <c r="BH15" s="3"/>
      <c r="BI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c r="CS15" s="3"/>
      <c r="CT15" s="3"/>
      <c r="CU15" s="3"/>
    </row>
    <row r="16" spans="1:99" ht="15" x14ac:dyDescent="0.25">
      <c r="A16" t="s">
        <v>98</v>
      </c>
      <c r="L16" s="55"/>
      <c r="M16" s="55"/>
      <c r="N16" s="55"/>
      <c r="O16" s="55"/>
      <c r="P16" s="55"/>
      <c r="Q16" s="55"/>
      <c r="R16" s="55"/>
      <c r="S16" s="55"/>
      <c r="T16" s="55"/>
      <c r="U16" s="55"/>
      <c r="V16" s="55"/>
      <c r="W16" s="55"/>
      <c r="X16" s="55"/>
      <c r="Y16" s="55"/>
      <c r="Z16" s="55"/>
      <c r="AA16" s="55"/>
      <c r="AB16" s="55"/>
      <c r="AC16" s="55"/>
      <c r="AD16" s="55"/>
      <c r="AE16" s="55"/>
      <c r="AF16" s="55"/>
      <c r="AG16" s="55"/>
      <c r="AH16" s="55"/>
      <c r="AI16" s="55"/>
      <c r="AJ16" s="55"/>
      <c r="AK16" s="55"/>
      <c r="AL16" s="55"/>
      <c r="AM16" s="55"/>
      <c r="AN16" s="55"/>
      <c r="AO16" s="55"/>
      <c r="AP16" s="55"/>
      <c r="AQ16" s="55"/>
      <c r="AR16" s="55"/>
      <c r="BB16" s="3"/>
      <c r="BD16" s="3"/>
      <c r="BE16" s="3"/>
      <c r="BF16" s="3"/>
      <c r="BG16" s="3"/>
      <c r="BH16" s="3"/>
      <c r="BI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c r="CS16" s="3"/>
      <c r="CT16" s="3"/>
      <c r="CU16" s="3"/>
    </row>
    <row r="17" spans="1:99" ht="15" x14ac:dyDescent="0.25">
      <c r="A17" t="s">
        <v>62</v>
      </c>
      <c r="L17" s="55"/>
      <c r="M17" s="55"/>
      <c r="N17" s="55"/>
      <c r="O17" s="55"/>
      <c r="P17" s="55"/>
      <c r="Q17" s="55"/>
      <c r="R17" s="55"/>
      <c r="S17" s="55"/>
      <c r="T17" s="55"/>
      <c r="U17" s="55"/>
      <c r="V17" s="55"/>
      <c r="W17" s="55"/>
      <c r="X17" s="55"/>
      <c r="Y17" s="55"/>
      <c r="Z17" s="55"/>
      <c r="AA17" s="55"/>
      <c r="AB17" s="55"/>
      <c r="AC17" s="55"/>
      <c r="AD17" s="55"/>
      <c r="AE17" s="55"/>
      <c r="AF17" s="55"/>
      <c r="AG17" s="55"/>
      <c r="AH17" s="55"/>
      <c r="AI17" s="55"/>
      <c r="AJ17" s="55"/>
      <c r="AK17" s="55"/>
      <c r="AL17" s="55"/>
      <c r="AM17" s="55"/>
      <c r="AN17" s="55"/>
      <c r="AO17" s="55"/>
      <c r="AP17" s="55"/>
      <c r="AQ17" s="55"/>
      <c r="AR17" s="55"/>
      <c r="BB17" s="3"/>
      <c r="BD17" s="3"/>
      <c r="BE17" s="3"/>
      <c r="BF17" s="3"/>
      <c r="BG17" s="3"/>
      <c r="BH17" s="3"/>
      <c r="BI17" s="3"/>
      <c r="BM17" s="3"/>
      <c r="BN17" s="3"/>
      <c r="BO17" s="3"/>
      <c r="BP17" s="3"/>
      <c r="BQ17" s="3"/>
      <c r="BR17" s="3"/>
      <c r="BS17" s="3"/>
      <c r="BT17" s="3"/>
      <c r="BU17" s="3"/>
      <c r="BV17" s="3"/>
      <c r="BW17" s="3"/>
      <c r="BX17" s="3"/>
      <c r="BY17" s="3"/>
      <c r="BZ17" s="3"/>
      <c r="CA17" s="3"/>
      <c r="CB17" s="3"/>
      <c r="CC17" s="3"/>
      <c r="CD17" s="3"/>
      <c r="CE17" s="3"/>
      <c r="CF17" s="3"/>
      <c r="CG17" s="3"/>
      <c r="CH17" s="3"/>
      <c r="CI17" s="3"/>
      <c r="CJ17" s="3"/>
      <c r="CK17" s="3"/>
      <c r="CL17" s="3"/>
      <c r="CM17" s="3"/>
      <c r="CN17" s="3"/>
      <c r="CO17" s="3"/>
      <c r="CP17" s="3"/>
      <c r="CQ17" s="3"/>
      <c r="CR17" s="3"/>
      <c r="CS17" s="3"/>
      <c r="CT17" s="3"/>
      <c r="CU17" s="3"/>
    </row>
    <row r="18" spans="1:99" ht="15" x14ac:dyDescent="0.25">
      <c r="A18" t="s">
        <v>216</v>
      </c>
      <c r="L18" s="55"/>
      <c r="M18" s="55"/>
      <c r="N18" s="55"/>
      <c r="O18" s="55"/>
      <c r="P18" s="55"/>
      <c r="Q18" s="55"/>
      <c r="R18" s="55"/>
      <c r="S18" s="55"/>
      <c r="T18" s="55"/>
      <c r="U18" s="55"/>
      <c r="V18" s="55"/>
      <c r="W18" s="55"/>
      <c r="X18" s="55"/>
      <c r="Y18" s="55"/>
      <c r="Z18" s="55"/>
      <c r="AA18" s="55"/>
      <c r="AB18" s="55"/>
      <c r="AC18" s="55"/>
      <c r="AD18" s="55"/>
      <c r="AE18" s="55"/>
      <c r="AF18" s="55"/>
      <c r="AG18" s="55"/>
      <c r="AH18" s="55"/>
      <c r="AI18" s="55"/>
      <c r="AJ18" s="55"/>
      <c r="AK18" s="55"/>
      <c r="AL18" s="55"/>
      <c r="AM18" s="55"/>
      <c r="AN18" s="55"/>
      <c r="AO18" s="55"/>
      <c r="AP18" s="55"/>
      <c r="AQ18" s="55"/>
      <c r="AR18" s="55"/>
      <c r="BB18" s="3"/>
      <c r="BD18" s="3"/>
      <c r="BE18" s="3"/>
      <c r="BF18" s="3"/>
      <c r="BG18" s="3"/>
      <c r="BH18" s="3"/>
      <c r="BI18" s="3"/>
      <c r="BJ18" s="3"/>
      <c r="BN18" s="3"/>
      <c r="BO18" s="3"/>
      <c r="BP18" s="3"/>
      <c r="BQ18" s="3"/>
      <c r="BR18" s="3"/>
      <c r="BS18" s="3"/>
      <c r="BT18" s="3"/>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row>
    <row r="19" spans="1:99" ht="15" x14ac:dyDescent="0.25">
      <c r="A19" t="s">
        <v>180</v>
      </c>
      <c r="L19" s="55"/>
      <c r="M19" s="55"/>
      <c r="N19" s="55"/>
      <c r="O19" s="55"/>
      <c r="P19" s="55"/>
      <c r="Q19" s="55"/>
      <c r="R19" s="55"/>
      <c r="S19" s="55"/>
      <c r="T19" s="55"/>
      <c r="U19" s="55"/>
      <c r="V19" s="55"/>
      <c r="W19" s="55"/>
      <c r="X19" s="55"/>
      <c r="Y19" s="55"/>
      <c r="Z19" s="55"/>
      <c r="AA19" s="55"/>
      <c r="AB19" s="55"/>
      <c r="AC19" s="55"/>
      <c r="AD19" s="55"/>
      <c r="AE19" s="55"/>
      <c r="AF19" s="55"/>
      <c r="AG19" s="55"/>
      <c r="AH19" s="55"/>
      <c r="AI19" s="55"/>
      <c r="AJ19" s="55"/>
      <c r="AK19" s="55"/>
      <c r="AL19" s="55"/>
      <c r="AM19" s="55"/>
      <c r="AN19" s="55"/>
      <c r="AO19" s="55"/>
      <c r="AP19" s="55"/>
      <c r="AQ19" s="55"/>
      <c r="AR19" s="55"/>
      <c r="BE19" s="3"/>
      <c r="BG19" s="3"/>
      <c r="BH19" s="3"/>
      <c r="BI19" s="3"/>
      <c r="BJ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P19" s="3"/>
      <c r="CQ19" s="3"/>
      <c r="CR19" s="3"/>
      <c r="CS19" s="3"/>
      <c r="CT19" s="3"/>
      <c r="CU19" s="3"/>
    </row>
    <row r="20" spans="1:99" ht="15" x14ac:dyDescent="0.25">
      <c r="A20" t="s">
        <v>199</v>
      </c>
      <c r="L20" s="55"/>
      <c r="M20" s="55"/>
      <c r="N20" s="55"/>
      <c r="O20" s="55"/>
      <c r="P20" s="55"/>
      <c r="Q20" s="55"/>
      <c r="R20" s="55"/>
      <c r="S20" s="55"/>
      <c r="T20" s="55"/>
      <c r="U20" s="55"/>
      <c r="V20" s="55"/>
      <c r="W20" s="55"/>
      <c r="X20" s="55"/>
      <c r="Y20" s="55"/>
      <c r="Z20" s="55"/>
      <c r="AA20" s="55"/>
      <c r="AB20" s="55"/>
      <c r="AC20" s="55"/>
      <c r="AD20" s="55"/>
      <c r="AE20" s="55"/>
      <c r="AF20" s="55"/>
      <c r="AG20" s="55"/>
      <c r="AH20" s="55"/>
      <c r="AI20" s="55"/>
      <c r="AJ20" s="55"/>
      <c r="AK20" s="55"/>
      <c r="AL20" s="55"/>
      <c r="AM20" s="55"/>
      <c r="AN20" s="55"/>
      <c r="AO20" s="55"/>
      <c r="AP20" s="55"/>
      <c r="AQ20" s="55"/>
      <c r="AR20" s="55"/>
      <c r="BM20" s="3"/>
      <c r="BN20" s="3"/>
      <c r="BQ20" s="3"/>
      <c r="BR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row>
    <row r="21" spans="1:99" ht="15" x14ac:dyDescent="0.25">
      <c r="A21" t="s">
        <v>103</v>
      </c>
      <c r="L21" s="55"/>
      <c r="M21" s="55"/>
      <c r="N21" s="55"/>
      <c r="O21" s="55"/>
      <c r="P21" s="55"/>
      <c r="Q21" s="55"/>
      <c r="R21" s="55"/>
      <c r="S21" s="55"/>
      <c r="T21" s="55"/>
      <c r="U21" s="55"/>
      <c r="V21" s="55"/>
      <c r="W21" s="55"/>
      <c r="X21" s="55"/>
      <c r="Y21" s="55"/>
      <c r="Z21" s="55"/>
      <c r="AA21" s="55"/>
      <c r="AB21" s="55"/>
      <c r="AC21" s="55"/>
      <c r="AD21" s="55"/>
      <c r="AE21" s="55"/>
      <c r="AF21" s="55"/>
      <c r="AG21" s="55"/>
      <c r="AH21" s="55"/>
      <c r="AI21" s="55"/>
      <c r="AJ21" s="55"/>
      <c r="AK21" s="55"/>
      <c r="AL21" s="55"/>
      <c r="AM21" s="55"/>
      <c r="AN21" s="55"/>
      <c r="AO21" s="55"/>
      <c r="AP21" s="55"/>
      <c r="AQ21" s="55"/>
      <c r="AR21" s="55"/>
      <c r="BM21" s="3"/>
      <c r="BN21" s="3"/>
      <c r="BQ21" s="3"/>
      <c r="BR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row>
    <row r="22" spans="1:99" ht="15" x14ac:dyDescent="0.25">
      <c r="A22" t="s">
        <v>182</v>
      </c>
      <c r="L22" s="55"/>
      <c r="M22" s="55"/>
      <c r="N22" s="55"/>
      <c r="O22" s="55"/>
      <c r="P22" s="55"/>
      <c r="Q22" s="55"/>
      <c r="R22" s="55"/>
      <c r="S22" s="55"/>
      <c r="T22" s="55"/>
      <c r="U22" s="55"/>
      <c r="V22" s="55"/>
      <c r="W22" s="55"/>
      <c r="X22" s="55"/>
      <c r="Y22" s="55"/>
      <c r="Z22" s="55"/>
      <c r="AA22" s="55"/>
      <c r="AB22" s="55"/>
      <c r="AC22" s="55"/>
      <c r="AD22" s="55"/>
      <c r="AE22" s="55"/>
      <c r="AF22" s="55"/>
      <c r="AG22" s="55"/>
      <c r="AH22" s="55"/>
      <c r="AI22" s="55"/>
      <c r="AJ22" s="55"/>
      <c r="AK22" s="55"/>
      <c r="AL22" s="55"/>
      <c r="AM22" s="55"/>
      <c r="AN22" s="55"/>
      <c r="AO22" s="55"/>
      <c r="AP22" s="55"/>
      <c r="AQ22" s="55"/>
      <c r="AR22" s="55"/>
      <c r="BR22" s="3"/>
      <c r="BV22" s="3"/>
      <c r="BW22" s="3"/>
      <c r="BX22" s="3"/>
      <c r="BY22" s="3"/>
      <c r="BZ22" s="3"/>
      <c r="CA22" s="3"/>
      <c r="CB22" s="3"/>
      <c r="CC22" s="3"/>
      <c r="CD22" s="3"/>
      <c r="CE22" s="3"/>
      <c r="CF22" s="3"/>
      <c r="CG22" s="3"/>
      <c r="CH22" s="3"/>
      <c r="CI22" s="3"/>
      <c r="CJ22" s="3"/>
      <c r="CK22" s="3"/>
      <c r="CL22" s="3"/>
      <c r="CM22" s="3"/>
      <c r="CN22" s="3"/>
      <c r="CO22" s="3"/>
      <c r="CP22" s="3"/>
      <c r="CQ22" s="3"/>
      <c r="CR22" s="3"/>
      <c r="CS22" s="3"/>
      <c r="CT22" s="3"/>
      <c r="CU22" s="3"/>
    </row>
    <row r="23" spans="1:99" ht="15" x14ac:dyDescent="0.25">
      <c r="A23" t="s">
        <v>197</v>
      </c>
      <c r="L23" s="55"/>
      <c r="M23" s="55"/>
      <c r="N23" s="55"/>
      <c r="O23" s="55"/>
      <c r="P23" s="55"/>
      <c r="Q23" s="55"/>
      <c r="R23" s="55"/>
      <c r="S23" s="55"/>
      <c r="T23" s="55"/>
      <c r="U23" s="55"/>
      <c r="V23" s="55"/>
      <c r="W23" s="55"/>
      <c r="X23" s="55"/>
      <c r="Y23" s="55"/>
      <c r="Z23" s="55"/>
      <c r="AA23" s="55"/>
      <c r="AB23" s="55"/>
      <c r="AC23" s="55"/>
      <c r="AD23" s="55"/>
      <c r="AE23" s="55"/>
      <c r="AF23" s="55"/>
      <c r="AG23" s="55"/>
      <c r="AH23" s="55"/>
      <c r="AI23" s="55"/>
      <c r="AJ23" s="55"/>
      <c r="AK23" s="55"/>
      <c r="AL23" s="55"/>
      <c r="AM23" s="55"/>
      <c r="AN23" s="55"/>
      <c r="AO23" s="55"/>
      <c r="AP23" s="55"/>
      <c r="AQ23" s="55"/>
      <c r="AR23" s="55"/>
      <c r="BR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row>
    <row r="24" spans="1:99" ht="15" x14ac:dyDescent="0.25">
      <c r="A24" t="s">
        <v>218</v>
      </c>
      <c r="L24" s="55"/>
      <c r="M24" s="55"/>
      <c r="N24" s="55"/>
      <c r="O24" s="55"/>
      <c r="P24" s="55"/>
      <c r="Q24" s="55"/>
      <c r="R24" s="55"/>
      <c r="S24" s="55"/>
      <c r="T24" s="55"/>
      <c r="U24" s="55"/>
      <c r="V24" s="55"/>
      <c r="W24" s="55"/>
      <c r="X24" s="55"/>
      <c r="Y24" s="55"/>
      <c r="Z24" s="55"/>
      <c r="AA24" s="55"/>
      <c r="AB24" s="55"/>
      <c r="AC24" s="55"/>
      <c r="AD24" s="55"/>
      <c r="AE24" s="55"/>
      <c r="AF24" s="55"/>
      <c r="AG24" s="55"/>
      <c r="AH24" s="55"/>
      <c r="AI24" s="55"/>
      <c r="AJ24" s="55"/>
      <c r="AK24" s="55"/>
      <c r="AL24" s="55"/>
      <c r="AM24" s="55"/>
      <c r="AN24" s="55"/>
      <c r="AO24" s="55"/>
      <c r="AP24" s="55"/>
      <c r="AQ24" s="55"/>
      <c r="AR24" s="55"/>
      <c r="BR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row>
    <row r="25" spans="1:99" ht="15" x14ac:dyDescent="0.25">
      <c r="A25" t="s">
        <v>60</v>
      </c>
      <c r="L25" s="55"/>
      <c r="M25" s="55"/>
      <c r="N25" s="55"/>
      <c r="O25" s="55"/>
      <c r="P25" s="55"/>
      <c r="Q25" s="55"/>
      <c r="R25" s="55"/>
      <c r="S25" s="55"/>
      <c r="T25" s="55"/>
      <c r="U25" s="55"/>
      <c r="V25" s="55"/>
      <c r="W25" s="55"/>
      <c r="X25" s="55"/>
      <c r="Y25" s="55"/>
      <c r="Z25" s="55"/>
      <c r="AA25" s="55"/>
      <c r="AB25" s="55"/>
      <c r="AC25" s="55"/>
      <c r="AD25" s="55"/>
      <c r="AE25" s="55"/>
      <c r="AF25" s="55"/>
      <c r="AG25" s="55"/>
      <c r="AH25" s="55"/>
      <c r="AI25" s="55"/>
      <c r="AJ25" s="55"/>
      <c r="AK25" s="55"/>
      <c r="AL25" s="55"/>
      <c r="AM25" s="55"/>
      <c r="AN25" s="55"/>
      <c r="AO25" s="55"/>
      <c r="AP25" s="55"/>
      <c r="AQ25" s="55"/>
      <c r="AR25" s="55"/>
      <c r="BR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row>
    <row r="26" spans="1:99" ht="15" x14ac:dyDescent="0.25">
      <c r="A26" t="s">
        <v>59</v>
      </c>
      <c r="L26" s="55"/>
      <c r="M26" s="55"/>
      <c r="N26" s="55"/>
      <c r="O26" s="55"/>
      <c r="P26" s="55"/>
      <c r="Q26" s="55"/>
      <c r="R26" s="55"/>
      <c r="S26" s="55"/>
      <c r="T26" s="55"/>
      <c r="U26" s="55"/>
      <c r="V26" s="55"/>
      <c r="W26" s="55"/>
      <c r="X26" s="55"/>
      <c r="Y26" s="55"/>
      <c r="Z26" s="55"/>
      <c r="AA26" s="55"/>
      <c r="AB26" s="55"/>
      <c r="AC26" s="55"/>
      <c r="AD26" s="55"/>
      <c r="AE26" s="55"/>
      <c r="AF26" s="55"/>
      <c r="AG26" s="55"/>
      <c r="AH26" s="55"/>
      <c r="AI26" s="55"/>
      <c r="AJ26" s="55"/>
      <c r="AK26" s="55"/>
      <c r="AL26" s="55"/>
      <c r="AM26" s="55"/>
      <c r="AN26" s="55"/>
      <c r="AO26" s="55"/>
      <c r="AP26" s="55"/>
      <c r="AQ26" s="55"/>
      <c r="AR26" s="55"/>
      <c r="BR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row>
    <row r="27" spans="1:99" ht="15" x14ac:dyDescent="0.25">
      <c r="A27" t="s">
        <v>269</v>
      </c>
      <c r="L27" s="55"/>
      <c r="M27" s="55"/>
      <c r="N27" s="55"/>
      <c r="O27" s="55"/>
      <c r="P27" s="55"/>
      <c r="Q27" s="55"/>
      <c r="R27" s="55"/>
      <c r="S27" s="55"/>
      <c r="T27" s="55"/>
      <c r="U27" s="55"/>
      <c r="V27" s="55"/>
      <c r="W27" s="55"/>
      <c r="X27" s="55"/>
      <c r="Y27" s="55"/>
      <c r="Z27" s="55"/>
      <c r="AA27" s="55"/>
      <c r="AB27" s="55"/>
      <c r="AC27" s="55"/>
      <c r="AD27" s="55"/>
      <c r="AE27" s="55"/>
      <c r="AF27" s="55"/>
      <c r="AG27" s="55"/>
      <c r="AH27" s="55"/>
      <c r="AI27" s="55"/>
      <c r="AJ27" s="55"/>
      <c r="AK27" s="55"/>
      <c r="AL27" s="55"/>
      <c r="AM27" s="55"/>
      <c r="AN27" s="55"/>
      <c r="AO27" s="55"/>
      <c r="AP27" s="55"/>
      <c r="AQ27" s="55"/>
      <c r="AR27" s="55"/>
      <c r="BS27" s="3"/>
      <c r="BT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row>
    <row r="28" spans="1:99" ht="15" x14ac:dyDescent="0.25">
      <c r="A28" t="s">
        <v>271</v>
      </c>
      <c r="L28" s="55"/>
      <c r="M28" s="55"/>
      <c r="N28" s="55"/>
      <c r="O28" s="55"/>
      <c r="P28" s="55"/>
      <c r="Q28" s="55"/>
      <c r="R28" s="55"/>
      <c r="S28" s="55"/>
      <c r="T28" s="55"/>
      <c r="U28" s="55"/>
      <c r="V28" s="55"/>
      <c r="W28" s="55"/>
      <c r="X28" s="55"/>
      <c r="Y28" s="55"/>
      <c r="Z28" s="55"/>
      <c r="AA28" s="55"/>
      <c r="AB28" s="55"/>
      <c r="AC28" s="55"/>
      <c r="AD28" s="55"/>
      <c r="AE28" s="55"/>
      <c r="AF28" s="55"/>
      <c r="AG28" s="55"/>
      <c r="AH28" s="55"/>
      <c r="AI28" s="55"/>
      <c r="AJ28" s="55"/>
      <c r="AK28" s="55"/>
      <c r="AL28" s="55"/>
      <c r="AM28" s="55"/>
      <c r="AN28" s="55"/>
      <c r="AO28" s="55"/>
      <c r="AP28" s="55"/>
      <c r="AQ28" s="55"/>
      <c r="AR28" s="55"/>
      <c r="BS28" s="3"/>
      <c r="BT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row>
    <row r="29" spans="1:99" ht="15" x14ac:dyDescent="0.25">
      <c r="A29" t="s">
        <v>56</v>
      </c>
      <c r="L29" s="55"/>
      <c r="M29" s="55"/>
      <c r="N29" s="55"/>
      <c r="O29" s="55"/>
      <c r="P29" s="55"/>
      <c r="Q29" s="55"/>
      <c r="R29" s="55"/>
      <c r="S29" s="55"/>
      <c r="T29" s="55"/>
      <c r="U29" s="55"/>
      <c r="V29" s="55"/>
      <c r="W29" s="55"/>
      <c r="X29" s="55"/>
      <c r="Y29" s="55"/>
      <c r="Z29" s="55"/>
      <c r="AA29" s="55"/>
      <c r="AB29" s="55"/>
      <c r="AC29" s="55"/>
      <c r="AD29" s="55"/>
      <c r="AE29" s="55"/>
      <c r="AF29" s="55"/>
      <c r="AG29" s="55"/>
      <c r="AH29" s="55"/>
      <c r="AI29" s="55"/>
      <c r="AJ29" s="55"/>
      <c r="AK29" s="55"/>
      <c r="AL29" s="55"/>
      <c r="AM29" s="55"/>
      <c r="AN29" s="55"/>
      <c r="AO29" s="55"/>
      <c r="AP29" s="55"/>
      <c r="AQ29" s="55"/>
      <c r="AR29" s="55"/>
      <c r="BS29" s="3"/>
      <c r="BT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row>
    <row r="30" spans="1:99" ht="15" x14ac:dyDescent="0.25">
      <c r="A30" t="s">
        <v>224</v>
      </c>
      <c r="L30" s="55"/>
      <c r="M30" s="55"/>
      <c r="N30" s="55"/>
      <c r="O30" s="55"/>
      <c r="P30" s="55"/>
      <c r="Q30" s="55"/>
      <c r="R30" s="55"/>
      <c r="S30" s="55"/>
      <c r="T30" s="55"/>
      <c r="U30" s="55"/>
      <c r="V30" s="55"/>
      <c r="W30" s="55"/>
      <c r="X30" s="55"/>
      <c r="Y30" s="55"/>
      <c r="Z30" s="55"/>
      <c r="AA30" s="55"/>
      <c r="AB30" s="55"/>
      <c r="AC30" s="55"/>
      <c r="AD30" s="55"/>
      <c r="AE30" s="55"/>
      <c r="AF30" s="55"/>
      <c r="AG30" s="55"/>
      <c r="AH30" s="55"/>
      <c r="AI30" s="55"/>
      <c r="AJ30" s="55"/>
      <c r="AK30" s="55"/>
      <c r="AL30" s="55"/>
      <c r="AM30" s="55"/>
      <c r="AN30" s="55"/>
      <c r="AO30" s="55"/>
      <c r="AP30" s="55"/>
      <c r="AQ30" s="55"/>
      <c r="AR30" s="55"/>
      <c r="BS30" s="3"/>
      <c r="BT30" s="3"/>
      <c r="BV30" s="3"/>
      <c r="BW30" s="3"/>
      <c r="BX30" s="3"/>
      <c r="BY30" s="3"/>
      <c r="BZ30" s="3"/>
      <c r="CC30" s="3"/>
      <c r="CD30" s="3"/>
      <c r="CE30" s="3"/>
      <c r="CF30" s="3"/>
      <c r="CG30" s="3"/>
      <c r="CH30" s="3"/>
      <c r="CI30" s="3"/>
      <c r="CJ30" s="3"/>
      <c r="CK30" s="3"/>
      <c r="CL30" s="3"/>
      <c r="CM30" s="3"/>
      <c r="CN30" s="3"/>
      <c r="CO30" s="3"/>
      <c r="CP30" s="3"/>
      <c r="CQ30" s="3"/>
      <c r="CR30" s="3"/>
      <c r="CS30" s="3"/>
      <c r="CT30" s="3"/>
      <c r="CU30" s="3"/>
    </row>
    <row r="31" spans="1:99" ht="15" x14ac:dyDescent="0.25">
      <c r="A31" t="s">
        <v>225</v>
      </c>
      <c r="L31" s="55"/>
      <c r="M31" s="55"/>
      <c r="N31" s="55"/>
      <c r="O31" s="55"/>
      <c r="P31" s="55"/>
      <c r="Q31" s="55"/>
      <c r="R31" s="55"/>
      <c r="S31" s="55"/>
      <c r="T31" s="55"/>
      <c r="U31" s="55"/>
      <c r="V31" s="55"/>
      <c r="W31" s="55"/>
      <c r="X31" s="55"/>
      <c r="Y31" s="55"/>
      <c r="Z31" s="55"/>
      <c r="AA31" s="55"/>
      <c r="AB31" s="55"/>
      <c r="AC31" s="55"/>
      <c r="AD31" s="55"/>
      <c r="AE31" s="55"/>
      <c r="AF31" s="55"/>
      <c r="AG31" s="55"/>
      <c r="AH31" s="55"/>
      <c r="AI31" s="55"/>
      <c r="AJ31" s="55"/>
      <c r="AK31" s="55"/>
      <c r="AL31" s="55"/>
      <c r="AM31" s="55"/>
      <c r="AN31" s="55"/>
      <c r="AO31" s="55"/>
      <c r="AP31" s="55"/>
      <c r="AQ31" s="55"/>
      <c r="AR31" s="55"/>
      <c r="BS31" s="3"/>
      <c r="BT31" s="3"/>
      <c r="BV31" s="3"/>
      <c r="BW31" s="3"/>
      <c r="BX31" s="3"/>
      <c r="BY31" s="3"/>
      <c r="BZ31" s="3"/>
      <c r="CD31" s="3"/>
      <c r="CE31" s="3"/>
      <c r="CF31" s="3"/>
      <c r="CG31" s="3"/>
      <c r="CH31" s="3"/>
      <c r="CI31" s="3"/>
      <c r="CJ31" s="3"/>
      <c r="CK31" s="3"/>
      <c r="CL31" s="3"/>
      <c r="CM31" s="3"/>
      <c r="CN31" s="3"/>
      <c r="CO31" s="3"/>
      <c r="CP31" s="3"/>
      <c r="CQ31" s="3"/>
      <c r="CR31" s="3"/>
      <c r="CS31" s="3"/>
      <c r="CT31" s="3"/>
      <c r="CU31" s="3"/>
    </row>
    <row r="32" spans="1:99" ht="15" x14ac:dyDescent="0.25">
      <c r="A32" t="s">
        <v>272</v>
      </c>
      <c r="L32" s="55"/>
      <c r="M32" s="55"/>
      <c r="N32" s="55"/>
      <c r="O32" s="55"/>
      <c r="P32" s="55"/>
      <c r="Q32" s="55"/>
      <c r="R32" s="55"/>
      <c r="S32" s="55"/>
      <c r="T32" s="55"/>
      <c r="U32" s="55"/>
      <c r="V32" s="55"/>
      <c r="W32" s="55"/>
      <c r="X32" s="55"/>
      <c r="Y32" s="55"/>
      <c r="Z32" s="55"/>
      <c r="AA32" s="55"/>
      <c r="AB32" s="55"/>
      <c r="AC32" s="55"/>
      <c r="AD32" s="55"/>
      <c r="AE32" s="55"/>
      <c r="AF32" s="55"/>
      <c r="AG32" s="55"/>
      <c r="AH32" s="55"/>
      <c r="AI32" s="55"/>
      <c r="AJ32" s="55"/>
      <c r="AK32" s="55"/>
      <c r="AL32" s="55"/>
      <c r="AM32" s="55"/>
      <c r="AN32" s="55"/>
      <c r="AO32" s="55"/>
      <c r="AP32" s="55"/>
      <c r="AQ32" s="55"/>
      <c r="AR32" s="55"/>
      <c r="BS32" s="3"/>
      <c r="BT32" s="3"/>
      <c r="CD32" s="3"/>
      <c r="CE32" s="3"/>
      <c r="CF32" s="3"/>
      <c r="CG32" s="3"/>
      <c r="CH32" s="3"/>
      <c r="CI32" s="3"/>
      <c r="CJ32" s="3"/>
      <c r="CK32" s="3"/>
      <c r="CL32" s="3"/>
      <c r="CM32" s="3"/>
      <c r="CN32" s="3"/>
      <c r="CO32" s="3"/>
      <c r="CP32" s="3"/>
      <c r="CQ32" s="3"/>
      <c r="CR32" s="3"/>
      <c r="CS32" s="3"/>
      <c r="CT32" s="3"/>
      <c r="CU32" s="3"/>
    </row>
    <row r="33" spans="1:99" ht="15" x14ac:dyDescent="0.25">
      <c r="A33" t="s">
        <v>181</v>
      </c>
      <c r="L33" s="55"/>
      <c r="M33" s="55"/>
      <c r="N33" s="55"/>
      <c r="O33" s="55"/>
      <c r="P33" s="55"/>
      <c r="Q33" s="55"/>
      <c r="R33" s="55"/>
      <c r="S33" s="55"/>
      <c r="T33" s="55"/>
      <c r="U33" s="55"/>
      <c r="V33" s="55"/>
      <c r="W33" s="55"/>
      <c r="X33" s="55"/>
      <c r="Y33" s="55"/>
      <c r="Z33" s="55"/>
      <c r="AA33" s="55"/>
      <c r="AB33" s="55"/>
      <c r="AC33" s="55"/>
      <c r="AD33" s="55"/>
      <c r="AE33" s="55"/>
      <c r="AF33" s="55"/>
      <c r="AG33" s="55"/>
      <c r="AH33" s="55"/>
      <c r="AI33" s="55"/>
      <c r="AJ33" s="55"/>
      <c r="AK33" s="55"/>
      <c r="AL33" s="55"/>
      <c r="AM33" s="55"/>
      <c r="AN33" s="55"/>
      <c r="AO33" s="55"/>
      <c r="AP33" s="55"/>
      <c r="AQ33" s="55"/>
      <c r="AR33" s="55"/>
      <c r="BS33" s="3"/>
      <c r="BT33" s="3"/>
      <c r="CD33" s="3"/>
      <c r="CE33" s="3"/>
      <c r="CF33" s="3"/>
      <c r="CG33" s="3"/>
      <c r="CH33" s="3"/>
      <c r="CI33" s="3"/>
      <c r="CJ33" s="3"/>
      <c r="CK33" s="3"/>
      <c r="CL33" s="3"/>
      <c r="CM33" s="3"/>
      <c r="CN33" s="3"/>
      <c r="CO33" s="3"/>
      <c r="CP33" s="3"/>
      <c r="CQ33" s="3"/>
      <c r="CR33" s="3"/>
      <c r="CS33" s="3"/>
      <c r="CT33" s="3"/>
      <c r="CU33" s="3"/>
    </row>
    <row r="34" spans="1:99" ht="13.5" x14ac:dyDescent="0.25">
      <c r="L34" s="55"/>
      <c r="M34" s="55"/>
      <c r="N34" s="55"/>
      <c r="O34" s="55"/>
      <c r="P34" s="55"/>
      <c r="Q34" s="55"/>
      <c r="R34" s="55"/>
      <c r="S34" s="55"/>
      <c r="T34" s="55"/>
      <c r="U34" s="55"/>
      <c r="V34" s="55"/>
      <c r="W34" s="55"/>
      <c r="X34" s="55"/>
      <c r="Y34" s="55"/>
      <c r="Z34" s="55"/>
      <c r="AA34" s="55"/>
      <c r="AB34" s="55"/>
      <c r="AC34" s="55"/>
      <c r="AD34" s="55"/>
      <c r="AE34" s="55"/>
      <c r="AF34" s="55"/>
      <c r="AG34" s="55"/>
      <c r="AH34" s="55"/>
      <c r="AI34" s="55"/>
      <c r="AJ34" s="55"/>
      <c r="AK34" s="55"/>
      <c r="AL34" s="55"/>
      <c r="AM34" s="55"/>
      <c r="AN34" s="55"/>
      <c r="AO34" s="55"/>
      <c r="AP34" s="55"/>
      <c r="AQ34" s="55"/>
      <c r="AR34" s="55"/>
      <c r="BS34" s="3"/>
      <c r="BT34" s="3"/>
      <c r="CD34" s="3"/>
      <c r="CE34" s="3"/>
      <c r="CF34" s="3"/>
      <c r="CG34" s="3"/>
      <c r="CH34" s="3"/>
      <c r="CI34" s="3"/>
      <c r="CJ34" s="3"/>
      <c r="CK34" s="3"/>
      <c r="CL34" s="3"/>
      <c r="CM34" s="3"/>
      <c r="CN34" s="3"/>
      <c r="CO34" s="3"/>
      <c r="CP34" s="3"/>
      <c r="CQ34" s="3"/>
      <c r="CR34" s="3"/>
      <c r="CS34" s="3"/>
      <c r="CT34" s="3"/>
      <c r="CU34" s="3"/>
    </row>
    <row r="35" spans="1:99" ht="13.5" x14ac:dyDescent="0.25">
      <c r="L35" s="55"/>
      <c r="M35" s="55"/>
      <c r="N35" s="55"/>
      <c r="O35" s="55"/>
      <c r="P35" s="55"/>
      <c r="Q35" s="55"/>
      <c r="R35" s="55"/>
      <c r="S35" s="55"/>
      <c r="T35" s="55"/>
      <c r="U35" s="55"/>
      <c r="V35" s="55"/>
      <c r="W35" s="55"/>
      <c r="X35" s="55"/>
      <c r="Y35" s="55"/>
      <c r="Z35" s="55"/>
      <c r="AA35" s="55"/>
      <c r="AB35" s="55"/>
      <c r="AC35" s="55"/>
      <c r="AD35" s="55"/>
      <c r="AE35" s="55"/>
      <c r="AF35" s="55"/>
      <c r="AG35" s="55"/>
      <c r="AH35" s="55"/>
      <c r="AI35" s="55"/>
      <c r="AJ35" s="55"/>
      <c r="AK35" s="55"/>
      <c r="AL35" s="55"/>
      <c r="AM35" s="55"/>
      <c r="AN35" s="55"/>
      <c r="AO35" s="55"/>
      <c r="AP35" s="55"/>
      <c r="AQ35" s="55"/>
      <c r="AR35" s="55"/>
      <c r="BS35" s="3"/>
      <c r="BT35" s="3"/>
      <c r="CD35" s="3"/>
      <c r="CE35" s="3"/>
      <c r="CF35" s="3"/>
      <c r="CG35" s="3"/>
      <c r="CH35" s="3"/>
      <c r="CI35" s="3"/>
      <c r="CJ35" s="3"/>
      <c r="CK35" s="3"/>
      <c r="CL35" s="3"/>
      <c r="CM35" s="3"/>
      <c r="CN35" s="3"/>
      <c r="CO35" s="3"/>
      <c r="CP35" s="3"/>
      <c r="CQ35" s="3"/>
      <c r="CR35" s="3"/>
      <c r="CS35" s="3"/>
      <c r="CT35" s="3"/>
      <c r="CU35" s="3"/>
    </row>
    <row r="36" spans="1:99" ht="13.5" x14ac:dyDescent="0.25">
      <c r="L36" s="55"/>
      <c r="M36" s="55"/>
      <c r="N36" s="55"/>
      <c r="O36" s="55"/>
      <c r="P36" s="55"/>
      <c r="Q36" s="55"/>
      <c r="R36" s="55"/>
      <c r="S36" s="55"/>
      <c r="T36" s="55"/>
      <c r="U36" s="55"/>
      <c r="V36" s="55"/>
      <c r="W36" s="55"/>
      <c r="X36" s="55"/>
      <c r="Y36" s="55"/>
      <c r="Z36" s="55"/>
      <c r="AA36" s="55"/>
      <c r="AB36" s="55"/>
      <c r="AC36" s="55"/>
      <c r="AD36" s="55"/>
      <c r="AE36" s="55"/>
      <c r="AF36" s="55"/>
      <c r="AG36" s="55"/>
      <c r="AH36" s="55"/>
      <c r="AI36" s="55"/>
      <c r="AJ36" s="55"/>
      <c r="AK36" s="55"/>
      <c r="AL36" s="55"/>
      <c r="AM36" s="55"/>
      <c r="AN36" s="55"/>
      <c r="AO36" s="55"/>
      <c r="AP36" s="55"/>
      <c r="AQ36" s="55"/>
      <c r="AR36" s="55"/>
      <c r="BS36" s="3"/>
      <c r="BT36" s="3"/>
      <c r="CD36" s="3"/>
      <c r="CE36" s="3"/>
      <c r="CF36" s="3"/>
      <c r="CG36" s="3"/>
      <c r="CH36" s="3"/>
      <c r="CI36" s="3"/>
      <c r="CJ36" s="3"/>
      <c r="CK36" s="3"/>
      <c r="CL36" s="3"/>
      <c r="CM36" s="3"/>
      <c r="CN36" s="3"/>
      <c r="CO36" s="3"/>
      <c r="CP36" s="3"/>
      <c r="CQ36" s="3"/>
      <c r="CR36" s="3"/>
      <c r="CS36" s="3"/>
      <c r="CT36" s="3"/>
      <c r="CU36" s="3"/>
    </row>
    <row r="37" spans="1:99" ht="15.75" customHeight="1" x14ac:dyDescent="0.25">
      <c r="L37" s="55"/>
      <c r="M37" s="55"/>
      <c r="N37" s="55"/>
      <c r="O37" s="55"/>
      <c r="P37" s="55"/>
      <c r="Q37" s="55"/>
      <c r="R37" s="55"/>
      <c r="S37" s="55"/>
      <c r="T37" s="55"/>
      <c r="U37" s="55"/>
      <c r="V37" s="55"/>
      <c r="W37" s="55"/>
      <c r="X37" s="55"/>
      <c r="Y37" s="55"/>
      <c r="Z37" s="55"/>
      <c r="AA37" s="55"/>
      <c r="AB37" s="55"/>
      <c r="AC37" s="55"/>
      <c r="AD37" s="55"/>
      <c r="AE37" s="55"/>
      <c r="AF37" s="55"/>
      <c r="AG37" s="55"/>
      <c r="AH37" s="55"/>
      <c r="AI37" s="55"/>
      <c r="AJ37" s="55"/>
      <c r="AK37" s="55"/>
      <c r="AL37" s="55"/>
      <c r="AM37" s="55"/>
      <c r="AN37" s="55"/>
      <c r="AO37" s="55"/>
      <c r="AP37" s="55"/>
      <c r="AQ37" s="55"/>
      <c r="AR37" s="55"/>
      <c r="BS37" s="3"/>
      <c r="BT37" s="3"/>
      <c r="CD37" s="3"/>
      <c r="CE37" s="3"/>
      <c r="CF37" s="3"/>
      <c r="CG37" s="3"/>
      <c r="CH37" s="3"/>
      <c r="CI37" s="3"/>
      <c r="CJ37" s="3"/>
      <c r="CK37" s="3"/>
      <c r="CL37" s="3"/>
      <c r="CM37" s="3"/>
      <c r="CN37" s="3"/>
      <c r="CO37" s="3"/>
      <c r="CP37" s="3"/>
      <c r="CQ37" s="3"/>
      <c r="CR37" s="3"/>
      <c r="CS37" s="3"/>
      <c r="CT37" s="3"/>
      <c r="CU37" s="3"/>
    </row>
    <row r="38" spans="1:99" ht="15.75" customHeight="1" x14ac:dyDescent="0.25">
      <c r="L38" s="55"/>
      <c r="M38" s="55"/>
      <c r="N38" s="55"/>
      <c r="O38" s="55"/>
      <c r="P38" s="55"/>
      <c r="Q38" s="55"/>
      <c r="R38" s="55"/>
      <c r="S38" s="55"/>
      <c r="T38" s="55"/>
      <c r="U38" s="55"/>
      <c r="V38" s="55"/>
      <c r="W38" s="55"/>
      <c r="X38" s="55"/>
      <c r="Y38" s="55"/>
      <c r="Z38" s="55"/>
      <c r="AA38" s="55"/>
      <c r="AB38" s="55"/>
      <c r="AC38" s="55"/>
      <c r="AD38" s="55"/>
      <c r="AE38" s="55"/>
      <c r="AF38" s="55"/>
      <c r="AG38" s="55"/>
      <c r="AH38" s="55"/>
      <c r="AI38" s="55"/>
      <c r="AJ38" s="55"/>
      <c r="AK38" s="55"/>
      <c r="AL38" s="55"/>
      <c r="AM38" s="55"/>
      <c r="AN38" s="55"/>
      <c r="AO38" s="55"/>
      <c r="AP38" s="55"/>
      <c r="AQ38" s="55"/>
      <c r="AR38" s="55"/>
      <c r="BS38" s="3"/>
      <c r="BT38" s="3"/>
      <c r="CD38" s="3"/>
      <c r="CE38" s="3"/>
      <c r="CF38" s="3"/>
      <c r="CG38" s="3"/>
      <c r="CH38" s="3"/>
      <c r="CI38" s="3"/>
      <c r="CJ38" s="3"/>
      <c r="CK38" s="3"/>
      <c r="CL38" s="3"/>
      <c r="CM38" s="3"/>
      <c r="CN38" s="3"/>
      <c r="CO38" s="3"/>
      <c r="CP38" s="3"/>
      <c r="CQ38" s="3"/>
      <c r="CR38" s="3"/>
      <c r="CS38" s="3"/>
      <c r="CT38" s="3"/>
      <c r="CU38" s="3"/>
    </row>
    <row r="39" spans="1:99" ht="15.75" customHeight="1" x14ac:dyDescent="0.25">
      <c r="L39" s="55"/>
      <c r="M39" s="55"/>
      <c r="N39" s="55"/>
      <c r="O39" s="55"/>
      <c r="P39" s="55"/>
      <c r="Q39" s="55"/>
      <c r="R39" s="55"/>
      <c r="S39" s="55"/>
      <c r="T39" s="55"/>
      <c r="U39" s="55"/>
      <c r="V39" s="55"/>
      <c r="W39" s="55"/>
      <c r="X39" s="55"/>
      <c r="Y39" s="55"/>
      <c r="Z39" s="55"/>
      <c r="AA39" s="55"/>
      <c r="AB39" s="55"/>
      <c r="AC39" s="55"/>
      <c r="AD39" s="55"/>
      <c r="AE39" s="55"/>
      <c r="AF39" s="55"/>
      <c r="AG39" s="55"/>
      <c r="AH39" s="55"/>
      <c r="AI39" s="55"/>
      <c r="AJ39" s="55"/>
      <c r="AK39" s="55"/>
      <c r="AL39" s="55"/>
      <c r="AM39" s="55"/>
      <c r="AN39" s="55"/>
      <c r="AO39" s="55"/>
      <c r="AP39" s="55"/>
      <c r="AQ39" s="55"/>
      <c r="AR39" s="55"/>
      <c r="BS39" s="3"/>
      <c r="BT39" s="3"/>
      <c r="CD39" s="3"/>
      <c r="CE39" s="3"/>
      <c r="CF39" s="3"/>
      <c r="CG39" s="3"/>
      <c r="CH39" s="3"/>
      <c r="CI39" s="3"/>
      <c r="CJ39" s="3"/>
      <c r="CK39" s="3"/>
      <c r="CL39" s="3"/>
      <c r="CM39" s="3"/>
      <c r="CN39" s="3"/>
      <c r="CO39" s="3"/>
      <c r="CP39" s="3"/>
      <c r="CQ39" s="3"/>
      <c r="CR39" s="3"/>
      <c r="CS39" s="3"/>
      <c r="CT39" s="3"/>
      <c r="CU39" s="3"/>
    </row>
    <row r="40" spans="1:99" ht="15.75" customHeight="1" x14ac:dyDescent="0.25">
      <c r="L40" s="55"/>
      <c r="M40" s="55"/>
      <c r="N40" s="55"/>
      <c r="O40" s="55"/>
      <c r="P40" s="55"/>
      <c r="Q40" s="55"/>
      <c r="R40" s="55"/>
      <c r="S40" s="55"/>
      <c r="T40" s="55"/>
      <c r="U40" s="55"/>
      <c r="V40" s="55"/>
      <c r="W40" s="55"/>
      <c r="X40" s="55"/>
      <c r="Y40" s="55"/>
      <c r="Z40" s="55"/>
      <c r="AA40" s="55"/>
      <c r="AB40" s="55"/>
      <c r="AC40" s="55"/>
      <c r="AD40" s="55"/>
      <c r="AE40" s="55"/>
      <c r="AF40" s="55"/>
      <c r="AG40" s="55"/>
      <c r="AH40" s="55"/>
      <c r="AI40" s="55"/>
      <c r="AJ40" s="55"/>
      <c r="AK40" s="55"/>
      <c r="AL40" s="55"/>
      <c r="AM40" s="55"/>
      <c r="AN40" s="55"/>
      <c r="AO40" s="55"/>
      <c r="AP40" s="55"/>
      <c r="AQ40" s="55"/>
      <c r="AR40" s="55"/>
      <c r="BS40" s="3"/>
      <c r="BT40" s="3"/>
      <c r="CD40" s="3"/>
      <c r="CE40" s="3"/>
      <c r="CF40" s="3"/>
      <c r="CG40" s="3"/>
      <c r="CH40" s="3"/>
      <c r="CI40" s="3"/>
      <c r="CJ40" s="3"/>
      <c r="CK40" s="3"/>
      <c r="CL40" s="3"/>
      <c r="CM40" s="3"/>
      <c r="CN40" s="3"/>
      <c r="CO40" s="3"/>
      <c r="CP40" s="3"/>
      <c r="CQ40" s="3"/>
      <c r="CR40" s="3"/>
      <c r="CS40" s="3"/>
      <c r="CT40" s="3"/>
      <c r="CU40" s="3"/>
    </row>
    <row r="41" spans="1:99" ht="15.75" customHeight="1" x14ac:dyDescent="0.25">
      <c r="L41" s="55"/>
      <c r="M41" s="55"/>
      <c r="N41" s="55"/>
      <c r="O41" s="55"/>
      <c r="P41" s="55"/>
      <c r="Q41" s="55"/>
      <c r="R41" s="55"/>
      <c r="S41" s="55"/>
      <c r="T41" s="55"/>
      <c r="U41" s="55"/>
      <c r="V41" s="55"/>
      <c r="W41" s="55"/>
      <c r="X41" s="55"/>
      <c r="Y41" s="55"/>
      <c r="Z41" s="55"/>
      <c r="AA41" s="55"/>
      <c r="AB41" s="55"/>
      <c r="AC41" s="55"/>
      <c r="AD41" s="55"/>
      <c r="AE41" s="55"/>
      <c r="AF41" s="55"/>
      <c r="AG41" s="55"/>
      <c r="AH41" s="55"/>
      <c r="AI41" s="55"/>
      <c r="AJ41" s="55"/>
      <c r="AK41" s="55"/>
      <c r="AL41" s="55"/>
      <c r="AM41" s="55"/>
      <c r="AN41" s="55"/>
      <c r="AO41" s="55"/>
      <c r="AP41" s="55"/>
      <c r="AQ41" s="55"/>
      <c r="AR41" s="55"/>
      <c r="BS41" s="3"/>
      <c r="BT41" s="3"/>
      <c r="CD41" s="3"/>
      <c r="CE41" s="3"/>
      <c r="CF41" s="3"/>
      <c r="CG41" s="3"/>
      <c r="CH41" s="3"/>
      <c r="CI41" s="3"/>
      <c r="CJ41" s="3"/>
      <c r="CK41" s="3"/>
      <c r="CL41" s="3"/>
      <c r="CM41" s="3"/>
      <c r="CN41" s="3"/>
      <c r="CO41" s="3"/>
      <c r="CP41" s="3"/>
      <c r="CQ41" s="3"/>
      <c r="CR41" s="3"/>
      <c r="CS41" s="3"/>
      <c r="CT41" s="3"/>
      <c r="CU41" s="3"/>
    </row>
    <row r="42" spans="1:99" ht="15.75" customHeight="1" x14ac:dyDescent="0.25">
      <c r="L42" s="55"/>
      <c r="M42" s="55"/>
      <c r="N42" s="55"/>
      <c r="O42" s="55"/>
      <c r="P42" s="55"/>
      <c r="Q42" s="55"/>
      <c r="R42" s="55"/>
      <c r="S42" s="55"/>
      <c r="T42" s="55"/>
      <c r="U42" s="55"/>
      <c r="V42" s="55"/>
      <c r="W42" s="55"/>
      <c r="X42" s="55"/>
      <c r="Y42" s="55"/>
      <c r="Z42" s="55"/>
      <c r="AA42" s="55"/>
      <c r="AB42" s="55"/>
      <c r="AC42" s="55"/>
      <c r="AD42" s="55"/>
      <c r="AE42" s="55"/>
      <c r="AF42" s="55"/>
      <c r="AG42" s="55"/>
      <c r="AH42" s="55"/>
      <c r="AI42" s="55"/>
      <c r="AJ42" s="55"/>
      <c r="AK42" s="55"/>
      <c r="AL42" s="55"/>
      <c r="AM42" s="55"/>
      <c r="AN42" s="55"/>
      <c r="AO42" s="55"/>
      <c r="AP42" s="55"/>
      <c r="AQ42" s="55"/>
      <c r="AR42" s="55"/>
      <c r="BS42" s="3"/>
      <c r="BT42" s="3"/>
      <c r="CD42" s="3"/>
      <c r="CE42" s="3"/>
      <c r="CF42" s="3"/>
      <c r="CG42" s="3"/>
      <c r="CH42" s="3"/>
      <c r="CI42" s="3"/>
      <c r="CJ42" s="3"/>
      <c r="CK42" s="3"/>
      <c r="CL42" s="3"/>
      <c r="CM42" s="3"/>
      <c r="CN42" s="3"/>
      <c r="CO42" s="3"/>
      <c r="CP42" s="3"/>
      <c r="CQ42" s="3"/>
      <c r="CR42" s="3"/>
      <c r="CS42" s="3"/>
      <c r="CT42" s="3"/>
      <c r="CU42" s="3"/>
    </row>
    <row r="43" spans="1:99" ht="15.75" customHeight="1" x14ac:dyDescent="0.25">
      <c r="L43" s="55"/>
      <c r="M43" s="55"/>
      <c r="N43" s="55"/>
      <c r="O43" s="55"/>
      <c r="P43" s="55"/>
      <c r="Q43" s="55"/>
      <c r="R43" s="55"/>
      <c r="S43" s="55"/>
      <c r="T43" s="55"/>
      <c r="U43" s="55"/>
      <c r="V43" s="55"/>
      <c r="W43" s="55"/>
      <c r="X43" s="55"/>
      <c r="Y43" s="55"/>
      <c r="Z43" s="55"/>
      <c r="AA43" s="55"/>
      <c r="AB43" s="55"/>
      <c r="AC43" s="55"/>
      <c r="AD43" s="55"/>
      <c r="AE43" s="55"/>
      <c r="AF43" s="55"/>
      <c r="AG43" s="55"/>
      <c r="AH43" s="55"/>
      <c r="AI43" s="55"/>
      <c r="AJ43" s="55"/>
      <c r="AK43" s="55"/>
      <c r="AL43" s="55"/>
      <c r="AM43" s="55"/>
      <c r="AN43" s="55"/>
      <c r="AO43" s="55"/>
      <c r="AP43" s="55"/>
      <c r="AQ43" s="55"/>
      <c r="AR43" s="55"/>
      <c r="BS43" s="3"/>
      <c r="BT43" s="3"/>
      <c r="CD43" s="3"/>
      <c r="CE43" s="3"/>
      <c r="CF43" s="3"/>
      <c r="CG43" s="3"/>
      <c r="CH43" s="3"/>
      <c r="CI43" s="3"/>
      <c r="CJ43" s="3"/>
      <c r="CK43" s="3"/>
      <c r="CL43" s="3"/>
      <c r="CM43" s="3"/>
      <c r="CN43" s="3"/>
      <c r="CO43" s="3"/>
      <c r="CP43" s="3"/>
      <c r="CQ43" s="3"/>
      <c r="CR43" s="3"/>
      <c r="CS43" s="3"/>
      <c r="CT43" s="3"/>
      <c r="CU43" s="3"/>
    </row>
    <row r="44" spans="1:99" ht="15.75" customHeight="1" x14ac:dyDescent="0.25">
      <c r="L44" s="55"/>
      <c r="M44" s="55"/>
      <c r="N44" s="55"/>
      <c r="O44" s="55"/>
      <c r="P44" s="55"/>
      <c r="Q44" s="55"/>
      <c r="R44" s="55"/>
      <c r="S44" s="55"/>
      <c r="T44" s="55"/>
      <c r="U44" s="55"/>
      <c r="V44" s="55"/>
      <c r="W44" s="55"/>
      <c r="X44" s="55"/>
      <c r="Y44" s="55"/>
      <c r="Z44" s="55"/>
      <c r="AA44" s="55"/>
      <c r="AB44" s="55"/>
      <c r="AC44" s="55"/>
      <c r="AD44" s="55"/>
      <c r="AE44" s="55"/>
      <c r="AF44" s="55"/>
      <c r="AG44" s="55"/>
      <c r="AH44" s="55"/>
      <c r="AI44" s="55"/>
      <c r="AJ44" s="55"/>
      <c r="AK44" s="55"/>
      <c r="AL44" s="55"/>
      <c r="AM44" s="55"/>
      <c r="AN44" s="55"/>
      <c r="AO44" s="55"/>
      <c r="AP44" s="55"/>
      <c r="AQ44" s="55"/>
      <c r="AR44" s="55"/>
      <c r="BS44" s="3"/>
      <c r="BT44" s="3"/>
      <c r="CD44" s="3"/>
      <c r="CE44" s="3"/>
      <c r="CF44" s="3"/>
      <c r="CG44" s="3"/>
      <c r="CH44" s="3"/>
      <c r="CI44" s="3"/>
      <c r="CJ44" s="3"/>
      <c r="CK44" s="3"/>
      <c r="CL44" s="3"/>
      <c r="CM44" s="3"/>
      <c r="CN44" s="3"/>
      <c r="CO44" s="3"/>
      <c r="CP44" s="3"/>
      <c r="CQ44" s="3"/>
      <c r="CR44" s="3"/>
      <c r="CS44" s="3"/>
      <c r="CT44" s="3"/>
      <c r="CU44" s="3"/>
    </row>
    <row r="45" spans="1:99" ht="15.75" customHeight="1" x14ac:dyDescent="0.25">
      <c r="L45" s="55"/>
      <c r="M45" s="55"/>
      <c r="N45" s="55"/>
      <c r="O45" s="55"/>
      <c r="P45" s="55"/>
      <c r="Q45" s="55"/>
      <c r="R45" s="55"/>
      <c r="S45" s="55"/>
      <c r="T45" s="55"/>
      <c r="U45" s="55"/>
      <c r="V45" s="55"/>
      <c r="W45" s="55"/>
      <c r="X45" s="55"/>
      <c r="Y45" s="55"/>
      <c r="Z45" s="55"/>
      <c r="AA45" s="55"/>
      <c r="AB45" s="55"/>
      <c r="AC45" s="55"/>
      <c r="AD45" s="55"/>
      <c r="AE45" s="55"/>
      <c r="AF45" s="55"/>
      <c r="AG45" s="55"/>
      <c r="AH45" s="55"/>
      <c r="AI45" s="55"/>
      <c r="AJ45" s="55"/>
      <c r="AK45" s="55"/>
      <c r="AL45" s="55"/>
      <c r="AM45" s="55"/>
      <c r="AN45" s="55"/>
      <c r="AO45" s="55"/>
      <c r="AP45" s="55"/>
      <c r="AQ45" s="55"/>
      <c r="AR45" s="55"/>
      <c r="BS45" s="3"/>
      <c r="BT45" s="3"/>
      <c r="CD45" s="3"/>
      <c r="CE45" s="3"/>
      <c r="CF45" s="3"/>
      <c r="CG45" s="3"/>
      <c r="CH45" s="3"/>
      <c r="CI45" s="3"/>
      <c r="CJ45" s="3"/>
      <c r="CK45" s="3"/>
      <c r="CL45" s="3"/>
      <c r="CM45" s="3"/>
      <c r="CN45" s="3"/>
      <c r="CO45" s="3"/>
      <c r="CP45" s="3"/>
      <c r="CQ45" s="3"/>
      <c r="CR45" s="3"/>
      <c r="CS45" s="3"/>
      <c r="CT45" s="3"/>
      <c r="CU45" s="3"/>
    </row>
    <row r="46" spans="1:99" ht="15.75" customHeight="1" x14ac:dyDescent="0.25">
      <c r="L46" s="55"/>
      <c r="M46" s="55"/>
      <c r="N46" s="55"/>
      <c r="O46" s="55"/>
      <c r="P46" s="55"/>
      <c r="Q46" s="55"/>
      <c r="R46" s="55"/>
      <c r="S46" s="55"/>
      <c r="T46" s="55"/>
      <c r="U46" s="55"/>
      <c r="V46" s="55"/>
      <c r="W46" s="55"/>
      <c r="X46" s="55"/>
      <c r="Y46" s="55"/>
      <c r="Z46" s="55"/>
      <c r="AA46" s="55"/>
      <c r="AB46" s="55"/>
      <c r="AC46" s="55"/>
      <c r="AD46" s="55"/>
      <c r="AE46" s="55"/>
      <c r="AF46" s="55"/>
      <c r="AG46" s="55"/>
      <c r="AH46" s="55"/>
      <c r="AI46" s="55"/>
      <c r="AJ46" s="55"/>
      <c r="AK46" s="55"/>
      <c r="AL46" s="55"/>
      <c r="AM46" s="55"/>
      <c r="AN46" s="55"/>
      <c r="AO46" s="55"/>
      <c r="AP46" s="55"/>
      <c r="AQ46" s="55"/>
      <c r="AR46" s="55"/>
      <c r="BS46" s="3"/>
      <c r="BT46" s="3"/>
      <c r="CD46" s="3"/>
      <c r="CE46" s="3"/>
      <c r="CF46" s="3"/>
      <c r="CG46" s="3"/>
      <c r="CH46" s="3"/>
      <c r="CI46" s="3"/>
      <c r="CJ46" s="3"/>
      <c r="CK46" s="3"/>
      <c r="CL46" s="3"/>
      <c r="CM46" s="3"/>
      <c r="CN46" s="3"/>
      <c r="CO46" s="3"/>
      <c r="CP46" s="3"/>
      <c r="CQ46" s="3"/>
      <c r="CR46" s="3"/>
      <c r="CS46" s="3"/>
      <c r="CT46" s="3"/>
      <c r="CU46" s="3"/>
    </row>
    <row r="47" spans="1:99" ht="15.75" customHeight="1" x14ac:dyDescent="0.25">
      <c r="L47" s="55"/>
      <c r="M47" s="55"/>
      <c r="N47" s="55"/>
      <c r="O47" s="55"/>
      <c r="P47" s="55"/>
      <c r="Q47" s="55"/>
      <c r="R47" s="55"/>
      <c r="S47" s="55"/>
      <c r="T47" s="55"/>
      <c r="U47" s="55"/>
      <c r="V47" s="55"/>
      <c r="W47" s="55"/>
      <c r="X47" s="55"/>
      <c r="Y47" s="55"/>
      <c r="Z47" s="55"/>
      <c r="AA47" s="55"/>
      <c r="AB47" s="55"/>
      <c r="AC47" s="55"/>
      <c r="AD47" s="55"/>
      <c r="AE47" s="55"/>
      <c r="AF47" s="55"/>
      <c r="AG47" s="55"/>
      <c r="AH47" s="55"/>
      <c r="AI47" s="55"/>
      <c r="AJ47" s="55"/>
      <c r="AK47" s="55"/>
      <c r="AL47" s="55"/>
      <c r="AM47" s="55"/>
      <c r="AN47" s="55"/>
      <c r="AO47" s="55"/>
      <c r="AP47" s="55"/>
      <c r="AQ47" s="55"/>
      <c r="AR47" s="55"/>
      <c r="BS47" s="3"/>
      <c r="BT47" s="3"/>
      <c r="CD47" s="3"/>
      <c r="CE47" s="3"/>
      <c r="CF47" s="3"/>
      <c r="CG47" s="3"/>
      <c r="CH47" s="3"/>
      <c r="CI47" s="3"/>
      <c r="CJ47" s="3"/>
      <c r="CK47" s="3"/>
      <c r="CL47" s="3"/>
      <c r="CM47" s="3"/>
      <c r="CN47" s="3"/>
      <c r="CO47" s="3"/>
      <c r="CP47" s="3"/>
      <c r="CQ47" s="3"/>
      <c r="CR47" s="3"/>
      <c r="CS47" s="3"/>
      <c r="CT47" s="3"/>
      <c r="CU47" s="3"/>
    </row>
    <row r="48" spans="1:99" ht="15.75" customHeight="1" x14ac:dyDescent="0.25">
      <c r="L48" s="55"/>
      <c r="M48" s="55"/>
      <c r="N48" s="55"/>
      <c r="O48" s="55"/>
      <c r="P48" s="55"/>
      <c r="Q48" s="55"/>
      <c r="R48" s="55"/>
      <c r="S48" s="55"/>
      <c r="T48" s="55"/>
      <c r="U48" s="55"/>
      <c r="V48" s="55"/>
      <c r="W48" s="55"/>
      <c r="X48" s="55"/>
      <c r="Y48" s="55"/>
      <c r="Z48" s="55"/>
      <c r="AA48" s="55"/>
      <c r="AB48" s="55"/>
      <c r="AC48" s="55"/>
      <c r="AD48" s="55"/>
      <c r="AE48" s="55"/>
      <c r="AF48" s="55"/>
      <c r="AG48" s="55"/>
      <c r="AH48" s="55"/>
      <c r="AI48" s="55"/>
      <c r="AJ48" s="55"/>
      <c r="AK48" s="55"/>
      <c r="AL48" s="55"/>
      <c r="AM48" s="55"/>
      <c r="AN48" s="55"/>
      <c r="AO48" s="55"/>
      <c r="AP48" s="55"/>
      <c r="AQ48" s="55"/>
      <c r="AR48" s="55"/>
      <c r="BS48" s="3"/>
      <c r="BT48" s="3"/>
      <c r="CD48" s="3"/>
      <c r="CE48" s="3"/>
      <c r="CF48" s="3"/>
      <c r="CG48" s="3"/>
      <c r="CH48" s="3"/>
      <c r="CI48" s="3"/>
      <c r="CJ48" s="3"/>
      <c r="CK48" s="3"/>
      <c r="CL48" s="3"/>
      <c r="CM48" s="3"/>
      <c r="CN48" s="3"/>
      <c r="CO48" s="3"/>
      <c r="CP48" s="3"/>
      <c r="CQ48" s="3"/>
      <c r="CR48" s="3"/>
      <c r="CS48" s="3"/>
      <c r="CT48" s="3"/>
      <c r="CU48" s="3"/>
    </row>
    <row r="49" spans="12:99" ht="15.75" customHeight="1" x14ac:dyDescent="0.2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c r="AL49" s="55"/>
      <c r="AM49" s="55"/>
      <c r="AN49" s="55"/>
      <c r="AO49" s="55"/>
      <c r="AP49" s="55"/>
      <c r="AQ49" s="55"/>
      <c r="AR49" s="55"/>
      <c r="BS49" s="3"/>
      <c r="BT49" s="3"/>
      <c r="CD49" s="3"/>
      <c r="CE49" s="3"/>
      <c r="CF49" s="3"/>
      <c r="CG49" s="3"/>
      <c r="CH49" s="3"/>
      <c r="CI49" s="3"/>
      <c r="CJ49" s="3"/>
      <c r="CK49" s="3"/>
      <c r="CL49" s="3"/>
      <c r="CM49" s="3"/>
      <c r="CN49" s="3"/>
      <c r="CO49" s="3"/>
      <c r="CP49" s="3"/>
      <c r="CQ49" s="3"/>
      <c r="CR49" s="3"/>
      <c r="CS49" s="3"/>
      <c r="CT49" s="3"/>
      <c r="CU49" s="3"/>
    </row>
    <row r="50" spans="12:99" ht="15.75" customHeight="1" x14ac:dyDescent="0.25">
      <c r="L50" s="55"/>
      <c r="M50" s="55"/>
      <c r="N50" s="55"/>
      <c r="O50" s="55"/>
      <c r="P50" s="55"/>
      <c r="Q50" s="55"/>
      <c r="R50" s="55"/>
      <c r="S50" s="55"/>
      <c r="T50" s="55"/>
      <c r="U50" s="55"/>
      <c r="V50" s="55"/>
      <c r="W50" s="55"/>
      <c r="X50" s="55"/>
      <c r="Y50" s="55"/>
      <c r="Z50" s="55"/>
      <c r="AA50" s="55"/>
      <c r="AB50" s="55"/>
      <c r="AC50" s="55"/>
      <c r="AD50" s="55"/>
      <c r="AE50" s="55"/>
      <c r="AF50" s="55"/>
      <c r="AG50" s="55"/>
      <c r="AH50" s="55"/>
      <c r="AI50" s="55"/>
      <c r="AJ50" s="55"/>
      <c r="AK50" s="55"/>
      <c r="AL50" s="55"/>
      <c r="AM50" s="55"/>
      <c r="AN50" s="55"/>
      <c r="AO50" s="55"/>
      <c r="AP50" s="55"/>
      <c r="AQ50" s="55"/>
      <c r="AR50" s="55"/>
      <c r="BS50" s="3"/>
      <c r="BT50" s="3"/>
      <c r="CD50" s="3"/>
      <c r="CE50" s="3"/>
      <c r="CF50" s="3"/>
      <c r="CG50" s="3"/>
      <c r="CH50" s="3"/>
      <c r="CI50" s="3"/>
      <c r="CJ50" s="3"/>
      <c r="CK50" s="3"/>
      <c r="CL50" s="3"/>
      <c r="CM50" s="3"/>
      <c r="CN50" s="3"/>
      <c r="CO50" s="3"/>
      <c r="CP50" s="3"/>
      <c r="CQ50" s="3"/>
      <c r="CR50" s="3"/>
      <c r="CS50" s="3"/>
      <c r="CT50" s="3"/>
      <c r="CU50" s="3"/>
    </row>
    <row r="51" spans="12:99" ht="15.75" customHeight="1" x14ac:dyDescent="0.25">
      <c r="L51" s="55"/>
      <c r="M51" s="55"/>
      <c r="N51" s="55"/>
      <c r="O51" s="55"/>
      <c r="P51" s="55"/>
      <c r="Q51" s="55"/>
      <c r="R51" s="55"/>
      <c r="S51" s="55"/>
      <c r="T51" s="55"/>
      <c r="U51" s="55"/>
      <c r="V51" s="55"/>
      <c r="W51" s="55"/>
      <c r="X51" s="55"/>
      <c r="Y51" s="55"/>
      <c r="Z51" s="55"/>
      <c r="AA51" s="55"/>
      <c r="AB51" s="55"/>
      <c r="AC51" s="55"/>
      <c r="AD51" s="55"/>
      <c r="AE51" s="55"/>
      <c r="AF51" s="55"/>
      <c r="AG51" s="55"/>
      <c r="AH51" s="55"/>
      <c r="AI51" s="55"/>
      <c r="AJ51" s="55"/>
      <c r="AK51" s="55"/>
      <c r="AL51" s="55"/>
      <c r="AM51" s="55"/>
      <c r="AN51" s="55"/>
      <c r="AO51" s="55"/>
      <c r="AP51" s="55"/>
      <c r="AQ51" s="55"/>
      <c r="AR51" s="55"/>
      <c r="BS51" s="3"/>
      <c r="BT51" s="3"/>
      <c r="CD51" s="3"/>
      <c r="CE51" s="3"/>
      <c r="CF51" s="3"/>
      <c r="CG51" s="3"/>
      <c r="CH51" s="3"/>
      <c r="CI51" s="3"/>
      <c r="CJ51" s="3"/>
      <c r="CK51" s="3"/>
      <c r="CL51" s="3"/>
      <c r="CM51" s="3"/>
      <c r="CN51" s="3"/>
      <c r="CO51" s="3"/>
      <c r="CP51" s="3"/>
      <c r="CQ51" s="3"/>
      <c r="CR51" s="3"/>
      <c r="CS51" s="3"/>
      <c r="CT51" s="3"/>
      <c r="CU51" s="3"/>
    </row>
    <row r="52" spans="12:99" ht="15.75" customHeight="1" x14ac:dyDescent="0.25">
      <c r="L52" s="55"/>
      <c r="M52" s="55"/>
      <c r="N52" s="55"/>
      <c r="O52" s="55"/>
      <c r="P52" s="55"/>
      <c r="Q52" s="55"/>
      <c r="R52" s="55"/>
      <c r="S52" s="55"/>
      <c r="T52" s="55"/>
      <c r="U52" s="55"/>
      <c r="V52" s="55"/>
      <c r="W52" s="55"/>
      <c r="X52" s="55"/>
      <c r="Y52" s="55"/>
      <c r="Z52" s="55"/>
      <c r="AA52" s="55"/>
      <c r="AB52" s="55"/>
      <c r="AC52" s="55"/>
      <c r="AD52" s="55"/>
      <c r="AE52" s="55"/>
      <c r="AF52" s="55"/>
      <c r="AG52" s="55"/>
      <c r="AH52" s="55"/>
      <c r="AI52" s="55"/>
      <c r="AJ52" s="55"/>
      <c r="AK52" s="55"/>
      <c r="AL52" s="55"/>
      <c r="AM52" s="55"/>
      <c r="AN52" s="55"/>
      <c r="AO52" s="55"/>
      <c r="AP52" s="55"/>
      <c r="AQ52" s="55"/>
      <c r="AR52" s="55"/>
      <c r="BS52" s="3"/>
      <c r="BT52" s="3"/>
      <c r="CD52" s="3"/>
      <c r="CE52" s="3"/>
      <c r="CF52" s="3"/>
      <c r="CG52" s="3"/>
      <c r="CH52" s="3"/>
      <c r="CI52" s="3"/>
      <c r="CJ52" s="3"/>
      <c r="CK52" s="3"/>
      <c r="CL52" s="3"/>
      <c r="CM52" s="3"/>
      <c r="CN52" s="3"/>
      <c r="CO52" s="3"/>
      <c r="CP52" s="3"/>
      <c r="CQ52" s="3"/>
      <c r="CR52" s="3"/>
      <c r="CS52" s="3"/>
      <c r="CT52" s="3"/>
      <c r="CU52" s="3"/>
    </row>
    <row r="53" spans="12:99" ht="15.75" customHeight="1" x14ac:dyDescent="0.25">
      <c r="L53" s="55"/>
      <c r="M53" s="55"/>
      <c r="N53" s="55"/>
      <c r="O53" s="55"/>
      <c r="P53" s="55"/>
      <c r="Q53" s="55"/>
      <c r="R53" s="55"/>
      <c r="S53" s="55"/>
      <c r="T53" s="55"/>
      <c r="U53" s="55"/>
      <c r="V53" s="55"/>
      <c r="W53" s="55"/>
      <c r="X53" s="55"/>
      <c r="Y53" s="55"/>
      <c r="Z53" s="55"/>
      <c r="AA53" s="55"/>
      <c r="AB53" s="55"/>
      <c r="AC53" s="55"/>
      <c r="AD53" s="55"/>
      <c r="AE53" s="55"/>
      <c r="AF53" s="55"/>
      <c r="AG53" s="55"/>
      <c r="AH53" s="55"/>
      <c r="AI53" s="55"/>
      <c r="AJ53" s="55"/>
      <c r="AK53" s="55"/>
      <c r="AL53" s="55"/>
      <c r="AM53" s="55"/>
      <c r="AN53" s="55"/>
      <c r="AO53" s="55"/>
      <c r="AP53" s="55"/>
      <c r="AQ53" s="55"/>
      <c r="AR53" s="55"/>
      <c r="BS53" s="3"/>
      <c r="BT53" s="3"/>
      <c r="CD53" s="3"/>
      <c r="CE53" s="3"/>
      <c r="CF53" s="3"/>
      <c r="CG53" s="3"/>
      <c r="CH53" s="3"/>
      <c r="CI53" s="3"/>
      <c r="CJ53" s="3"/>
      <c r="CK53" s="3"/>
      <c r="CL53" s="3"/>
      <c r="CM53" s="3"/>
      <c r="CN53" s="3"/>
      <c r="CO53" s="3"/>
      <c r="CP53" s="3"/>
      <c r="CQ53" s="3"/>
      <c r="CR53" s="3"/>
      <c r="CS53" s="3"/>
      <c r="CT53" s="3"/>
      <c r="CU53" s="3"/>
    </row>
    <row r="54" spans="12:99" ht="15.75" customHeight="1" x14ac:dyDescent="0.25">
      <c r="L54" s="55"/>
      <c r="M54" s="55"/>
      <c r="N54" s="55"/>
      <c r="O54" s="55"/>
      <c r="P54" s="55"/>
      <c r="Q54" s="55"/>
      <c r="R54" s="55"/>
      <c r="S54" s="55"/>
      <c r="T54" s="55"/>
      <c r="U54" s="55"/>
      <c r="V54" s="55"/>
      <c r="W54" s="55"/>
      <c r="X54" s="55"/>
      <c r="Y54" s="55"/>
      <c r="Z54" s="55"/>
      <c r="AA54" s="55"/>
      <c r="AB54" s="55"/>
      <c r="AC54" s="55"/>
      <c r="AD54" s="55"/>
      <c r="AE54" s="55"/>
      <c r="AF54" s="55"/>
      <c r="AG54" s="55"/>
      <c r="AH54" s="55"/>
      <c r="AI54" s="55"/>
      <c r="AJ54" s="55"/>
      <c r="AK54" s="55"/>
      <c r="AL54" s="55"/>
      <c r="AM54" s="55"/>
      <c r="AN54" s="55"/>
      <c r="AO54" s="55"/>
      <c r="AP54" s="55"/>
      <c r="AQ54" s="55"/>
      <c r="AR54" s="55"/>
      <c r="BS54" s="3"/>
      <c r="BT54" s="3"/>
      <c r="CD54" s="3"/>
      <c r="CE54" s="3"/>
      <c r="CF54" s="3"/>
      <c r="CG54" s="3"/>
      <c r="CH54" s="3"/>
      <c r="CI54" s="3"/>
      <c r="CJ54" s="3"/>
      <c r="CK54" s="3"/>
      <c r="CL54" s="3"/>
      <c r="CM54" s="3"/>
      <c r="CN54" s="3"/>
      <c r="CO54" s="3"/>
      <c r="CP54" s="3"/>
      <c r="CQ54" s="3"/>
      <c r="CR54" s="3"/>
      <c r="CS54" s="3"/>
      <c r="CT54" s="3"/>
      <c r="CU54" s="3"/>
    </row>
    <row r="55" spans="12:99" ht="15.75" customHeight="1" x14ac:dyDescent="0.25">
      <c r="L55" s="55"/>
      <c r="M55" s="55"/>
      <c r="N55" s="55"/>
      <c r="O55" s="55"/>
      <c r="P55" s="55"/>
      <c r="Q55" s="55"/>
      <c r="R55" s="55"/>
      <c r="S55" s="55"/>
      <c r="T55" s="55"/>
      <c r="U55" s="55"/>
      <c r="V55" s="55"/>
      <c r="W55" s="55"/>
      <c r="X55" s="55"/>
      <c r="Y55" s="55"/>
      <c r="Z55" s="55"/>
      <c r="AA55" s="55"/>
      <c r="AB55" s="55"/>
      <c r="AC55" s="55"/>
      <c r="AD55" s="55"/>
      <c r="AE55" s="55"/>
      <c r="AF55" s="55"/>
      <c r="AG55" s="55"/>
      <c r="AH55" s="55"/>
      <c r="AL55" s="55"/>
      <c r="AM55" s="55"/>
      <c r="AN55" s="55"/>
      <c r="AO55" s="55"/>
      <c r="AP55" s="55"/>
      <c r="AQ55" s="55"/>
      <c r="AR55" s="55"/>
      <c r="BS55" s="3"/>
      <c r="BT55" s="3"/>
      <c r="CD55" s="3"/>
      <c r="CE55" s="3"/>
      <c r="CF55" s="3"/>
      <c r="CG55" s="3"/>
      <c r="CH55" s="3"/>
      <c r="CI55" s="3"/>
      <c r="CJ55" s="3"/>
      <c r="CK55" s="3"/>
      <c r="CL55" s="3"/>
      <c r="CM55" s="3"/>
      <c r="CN55" s="3"/>
      <c r="CO55" s="3"/>
      <c r="CP55" s="3"/>
      <c r="CQ55" s="3"/>
      <c r="CR55" s="3"/>
      <c r="CS55" s="3"/>
      <c r="CT55" s="3"/>
      <c r="CU55" s="3"/>
    </row>
    <row r="56" spans="12:99" ht="15.75" customHeight="1" x14ac:dyDescent="0.25">
      <c r="L56" s="55"/>
      <c r="M56" s="55"/>
      <c r="N56" s="55"/>
      <c r="O56" s="55"/>
      <c r="P56" s="55"/>
      <c r="Q56" s="55"/>
      <c r="R56" s="55"/>
      <c r="S56" s="55"/>
      <c r="T56" s="55"/>
      <c r="U56" s="55"/>
      <c r="V56" s="55"/>
      <c r="W56" s="55"/>
      <c r="X56" s="55"/>
      <c r="Y56" s="55"/>
      <c r="Z56" s="55"/>
      <c r="AA56" s="55"/>
      <c r="AB56" s="55"/>
      <c r="AC56" s="55"/>
      <c r="AD56" s="55"/>
      <c r="AE56" s="55"/>
      <c r="AF56" s="55"/>
      <c r="AG56" s="55"/>
      <c r="AH56" s="55"/>
      <c r="AL56" s="55"/>
      <c r="AM56" s="55"/>
      <c r="AN56" s="55"/>
      <c r="AO56" s="55"/>
      <c r="AP56" s="55"/>
      <c r="AQ56" s="55"/>
      <c r="AR56" s="55"/>
      <c r="BS56" s="3"/>
      <c r="BT56" s="3"/>
      <c r="CD56" s="3"/>
      <c r="CE56" s="3"/>
      <c r="CF56" s="3"/>
      <c r="CG56" s="3"/>
      <c r="CH56" s="3"/>
      <c r="CI56" s="3"/>
      <c r="CJ56" s="3"/>
      <c r="CK56" s="3"/>
      <c r="CL56" s="3"/>
      <c r="CM56" s="3"/>
      <c r="CN56" s="3"/>
      <c r="CO56" s="3"/>
      <c r="CP56" s="3"/>
      <c r="CQ56" s="3"/>
      <c r="CR56" s="3"/>
      <c r="CS56" s="3"/>
      <c r="CT56" s="3"/>
      <c r="CU56" s="3"/>
    </row>
    <row r="57" spans="12:99" ht="15.75" customHeight="1" x14ac:dyDescent="0.25">
      <c r="L57" s="55"/>
      <c r="M57" s="55"/>
      <c r="N57" s="55"/>
      <c r="O57" s="55"/>
      <c r="P57" s="55"/>
      <c r="Q57" s="55"/>
      <c r="R57" s="55"/>
      <c r="S57" s="55"/>
      <c r="T57" s="55"/>
      <c r="U57" s="55"/>
      <c r="V57" s="55"/>
      <c r="W57" s="55"/>
      <c r="X57" s="55"/>
      <c r="Y57" s="55"/>
      <c r="Z57" s="55"/>
      <c r="AA57" s="55"/>
      <c r="AB57" s="55"/>
      <c r="AC57" s="55"/>
      <c r="AD57" s="55"/>
      <c r="AE57" s="55"/>
      <c r="AF57" s="55"/>
      <c r="AG57" s="55"/>
      <c r="AH57" s="55"/>
      <c r="AL57" s="55"/>
      <c r="AM57" s="55"/>
      <c r="AN57" s="55"/>
      <c r="AO57" s="55"/>
      <c r="AP57" s="55"/>
      <c r="AQ57" s="55"/>
      <c r="AR57" s="55"/>
      <c r="BS57" s="3"/>
      <c r="BT57" s="3"/>
      <c r="CD57" s="3"/>
      <c r="CE57" s="3"/>
      <c r="CF57" s="3"/>
      <c r="CG57" s="3"/>
      <c r="CH57" s="3"/>
      <c r="CI57" s="3"/>
      <c r="CJ57" s="3"/>
      <c r="CK57" s="3"/>
      <c r="CL57" s="3"/>
      <c r="CM57" s="3"/>
      <c r="CN57" s="3"/>
      <c r="CO57" s="3"/>
      <c r="CP57" s="3"/>
      <c r="CQ57" s="3"/>
      <c r="CR57" s="3"/>
      <c r="CS57" s="3"/>
      <c r="CT57" s="3"/>
      <c r="CU57" s="3"/>
    </row>
    <row r="58" spans="12:99" ht="15.75" customHeight="1" x14ac:dyDescent="0.25">
      <c r="L58" s="55"/>
      <c r="M58" s="55"/>
      <c r="N58" s="55"/>
      <c r="O58" s="55"/>
      <c r="P58" s="55"/>
      <c r="Q58" s="55"/>
      <c r="R58" s="55"/>
      <c r="S58" s="55"/>
      <c r="T58" s="55"/>
      <c r="U58" s="55"/>
      <c r="V58" s="55"/>
      <c r="W58" s="55"/>
      <c r="X58" s="55"/>
      <c r="Y58" s="55"/>
      <c r="Z58" s="55"/>
      <c r="AA58" s="55"/>
      <c r="AB58" s="55"/>
      <c r="AC58" s="55"/>
      <c r="AD58" s="55"/>
      <c r="AE58" s="55"/>
      <c r="AL58" s="55"/>
      <c r="AM58" s="55"/>
      <c r="AN58" s="55"/>
      <c r="AO58" s="55"/>
      <c r="AP58" s="55"/>
      <c r="AQ58" s="55"/>
      <c r="AR58" s="55"/>
      <c r="BS58" s="3"/>
      <c r="BT58" s="3"/>
      <c r="CD58" s="3"/>
      <c r="CE58" s="3"/>
      <c r="CF58" s="3"/>
      <c r="CG58" s="3"/>
      <c r="CH58" s="3"/>
      <c r="CI58" s="3"/>
      <c r="CJ58" s="3"/>
      <c r="CK58" s="3"/>
      <c r="CL58" s="3"/>
      <c r="CM58" s="3"/>
      <c r="CN58" s="3"/>
      <c r="CO58" s="3"/>
      <c r="CP58" s="3"/>
      <c r="CQ58" s="3"/>
      <c r="CR58" s="3"/>
      <c r="CS58" s="3"/>
      <c r="CT58" s="3"/>
      <c r="CU58" s="3"/>
    </row>
    <row r="59" spans="12:99" ht="13.5" x14ac:dyDescent="0.25">
      <c r="AL59" s="55"/>
      <c r="AO59" s="55"/>
      <c r="AP59" s="55"/>
      <c r="AQ59" s="55"/>
      <c r="AR59" s="55"/>
      <c r="BS59" s="3"/>
      <c r="BT59" s="3"/>
      <c r="CD59" s="3"/>
      <c r="CE59" s="3"/>
      <c r="CF59" s="3"/>
      <c r="CG59" s="3"/>
      <c r="CH59" s="3"/>
      <c r="CI59" s="3"/>
      <c r="CJ59" s="3"/>
      <c r="CK59" s="3"/>
      <c r="CL59" s="3"/>
      <c r="CM59" s="3"/>
      <c r="CN59" s="3"/>
      <c r="CO59" s="3"/>
      <c r="CP59" s="3"/>
      <c r="CQ59" s="3"/>
      <c r="CR59" s="3"/>
      <c r="CS59" s="3"/>
      <c r="CT59" s="3"/>
      <c r="CU59" s="3"/>
    </row>
    <row r="60" spans="12:99" ht="13.5" x14ac:dyDescent="0.25">
      <c r="AL60" s="55"/>
      <c r="AO60" s="55"/>
      <c r="AP60" s="55"/>
      <c r="AQ60" s="55"/>
      <c r="AR60" s="55"/>
      <c r="BS60" s="3"/>
      <c r="BT60" s="3"/>
      <c r="CD60" s="3"/>
      <c r="CE60" s="3"/>
      <c r="CF60" s="3"/>
      <c r="CG60" s="3"/>
      <c r="CH60" s="3"/>
      <c r="CI60" s="3"/>
      <c r="CJ60" s="3"/>
      <c r="CK60" s="3"/>
      <c r="CL60" s="3"/>
      <c r="CM60" s="3"/>
      <c r="CN60" s="3"/>
      <c r="CO60" s="3"/>
      <c r="CP60" s="3"/>
      <c r="CQ60" s="3"/>
      <c r="CR60" s="3"/>
      <c r="CS60" s="3"/>
      <c r="CT60" s="3"/>
      <c r="CU60" s="3"/>
    </row>
    <row r="61" spans="12:99" ht="13.5" x14ac:dyDescent="0.25">
      <c r="AL61" s="55"/>
      <c r="AO61" s="55"/>
      <c r="AP61" s="55"/>
      <c r="AQ61" s="55"/>
      <c r="AR61" s="55"/>
      <c r="BS61" s="3"/>
      <c r="BT61" s="3"/>
      <c r="CD61" s="3"/>
      <c r="CE61" s="3"/>
      <c r="CF61" s="3"/>
      <c r="CG61" s="3"/>
      <c r="CH61" s="3"/>
      <c r="CI61" s="3"/>
      <c r="CJ61" s="3"/>
      <c r="CK61" s="3"/>
      <c r="CL61" s="3"/>
      <c r="CM61" s="3"/>
      <c r="CN61" s="3"/>
      <c r="CO61" s="3"/>
      <c r="CP61" s="3"/>
      <c r="CQ61" s="3"/>
      <c r="CR61" s="3"/>
      <c r="CS61" s="3"/>
      <c r="CT61" s="3"/>
      <c r="CU61" s="3"/>
    </row>
    <row r="62" spans="12:99" ht="13.5" x14ac:dyDescent="0.25">
      <c r="AL62" s="55"/>
      <c r="AO62" s="55"/>
      <c r="BS62" s="3"/>
      <c r="BT62" s="3"/>
      <c r="CD62" s="3"/>
      <c r="CE62" s="3"/>
      <c r="CF62" s="3"/>
      <c r="CG62" s="3"/>
      <c r="CH62" s="3"/>
      <c r="CI62" s="3"/>
      <c r="CJ62" s="3"/>
      <c r="CK62" s="3"/>
      <c r="CL62" s="3"/>
      <c r="CM62" s="3"/>
      <c r="CN62" s="3"/>
      <c r="CO62" s="3"/>
      <c r="CP62" s="3"/>
      <c r="CQ62" s="3"/>
      <c r="CR62" s="3"/>
      <c r="CS62" s="3"/>
      <c r="CT62" s="3"/>
      <c r="CU62" s="3"/>
    </row>
    <row r="63" spans="12:99" ht="13.5" x14ac:dyDescent="0.25">
      <c r="BS63" s="3"/>
      <c r="BT63" s="3"/>
      <c r="CD63" s="3"/>
      <c r="CE63" s="3"/>
      <c r="CF63" s="3"/>
      <c r="CG63" s="3"/>
      <c r="CH63" s="3"/>
      <c r="CI63" s="3"/>
      <c r="CJ63" s="3"/>
      <c r="CK63" s="3"/>
      <c r="CL63" s="3"/>
      <c r="CM63" s="3"/>
      <c r="CN63" s="3"/>
      <c r="CO63" s="3"/>
      <c r="CP63" s="3"/>
      <c r="CQ63" s="3"/>
      <c r="CR63" s="3"/>
      <c r="CS63" s="3"/>
      <c r="CT63" s="3"/>
      <c r="CU63" s="3"/>
    </row>
    <row r="64" spans="12:99" ht="13.5" x14ac:dyDescent="0.25">
      <c r="BS64" s="3"/>
      <c r="BT64" s="3"/>
      <c r="CD64" s="3"/>
      <c r="CE64" s="3"/>
      <c r="CF64" s="3"/>
      <c r="CG64" s="3"/>
      <c r="CH64" s="3"/>
      <c r="CI64" s="3"/>
      <c r="CJ64" s="3"/>
      <c r="CK64" s="3"/>
      <c r="CL64" s="3"/>
      <c r="CM64" s="3"/>
      <c r="CN64" s="3"/>
      <c r="CO64" s="3"/>
      <c r="CP64" s="3"/>
      <c r="CQ64" s="3"/>
      <c r="CR64" s="3"/>
      <c r="CS64" s="3"/>
      <c r="CT64" s="3"/>
      <c r="CU64" s="3"/>
    </row>
    <row r="65" spans="71:99" ht="13.5" x14ac:dyDescent="0.25">
      <c r="BS65" s="3"/>
      <c r="BT65" s="3"/>
      <c r="CD65" s="3"/>
      <c r="CE65" s="3"/>
      <c r="CF65" s="3"/>
      <c r="CG65" s="3"/>
      <c r="CH65" s="3"/>
      <c r="CI65" s="3"/>
      <c r="CJ65" s="3"/>
      <c r="CK65" s="3"/>
      <c r="CL65" s="3"/>
      <c r="CM65" s="3"/>
      <c r="CN65" s="3"/>
      <c r="CO65" s="3"/>
      <c r="CP65" s="3"/>
      <c r="CQ65" s="3"/>
      <c r="CR65" s="3"/>
      <c r="CS65" s="3"/>
      <c r="CT65" s="3"/>
      <c r="CU65" s="3"/>
    </row>
    <row r="66" spans="71:99" ht="13.5" x14ac:dyDescent="0.25">
      <c r="BS66" s="3"/>
      <c r="BT66" s="3"/>
      <c r="CD66" s="3"/>
      <c r="CE66" s="3"/>
      <c r="CF66" s="3"/>
      <c r="CG66" s="3"/>
      <c r="CH66" s="3"/>
      <c r="CI66" s="3"/>
      <c r="CJ66" s="3"/>
      <c r="CK66" s="3"/>
      <c r="CL66" s="3"/>
      <c r="CM66" s="3"/>
      <c r="CN66" s="3"/>
      <c r="CO66" s="3"/>
      <c r="CP66" s="3"/>
      <c r="CQ66" s="3"/>
      <c r="CR66" s="3"/>
      <c r="CS66" s="3"/>
      <c r="CT66" s="3"/>
      <c r="CU66" s="3"/>
    </row>
    <row r="67" spans="71:99" ht="13.5" x14ac:dyDescent="0.25">
      <c r="CD67" s="3"/>
      <c r="CE67" s="3"/>
      <c r="CF67" s="3"/>
      <c r="CG67" s="3"/>
      <c r="CH67" s="3"/>
      <c r="CI67" s="3"/>
      <c r="CJ67" s="3"/>
      <c r="CK67" s="3"/>
      <c r="CL67" s="3"/>
      <c r="CM67" s="3"/>
      <c r="CN67" s="3"/>
      <c r="CO67" s="3"/>
      <c r="CP67" s="3"/>
      <c r="CQ67" s="3"/>
      <c r="CR67" s="3"/>
      <c r="CS67" s="3"/>
      <c r="CT67" s="3"/>
      <c r="CU67" s="3"/>
    </row>
    <row r="68" spans="71:99" ht="13.5" x14ac:dyDescent="0.25">
      <c r="CD68" s="3"/>
      <c r="CE68" s="3"/>
      <c r="CF68" s="3"/>
      <c r="CG68" s="3"/>
      <c r="CH68" s="3"/>
      <c r="CI68" s="3"/>
      <c r="CJ68" s="3"/>
      <c r="CK68" s="3"/>
      <c r="CL68" s="3"/>
      <c r="CM68" s="3"/>
      <c r="CN68" s="3"/>
      <c r="CO68" s="3"/>
      <c r="CP68" s="3"/>
      <c r="CQ68" s="3"/>
      <c r="CR68" s="3"/>
      <c r="CS68" s="3"/>
      <c r="CT68" s="3"/>
      <c r="CU68" s="3"/>
    </row>
    <row r="69" spans="71:99" ht="13.5" x14ac:dyDescent="0.25">
      <c r="CD69" s="3"/>
      <c r="CE69" s="3"/>
      <c r="CF69" s="3"/>
      <c r="CG69" s="3"/>
      <c r="CH69" s="3"/>
      <c r="CI69" s="3"/>
      <c r="CJ69" s="3"/>
      <c r="CK69" s="3"/>
      <c r="CL69" s="3"/>
      <c r="CM69" s="3"/>
      <c r="CN69" s="3"/>
      <c r="CO69" s="3"/>
      <c r="CP69" s="3"/>
      <c r="CQ69" s="3"/>
      <c r="CR69" s="3"/>
      <c r="CS69" s="3"/>
      <c r="CT69" s="3"/>
      <c r="CU69" s="3"/>
    </row>
    <row r="70" spans="71:99" ht="13.5" x14ac:dyDescent="0.25">
      <c r="CD70" s="3"/>
      <c r="CE70" s="3"/>
      <c r="CF70" s="3"/>
      <c r="CG70" s="3"/>
      <c r="CH70" s="3"/>
      <c r="CI70" s="3"/>
      <c r="CJ70" s="3"/>
      <c r="CK70" s="3"/>
      <c r="CL70" s="3"/>
      <c r="CM70" s="3"/>
      <c r="CN70" s="3"/>
      <c r="CO70" s="3"/>
      <c r="CP70" s="3"/>
      <c r="CQ70" s="3"/>
      <c r="CR70" s="3"/>
      <c r="CS70" s="3"/>
      <c r="CT70" s="3"/>
      <c r="CU70" s="3"/>
    </row>
    <row r="71" spans="71:99" ht="13.5" x14ac:dyDescent="0.25">
      <c r="CD71" s="3"/>
      <c r="CE71" s="3"/>
      <c r="CF71" s="3"/>
      <c r="CG71" s="3"/>
      <c r="CH71" s="3"/>
      <c r="CI71" s="3"/>
      <c r="CJ71" s="3"/>
      <c r="CK71" s="3"/>
      <c r="CL71" s="3"/>
      <c r="CM71" s="3"/>
      <c r="CN71" s="3"/>
      <c r="CO71" s="3"/>
      <c r="CP71" s="3"/>
      <c r="CQ71" s="3"/>
      <c r="CR71" s="3"/>
      <c r="CS71" s="3"/>
      <c r="CT71" s="3"/>
      <c r="CU71" s="3"/>
    </row>
    <row r="72" spans="71:99" ht="13.5" x14ac:dyDescent="0.25">
      <c r="CD72" s="3"/>
      <c r="CE72" s="3"/>
      <c r="CF72" s="3"/>
      <c r="CG72" s="3"/>
      <c r="CH72" s="3"/>
      <c r="CI72" s="3"/>
      <c r="CJ72" s="3"/>
      <c r="CK72" s="3"/>
      <c r="CL72" s="3"/>
      <c r="CM72" s="3"/>
      <c r="CN72" s="3"/>
      <c r="CO72" s="3"/>
      <c r="CP72" s="3"/>
      <c r="CQ72" s="3"/>
      <c r="CR72" s="3"/>
      <c r="CS72" s="3"/>
      <c r="CT72" s="3"/>
      <c r="CU72" s="3"/>
    </row>
    <row r="73" spans="71:99" ht="13.5" x14ac:dyDescent="0.25">
      <c r="CD73" s="3"/>
      <c r="CE73" s="3"/>
      <c r="CF73" s="3"/>
      <c r="CG73" s="3"/>
      <c r="CH73" s="3"/>
      <c r="CI73" s="3"/>
      <c r="CJ73" s="3"/>
      <c r="CK73" s="3"/>
      <c r="CL73" s="3"/>
      <c r="CM73" s="3"/>
      <c r="CN73" s="3"/>
      <c r="CO73" s="3"/>
      <c r="CP73" s="3"/>
      <c r="CQ73" s="3"/>
      <c r="CR73" s="3"/>
      <c r="CS73" s="3"/>
      <c r="CT73" s="3"/>
      <c r="CU73" s="3"/>
    </row>
  </sheetData>
  <phoneticPr fontId="17" type="noConversion"/>
  <conditionalFormatting sqref="D1:I1">
    <cfRule type="expression" dxfId="292" priority="1">
      <formula>$D$1&lt;&gt;0</formula>
    </cfRule>
  </conditionalFormatting>
  <dataValidations count="2">
    <dataValidation type="list" allowBlank="1" showInputMessage="1" showErrorMessage="1" sqref="AR6:AR8" xr:uid="{00000000-0002-0000-0200-000000000000}">
      <formula1>dd_BISL_role</formula1>
    </dataValidation>
    <dataValidation type="list" allowBlank="1" showInputMessage="1" showErrorMessage="1" sqref="AS6:AW8" xr:uid="{00000000-0002-0000-0200-000001000000}">
      <formula1>dd_bocomrole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8" r:id="rId4" name="Button 4">
              <controlPr defaultSize="0" print="0" autoFill="0" autoPict="0" macro="[0]!AutoCopy">
                <anchor moveWithCells="1" sizeWithCells="1">
                  <from>
                    <xdr:col>3</xdr:col>
                    <xdr:colOff>466725</xdr:colOff>
                    <xdr:row>2</xdr:row>
                    <xdr:rowOff>266700</xdr:rowOff>
                  </from>
                  <to>
                    <xdr:col>3</xdr:col>
                    <xdr:colOff>1857375</xdr:colOff>
                    <xdr:row>3</xdr:row>
                    <xdr:rowOff>723900</xdr:rowOff>
                  </to>
                </anchor>
              </controlPr>
            </control>
          </mc:Choice>
        </mc:AlternateContent>
      </controls>
    </mc:Choice>
  </mc:AlternateContent>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2A7968"/>
  </sheetPr>
  <dimension ref="A1:AZ52"/>
  <sheetViews>
    <sheetView topLeftCell="AE1" zoomScale="70" zoomScaleNormal="70" workbookViewId="0">
      <selection activeCell="AW6" sqref="AW6"/>
    </sheetView>
  </sheetViews>
  <sheetFormatPr defaultColWidth="8.88671875" defaultRowHeight="20.100000000000001" customHeight="1" outlineLevelCol="1" x14ac:dyDescent="0.25"/>
  <cols>
    <col min="1" max="1" width="27.33203125" style="1" bestFit="1" customWidth="1"/>
    <col min="2" max="2" width="28.88671875" style="1" customWidth="1"/>
    <col min="3" max="3" width="11.6640625" style="1" bestFit="1" customWidth="1"/>
    <col min="4" max="4" width="13.5546875" style="1" customWidth="1"/>
    <col min="5" max="5" width="9.5546875" style="1" bestFit="1" customWidth="1"/>
    <col min="6" max="6" width="12.6640625" style="1" bestFit="1" customWidth="1"/>
    <col min="7" max="7" width="4.6640625" style="1" bestFit="1" customWidth="1"/>
    <col min="8" max="8" width="10.44140625" style="1" bestFit="1" customWidth="1"/>
    <col min="9" max="9" width="4.33203125" style="1" bestFit="1" customWidth="1"/>
    <col min="10" max="10" width="5.77734375" style="1" bestFit="1" customWidth="1"/>
    <col min="11" max="13" width="11.33203125" style="1" bestFit="1" customWidth="1"/>
    <col min="14" max="14" width="12" style="1" customWidth="1"/>
    <col min="15" max="15" width="9.5546875" style="1" bestFit="1" customWidth="1"/>
    <col min="16" max="17" width="10.33203125" style="1" customWidth="1"/>
    <col min="18" max="18" width="10.33203125" style="1" hidden="1" customWidth="1" outlineLevel="1"/>
    <col min="19" max="19" width="7.6640625" style="1" hidden="1" customWidth="1" outlineLevel="1"/>
    <col min="20" max="21" width="11" style="1" hidden="1" customWidth="1" outlineLevel="1"/>
    <col min="22" max="23" width="7.6640625" style="1" hidden="1" customWidth="1" outlineLevel="1"/>
    <col min="24" max="24" width="13.33203125" style="1" hidden="1" customWidth="1" outlineLevel="1"/>
    <col min="25" max="25" width="6" style="1" hidden="1" customWidth="1" outlineLevel="1"/>
    <col min="26" max="27" width="7" style="1" hidden="1" customWidth="1" outlineLevel="1"/>
    <col min="28" max="28" width="19.44140625" style="1" bestFit="1" customWidth="1" collapsed="1"/>
    <col min="29" max="29" width="7" style="1" customWidth="1"/>
    <col min="30" max="30" width="19.33203125" style="1" customWidth="1"/>
    <col min="31" max="31" width="30.33203125" style="1" customWidth="1"/>
    <col min="32" max="32" width="19.44140625" style="1" bestFit="1" customWidth="1"/>
    <col min="33" max="33" width="13.33203125" style="1" bestFit="1" customWidth="1"/>
    <col min="34" max="34" width="9.33203125" style="1" bestFit="1" customWidth="1"/>
    <col min="35" max="35" width="7.6640625" style="1" bestFit="1" customWidth="1"/>
    <col min="36" max="36" width="11.5546875" style="1" bestFit="1" customWidth="1"/>
    <col min="37" max="37" width="12" style="1" bestFit="1" customWidth="1"/>
    <col min="38" max="38" width="7.6640625" style="1" bestFit="1" customWidth="1"/>
    <col min="39" max="39" width="13.6640625" style="1" bestFit="1" customWidth="1"/>
    <col min="40" max="40" width="4.33203125" style="1" bestFit="1" customWidth="1"/>
    <col min="41" max="41" width="9.5546875" style="1" bestFit="1" customWidth="1"/>
    <col min="42" max="42" width="9.33203125" style="1" bestFit="1" customWidth="1"/>
    <col min="43" max="43" width="12.44140625" style="1" bestFit="1" customWidth="1"/>
    <col min="44" max="44" width="10.77734375" style="1" bestFit="1" customWidth="1"/>
    <col min="45" max="45" width="10.33203125" style="1" bestFit="1" customWidth="1"/>
    <col min="46" max="46" width="10.77734375" style="1" bestFit="1" customWidth="1"/>
    <col min="47" max="47" width="13.109375" style="1" bestFit="1" customWidth="1"/>
    <col min="48" max="48" width="12.6640625" style="1" bestFit="1" customWidth="1"/>
    <col min="49" max="49" width="28.21875" style="1" customWidth="1"/>
    <col min="50" max="52" width="13.33203125" style="1" customWidth="1"/>
    <col min="53" max="54" width="15.5546875" style="1" customWidth="1"/>
    <col min="55" max="16384" width="8.88671875" style="1"/>
  </cols>
  <sheetData>
    <row r="1" spans="1:52" s="7" customFormat="1" ht="46.5" x14ac:dyDescent="0.55000000000000004">
      <c r="A1" s="85" t="s">
        <v>247</v>
      </c>
      <c r="B1" s="69"/>
      <c r="L1" s="52"/>
      <c r="AE1" s="85" t="s">
        <v>246</v>
      </c>
      <c r="AG1" s="94" t="s">
        <v>265</v>
      </c>
      <c r="AW1" s="85" t="s">
        <v>245</v>
      </c>
    </row>
    <row r="2" spans="1:52" s="30" customFormat="1" ht="75" customHeight="1" x14ac:dyDescent="0.35">
      <c r="B2" s="29"/>
      <c r="C2" s="138" t="s">
        <v>581</v>
      </c>
      <c r="D2" s="138" t="s">
        <v>581</v>
      </c>
      <c r="F2" s="138" t="s">
        <v>581</v>
      </c>
      <c r="K2" s="138" t="s">
        <v>581</v>
      </c>
      <c r="L2" s="138" t="s">
        <v>581</v>
      </c>
      <c r="M2" s="138" t="s">
        <v>581</v>
      </c>
      <c r="N2" s="138" t="s">
        <v>581</v>
      </c>
    </row>
    <row r="3" spans="1:52" s="25" customFormat="1" ht="33" customHeight="1" x14ac:dyDescent="0.25">
      <c r="A3" s="70" t="s">
        <v>57</v>
      </c>
      <c r="B3" s="70" t="s">
        <v>106</v>
      </c>
      <c r="C3" s="70" t="s">
        <v>228</v>
      </c>
      <c r="D3" s="70" t="s">
        <v>176</v>
      </c>
      <c r="E3" s="70" t="s">
        <v>100</v>
      </c>
      <c r="F3" s="70" t="s">
        <v>49</v>
      </c>
      <c r="G3" s="70" t="s">
        <v>73</v>
      </c>
      <c r="H3" s="70" t="s">
        <v>66</v>
      </c>
      <c r="I3" s="70" t="s">
        <v>97</v>
      </c>
      <c r="J3" s="70" t="s">
        <v>144</v>
      </c>
      <c r="K3" s="70" t="s">
        <v>98</v>
      </c>
      <c r="L3" s="70" t="s">
        <v>62</v>
      </c>
      <c r="M3" s="70" t="s">
        <v>216</v>
      </c>
      <c r="N3" s="70" t="s">
        <v>180</v>
      </c>
      <c r="O3" s="70" t="s">
        <v>199</v>
      </c>
      <c r="P3" s="70" t="s">
        <v>103</v>
      </c>
      <c r="Q3" s="70" t="s">
        <v>182</v>
      </c>
      <c r="R3" s="70" t="s">
        <v>197</v>
      </c>
      <c r="S3" s="70" t="s">
        <v>218</v>
      </c>
      <c r="T3" s="70" t="s">
        <v>60</v>
      </c>
      <c r="U3" s="70" t="s">
        <v>59</v>
      </c>
      <c r="V3" s="70" t="s">
        <v>269</v>
      </c>
      <c r="W3" s="70" t="s">
        <v>271</v>
      </c>
      <c r="X3" s="70" t="s">
        <v>56</v>
      </c>
      <c r="Y3" s="70" t="s">
        <v>224</v>
      </c>
      <c r="Z3" s="70" t="s">
        <v>225</v>
      </c>
      <c r="AA3" s="70" t="s">
        <v>272</v>
      </c>
      <c r="AB3" s="70" t="s">
        <v>181</v>
      </c>
      <c r="AE3" s="70" t="s">
        <v>106</v>
      </c>
      <c r="AF3" s="70" t="s">
        <v>181</v>
      </c>
      <c r="AG3" s="70" t="s">
        <v>56</v>
      </c>
      <c r="AH3" s="70" t="s">
        <v>57</v>
      </c>
      <c r="AI3" s="70" t="s">
        <v>264</v>
      </c>
      <c r="AJ3" s="70" t="s">
        <v>223</v>
      </c>
      <c r="AK3" s="70" t="s">
        <v>239</v>
      </c>
      <c r="AL3" s="70" t="s">
        <v>222</v>
      </c>
      <c r="AM3" s="70" t="s">
        <v>233</v>
      </c>
      <c r="AN3" s="70" t="s">
        <v>221</v>
      </c>
      <c r="AO3" s="70" t="s">
        <v>191</v>
      </c>
      <c r="AP3" s="70" t="s">
        <v>237</v>
      </c>
      <c r="AQ3" s="70" t="s">
        <v>238</v>
      </c>
      <c r="AR3" s="70" t="s">
        <v>257</v>
      </c>
      <c r="AS3" s="70" t="s">
        <v>258</v>
      </c>
      <c r="AT3" s="70" t="s">
        <v>259</v>
      </c>
      <c r="AU3" s="30"/>
      <c r="AW3" s="70" t="s">
        <v>106</v>
      </c>
      <c r="AX3" s="70" t="s">
        <v>229</v>
      </c>
      <c r="AY3" s="70" t="s">
        <v>266</v>
      </c>
      <c r="AZ3" s="70" t="s">
        <v>296</v>
      </c>
    </row>
    <row r="4" spans="1:52" ht="20.100000000000001" customHeight="1" x14ac:dyDescent="0.25">
      <c r="A4" s="72" t="s">
        <v>57</v>
      </c>
      <c r="B4" s="72" t="s">
        <v>106</v>
      </c>
      <c r="C4" s="72" t="s">
        <v>228</v>
      </c>
      <c r="D4" s="72" t="s">
        <v>176</v>
      </c>
      <c r="E4" s="72" t="s">
        <v>391</v>
      </c>
      <c r="F4" s="72" t="s">
        <v>49</v>
      </c>
      <c r="G4" s="72" t="s">
        <v>73</v>
      </c>
      <c r="H4" s="72" t="s">
        <v>66</v>
      </c>
      <c r="I4" s="72" t="s">
        <v>97</v>
      </c>
      <c r="J4" s="72" t="s">
        <v>144</v>
      </c>
      <c r="K4" s="72" t="s">
        <v>98</v>
      </c>
      <c r="L4" s="72" t="s">
        <v>62</v>
      </c>
      <c r="M4" s="72" t="s">
        <v>216</v>
      </c>
      <c r="N4" s="72" t="s">
        <v>180</v>
      </c>
      <c r="O4" s="72" t="s">
        <v>199</v>
      </c>
      <c r="P4" s="72" t="s">
        <v>103</v>
      </c>
      <c r="Q4" s="72" t="s">
        <v>182</v>
      </c>
      <c r="R4" s="72" t="s">
        <v>197</v>
      </c>
      <c r="S4" s="72" t="s">
        <v>218</v>
      </c>
      <c r="T4" s="72" t="s">
        <v>60</v>
      </c>
      <c r="U4" s="72" t="s">
        <v>59</v>
      </c>
      <c r="V4" s="72" t="s">
        <v>269</v>
      </c>
      <c r="W4" s="72" t="s">
        <v>271</v>
      </c>
      <c r="X4" s="72" t="s">
        <v>56</v>
      </c>
      <c r="Y4" s="72" t="s">
        <v>224</v>
      </c>
      <c r="Z4" s="72" t="s">
        <v>225</v>
      </c>
      <c r="AA4" s="72" t="s">
        <v>272</v>
      </c>
      <c r="AB4" s="72" t="s">
        <v>181</v>
      </c>
      <c r="AC4" s="25"/>
      <c r="AD4" s="25"/>
      <c r="AE4" s="75" t="s">
        <v>106</v>
      </c>
      <c r="AF4" s="75" t="s">
        <v>181</v>
      </c>
      <c r="AG4" s="75" t="s">
        <v>56</v>
      </c>
      <c r="AH4" s="75" t="s">
        <v>57</v>
      </c>
      <c r="AI4" s="75" t="s">
        <v>264</v>
      </c>
      <c r="AJ4" s="75" t="s">
        <v>223</v>
      </c>
      <c r="AK4" s="75" t="s">
        <v>239</v>
      </c>
      <c r="AL4" s="75" t="s">
        <v>222</v>
      </c>
      <c r="AM4" s="75" t="s">
        <v>233</v>
      </c>
      <c r="AN4" s="75" t="s">
        <v>221</v>
      </c>
      <c r="AO4" s="75" t="s">
        <v>191</v>
      </c>
      <c r="AP4" s="75" t="s">
        <v>237</v>
      </c>
      <c r="AQ4" s="75" t="s">
        <v>238</v>
      </c>
      <c r="AR4" s="75" t="s">
        <v>257</v>
      </c>
      <c r="AS4" s="75" t="s">
        <v>258</v>
      </c>
      <c r="AT4" s="75" t="s">
        <v>259</v>
      </c>
      <c r="AU4" s="30"/>
      <c r="AW4" s="75" t="s">
        <v>106</v>
      </c>
      <c r="AX4" s="75" t="s">
        <v>229</v>
      </c>
      <c r="AY4" s="75" t="s">
        <v>266</v>
      </c>
      <c r="AZ4" s="75" t="s">
        <v>296</v>
      </c>
    </row>
    <row r="5" spans="1:52" ht="20.100000000000001" customHeight="1" x14ac:dyDescent="0.25">
      <c r="A5" s="73">
        <v>45148</v>
      </c>
      <c r="B5" s="73" t="s">
        <v>392</v>
      </c>
      <c r="C5" s="74" t="s">
        <v>578</v>
      </c>
      <c r="D5" s="74" t="s">
        <v>576</v>
      </c>
      <c r="E5" s="4" t="s">
        <v>46</v>
      </c>
      <c r="F5" s="74" t="s">
        <v>8</v>
      </c>
      <c r="G5" s="68" t="s">
        <v>95</v>
      </c>
      <c r="H5" s="68">
        <v>3.1</v>
      </c>
      <c r="I5" s="68" t="s">
        <v>196</v>
      </c>
      <c r="J5" s="88" t="s">
        <v>398</v>
      </c>
      <c r="K5" s="74" t="s">
        <v>544</v>
      </c>
      <c r="L5" s="98" t="s">
        <v>398</v>
      </c>
      <c r="M5" s="74">
        <v>20</v>
      </c>
      <c r="N5" s="74" t="s">
        <v>8</v>
      </c>
      <c r="O5" s="4" t="s">
        <v>8</v>
      </c>
      <c r="P5" s="68" t="s">
        <v>329</v>
      </c>
      <c r="Q5" s="68"/>
      <c r="R5" s="122"/>
      <c r="S5" s="4" t="s">
        <v>139</v>
      </c>
      <c r="T5" s="68">
        <v>7.4</v>
      </c>
      <c r="U5" s="68" t="s">
        <v>320</v>
      </c>
      <c r="V5" s="68" t="s">
        <v>104</v>
      </c>
      <c r="W5" s="68" t="s">
        <v>104</v>
      </c>
      <c r="X5" s="68" t="s">
        <v>394</v>
      </c>
      <c r="Y5" s="68">
        <v>3.1</v>
      </c>
      <c r="Z5" s="68">
        <v>22.425000000000001</v>
      </c>
      <c r="AA5" s="68">
        <v>24.239000000000001</v>
      </c>
      <c r="AB5" s="68" t="s">
        <v>408</v>
      </c>
      <c r="AC5" s="25"/>
      <c r="AD5" s="25"/>
      <c r="AE5" t="s">
        <v>409</v>
      </c>
      <c r="AF5" t="s">
        <v>421</v>
      </c>
      <c r="AG5" s="93" t="s">
        <v>411</v>
      </c>
      <c r="AH5" s="73">
        <v>45147</v>
      </c>
      <c r="AI5" s="1">
        <v>53</v>
      </c>
      <c r="AJ5" s="1" t="s">
        <v>244</v>
      </c>
      <c r="AK5" s="1" t="s">
        <v>562</v>
      </c>
      <c r="AL5" s="90" t="s">
        <v>231</v>
      </c>
      <c r="AM5" s="90" t="s">
        <v>562</v>
      </c>
      <c r="AN5" s="90"/>
      <c r="AO5" s="89" t="s">
        <v>194</v>
      </c>
      <c r="AP5" s="71" t="s">
        <v>8</v>
      </c>
      <c r="AQ5" s="89" t="s">
        <v>8</v>
      </c>
      <c r="AR5" s="105"/>
      <c r="AS5" s="90" t="s">
        <v>568</v>
      </c>
      <c r="AT5" s="106"/>
      <c r="AU5" s="30"/>
      <c r="AW5" t="s">
        <v>409</v>
      </c>
      <c r="AX5" s="71" t="s">
        <v>461</v>
      </c>
      <c r="AY5" s="87" t="s">
        <v>251</v>
      </c>
      <c r="AZ5" s="87" t="s">
        <v>299</v>
      </c>
    </row>
    <row r="6" spans="1:52" ht="20.100000000000001" customHeight="1" x14ac:dyDescent="0.25">
      <c r="A6" s="73">
        <v>45147</v>
      </c>
      <c r="B6" s="73" t="s">
        <v>409</v>
      </c>
      <c r="C6" s="98" t="s">
        <v>93</v>
      </c>
      <c r="D6" s="98" t="s">
        <v>93</v>
      </c>
      <c r="E6" s="4" t="s">
        <v>316</v>
      </c>
      <c r="F6" s="74" t="s">
        <v>545</v>
      </c>
      <c r="G6" s="68" t="s">
        <v>120</v>
      </c>
      <c r="H6" s="68">
        <v>2.569</v>
      </c>
      <c r="I6" s="68" t="s">
        <v>196</v>
      </c>
      <c r="J6" s="68" t="s">
        <v>418</v>
      </c>
      <c r="K6" s="74"/>
      <c r="L6" s="97"/>
      <c r="M6" s="74"/>
      <c r="N6" s="74" t="s">
        <v>8</v>
      </c>
      <c r="O6" s="4" t="s">
        <v>8</v>
      </c>
      <c r="P6" s="68" t="s">
        <v>329</v>
      </c>
      <c r="Q6" s="68"/>
      <c r="R6" s="121"/>
      <c r="S6" s="4" t="s">
        <v>139</v>
      </c>
      <c r="T6" s="68">
        <v>4.6500000000000004</v>
      </c>
      <c r="U6" s="68" t="s">
        <v>334</v>
      </c>
      <c r="V6" s="68" t="s">
        <v>104</v>
      </c>
      <c r="W6" s="68" t="s">
        <v>104</v>
      </c>
      <c r="X6" s="68" t="s">
        <v>411</v>
      </c>
      <c r="Y6" s="68">
        <v>0.35499999999999998</v>
      </c>
      <c r="Z6" s="68">
        <v>2.569</v>
      </c>
      <c r="AA6" s="68">
        <v>2.7770000000000001</v>
      </c>
      <c r="AB6" s="68" t="s">
        <v>421</v>
      </c>
      <c r="AC6" s="25"/>
      <c r="AD6" s="25"/>
      <c r="AE6" t="s">
        <v>392</v>
      </c>
      <c r="AF6" t="s">
        <v>408</v>
      </c>
      <c r="AG6" s="93" t="s">
        <v>394</v>
      </c>
      <c r="AH6" s="73">
        <v>45148</v>
      </c>
      <c r="AI6" s="1">
        <v>54</v>
      </c>
      <c r="AJ6" s="1" t="s">
        <v>235</v>
      </c>
      <c r="AK6" s="1" t="s">
        <v>563</v>
      </c>
      <c r="AL6" s="90" t="s">
        <v>231</v>
      </c>
      <c r="AM6" s="90" t="s">
        <v>566</v>
      </c>
      <c r="AN6" s="90" t="s">
        <v>567</v>
      </c>
      <c r="AO6" s="89" t="s">
        <v>193</v>
      </c>
      <c r="AP6" s="71" t="s">
        <v>8</v>
      </c>
      <c r="AQ6" s="89" t="s">
        <v>8</v>
      </c>
      <c r="AR6" s="95"/>
      <c r="AS6" s="90"/>
      <c r="AT6" s="89"/>
      <c r="AU6" s="30"/>
      <c r="AW6" t="s">
        <v>422</v>
      </c>
      <c r="AX6" s="71" t="s">
        <v>574</v>
      </c>
      <c r="AY6" s="87" t="s">
        <v>250</v>
      </c>
      <c r="AZ6" s="87" t="s">
        <v>298</v>
      </c>
    </row>
    <row r="7" spans="1:52" ht="20.100000000000001" customHeight="1" x14ac:dyDescent="0.25">
      <c r="A7" s="73">
        <v>45146</v>
      </c>
      <c r="B7" s="73" t="s">
        <v>422</v>
      </c>
      <c r="C7" s="74" t="s">
        <v>579</v>
      </c>
      <c r="D7" s="98" t="s">
        <v>93</v>
      </c>
      <c r="E7" s="4" t="s">
        <v>315</v>
      </c>
      <c r="F7" s="74" t="s">
        <v>8</v>
      </c>
      <c r="G7" s="68" t="s">
        <v>95</v>
      </c>
      <c r="H7" s="68">
        <v>20</v>
      </c>
      <c r="I7" s="68" t="s">
        <v>546</v>
      </c>
      <c r="J7" s="68" t="s">
        <v>429</v>
      </c>
      <c r="K7" s="74" t="s">
        <v>547</v>
      </c>
      <c r="L7" s="97" t="s">
        <v>429</v>
      </c>
      <c r="M7" s="74">
        <v>45</v>
      </c>
      <c r="N7" s="74" t="s">
        <v>8</v>
      </c>
      <c r="O7" s="4" t="s">
        <v>434</v>
      </c>
      <c r="P7" s="68" t="s">
        <v>329</v>
      </c>
      <c r="Q7" s="68"/>
      <c r="R7" s="4"/>
      <c r="S7" s="4" t="s">
        <v>139</v>
      </c>
      <c r="T7" s="68">
        <v>5.35</v>
      </c>
      <c r="U7" s="68" t="s">
        <v>104</v>
      </c>
      <c r="V7" s="68" t="s">
        <v>104</v>
      </c>
      <c r="W7" s="68" t="s">
        <v>104</v>
      </c>
      <c r="X7" s="68" t="s">
        <v>424</v>
      </c>
      <c r="Y7" s="68">
        <v>20</v>
      </c>
      <c r="Z7" s="68">
        <v>144.78</v>
      </c>
      <c r="AA7" s="68">
        <v>156.26</v>
      </c>
      <c r="AB7" s="68" t="s">
        <v>444</v>
      </c>
      <c r="AC7" s="25"/>
      <c r="AD7" s="25"/>
      <c r="AE7" t="s">
        <v>422</v>
      </c>
      <c r="AF7" t="s">
        <v>444</v>
      </c>
      <c r="AG7" s="93" t="s">
        <v>424</v>
      </c>
      <c r="AH7" s="73">
        <v>45146</v>
      </c>
      <c r="AL7" s="90"/>
      <c r="AM7" s="90"/>
      <c r="AN7" s="90"/>
      <c r="AO7" s="89" t="s">
        <v>8</v>
      </c>
      <c r="AP7" s="71" t="s">
        <v>193</v>
      </c>
      <c r="AQ7" s="89" t="s">
        <v>8</v>
      </c>
      <c r="AR7" s="95"/>
      <c r="AS7" s="90"/>
      <c r="AT7" s="106"/>
      <c r="AU7" s="30"/>
      <c r="AW7"/>
      <c r="AX7" s="71"/>
      <c r="AY7" s="87"/>
      <c r="AZ7" s="87"/>
    </row>
    <row r="8" spans="1:52" ht="20.100000000000001" customHeight="1" x14ac:dyDescent="0.25">
      <c r="A8" s="73">
        <v>45146</v>
      </c>
      <c r="B8" s="73" t="s">
        <v>445</v>
      </c>
      <c r="C8" s="98" t="s">
        <v>93</v>
      </c>
      <c r="D8" s="98" t="s">
        <v>577</v>
      </c>
      <c r="E8" s="4" t="s">
        <v>316</v>
      </c>
      <c r="F8" s="74" t="s">
        <v>548</v>
      </c>
      <c r="G8" s="68" t="s">
        <v>120</v>
      </c>
      <c r="H8" s="68">
        <v>4.8499999999999996</v>
      </c>
      <c r="I8" s="68" t="s">
        <v>196</v>
      </c>
      <c r="J8" s="68" t="s">
        <v>450</v>
      </c>
      <c r="K8" s="74" t="s">
        <v>549</v>
      </c>
      <c r="L8" s="74" t="s">
        <v>450</v>
      </c>
      <c r="M8" s="74">
        <v>40</v>
      </c>
      <c r="N8" s="74" t="s">
        <v>8</v>
      </c>
      <c r="O8" s="4" t="s">
        <v>8</v>
      </c>
      <c r="P8" s="68" t="s">
        <v>329</v>
      </c>
      <c r="Q8" s="68"/>
      <c r="R8" s="121"/>
      <c r="S8" s="4" t="s">
        <v>139</v>
      </c>
      <c r="T8" s="68">
        <v>3.9</v>
      </c>
      <c r="U8" s="68" t="s">
        <v>455</v>
      </c>
      <c r="V8" s="68" t="s">
        <v>104</v>
      </c>
      <c r="W8" s="68" t="s">
        <v>104</v>
      </c>
      <c r="X8" s="68" t="s">
        <v>447</v>
      </c>
      <c r="Y8" s="68">
        <v>0.66900000000000004</v>
      </c>
      <c r="Z8" s="68">
        <v>4.8499999999999996</v>
      </c>
      <c r="AA8" s="68">
        <v>5.2329999999999997</v>
      </c>
      <c r="AB8" s="68" t="s">
        <v>460</v>
      </c>
      <c r="AC8" s="25"/>
      <c r="AD8" s="25"/>
      <c r="AE8"/>
      <c r="AF8"/>
      <c r="AG8" s="93"/>
      <c r="AH8" s="73"/>
      <c r="AL8" s="90"/>
      <c r="AM8" s="90"/>
      <c r="AN8" s="90"/>
      <c r="AO8" s="89"/>
      <c r="AP8" s="71"/>
      <c r="AQ8" s="89"/>
      <c r="AR8" s="96"/>
      <c r="AS8" s="90"/>
      <c r="AT8" s="89"/>
      <c r="AU8" s="30"/>
      <c r="AW8"/>
      <c r="AX8" s="71"/>
      <c r="AY8" s="87"/>
      <c r="AZ8" s="87"/>
    </row>
    <row r="9" spans="1:52" ht="20.100000000000001" customHeight="1" x14ac:dyDescent="0.25">
      <c r="A9" s="73">
        <v>45145</v>
      </c>
      <c r="B9" s="73" t="s">
        <v>463</v>
      </c>
      <c r="C9" s="98" t="s">
        <v>580</v>
      </c>
      <c r="D9" s="98" t="s">
        <v>93</v>
      </c>
      <c r="E9" s="4" t="s">
        <v>468</v>
      </c>
      <c r="F9" s="74" t="s">
        <v>550</v>
      </c>
      <c r="G9" s="68" t="s">
        <v>95</v>
      </c>
      <c r="H9" s="68">
        <v>0.7</v>
      </c>
      <c r="I9" s="68" t="s">
        <v>196</v>
      </c>
      <c r="J9" s="119" t="s">
        <v>340</v>
      </c>
      <c r="K9" s="74" t="s">
        <v>551</v>
      </c>
      <c r="L9" s="74" t="s">
        <v>340</v>
      </c>
      <c r="M9" s="98">
        <v>55</v>
      </c>
      <c r="N9" s="74" t="s">
        <v>552</v>
      </c>
      <c r="O9" s="4" t="s">
        <v>8</v>
      </c>
      <c r="P9" s="68" t="s">
        <v>329</v>
      </c>
      <c r="Q9" s="68"/>
      <c r="R9" s="4"/>
      <c r="S9" s="4" t="s">
        <v>139</v>
      </c>
      <c r="T9" s="68">
        <v>5.75</v>
      </c>
      <c r="U9" s="68" t="s">
        <v>320</v>
      </c>
      <c r="V9" s="68" t="s">
        <v>104</v>
      </c>
      <c r="W9" s="68" t="s">
        <v>104</v>
      </c>
      <c r="X9" s="68" t="s">
        <v>465</v>
      </c>
      <c r="Y9" s="68">
        <v>0.7</v>
      </c>
      <c r="Z9" s="68">
        <v>5.0419999999999998</v>
      </c>
      <c r="AA9" s="68">
        <v>5.4649999999999999</v>
      </c>
      <c r="AB9" s="68" t="s">
        <v>479</v>
      </c>
      <c r="AC9" s="25"/>
      <c r="AD9" s="25"/>
      <c r="AE9"/>
      <c r="AF9"/>
      <c r="AG9" s="93"/>
      <c r="AH9" s="73"/>
      <c r="AL9" s="90"/>
      <c r="AM9" s="90"/>
      <c r="AN9" s="90"/>
      <c r="AO9" s="89"/>
      <c r="AP9" s="71"/>
      <c r="AQ9" s="89"/>
      <c r="AR9" s="96"/>
      <c r="AS9" s="90"/>
      <c r="AT9" s="89"/>
      <c r="AU9" s="30"/>
      <c r="AW9"/>
      <c r="AX9" s="71"/>
      <c r="AY9" s="87"/>
      <c r="AZ9" s="87"/>
    </row>
    <row r="10" spans="1:52" ht="20.100000000000001" customHeight="1" x14ac:dyDescent="0.25">
      <c r="A10" s="73"/>
      <c r="B10" s="73"/>
      <c r="C10" s="98"/>
      <c r="D10" s="98"/>
      <c r="E10" s="4"/>
      <c r="F10" s="74"/>
      <c r="G10" s="68"/>
      <c r="H10" s="68"/>
      <c r="I10" s="68"/>
      <c r="J10" s="68"/>
      <c r="K10" s="74"/>
      <c r="L10" s="120"/>
      <c r="M10" s="74"/>
      <c r="N10" s="74"/>
      <c r="O10" s="4"/>
      <c r="P10" s="68"/>
      <c r="Q10" s="68"/>
      <c r="R10" s="121"/>
      <c r="S10" s="4"/>
      <c r="T10" s="68"/>
      <c r="U10" s="68"/>
      <c r="V10" s="68"/>
      <c r="W10" s="68"/>
      <c r="X10" s="68"/>
      <c r="Y10" s="68"/>
      <c r="Z10" s="68"/>
      <c r="AA10" s="68"/>
      <c r="AB10" s="68"/>
      <c r="AC10" s="25"/>
      <c r="AD10" s="25"/>
      <c r="AE10"/>
      <c r="AF10"/>
      <c r="AG10" s="93"/>
      <c r="AH10" s="73"/>
      <c r="AL10" s="90"/>
      <c r="AM10" s="71"/>
      <c r="AN10" s="71"/>
      <c r="AO10" s="89"/>
      <c r="AP10" s="71"/>
      <c r="AQ10" s="89"/>
      <c r="AR10" s="96"/>
      <c r="AS10" s="71"/>
      <c r="AT10" s="89"/>
      <c r="AU10" s="30"/>
      <c r="AW10"/>
      <c r="AX10" s="71"/>
      <c r="AY10" s="87"/>
      <c r="AZ10" s="87"/>
    </row>
    <row r="11" spans="1:52" ht="20.100000000000001" customHeight="1" x14ac:dyDescent="0.25">
      <c r="A11" s="73"/>
      <c r="B11" s="73"/>
      <c r="C11" s="74"/>
      <c r="D11" s="74"/>
      <c r="E11" s="4"/>
      <c r="F11" s="74"/>
      <c r="G11" s="68"/>
      <c r="H11" s="68"/>
      <c r="I11" s="68"/>
      <c r="J11" s="68"/>
      <c r="K11" s="74"/>
      <c r="L11" s="74"/>
      <c r="M11" s="74"/>
      <c r="N11" s="74"/>
      <c r="O11" s="4"/>
      <c r="P11" s="68"/>
      <c r="Q11" s="68"/>
      <c r="R11" s="4"/>
      <c r="S11" s="4"/>
      <c r="T11" s="68"/>
      <c r="U11" s="68"/>
      <c r="V11" s="68"/>
      <c r="W11" s="68"/>
      <c r="X11" s="68"/>
      <c r="Y11" s="68"/>
      <c r="Z11" s="68"/>
      <c r="AA11" s="68"/>
      <c r="AB11" s="68"/>
      <c r="AC11" s="25"/>
      <c r="AD11" s="25"/>
      <c r="AE11"/>
      <c r="AF11"/>
      <c r="AG11" s="93"/>
      <c r="AH11"/>
      <c r="AL11" s="90"/>
      <c r="AM11" s="71"/>
      <c r="AN11" s="71"/>
      <c r="AO11" s="71"/>
      <c r="AP11" s="71"/>
      <c r="AQ11" s="89"/>
      <c r="AR11" s="95"/>
      <c r="AS11" s="71"/>
      <c r="AT11" s="89"/>
      <c r="AU11" s="30"/>
    </row>
    <row r="12" spans="1:52" ht="20.100000000000001" customHeight="1" x14ac:dyDescent="0.25">
      <c r="A12" s="73"/>
      <c r="B12" s="73"/>
      <c r="C12" s="74"/>
      <c r="D12" s="98"/>
      <c r="E12" s="4"/>
      <c r="F12" s="74"/>
      <c r="G12" s="68"/>
      <c r="H12" s="68"/>
      <c r="I12" s="68"/>
      <c r="J12" s="68"/>
      <c r="K12" s="74"/>
      <c r="L12" s="74"/>
      <c r="M12" s="74"/>
      <c r="N12" s="74"/>
      <c r="O12" s="4"/>
      <c r="P12" s="68"/>
      <c r="Q12" s="68"/>
      <c r="R12" s="4"/>
      <c r="S12" s="4"/>
      <c r="T12" s="68"/>
      <c r="U12" s="68"/>
      <c r="V12" s="68"/>
      <c r="W12" s="68"/>
      <c r="X12" s="68"/>
      <c r="Y12" s="68"/>
      <c r="Z12" s="68"/>
      <c r="AA12" s="68"/>
      <c r="AB12" s="68"/>
      <c r="AC12" s="25"/>
      <c r="AD12" s="25"/>
      <c r="AQ12" s="25"/>
      <c r="AR12" s="25"/>
      <c r="AT12" s="25"/>
      <c r="AU12" s="30"/>
    </row>
    <row r="13" spans="1:52" ht="20.100000000000001" customHeight="1" x14ac:dyDescent="0.25">
      <c r="A13" s="73"/>
      <c r="B13" s="73"/>
      <c r="C13" s="74"/>
      <c r="D13" s="74"/>
      <c r="E13" s="4"/>
      <c r="F13" s="74"/>
      <c r="G13" s="68"/>
      <c r="H13" s="68"/>
      <c r="I13" s="68"/>
      <c r="J13" s="68"/>
      <c r="K13" s="74"/>
      <c r="L13" s="98"/>
      <c r="M13" s="74"/>
      <c r="N13" s="74"/>
      <c r="O13" s="4"/>
      <c r="P13" s="68"/>
      <c r="Q13" s="68"/>
      <c r="R13" s="4"/>
      <c r="S13" s="4"/>
      <c r="T13" s="68"/>
      <c r="U13" s="68"/>
      <c r="V13" s="68"/>
      <c r="W13" s="68"/>
      <c r="X13" s="68"/>
      <c r="Y13" s="68"/>
      <c r="Z13" s="68"/>
      <c r="AA13" s="68"/>
      <c r="AB13" s="68"/>
      <c r="AC13" s="25"/>
      <c r="AD13" s="25"/>
      <c r="AR13" s="25"/>
      <c r="AT13" s="25"/>
      <c r="AU13" s="30"/>
    </row>
    <row r="14" spans="1:52" ht="20.100000000000001" customHeight="1" x14ac:dyDescent="0.25">
      <c r="A14" s="73"/>
      <c r="B14" s="73"/>
      <c r="C14" s="74"/>
      <c r="D14" s="74"/>
      <c r="E14" s="4"/>
      <c r="F14" s="74"/>
      <c r="G14" s="68"/>
      <c r="H14" s="68"/>
      <c r="I14" s="68"/>
      <c r="J14" s="68"/>
      <c r="K14" s="74"/>
      <c r="L14" s="74"/>
      <c r="M14" s="74"/>
      <c r="N14" s="74"/>
      <c r="O14" s="4"/>
      <c r="P14" s="68"/>
      <c r="Q14" s="68"/>
      <c r="R14" s="4"/>
      <c r="S14" s="4"/>
      <c r="T14" s="68"/>
      <c r="U14" s="68"/>
      <c r="V14" s="68"/>
      <c r="W14" s="68"/>
      <c r="X14" s="68"/>
      <c r="Y14" s="68"/>
      <c r="Z14" s="68"/>
      <c r="AA14" s="68"/>
      <c r="AB14" s="68"/>
      <c r="AC14" s="25"/>
      <c r="AD14" s="25"/>
      <c r="AR14" s="25"/>
      <c r="AT14" s="25"/>
    </row>
    <row r="15" spans="1:52" ht="20.100000000000001" customHeight="1" x14ac:dyDescent="0.25">
      <c r="A15" s="73"/>
      <c r="B15" s="73"/>
      <c r="C15" s="74"/>
      <c r="D15" s="74"/>
      <c r="E15" s="4"/>
      <c r="F15" s="74"/>
      <c r="G15" s="68"/>
      <c r="H15" s="68"/>
      <c r="I15" s="68"/>
      <c r="J15" s="68"/>
      <c r="K15" s="74"/>
      <c r="L15" s="97"/>
      <c r="M15" s="74"/>
      <c r="N15" s="74"/>
      <c r="O15" s="4"/>
      <c r="P15" s="68"/>
      <c r="Q15" s="68"/>
      <c r="R15" s="4"/>
      <c r="S15" s="4"/>
      <c r="T15" s="68"/>
      <c r="U15" s="68"/>
      <c r="V15" s="68"/>
      <c r="W15" s="68"/>
      <c r="X15" s="68"/>
      <c r="Y15" s="68"/>
      <c r="Z15" s="68"/>
      <c r="AA15" s="68"/>
      <c r="AB15" s="68"/>
      <c r="AC15" s="25"/>
      <c r="AD15" s="25"/>
    </row>
    <row r="16" spans="1:52" ht="20.100000000000001" customHeight="1" x14ac:dyDescent="0.25">
      <c r="A16" s="73"/>
      <c r="B16" s="73"/>
      <c r="C16" s="74"/>
      <c r="D16" s="74"/>
      <c r="E16" s="4"/>
      <c r="F16" s="74"/>
      <c r="G16" s="68"/>
      <c r="H16" s="68"/>
      <c r="I16" s="68"/>
      <c r="J16" s="68"/>
      <c r="K16" s="74"/>
      <c r="L16" s="74"/>
      <c r="M16" s="74"/>
      <c r="N16" s="74"/>
      <c r="O16" s="4"/>
      <c r="P16" s="68"/>
      <c r="Q16" s="68"/>
      <c r="R16" s="4"/>
      <c r="S16" s="4"/>
      <c r="T16" s="68"/>
      <c r="U16" s="68"/>
      <c r="V16" s="68"/>
      <c r="W16" s="68"/>
      <c r="X16" s="68"/>
      <c r="Y16" s="68"/>
      <c r="Z16" s="68"/>
      <c r="AA16" s="68"/>
      <c r="AB16" s="68"/>
      <c r="AC16" s="25"/>
      <c r="AD16" s="25"/>
    </row>
    <row r="17" spans="1:32" ht="20.100000000000001" customHeight="1" x14ac:dyDescent="0.25">
      <c r="A17" s="73"/>
      <c r="B17" s="73"/>
      <c r="C17" s="74"/>
      <c r="D17" s="74"/>
      <c r="E17" s="4"/>
      <c r="F17" s="74"/>
      <c r="G17" s="68"/>
      <c r="H17" s="68"/>
      <c r="I17" s="68"/>
      <c r="J17" s="68"/>
      <c r="K17" s="74"/>
      <c r="L17" s="74"/>
      <c r="M17" s="74"/>
      <c r="N17" s="74"/>
      <c r="O17" s="4"/>
      <c r="P17" s="68"/>
      <c r="Q17" s="68"/>
      <c r="R17" s="4"/>
      <c r="S17" s="4"/>
      <c r="T17" s="68"/>
      <c r="U17" s="68"/>
      <c r="V17" s="68"/>
      <c r="W17" s="68"/>
      <c r="X17" s="68"/>
      <c r="Y17" s="68"/>
      <c r="Z17" s="68"/>
      <c r="AA17" s="68"/>
      <c r="AB17" s="68"/>
      <c r="AC17" s="25"/>
      <c r="AD17" s="25"/>
    </row>
    <row r="18" spans="1:32" ht="20.100000000000001" customHeight="1" x14ac:dyDescent="0.25">
      <c r="A18" s="73"/>
      <c r="B18" s="73"/>
      <c r="C18" s="74"/>
      <c r="D18" s="74"/>
      <c r="E18" s="4"/>
      <c r="F18" s="74"/>
      <c r="G18" s="68"/>
      <c r="H18" s="68"/>
      <c r="I18" s="68"/>
      <c r="J18" s="68"/>
      <c r="K18" s="74"/>
      <c r="L18" s="74"/>
      <c r="M18" s="74"/>
      <c r="N18" s="74"/>
      <c r="O18" s="4"/>
      <c r="P18" s="68"/>
      <c r="Q18" s="68"/>
      <c r="R18" s="4"/>
      <c r="S18" s="4"/>
      <c r="T18" s="68"/>
      <c r="U18" s="68"/>
      <c r="V18" s="68"/>
      <c r="W18" s="68"/>
      <c r="X18" s="68"/>
      <c r="Y18" s="68"/>
      <c r="Z18" s="68"/>
      <c r="AA18" s="68"/>
      <c r="AB18" s="68"/>
      <c r="AC18" s="25"/>
      <c r="AD18" s="25"/>
    </row>
    <row r="19" spans="1:32" ht="20.100000000000001" customHeight="1" x14ac:dyDescent="0.25">
      <c r="A19" s="73"/>
      <c r="B19" s="73"/>
      <c r="C19" s="74"/>
      <c r="D19" s="74"/>
      <c r="E19" s="4"/>
      <c r="F19" s="74"/>
      <c r="G19" s="68"/>
      <c r="H19" s="68"/>
      <c r="I19" s="68"/>
      <c r="J19" s="68"/>
      <c r="K19" s="74"/>
      <c r="L19" s="74"/>
      <c r="M19" s="74"/>
      <c r="N19" s="74"/>
      <c r="O19" s="4"/>
      <c r="P19" s="68"/>
      <c r="Q19" s="68"/>
      <c r="R19" s="4"/>
      <c r="S19" s="4"/>
      <c r="T19" s="68"/>
      <c r="U19" s="68"/>
      <c r="V19" s="68"/>
      <c r="W19" s="68"/>
      <c r="X19" s="68"/>
      <c r="Y19" s="68"/>
      <c r="Z19" s="68"/>
      <c r="AA19" s="68"/>
      <c r="AB19" s="68"/>
      <c r="AC19" s="25"/>
      <c r="AD19" s="25"/>
    </row>
    <row r="20" spans="1:32" ht="20.100000000000001" customHeight="1" x14ac:dyDescent="0.25">
      <c r="A20" s="73"/>
      <c r="B20" s="73"/>
      <c r="C20" s="74"/>
      <c r="D20" s="74"/>
      <c r="E20" s="4"/>
      <c r="F20" s="74"/>
      <c r="G20" s="68"/>
      <c r="H20" s="68"/>
      <c r="I20" s="68"/>
      <c r="J20" s="68"/>
      <c r="K20" s="74"/>
      <c r="L20" s="74"/>
      <c r="M20" s="74"/>
      <c r="N20" s="74"/>
      <c r="O20" s="4"/>
      <c r="P20" s="68"/>
      <c r="Q20" s="68"/>
      <c r="R20" s="4"/>
      <c r="S20" s="4"/>
      <c r="T20" s="68"/>
      <c r="U20" s="68"/>
      <c r="V20" s="68"/>
      <c r="W20" s="68"/>
      <c r="X20" s="68"/>
      <c r="Y20" s="68"/>
      <c r="Z20" s="68"/>
      <c r="AA20" s="68"/>
      <c r="AB20" s="68"/>
      <c r="AC20" s="25"/>
      <c r="AD20" s="25"/>
    </row>
    <row r="21" spans="1:32" ht="20.100000000000001" customHeight="1" x14ac:dyDescent="0.25">
      <c r="A21" s="73"/>
      <c r="B21" s="73"/>
      <c r="C21" s="74"/>
      <c r="D21" s="74"/>
      <c r="E21" s="4"/>
      <c r="F21" s="74"/>
      <c r="G21" s="68"/>
      <c r="H21" s="68"/>
      <c r="I21" s="68"/>
      <c r="J21" s="68"/>
      <c r="K21" s="74"/>
      <c r="L21" s="74"/>
      <c r="M21" s="74"/>
      <c r="N21" s="74"/>
      <c r="O21" s="4"/>
      <c r="P21" s="68"/>
      <c r="Q21" s="68"/>
      <c r="R21" s="4"/>
      <c r="S21" s="4"/>
      <c r="T21" s="68"/>
      <c r="U21" s="68"/>
      <c r="V21" s="68"/>
      <c r="W21" s="68"/>
      <c r="X21" s="68"/>
      <c r="Y21" s="68"/>
      <c r="Z21" s="68"/>
      <c r="AA21" s="68"/>
      <c r="AB21" s="68"/>
      <c r="AC21" s="25"/>
      <c r="AD21" s="25"/>
    </row>
    <row r="22" spans="1:32" ht="20.100000000000001" customHeight="1" x14ac:dyDescent="0.25">
      <c r="A22" s="73"/>
      <c r="B22" s="73"/>
      <c r="C22" s="74"/>
      <c r="D22" s="74"/>
      <c r="E22" s="4"/>
      <c r="F22" s="74"/>
      <c r="G22" s="68"/>
      <c r="H22" s="68"/>
      <c r="I22" s="68"/>
      <c r="J22" s="68"/>
      <c r="K22" s="74"/>
      <c r="L22" s="74"/>
      <c r="M22" s="74"/>
      <c r="N22" s="74"/>
      <c r="O22" s="4"/>
      <c r="P22" s="68"/>
      <c r="Q22" s="68"/>
      <c r="R22" s="4"/>
      <c r="S22" s="4"/>
      <c r="T22" s="68"/>
      <c r="U22" s="68"/>
      <c r="V22" s="68"/>
      <c r="W22" s="68"/>
      <c r="X22" s="68"/>
      <c r="Y22" s="68"/>
      <c r="Z22" s="68"/>
      <c r="AA22" s="68"/>
      <c r="AB22" s="68"/>
      <c r="AC22" s="25"/>
      <c r="AD22" s="25"/>
    </row>
    <row r="23" spans="1:32" ht="20.100000000000001" customHeight="1" x14ac:dyDescent="0.25">
      <c r="A23" s="73"/>
      <c r="B23" s="73"/>
      <c r="C23" s="74"/>
      <c r="D23" s="74"/>
      <c r="E23" s="4"/>
      <c r="F23" s="74"/>
      <c r="G23" s="68"/>
      <c r="H23" s="68"/>
      <c r="I23" s="68"/>
      <c r="J23" s="68"/>
      <c r="K23" s="74"/>
      <c r="L23" s="74"/>
      <c r="M23" s="74"/>
      <c r="N23" s="74"/>
      <c r="O23" s="4"/>
      <c r="P23" s="68"/>
      <c r="Q23" s="68"/>
      <c r="R23" s="4"/>
      <c r="S23" s="4"/>
      <c r="T23" s="68"/>
      <c r="U23" s="68"/>
      <c r="V23" s="68"/>
      <c r="W23" s="68"/>
      <c r="X23" s="68"/>
      <c r="Y23" s="68"/>
      <c r="Z23" s="68"/>
      <c r="AA23" s="68"/>
      <c r="AB23" s="68"/>
      <c r="AC23" s="25"/>
      <c r="AD23" s="25"/>
    </row>
    <row r="24" spans="1:32" ht="20.100000000000001" customHeight="1" x14ac:dyDescent="0.25">
      <c r="A24" s="73"/>
      <c r="B24" s="73"/>
      <c r="C24" s="74"/>
      <c r="D24" s="74"/>
      <c r="E24" s="4"/>
      <c r="F24" s="74"/>
      <c r="G24" s="68"/>
      <c r="H24" s="68"/>
      <c r="I24" s="68"/>
      <c r="J24" s="68"/>
      <c r="K24" s="74"/>
      <c r="L24" s="74"/>
      <c r="M24" s="74"/>
      <c r="N24" s="74"/>
      <c r="O24" s="4"/>
      <c r="P24" s="68"/>
      <c r="Q24" s="68"/>
      <c r="R24" s="4"/>
      <c r="S24" s="4"/>
      <c r="T24" s="68"/>
      <c r="U24" s="68"/>
      <c r="V24" s="68"/>
      <c r="W24" s="68"/>
      <c r="X24" s="68"/>
      <c r="Y24" s="68"/>
      <c r="Z24" s="68"/>
      <c r="AA24" s="68"/>
      <c r="AB24" s="68"/>
      <c r="AC24" s="25"/>
      <c r="AD24" s="25"/>
    </row>
    <row r="25" spans="1:32" ht="20.100000000000001" customHeight="1" x14ac:dyDescent="0.25">
      <c r="A25" s="73"/>
      <c r="B25" s="73"/>
      <c r="C25" s="74"/>
      <c r="D25" s="74"/>
      <c r="E25" s="4"/>
      <c r="F25" s="74"/>
      <c r="G25" s="68"/>
      <c r="H25" s="68"/>
      <c r="I25" s="68"/>
      <c r="J25" s="68"/>
      <c r="K25" s="74"/>
      <c r="L25" s="74"/>
      <c r="M25" s="74"/>
      <c r="N25" s="74"/>
      <c r="O25" s="4"/>
      <c r="P25" s="68"/>
      <c r="Q25" s="68"/>
      <c r="R25" s="4"/>
      <c r="S25" s="4"/>
      <c r="T25" s="68"/>
      <c r="U25" s="68"/>
      <c r="V25" s="68"/>
      <c r="W25" s="68"/>
      <c r="X25" s="68"/>
      <c r="Y25" s="68"/>
      <c r="Z25" s="68"/>
      <c r="AA25" s="68"/>
      <c r="AB25" s="68"/>
      <c r="AC25" s="25"/>
      <c r="AD25" s="25"/>
    </row>
    <row r="26" spans="1:32" ht="20.100000000000001" customHeight="1" x14ac:dyDescent="0.25">
      <c r="A26" s="73"/>
      <c r="B26" s="73"/>
      <c r="C26" s="74"/>
      <c r="D26" s="74"/>
      <c r="E26" s="4"/>
      <c r="F26" s="74"/>
      <c r="G26" s="68"/>
      <c r="H26" s="68"/>
      <c r="I26" s="68"/>
      <c r="J26" s="68"/>
      <c r="K26" s="74"/>
      <c r="L26" s="74"/>
      <c r="M26" s="74"/>
      <c r="N26" s="74"/>
      <c r="O26" s="4"/>
      <c r="P26" s="68"/>
      <c r="Q26" s="68"/>
      <c r="R26" s="4"/>
      <c r="S26" s="4"/>
      <c r="T26" s="68"/>
      <c r="U26" s="68"/>
      <c r="V26" s="68"/>
      <c r="W26" s="68"/>
      <c r="X26" s="68"/>
      <c r="Y26" s="68"/>
      <c r="Z26" s="68"/>
      <c r="AA26" s="68"/>
      <c r="AB26" s="68"/>
      <c r="AC26" s="25"/>
      <c r="AD26" s="25"/>
    </row>
    <row r="27" spans="1:32" ht="20.100000000000001" customHeight="1" x14ac:dyDescent="0.25">
      <c r="A27" s="25"/>
      <c r="B27" s="25"/>
      <c r="C27" s="25"/>
      <c r="D27" s="25"/>
      <c r="E27" s="25"/>
      <c r="F27" s="25"/>
      <c r="G27" s="25"/>
      <c r="H27" s="25"/>
      <c r="I27" s="25"/>
      <c r="J27" s="25"/>
      <c r="K27" s="25"/>
      <c r="L27" s="25"/>
      <c r="M27" s="25"/>
      <c r="P27" s="25"/>
      <c r="Q27" s="25"/>
      <c r="R27" s="25"/>
      <c r="S27" s="25"/>
      <c r="T27" s="25"/>
      <c r="U27" s="25"/>
      <c r="V27" s="25"/>
      <c r="W27" s="25"/>
      <c r="X27" s="25"/>
      <c r="Y27" s="25"/>
      <c r="Z27" s="25"/>
      <c r="AA27" s="25"/>
      <c r="AB27" s="25"/>
      <c r="AC27" s="25"/>
      <c r="AD27" s="25"/>
      <c r="AE27" s="25"/>
      <c r="AF27" s="25"/>
    </row>
    <row r="28" spans="1:32" ht="20.100000000000001" customHeight="1" x14ac:dyDescent="0.25">
      <c r="A28" s="25"/>
      <c r="B28" s="25"/>
      <c r="C28" s="25"/>
      <c r="D28" s="25"/>
      <c r="E28" s="25"/>
      <c r="F28" s="25"/>
      <c r="G28" s="25"/>
      <c r="H28" s="25"/>
      <c r="I28" s="25"/>
      <c r="J28" s="25"/>
      <c r="K28" s="25"/>
      <c r="L28" s="25"/>
      <c r="M28" s="25"/>
      <c r="P28" s="25"/>
      <c r="Q28" s="25"/>
      <c r="R28" s="25"/>
      <c r="S28" s="25"/>
      <c r="T28" s="25"/>
      <c r="U28" s="25"/>
      <c r="V28" s="25"/>
      <c r="W28" s="25"/>
      <c r="X28" s="25"/>
      <c r="Y28" s="25"/>
      <c r="Z28" s="25"/>
      <c r="AA28" s="25"/>
      <c r="AB28" s="25"/>
      <c r="AC28" s="25"/>
      <c r="AD28" s="25"/>
      <c r="AE28" s="25"/>
      <c r="AF28" s="25"/>
    </row>
    <row r="29" spans="1:32" ht="20.100000000000001" customHeight="1" x14ac:dyDescent="0.25">
      <c r="A29" s="25"/>
      <c r="B29" s="25"/>
      <c r="C29" s="25"/>
      <c r="D29" s="25"/>
      <c r="E29" s="25"/>
      <c r="F29" s="25"/>
      <c r="G29" s="25"/>
      <c r="H29" s="25"/>
      <c r="I29" s="25"/>
      <c r="J29" s="25"/>
      <c r="K29" s="25"/>
      <c r="L29" s="25"/>
      <c r="M29" s="25"/>
      <c r="P29" s="25"/>
      <c r="Q29" s="25"/>
      <c r="R29" s="25"/>
      <c r="S29" s="25"/>
      <c r="T29" s="25"/>
      <c r="U29" s="25"/>
      <c r="V29" s="25"/>
      <c r="W29" s="25"/>
      <c r="X29" s="25"/>
      <c r="Y29" s="25"/>
      <c r="Z29" s="25"/>
      <c r="AA29" s="25"/>
      <c r="AB29" s="25"/>
      <c r="AC29" s="25"/>
      <c r="AD29" s="25"/>
      <c r="AE29" s="25"/>
      <c r="AF29" s="25"/>
    </row>
    <row r="30" spans="1:32" ht="20.100000000000001" customHeight="1" x14ac:dyDescent="0.25">
      <c r="A30" s="25"/>
      <c r="B30" s="25"/>
      <c r="C30" s="25"/>
      <c r="D30" s="25"/>
      <c r="E30" s="25"/>
      <c r="F30" s="25"/>
      <c r="G30" s="25"/>
      <c r="H30" s="25"/>
      <c r="I30" s="25"/>
      <c r="J30" s="25"/>
      <c r="K30" s="25"/>
      <c r="L30" s="25"/>
      <c r="M30" s="25"/>
      <c r="P30" s="25"/>
      <c r="Q30" s="25"/>
      <c r="R30" s="25"/>
      <c r="S30" s="25"/>
      <c r="T30" s="25"/>
      <c r="U30" s="25"/>
      <c r="V30" s="25"/>
      <c r="W30" s="25"/>
      <c r="X30" s="25"/>
      <c r="Y30" s="25"/>
      <c r="Z30" s="25"/>
      <c r="AA30" s="25"/>
      <c r="AB30" s="25"/>
      <c r="AC30" s="25"/>
      <c r="AD30" s="25"/>
      <c r="AE30" s="25"/>
      <c r="AF30" s="25"/>
    </row>
    <row r="31" spans="1:32" ht="20.100000000000001" customHeight="1" x14ac:dyDescent="0.25">
      <c r="A31" s="25"/>
      <c r="B31" s="25"/>
      <c r="C31" s="25"/>
      <c r="D31" s="25"/>
      <c r="E31" s="25"/>
      <c r="F31" s="25"/>
      <c r="G31" s="25"/>
      <c r="H31" s="25"/>
      <c r="I31" s="25"/>
      <c r="J31" s="25"/>
      <c r="K31" s="25"/>
      <c r="L31" s="25"/>
      <c r="M31" s="25"/>
      <c r="P31" s="25"/>
      <c r="Q31" s="25"/>
      <c r="R31" s="25"/>
      <c r="S31" s="25"/>
      <c r="T31" s="25"/>
      <c r="U31" s="25"/>
      <c r="V31" s="25"/>
      <c r="W31" s="25"/>
      <c r="X31" s="25"/>
      <c r="Y31" s="25"/>
      <c r="Z31" s="25"/>
      <c r="AA31" s="25"/>
      <c r="AB31" s="25"/>
      <c r="AC31" s="25"/>
      <c r="AD31" s="25"/>
      <c r="AE31" s="25"/>
      <c r="AF31" s="25"/>
    </row>
    <row r="32" spans="1:32" ht="20.100000000000001" customHeight="1" x14ac:dyDescent="0.25">
      <c r="A32" s="25"/>
      <c r="B32" s="25"/>
      <c r="C32" s="25"/>
      <c r="D32" s="25"/>
      <c r="E32" s="25"/>
      <c r="F32" s="25"/>
      <c r="G32" s="25"/>
      <c r="H32" s="25"/>
      <c r="I32" s="25"/>
      <c r="J32" s="25"/>
      <c r="K32" s="25"/>
      <c r="L32" s="25"/>
      <c r="M32" s="25"/>
      <c r="P32" s="25"/>
      <c r="Q32" s="25"/>
      <c r="R32" s="25"/>
      <c r="S32" s="25"/>
      <c r="T32" s="25"/>
      <c r="U32" s="25"/>
      <c r="V32" s="25"/>
      <c r="W32" s="25"/>
      <c r="X32" s="25"/>
      <c r="Y32" s="25"/>
      <c r="Z32" s="25"/>
      <c r="AA32" s="25"/>
      <c r="AB32" s="25"/>
      <c r="AC32" s="25"/>
      <c r="AD32" s="25"/>
      <c r="AE32" s="25"/>
      <c r="AF32" s="25"/>
    </row>
    <row r="33" spans="1:32" ht="20.100000000000001" customHeight="1" x14ac:dyDescent="0.25">
      <c r="A33" s="25"/>
      <c r="B33" s="25"/>
      <c r="C33" s="25"/>
      <c r="D33" s="25"/>
      <c r="E33" s="25"/>
      <c r="F33" s="25"/>
      <c r="G33" s="25"/>
      <c r="H33" s="25"/>
      <c r="I33" s="25"/>
      <c r="J33" s="25"/>
      <c r="K33" s="25"/>
      <c r="L33" s="25"/>
      <c r="M33" s="25"/>
      <c r="P33" s="25"/>
      <c r="Q33" s="25"/>
      <c r="R33" s="25"/>
      <c r="S33" s="25"/>
      <c r="T33" s="25"/>
      <c r="U33" s="25"/>
      <c r="V33" s="25"/>
      <c r="W33" s="25"/>
      <c r="X33" s="25"/>
      <c r="Y33" s="25"/>
      <c r="Z33" s="25"/>
      <c r="AA33" s="25"/>
      <c r="AB33" s="25"/>
      <c r="AC33" s="25"/>
      <c r="AD33" s="25"/>
      <c r="AE33" s="25"/>
      <c r="AF33" s="25"/>
    </row>
    <row r="34" spans="1:32" ht="20.100000000000001" customHeight="1" x14ac:dyDescent="0.25">
      <c r="A34" s="25"/>
      <c r="B34" s="25"/>
      <c r="C34" s="25"/>
      <c r="D34" s="25"/>
      <c r="E34" s="25"/>
      <c r="F34" s="25"/>
      <c r="G34" s="25"/>
      <c r="H34" s="25"/>
      <c r="I34" s="25"/>
      <c r="J34" s="25"/>
      <c r="K34" s="25"/>
      <c r="L34" s="25"/>
      <c r="M34" s="25"/>
      <c r="P34" s="25"/>
      <c r="Q34" s="25"/>
      <c r="R34" s="25"/>
      <c r="S34" s="25"/>
      <c r="T34" s="25"/>
      <c r="U34" s="25"/>
      <c r="V34" s="25"/>
      <c r="W34" s="25"/>
      <c r="X34" s="25"/>
      <c r="Y34" s="25"/>
      <c r="Z34" s="25"/>
      <c r="AA34" s="25"/>
      <c r="AB34" s="25"/>
      <c r="AC34" s="25"/>
      <c r="AD34" s="25"/>
      <c r="AE34" s="25"/>
      <c r="AF34" s="25"/>
    </row>
    <row r="35" spans="1:32" ht="20.100000000000001" customHeight="1" x14ac:dyDescent="0.25">
      <c r="A35" s="4"/>
      <c r="C35" s="26"/>
    </row>
    <row r="36" spans="1:32" ht="20.100000000000001" customHeight="1" x14ac:dyDescent="0.25">
      <c r="A36" s="4"/>
      <c r="C36" s="26"/>
    </row>
    <row r="37" spans="1:32" ht="20.100000000000001" customHeight="1" x14ac:dyDescent="0.25">
      <c r="C37" s="26"/>
    </row>
    <row r="38" spans="1:32" ht="20.100000000000001" customHeight="1" x14ac:dyDescent="0.25">
      <c r="C38" s="26"/>
    </row>
    <row r="39" spans="1:32" ht="20.100000000000001" customHeight="1" x14ac:dyDescent="0.25">
      <c r="C39" s="26"/>
    </row>
    <row r="40" spans="1:32" ht="20.100000000000001" customHeight="1" x14ac:dyDescent="0.25">
      <c r="C40" s="26"/>
    </row>
    <row r="41" spans="1:32" ht="20.100000000000001" customHeight="1" x14ac:dyDescent="0.25">
      <c r="C41" s="26"/>
    </row>
    <row r="42" spans="1:32" ht="20.100000000000001" customHeight="1" x14ac:dyDescent="0.25">
      <c r="C42" s="26"/>
    </row>
    <row r="43" spans="1:32" ht="20.100000000000001" customHeight="1" x14ac:dyDescent="0.25">
      <c r="C43" s="26"/>
    </row>
    <row r="44" spans="1:32" ht="20.100000000000001" customHeight="1" x14ac:dyDescent="0.25">
      <c r="C44" s="26"/>
    </row>
    <row r="45" spans="1:32" ht="20.100000000000001" customHeight="1" x14ac:dyDescent="0.25">
      <c r="C45" s="26"/>
    </row>
    <row r="46" spans="1:32" ht="20.100000000000001" customHeight="1" x14ac:dyDescent="0.25">
      <c r="C46" s="26"/>
    </row>
    <row r="47" spans="1:32" ht="20.100000000000001" customHeight="1" x14ac:dyDescent="0.25">
      <c r="C47" s="26"/>
    </row>
    <row r="48" spans="1:32" ht="20.100000000000001" customHeight="1" x14ac:dyDescent="0.25">
      <c r="C48" s="26"/>
    </row>
    <row r="49" spans="3:3" ht="20.100000000000001" customHeight="1" x14ac:dyDescent="0.25">
      <c r="C49" s="26"/>
    </row>
    <row r="50" spans="3:3" ht="20.100000000000001" customHeight="1" x14ac:dyDescent="0.25">
      <c r="C50" s="26"/>
    </row>
    <row r="51" spans="3:3" ht="20.100000000000001" customHeight="1" x14ac:dyDescent="0.25">
      <c r="C51" s="26"/>
    </row>
    <row r="52" spans="3:3" ht="20.100000000000001" customHeight="1" x14ac:dyDescent="0.25">
      <c r="C52" s="26"/>
    </row>
  </sheetData>
  <phoneticPr fontId="17" type="noConversion"/>
  <dataValidations count="13">
    <dataValidation type="list" allowBlank="1" showInputMessage="1" showErrorMessage="1" sqref="AI6:AI11" xr:uid="{00000000-0002-0000-0300-000000000000}">
      <formula1>dd_BISL_role</formula1>
    </dataValidation>
    <dataValidation type="list" allowBlank="1" showInputMessage="1" showErrorMessage="1" sqref="AK11 AJ7:AJ11" xr:uid="{00000000-0002-0000-0300-000001000000}">
      <formula1>dd_bocomrole</formula1>
    </dataValidation>
    <dataValidation type="list" allowBlank="1" showInputMessage="1" showErrorMessage="1" sqref="AY4:AY10" xr:uid="{00000000-0002-0000-0300-000002000000}">
      <formula1>dd_中资属性</formula1>
    </dataValidation>
    <dataValidation type="list" allowBlank="1" showInputMessage="1" showErrorMessage="1" sqref="AZ5:AZ10" xr:uid="{00000000-0002-0000-0300-000003000000}">
      <formula1>dd_板块</formula1>
    </dataValidation>
    <dataValidation type="list" allowBlank="1" showInputMessage="1" showErrorMessage="1" sqref="O5:O26" xr:uid="{00000000-0002-0000-0300-000004000000}">
      <formula1>dd_theme</formula1>
    </dataValidation>
    <dataValidation type="list" allowBlank="1" showInputMessage="1" showErrorMessage="1" sqref="AN8:AN11" xr:uid="{00000000-0002-0000-0300-00000A000000}">
      <formula1>"'--,合名"</formula1>
    </dataValidation>
    <dataValidation type="list" allowBlank="1" showInputMessage="1" showErrorMessage="1" sqref="AL6:AL11 AR4:AR11" xr:uid="{99BFFB53-B38D-40D3-8663-38F15ACF9F54}">
      <formula1>"--,Sole,Left-lead,Lead"</formula1>
    </dataValidation>
    <dataValidation type="list" allowBlank="1" showInputMessage="1" sqref="AS5:AS8" xr:uid="{CB096AB9-FDB8-4552-9C42-68264AF37713}">
      <formula1>"--,B&amp;D FOP,B&amp;D DvP,Arranger,DM,CCDC"</formula1>
    </dataValidation>
    <dataValidation type="list" allowBlank="1" showInputMessage="1" sqref="AT5 AT7" xr:uid="{6411A959-20E5-4337-AA9F-75101C5E704D}">
      <formula1>"--,合名"</formula1>
    </dataValidation>
    <dataValidation type="list" allowBlank="1" showInputMessage="1" sqref="AO5" xr:uid="{3E454A5F-36EA-4840-AEAE-0DBBC1E9E30B}">
      <formula1>dd_BISL_role</formula1>
    </dataValidation>
    <dataValidation type="list" allowBlank="1" showInputMessage="1" sqref="AZ4" xr:uid="{7F58D390-3378-43F6-9007-729FF4991E98}">
      <formula1>dd_板块</formula1>
    </dataValidation>
    <dataValidation allowBlank="1" showInputMessage="1" showErrorMessage="1" promptTitle="IPG Format" prompt="No need to write bp_x000a_Decimal follow BBG_x000a_Use &quot;a&quot; for &quot;area&quot;_x000a__x000a_3.50%a_x000a_4%a_x000a_T+120a_x000a_" sqref="K4:K8 K10:K26" xr:uid="{6BE86BC5-A580-4469-A83C-50849458266E}"/>
    <dataValidation allowBlank="1" showInputMessage="1" showErrorMessage="1" promptTitle="FPG Format" prompt="No need to write bp_x000a_Decimal follow BBG_x000a__x000a_3.20%_x000a_3.8%_x000a_T+100_x000a_" sqref="L4:L26 K9" xr:uid="{9DC2CDDF-02A4-46D0-9060-1915C70FB108}"/>
  </dataValidations>
  <pageMargins left="0.7" right="0.7" top="0.75" bottom="0.75" header="0.3" footer="0.3"/>
  <pageSetup paperSize="9" orientation="portrait" r:id="rId1"/>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rgb="FF0070C0"/>
  </sheetPr>
  <dimension ref="A1:AV54"/>
  <sheetViews>
    <sheetView zoomScale="85" zoomScaleNormal="85" workbookViewId="0">
      <selection activeCell="P5" sqref="P5:AF10"/>
    </sheetView>
  </sheetViews>
  <sheetFormatPr defaultColWidth="8.88671875" defaultRowHeight="15" x14ac:dyDescent="0.25"/>
  <cols>
    <col min="1" max="1" width="9.33203125" style="1" bestFit="1" customWidth="1"/>
    <col min="2" max="2" width="13.21875" style="1" bestFit="1" customWidth="1"/>
    <col min="3" max="3" width="36.88671875" style="1" bestFit="1" customWidth="1"/>
    <col min="4" max="4" width="4.33203125" style="1" bestFit="1" customWidth="1"/>
    <col min="5" max="5" width="6" style="1" bestFit="1" customWidth="1"/>
    <col min="6" max="6" width="4.6640625" style="1" bestFit="1" customWidth="1"/>
    <col min="7" max="7" width="9.33203125" style="1" bestFit="1" customWidth="1"/>
    <col min="8" max="8" width="7.6640625" style="1" bestFit="1" customWidth="1"/>
    <col min="9" max="9" width="6" style="1" bestFit="1" customWidth="1"/>
    <col min="10" max="10" width="5.33203125" style="1" bestFit="1" customWidth="1"/>
    <col min="11" max="11" width="5.88671875" style="1" bestFit="1" customWidth="1"/>
    <col min="12" max="13" width="8.88671875" style="1" customWidth="1"/>
    <col min="14" max="14" width="20.6640625" style="1" bestFit="1" customWidth="1"/>
    <col min="15" max="15" width="8.88671875" style="1"/>
    <col min="16" max="16" width="7.109375" style="1" bestFit="1" customWidth="1"/>
    <col min="17" max="17" width="13.33203125" style="1" bestFit="1" customWidth="1"/>
    <col min="18" max="18" width="9.44140625" style="1" bestFit="1" customWidth="1"/>
    <col min="19" max="19" width="20.77734375" style="1" bestFit="1" customWidth="1"/>
    <col min="20" max="20" width="9.21875" style="1" bestFit="1" customWidth="1"/>
    <col min="21" max="21" width="5.88671875" style="1" bestFit="1" customWidth="1"/>
    <col min="22" max="22" width="12" style="1" bestFit="1" customWidth="1"/>
    <col min="23" max="24" width="5.88671875" style="1" bestFit="1" customWidth="1"/>
    <col min="25" max="25" width="5.77734375" style="1" bestFit="1" customWidth="1"/>
    <col min="26" max="26" width="9.21875" style="1" bestFit="1" customWidth="1"/>
    <col min="27" max="27" width="9.6640625" style="1" bestFit="1" customWidth="1"/>
    <col min="28" max="29" width="9.44140625" style="1" bestFit="1" customWidth="1"/>
    <col min="30" max="30" width="5.88671875" style="1" bestFit="1" customWidth="1"/>
    <col min="31" max="31" width="15.109375" style="1" bestFit="1" customWidth="1"/>
    <col min="32" max="32" width="7.5546875" style="1" bestFit="1" customWidth="1"/>
    <col min="33" max="33" width="7.77734375" style="1" bestFit="1" customWidth="1"/>
    <col min="34" max="34" width="15.109375" style="1" bestFit="1" customWidth="1"/>
    <col min="35" max="35" width="15.33203125" style="1" bestFit="1" customWidth="1"/>
    <col min="36" max="36" width="6.109375" style="1" bestFit="1" customWidth="1"/>
    <col min="37" max="37" width="5.88671875" style="1" bestFit="1" customWidth="1"/>
    <col min="38" max="38" width="9.44140625" style="1" bestFit="1" customWidth="1"/>
    <col min="39" max="39" width="36.77734375" style="1" bestFit="1" customWidth="1"/>
    <col min="40" max="40" width="12.5546875" style="1" bestFit="1" customWidth="1"/>
    <col min="41" max="41" width="9.21875" style="1" bestFit="1" customWidth="1"/>
    <col min="42" max="42" width="7.5546875" style="1" bestFit="1" customWidth="1"/>
    <col min="43" max="43" width="9.21875" style="1" bestFit="1" customWidth="1"/>
    <col min="44" max="44" width="5.88671875" style="1" bestFit="1" customWidth="1"/>
    <col min="45" max="45" width="12" style="1" bestFit="1" customWidth="1"/>
    <col min="46" max="47" width="5.88671875" style="1" bestFit="1" customWidth="1"/>
    <col min="48" max="49" width="5.77734375" style="1" bestFit="1" customWidth="1"/>
    <col min="50" max="50" width="9.21875" style="1" bestFit="1" customWidth="1"/>
    <col min="51" max="51" width="9" style="1" bestFit="1" customWidth="1"/>
    <col min="52" max="54" width="5.88671875" style="1" bestFit="1" customWidth="1"/>
    <col min="55" max="55" width="9.21875" style="1" bestFit="1" customWidth="1"/>
    <col min="56" max="56" width="7.5546875" style="1" bestFit="1" customWidth="1"/>
    <col min="57" max="57" width="7.109375" style="1" bestFit="1" customWidth="1"/>
    <col min="58" max="58" width="7.5546875" style="1" bestFit="1" customWidth="1"/>
    <col min="59" max="59" width="5.88671875" style="1" bestFit="1" customWidth="1"/>
    <col min="60" max="60" width="9.21875" style="1" bestFit="1" customWidth="1"/>
    <col min="61" max="61" width="12.5546875" style="1" bestFit="1" customWidth="1"/>
    <col min="62" max="62" width="5.88671875" style="1" bestFit="1" customWidth="1"/>
    <col min="63" max="63" width="5.77734375" style="1" bestFit="1" customWidth="1"/>
    <col min="64" max="64" width="5.44140625" style="1" bestFit="1" customWidth="1"/>
    <col min="65" max="65" width="11.109375" style="1" bestFit="1" customWidth="1"/>
    <col min="66" max="66" width="12.5546875" style="1" bestFit="1" customWidth="1"/>
    <col min="67" max="67" width="10.33203125" style="1" bestFit="1" customWidth="1"/>
    <col min="68" max="68" width="13.33203125" style="1" bestFit="1" customWidth="1"/>
    <col min="69" max="72" width="9.21875" style="1" bestFit="1" customWidth="1"/>
    <col min="73" max="73" width="11.44140625" style="1" bestFit="1" customWidth="1"/>
    <col min="74" max="74" width="9.21875" style="1" bestFit="1" customWidth="1"/>
    <col min="75" max="75" width="15.21875" style="1" bestFit="1" customWidth="1"/>
    <col min="76" max="76" width="13.5546875" style="1" bestFit="1" customWidth="1"/>
    <col min="77" max="77" width="11.109375" style="1" bestFit="1" customWidth="1"/>
    <col min="78" max="79" width="10.88671875" style="1" bestFit="1" customWidth="1"/>
    <col min="80" max="80" width="9.21875" style="1" bestFit="1" customWidth="1"/>
    <col min="81" max="81" width="8.77734375" style="1" bestFit="1" customWidth="1"/>
    <col min="82" max="82" width="9.21875" style="1" bestFit="1" customWidth="1"/>
    <col min="83" max="83" width="10.109375" style="1" bestFit="1" customWidth="1"/>
    <col min="84" max="84" width="10.33203125" style="1" bestFit="1" customWidth="1"/>
    <col min="85" max="85" width="15.109375" style="1" bestFit="1" customWidth="1"/>
    <col min="86" max="86" width="10.44140625" style="1" bestFit="1" customWidth="1"/>
    <col min="87" max="87" width="5.88671875" style="1" bestFit="1" customWidth="1"/>
    <col min="88" max="88" width="9.21875" style="1" bestFit="1" customWidth="1"/>
    <col min="89" max="89" width="10.44140625" style="1" bestFit="1" customWidth="1"/>
    <col min="90" max="90" width="14.5546875" style="1" bestFit="1" customWidth="1"/>
    <col min="91" max="91" width="16.21875" style="1" bestFit="1" customWidth="1"/>
    <col min="92" max="92" width="17.44140625" style="1" bestFit="1" customWidth="1"/>
    <col min="93" max="93" width="15.44140625" style="1" bestFit="1" customWidth="1"/>
    <col min="94" max="94" width="7.109375" style="1" bestFit="1" customWidth="1"/>
    <col min="95" max="95" width="17.44140625" style="1" bestFit="1" customWidth="1"/>
    <col min="96" max="96" width="15.44140625" style="1" bestFit="1" customWidth="1"/>
    <col min="97" max="97" width="7.109375" style="1" bestFit="1" customWidth="1"/>
    <col min="98" max="98" width="12.77734375" style="1" bestFit="1" customWidth="1"/>
    <col min="99" max="100" width="7.109375" style="1" bestFit="1" customWidth="1"/>
    <col min="101" max="101" width="7.33203125" style="1" bestFit="1" customWidth="1"/>
    <col min="102" max="102" width="9.21875" style="1" bestFit="1" customWidth="1"/>
    <col min="103" max="103" width="15.109375" style="1" bestFit="1" customWidth="1"/>
    <col min="104" max="104" width="17.44140625" style="1" bestFit="1" customWidth="1"/>
    <col min="105" max="105" width="19.109375" style="1" bestFit="1" customWidth="1"/>
    <col min="106" max="106" width="9.21875" style="1" bestFit="1" customWidth="1"/>
    <col min="107" max="107" width="7.109375" style="1" bestFit="1" customWidth="1"/>
    <col min="108" max="108" width="15.33203125" style="1" bestFit="1" customWidth="1"/>
    <col min="109" max="109" width="18.21875" style="1" bestFit="1" customWidth="1"/>
    <col min="110" max="110" width="19.109375" style="1" bestFit="1" customWidth="1"/>
    <col min="111" max="111" width="9.44140625" style="1" bestFit="1" customWidth="1"/>
    <col min="112" max="113" width="7.33203125" style="1" bestFit="1" customWidth="1"/>
    <col min="114" max="114" width="18.109375" style="1" bestFit="1" customWidth="1"/>
    <col min="115" max="115" width="19" style="1" bestFit="1" customWidth="1"/>
    <col min="116" max="116" width="9.44140625" style="1" bestFit="1" customWidth="1"/>
    <col min="117" max="117" width="7.33203125" style="1" bestFit="1" customWidth="1"/>
    <col min="118" max="16384" width="8.88671875" style="1"/>
  </cols>
  <sheetData>
    <row r="1" spans="1:48" ht="91.5" customHeight="1" x14ac:dyDescent="0.25">
      <c r="A1" s="5" t="s">
        <v>230</v>
      </c>
      <c r="C1" s="64">
        <f>COUNTA(charts[ISIN])</f>
        <v>5</v>
      </c>
      <c r="D1" s="8" t="s">
        <v>177</v>
      </c>
      <c r="O1" s="64" t="s">
        <v>236</v>
      </c>
      <c r="Q1" s="27" t="str">
        <f>COUNTA(Table_graph_weeklydeal[Index])&amp;"笔"</f>
        <v>5笔</v>
      </c>
      <c r="R1" s="28">
        <f>ROUND(SUM(Table_graph_weeklydeal[亿美元]),1)</f>
        <v>24.8</v>
      </c>
      <c r="S1" s="27" t="s">
        <v>224</v>
      </c>
      <c r="AV1" s="5"/>
    </row>
    <row r="2" spans="1:48" ht="42" customHeight="1" x14ac:dyDescent="0.25"/>
    <row r="3" spans="1:48" ht="73.5" customHeight="1" x14ac:dyDescent="0.25"/>
    <row r="5" spans="1:48" x14ac:dyDescent="0.25">
      <c r="A5" s="128" t="s">
        <v>57</v>
      </c>
      <c r="B5" s="128" t="s">
        <v>56</v>
      </c>
      <c r="C5" s="128" t="s">
        <v>55</v>
      </c>
      <c r="D5" s="128" t="s">
        <v>97</v>
      </c>
      <c r="E5" s="128" t="s">
        <v>224</v>
      </c>
      <c r="F5" s="128" t="s">
        <v>73</v>
      </c>
      <c r="G5" s="128" t="s">
        <v>296</v>
      </c>
      <c r="H5" s="128" t="s">
        <v>105</v>
      </c>
      <c r="I5" s="128" t="s">
        <v>121</v>
      </c>
      <c r="J5" s="128" t="s">
        <v>142</v>
      </c>
      <c r="P5" t="s">
        <v>96</v>
      </c>
      <c r="Q5" t="s">
        <v>56</v>
      </c>
      <c r="R5" t="s">
        <v>57</v>
      </c>
      <c r="S5" t="s">
        <v>215</v>
      </c>
      <c r="T5" t="s">
        <v>176</v>
      </c>
      <c r="U5" t="s">
        <v>73</v>
      </c>
      <c r="V5" t="s">
        <v>66</v>
      </c>
      <c r="W5" t="s">
        <v>97</v>
      </c>
      <c r="X5" t="s">
        <v>144</v>
      </c>
      <c r="Y5" t="s">
        <v>98</v>
      </c>
      <c r="Z5" t="s">
        <v>216</v>
      </c>
      <c r="AA5" t="s">
        <v>100</v>
      </c>
      <c r="AB5" t="s">
        <v>37</v>
      </c>
      <c r="AC5" t="s">
        <v>296</v>
      </c>
      <c r="AD5" t="s">
        <v>99</v>
      </c>
      <c r="AE5" t="s">
        <v>192</v>
      </c>
      <c r="AF5" t="s">
        <v>224</v>
      </c>
    </row>
    <row r="6" spans="1:48" x14ac:dyDescent="0.25">
      <c r="A6" s="140">
        <v>45148</v>
      </c>
      <c r="B6" s="128" t="s">
        <v>394</v>
      </c>
      <c r="C6" s="128" t="s">
        <v>395</v>
      </c>
      <c r="D6" s="128">
        <v>3</v>
      </c>
      <c r="E6" s="128">
        <v>3.1</v>
      </c>
      <c r="F6" s="128" t="s">
        <v>95</v>
      </c>
      <c r="G6" s="128" t="s">
        <v>299</v>
      </c>
      <c r="H6" s="128" t="s">
        <v>171</v>
      </c>
      <c r="I6" s="128" t="s">
        <v>275</v>
      </c>
      <c r="J6" s="128" t="s">
        <v>276</v>
      </c>
      <c r="P6" s="113">
        <v>5</v>
      </c>
      <c r="Q6" s="114" t="s">
        <v>394</v>
      </c>
      <c r="R6" s="133">
        <v>45148</v>
      </c>
      <c r="S6" s="113" t="s">
        <v>553</v>
      </c>
      <c r="T6" s="114" t="s">
        <v>576</v>
      </c>
      <c r="U6" s="114" t="s">
        <v>95</v>
      </c>
      <c r="V6" s="114">
        <v>3.1</v>
      </c>
      <c r="W6" s="114" t="s">
        <v>196</v>
      </c>
      <c r="X6" s="113" t="s">
        <v>398</v>
      </c>
      <c r="Y6" s="114" t="s">
        <v>544</v>
      </c>
      <c r="Z6" s="113" t="s">
        <v>554</v>
      </c>
      <c r="AA6" s="113" t="s">
        <v>46</v>
      </c>
      <c r="AB6" s="113" t="s">
        <v>8</v>
      </c>
      <c r="AC6" t="s">
        <v>299</v>
      </c>
      <c r="AD6" s="113" t="s">
        <v>11</v>
      </c>
      <c r="AE6" s="114" t="s">
        <v>309</v>
      </c>
      <c r="AF6" s="114">
        <v>3.1</v>
      </c>
    </row>
    <row r="7" spans="1:48" x14ac:dyDescent="0.25">
      <c r="A7" s="140">
        <v>45147</v>
      </c>
      <c r="B7" s="128" t="s">
        <v>411</v>
      </c>
      <c r="C7" s="128" t="s">
        <v>412</v>
      </c>
      <c r="D7" s="128">
        <v>3</v>
      </c>
      <c r="E7" s="128">
        <v>0.35499999999999998</v>
      </c>
      <c r="F7" s="128" t="s">
        <v>120</v>
      </c>
      <c r="G7" s="128" t="s">
        <v>299</v>
      </c>
      <c r="H7" s="128" t="s">
        <v>140</v>
      </c>
      <c r="I7" s="128" t="s">
        <v>388</v>
      </c>
      <c r="J7" s="128" t="s">
        <v>276</v>
      </c>
      <c r="P7" s="113">
        <v>4</v>
      </c>
      <c r="Q7" s="114" t="s">
        <v>411</v>
      </c>
      <c r="R7" s="133">
        <v>45147</v>
      </c>
      <c r="S7" s="113" t="s">
        <v>582</v>
      </c>
      <c r="T7" s="114" t="s">
        <v>93</v>
      </c>
      <c r="U7" s="114" t="s">
        <v>120</v>
      </c>
      <c r="V7" s="114">
        <v>2.569</v>
      </c>
      <c r="W7" s="114" t="s">
        <v>196</v>
      </c>
      <c r="X7" s="113" t="s">
        <v>418</v>
      </c>
      <c r="Y7" s="114" t="s">
        <v>8</v>
      </c>
      <c r="Z7" s="113" t="s">
        <v>8</v>
      </c>
      <c r="AA7" s="113" t="s">
        <v>316</v>
      </c>
      <c r="AB7" s="113" t="s">
        <v>388</v>
      </c>
      <c r="AC7" t="s">
        <v>299</v>
      </c>
      <c r="AD7" s="113" t="s">
        <v>20</v>
      </c>
      <c r="AE7" s="114" t="s">
        <v>309</v>
      </c>
      <c r="AF7" s="114">
        <v>0.35499999999999998</v>
      </c>
    </row>
    <row r="8" spans="1:48" x14ac:dyDescent="0.25">
      <c r="A8" s="140">
        <v>45146</v>
      </c>
      <c r="B8" s="128" t="s">
        <v>424</v>
      </c>
      <c r="C8" s="128" t="s">
        <v>425</v>
      </c>
      <c r="D8" s="128">
        <v>10</v>
      </c>
      <c r="E8" s="128">
        <v>20</v>
      </c>
      <c r="F8" s="128" t="s">
        <v>95</v>
      </c>
      <c r="G8" s="128" t="s">
        <v>298</v>
      </c>
      <c r="H8" s="128" t="s">
        <v>140</v>
      </c>
      <c r="I8" s="128" t="s">
        <v>275</v>
      </c>
      <c r="J8" s="128" t="s">
        <v>565</v>
      </c>
      <c r="P8" s="113">
        <v>3</v>
      </c>
      <c r="Q8" s="114" t="s">
        <v>447</v>
      </c>
      <c r="R8" s="133">
        <v>45146</v>
      </c>
      <c r="S8" s="113" t="s">
        <v>555</v>
      </c>
      <c r="T8" s="114" t="s">
        <v>577</v>
      </c>
      <c r="U8" s="114" t="s">
        <v>120</v>
      </c>
      <c r="V8" s="114">
        <v>4.8499999999999996</v>
      </c>
      <c r="W8" s="114" t="s">
        <v>196</v>
      </c>
      <c r="X8" s="113" t="s">
        <v>450</v>
      </c>
      <c r="Y8" s="114" t="s">
        <v>549</v>
      </c>
      <c r="Z8" s="113" t="s">
        <v>556</v>
      </c>
      <c r="AA8" s="113" t="s">
        <v>316</v>
      </c>
      <c r="AB8" s="113" t="s">
        <v>388</v>
      </c>
      <c r="AC8" t="s">
        <v>300</v>
      </c>
      <c r="AD8" s="113" t="s">
        <v>11</v>
      </c>
      <c r="AE8" s="114" t="s">
        <v>8</v>
      </c>
      <c r="AF8" s="114">
        <v>0.66900000000000004</v>
      </c>
    </row>
    <row r="9" spans="1:48" x14ac:dyDescent="0.25">
      <c r="A9" s="140">
        <v>45146</v>
      </c>
      <c r="B9" s="128" t="s">
        <v>447</v>
      </c>
      <c r="C9" s="128" t="s">
        <v>448</v>
      </c>
      <c r="D9" s="128">
        <v>3</v>
      </c>
      <c r="E9" s="128">
        <v>0.66900000000000004</v>
      </c>
      <c r="F9" s="128" t="s">
        <v>120</v>
      </c>
      <c r="G9" s="128" t="s">
        <v>300</v>
      </c>
      <c r="H9" s="128" t="s">
        <v>171</v>
      </c>
      <c r="I9" s="128" t="s">
        <v>388</v>
      </c>
      <c r="J9" s="128" t="s">
        <v>276</v>
      </c>
      <c r="P9" s="113">
        <v>2</v>
      </c>
      <c r="Q9" s="114" t="s">
        <v>424</v>
      </c>
      <c r="R9" s="133">
        <v>45146</v>
      </c>
      <c r="S9" s="113" t="s">
        <v>574</v>
      </c>
      <c r="T9" s="114" t="s">
        <v>93</v>
      </c>
      <c r="U9" s="114" t="s">
        <v>95</v>
      </c>
      <c r="V9" s="114">
        <v>20</v>
      </c>
      <c r="W9" s="114" t="s">
        <v>546</v>
      </c>
      <c r="X9" s="113" t="s">
        <v>429</v>
      </c>
      <c r="Y9" s="114" t="s">
        <v>547</v>
      </c>
      <c r="Z9" s="113" t="s">
        <v>389</v>
      </c>
      <c r="AA9" s="113" t="s">
        <v>315</v>
      </c>
      <c r="AB9" s="113" t="s">
        <v>557</v>
      </c>
      <c r="AC9" t="s">
        <v>298</v>
      </c>
      <c r="AD9" s="113" t="s">
        <v>19</v>
      </c>
      <c r="AE9" s="114" t="s">
        <v>312</v>
      </c>
      <c r="AF9" s="114">
        <v>20</v>
      </c>
    </row>
    <row r="10" spans="1:48" x14ac:dyDescent="0.25">
      <c r="A10" s="140">
        <v>45145</v>
      </c>
      <c r="B10" s="128" t="s">
        <v>465</v>
      </c>
      <c r="C10" s="128" t="s">
        <v>466</v>
      </c>
      <c r="D10" s="128">
        <v>3</v>
      </c>
      <c r="E10" s="128">
        <v>0.7</v>
      </c>
      <c r="F10" s="128" t="s">
        <v>95</v>
      </c>
      <c r="G10" s="128" t="s">
        <v>300</v>
      </c>
      <c r="H10" s="128" t="s">
        <v>140</v>
      </c>
      <c r="I10" s="128" t="s">
        <v>275</v>
      </c>
      <c r="J10" s="128" t="s">
        <v>276</v>
      </c>
      <c r="P10" s="113">
        <v>1</v>
      </c>
      <c r="Q10" s="114" t="s">
        <v>465</v>
      </c>
      <c r="R10" s="133">
        <v>45145</v>
      </c>
      <c r="S10" s="113" t="s">
        <v>558</v>
      </c>
      <c r="T10" s="114" t="s">
        <v>93</v>
      </c>
      <c r="U10" s="114" t="s">
        <v>95</v>
      </c>
      <c r="V10" s="114">
        <v>0.7</v>
      </c>
      <c r="W10" s="114" t="s">
        <v>196</v>
      </c>
      <c r="X10" s="113" t="s">
        <v>340</v>
      </c>
      <c r="Y10" s="114" t="s">
        <v>551</v>
      </c>
      <c r="Z10" s="113" t="s">
        <v>559</v>
      </c>
      <c r="AA10" s="113" t="s">
        <v>468</v>
      </c>
      <c r="AB10" s="113" t="s">
        <v>560</v>
      </c>
      <c r="AC10" t="s">
        <v>300</v>
      </c>
      <c r="AD10" s="113" t="s">
        <v>24</v>
      </c>
      <c r="AE10" s="114" t="s">
        <v>8</v>
      </c>
      <c r="AF10" s="114">
        <v>0.7</v>
      </c>
    </row>
    <row r="54" spans="15:15" x14ac:dyDescent="0.25">
      <c r="O54"/>
    </row>
  </sheetData>
  <phoneticPr fontId="17" type="noConversion"/>
  <pageMargins left="0.7" right="0.7" top="0.75" bottom="0.75" header="0.3" footer="0.3"/>
  <pageSetup orientation="portrait" r:id="rId1"/>
  <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234473"/>
  </sheetPr>
  <dimension ref="A1:G18"/>
  <sheetViews>
    <sheetView zoomScale="85" zoomScaleNormal="85" workbookViewId="0">
      <selection activeCell="A4" sqref="A4:F5"/>
    </sheetView>
  </sheetViews>
  <sheetFormatPr defaultColWidth="8.88671875" defaultRowHeight="15" x14ac:dyDescent="0.25"/>
  <cols>
    <col min="1" max="1" width="21.88671875" style="1" bestFit="1" customWidth="1"/>
    <col min="2" max="2" width="11" style="1" bestFit="1" customWidth="1"/>
    <col min="3" max="3" width="23.88671875" style="1" bestFit="1" customWidth="1"/>
    <col min="4" max="4" width="20.6640625" style="1" bestFit="1" customWidth="1"/>
    <col min="5" max="5" width="109" style="1" bestFit="1" customWidth="1"/>
    <col min="6" max="6" width="55.21875" style="1" bestFit="1" customWidth="1"/>
    <col min="7" max="7" width="111.33203125" style="1" customWidth="1"/>
    <col min="8" max="16384" width="8.88671875" style="1"/>
  </cols>
  <sheetData>
    <row r="1" spans="1:7" ht="60.75" customHeight="1" x14ac:dyDescent="0.25">
      <c r="A1" s="31" t="s">
        <v>179</v>
      </c>
      <c r="B1" s="8"/>
      <c r="C1" s="8"/>
      <c r="D1" s="8"/>
      <c r="E1" s="7"/>
      <c r="F1" s="7"/>
      <c r="G1" s="7"/>
    </row>
    <row r="2" spans="1:7" ht="60.75" customHeight="1" x14ac:dyDescent="0.25">
      <c r="A2" s="23"/>
    </row>
    <row r="3" spans="1:7" ht="57" customHeight="1" x14ac:dyDescent="0.25">
      <c r="A3" s="8" t="s">
        <v>94</v>
      </c>
      <c r="E3" s="24"/>
      <c r="F3" s="24"/>
      <c r="G3" s="24"/>
    </row>
    <row r="4" spans="1:7" x14ac:dyDescent="0.25">
      <c r="A4" t="s">
        <v>96</v>
      </c>
      <c r="B4" t="s">
        <v>296</v>
      </c>
      <c r="C4" t="s">
        <v>73</v>
      </c>
      <c r="D4" t="s">
        <v>215</v>
      </c>
      <c r="E4" t="s">
        <v>178</v>
      </c>
      <c r="F4" t="s">
        <v>319</v>
      </c>
    </row>
    <row r="5" spans="1:7" ht="120" x14ac:dyDescent="0.25">
      <c r="A5">
        <v>2</v>
      </c>
      <c r="B5" t="s">
        <v>298</v>
      </c>
      <c r="C5" t="s">
        <v>95</v>
      </c>
      <c r="D5" t="s">
        <v>462</v>
      </c>
      <c r="E5" t="s">
        <v>569</v>
      </c>
      <c r="F5" s="112" t="s">
        <v>561</v>
      </c>
    </row>
    <row r="8" spans="1:7" ht="46.5" x14ac:dyDescent="0.25">
      <c r="A8" s="8" t="s">
        <v>120</v>
      </c>
      <c r="E8" s="24"/>
      <c r="F8" s="24"/>
      <c r="G8" s="24"/>
    </row>
    <row r="9" spans="1:7" x14ac:dyDescent="0.25">
      <c r="A9" s="112" t="s">
        <v>96</v>
      </c>
      <c r="B9" t="s">
        <v>296</v>
      </c>
      <c r="C9" s="112" t="s">
        <v>73</v>
      </c>
      <c r="D9" s="112" t="s">
        <v>215</v>
      </c>
      <c r="E9" s="112" t="s">
        <v>178</v>
      </c>
      <c r="F9" s="112" t="s">
        <v>319</v>
      </c>
    </row>
    <row r="10" spans="1:7" x14ac:dyDescent="0.25">
      <c r="A10" s="112">
        <v>4</v>
      </c>
      <c r="B10" t="s">
        <v>299</v>
      </c>
      <c r="C10" s="112" t="s">
        <v>120</v>
      </c>
      <c r="D10" s="112" t="s">
        <v>564</v>
      </c>
      <c r="E10" s="112" t="s">
        <v>570</v>
      </c>
      <c r="F10" s="123" t="s">
        <v>8</v>
      </c>
    </row>
    <row r="11" spans="1:7" x14ac:dyDescent="0.25">
      <c r="A11" s="112">
        <v>3</v>
      </c>
      <c r="B11" t="s">
        <v>300</v>
      </c>
      <c r="C11" s="112" t="s">
        <v>120</v>
      </c>
      <c r="D11" s="112" t="s">
        <v>555</v>
      </c>
      <c r="E11" s="112" t="s">
        <v>571</v>
      </c>
      <c r="F11" s="123" t="s">
        <v>8</v>
      </c>
    </row>
    <row r="15" spans="1:7" ht="46.5" x14ac:dyDescent="0.25">
      <c r="A15" s="8" t="s">
        <v>270</v>
      </c>
    </row>
    <row r="16" spans="1:7" x14ac:dyDescent="0.25">
      <c r="A16" t="s">
        <v>96</v>
      </c>
      <c r="B16" t="s">
        <v>296</v>
      </c>
      <c r="C16" t="s">
        <v>73</v>
      </c>
      <c r="D16" t="s">
        <v>215</v>
      </c>
      <c r="E16" t="s">
        <v>178</v>
      </c>
      <c r="F16" t="s">
        <v>319</v>
      </c>
    </row>
    <row r="17" spans="1:6" x14ac:dyDescent="0.25">
      <c r="A17" s="124">
        <v>1</v>
      </c>
      <c r="B17" t="s">
        <v>300</v>
      </c>
      <c r="C17" s="124" t="s">
        <v>95</v>
      </c>
      <c r="D17" s="124" t="s">
        <v>558</v>
      </c>
      <c r="E17" s="112" t="s">
        <v>572</v>
      </c>
      <c r="F17" s="123" t="s">
        <v>8</v>
      </c>
    </row>
    <row r="18" spans="1:6" x14ac:dyDescent="0.25">
      <c r="A18" s="124">
        <v>5</v>
      </c>
      <c r="B18" t="s">
        <v>299</v>
      </c>
      <c r="C18" s="124" t="s">
        <v>95</v>
      </c>
      <c r="D18" s="124" t="s">
        <v>553</v>
      </c>
      <c r="E18" s="112" t="s">
        <v>573</v>
      </c>
      <c r="F18" s="123" t="s">
        <v>8</v>
      </c>
    </row>
  </sheetData>
  <phoneticPr fontId="17" type="noConversion"/>
  <conditionalFormatting sqref="G9:G11 E4:E5 E9:E11 E16:E18">
    <cfRule type="containsText" dxfId="291" priority="11" operator="containsText" text="担任">
      <formula>NOT(ISERROR(SEARCH("担任",E4)))</formula>
    </cfRule>
  </conditionalFormatting>
  <pageMargins left="0.7" right="0.7" top="0.75" bottom="0.75" header="0.3" footer="0.3"/>
  <pageSetup orientation="portrait" r:id="rId1"/>
  <drawing r:id="rId2"/>
  <tableParts count="3">
    <tablePart r:id="rId3"/>
    <tablePart r:id="rId4"/>
    <tablePart r:id="rId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rgb="FFC69E62"/>
  </sheetPr>
  <dimension ref="A1:V53"/>
  <sheetViews>
    <sheetView zoomScale="115" zoomScaleNormal="115" workbookViewId="0">
      <selection activeCell="A12" sqref="A12:O27"/>
    </sheetView>
  </sheetViews>
  <sheetFormatPr defaultColWidth="8.88671875" defaultRowHeight="28.5" customHeight="1" x14ac:dyDescent="0.25"/>
  <cols>
    <col min="1" max="1" width="6.44140625" style="57" bestFit="1" customWidth="1"/>
    <col min="2" max="2" width="8.33203125" style="57" bestFit="1" customWidth="1"/>
    <col min="3" max="3" width="25.109375" style="57" bestFit="1" customWidth="1"/>
    <col min="4" max="4" width="8.44140625" style="57" bestFit="1" customWidth="1"/>
    <col min="5" max="7" width="9.44140625" style="57" bestFit="1" customWidth="1"/>
    <col min="8" max="8" width="8.88671875" style="57" bestFit="1" customWidth="1"/>
    <col min="9" max="9" width="10.77734375" style="57" bestFit="1" customWidth="1"/>
    <col min="10" max="10" width="15.77734375" style="57" hidden="1" customWidth="1"/>
    <col min="11" max="11" width="10.6640625" style="57" hidden="1" customWidth="1"/>
    <col min="12" max="12" width="7.21875" style="57" hidden="1" customWidth="1"/>
    <col min="13" max="13" width="6" style="57" hidden="1" customWidth="1"/>
    <col min="14" max="14" width="11" style="57" hidden="1" customWidth="1"/>
    <col min="15" max="15" width="28.5546875" style="57" bestFit="1" customWidth="1" collapsed="1"/>
    <col min="16" max="16" width="6.5546875" style="57" customWidth="1"/>
    <col min="17" max="17" width="6.77734375" style="57" customWidth="1"/>
    <col min="18" max="18" width="28.109375" style="57" bestFit="1" customWidth="1"/>
    <col min="19" max="19" width="12.6640625" style="57" bestFit="1" customWidth="1"/>
    <col min="20" max="22" width="7.6640625" style="57" customWidth="1"/>
    <col min="23" max="23" width="6.109375" style="57" bestFit="1" customWidth="1"/>
    <col min="24" max="24" width="9.44140625" style="57" bestFit="1" customWidth="1"/>
    <col min="25" max="25" width="35.109375" style="57" bestFit="1" customWidth="1"/>
    <col min="26" max="16384" width="8.88671875" style="57"/>
  </cols>
  <sheetData>
    <row r="1" spans="1:22" ht="59.25" customHeight="1" x14ac:dyDescent="0.25">
      <c r="A1" s="63" t="s">
        <v>145</v>
      </c>
      <c r="I1" s="136"/>
    </row>
    <row r="2" spans="1:22" ht="15" x14ac:dyDescent="0.25">
      <c r="B2" s="58" t="s">
        <v>96</v>
      </c>
      <c r="C2" s="58" t="s">
        <v>201</v>
      </c>
      <c r="D2" s="58" t="s">
        <v>202</v>
      </c>
      <c r="E2" s="58" t="s">
        <v>203</v>
      </c>
      <c r="F2" s="58" t="s">
        <v>204</v>
      </c>
      <c r="G2" s="58" t="s">
        <v>205</v>
      </c>
    </row>
    <row r="3" spans="1:22" ht="15" x14ac:dyDescent="0.25">
      <c r="B3" s="58">
        <v>5</v>
      </c>
      <c r="C3" s="126" t="s">
        <v>343</v>
      </c>
      <c r="D3" s="91">
        <f>IFERROR(INDEX(ECON[Date],MATCH(input_econ[[#This Row],[上周主要经济数据]],ECON[上周主要经济数据],0)),"")</f>
        <v>45147</v>
      </c>
      <c r="E3" s="61">
        <f>IFERROR(INDEX(ECON[Prior],MATCH(input_econ[[#This Row],[上周主要经济数据]],ECON[上周主要经济数据],0)),"")</f>
        <v>0</v>
      </c>
      <c r="F3" s="61">
        <f>IFERROR(INDEX(ECON[Survey],MATCH(input_econ[[#This Row],[上周主要经济数据]],ECON[上周主要经济数据],0)),"")</f>
        <v>-4.0000000000000001E-3</v>
      </c>
      <c r="G3" s="61">
        <f>IFERROR(INDEX(ECON[Actual],MATCH(input_econ[[#This Row],[上周主要经济数据]],ECON[上周主要经济数据],0)),"")</f>
        <v>-3.0000000000000001E-3</v>
      </c>
    </row>
    <row r="4" spans="1:22" ht="15" x14ac:dyDescent="0.25">
      <c r="B4" s="58">
        <v>1</v>
      </c>
      <c r="C4" s="126" t="s">
        <v>214</v>
      </c>
      <c r="D4" s="91">
        <f>IFERROR(INDEX(ECON[Date],MATCH(input_econ[[#This Row],[上周主要经济数据]],ECON[上周主要经济数据],0)),"")</f>
        <v>45147</v>
      </c>
      <c r="E4" s="61">
        <f>IFERROR(INDEX(ECON[Prior],MATCH(input_econ[[#This Row],[上周主要经济数据]],ECON[上周主要经济数据],0)),"")</f>
        <v>-0.03</v>
      </c>
      <c r="F4" s="61" t="str">
        <f>IFERROR(INDEX(ECON[Survey],MATCH(input_econ[[#This Row],[上周主要经济数据]],ECON[上周主要经济数据],0)),"")</f>
        <v>--</v>
      </c>
      <c r="G4" s="61">
        <f>IFERROR(INDEX(ECON[Actual],MATCH(input_econ[[#This Row],[上周主要经济数据]],ECON[上周主要经济数据],0)),"")</f>
        <v>-3.1E-2</v>
      </c>
    </row>
    <row r="5" spans="1:22" ht="15" x14ac:dyDescent="0.25">
      <c r="B5" s="58">
        <v>4</v>
      </c>
      <c r="C5" s="126" t="s">
        <v>213</v>
      </c>
      <c r="D5" s="91">
        <f>IFERROR(INDEX(ECON[Date],MATCH(input_econ[[#This Row],[上周主要经济数据]],ECON[上周主要经济数据],0)),"")</f>
        <v>45148</v>
      </c>
      <c r="E5" s="61" t="str">
        <f>IFERROR(INDEX(ECON[Prior],MATCH(input_econ[[#This Row],[上周主要经济数据]],ECON[上周主要经济数据],0)),"")</f>
        <v>227k</v>
      </c>
      <c r="F5" s="61" t="str">
        <f>IFERROR(INDEX(ECON[Survey],MATCH(input_econ[[#This Row],[上周主要经济数据]],ECON[上周主要经济数据],0)),"")</f>
        <v>230k</v>
      </c>
      <c r="G5" s="61" t="str">
        <f>IFERROR(INDEX(ECON[Actual],MATCH(input_econ[[#This Row],[上周主要经济数据]],ECON[上周主要经济数据],0)),"")</f>
        <v>248k</v>
      </c>
    </row>
    <row r="6" spans="1:22" ht="15" x14ac:dyDescent="0.25">
      <c r="B6" s="58">
        <v>6</v>
      </c>
      <c r="C6" s="126" t="s">
        <v>374</v>
      </c>
      <c r="D6" s="91">
        <f>IFERROR(INDEX(ECON[Date],MATCH(input_econ[[#This Row],[上周主要经济数据]],ECON[上周主要经济数据],0)),"")</f>
        <v>45148</v>
      </c>
      <c r="E6" s="61">
        <f>IFERROR(INDEX(ECON[Prior],MATCH(input_econ[[#This Row],[上周主要经济数据]],ECON[上周主要经济数据],0)),"")</f>
        <v>2E-3</v>
      </c>
      <c r="F6" s="61">
        <f>IFERROR(INDEX(ECON[Survey],MATCH(input_econ[[#This Row],[上周主要经济数据]],ECON[上周主要经济数据],0)),"")</f>
        <v>2E-3</v>
      </c>
      <c r="G6" s="61">
        <f>IFERROR(INDEX(ECON[Actual],MATCH(input_econ[[#This Row],[上周主要经济数据]],ECON[上周主要经济数据],0)),"")</f>
        <v>2E-3</v>
      </c>
    </row>
    <row r="7" spans="1:22" ht="15" x14ac:dyDescent="0.25">
      <c r="B7" s="58">
        <v>3</v>
      </c>
      <c r="C7" s="126" t="s">
        <v>380</v>
      </c>
      <c r="D7" s="91">
        <f>IFERROR(INDEX(ECON[Date],MATCH(input_econ[[#This Row],[上周主要经济数据]],ECON[上周主要经济数据],0)),"")</f>
        <v>45148</v>
      </c>
      <c r="E7" s="61">
        <f>IFERROR(INDEX(ECON[Prior],MATCH(input_econ[[#This Row],[上周主要经济数据]],ECON[上周主要经济数据],0)),"")</f>
        <v>0.03</v>
      </c>
      <c r="F7" s="61">
        <f>IFERROR(INDEX(ECON[Survey],MATCH(input_econ[[#This Row],[上周主要经济数据]],ECON[上周主要经济数据],0)),"")</f>
        <v>3.3000000000000002E-2</v>
      </c>
      <c r="G7" s="61">
        <f>IFERROR(INDEX(ECON[Actual],MATCH(input_econ[[#This Row],[上周主要经济数据]],ECON[上周主要经济数据],0)),"")</f>
        <v>3.2000000000000001E-2</v>
      </c>
    </row>
    <row r="8" spans="1:22" ht="15" x14ac:dyDescent="0.25">
      <c r="B8" s="58">
        <v>2</v>
      </c>
      <c r="C8" s="126" t="s">
        <v>378</v>
      </c>
      <c r="D8" s="91">
        <f>IFERROR(INDEX(ECON[Date],MATCH(input_econ[[#This Row],[上周主要经济数据]],ECON[上周主要经济数据],0)),"")</f>
        <v>45149</v>
      </c>
      <c r="E8" s="61">
        <f>IFERROR(INDEX(ECON[Prior],MATCH(input_econ[[#This Row],[上周主要经济数据]],ECON[上周主要经济数据],0)),"")</f>
        <v>71.599999999999994</v>
      </c>
      <c r="F8" s="61">
        <f>IFERROR(INDEX(ECON[Survey],MATCH(input_econ[[#This Row],[上周主要经济数据]],ECON[上周主要经济数据],0)),"")</f>
        <v>71.2</v>
      </c>
      <c r="G8" s="61">
        <f>IFERROR(INDEX(ECON[Actual],MATCH(input_econ[[#This Row],[上周主要经济数据]],ECON[上周主要经济数据],0)),"")</f>
        <v>71.2</v>
      </c>
    </row>
    <row r="9" spans="1:22" ht="15" x14ac:dyDescent="0.25">
      <c r="Q9" s="60"/>
      <c r="R9" s="60"/>
      <c r="S9" s="60"/>
      <c r="T9" s="60"/>
      <c r="U9" s="60"/>
      <c r="V9" s="60"/>
    </row>
    <row r="10" spans="1:22" ht="15" x14ac:dyDescent="0.25">
      <c r="Q10" s="60"/>
      <c r="R10" s="60"/>
      <c r="S10" s="60"/>
      <c r="T10" s="60"/>
      <c r="U10" s="60"/>
      <c r="V10" s="60"/>
    </row>
    <row r="11" spans="1:22" ht="15" x14ac:dyDescent="0.25">
      <c r="Q11" s="60"/>
      <c r="R11" s="60"/>
      <c r="S11" s="60"/>
      <c r="T11" s="60"/>
      <c r="U11" s="60"/>
      <c r="V11" s="60"/>
    </row>
    <row r="12" spans="1:22" ht="15" x14ac:dyDescent="0.25">
      <c r="A12" s="58" t="s">
        <v>146</v>
      </c>
      <c r="B12" s="59" t="s">
        <v>206</v>
      </c>
      <c r="C12" s="59" t="s">
        <v>147</v>
      </c>
      <c r="D12" s="59" t="s">
        <v>207</v>
      </c>
      <c r="E12" s="59" t="s">
        <v>148</v>
      </c>
      <c r="F12" s="59" t="s">
        <v>149</v>
      </c>
      <c r="G12" s="59" t="s">
        <v>150</v>
      </c>
      <c r="H12" s="59" t="s">
        <v>151</v>
      </c>
      <c r="I12" s="59" t="s">
        <v>152</v>
      </c>
      <c r="J12" s="59" t="s">
        <v>153</v>
      </c>
      <c r="K12" s="59" t="s">
        <v>154</v>
      </c>
      <c r="L12" s="59" t="s">
        <v>208</v>
      </c>
      <c r="M12" s="59" t="s">
        <v>210</v>
      </c>
      <c r="N12" s="59" t="s">
        <v>211</v>
      </c>
      <c r="O12" s="59" t="s">
        <v>201</v>
      </c>
      <c r="Q12" s="60"/>
      <c r="R12" s="60"/>
      <c r="S12" s="60"/>
      <c r="T12" s="60"/>
      <c r="U12" s="60"/>
      <c r="V12" s="60"/>
    </row>
    <row r="13" spans="1:22" ht="15" x14ac:dyDescent="0.25">
      <c r="A13" s="125">
        <v>45147</v>
      </c>
      <c r="B13" s="126" t="s">
        <v>161</v>
      </c>
      <c r="C13" s="126" t="s">
        <v>341</v>
      </c>
      <c r="D13" s="126" t="s">
        <v>322</v>
      </c>
      <c r="E13" s="126">
        <v>-4.0000000000000001E-3</v>
      </c>
      <c r="F13" s="126">
        <v>-3.0000000000000001E-3</v>
      </c>
      <c r="G13" s="126">
        <v>0</v>
      </c>
      <c r="H13" s="126" t="s">
        <v>8</v>
      </c>
      <c r="I13" s="126">
        <v>98</v>
      </c>
      <c r="J13" s="126" t="s">
        <v>342</v>
      </c>
      <c r="K13" s="127">
        <v>0.39583333333333331</v>
      </c>
      <c r="L13" s="126" t="s">
        <v>145</v>
      </c>
      <c r="M13" s="126" t="s">
        <v>293</v>
      </c>
      <c r="N13" s="126" t="s">
        <v>330</v>
      </c>
      <c r="O13" s="126" t="s">
        <v>343</v>
      </c>
      <c r="Q13" s="60"/>
      <c r="R13" s="60"/>
      <c r="S13" s="60"/>
      <c r="T13" s="60"/>
      <c r="U13" s="60"/>
      <c r="V13" s="60"/>
    </row>
    <row r="14" spans="1:22" ht="15" x14ac:dyDescent="0.25">
      <c r="A14" s="125">
        <v>45148</v>
      </c>
      <c r="B14" s="126" t="s">
        <v>155</v>
      </c>
      <c r="C14" s="126" t="s">
        <v>159</v>
      </c>
      <c r="D14" s="126" t="s">
        <v>483</v>
      </c>
      <c r="E14" s="126" t="s">
        <v>372</v>
      </c>
      <c r="F14" s="126" t="s">
        <v>484</v>
      </c>
      <c r="G14" s="126" t="s">
        <v>331</v>
      </c>
      <c r="H14" s="126" t="s">
        <v>8</v>
      </c>
      <c r="I14" s="126">
        <v>98</v>
      </c>
      <c r="J14" s="126" t="s">
        <v>160</v>
      </c>
      <c r="K14" s="127">
        <v>0.85416666666666663</v>
      </c>
      <c r="L14" s="126" t="s">
        <v>145</v>
      </c>
      <c r="M14" s="126" t="s">
        <v>104</v>
      </c>
      <c r="N14" s="126" t="s">
        <v>200</v>
      </c>
      <c r="O14" s="126" t="s">
        <v>213</v>
      </c>
      <c r="Q14" s="60"/>
      <c r="R14" s="60"/>
      <c r="S14" s="60"/>
      <c r="T14" s="60"/>
      <c r="U14" s="60"/>
      <c r="V14" s="60"/>
    </row>
    <row r="15" spans="1:22" ht="15" x14ac:dyDescent="0.25">
      <c r="A15" s="125">
        <v>45148</v>
      </c>
      <c r="B15" s="126" t="s">
        <v>155</v>
      </c>
      <c r="C15" s="126" t="s">
        <v>156</v>
      </c>
      <c r="D15" s="126" t="s">
        <v>322</v>
      </c>
      <c r="E15" s="126">
        <v>2E-3</v>
      </c>
      <c r="F15" s="126">
        <v>2E-3</v>
      </c>
      <c r="G15" s="126">
        <v>2E-3</v>
      </c>
      <c r="H15" s="126" t="s">
        <v>8</v>
      </c>
      <c r="I15" s="126">
        <v>97</v>
      </c>
      <c r="J15" s="126" t="s">
        <v>373</v>
      </c>
      <c r="K15" s="127">
        <v>0.85416666666666663</v>
      </c>
      <c r="L15" s="126" t="s">
        <v>145</v>
      </c>
      <c r="M15" s="126" t="s">
        <v>293</v>
      </c>
      <c r="N15" s="126" t="s">
        <v>294</v>
      </c>
      <c r="O15" s="126" t="s">
        <v>374</v>
      </c>
      <c r="Q15" s="60"/>
      <c r="R15" s="60"/>
      <c r="S15" s="60"/>
      <c r="T15" s="60"/>
      <c r="U15" s="60"/>
      <c r="V15" s="60"/>
    </row>
    <row r="16" spans="1:22" ht="15" x14ac:dyDescent="0.25">
      <c r="A16" s="125">
        <v>45149</v>
      </c>
      <c r="B16" s="126" t="s">
        <v>155</v>
      </c>
      <c r="C16" s="126" t="s">
        <v>325</v>
      </c>
      <c r="D16" s="126" t="s">
        <v>375</v>
      </c>
      <c r="E16" s="126">
        <v>71.2</v>
      </c>
      <c r="F16" s="126">
        <v>71.2</v>
      </c>
      <c r="G16" s="126">
        <v>71.599999999999994</v>
      </c>
      <c r="H16" s="126" t="s">
        <v>8</v>
      </c>
      <c r="I16" s="126">
        <v>95</v>
      </c>
      <c r="J16" s="126" t="s">
        <v>326</v>
      </c>
      <c r="K16" s="127">
        <v>0.91666666666666663</v>
      </c>
      <c r="L16" s="126" t="s">
        <v>145</v>
      </c>
      <c r="M16" s="126" t="s">
        <v>376</v>
      </c>
      <c r="N16" s="126" t="s">
        <v>377</v>
      </c>
      <c r="O16" s="126" t="s">
        <v>378</v>
      </c>
      <c r="Q16" s="60"/>
      <c r="R16" s="60"/>
      <c r="S16" s="60"/>
      <c r="T16" s="60"/>
      <c r="U16" s="60"/>
      <c r="V16" s="60"/>
    </row>
    <row r="17" spans="1:22" ht="15" x14ac:dyDescent="0.25">
      <c r="A17" s="125">
        <v>45148</v>
      </c>
      <c r="B17" s="126" t="s">
        <v>155</v>
      </c>
      <c r="C17" s="126" t="s">
        <v>341</v>
      </c>
      <c r="D17" s="126" t="s">
        <v>322</v>
      </c>
      <c r="E17" s="126">
        <v>3.3000000000000002E-2</v>
      </c>
      <c r="F17" s="126">
        <v>3.2000000000000001E-2</v>
      </c>
      <c r="G17" s="126">
        <v>0.03</v>
      </c>
      <c r="H17" s="126" t="s">
        <v>8</v>
      </c>
      <c r="I17" s="126">
        <v>94</v>
      </c>
      <c r="J17" s="126" t="s">
        <v>379</v>
      </c>
      <c r="K17" s="127">
        <v>0.85416666666666663</v>
      </c>
      <c r="L17" s="126" t="s">
        <v>145</v>
      </c>
      <c r="M17" s="126" t="s">
        <v>293</v>
      </c>
      <c r="N17" s="126" t="s">
        <v>294</v>
      </c>
      <c r="O17" s="126" t="s">
        <v>380</v>
      </c>
      <c r="Q17" s="60"/>
      <c r="R17" s="60"/>
      <c r="S17" s="60"/>
      <c r="T17" s="60"/>
      <c r="U17" s="60"/>
      <c r="V17" s="60"/>
    </row>
    <row r="18" spans="1:22" ht="15" x14ac:dyDescent="0.25">
      <c r="A18" s="125">
        <v>45147</v>
      </c>
      <c r="B18" s="126" t="s">
        <v>155</v>
      </c>
      <c r="C18" s="126" t="s">
        <v>157</v>
      </c>
      <c r="D18" s="126" t="s">
        <v>485</v>
      </c>
      <c r="E18" s="126" t="s">
        <v>8</v>
      </c>
      <c r="F18" s="126">
        <v>-3.1E-2</v>
      </c>
      <c r="G18" s="126">
        <v>-0.03</v>
      </c>
      <c r="H18" s="126" t="s">
        <v>8</v>
      </c>
      <c r="I18" s="126">
        <v>91</v>
      </c>
      <c r="J18" s="126" t="s">
        <v>158</v>
      </c>
      <c r="K18" s="127">
        <v>0.79166666666666663</v>
      </c>
      <c r="L18" s="126" t="s">
        <v>145</v>
      </c>
      <c r="M18" s="126" t="s">
        <v>104</v>
      </c>
      <c r="N18" s="126" t="s">
        <v>200</v>
      </c>
      <c r="O18" s="126" t="s">
        <v>214</v>
      </c>
    </row>
    <row r="19" spans="1:22" ht="15" x14ac:dyDescent="0.25">
      <c r="A19" s="125">
        <v>45147</v>
      </c>
      <c r="B19" s="126" t="s">
        <v>161</v>
      </c>
      <c r="C19" s="126" t="s">
        <v>344</v>
      </c>
      <c r="D19" s="126" t="s">
        <v>322</v>
      </c>
      <c r="E19" s="126">
        <v>-0.04</v>
      </c>
      <c r="F19" s="126">
        <v>-4.3999999999999997E-2</v>
      </c>
      <c r="G19" s="126">
        <v>-5.3999999999999999E-2</v>
      </c>
      <c r="H19" s="126" t="s">
        <v>8</v>
      </c>
      <c r="I19" s="126">
        <v>90</v>
      </c>
      <c r="J19" s="126" t="s">
        <v>345</v>
      </c>
      <c r="K19" s="127">
        <v>0.39583333333333331</v>
      </c>
      <c r="L19" s="126" t="s">
        <v>145</v>
      </c>
      <c r="M19" s="126" t="s">
        <v>293</v>
      </c>
      <c r="N19" s="126" t="s">
        <v>330</v>
      </c>
      <c r="O19" s="126" t="s">
        <v>346</v>
      </c>
      <c r="Q19" s="60"/>
      <c r="R19" s="60"/>
      <c r="S19" s="60"/>
      <c r="T19" s="60"/>
      <c r="U19" s="60"/>
      <c r="V19" s="60"/>
    </row>
    <row r="20" spans="1:22" ht="15" x14ac:dyDescent="0.25">
      <c r="A20" s="125">
        <v>45149</v>
      </c>
      <c r="B20" s="126" t="s">
        <v>155</v>
      </c>
      <c r="C20" s="126" t="s">
        <v>381</v>
      </c>
      <c r="D20" s="126" t="s">
        <v>322</v>
      </c>
      <c r="E20" s="126">
        <v>2E-3</v>
      </c>
      <c r="F20" s="126">
        <v>3.0000000000000001E-3</v>
      </c>
      <c r="G20" s="126">
        <v>1E-3</v>
      </c>
      <c r="H20" s="126">
        <v>0</v>
      </c>
      <c r="I20" s="126">
        <v>87</v>
      </c>
      <c r="J20" s="126" t="s">
        <v>382</v>
      </c>
      <c r="K20" s="127">
        <v>0.85416666666666663</v>
      </c>
      <c r="L20" s="126" t="s">
        <v>145</v>
      </c>
      <c r="M20" s="126" t="s">
        <v>293</v>
      </c>
      <c r="N20" s="126" t="s">
        <v>294</v>
      </c>
      <c r="O20" s="126" t="s">
        <v>383</v>
      </c>
      <c r="V20" s="60"/>
    </row>
    <row r="21" spans="1:22" ht="15" x14ac:dyDescent="0.25">
      <c r="A21" s="125">
        <v>45149</v>
      </c>
      <c r="B21" s="126" t="s">
        <v>161</v>
      </c>
      <c r="C21" s="126" t="s">
        <v>347</v>
      </c>
      <c r="D21" s="126" t="s">
        <v>322</v>
      </c>
      <c r="E21" s="126">
        <v>0.11</v>
      </c>
      <c r="F21" s="126">
        <v>0.107</v>
      </c>
      <c r="G21" s="126">
        <v>0.113</v>
      </c>
      <c r="H21" s="126" t="s">
        <v>8</v>
      </c>
      <c r="I21" s="126">
        <v>86</v>
      </c>
      <c r="J21" s="126" t="s">
        <v>348</v>
      </c>
      <c r="K21" s="127">
        <v>0.6875</v>
      </c>
      <c r="L21" s="126" t="s">
        <v>145</v>
      </c>
      <c r="M21" s="126" t="s">
        <v>293</v>
      </c>
      <c r="N21" s="126" t="s">
        <v>330</v>
      </c>
      <c r="O21" s="126" t="s">
        <v>349</v>
      </c>
      <c r="V21" s="60"/>
    </row>
    <row r="22" spans="1:22" ht="15" x14ac:dyDescent="0.25">
      <c r="A22" s="125">
        <v>45146</v>
      </c>
      <c r="B22" s="126" t="s">
        <v>155</v>
      </c>
      <c r="C22" s="126" t="s">
        <v>350</v>
      </c>
      <c r="D22" s="126" t="s">
        <v>262</v>
      </c>
      <c r="E22" s="126" t="s">
        <v>384</v>
      </c>
      <c r="F22" s="126" t="s">
        <v>486</v>
      </c>
      <c r="G22" s="126" t="s">
        <v>385</v>
      </c>
      <c r="H22" s="126" t="s">
        <v>487</v>
      </c>
      <c r="I22" s="126">
        <v>84</v>
      </c>
      <c r="J22" s="126" t="s">
        <v>386</v>
      </c>
      <c r="K22" s="127">
        <v>0.85416666666666663</v>
      </c>
      <c r="L22" s="126" t="s">
        <v>145</v>
      </c>
      <c r="M22" s="126" t="s">
        <v>260</v>
      </c>
      <c r="N22" s="126" t="s">
        <v>261</v>
      </c>
      <c r="O22" s="126" t="s">
        <v>387</v>
      </c>
      <c r="V22" s="60"/>
    </row>
    <row r="23" spans="1:22" ht="15" x14ac:dyDescent="0.25">
      <c r="A23" s="125">
        <v>45146</v>
      </c>
      <c r="B23" s="126" t="s">
        <v>161</v>
      </c>
      <c r="C23" s="126" t="s">
        <v>350</v>
      </c>
      <c r="D23" s="126" t="s">
        <v>322</v>
      </c>
      <c r="E23" s="126" t="s">
        <v>351</v>
      </c>
      <c r="F23" s="126" t="s">
        <v>480</v>
      </c>
      <c r="G23" s="126" t="s">
        <v>352</v>
      </c>
      <c r="H23" s="126" t="s">
        <v>8</v>
      </c>
      <c r="I23" s="126">
        <v>82</v>
      </c>
      <c r="J23" s="126" t="s">
        <v>353</v>
      </c>
      <c r="K23" s="127">
        <v>0.46388888888888891</v>
      </c>
      <c r="L23" s="126" t="s">
        <v>145</v>
      </c>
      <c r="M23" s="126" t="s">
        <v>293</v>
      </c>
      <c r="N23" s="126" t="s">
        <v>330</v>
      </c>
      <c r="O23" s="126" t="s">
        <v>354</v>
      </c>
      <c r="V23" s="60"/>
    </row>
    <row r="24" spans="1:22" ht="15" x14ac:dyDescent="0.25">
      <c r="A24" s="125">
        <v>45146</v>
      </c>
      <c r="B24" s="126" t="s">
        <v>161</v>
      </c>
      <c r="C24" s="126" t="s">
        <v>355</v>
      </c>
      <c r="D24" s="126" t="s">
        <v>322</v>
      </c>
      <c r="E24" s="126">
        <v>-0.13200000000000001</v>
      </c>
      <c r="F24" s="126">
        <v>-0.14499999999999999</v>
      </c>
      <c r="G24" s="126">
        <v>-0.124</v>
      </c>
      <c r="H24" s="126" t="s">
        <v>8</v>
      </c>
      <c r="I24" s="126">
        <v>80</v>
      </c>
      <c r="J24" s="126" t="s">
        <v>356</v>
      </c>
      <c r="K24" s="127">
        <v>0.46388888888888891</v>
      </c>
      <c r="L24" s="126" t="s">
        <v>145</v>
      </c>
      <c r="M24" s="126" t="s">
        <v>293</v>
      </c>
      <c r="N24" s="126" t="s">
        <v>330</v>
      </c>
      <c r="O24" s="126" t="s">
        <v>357</v>
      </c>
      <c r="V24" s="60"/>
    </row>
    <row r="25" spans="1:22" ht="15" x14ac:dyDescent="0.25">
      <c r="A25" s="125">
        <v>45146</v>
      </c>
      <c r="B25" s="126" t="s">
        <v>161</v>
      </c>
      <c r="C25" s="126" t="s">
        <v>358</v>
      </c>
      <c r="D25" s="126" t="s">
        <v>322</v>
      </c>
      <c r="E25" s="126">
        <v>-5.6000000000000001E-2</v>
      </c>
      <c r="F25" s="126">
        <v>-0.124</v>
      </c>
      <c r="G25" s="126">
        <v>-6.8000000000000005E-2</v>
      </c>
      <c r="H25" s="126" t="s">
        <v>8</v>
      </c>
      <c r="I25" s="126">
        <v>78</v>
      </c>
      <c r="J25" s="126" t="s">
        <v>359</v>
      </c>
      <c r="K25" s="127">
        <v>0.46388888888888891</v>
      </c>
      <c r="L25" s="126" t="s">
        <v>145</v>
      </c>
      <c r="M25" s="126" t="s">
        <v>293</v>
      </c>
      <c r="N25" s="126" t="s">
        <v>330</v>
      </c>
      <c r="O25" s="126" t="s">
        <v>360</v>
      </c>
      <c r="V25" s="60"/>
    </row>
    <row r="26" spans="1:22" ht="15" x14ac:dyDescent="0.25">
      <c r="A26" s="125">
        <v>45149</v>
      </c>
      <c r="B26" s="126" t="s">
        <v>161</v>
      </c>
      <c r="C26" s="126" t="s">
        <v>361</v>
      </c>
      <c r="D26" s="126" t="s">
        <v>322</v>
      </c>
      <c r="E26" s="126" t="s">
        <v>362</v>
      </c>
      <c r="F26" s="126" t="s">
        <v>481</v>
      </c>
      <c r="G26" s="126" t="s">
        <v>363</v>
      </c>
      <c r="H26" s="126" t="s">
        <v>364</v>
      </c>
      <c r="I26" s="126">
        <v>72</v>
      </c>
      <c r="J26" s="126" t="s">
        <v>365</v>
      </c>
      <c r="K26" s="127">
        <v>0.6875</v>
      </c>
      <c r="L26" s="126" t="s">
        <v>145</v>
      </c>
      <c r="M26" s="126" t="s">
        <v>293</v>
      </c>
      <c r="N26" s="126" t="s">
        <v>330</v>
      </c>
      <c r="O26" s="126" t="s">
        <v>366</v>
      </c>
      <c r="V26" s="60"/>
    </row>
    <row r="27" spans="1:22" ht="15" x14ac:dyDescent="0.25">
      <c r="A27" s="125">
        <v>45145</v>
      </c>
      <c r="B27" s="126" t="s">
        <v>161</v>
      </c>
      <c r="C27" s="126" t="s">
        <v>367</v>
      </c>
      <c r="D27" s="126" t="s">
        <v>322</v>
      </c>
      <c r="E27" s="126" t="s">
        <v>368</v>
      </c>
      <c r="F27" s="126" t="s">
        <v>482</v>
      </c>
      <c r="G27" s="126" t="s">
        <v>369</v>
      </c>
      <c r="H27" s="126" t="s">
        <v>8</v>
      </c>
      <c r="I27" s="126">
        <v>70</v>
      </c>
      <c r="J27" s="126" t="s">
        <v>370</v>
      </c>
      <c r="K27" s="127">
        <v>0.66666666666666663</v>
      </c>
      <c r="L27" s="126" t="s">
        <v>145</v>
      </c>
      <c r="M27" s="126" t="s">
        <v>293</v>
      </c>
      <c r="N27" s="126" t="s">
        <v>330</v>
      </c>
      <c r="O27" s="126" t="s">
        <v>371</v>
      </c>
      <c r="V27" s="60"/>
    </row>
    <row r="28" spans="1:22" ht="15" x14ac:dyDescent="0.25"/>
    <row r="29" spans="1:22" ht="15" x14ac:dyDescent="0.25"/>
    <row r="30" spans="1:22" ht="15" x14ac:dyDescent="0.25"/>
    <row r="31" spans="1:22" ht="15" x14ac:dyDescent="0.25"/>
    <row r="32" spans="1:22" ht="15"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ht="15" x14ac:dyDescent="0.25"/>
    <row r="50" ht="15" x14ac:dyDescent="0.25"/>
    <row r="51" ht="15" x14ac:dyDescent="0.25"/>
    <row r="52" ht="15" x14ac:dyDescent="0.25"/>
    <row r="53" ht="15" x14ac:dyDescent="0.25"/>
  </sheetData>
  <phoneticPr fontId="17" type="noConversion"/>
  <conditionalFormatting sqref="A13:K27">
    <cfRule type="expression" dxfId="290" priority="24">
      <formula>#REF!="EC"</formula>
    </cfRule>
    <cfRule type="expression" dxfId="289" priority="25">
      <formula>#REF!="CH"</formula>
    </cfRule>
  </conditionalFormatting>
  <conditionalFormatting sqref="I13:I27">
    <cfRule type="dataBar" priority="2">
      <dataBar>
        <cfvo type="num" val="50"/>
        <cfvo type="num" val="100"/>
        <color rgb="FFE1E1E9"/>
      </dataBar>
      <extLst>
        <ext xmlns:x14="http://schemas.microsoft.com/office/spreadsheetml/2009/9/main" uri="{B025F937-C7B1-47D3-B67F-A62EFF666E3E}">
          <x14:id>{9CA240DC-4A4E-42C1-841C-E9EAF55E2755}</x14:id>
        </ext>
      </extLst>
    </cfRule>
  </conditionalFormatting>
  <dataValidations count="1">
    <dataValidation type="list" allowBlank="1" showInputMessage="1" showErrorMessage="1" sqref="C3:C8 I1" xr:uid="{93BE4856-26AC-41BB-9A51-0DAC314F15E0}">
      <formula1>dd_econ</formula1>
    </dataValidation>
  </dataValidations>
  <pageMargins left="0.7" right="0.7" top="0.75" bottom="0.75" header="0.3" footer="0.3"/>
  <pageSetup orientation="portrait" r:id="rId1"/>
  <legacyDrawing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x14:cfRule type="dataBar" id="{9CA240DC-4A4E-42C1-841C-E9EAF55E2755}">
            <x14:dataBar minLength="0" maxLength="100" border="1" negativeBarBorderColorSameAsPositive="0">
              <x14:cfvo type="num">
                <xm:f>50</xm:f>
              </x14:cfvo>
              <x14:cfvo type="num">
                <xm:f>100</xm:f>
              </x14:cfvo>
              <x14:borderColor rgb="FF888AA6"/>
              <x14:negativeFillColor rgb="FFFF0000"/>
              <x14:negativeBorderColor rgb="FFFF0000"/>
              <x14:axisColor rgb="FF000000"/>
            </x14:dataBar>
          </x14:cfRule>
          <xm:sqref>I13:I27</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C69E62"/>
  </sheetPr>
  <dimension ref="A1:V41"/>
  <sheetViews>
    <sheetView workbookViewId="0">
      <selection activeCell="A10" sqref="A10:O27"/>
    </sheetView>
  </sheetViews>
  <sheetFormatPr defaultColWidth="8.88671875" defaultRowHeight="15" x14ac:dyDescent="0.25"/>
  <cols>
    <col min="1" max="1" width="9.44140625" style="57" bestFit="1" customWidth="1"/>
    <col min="2" max="2" width="8.33203125" style="57" bestFit="1" customWidth="1"/>
    <col min="3" max="3" width="26.5546875" style="57" bestFit="1" customWidth="1"/>
    <col min="4" max="4" width="9.44140625" style="57" bestFit="1" customWidth="1"/>
    <col min="5" max="5" width="8" style="57" bestFit="1" customWidth="1"/>
    <col min="6" max="6" width="7.6640625" style="57" bestFit="1" customWidth="1"/>
    <col min="7" max="7" width="6.77734375" style="57" bestFit="1" customWidth="1"/>
    <col min="8" max="8" width="8.88671875" style="57" bestFit="1" customWidth="1"/>
    <col min="9" max="9" width="10.77734375" style="57" bestFit="1" customWidth="1" collapsed="1"/>
    <col min="10" max="10" width="15.5546875" style="57" bestFit="1" customWidth="1"/>
    <col min="11" max="11" width="10.88671875" style="57" bestFit="1" customWidth="1"/>
    <col min="12" max="12" width="7.33203125" style="57" bestFit="1" customWidth="1"/>
    <col min="13" max="13" width="6.109375" style="57" bestFit="1" customWidth="1"/>
    <col min="14" max="14" width="11.109375" style="57" bestFit="1" customWidth="1"/>
    <col min="15" max="15" width="33.33203125" style="57" bestFit="1" customWidth="1" collapsed="1"/>
    <col min="16" max="16" width="6.5546875" style="57" customWidth="1"/>
    <col min="17" max="17" width="6.77734375" style="57" customWidth="1"/>
    <col min="18" max="18" width="28.109375" style="57" bestFit="1" customWidth="1"/>
    <col min="19" max="19" width="12.6640625" style="57" bestFit="1" customWidth="1"/>
    <col min="20" max="22" width="7.6640625" style="57" customWidth="1"/>
    <col min="23" max="23" width="6.109375" style="57" bestFit="1" customWidth="1"/>
    <col min="24" max="24" width="9.44140625" style="57" bestFit="1" customWidth="1"/>
    <col min="25" max="25" width="35.109375" style="57" bestFit="1" customWidth="1"/>
    <col min="26" max="16384" width="8.88671875" style="57"/>
  </cols>
  <sheetData>
    <row r="1" spans="1:22" ht="59.25" customHeight="1" x14ac:dyDescent="0.25">
      <c r="A1" s="56" t="s">
        <v>209</v>
      </c>
      <c r="H1" s="136"/>
    </row>
    <row r="2" spans="1:22" x14ac:dyDescent="0.25">
      <c r="B2" s="58" t="s">
        <v>96</v>
      </c>
      <c r="C2" s="58" t="s">
        <v>212</v>
      </c>
      <c r="D2" s="58" t="s">
        <v>217</v>
      </c>
      <c r="E2" s="58" t="s">
        <v>203</v>
      </c>
      <c r="F2" s="58" t="s">
        <v>204</v>
      </c>
      <c r="V2" s="60"/>
    </row>
    <row r="3" spans="1:22" x14ac:dyDescent="0.25">
      <c r="B3" s="58">
        <v>4</v>
      </c>
      <c r="C3" s="59" t="s">
        <v>528</v>
      </c>
      <c r="D3" s="92">
        <f>IFERROR(INDEX(FUTURE[Date],MATCH(input_future[[#This Row],[未来一周主要经济数据]],FUTURE[未来一周主要经济数据],0)),"")</f>
        <v>45153</v>
      </c>
      <c r="E3" s="62">
        <f>IFERROR(INDEX(FUTURE[Prior],MATCH(input_future[[#This Row],[未来一周主要经济数据]],FUTURE[未来一周主要经济数据],0)),"")</f>
        <v>2E-3</v>
      </c>
      <c r="F3" s="62">
        <f>IFERROR(INDEX(FUTURE[Survey],MATCH(input_future[[#This Row],[未来一周主要经济数据]],FUTURE[未来一周主要经济数据],0)),"")</f>
        <v>4.0000000000000001E-3</v>
      </c>
      <c r="V3" s="67"/>
    </row>
    <row r="4" spans="1:22" x14ac:dyDescent="0.25">
      <c r="B4" s="58">
        <v>6</v>
      </c>
      <c r="C4" s="59" t="s">
        <v>510</v>
      </c>
      <c r="D4" s="92">
        <f>IFERROR(INDEX(FUTURE[Date],MATCH(input_future[[#This Row],[未来一周主要经济数据]],FUTURE[未来一周主要经济数据],0)),"")</f>
        <v>45154</v>
      </c>
      <c r="E4" s="62">
        <f>IFERROR(INDEX(FUTURE[Prior],MATCH(input_future[[#This Row],[未来一周主要经济数据]],FUTURE[未来一周主要经济数据],0)),"")</f>
        <v>3.0000000000000001E-3</v>
      </c>
      <c r="F4" s="62">
        <f>IFERROR(INDEX(FUTURE[Survey],MATCH(input_future[[#This Row],[未来一周主要经济数据]],FUTURE[未来一周主要经济数据],0)),"")</f>
        <v>3.0000000000000001E-3</v>
      </c>
      <c r="V4" s="67"/>
    </row>
    <row r="5" spans="1:22" x14ac:dyDescent="0.25">
      <c r="B5" s="58">
        <v>2</v>
      </c>
      <c r="C5" s="59" t="s">
        <v>214</v>
      </c>
      <c r="D5" s="92">
        <f>IFERROR(INDEX(FUTURE[Date],MATCH(input_future[[#This Row],[未来一周主要经济数据]],FUTURE[未来一周主要经济数据],0)),"")</f>
        <v>45154</v>
      </c>
      <c r="E5" s="62">
        <f>IFERROR(INDEX(FUTURE[Prior],MATCH(input_future[[#This Row],[未来一周主要经济数据]],FUTURE[未来一周主要经济数据],0)),"")</f>
        <v>-3.1E-2</v>
      </c>
      <c r="F5" s="62" t="str">
        <f>IFERROR(INDEX(FUTURE[Survey],MATCH(input_future[[#This Row],[未来一周主要经济数据]],FUTURE[未来一周主要经济数据],0)),"")</f>
        <v>--</v>
      </c>
      <c r="V5" s="67"/>
    </row>
    <row r="6" spans="1:22" x14ac:dyDescent="0.25">
      <c r="B6" s="58">
        <v>5</v>
      </c>
      <c r="C6" s="59" t="s">
        <v>513</v>
      </c>
      <c r="D6" s="92">
        <f>IFERROR(INDEX(FUTURE[Date],MATCH(input_future[[#This Row],[未来一周主要经济数据]],FUTURE[未来一周主要经济数据],0)),"")</f>
        <v>45154</v>
      </c>
      <c r="E6" s="62">
        <f>IFERROR(INDEX(FUTURE[Prior],MATCH(input_future[[#This Row],[未来一周主要经济数据]],FUTURE[未来一周主要经济数据],0)),"")</f>
        <v>6.0000000000000001E-3</v>
      </c>
      <c r="F6" s="62">
        <f>IFERROR(INDEX(FUTURE[Survey],MATCH(input_future[[#This Row],[未来一周主要经济数据]],FUTURE[未来一周主要经济数据],0)),"")</f>
        <v>6.0000000000000001E-3</v>
      </c>
      <c r="V6" s="67"/>
    </row>
    <row r="7" spans="1:22" x14ac:dyDescent="0.25">
      <c r="B7" s="58">
        <v>3</v>
      </c>
      <c r="C7" s="59" t="s">
        <v>213</v>
      </c>
      <c r="D7" s="92">
        <f>IFERROR(INDEX(FUTURE[Date],MATCH(input_future[[#This Row],[未来一周主要经济数据]],FUTURE[未来一周主要经济数据],0)),"")</f>
        <v>45155</v>
      </c>
      <c r="E7" s="62" t="str">
        <f>IFERROR(INDEX(FUTURE[Prior],MATCH(input_future[[#This Row],[未来一周主要经济数据]],FUTURE[未来一周主要经济数据],0)),"")</f>
        <v>248k</v>
      </c>
      <c r="F7" s="62" t="str">
        <f>IFERROR(INDEX(FUTURE[Survey],MATCH(input_future[[#This Row],[未来一周主要经济数据]],FUTURE[未来一周主要经济数据],0)),"")</f>
        <v>240k</v>
      </c>
      <c r="V7" s="67"/>
    </row>
    <row r="8" spans="1:22" x14ac:dyDescent="0.25">
      <c r="B8" s="58">
        <v>1</v>
      </c>
      <c r="C8" s="59" t="s">
        <v>504</v>
      </c>
      <c r="D8" s="92">
        <f>IFERROR(INDEX(FUTURE[Date],MATCH(input_future[[#This Row],[未来一周主要经济数据]],FUTURE[未来一周主要经济数据],0)),"")</f>
        <v>45156</v>
      </c>
      <c r="E8" s="62">
        <f>IFERROR(INDEX(FUTURE[Prior],MATCH(input_future[[#This Row],[未来一周主要经济数据]],FUTURE[未来一周主要经济数据],0)),"")</f>
        <v>5.2999999999999999E-2</v>
      </c>
      <c r="F8" s="62">
        <f>IFERROR(INDEX(FUTURE[Survey],MATCH(input_future[[#This Row],[未来一周主要经济数据]],FUTURE[未来一周主要经济数据],0)),"")</f>
        <v>5.2999999999999999E-2</v>
      </c>
      <c r="V8" s="67"/>
    </row>
    <row r="9" spans="1:22" x14ac:dyDescent="0.25">
      <c r="Q9" s="60"/>
      <c r="R9" s="60"/>
      <c r="S9" s="60"/>
      <c r="T9" s="60"/>
      <c r="U9" s="60"/>
      <c r="V9" s="60"/>
    </row>
    <row r="10" spans="1:22" x14ac:dyDescent="0.25">
      <c r="A10" s="59" t="s">
        <v>146</v>
      </c>
      <c r="B10" s="59" t="s">
        <v>206</v>
      </c>
      <c r="C10" s="59" t="s">
        <v>147</v>
      </c>
      <c r="D10" s="59" t="s">
        <v>207</v>
      </c>
      <c r="E10" s="59" t="s">
        <v>148</v>
      </c>
      <c r="F10" s="59" t="s">
        <v>149</v>
      </c>
      <c r="G10" s="59" t="s">
        <v>150</v>
      </c>
      <c r="H10" s="59" t="s">
        <v>151</v>
      </c>
      <c r="I10" s="59" t="s">
        <v>152</v>
      </c>
      <c r="J10" s="59" t="s">
        <v>153</v>
      </c>
      <c r="K10" s="59" t="s">
        <v>154</v>
      </c>
      <c r="L10" s="59" t="s">
        <v>208</v>
      </c>
      <c r="M10" s="59" t="s">
        <v>210</v>
      </c>
      <c r="N10" s="59" t="s">
        <v>211</v>
      </c>
      <c r="O10" s="59" t="s">
        <v>212</v>
      </c>
      <c r="Q10" s="60"/>
      <c r="R10" s="60"/>
      <c r="S10" s="60"/>
      <c r="T10" s="60"/>
      <c r="U10" s="60"/>
      <c r="V10" s="60"/>
    </row>
    <row r="11" spans="1:22" x14ac:dyDescent="0.25">
      <c r="A11" s="99">
        <v>45155</v>
      </c>
      <c r="B11" s="59" t="s">
        <v>155</v>
      </c>
      <c r="C11" s="59" t="s">
        <v>159</v>
      </c>
      <c r="D11" s="59" t="s">
        <v>524</v>
      </c>
      <c r="E11" s="59" t="s">
        <v>525</v>
      </c>
      <c r="F11" s="59" t="s">
        <v>8</v>
      </c>
      <c r="G11" s="59" t="s">
        <v>484</v>
      </c>
      <c r="H11" s="59" t="s">
        <v>8</v>
      </c>
      <c r="I11" s="59">
        <v>98</v>
      </c>
      <c r="J11" s="59" t="s">
        <v>160</v>
      </c>
      <c r="K11" s="100">
        <v>0.85416666666666663</v>
      </c>
      <c r="L11" s="59" t="s">
        <v>209</v>
      </c>
      <c r="M11" s="59" t="s">
        <v>104</v>
      </c>
      <c r="N11" s="59" t="s">
        <v>200</v>
      </c>
      <c r="O11" s="59" t="s">
        <v>213</v>
      </c>
      <c r="Q11" s="60"/>
      <c r="R11" s="60"/>
      <c r="S11" s="60"/>
      <c r="T11" s="60"/>
      <c r="U11" s="60"/>
      <c r="V11" s="60"/>
    </row>
    <row r="12" spans="1:22" x14ac:dyDescent="0.25">
      <c r="A12" s="99">
        <v>45156</v>
      </c>
      <c r="B12" s="59" t="s">
        <v>500</v>
      </c>
      <c r="C12" s="59" t="s">
        <v>341</v>
      </c>
      <c r="D12" s="59" t="s">
        <v>501</v>
      </c>
      <c r="E12" s="59">
        <v>5.2999999999999999E-2</v>
      </c>
      <c r="F12" s="59" t="s">
        <v>8</v>
      </c>
      <c r="G12" s="59">
        <v>5.2999999999999999E-2</v>
      </c>
      <c r="H12" s="59" t="s">
        <v>8</v>
      </c>
      <c r="I12" s="59">
        <v>95</v>
      </c>
      <c r="J12" s="59" t="s">
        <v>502</v>
      </c>
      <c r="K12" s="100">
        <v>0.70833333333333337</v>
      </c>
      <c r="L12" s="59" t="s">
        <v>209</v>
      </c>
      <c r="M12" s="59" t="s">
        <v>293</v>
      </c>
      <c r="N12" s="59" t="s">
        <v>503</v>
      </c>
      <c r="O12" s="59" t="s">
        <v>504</v>
      </c>
      <c r="Q12" s="60"/>
      <c r="R12" s="60"/>
      <c r="S12" s="60"/>
      <c r="T12" s="60"/>
      <c r="U12" s="60"/>
      <c r="V12" s="60"/>
    </row>
    <row r="13" spans="1:22" x14ac:dyDescent="0.25">
      <c r="A13" s="99">
        <v>45154</v>
      </c>
      <c r="B13" s="59" t="s">
        <v>500</v>
      </c>
      <c r="C13" s="59" t="s">
        <v>505</v>
      </c>
      <c r="D13" s="59" t="s">
        <v>506</v>
      </c>
      <c r="E13" s="59">
        <v>3.0000000000000001E-3</v>
      </c>
      <c r="F13" s="59" t="s">
        <v>8</v>
      </c>
      <c r="G13" s="59">
        <v>3.0000000000000001E-3</v>
      </c>
      <c r="H13" s="59" t="s">
        <v>8</v>
      </c>
      <c r="I13" s="59">
        <v>93</v>
      </c>
      <c r="J13" s="59" t="s">
        <v>507</v>
      </c>
      <c r="K13" s="100">
        <v>0.70833333333333337</v>
      </c>
      <c r="L13" s="59" t="s">
        <v>209</v>
      </c>
      <c r="M13" s="59" t="s">
        <v>508</v>
      </c>
      <c r="N13" s="59" t="s">
        <v>509</v>
      </c>
      <c r="O13" s="59" t="s">
        <v>510</v>
      </c>
      <c r="Q13" s="60"/>
      <c r="R13" s="60"/>
      <c r="S13" s="60"/>
      <c r="T13" s="60"/>
      <c r="U13" s="60"/>
      <c r="V13" s="60"/>
    </row>
    <row r="14" spans="1:22" x14ac:dyDescent="0.25">
      <c r="A14" s="99">
        <v>45153</v>
      </c>
      <c r="B14" s="59" t="s">
        <v>155</v>
      </c>
      <c r="C14" s="59" t="s">
        <v>526</v>
      </c>
      <c r="D14" s="59" t="s">
        <v>322</v>
      </c>
      <c r="E14" s="59">
        <v>4.0000000000000001E-3</v>
      </c>
      <c r="F14" s="59" t="s">
        <v>8</v>
      </c>
      <c r="G14" s="59">
        <v>2E-3</v>
      </c>
      <c r="H14" s="59" t="s">
        <v>8</v>
      </c>
      <c r="I14" s="59">
        <v>93</v>
      </c>
      <c r="J14" s="59" t="s">
        <v>527</v>
      </c>
      <c r="K14" s="100">
        <v>0.85416666666666663</v>
      </c>
      <c r="L14" s="59" t="s">
        <v>209</v>
      </c>
      <c r="M14" s="59" t="s">
        <v>293</v>
      </c>
      <c r="N14" s="59" t="s">
        <v>294</v>
      </c>
      <c r="O14" s="59" t="s">
        <v>528</v>
      </c>
      <c r="Q14" s="60"/>
      <c r="R14" s="60"/>
      <c r="S14" s="60"/>
      <c r="T14" s="60"/>
      <c r="U14" s="60"/>
      <c r="V14" s="60"/>
    </row>
    <row r="15" spans="1:22" x14ac:dyDescent="0.25">
      <c r="A15" s="99">
        <v>45154</v>
      </c>
      <c r="B15" s="59" t="s">
        <v>155</v>
      </c>
      <c r="C15" s="59" t="s">
        <v>157</v>
      </c>
      <c r="D15" s="59" t="s">
        <v>529</v>
      </c>
      <c r="E15" s="59" t="s">
        <v>8</v>
      </c>
      <c r="F15" s="59" t="s">
        <v>8</v>
      </c>
      <c r="G15" s="59">
        <v>-3.1E-2</v>
      </c>
      <c r="H15" s="59" t="s">
        <v>8</v>
      </c>
      <c r="I15" s="59">
        <v>91</v>
      </c>
      <c r="J15" s="59" t="s">
        <v>158</v>
      </c>
      <c r="K15" s="100">
        <v>0.79166666666666663</v>
      </c>
      <c r="L15" s="59" t="s">
        <v>209</v>
      </c>
      <c r="M15" s="59" t="s">
        <v>104</v>
      </c>
      <c r="N15" s="59" t="s">
        <v>200</v>
      </c>
      <c r="O15" s="59" t="s">
        <v>214</v>
      </c>
      <c r="Q15" s="60"/>
      <c r="R15" s="60"/>
      <c r="S15" s="60"/>
      <c r="T15" s="60"/>
      <c r="U15" s="60"/>
      <c r="V15" s="60"/>
    </row>
    <row r="16" spans="1:22" x14ac:dyDescent="0.25">
      <c r="A16" s="99">
        <v>45154</v>
      </c>
      <c r="B16" s="59" t="s">
        <v>500</v>
      </c>
      <c r="C16" s="59" t="s">
        <v>511</v>
      </c>
      <c r="D16" s="59" t="s">
        <v>506</v>
      </c>
      <c r="E16" s="59">
        <v>6.0000000000000001E-3</v>
      </c>
      <c r="F16" s="59" t="s">
        <v>8</v>
      </c>
      <c r="G16" s="59">
        <v>6.0000000000000001E-3</v>
      </c>
      <c r="H16" s="59" t="s">
        <v>8</v>
      </c>
      <c r="I16" s="59">
        <v>90</v>
      </c>
      <c r="J16" s="59" t="s">
        <v>512</v>
      </c>
      <c r="K16" s="100">
        <v>0.70833333333333337</v>
      </c>
      <c r="L16" s="59" t="s">
        <v>209</v>
      </c>
      <c r="M16" s="59" t="s">
        <v>508</v>
      </c>
      <c r="N16" s="59" t="s">
        <v>509</v>
      </c>
      <c r="O16" s="59" t="s">
        <v>513</v>
      </c>
      <c r="Q16" s="60"/>
      <c r="R16" s="60"/>
      <c r="S16" s="60"/>
      <c r="T16" s="60"/>
      <c r="U16" s="60"/>
      <c r="V16" s="60"/>
    </row>
    <row r="17" spans="1:22" x14ac:dyDescent="0.25">
      <c r="A17" s="99">
        <v>45154</v>
      </c>
      <c r="B17" s="59" t="s">
        <v>155</v>
      </c>
      <c r="C17" s="59" t="s">
        <v>530</v>
      </c>
      <c r="D17" s="59" t="s">
        <v>322</v>
      </c>
      <c r="E17" s="59" t="s">
        <v>531</v>
      </c>
      <c r="F17" s="59" t="s">
        <v>8</v>
      </c>
      <c r="G17" s="59" t="s">
        <v>532</v>
      </c>
      <c r="H17" s="59" t="s">
        <v>8</v>
      </c>
      <c r="I17" s="59">
        <v>90</v>
      </c>
      <c r="J17" s="59" t="s">
        <v>533</v>
      </c>
      <c r="K17" s="100">
        <v>0.85416666666666663</v>
      </c>
      <c r="L17" s="59" t="s">
        <v>209</v>
      </c>
      <c r="M17" s="59" t="s">
        <v>293</v>
      </c>
      <c r="N17" s="59" t="s">
        <v>294</v>
      </c>
      <c r="O17" s="59" t="s">
        <v>534</v>
      </c>
      <c r="Q17" s="60"/>
      <c r="R17" s="60"/>
      <c r="S17" s="60"/>
      <c r="T17" s="60"/>
      <c r="U17" s="60"/>
      <c r="V17" s="60"/>
    </row>
    <row r="18" spans="1:22" x14ac:dyDescent="0.25">
      <c r="A18" s="99">
        <v>45153</v>
      </c>
      <c r="B18" s="59" t="s">
        <v>161</v>
      </c>
      <c r="C18" s="59" t="s">
        <v>488</v>
      </c>
      <c r="D18" s="59" t="s">
        <v>322</v>
      </c>
      <c r="E18" s="59">
        <v>4.2999999999999997E-2</v>
      </c>
      <c r="F18" s="59" t="s">
        <v>8</v>
      </c>
      <c r="G18" s="59">
        <v>4.3999999999999997E-2</v>
      </c>
      <c r="H18" s="59" t="s">
        <v>8</v>
      </c>
      <c r="I18" s="59">
        <v>88</v>
      </c>
      <c r="J18" s="59" t="s">
        <v>489</v>
      </c>
      <c r="K18" s="100">
        <v>0.41666666666666669</v>
      </c>
      <c r="L18" s="59" t="s">
        <v>209</v>
      </c>
      <c r="M18" s="59" t="s">
        <v>293</v>
      </c>
      <c r="N18" s="59" t="s">
        <v>330</v>
      </c>
      <c r="O18" s="59" t="s">
        <v>490</v>
      </c>
    </row>
    <row r="19" spans="1:22" x14ac:dyDescent="0.25">
      <c r="A19" s="99">
        <v>45154</v>
      </c>
      <c r="B19" s="59" t="s">
        <v>155</v>
      </c>
      <c r="C19" s="59" t="s">
        <v>535</v>
      </c>
      <c r="D19" s="59" t="s">
        <v>322</v>
      </c>
      <c r="E19" s="59">
        <v>3.0000000000000001E-3</v>
      </c>
      <c r="F19" s="59" t="s">
        <v>8</v>
      </c>
      <c r="G19" s="59">
        <v>-5.0000000000000001E-3</v>
      </c>
      <c r="H19" s="59" t="s">
        <v>8</v>
      </c>
      <c r="I19" s="59">
        <v>88</v>
      </c>
      <c r="J19" s="59" t="s">
        <v>536</v>
      </c>
      <c r="K19" s="100">
        <v>0.88541666666666663</v>
      </c>
      <c r="L19" s="59" t="s">
        <v>209</v>
      </c>
      <c r="M19" s="59" t="s">
        <v>293</v>
      </c>
      <c r="N19" s="59" t="s">
        <v>294</v>
      </c>
      <c r="O19" s="59" t="s">
        <v>537</v>
      </c>
      <c r="Q19" s="60"/>
      <c r="R19" s="60"/>
      <c r="S19" s="60"/>
      <c r="T19" s="60"/>
      <c r="U19" s="60"/>
      <c r="V19" s="60"/>
    </row>
    <row r="20" spans="1:22" x14ac:dyDescent="0.25">
      <c r="A20" s="99">
        <v>45156</v>
      </c>
      <c r="B20" s="59" t="s">
        <v>500</v>
      </c>
      <c r="C20" s="59" t="s">
        <v>156</v>
      </c>
      <c r="D20" s="59" t="s">
        <v>501</v>
      </c>
      <c r="E20" s="59">
        <v>-1E-3</v>
      </c>
      <c r="F20" s="59" t="s">
        <v>8</v>
      </c>
      <c r="G20" s="59">
        <v>-1E-3</v>
      </c>
      <c r="H20" s="59" t="s">
        <v>8</v>
      </c>
      <c r="I20" s="59">
        <v>85</v>
      </c>
      <c r="J20" s="59" t="s">
        <v>514</v>
      </c>
      <c r="K20" s="100">
        <v>0.70833333333333337</v>
      </c>
      <c r="L20" s="59" t="s">
        <v>209</v>
      </c>
      <c r="M20" s="59" t="s">
        <v>293</v>
      </c>
      <c r="N20" s="59" t="s">
        <v>503</v>
      </c>
      <c r="O20" s="59" t="s">
        <v>515</v>
      </c>
      <c r="V20" s="60"/>
    </row>
    <row r="21" spans="1:22" x14ac:dyDescent="0.25">
      <c r="A21" s="99">
        <v>45153</v>
      </c>
      <c r="B21" s="59" t="s">
        <v>161</v>
      </c>
      <c r="C21" s="59" t="s">
        <v>491</v>
      </c>
      <c r="D21" s="59" t="s">
        <v>322</v>
      </c>
      <c r="E21" s="59">
        <v>0.04</v>
      </c>
      <c r="F21" s="59" t="s">
        <v>8</v>
      </c>
      <c r="G21" s="59">
        <v>3.1E-2</v>
      </c>
      <c r="H21" s="59" t="s">
        <v>8</v>
      </c>
      <c r="I21" s="59">
        <v>84</v>
      </c>
      <c r="J21" s="59" t="s">
        <v>492</v>
      </c>
      <c r="K21" s="100">
        <v>0.41666666666666669</v>
      </c>
      <c r="L21" s="59" t="s">
        <v>209</v>
      </c>
      <c r="M21" s="59" t="s">
        <v>293</v>
      </c>
      <c r="N21" s="59" t="s">
        <v>330</v>
      </c>
      <c r="O21" s="59" t="s">
        <v>493</v>
      </c>
      <c r="V21" s="60"/>
    </row>
    <row r="22" spans="1:22" x14ac:dyDescent="0.25">
      <c r="A22" s="99">
        <v>45153</v>
      </c>
      <c r="B22" s="59" t="s">
        <v>155</v>
      </c>
      <c r="C22" s="59" t="s">
        <v>538</v>
      </c>
      <c r="D22" s="59" t="s">
        <v>520</v>
      </c>
      <c r="E22" s="59">
        <v>-0.7</v>
      </c>
      <c r="F22" s="59" t="s">
        <v>8</v>
      </c>
      <c r="G22" s="59">
        <v>1.1000000000000001</v>
      </c>
      <c r="H22" s="59" t="s">
        <v>8</v>
      </c>
      <c r="I22" s="59">
        <v>83</v>
      </c>
      <c r="J22" s="59" t="s">
        <v>539</v>
      </c>
      <c r="K22" s="100">
        <v>0.85416666666666663</v>
      </c>
      <c r="L22" s="59" t="s">
        <v>209</v>
      </c>
      <c r="M22" s="59" t="s">
        <v>376</v>
      </c>
      <c r="N22" s="59" t="s">
        <v>377</v>
      </c>
      <c r="O22" s="59" t="s">
        <v>540</v>
      </c>
      <c r="V22" s="60"/>
    </row>
    <row r="23" spans="1:22" x14ac:dyDescent="0.25">
      <c r="A23" s="99">
        <v>45155</v>
      </c>
      <c r="B23" s="59" t="s">
        <v>155</v>
      </c>
      <c r="C23" s="59" t="s">
        <v>541</v>
      </c>
      <c r="D23" s="59" t="s">
        <v>322</v>
      </c>
      <c r="E23" s="59">
        <v>-4.0000000000000001E-3</v>
      </c>
      <c r="F23" s="59" t="s">
        <v>8</v>
      </c>
      <c r="G23" s="59">
        <v>-7.0000000000000001E-3</v>
      </c>
      <c r="H23" s="59" t="s">
        <v>8</v>
      </c>
      <c r="I23" s="59">
        <v>82</v>
      </c>
      <c r="J23" s="59" t="s">
        <v>542</v>
      </c>
      <c r="K23" s="100">
        <v>0.91666666666666663</v>
      </c>
      <c r="L23" s="59" t="s">
        <v>209</v>
      </c>
      <c r="M23" s="59" t="s">
        <v>293</v>
      </c>
      <c r="N23" s="59" t="s">
        <v>294</v>
      </c>
      <c r="O23" s="59" t="s">
        <v>543</v>
      </c>
      <c r="V23" s="60"/>
    </row>
    <row r="24" spans="1:22" x14ac:dyDescent="0.25">
      <c r="A24" s="99">
        <v>45156</v>
      </c>
      <c r="B24" s="59" t="s">
        <v>500</v>
      </c>
      <c r="C24" s="59" t="s">
        <v>516</v>
      </c>
      <c r="D24" s="59" t="s">
        <v>501</v>
      </c>
      <c r="E24" s="59">
        <v>5.5E-2</v>
      </c>
      <c r="F24" s="59" t="s">
        <v>8</v>
      </c>
      <c r="G24" s="59">
        <v>5.5E-2</v>
      </c>
      <c r="H24" s="59" t="s">
        <v>8</v>
      </c>
      <c r="I24" s="59">
        <v>71</v>
      </c>
      <c r="J24" s="59" t="s">
        <v>517</v>
      </c>
      <c r="K24" s="100">
        <v>0.70833333333333337</v>
      </c>
      <c r="L24" s="59" t="s">
        <v>209</v>
      </c>
      <c r="M24" s="59" t="s">
        <v>293</v>
      </c>
      <c r="N24" s="59" t="s">
        <v>503</v>
      </c>
      <c r="O24" s="59" t="s">
        <v>518</v>
      </c>
      <c r="Q24" s="60"/>
      <c r="R24" s="60"/>
      <c r="S24" s="60"/>
      <c r="T24" s="60"/>
      <c r="U24" s="60"/>
      <c r="V24" s="60"/>
    </row>
    <row r="25" spans="1:22" x14ac:dyDescent="0.25">
      <c r="A25" s="99">
        <v>45153</v>
      </c>
      <c r="B25" s="59" t="s">
        <v>161</v>
      </c>
      <c r="C25" s="59" t="s">
        <v>494</v>
      </c>
      <c r="D25" s="59" t="s">
        <v>322</v>
      </c>
      <c r="E25" s="59">
        <v>3.7999999999999999E-2</v>
      </c>
      <c r="F25" s="59" t="s">
        <v>8</v>
      </c>
      <c r="G25" s="59">
        <v>3.7999999999999999E-2</v>
      </c>
      <c r="H25" s="59" t="s">
        <v>8</v>
      </c>
      <c r="I25" s="59">
        <v>66</v>
      </c>
      <c r="J25" s="59" t="s">
        <v>495</v>
      </c>
      <c r="K25" s="100">
        <v>0.41666666666666669</v>
      </c>
      <c r="L25" s="59" t="s">
        <v>209</v>
      </c>
      <c r="M25" s="59" t="s">
        <v>293</v>
      </c>
      <c r="N25" s="59" t="s">
        <v>330</v>
      </c>
      <c r="O25" s="59" t="s">
        <v>496</v>
      </c>
      <c r="Q25" s="60"/>
      <c r="R25" s="60"/>
      <c r="S25" s="78"/>
      <c r="T25" s="67"/>
      <c r="U25" s="67"/>
      <c r="V25" s="60"/>
    </row>
    <row r="26" spans="1:22" x14ac:dyDescent="0.25">
      <c r="A26" s="99">
        <v>45153</v>
      </c>
      <c r="B26" s="59" t="s">
        <v>161</v>
      </c>
      <c r="C26" s="59" t="s">
        <v>497</v>
      </c>
      <c r="D26" s="59" t="s">
        <v>322</v>
      </c>
      <c r="E26" s="59">
        <v>3.6999999999999998E-2</v>
      </c>
      <c r="F26" s="59" t="s">
        <v>8</v>
      </c>
      <c r="G26" s="59">
        <v>3.7999999999999999E-2</v>
      </c>
      <c r="H26" s="59" t="s">
        <v>8</v>
      </c>
      <c r="I26" s="59">
        <v>62</v>
      </c>
      <c r="J26" s="59" t="s">
        <v>498</v>
      </c>
      <c r="K26" s="100">
        <v>0.41666666666666669</v>
      </c>
      <c r="L26" s="59" t="s">
        <v>209</v>
      </c>
      <c r="M26" s="59" t="s">
        <v>293</v>
      </c>
      <c r="N26" s="59" t="s">
        <v>330</v>
      </c>
      <c r="O26" s="59" t="s">
        <v>499</v>
      </c>
      <c r="Q26" s="60"/>
      <c r="R26" s="60"/>
      <c r="S26" s="78"/>
      <c r="T26" s="67"/>
      <c r="U26" s="67"/>
      <c r="V26" s="60"/>
    </row>
    <row r="27" spans="1:22" x14ac:dyDescent="0.25">
      <c r="A27" s="99">
        <v>45153</v>
      </c>
      <c r="B27" s="59" t="s">
        <v>500</v>
      </c>
      <c r="C27" s="59" t="s">
        <v>519</v>
      </c>
      <c r="D27" s="59" t="s">
        <v>520</v>
      </c>
      <c r="E27" s="59" t="s">
        <v>8</v>
      </c>
      <c r="F27" s="59" t="s">
        <v>8</v>
      </c>
      <c r="G27" s="59">
        <v>-12.2</v>
      </c>
      <c r="H27" s="59" t="s">
        <v>8</v>
      </c>
      <c r="I27" s="59">
        <v>61</v>
      </c>
      <c r="J27" s="59" t="s">
        <v>521</v>
      </c>
      <c r="K27" s="100">
        <v>0.70833333333333337</v>
      </c>
      <c r="L27" s="59" t="s">
        <v>209</v>
      </c>
      <c r="M27" s="59" t="s">
        <v>376</v>
      </c>
      <c r="N27" s="59" t="s">
        <v>522</v>
      </c>
      <c r="O27" s="59" t="s">
        <v>523</v>
      </c>
      <c r="Q27" s="60"/>
      <c r="R27" s="60"/>
      <c r="S27" s="78"/>
      <c r="T27" s="67"/>
      <c r="U27" s="67"/>
      <c r="V27" s="60"/>
    </row>
    <row r="28" spans="1:22" x14ac:dyDescent="0.25">
      <c r="Q28" s="60"/>
      <c r="R28" s="60"/>
      <c r="S28" s="78"/>
      <c r="T28" s="67"/>
      <c r="U28" s="67"/>
    </row>
    <row r="29" spans="1:22" x14ac:dyDescent="0.25">
      <c r="A29" s="79"/>
      <c r="K29" s="77"/>
      <c r="Q29" s="60"/>
      <c r="R29" s="60"/>
      <c r="S29" s="78"/>
      <c r="T29" s="67"/>
      <c r="U29" s="67"/>
    </row>
    <row r="30" spans="1:22" x14ac:dyDescent="0.25">
      <c r="A30" s="79"/>
      <c r="K30" s="77"/>
      <c r="Q30" s="60"/>
      <c r="R30" s="60"/>
      <c r="S30" s="78"/>
      <c r="T30" s="67"/>
      <c r="U30" s="67"/>
    </row>
    <row r="31" spans="1:22" x14ac:dyDescent="0.25">
      <c r="A31" s="79"/>
      <c r="K31" s="77"/>
    </row>
    <row r="32" spans="1:22" x14ac:dyDescent="0.25">
      <c r="A32" s="79"/>
      <c r="K32" s="77"/>
    </row>
    <row r="33" spans="1:11" x14ac:dyDescent="0.25">
      <c r="A33" s="79"/>
      <c r="K33" s="77"/>
    </row>
    <row r="34" spans="1:11" x14ac:dyDescent="0.25">
      <c r="A34" s="79"/>
      <c r="K34" s="77"/>
    </row>
    <row r="35" spans="1:11" x14ac:dyDescent="0.25">
      <c r="A35" s="79"/>
      <c r="K35" s="77"/>
    </row>
    <row r="36" spans="1:11" x14ac:dyDescent="0.25">
      <c r="A36" s="79"/>
      <c r="K36" s="77"/>
    </row>
    <row r="37" spans="1:11" x14ac:dyDescent="0.25">
      <c r="A37" s="79"/>
      <c r="K37" s="77"/>
    </row>
    <row r="38" spans="1:11" x14ac:dyDescent="0.25">
      <c r="A38" s="79"/>
      <c r="K38" s="77"/>
    </row>
    <row r="39" spans="1:11" x14ac:dyDescent="0.25">
      <c r="A39" s="79"/>
      <c r="K39" s="77"/>
    </row>
    <row r="40" spans="1:11" x14ac:dyDescent="0.25">
      <c r="A40" s="79"/>
      <c r="K40" s="77"/>
    </row>
    <row r="41" spans="1:11" x14ac:dyDescent="0.25">
      <c r="A41" s="79"/>
      <c r="K41" s="77"/>
    </row>
  </sheetData>
  <conditionalFormatting sqref="I29:I41 I11:I27">
    <cfRule type="dataBar" priority="2">
      <dataBar>
        <cfvo type="num" val="50"/>
        <cfvo type="num" val="100"/>
        <color rgb="FFF4EBE0"/>
      </dataBar>
      <extLst>
        <ext xmlns:x14="http://schemas.microsoft.com/office/spreadsheetml/2009/9/main" uri="{B025F937-C7B1-47D3-B67F-A62EFF666E3E}">
          <x14:id>{40B6F04A-DD4C-48B9-9DC1-BD707B9C6366}</x14:id>
        </ext>
      </extLst>
    </cfRule>
  </conditionalFormatting>
  <dataValidations count="1">
    <dataValidation type="list" allowBlank="1" showInputMessage="1" showErrorMessage="1" sqref="H1" xr:uid="{190CA822-8438-459E-9664-4295D566F166}">
      <formula1>dd_econfuture</formula1>
    </dataValidation>
  </dataValidations>
  <pageMargins left="0.7" right="0.7" top="0.75" bottom="0.75" header="0.3" footer="0.3"/>
  <pageSetup orientation="portrait" r:id="rId1"/>
  <legacyDrawing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x14:cfRule type="dataBar" id="{40B6F04A-DD4C-48B9-9DC1-BD707B9C6366}">
            <x14:dataBar minLength="0" maxLength="100" border="1" negativeBarBorderColorSameAsPositive="0">
              <x14:cfvo type="num">
                <xm:f>50</xm:f>
              </x14:cfvo>
              <x14:cfvo type="num">
                <xm:f>100</xm:f>
              </x14:cfvo>
              <x14:borderColor rgb="FFC69E62"/>
              <x14:negativeFillColor rgb="FFFF0000"/>
              <x14:negativeBorderColor rgb="FFFF0000"/>
              <x14:axisColor rgb="FF000000"/>
            </x14:dataBar>
          </x14:cfRule>
          <xm:sqref>I29:I41 I11:I27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rgb="FFF4EBE0"/>
  </sheetPr>
  <dimension ref="A1:S30"/>
  <sheetViews>
    <sheetView zoomScale="130" zoomScaleNormal="130" workbookViewId="0">
      <selection activeCell="O14" sqref="O14"/>
    </sheetView>
  </sheetViews>
  <sheetFormatPr defaultColWidth="8.88671875" defaultRowHeight="18.75" customHeight="1" x14ac:dyDescent="0.25"/>
  <cols>
    <col min="1" max="1" width="5.6640625" style="4" customWidth="1"/>
    <col min="2" max="2" width="5" style="4" bestFit="1" customWidth="1"/>
    <col min="3" max="3" width="5.33203125" style="4" bestFit="1" customWidth="1" collapsed="1"/>
    <col min="4" max="4" width="1.21875" style="4" customWidth="1"/>
    <col min="5" max="5" width="11.21875" style="4" bestFit="1" customWidth="1"/>
    <col min="6" max="6" width="11.33203125" style="4" bestFit="1" customWidth="1"/>
    <col min="7" max="8" width="19.33203125" style="4" customWidth="1"/>
    <col min="9" max="13" width="2.88671875" style="4" customWidth="1"/>
    <col min="14" max="14" width="11.44140625" style="4" customWidth="1"/>
    <col min="15" max="15" width="17.5546875" style="4" bestFit="1" customWidth="1"/>
    <col min="16" max="16" width="13.44140625" style="4" bestFit="1" customWidth="1"/>
    <col min="17" max="17" width="9.5546875" style="4" bestFit="1" customWidth="1"/>
    <col min="18" max="18" width="31.6640625" style="4" bestFit="1" customWidth="1"/>
    <col min="19" max="19" width="13.109375" style="4" bestFit="1" customWidth="1"/>
    <col min="20" max="20" width="16.21875" style="4" bestFit="1" customWidth="1"/>
    <col min="21" max="21" width="17.109375" style="4" bestFit="1" customWidth="1"/>
    <col min="22" max="22" width="11.21875" style="4" bestFit="1" customWidth="1"/>
    <col min="23" max="23" width="7.88671875" style="4" bestFit="1" customWidth="1"/>
    <col min="24" max="24" width="13.33203125" style="4" bestFit="1" customWidth="1"/>
    <col min="25" max="25" width="6.109375" style="4" bestFit="1" customWidth="1"/>
    <col min="26" max="26" width="7.88671875" style="4" bestFit="1" customWidth="1"/>
    <col min="27" max="28" width="11.21875" style="4" bestFit="1" customWidth="1"/>
    <col min="29" max="29" width="7.88671875" style="4" bestFit="1" customWidth="1"/>
    <col min="30" max="16384" width="8.88671875" style="4"/>
  </cols>
  <sheetData>
    <row r="1" spans="1:19" ht="67.5" customHeight="1" x14ac:dyDescent="0.25">
      <c r="A1" s="9" t="s">
        <v>175</v>
      </c>
      <c r="C1" s="10"/>
      <c r="E1" s="35" t="s">
        <v>119</v>
      </c>
      <c r="F1" s="35" t="s">
        <v>122</v>
      </c>
      <c r="G1" s="36" t="s">
        <v>123</v>
      </c>
      <c r="H1" s="36" t="s">
        <v>132</v>
      </c>
      <c r="N1" s="32"/>
      <c r="O1" s="32"/>
      <c r="P1" s="32"/>
      <c r="Q1" s="32"/>
      <c r="R1" s="32"/>
      <c r="S1" s="32"/>
    </row>
    <row r="2" spans="1:19" ht="15" x14ac:dyDescent="0.25">
      <c r="E2" s="37" t="s">
        <v>56</v>
      </c>
      <c r="F2" s="38" t="s">
        <v>118</v>
      </c>
      <c r="G2" s="39"/>
      <c r="H2" s="39"/>
    </row>
    <row r="3" spans="1:19" ht="15" x14ac:dyDescent="0.25">
      <c r="E3" s="37" t="s">
        <v>57</v>
      </c>
      <c r="F3" s="40">
        <v>44998</v>
      </c>
      <c r="G3" s="41"/>
      <c r="H3" s="41"/>
    </row>
    <row r="4" spans="1:19" ht="15" x14ac:dyDescent="0.25">
      <c r="E4" s="37" t="s">
        <v>106</v>
      </c>
      <c r="F4" s="38" t="s">
        <v>188</v>
      </c>
      <c r="G4" s="39"/>
      <c r="H4" s="39"/>
    </row>
    <row r="5" spans="1:19" ht="15" x14ac:dyDescent="0.25">
      <c r="E5" s="37" t="s">
        <v>99</v>
      </c>
      <c r="F5" s="38" t="s">
        <v>32</v>
      </c>
      <c r="G5" s="39"/>
      <c r="H5" s="39"/>
    </row>
    <row r="6" spans="1:19" ht="15" x14ac:dyDescent="0.25">
      <c r="E6" s="139" t="s">
        <v>296</v>
      </c>
      <c r="F6" s="38" t="s">
        <v>2</v>
      </c>
      <c r="G6" s="39"/>
      <c r="H6" s="39"/>
    </row>
    <row r="7" spans="1:19" ht="15" x14ac:dyDescent="0.25">
      <c r="E7" s="37" t="s">
        <v>37</v>
      </c>
      <c r="F7" s="38" t="s">
        <v>38</v>
      </c>
      <c r="G7" s="39"/>
      <c r="H7" s="39"/>
    </row>
    <row r="8" spans="1:19" ht="15" x14ac:dyDescent="0.25">
      <c r="E8" s="37" t="s">
        <v>176</v>
      </c>
      <c r="F8" s="42" t="s">
        <v>93</v>
      </c>
      <c r="G8" s="39"/>
      <c r="H8" s="43"/>
    </row>
    <row r="9" spans="1:19" ht="15" x14ac:dyDescent="0.25">
      <c r="E9" s="37" t="s">
        <v>105</v>
      </c>
      <c r="F9" s="38" t="s">
        <v>140</v>
      </c>
      <c r="G9" s="39"/>
      <c r="H9" s="39"/>
    </row>
    <row r="10" spans="1:19" ht="15" x14ac:dyDescent="0.25">
      <c r="E10" s="37" t="s">
        <v>73</v>
      </c>
      <c r="F10" s="38" t="s">
        <v>95</v>
      </c>
      <c r="G10" s="39"/>
      <c r="H10" s="39"/>
    </row>
    <row r="11" spans="1:19" ht="15" x14ac:dyDescent="0.25">
      <c r="E11" s="37" t="s">
        <v>66</v>
      </c>
      <c r="F11" s="38">
        <v>0.6</v>
      </c>
      <c r="G11" s="39"/>
      <c r="H11" s="39"/>
    </row>
    <row r="12" spans="1:19" ht="15" x14ac:dyDescent="0.25">
      <c r="E12" s="37" t="s">
        <v>60</v>
      </c>
      <c r="F12" s="44" t="s">
        <v>219</v>
      </c>
      <c r="G12" s="45"/>
      <c r="H12" s="46"/>
    </row>
    <row r="13" spans="1:19" ht="15" x14ac:dyDescent="0.25">
      <c r="E13" s="37" t="s">
        <v>97</v>
      </c>
      <c r="F13" s="38">
        <v>3</v>
      </c>
      <c r="G13" s="39"/>
      <c r="H13" s="39"/>
    </row>
    <row r="14" spans="1:19" ht="15" x14ac:dyDescent="0.25">
      <c r="E14" s="37" t="s">
        <v>173</v>
      </c>
      <c r="F14" s="42" t="s">
        <v>8</v>
      </c>
      <c r="G14" s="47"/>
      <c r="H14" s="47"/>
    </row>
    <row r="15" spans="1:19" ht="15" x14ac:dyDescent="0.25">
      <c r="E15" s="37" t="s">
        <v>174</v>
      </c>
      <c r="F15" s="48">
        <v>7.5999999999999998E-2</v>
      </c>
      <c r="G15" s="47"/>
      <c r="H15" s="43"/>
    </row>
    <row r="16" spans="1:19" ht="15" x14ac:dyDescent="0.25">
      <c r="E16" s="37" t="s">
        <v>103</v>
      </c>
      <c r="F16" s="49" t="s">
        <v>102</v>
      </c>
      <c r="G16" s="39"/>
      <c r="H16" s="39"/>
    </row>
    <row r="17" spans="5:16" ht="46.5" x14ac:dyDescent="0.25">
      <c r="E17" s="37" t="s">
        <v>100</v>
      </c>
      <c r="F17" s="38" t="s">
        <v>44</v>
      </c>
      <c r="G17" s="39"/>
      <c r="H17" s="39"/>
      <c r="O17" s="64"/>
      <c r="P17" s="8"/>
    </row>
    <row r="18" spans="5:16" ht="15" x14ac:dyDescent="0.25">
      <c r="E18" s="37" t="s">
        <v>49</v>
      </c>
      <c r="F18" s="38"/>
      <c r="G18" s="39"/>
      <c r="H18" s="39"/>
    </row>
    <row r="19" spans="5:16" ht="15" x14ac:dyDescent="0.25">
      <c r="E19" s="37" t="s">
        <v>192</v>
      </c>
      <c r="F19" s="42"/>
      <c r="G19" s="39"/>
      <c r="H19" s="43"/>
    </row>
    <row r="20" spans="5:16" ht="15" x14ac:dyDescent="0.25">
      <c r="E20" s="66" t="s">
        <v>226</v>
      </c>
      <c r="F20" s="42" t="s">
        <v>8</v>
      </c>
      <c r="G20" s="39"/>
      <c r="H20" s="43"/>
    </row>
    <row r="21" spans="5:16" ht="15" x14ac:dyDescent="0.25">
      <c r="E21" s="66" t="s">
        <v>224</v>
      </c>
      <c r="F21" s="50" t="str">
        <f>IFERROR(VLOOKUP(VLOOKUP("货币",tbl_extra_isin[],COLUMN()-COLUMN(tbl_extra_isin[[#This Row],[List]])+1,FALSE),#REF!,2,FALSE)*VLOOKUP("发行规模(亿)",tbl_extra_isin[],COLUMN()-COLUMN(tbl_extra_isin[[#This Row],[List]])+1,FALSE),"")</f>
        <v/>
      </c>
      <c r="G21" s="50" t="str">
        <f>IFERROR(VLOOKUP(VLOOKUP("货币",tbl_extra_isin[],COLUMN()-COLUMN(tbl_extra_isin[[#This Row],[List]])+1,FALSE),#REF!,2,FALSE)*VLOOKUP("发行规模(亿)",tbl_extra_isin[],COLUMN()-COLUMN(tbl_extra_isin[[#This Row],[List]])+1,FALSE),"")</f>
        <v/>
      </c>
      <c r="H21" s="50" t="str">
        <f>IFERROR(VLOOKUP(VLOOKUP("货币",tbl_extra_isin[],COLUMN()-COLUMN(tbl_extra_isin[[#This Row],[List]])+1,FALSE),#REF!,2,FALSE)*VLOOKUP("发行规模(亿)",tbl_extra_isin[],COLUMN()-COLUMN(tbl_extra_isin[[#This Row],[List]])+1,FALSE),"")</f>
        <v/>
      </c>
    </row>
    <row r="22" spans="5:16" ht="15" x14ac:dyDescent="0.25">
      <c r="E22" s="37" t="s">
        <v>98</v>
      </c>
      <c r="F22" s="50" t="str">
        <f>SUBSTITUTE(SUBSTITUTE(IFERROR(IF(F14&lt;&gt;"--",TEXT(F14,"0.00%")&amp;"a","--"),"--"),"0.00%a","--"),"aa","a")</f>
        <v>--</v>
      </c>
      <c r="G22" s="50" t="str">
        <f t="shared" ref="G22:H22" si="0">SUBSTITUTE(SUBSTITUTE(IFERROR(IF(G14&lt;&gt;"--",TEXT(G14,"0.00%")&amp;"a","--"),"--"),"0.00%a","--"),"aa","a")</f>
        <v>--</v>
      </c>
      <c r="H22" s="50" t="str">
        <f t="shared" si="0"/>
        <v>--</v>
      </c>
    </row>
    <row r="23" spans="5:16" ht="15" x14ac:dyDescent="0.25">
      <c r="E23" s="37" t="s">
        <v>62</v>
      </c>
      <c r="F23" s="50" t="str">
        <f>IF(ISNUMBER(F15),TEXT(F15,"0.00%"),IF(ISBLANK(F15),"--","--"))</f>
        <v>7.60%</v>
      </c>
      <c r="G23" s="50" t="str">
        <f t="shared" ref="G23:H23" si="1">IF(ISNUMBER(G15),TEXT(G15,"0.00%"),IF(ISBLANK(G15),"--","--"))</f>
        <v>--</v>
      </c>
      <c r="H23" s="50" t="str">
        <f t="shared" si="1"/>
        <v>--</v>
      </c>
    </row>
    <row r="24" spans="5:16" ht="15" x14ac:dyDescent="0.25">
      <c r="E24" s="37" t="s">
        <v>144</v>
      </c>
      <c r="F24" s="50" t="str">
        <f t="shared" ref="F24" si="2">SUBSTITUTE(TEXT(F12,"0.00%"),"0.00%","")</f>
        <v>4.20%</v>
      </c>
      <c r="G24" s="50" t="str">
        <f>SUBSTITUTE(TEXT(G12,"0.00%"),"0.00%","")</f>
        <v/>
      </c>
      <c r="H24" s="50" t="str">
        <f t="shared" ref="H24" si="3">SUBSTITUTE(TEXT(H12,"0.00%"),"0.00%","")</f>
        <v/>
      </c>
    </row>
    <row r="25" spans="5:16" ht="15" x14ac:dyDescent="0.25">
      <c r="E25" s="37" t="s">
        <v>55</v>
      </c>
      <c r="F25" s="51" t="str">
        <f>F4&amp;" "&amp;F10</f>
        <v>信用主体全名 USD</v>
      </c>
      <c r="G25" s="51" t="str">
        <f>G4&amp;" "&amp;G10</f>
        <v xml:space="preserve"> </v>
      </c>
      <c r="H25" s="51" t="str">
        <f>H4&amp;" "&amp;H10</f>
        <v xml:space="preserve"> </v>
      </c>
    </row>
    <row r="26" spans="5:16" ht="15" x14ac:dyDescent="0.25">
      <c r="E26" s="37" t="s">
        <v>138</v>
      </c>
      <c r="F26" s="51" t="str">
        <f>IF(ISNUMBER(MATCH(VLOOKUP("ISIN",tbl_extra_isin[],COLUMN()-COLUMN(tbl_extra_isin[[#This Row],[List]])+1,FALSE),#REF!,0)),"-[Dupe]","")</f>
        <v/>
      </c>
      <c r="G26" s="51" t="str">
        <f>IF(ISNUMBER(MATCH(VLOOKUP("ISIN",tbl_extra_isin[],COLUMN()-COLUMN(tbl_extra_isin[[#This Row],[List]])+1,FALSE),#REF!,0)),"-[Dupe]","")</f>
        <v/>
      </c>
      <c r="H26" s="51" t="str">
        <f>IF(ISNUMBER(MATCH(VLOOKUP("ISIN",tbl_extra_isin[],COLUMN()-COLUMN(tbl_extra_isin[[#This Row],[List]])+1,FALSE),#REF!,0)),"-[Dupe]","")</f>
        <v/>
      </c>
    </row>
    <row r="27" spans="5:16" ht="15" x14ac:dyDescent="0.25"/>
    <row r="28" spans="5:16" ht="15" x14ac:dyDescent="0.25"/>
    <row r="29" spans="5:16" ht="15" x14ac:dyDescent="0.25"/>
    <row r="30" spans="5:16" ht="15" x14ac:dyDescent="0.25"/>
  </sheetData>
  <phoneticPr fontId="17" type="noConversion"/>
  <dataValidations count="14">
    <dataValidation type="list" allowBlank="1" showInputMessage="1" showErrorMessage="1" sqref="F10:H10" xr:uid="{00000000-0002-0000-0800-000000000000}">
      <formula1>dd_crcy</formula1>
    </dataValidation>
    <dataValidation type="list" allowBlank="1" showInputMessage="1" showErrorMessage="1" sqref="F5:H5" xr:uid="{00000000-0002-0000-0800-000001000000}">
      <formula1>dd_region</formula1>
    </dataValidation>
    <dataValidation type="decimal" allowBlank="1" showInputMessage="1" showErrorMessage="1" promptTitle="发行规模" prompt="单位：亿" sqref="F11:H11" xr:uid="{00000000-0002-0000-0800-000002000000}">
      <formula1>0.1</formula1>
      <formula2>20</formula2>
    </dataValidation>
    <dataValidation type="list" allowBlank="1" showInputMessage="1" showErrorMessage="1" sqref="F7:H7" xr:uid="{00000000-0002-0000-0800-000003000000}">
      <formula1>dd_theme</formula1>
    </dataValidation>
    <dataValidation type="list" allowBlank="1" showInputMessage="1" showErrorMessage="1" sqref="F17:H17" xr:uid="{00000000-0002-0000-0800-000004000000}">
      <formula1>dd_structure</formula1>
    </dataValidation>
    <dataValidation type="list" allowBlank="1" showInputMessage="1" showErrorMessage="1" sqref="F6:H6" xr:uid="{00000000-0002-0000-0800-000005000000}">
      <formula1>dd_sector</formula1>
    </dataValidation>
    <dataValidation type="list" allowBlank="1" showInputMessage="1" showErrorMessage="1" sqref="F9:H9" xr:uid="{00000000-0002-0000-0800-000006000000}">
      <formula1>dd_byrtg</formula1>
    </dataValidation>
    <dataValidation allowBlank="1" showInputMessage="1" showErrorMessage="1" promptTitle="债项评级" prompt="M/S/F_x000a_--/--/--" sqref="F8:H8" xr:uid="{00000000-0002-0000-0800-000007000000}"/>
    <dataValidation allowBlank="1" showInputMessage="1" showErrorMessage="1" promptTitle="IPG" prompt="1）如无，填--_x000a_2）不需加&quot;a&quot;, e.g._x000a_T+150_x000a_7.5%_x000a__x000a_" sqref="F14:H14" xr:uid="{00000000-0002-0000-0800-000008000000}"/>
    <dataValidation type="list" allowBlank="1" showInputMessage="1" showErrorMessage="1" promptTitle="is_bocom deal? 参与承销的交行主体" prompt="--代表未参与_x000a_BISL及港分：共同参与且未合名_x000a_BISL及港分【合名】：使用combined marketing name" sqref="F19:H19" xr:uid="{00000000-0002-0000-0800-000009000000}">
      <formula1>dd_bocomdeal</formula1>
    </dataValidation>
    <dataValidation type="list" allowBlank="1" showInputMessage="1" showErrorMessage="1" promptTitle="IS_FIMTN" prompt="Y =excluded from deal list" sqref="F20:H20" xr:uid="{00000000-0002-0000-0800-00000A000000}">
      <formula1>dd_fi_shortlisted</formula1>
    </dataValidation>
    <dataValidation type="list" allowBlank="1" showInputMessage="1" showErrorMessage="1" sqref="F16:H16" xr:uid="{00000000-0002-0000-0800-00000B000000}">
      <formula1>dd_listing</formula1>
    </dataValidation>
    <dataValidation allowBlank="1" showInputMessage="1" showErrorMessage="1" promptTitle="全名" prompt="信用主体的全名" sqref="G4:H4" xr:uid="{00000000-0002-0000-0800-00000C000000}"/>
    <dataValidation allowBlank="1" showInputMessage="1" showErrorMessage="1" promptTitle="票面利率" prompt="例：4.2%" sqref="F12:H12" xr:uid="{00000000-0002-0000-0800-00000D000000}"/>
  </dataValidations>
  <pageMargins left="0.7" right="0.7"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1">
        <x14:dataValidation type="date" allowBlank="1" showInputMessage="1" showErrorMessage="1" xr:uid="{00000000-0002-0000-0800-00000E000000}">
          <x14:formula1>
            <xm:f>DOWNLOAD!$I$2-7</xm:f>
          </x14:formula1>
          <x14:formula2>
            <xm:f>DOWNLOAD!$I$2</xm:f>
          </x14:formula2>
          <xm:sqref>G3:H3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48DF73-1FD4-4755-95D3-FC17EEC2FBAE}">
  <sheetPr codeName="Sheet10"/>
  <dimension ref="A1:BQ10"/>
  <sheetViews>
    <sheetView workbookViewId="0">
      <selection activeCell="E20" sqref="E20"/>
    </sheetView>
  </sheetViews>
  <sheetFormatPr defaultRowHeight="15" x14ac:dyDescent="0.25"/>
  <cols>
    <col min="1" max="1" width="25.88671875" style="1" bestFit="1" customWidth="1"/>
    <col min="2" max="2" width="20" style="1" bestFit="1" customWidth="1"/>
    <col min="3" max="3" width="13.21875" style="1" bestFit="1" customWidth="1"/>
    <col min="4" max="4" width="9.33203125" style="1" bestFit="1" customWidth="1"/>
    <col min="5" max="5" width="36.88671875" style="1" bestFit="1" customWidth="1"/>
    <col min="6" max="6" width="10" style="1" bestFit="1" customWidth="1"/>
    <col min="7" max="7" width="12.5546875" style="1" bestFit="1" customWidth="1"/>
    <col min="8" max="8" width="9.21875" style="1" bestFit="1" customWidth="1"/>
    <col min="9" max="9" width="12" style="1" bestFit="1" customWidth="1"/>
    <col min="10" max="10" width="5.88671875" style="1" bestFit="1" customWidth="1"/>
    <col min="11" max="11" width="12" style="1" bestFit="1" customWidth="1"/>
    <col min="12" max="12" width="12.5546875" style="1" bestFit="1" customWidth="1"/>
    <col min="13" max="14" width="9.33203125" style="1" bestFit="1" customWidth="1"/>
    <col min="15" max="15" width="9.44140625" style="1" bestFit="1" customWidth="1"/>
    <col min="16" max="16" width="10" style="1" bestFit="1" customWidth="1"/>
    <col min="17" max="17" width="12.5546875" style="1" bestFit="1" customWidth="1"/>
    <col min="18" max="18" width="9.21875" style="1" bestFit="1" customWidth="1"/>
    <col min="19" max="19" width="9.5546875" style="1" bestFit="1" customWidth="1"/>
    <col min="20" max="20" width="31.5546875" style="1" bestFit="1" customWidth="1"/>
    <col min="21" max="21" width="14.88671875" style="1" bestFit="1" customWidth="1"/>
    <col min="22" max="22" width="7.5546875" style="1" bestFit="1" customWidth="1"/>
    <col min="23" max="23" width="9.21875" style="1" bestFit="1" customWidth="1"/>
    <col min="24" max="24" width="6" style="1" bestFit="1" customWidth="1"/>
    <col min="25" max="25" width="7.6640625" style="1" bestFit="1" customWidth="1"/>
    <col min="26" max="26" width="5.88671875" style="1" bestFit="1" customWidth="1"/>
    <col min="27" max="27" width="10.33203125" style="1" bestFit="1" customWidth="1"/>
    <col min="28" max="30" width="9.21875" style="1" bestFit="1" customWidth="1"/>
    <col min="31" max="31" width="80.88671875" style="1" bestFit="1" customWidth="1"/>
    <col min="32" max="33" width="9.21875" style="1" bestFit="1" customWidth="1"/>
    <col min="34" max="35" width="12.5546875" style="1" bestFit="1" customWidth="1"/>
    <col min="36" max="36" width="5.88671875" style="1" bestFit="1" customWidth="1"/>
    <col min="37" max="37" width="9.88671875" style="1" bestFit="1" customWidth="1"/>
    <col min="38" max="38" width="11" style="1" bestFit="1" customWidth="1"/>
    <col min="39" max="39" width="9.21875" style="1" bestFit="1" customWidth="1"/>
    <col min="40" max="40" width="12.5546875" style="1" bestFit="1" customWidth="1"/>
    <col min="41" max="41" width="72.5546875" style="1" bestFit="1" customWidth="1"/>
    <col min="42" max="42" width="30.77734375" style="1" bestFit="1" customWidth="1"/>
    <col min="43" max="43" width="80.88671875" style="1" bestFit="1" customWidth="1"/>
    <col min="44" max="44" width="8.44140625" style="1" bestFit="1" customWidth="1"/>
    <col min="45" max="45" width="12.5546875" style="1" bestFit="1" customWidth="1"/>
    <col min="46" max="46" width="9.33203125" style="1" bestFit="1" customWidth="1"/>
    <col min="47" max="47" width="9.21875" style="1" bestFit="1" customWidth="1"/>
    <col min="48" max="48" width="10.88671875" style="1" bestFit="1" customWidth="1"/>
    <col min="49" max="49" width="12.5546875" style="1" bestFit="1" customWidth="1"/>
    <col min="50" max="50" width="9.21875" style="1" bestFit="1" customWidth="1"/>
    <col min="51" max="51" width="10.88671875" style="1" bestFit="1" customWidth="1"/>
    <col min="52" max="52" width="65.44140625" style="1" bestFit="1" customWidth="1"/>
    <col min="53" max="53" width="24.6640625" style="1" bestFit="1" customWidth="1"/>
    <col min="54" max="54" width="10.88671875" style="1" bestFit="1" customWidth="1"/>
    <col min="55" max="55" width="10.21875" style="1" bestFit="1" customWidth="1"/>
    <col min="56" max="56" width="9.33203125" style="1" bestFit="1" customWidth="1"/>
    <col min="57" max="57" width="19" style="1" bestFit="1" customWidth="1"/>
    <col min="58" max="59" width="80.88671875" style="1" bestFit="1" customWidth="1"/>
    <col min="60" max="60" width="10.88671875" style="1" bestFit="1" customWidth="1"/>
    <col min="61" max="66" width="9.21875" style="1" bestFit="1" customWidth="1"/>
    <col min="67" max="67" width="14.21875" style="1" bestFit="1" customWidth="1"/>
    <col min="68" max="68" width="5.88671875" style="1" bestFit="1" customWidth="1"/>
    <col min="69" max="73" width="19.33203125" style="1" bestFit="1" customWidth="1"/>
    <col min="74" max="74" width="6.109375" style="1" bestFit="1" customWidth="1"/>
    <col min="75" max="75" width="19.44140625" style="1" bestFit="1" customWidth="1"/>
    <col min="76" max="16384" width="8.88671875" style="1"/>
  </cols>
  <sheetData>
    <row r="1" spans="1:69" ht="67.5" customHeight="1" x14ac:dyDescent="0.25">
      <c r="A1" s="6" t="s">
        <v>589</v>
      </c>
    </row>
    <row r="5" spans="1:69" x14ac:dyDescent="0.25">
      <c r="A5" s="128" t="s">
        <v>106</v>
      </c>
      <c r="B5" s="128" t="s">
        <v>390</v>
      </c>
      <c r="C5" s="128" t="s">
        <v>56</v>
      </c>
      <c r="D5" s="128" t="s">
        <v>57</v>
      </c>
      <c r="E5" s="128" t="s">
        <v>55</v>
      </c>
      <c r="F5" s="128" t="s">
        <v>110</v>
      </c>
      <c r="G5" s="128" t="s">
        <v>111</v>
      </c>
      <c r="H5" s="128" t="s">
        <v>58</v>
      </c>
      <c r="I5" s="128" t="s">
        <v>66</v>
      </c>
      <c r="J5" s="128" t="s">
        <v>73</v>
      </c>
      <c r="K5" s="128" t="s">
        <v>67</v>
      </c>
      <c r="L5" s="128" t="s">
        <v>60</v>
      </c>
      <c r="M5" s="128" t="s">
        <v>61</v>
      </c>
      <c r="N5" s="128" t="s">
        <v>112</v>
      </c>
      <c r="O5" s="128" t="s">
        <v>267</v>
      </c>
      <c r="P5" s="128" t="s">
        <v>268</v>
      </c>
      <c r="Q5" s="128" t="s">
        <v>63</v>
      </c>
      <c r="R5" s="128" t="s">
        <v>255</v>
      </c>
      <c r="S5" s="128" t="s">
        <v>391</v>
      </c>
      <c r="T5" s="128" t="s">
        <v>64</v>
      </c>
      <c r="U5" s="128" t="s">
        <v>65</v>
      </c>
      <c r="V5" s="128" t="s">
        <v>68</v>
      </c>
      <c r="W5" s="128" t="s">
        <v>69</v>
      </c>
      <c r="X5" s="128" t="s">
        <v>107</v>
      </c>
      <c r="Y5" s="128" t="s">
        <v>53</v>
      </c>
      <c r="Z5" s="128" t="s">
        <v>54</v>
      </c>
      <c r="AA5" s="128" t="s">
        <v>170</v>
      </c>
      <c r="AB5" s="128" t="s">
        <v>70</v>
      </c>
      <c r="AC5" s="128" t="s">
        <v>71</v>
      </c>
      <c r="AD5" s="128" t="s">
        <v>72</v>
      </c>
      <c r="AE5" s="128" t="s">
        <v>74</v>
      </c>
      <c r="AF5" s="128" t="s">
        <v>52</v>
      </c>
      <c r="AG5" s="128" t="s">
        <v>108</v>
      </c>
      <c r="AH5" s="128" t="s">
        <v>227</v>
      </c>
      <c r="AI5" s="128" t="s">
        <v>59</v>
      </c>
      <c r="AJ5" s="128" t="s">
        <v>51</v>
      </c>
      <c r="AK5" s="128" t="s">
        <v>286</v>
      </c>
      <c r="AL5" s="128" t="s">
        <v>50</v>
      </c>
      <c r="AM5" s="128" t="s">
        <v>109</v>
      </c>
      <c r="AN5" s="128" t="s">
        <v>287</v>
      </c>
      <c r="AO5" s="128" t="s">
        <v>288</v>
      </c>
      <c r="AP5" s="128" t="s">
        <v>289</v>
      </c>
      <c r="AQ5" s="128" t="s">
        <v>290</v>
      </c>
      <c r="AR5" s="128" t="s">
        <v>75</v>
      </c>
      <c r="AS5" s="128" t="s">
        <v>113</v>
      </c>
      <c r="AT5" s="128" t="s">
        <v>76</v>
      </c>
      <c r="AU5" s="128" t="s">
        <v>114</v>
      </c>
      <c r="AV5" s="128" t="s">
        <v>77</v>
      </c>
      <c r="AW5" s="128" t="s">
        <v>115</v>
      </c>
      <c r="AX5" s="128" t="s">
        <v>78</v>
      </c>
      <c r="AY5" s="128" t="s">
        <v>79</v>
      </c>
      <c r="AZ5" s="128" t="s">
        <v>80</v>
      </c>
      <c r="BA5" s="128" t="s">
        <v>81</v>
      </c>
      <c r="BB5" s="128" t="s">
        <v>82</v>
      </c>
      <c r="BC5" s="128" t="s">
        <v>292</v>
      </c>
      <c r="BD5" s="128" t="s">
        <v>83</v>
      </c>
      <c r="BE5" s="128" t="s">
        <v>116</v>
      </c>
      <c r="BF5" s="128" t="s">
        <v>84</v>
      </c>
      <c r="BG5" s="128" t="s">
        <v>291</v>
      </c>
      <c r="BH5" s="128" t="s">
        <v>85</v>
      </c>
      <c r="BI5" s="128" t="s">
        <v>86</v>
      </c>
      <c r="BJ5" s="128" t="s">
        <v>87</v>
      </c>
      <c r="BK5" s="128" t="s">
        <v>88</v>
      </c>
      <c r="BL5" s="128" t="s">
        <v>89</v>
      </c>
      <c r="BM5" s="128" t="s">
        <v>117</v>
      </c>
      <c r="BN5" s="128" t="s">
        <v>90</v>
      </c>
      <c r="BO5" s="128" t="s">
        <v>91</v>
      </c>
      <c r="BP5" s="128" t="s">
        <v>99</v>
      </c>
      <c r="BQ5" s="128" t="s">
        <v>181</v>
      </c>
    </row>
    <row r="6" spans="1:69" x14ac:dyDescent="0.25">
      <c r="A6" s="128" t="s">
        <v>392</v>
      </c>
      <c r="B6" s="128" t="s">
        <v>393</v>
      </c>
      <c r="C6" s="128" t="s">
        <v>394</v>
      </c>
      <c r="D6" s="140">
        <v>45148</v>
      </c>
      <c r="E6" s="128" t="s">
        <v>395</v>
      </c>
      <c r="F6" s="128" t="s">
        <v>396</v>
      </c>
      <c r="G6" s="128" t="s">
        <v>332</v>
      </c>
      <c r="H6" s="128" t="s">
        <v>396</v>
      </c>
      <c r="I6" s="128">
        <v>3.1</v>
      </c>
      <c r="J6" s="128" t="s">
        <v>95</v>
      </c>
      <c r="K6" s="131" t="s">
        <v>254</v>
      </c>
      <c r="L6" s="128">
        <v>7.4</v>
      </c>
      <c r="M6" s="140">
        <v>46251</v>
      </c>
      <c r="N6" s="128" t="s">
        <v>328</v>
      </c>
      <c r="O6" s="128" t="s">
        <v>397</v>
      </c>
      <c r="P6" s="128" t="s">
        <v>398</v>
      </c>
      <c r="Q6" s="128">
        <v>20</v>
      </c>
      <c r="R6" s="128" t="s">
        <v>256</v>
      </c>
      <c r="S6" s="128" t="s">
        <v>46</v>
      </c>
      <c r="T6" s="128" t="s">
        <v>104</v>
      </c>
      <c r="U6" s="128" t="s">
        <v>104</v>
      </c>
      <c r="V6" s="128">
        <v>100</v>
      </c>
      <c r="W6" s="128"/>
      <c r="X6" s="128" t="s">
        <v>399</v>
      </c>
      <c r="Y6" s="128" t="s">
        <v>400</v>
      </c>
      <c r="Z6" s="128"/>
      <c r="AA6" s="131"/>
      <c r="AB6" s="131"/>
      <c r="AC6" s="128"/>
      <c r="AD6" s="128"/>
      <c r="AE6" s="128" t="s">
        <v>401</v>
      </c>
      <c r="AF6" s="128" t="s">
        <v>323</v>
      </c>
      <c r="AG6" s="128" t="s">
        <v>104</v>
      </c>
      <c r="AH6" s="128" t="s">
        <v>396</v>
      </c>
      <c r="AI6" s="128" t="s">
        <v>320</v>
      </c>
      <c r="AJ6" s="128" t="s">
        <v>2</v>
      </c>
      <c r="AK6" s="128" t="s">
        <v>402</v>
      </c>
      <c r="AL6" s="128" t="s">
        <v>162</v>
      </c>
      <c r="AM6" s="128" t="s">
        <v>195</v>
      </c>
      <c r="AN6" s="128"/>
      <c r="AO6" s="128"/>
      <c r="AP6" s="128"/>
      <c r="AQ6" s="128" t="s">
        <v>403</v>
      </c>
      <c r="AR6" s="128" t="s">
        <v>404</v>
      </c>
      <c r="AS6" s="128">
        <v>1000</v>
      </c>
      <c r="AT6" s="140">
        <v>45155</v>
      </c>
      <c r="AU6" s="128">
        <v>3.1</v>
      </c>
      <c r="AV6" s="140"/>
      <c r="AW6" s="128">
        <v>7.4</v>
      </c>
      <c r="AX6" s="128" t="s">
        <v>104</v>
      </c>
      <c r="AY6" s="140">
        <v>45339</v>
      </c>
      <c r="AZ6" s="128" t="s">
        <v>405</v>
      </c>
      <c r="BA6" s="128" t="s">
        <v>392</v>
      </c>
      <c r="BB6" s="140">
        <v>45155</v>
      </c>
      <c r="BC6" s="131" t="s">
        <v>398</v>
      </c>
      <c r="BD6" s="140">
        <v>45155</v>
      </c>
      <c r="BE6" s="128" t="s">
        <v>104</v>
      </c>
      <c r="BF6" s="128" t="s">
        <v>406</v>
      </c>
      <c r="BG6" s="128" t="s">
        <v>407</v>
      </c>
      <c r="BH6" s="128" t="s">
        <v>165</v>
      </c>
      <c r="BI6" s="128" t="s">
        <v>165</v>
      </c>
      <c r="BJ6" s="128" t="s">
        <v>166</v>
      </c>
      <c r="BK6" s="128" t="s">
        <v>167</v>
      </c>
      <c r="BL6" s="128" t="s">
        <v>168</v>
      </c>
      <c r="BM6" s="128" t="s">
        <v>104</v>
      </c>
      <c r="BN6" s="128" t="s">
        <v>169</v>
      </c>
      <c r="BO6" s="128" t="s">
        <v>104</v>
      </c>
      <c r="BP6" s="128" t="s">
        <v>11</v>
      </c>
      <c r="BQ6" s="131" t="s">
        <v>408</v>
      </c>
    </row>
    <row r="7" spans="1:69" x14ac:dyDescent="0.25">
      <c r="A7" s="128" t="s">
        <v>409</v>
      </c>
      <c r="B7" s="128" t="s">
        <v>410</v>
      </c>
      <c r="C7" s="128" t="s">
        <v>411</v>
      </c>
      <c r="D7" s="140">
        <v>45147</v>
      </c>
      <c r="E7" s="128" t="s">
        <v>412</v>
      </c>
      <c r="F7" s="128" t="s">
        <v>163</v>
      </c>
      <c r="G7" s="128" t="s">
        <v>163</v>
      </c>
      <c r="H7" s="128" t="s">
        <v>163</v>
      </c>
      <c r="I7" s="128">
        <v>2.569</v>
      </c>
      <c r="J7" s="128" t="s">
        <v>120</v>
      </c>
      <c r="K7" s="131" t="s">
        <v>254</v>
      </c>
      <c r="L7" s="128">
        <v>4.6500000000000004</v>
      </c>
      <c r="M7" s="140">
        <v>46245</v>
      </c>
      <c r="N7" s="128" t="s">
        <v>328</v>
      </c>
      <c r="O7" s="128" t="s">
        <v>104</v>
      </c>
      <c r="P7" s="128" t="s">
        <v>104</v>
      </c>
      <c r="Q7" s="128"/>
      <c r="R7" s="128" t="s">
        <v>256</v>
      </c>
      <c r="S7" s="128" t="s">
        <v>316</v>
      </c>
      <c r="T7" s="128" t="s">
        <v>413</v>
      </c>
      <c r="U7" s="128" t="s">
        <v>164</v>
      </c>
      <c r="V7" s="128">
        <v>100</v>
      </c>
      <c r="W7" s="128"/>
      <c r="X7" s="128" t="s">
        <v>327</v>
      </c>
      <c r="Y7" s="128" t="s">
        <v>414</v>
      </c>
      <c r="Z7" s="128"/>
      <c r="AA7" s="131"/>
      <c r="AB7" s="131"/>
      <c r="AC7" s="128"/>
      <c r="AD7" s="128"/>
      <c r="AE7" s="128" t="s">
        <v>415</v>
      </c>
      <c r="AF7" s="128" t="s">
        <v>323</v>
      </c>
      <c r="AG7" s="128" t="s">
        <v>104</v>
      </c>
      <c r="AH7" s="128" t="s">
        <v>163</v>
      </c>
      <c r="AI7" s="128" t="s">
        <v>334</v>
      </c>
      <c r="AJ7" s="128" t="s">
        <v>2</v>
      </c>
      <c r="AK7" s="128" t="s">
        <v>324</v>
      </c>
      <c r="AL7" s="128" t="s">
        <v>162</v>
      </c>
      <c r="AM7" s="128" t="s">
        <v>92</v>
      </c>
      <c r="AN7" s="128"/>
      <c r="AO7" s="128"/>
      <c r="AP7" s="128"/>
      <c r="AQ7" s="128" t="s">
        <v>416</v>
      </c>
      <c r="AR7" s="128" t="s">
        <v>417</v>
      </c>
      <c r="AS7" s="128">
        <v>10000</v>
      </c>
      <c r="AT7" s="140">
        <v>45149</v>
      </c>
      <c r="AU7" s="128">
        <v>2.5688</v>
      </c>
      <c r="AV7" s="140"/>
      <c r="AW7" s="128">
        <v>4.6500000000000004</v>
      </c>
      <c r="AX7" s="128" t="s">
        <v>104</v>
      </c>
      <c r="AY7" s="140">
        <v>45333</v>
      </c>
      <c r="AZ7" s="128" t="s">
        <v>409</v>
      </c>
      <c r="BA7" s="128" t="s">
        <v>104</v>
      </c>
      <c r="BB7" s="140">
        <v>45149</v>
      </c>
      <c r="BC7" s="131" t="s">
        <v>418</v>
      </c>
      <c r="BD7" s="140">
        <v>45149</v>
      </c>
      <c r="BE7" s="128" t="s">
        <v>321</v>
      </c>
      <c r="BF7" s="128" t="s">
        <v>419</v>
      </c>
      <c r="BG7" s="128" t="s">
        <v>420</v>
      </c>
      <c r="BH7" s="128" t="s">
        <v>165</v>
      </c>
      <c r="BI7" s="128" t="s">
        <v>165</v>
      </c>
      <c r="BJ7" s="128" t="s">
        <v>166</v>
      </c>
      <c r="BK7" s="128" t="s">
        <v>167</v>
      </c>
      <c r="BL7" s="128" t="s">
        <v>168</v>
      </c>
      <c r="BM7" s="128" t="s">
        <v>104</v>
      </c>
      <c r="BN7" s="128" t="s">
        <v>169</v>
      </c>
      <c r="BO7" s="128" t="s">
        <v>104</v>
      </c>
      <c r="BP7" s="128" t="s">
        <v>20</v>
      </c>
      <c r="BQ7" s="131" t="s">
        <v>421</v>
      </c>
    </row>
    <row r="8" spans="1:69" x14ac:dyDescent="0.25">
      <c r="A8" s="128" t="s">
        <v>422</v>
      </c>
      <c r="B8" s="128" t="s">
        <v>423</v>
      </c>
      <c r="C8" s="128" t="s">
        <v>424</v>
      </c>
      <c r="D8" s="140">
        <v>45146</v>
      </c>
      <c r="E8" s="128" t="s">
        <v>425</v>
      </c>
      <c r="F8" s="128" t="s">
        <v>426</v>
      </c>
      <c r="G8" s="128" t="s">
        <v>337</v>
      </c>
      <c r="H8" s="128" t="s">
        <v>163</v>
      </c>
      <c r="I8" s="128">
        <v>20</v>
      </c>
      <c r="J8" s="128" t="s">
        <v>95</v>
      </c>
      <c r="K8" s="131" t="s">
        <v>427</v>
      </c>
      <c r="L8" s="128">
        <v>5.35</v>
      </c>
      <c r="M8" s="140">
        <v>48806</v>
      </c>
      <c r="N8" s="128" t="s">
        <v>328</v>
      </c>
      <c r="O8" s="128" t="s">
        <v>428</v>
      </c>
      <c r="P8" s="128" t="s">
        <v>429</v>
      </c>
      <c r="Q8" s="128">
        <v>45</v>
      </c>
      <c r="R8" s="128" t="s">
        <v>256</v>
      </c>
      <c r="S8" s="128" t="s">
        <v>315</v>
      </c>
      <c r="T8" s="128" t="s">
        <v>104</v>
      </c>
      <c r="U8" s="128" t="s">
        <v>430</v>
      </c>
      <c r="V8" s="128">
        <v>100</v>
      </c>
      <c r="W8" s="128"/>
      <c r="X8" s="128" t="s">
        <v>333</v>
      </c>
      <c r="Y8" s="128" t="s">
        <v>335</v>
      </c>
      <c r="Z8" s="128"/>
      <c r="AA8" s="131"/>
      <c r="AB8" s="131"/>
      <c r="AC8" s="128" t="s">
        <v>338</v>
      </c>
      <c r="AD8" s="128" t="s">
        <v>431</v>
      </c>
      <c r="AE8" s="128" t="s">
        <v>432</v>
      </c>
      <c r="AF8" s="128" t="s">
        <v>433</v>
      </c>
      <c r="AG8" s="128" t="s">
        <v>434</v>
      </c>
      <c r="AH8" s="128" t="s">
        <v>163</v>
      </c>
      <c r="AI8" s="128" t="s">
        <v>104</v>
      </c>
      <c r="AJ8" s="128" t="s">
        <v>94</v>
      </c>
      <c r="AK8" s="128" t="s">
        <v>435</v>
      </c>
      <c r="AL8" s="128" t="s">
        <v>336</v>
      </c>
      <c r="AM8" s="128" t="s">
        <v>195</v>
      </c>
      <c r="AN8" s="128" t="s">
        <v>436</v>
      </c>
      <c r="AO8" s="128" t="s">
        <v>437</v>
      </c>
      <c r="AP8" s="128" t="s">
        <v>438</v>
      </c>
      <c r="AQ8" s="128" t="s">
        <v>439</v>
      </c>
      <c r="AR8" s="128" t="s">
        <v>440</v>
      </c>
      <c r="AS8" s="128">
        <v>1000</v>
      </c>
      <c r="AT8" s="140">
        <v>45153</v>
      </c>
      <c r="AU8" s="128">
        <v>20</v>
      </c>
      <c r="AV8" s="140">
        <v>46980</v>
      </c>
      <c r="AW8" s="128">
        <v>5.35</v>
      </c>
      <c r="AX8" s="128" t="s">
        <v>104</v>
      </c>
      <c r="AY8" s="140">
        <v>45337</v>
      </c>
      <c r="AZ8" s="128" t="s">
        <v>441</v>
      </c>
      <c r="BA8" s="128" t="s">
        <v>104</v>
      </c>
      <c r="BB8" s="140">
        <v>45153</v>
      </c>
      <c r="BC8" s="131" t="s">
        <v>429</v>
      </c>
      <c r="BD8" s="140">
        <v>45153</v>
      </c>
      <c r="BE8" s="128" t="s">
        <v>104</v>
      </c>
      <c r="BF8" s="128" t="s">
        <v>442</v>
      </c>
      <c r="BG8" s="128" t="s">
        <v>443</v>
      </c>
      <c r="BH8" s="128" t="s">
        <v>165</v>
      </c>
      <c r="BI8" s="128" t="s">
        <v>165</v>
      </c>
      <c r="BJ8" s="128" t="s">
        <v>166</v>
      </c>
      <c r="BK8" s="128" t="s">
        <v>167</v>
      </c>
      <c r="BL8" s="128" t="s">
        <v>339</v>
      </c>
      <c r="BM8" s="128" t="s">
        <v>104</v>
      </c>
      <c r="BN8" s="128" t="s">
        <v>169</v>
      </c>
      <c r="BO8" s="128" t="s">
        <v>104</v>
      </c>
      <c r="BP8" s="128" t="s">
        <v>19</v>
      </c>
      <c r="BQ8" s="131" t="s">
        <v>444</v>
      </c>
    </row>
    <row r="9" spans="1:69" x14ac:dyDescent="0.25">
      <c r="A9" s="128" t="s">
        <v>445</v>
      </c>
      <c r="B9" s="128" t="s">
        <v>446</v>
      </c>
      <c r="C9" s="128" t="s">
        <v>447</v>
      </c>
      <c r="D9" s="140">
        <v>45146</v>
      </c>
      <c r="E9" s="128" t="s">
        <v>448</v>
      </c>
      <c r="F9" s="128" t="s">
        <v>163</v>
      </c>
      <c r="G9" s="128" t="s">
        <v>163</v>
      </c>
      <c r="H9" s="128" t="s">
        <v>163</v>
      </c>
      <c r="I9" s="128">
        <v>4.8499999999999996</v>
      </c>
      <c r="J9" s="128" t="s">
        <v>120</v>
      </c>
      <c r="K9" s="131" t="s">
        <v>254</v>
      </c>
      <c r="L9" s="128">
        <v>3.9</v>
      </c>
      <c r="M9" s="140">
        <v>46245</v>
      </c>
      <c r="N9" s="128" t="s">
        <v>328</v>
      </c>
      <c r="O9" s="128" t="s">
        <v>449</v>
      </c>
      <c r="P9" s="128" t="s">
        <v>450</v>
      </c>
      <c r="Q9" s="128">
        <v>40</v>
      </c>
      <c r="R9" s="128" t="s">
        <v>256</v>
      </c>
      <c r="S9" s="128" t="s">
        <v>316</v>
      </c>
      <c r="T9" s="128" t="s">
        <v>451</v>
      </c>
      <c r="U9" s="128" t="s">
        <v>164</v>
      </c>
      <c r="V9" s="128">
        <v>100</v>
      </c>
      <c r="W9" s="128"/>
      <c r="X9" s="128" t="s">
        <v>399</v>
      </c>
      <c r="Y9" s="128" t="s">
        <v>452</v>
      </c>
      <c r="Z9" s="128"/>
      <c r="AA9" s="131"/>
      <c r="AB9" s="131"/>
      <c r="AC9" s="128"/>
      <c r="AD9" s="128"/>
      <c r="AE9" s="128" t="s">
        <v>453</v>
      </c>
      <c r="AF9" s="128" t="s">
        <v>454</v>
      </c>
      <c r="AG9" s="128" t="s">
        <v>104</v>
      </c>
      <c r="AH9" s="128" t="s">
        <v>163</v>
      </c>
      <c r="AI9" s="128" t="s">
        <v>455</v>
      </c>
      <c r="AJ9" s="128" t="s">
        <v>3</v>
      </c>
      <c r="AK9" s="128" t="s">
        <v>324</v>
      </c>
      <c r="AL9" s="128" t="s">
        <v>162</v>
      </c>
      <c r="AM9" s="128" t="s">
        <v>92</v>
      </c>
      <c r="AN9" s="128"/>
      <c r="AO9" s="128"/>
      <c r="AP9" s="128"/>
      <c r="AQ9" s="128" t="s">
        <v>456</v>
      </c>
      <c r="AR9" s="128" t="s">
        <v>457</v>
      </c>
      <c r="AS9" s="128">
        <v>100</v>
      </c>
      <c r="AT9" s="140">
        <v>45149</v>
      </c>
      <c r="AU9" s="128">
        <v>4.8499999999999996</v>
      </c>
      <c r="AV9" s="140"/>
      <c r="AW9" s="128">
        <v>3.9</v>
      </c>
      <c r="AX9" s="128" t="s">
        <v>104</v>
      </c>
      <c r="AY9" s="140">
        <v>45333</v>
      </c>
      <c r="AZ9" s="128" t="s">
        <v>445</v>
      </c>
      <c r="BA9" s="128" t="s">
        <v>104</v>
      </c>
      <c r="BB9" s="140">
        <v>45149</v>
      </c>
      <c r="BC9" s="131" t="s">
        <v>450</v>
      </c>
      <c r="BD9" s="140">
        <v>45149</v>
      </c>
      <c r="BE9" s="128" t="s">
        <v>321</v>
      </c>
      <c r="BF9" s="128" t="s">
        <v>458</v>
      </c>
      <c r="BG9" s="128" t="s">
        <v>459</v>
      </c>
      <c r="BH9" s="128" t="s">
        <v>165</v>
      </c>
      <c r="BI9" s="128" t="s">
        <v>165</v>
      </c>
      <c r="BJ9" s="128" t="s">
        <v>166</v>
      </c>
      <c r="BK9" s="128" t="s">
        <v>167</v>
      </c>
      <c r="BL9" s="128" t="s">
        <v>168</v>
      </c>
      <c r="BM9" s="128" t="s">
        <v>104</v>
      </c>
      <c r="BN9" s="128" t="s">
        <v>169</v>
      </c>
      <c r="BO9" s="128" t="s">
        <v>104</v>
      </c>
      <c r="BP9" s="128" t="s">
        <v>11</v>
      </c>
      <c r="BQ9" s="131" t="s">
        <v>460</v>
      </c>
    </row>
    <row r="10" spans="1:69" x14ac:dyDescent="0.25">
      <c r="A10" s="128" t="s">
        <v>463</v>
      </c>
      <c r="B10" s="128" t="s">
        <v>464</v>
      </c>
      <c r="C10" s="128" t="s">
        <v>465</v>
      </c>
      <c r="D10" s="140">
        <v>45145</v>
      </c>
      <c r="E10" s="128" t="s">
        <v>466</v>
      </c>
      <c r="F10" s="128" t="s">
        <v>163</v>
      </c>
      <c r="G10" s="128" t="s">
        <v>163</v>
      </c>
      <c r="H10" s="128" t="s">
        <v>163</v>
      </c>
      <c r="I10" s="128">
        <v>0.7</v>
      </c>
      <c r="J10" s="128" t="s">
        <v>95</v>
      </c>
      <c r="K10" s="131" t="s">
        <v>254</v>
      </c>
      <c r="L10" s="128">
        <v>5.75</v>
      </c>
      <c r="M10" s="140">
        <v>46248</v>
      </c>
      <c r="N10" s="128" t="s">
        <v>328</v>
      </c>
      <c r="O10" s="128" t="s">
        <v>467</v>
      </c>
      <c r="P10" s="128" t="s">
        <v>340</v>
      </c>
      <c r="Q10" s="128">
        <v>55</v>
      </c>
      <c r="R10" s="128" t="s">
        <v>256</v>
      </c>
      <c r="S10" s="128" t="s">
        <v>468</v>
      </c>
      <c r="T10" s="128" t="s">
        <v>469</v>
      </c>
      <c r="U10" s="128" t="s">
        <v>164</v>
      </c>
      <c r="V10" s="128">
        <v>100</v>
      </c>
      <c r="W10" s="128"/>
      <c r="X10" s="128" t="s">
        <v>470</v>
      </c>
      <c r="Y10" s="128" t="s">
        <v>471</v>
      </c>
      <c r="Z10" s="128"/>
      <c r="AA10" s="131"/>
      <c r="AB10" s="131"/>
      <c r="AC10" s="128"/>
      <c r="AD10" s="128"/>
      <c r="AE10" s="128" t="s">
        <v>472</v>
      </c>
      <c r="AF10" s="128" t="s">
        <v>473</v>
      </c>
      <c r="AG10" s="128" t="s">
        <v>104</v>
      </c>
      <c r="AH10" s="128" t="s">
        <v>163</v>
      </c>
      <c r="AI10" s="128" t="s">
        <v>320</v>
      </c>
      <c r="AJ10" s="128" t="s">
        <v>3</v>
      </c>
      <c r="AK10" s="128" t="s">
        <v>402</v>
      </c>
      <c r="AL10" s="128" t="s">
        <v>162</v>
      </c>
      <c r="AM10" s="128" t="s">
        <v>195</v>
      </c>
      <c r="AN10" s="128"/>
      <c r="AO10" s="128"/>
      <c r="AP10" s="128"/>
      <c r="AQ10" s="128" t="s">
        <v>474</v>
      </c>
      <c r="AR10" s="128" t="s">
        <v>475</v>
      </c>
      <c r="AS10" s="128">
        <v>1000</v>
      </c>
      <c r="AT10" s="140">
        <v>45152</v>
      </c>
      <c r="AU10" s="128">
        <v>0.7</v>
      </c>
      <c r="AV10" s="140"/>
      <c r="AW10" s="128">
        <v>5.75</v>
      </c>
      <c r="AX10" s="128" t="s">
        <v>104</v>
      </c>
      <c r="AY10" s="140">
        <v>45336</v>
      </c>
      <c r="AZ10" s="128" t="s">
        <v>476</v>
      </c>
      <c r="BA10" s="128" t="s">
        <v>463</v>
      </c>
      <c r="BB10" s="140">
        <v>45152</v>
      </c>
      <c r="BC10" s="131" t="s">
        <v>340</v>
      </c>
      <c r="BD10" s="140">
        <v>45152</v>
      </c>
      <c r="BE10" s="128" t="s">
        <v>104</v>
      </c>
      <c r="BF10" s="128" t="s">
        <v>477</v>
      </c>
      <c r="BG10" s="128" t="s">
        <v>478</v>
      </c>
      <c r="BH10" s="128" t="s">
        <v>165</v>
      </c>
      <c r="BI10" s="128" t="s">
        <v>165</v>
      </c>
      <c r="BJ10" s="128" t="s">
        <v>166</v>
      </c>
      <c r="BK10" s="128" t="s">
        <v>167</v>
      </c>
      <c r="BL10" s="128" t="s">
        <v>168</v>
      </c>
      <c r="BM10" s="128" t="s">
        <v>104</v>
      </c>
      <c r="BN10" s="128" t="s">
        <v>169</v>
      </c>
      <c r="BO10" s="128" t="s">
        <v>104</v>
      </c>
      <c r="BP10" s="128" t="s">
        <v>24</v>
      </c>
      <c r="BQ10" s="131" t="s">
        <v>479</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144E1-EC07-4825-B698-BD99D36A4317}">
  <sheetPr>
    <tabColor rgb="FFE1E1E9"/>
  </sheetPr>
  <dimension ref="A1:L6"/>
  <sheetViews>
    <sheetView workbookViewId="0">
      <selection activeCell="E20" sqref="E20"/>
    </sheetView>
  </sheetViews>
  <sheetFormatPr defaultRowHeight="15" x14ac:dyDescent="0.25"/>
  <cols>
    <col min="1" max="1" width="7.109375" style="1" bestFit="1" customWidth="1"/>
    <col min="2" max="2" width="7.5546875" style="1" bestFit="1" customWidth="1"/>
    <col min="3" max="3" width="6" style="1" bestFit="1" customWidth="1"/>
    <col min="4" max="4" width="18.21875" style="1" bestFit="1" customWidth="1"/>
    <col min="5" max="5" width="9.21875" style="1" bestFit="1" customWidth="1"/>
    <col min="6" max="6" width="12.5546875" style="1" bestFit="1" customWidth="1"/>
    <col min="7" max="9" width="9.21875" style="1" bestFit="1" customWidth="1"/>
    <col min="10" max="10" width="7.44140625" style="1" bestFit="1" customWidth="1"/>
    <col min="11" max="12" width="9.33203125" style="1" bestFit="1" customWidth="1"/>
    <col min="13" max="16384" width="8.88671875" style="1"/>
  </cols>
  <sheetData>
    <row r="1" spans="1:12" ht="67.5" customHeight="1" x14ac:dyDescent="0.25">
      <c r="A1" s="142" t="s">
        <v>590</v>
      </c>
    </row>
    <row r="5" spans="1:12" x14ac:dyDescent="0.25">
      <c r="A5" s="128" t="s">
        <v>96</v>
      </c>
      <c r="B5" s="128" t="s">
        <v>57</v>
      </c>
      <c r="C5" s="128" t="s">
        <v>56</v>
      </c>
      <c r="D5" s="128" t="s">
        <v>187</v>
      </c>
      <c r="E5" s="128" t="s">
        <v>176</v>
      </c>
      <c r="F5" s="128" t="s">
        <v>585</v>
      </c>
      <c r="G5" s="128" t="s">
        <v>228</v>
      </c>
      <c r="H5" s="128" t="s">
        <v>143</v>
      </c>
      <c r="I5" s="128" t="s">
        <v>586</v>
      </c>
      <c r="J5" s="128" t="s">
        <v>181</v>
      </c>
      <c r="K5" s="128" t="s">
        <v>587</v>
      </c>
      <c r="L5" s="128" t="s">
        <v>588</v>
      </c>
    </row>
    <row r="6" spans="1:12" x14ac:dyDescent="0.25">
      <c r="A6" s="128"/>
      <c r="B6" s="140"/>
      <c r="C6" s="131"/>
      <c r="D6" s="128"/>
      <c r="E6" s="131"/>
      <c r="F6" s="128"/>
      <c r="G6" s="131"/>
      <c r="H6" s="128"/>
      <c r="I6" s="128"/>
      <c r="J6" s="131"/>
      <c r="K6" s="128"/>
      <c r="L6" s="128"/>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5D57B4-6EF1-40A2-95CC-36C330DDF6AE}">
  <dimension ref="A1:H7"/>
  <sheetViews>
    <sheetView workbookViewId="0">
      <selection activeCell="E20" sqref="E20"/>
    </sheetView>
  </sheetViews>
  <sheetFormatPr defaultRowHeight="15" x14ac:dyDescent="0.25"/>
  <cols>
    <col min="1" max="1" width="13.5546875" style="1" bestFit="1" customWidth="1"/>
    <col min="2" max="2" width="13.21875" style="1" bestFit="1" customWidth="1"/>
    <col min="3" max="3" width="26.44140625" style="1" bestFit="1" customWidth="1"/>
    <col min="4" max="6" width="9.21875" style="1" bestFit="1" customWidth="1"/>
    <col min="7" max="7" width="11.44140625" style="1" bestFit="1" customWidth="1"/>
    <col min="8" max="8" width="10.88671875" style="1" bestFit="1" customWidth="1"/>
    <col min="9" max="16384" width="8.88671875" style="1"/>
  </cols>
  <sheetData>
    <row r="1" spans="1:8" ht="67.5" customHeight="1" x14ac:dyDescent="0.25">
      <c r="A1" s="143" t="s">
        <v>620</v>
      </c>
    </row>
    <row r="5" spans="1:8" x14ac:dyDescent="0.25">
      <c r="A5" s="128" t="s">
        <v>239</v>
      </c>
      <c r="B5" s="128" t="s">
        <v>56</v>
      </c>
      <c r="C5" s="128" t="s">
        <v>616</v>
      </c>
      <c r="D5" s="128" t="s">
        <v>264</v>
      </c>
      <c r="E5" s="128" t="s">
        <v>617</v>
      </c>
      <c r="F5" s="128" t="s">
        <v>222</v>
      </c>
      <c r="G5" s="128" t="s">
        <v>223</v>
      </c>
      <c r="H5" s="128" t="s">
        <v>618</v>
      </c>
    </row>
    <row r="6" spans="1:8" x14ac:dyDescent="0.25">
      <c r="A6" s="128" t="s">
        <v>562</v>
      </c>
      <c r="B6" s="131" t="s">
        <v>411</v>
      </c>
      <c r="C6" s="131" t="s">
        <v>619</v>
      </c>
      <c r="D6" s="128">
        <v>53</v>
      </c>
      <c r="E6" s="131" t="s">
        <v>194</v>
      </c>
      <c r="F6" s="131" t="s">
        <v>231</v>
      </c>
      <c r="G6" s="131" t="s">
        <v>244</v>
      </c>
      <c r="H6" s="128">
        <v>45147</v>
      </c>
    </row>
    <row r="7" spans="1:8" x14ac:dyDescent="0.25">
      <c r="A7" s="128" t="s">
        <v>563</v>
      </c>
      <c r="B7" s="131" t="s">
        <v>394</v>
      </c>
      <c r="C7" s="131" t="s">
        <v>392</v>
      </c>
      <c r="D7" s="128">
        <v>54</v>
      </c>
      <c r="E7" s="131" t="s">
        <v>193</v>
      </c>
      <c r="F7" s="131" t="s">
        <v>231</v>
      </c>
      <c r="G7" s="131" t="s">
        <v>235</v>
      </c>
      <c r="H7" s="128">
        <v>45148</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2E41CE-0582-4EBB-8FB6-8CEF8ED29E76}">
  <dimension ref="A1:M8"/>
  <sheetViews>
    <sheetView workbookViewId="0">
      <selection activeCell="E20" sqref="E20"/>
    </sheetView>
  </sheetViews>
  <sheetFormatPr defaultRowHeight="15" x14ac:dyDescent="0.25"/>
  <cols>
    <col min="1" max="1" width="28.109375" style="1" bestFit="1" customWidth="1"/>
    <col min="2" max="2" width="9.33203125" style="1" bestFit="1" customWidth="1"/>
    <col min="3" max="3" width="24.33203125" style="1" bestFit="1" customWidth="1"/>
    <col min="4" max="4" width="13.21875" style="1" bestFit="1" customWidth="1"/>
    <col min="5" max="5" width="9.44140625" style="1" bestFit="1" customWidth="1"/>
    <col min="6" max="6" width="10.88671875" style="1" bestFit="1" customWidth="1"/>
    <col min="7" max="8" width="9.21875" style="1" bestFit="1" customWidth="1"/>
    <col min="9" max="9" width="5.88671875" style="1" bestFit="1" customWidth="1"/>
    <col min="10" max="10" width="27.109375" style="1" bestFit="1" customWidth="1"/>
    <col min="11" max="11" width="8.88671875" style="1"/>
    <col min="12" max="12" width="9.21875" style="1" bestFit="1" customWidth="1"/>
    <col min="13" max="13" width="19.33203125" style="1" bestFit="1" customWidth="1"/>
    <col min="14" max="16384" width="8.88671875" style="1"/>
  </cols>
  <sheetData>
    <row r="1" spans="1:13" ht="67.5" customHeight="1" x14ac:dyDescent="0.25">
      <c r="A1" s="8" t="s">
        <v>615</v>
      </c>
    </row>
    <row r="5" spans="1:13" x14ac:dyDescent="0.25">
      <c r="A5" s="128" t="s">
        <v>106</v>
      </c>
      <c r="B5" s="128" t="s">
        <v>57</v>
      </c>
      <c r="C5" s="128" t="s">
        <v>591</v>
      </c>
      <c r="D5" s="128" t="s">
        <v>56</v>
      </c>
      <c r="E5" s="128" t="s">
        <v>68</v>
      </c>
      <c r="F5" s="128" t="s">
        <v>592</v>
      </c>
      <c r="G5" s="128" t="s">
        <v>70</v>
      </c>
      <c r="H5" s="128" t="s">
        <v>593</v>
      </c>
      <c r="I5" s="128" t="s">
        <v>51</v>
      </c>
      <c r="J5" s="128" t="s">
        <v>594</v>
      </c>
      <c r="K5" s="128" t="s">
        <v>595</v>
      </c>
      <c r="L5" s="128" t="s">
        <v>596</v>
      </c>
      <c r="M5" s="128" t="s">
        <v>181</v>
      </c>
    </row>
    <row r="6" spans="1:13" x14ac:dyDescent="0.25">
      <c r="A6" s="131" t="s">
        <v>597</v>
      </c>
      <c r="B6" s="140">
        <v>45132</v>
      </c>
      <c r="C6" s="131" t="s">
        <v>598</v>
      </c>
      <c r="D6" s="131" t="s">
        <v>599</v>
      </c>
      <c r="E6" s="131" t="s">
        <v>600</v>
      </c>
      <c r="F6" s="131" t="s">
        <v>601</v>
      </c>
      <c r="G6" s="131"/>
      <c r="H6" s="131"/>
      <c r="I6" s="131" t="s">
        <v>2</v>
      </c>
      <c r="J6" s="131"/>
      <c r="K6" s="131" t="s">
        <v>104</v>
      </c>
      <c r="L6" s="131" t="s">
        <v>104</v>
      </c>
      <c r="M6" s="131" t="s">
        <v>602</v>
      </c>
    </row>
    <row r="7" spans="1:13" x14ac:dyDescent="0.25">
      <c r="A7" s="131" t="s">
        <v>603</v>
      </c>
      <c r="B7" s="140">
        <v>45133</v>
      </c>
      <c r="C7" s="131" t="s">
        <v>604</v>
      </c>
      <c r="D7" s="131" t="s">
        <v>605</v>
      </c>
      <c r="E7" s="131" t="s">
        <v>606</v>
      </c>
      <c r="F7" s="131" t="s">
        <v>607</v>
      </c>
      <c r="G7" s="131"/>
      <c r="H7" s="131"/>
      <c r="I7" s="131" t="s">
        <v>2</v>
      </c>
      <c r="J7" s="131"/>
      <c r="K7" s="131" t="s">
        <v>608</v>
      </c>
      <c r="L7" s="131" t="s">
        <v>104</v>
      </c>
      <c r="M7" s="131" t="s">
        <v>609</v>
      </c>
    </row>
    <row r="8" spans="1:13" x14ac:dyDescent="0.25">
      <c r="A8" s="131" t="s">
        <v>610</v>
      </c>
      <c r="B8" s="140">
        <v>45133</v>
      </c>
      <c r="C8" s="131" t="s">
        <v>611</v>
      </c>
      <c r="D8" s="131" t="s">
        <v>612</v>
      </c>
      <c r="E8" s="131" t="s">
        <v>613</v>
      </c>
      <c r="F8" s="131" t="s">
        <v>601</v>
      </c>
      <c r="G8" s="131"/>
      <c r="H8" s="131"/>
      <c r="I8" s="131" t="s">
        <v>2</v>
      </c>
      <c r="J8" s="131"/>
      <c r="K8" s="131" t="s">
        <v>104</v>
      </c>
      <c r="L8" s="131" t="s">
        <v>104</v>
      </c>
      <c r="M8" s="131" t="s">
        <v>614</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10FF5-A896-494A-B3F1-5078291E826A}">
  <sheetPr codeName="Sheet13"/>
  <dimension ref="A1:BF14"/>
  <sheetViews>
    <sheetView workbookViewId="0">
      <selection activeCell="I9" sqref="I9"/>
    </sheetView>
  </sheetViews>
  <sheetFormatPr defaultRowHeight="15" x14ac:dyDescent="0.25"/>
  <cols>
    <col min="1" max="1" width="7.109375" style="1" bestFit="1" customWidth="1"/>
    <col min="2" max="2" width="25.88671875" style="1" bestFit="1" customWidth="1"/>
    <col min="3" max="3" width="13.21875" style="1" bestFit="1" customWidth="1"/>
    <col min="4" max="4" width="9.33203125" style="1" bestFit="1" customWidth="1"/>
    <col min="5" max="5" width="9.21875" style="1" bestFit="1" customWidth="1"/>
    <col min="6" max="6" width="11.109375" style="1" bestFit="1" customWidth="1"/>
    <col min="7" max="7" width="12.5546875" style="1" bestFit="1" customWidth="1"/>
    <col min="8" max="8" width="5.88671875" style="1" bestFit="1" customWidth="1"/>
    <col min="9" max="9" width="12" style="1" bestFit="1" customWidth="1"/>
    <col min="10" max="11" width="5.88671875" style="1" bestFit="1" customWidth="1"/>
    <col min="12" max="12" width="5.6640625" style="1" bestFit="1" customWidth="1"/>
    <col min="13" max="13" width="5.77734375" style="1" bestFit="1" customWidth="1"/>
    <col min="14" max="14" width="5.88671875" style="1" bestFit="1" customWidth="1"/>
    <col min="15" max="16" width="9.21875" style="1" bestFit="1" customWidth="1"/>
    <col min="17" max="17" width="7.5546875" style="1" bestFit="1" customWidth="1"/>
    <col min="18" max="18" width="9.5546875" style="1" bestFit="1" customWidth="1"/>
    <col min="19" max="19" width="6" style="1" bestFit="1" customWidth="1"/>
    <col min="20" max="21" width="10.88671875" style="1" bestFit="1" customWidth="1"/>
    <col min="22" max="23" width="9.21875" style="1" bestFit="1" customWidth="1"/>
    <col min="24" max="24" width="9.33203125" style="1" bestFit="1" customWidth="1"/>
    <col min="25" max="25" width="10.88671875" style="1" bestFit="1" customWidth="1"/>
    <col min="26" max="26" width="9.33203125" style="1" bestFit="1" customWidth="1"/>
    <col min="27" max="27" width="7.5546875" style="1" bestFit="1" customWidth="1"/>
    <col min="28" max="28" width="7" style="1" bestFit="1" customWidth="1"/>
    <col min="29" max="29" width="7.5546875" style="1" bestFit="1" customWidth="1"/>
    <col min="30" max="30" width="8.44140625" style="1" bestFit="1" customWidth="1"/>
    <col min="31" max="31" width="10.88671875" style="1" bestFit="1" customWidth="1"/>
    <col min="32" max="32" width="65.44140625" style="1" bestFit="1" customWidth="1"/>
    <col min="33" max="33" width="24.6640625" style="1" bestFit="1" customWidth="1"/>
    <col min="34" max="34" width="14.21875" style="1" bestFit="1" customWidth="1"/>
    <col min="35" max="35" width="7.6640625" style="1" bestFit="1" customWidth="1"/>
    <col min="36" max="36" width="5.6640625" style="1" bestFit="1" customWidth="1"/>
    <col min="37" max="37" width="11.109375" style="1" bestFit="1" customWidth="1"/>
    <col min="38" max="38" width="5.88671875" style="1" bestFit="1" customWidth="1"/>
    <col min="39" max="40" width="9.21875" style="1" bestFit="1" customWidth="1"/>
    <col min="41" max="41" width="10" style="1" bestFit="1" customWidth="1"/>
    <col min="42" max="42" width="12.44140625" style="1" bestFit="1" customWidth="1"/>
    <col min="43" max="43" width="9.33203125" style="1" bestFit="1" customWidth="1"/>
    <col min="44" max="44" width="11.5546875" style="1" bestFit="1" customWidth="1"/>
    <col min="45" max="45" width="19.33203125" style="1" bestFit="1" customWidth="1"/>
    <col min="46" max="46" width="11.5546875" style="1" bestFit="1" customWidth="1"/>
    <col min="47" max="48" width="17.33203125" style="1" bestFit="1" customWidth="1"/>
    <col min="49" max="49" width="9.21875" style="1" bestFit="1" customWidth="1"/>
    <col min="50" max="50" width="15.21875" style="1" bestFit="1" customWidth="1"/>
    <col min="51" max="51" width="13.44140625" style="1" bestFit="1" customWidth="1"/>
    <col min="52" max="52" width="11.109375" style="1" bestFit="1" customWidth="1"/>
    <col min="53" max="54" width="10.88671875" style="1" bestFit="1" customWidth="1"/>
    <col min="55" max="55" width="9.21875" style="1" bestFit="1" customWidth="1"/>
    <col min="56" max="56" width="8.77734375" style="1" bestFit="1" customWidth="1"/>
    <col min="57" max="57" width="9.21875" style="1" bestFit="1" customWidth="1"/>
    <col min="58" max="58" width="14.6640625" style="1" bestFit="1" customWidth="1"/>
    <col min="59" max="59" width="9.21875" style="1" bestFit="1" customWidth="1"/>
    <col min="60" max="60" width="8.5546875" style="1" bestFit="1" customWidth="1"/>
    <col min="61" max="61" width="9.33203125" style="1" bestFit="1" customWidth="1"/>
    <col min="62" max="62" width="9.21875" style="1" bestFit="1" customWidth="1"/>
    <col min="63" max="63" width="10.109375" style="1" bestFit="1" customWidth="1"/>
    <col min="64" max="64" width="10.33203125" style="1" bestFit="1" customWidth="1"/>
    <col min="65" max="65" width="15.109375" style="1" bestFit="1" customWidth="1"/>
    <col min="66" max="66" width="10.33203125" style="1" bestFit="1" customWidth="1"/>
    <col min="67" max="67" width="5.88671875" style="1" bestFit="1" customWidth="1"/>
    <col min="68" max="68" width="9.21875" style="1" bestFit="1" customWidth="1"/>
    <col min="69" max="69" width="10.33203125" style="1" bestFit="1" customWidth="1"/>
    <col min="70" max="70" width="14.44140625" style="1" bestFit="1" customWidth="1"/>
    <col min="71" max="71" width="16.109375" style="1" bestFit="1" customWidth="1"/>
    <col min="72" max="72" width="20.6640625" style="1" bestFit="1" customWidth="1"/>
    <col min="73" max="73" width="18.88671875" style="1" bestFit="1" customWidth="1"/>
    <col min="74" max="74" width="27.109375" style="1" bestFit="1" customWidth="1"/>
    <col min="75" max="16384" width="8.88671875" style="1"/>
  </cols>
  <sheetData>
    <row r="1" spans="1:58" ht="39.75" customHeight="1" x14ac:dyDescent="0.25"/>
    <row r="2" spans="1:58" ht="39.75" customHeight="1" x14ac:dyDescent="0.25"/>
    <row r="3" spans="1:58" ht="39.75" customHeight="1" x14ac:dyDescent="0.25"/>
    <row r="4" spans="1:58" x14ac:dyDescent="0.25">
      <c r="A4" t="s">
        <v>96</v>
      </c>
      <c r="B4" t="s">
        <v>106</v>
      </c>
      <c r="C4" t="s">
        <v>56</v>
      </c>
      <c r="D4" t="s">
        <v>57</v>
      </c>
      <c r="E4" t="s">
        <v>176</v>
      </c>
      <c r="F4" t="s">
        <v>228</v>
      </c>
      <c r="G4" t="s">
        <v>59</v>
      </c>
      <c r="H4" t="s">
        <v>73</v>
      </c>
      <c r="I4" t="s">
        <v>66</v>
      </c>
      <c r="J4" t="s">
        <v>97</v>
      </c>
      <c r="K4" t="s">
        <v>144</v>
      </c>
      <c r="L4" t="s">
        <v>98</v>
      </c>
      <c r="M4" t="s">
        <v>62</v>
      </c>
      <c r="N4" t="s">
        <v>197</v>
      </c>
      <c r="O4" t="s">
        <v>216</v>
      </c>
      <c r="P4" t="s">
        <v>218</v>
      </c>
      <c r="Q4" t="s">
        <v>68</v>
      </c>
      <c r="R4" t="s">
        <v>100</v>
      </c>
      <c r="S4" t="s">
        <v>103</v>
      </c>
      <c r="T4" t="s">
        <v>237</v>
      </c>
      <c r="U4" t="s">
        <v>238</v>
      </c>
      <c r="V4" t="s">
        <v>182</v>
      </c>
      <c r="W4" t="s">
        <v>90</v>
      </c>
      <c r="X4" t="s">
        <v>76</v>
      </c>
      <c r="Y4" t="s">
        <v>79</v>
      </c>
      <c r="Z4" t="s">
        <v>61</v>
      </c>
      <c r="AA4" t="s">
        <v>224</v>
      </c>
      <c r="AB4" t="s">
        <v>225</v>
      </c>
      <c r="AC4" t="s">
        <v>272</v>
      </c>
      <c r="AD4" t="s">
        <v>75</v>
      </c>
      <c r="AE4" t="s">
        <v>308</v>
      </c>
      <c r="AF4" t="s">
        <v>80</v>
      </c>
      <c r="AG4" t="s">
        <v>81</v>
      </c>
      <c r="AH4" t="s">
        <v>91</v>
      </c>
      <c r="AI4" t="s">
        <v>49</v>
      </c>
      <c r="AJ4" t="s">
        <v>180</v>
      </c>
      <c r="AK4" t="s">
        <v>199</v>
      </c>
      <c r="AL4" t="s">
        <v>282</v>
      </c>
      <c r="AM4" t="s">
        <v>269</v>
      </c>
      <c r="AN4" t="s">
        <v>271</v>
      </c>
      <c r="AO4" t="s">
        <v>283</v>
      </c>
      <c r="AP4" t="s">
        <v>284</v>
      </c>
      <c r="AQ4" t="s">
        <v>220</v>
      </c>
      <c r="AR4" t="s">
        <v>285</v>
      </c>
      <c r="AS4" t="s">
        <v>181</v>
      </c>
    </row>
    <row r="5" spans="1:58" x14ac:dyDescent="0.25">
      <c r="A5">
        <v>5</v>
      </c>
      <c r="B5" t="s">
        <v>392</v>
      </c>
      <c r="C5" t="s">
        <v>394</v>
      </c>
      <c r="D5" s="134">
        <v>45148</v>
      </c>
      <c r="E5" t="s">
        <v>576</v>
      </c>
      <c r="F5" t="s">
        <v>578</v>
      </c>
      <c r="G5" t="s">
        <v>320</v>
      </c>
      <c r="H5" t="s">
        <v>95</v>
      </c>
      <c r="I5">
        <v>3.1</v>
      </c>
      <c r="J5" t="s">
        <v>196</v>
      </c>
      <c r="K5" t="s">
        <v>398</v>
      </c>
      <c r="L5" t="s">
        <v>544</v>
      </c>
      <c r="M5" t="s">
        <v>398</v>
      </c>
      <c r="N5" t="s">
        <v>8</v>
      </c>
      <c r="O5" t="s">
        <v>554</v>
      </c>
      <c r="P5" t="s">
        <v>139</v>
      </c>
      <c r="Q5">
        <v>100</v>
      </c>
      <c r="R5" t="s">
        <v>46</v>
      </c>
      <c r="S5" t="s">
        <v>329</v>
      </c>
      <c r="T5" t="s">
        <v>8</v>
      </c>
      <c r="U5" t="s">
        <v>8</v>
      </c>
      <c r="V5" t="s">
        <v>104</v>
      </c>
      <c r="W5" t="s">
        <v>169</v>
      </c>
      <c r="X5" s="134">
        <v>45155</v>
      </c>
      <c r="Y5" s="134">
        <v>45339</v>
      </c>
      <c r="Z5" s="134">
        <v>46251</v>
      </c>
      <c r="AA5">
        <v>3.1</v>
      </c>
      <c r="AB5">
        <v>22.425000000000001</v>
      </c>
      <c r="AC5">
        <v>24.239000000000001</v>
      </c>
      <c r="AD5" t="s">
        <v>404</v>
      </c>
      <c r="AE5"/>
      <c r="AF5" t="s">
        <v>405</v>
      </c>
      <c r="AG5" t="s">
        <v>392</v>
      </c>
      <c r="AH5" t="s">
        <v>104</v>
      </c>
      <c r="AI5" t="s">
        <v>8</v>
      </c>
      <c r="AJ5" t="s">
        <v>8</v>
      </c>
      <c r="AK5" t="s">
        <v>8</v>
      </c>
      <c r="AL5"/>
      <c r="AM5" t="s">
        <v>104</v>
      </c>
      <c r="AN5" t="s">
        <v>104</v>
      </c>
      <c r="AO5"/>
      <c r="AP5"/>
      <c r="AQ5"/>
      <c r="AR5"/>
      <c r="AS5" t="s">
        <v>408</v>
      </c>
      <c r="BF5" s="26"/>
    </row>
    <row r="6" spans="1:58" x14ac:dyDescent="0.25">
      <c r="A6">
        <v>4</v>
      </c>
      <c r="B6" t="s">
        <v>409</v>
      </c>
      <c r="C6" t="s">
        <v>411</v>
      </c>
      <c r="D6" s="134">
        <v>45147</v>
      </c>
      <c r="E6" t="s">
        <v>93</v>
      </c>
      <c r="F6" t="s">
        <v>93</v>
      </c>
      <c r="G6" t="s">
        <v>334</v>
      </c>
      <c r="H6" t="s">
        <v>120</v>
      </c>
      <c r="I6">
        <v>2.569</v>
      </c>
      <c r="J6" t="s">
        <v>196</v>
      </c>
      <c r="K6" t="s">
        <v>418</v>
      </c>
      <c r="L6" t="s">
        <v>8</v>
      </c>
      <c r="M6" t="s">
        <v>8</v>
      </c>
      <c r="N6" t="s">
        <v>8</v>
      </c>
      <c r="O6" t="s">
        <v>8</v>
      </c>
      <c r="P6" t="s">
        <v>139</v>
      </c>
      <c r="Q6">
        <v>100</v>
      </c>
      <c r="R6" t="s">
        <v>316</v>
      </c>
      <c r="S6" t="s">
        <v>329</v>
      </c>
      <c r="T6" t="s">
        <v>8</v>
      </c>
      <c r="U6" t="s">
        <v>8</v>
      </c>
      <c r="V6" t="s">
        <v>104</v>
      </c>
      <c r="W6" t="s">
        <v>169</v>
      </c>
      <c r="X6" s="134">
        <v>45149</v>
      </c>
      <c r="Y6" s="134">
        <v>45333</v>
      </c>
      <c r="Z6" s="134">
        <v>46245</v>
      </c>
      <c r="AA6">
        <v>0.35499999999999998</v>
      </c>
      <c r="AB6">
        <v>2.569</v>
      </c>
      <c r="AC6">
        <v>2.7770000000000001</v>
      </c>
      <c r="AD6" t="s">
        <v>417</v>
      </c>
      <c r="AE6"/>
      <c r="AF6" t="s">
        <v>409</v>
      </c>
      <c r="AG6" t="s">
        <v>104</v>
      </c>
      <c r="AH6" t="s">
        <v>104</v>
      </c>
      <c r="AI6" t="s">
        <v>545</v>
      </c>
      <c r="AJ6" t="s">
        <v>8</v>
      </c>
      <c r="AK6" t="s">
        <v>8</v>
      </c>
      <c r="AL6"/>
      <c r="AM6" t="s">
        <v>104</v>
      </c>
      <c r="AN6" t="s">
        <v>104</v>
      </c>
      <c r="AO6"/>
      <c r="AP6"/>
      <c r="AQ6"/>
      <c r="AR6"/>
      <c r="AS6" t="s">
        <v>421</v>
      </c>
      <c r="BF6" s="26"/>
    </row>
    <row r="7" spans="1:58" x14ac:dyDescent="0.25">
      <c r="A7">
        <v>3</v>
      </c>
      <c r="B7" t="s">
        <v>445</v>
      </c>
      <c r="C7" t="s">
        <v>447</v>
      </c>
      <c r="D7" s="134">
        <v>45146</v>
      </c>
      <c r="E7" t="s">
        <v>577</v>
      </c>
      <c r="F7" t="s">
        <v>93</v>
      </c>
      <c r="G7" t="s">
        <v>455</v>
      </c>
      <c r="H7" t="s">
        <v>120</v>
      </c>
      <c r="I7">
        <v>4.8499999999999996</v>
      </c>
      <c r="J7" t="s">
        <v>196</v>
      </c>
      <c r="K7" t="s">
        <v>450</v>
      </c>
      <c r="L7" t="s">
        <v>549</v>
      </c>
      <c r="M7" t="s">
        <v>450</v>
      </c>
      <c r="N7" t="s">
        <v>8</v>
      </c>
      <c r="O7" t="s">
        <v>556</v>
      </c>
      <c r="P7" t="s">
        <v>139</v>
      </c>
      <c r="Q7">
        <v>100</v>
      </c>
      <c r="R7" t="s">
        <v>316</v>
      </c>
      <c r="S7" t="s">
        <v>329</v>
      </c>
      <c r="T7" t="s">
        <v>8</v>
      </c>
      <c r="U7" t="s">
        <v>8</v>
      </c>
      <c r="V7" t="s">
        <v>104</v>
      </c>
      <c r="W7" t="s">
        <v>169</v>
      </c>
      <c r="X7" s="134">
        <v>45149</v>
      </c>
      <c r="Y7" s="134">
        <v>45333</v>
      </c>
      <c r="Z7" s="134">
        <v>46245</v>
      </c>
      <c r="AA7">
        <v>0.66900000000000004</v>
      </c>
      <c r="AB7">
        <v>4.8499999999999996</v>
      </c>
      <c r="AC7">
        <v>5.2329999999999997</v>
      </c>
      <c r="AD7" t="s">
        <v>457</v>
      </c>
      <c r="AE7"/>
      <c r="AF7" t="s">
        <v>445</v>
      </c>
      <c r="AG7" t="s">
        <v>104</v>
      </c>
      <c r="AH7" t="s">
        <v>104</v>
      </c>
      <c r="AI7" t="s">
        <v>548</v>
      </c>
      <c r="AJ7" t="s">
        <v>8</v>
      </c>
      <c r="AK7" t="s">
        <v>8</v>
      </c>
      <c r="AL7"/>
      <c r="AM7" t="s">
        <v>104</v>
      </c>
      <c r="AN7" t="s">
        <v>104</v>
      </c>
      <c r="AO7"/>
      <c r="AP7"/>
      <c r="AQ7"/>
      <c r="AR7"/>
      <c r="AS7" t="s">
        <v>460</v>
      </c>
      <c r="BF7" s="26"/>
    </row>
    <row r="8" spans="1:58" x14ac:dyDescent="0.25">
      <c r="A8">
        <v>2</v>
      </c>
      <c r="B8" t="s">
        <v>422</v>
      </c>
      <c r="C8" t="s">
        <v>424</v>
      </c>
      <c r="D8" s="134">
        <v>45146</v>
      </c>
      <c r="E8" t="s">
        <v>93</v>
      </c>
      <c r="F8" t="s">
        <v>579</v>
      </c>
      <c r="G8" t="s">
        <v>8</v>
      </c>
      <c r="H8" t="s">
        <v>95</v>
      </c>
      <c r="I8">
        <v>20</v>
      </c>
      <c r="J8" t="s">
        <v>546</v>
      </c>
      <c r="K8" t="s">
        <v>429</v>
      </c>
      <c r="L8" t="s">
        <v>547</v>
      </c>
      <c r="M8" t="s">
        <v>429</v>
      </c>
      <c r="N8" t="s">
        <v>8</v>
      </c>
      <c r="O8" t="s">
        <v>389</v>
      </c>
      <c r="P8" t="s">
        <v>139</v>
      </c>
      <c r="Q8">
        <v>100</v>
      </c>
      <c r="R8" t="s">
        <v>315</v>
      </c>
      <c r="S8" t="s">
        <v>329</v>
      </c>
      <c r="T8" t="s">
        <v>193</v>
      </c>
      <c r="U8" t="s">
        <v>8</v>
      </c>
      <c r="V8" t="s">
        <v>104</v>
      </c>
      <c r="W8" t="s">
        <v>169</v>
      </c>
      <c r="X8" s="134">
        <v>45153</v>
      </c>
      <c r="Y8" s="134">
        <v>45337</v>
      </c>
      <c r="Z8" s="134">
        <v>48806</v>
      </c>
      <c r="AA8">
        <v>20</v>
      </c>
      <c r="AB8">
        <v>144.78</v>
      </c>
      <c r="AC8">
        <v>156.26</v>
      </c>
      <c r="AD8" t="s">
        <v>440</v>
      </c>
      <c r="AE8"/>
      <c r="AF8" t="s">
        <v>441</v>
      </c>
      <c r="AG8" t="s">
        <v>104</v>
      </c>
      <c r="AH8" t="s">
        <v>104</v>
      </c>
      <c r="AI8" t="s">
        <v>8</v>
      </c>
      <c r="AJ8" t="s">
        <v>8</v>
      </c>
      <c r="AK8" t="s">
        <v>434</v>
      </c>
      <c r="AL8"/>
      <c r="AM8" t="s">
        <v>104</v>
      </c>
      <c r="AN8" t="s">
        <v>104</v>
      </c>
      <c r="AO8"/>
      <c r="AP8"/>
      <c r="AQ8"/>
      <c r="AR8"/>
      <c r="AS8" t="s">
        <v>444</v>
      </c>
      <c r="BF8" s="26"/>
    </row>
    <row r="9" spans="1:58" x14ac:dyDescent="0.25">
      <c r="A9">
        <v>1</v>
      </c>
      <c r="B9" t="s">
        <v>463</v>
      </c>
      <c r="C9" t="s">
        <v>465</v>
      </c>
      <c r="D9" s="134">
        <v>45145</v>
      </c>
      <c r="E9" t="s">
        <v>93</v>
      </c>
      <c r="F9" t="s">
        <v>580</v>
      </c>
      <c r="G9" t="s">
        <v>320</v>
      </c>
      <c r="H9" t="s">
        <v>95</v>
      </c>
      <c r="I9">
        <v>0.7</v>
      </c>
      <c r="J9" t="s">
        <v>196</v>
      </c>
      <c r="K9" t="s">
        <v>340</v>
      </c>
      <c r="L9" t="s">
        <v>551</v>
      </c>
      <c r="M9" t="s">
        <v>340</v>
      </c>
      <c r="N9" t="s">
        <v>8</v>
      </c>
      <c r="O9" t="s">
        <v>559</v>
      </c>
      <c r="P9" t="s">
        <v>139</v>
      </c>
      <c r="Q9">
        <v>100</v>
      </c>
      <c r="R9" t="s">
        <v>468</v>
      </c>
      <c r="S9" t="s">
        <v>329</v>
      </c>
      <c r="T9" t="s">
        <v>8</v>
      </c>
      <c r="U9" t="s">
        <v>8</v>
      </c>
      <c r="V9" t="s">
        <v>104</v>
      </c>
      <c r="W9" t="s">
        <v>169</v>
      </c>
      <c r="X9" s="134">
        <v>45152</v>
      </c>
      <c r="Y9" s="134">
        <v>45336</v>
      </c>
      <c r="Z9" s="134">
        <v>46248</v>
      </c>
      <c r="AA9">
        <v>0.7</v>
      </c>
      <c r="AB9">
        <v>5.0419999999999998</v>
      </c>
      <c r="AC9">
        <v>5.4649999999999999</v>
      </c>
      <c r="AD9" t="s">
        <v>475</v>
      </c>
      <c r="AE9"/>
      <c r="AF9" t="s">
        <v>476</v>
      </c>
      <c r="AG9" t="s">
        <v>463</v>
      </c>
      <c r="AH9" t="s">
        <v>104</v>
      </c>
      <c r="AI9" t="s">
        <v>550</v>
      </c>
      <c r="AJ9" t="s">
        <v>552</v>
      </c>
      <c r="AK9" t="s">
        <v>8</v>
      </c>
      <c r="AL9"/>
      <c r="AM9" t="s">
        <v>104</v>
      </c>
      <c r="AN9" t="s">
        <v>104</v>
      </c>
      <c r="AO9"/>
      <c r="AP9"/>
      <c r="AQ9"/>
      <c r="AR9"/>
      <c r="AS9" t="s">
        <v>479</v>
      </c>
      <c r="BF9" s="26"/>
    </row>
    <row r="10" spans="1:58" x14ac:dyDescent="0.25">
      <c r="BF10" s="26"/>
    </row>
    <row r="11" spans="1:58" x14ac:dyDescent="0.25">
      <c r="BF11" s="26"/>
    </row>
    <row r="12" spans="1:58" x14ac:dyDescent="0.25">
      <c r="BF12" s="26"/>
    </row>
    <row r="13" spans="1:58" x14ac:dyDescent="0.25">
      <c r="BF13" s="26"/>
    </row>
    <row r="14" spans="1:58" x14ac:dyDescent="0.25">
      <c r="BF14" s="26"/>
    </row>
  </sheetData>
  <phoneticPr fontId="17" type="noConversion"/>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FDD3B-65A7-4A1C-A498-F0E9E40CC6FB}">
  <sheetPr codeName="Sheet14"/>
  <dimension ref="A1:T6"/>
  <sheetViews>
    <sheetView workbookViewId="0">
      <selection activeCell="J5" sqref="J5"/>
    </sheetView>
  </sheetViews>
  <sheetFormatPr defaultRowHeight="15" x14ac:dyDescent="0.25"/>
  <cols>
    <col min="1" max="1" width="7.109375" style="1" bestFit="1" customWidth="1"/>
    <col min="2" max="2" width="25.88671875" style="1" bestFit="1" customWidth="1"/>
    <col min="3" max="3" width="12.6640625" style="1" bestFit="1" customWidth="1"/>
    <col min="4" max="4" width="9.33203125" style="1" bestFit="1" customWidth="1"/>
    <col min="5" max="5" width="9.21875" style="1" bestFit="1" customWidth="1"/>
    <col min="6" max="6" width="5.88671875" style="1" bestFit="1" customWidth="1"/>
    <col min="7" max="7" width="7.6640625" style="1" bestFit="1" customWidth="1"/>
    <col min="8" max="8" width="5.88671875" style="1" bestFit="1" customWidth="1"/>
    <col min="9" max="10" width="9.21875" style="1" bestFit="1" customWidth="1"/>
    <col min="11" max="11" width="4.21875" style="1" bestFit="1" customWidth="1"/>
    <col min="12" max="12" width="10.88671875" style="1" bestFit="1" customWidth="1"/>
    <col min="13" max="13" width="13.33203125" style="1" bestFit="1" customWidth="1"/>
    <col min="14" max="14" width="7.5546875" style="1" bestFit="1" customWidth="1"/>
    <col min="15" max="15" width="9.21875" style="1" bestFit="1" customWidth="1"/>
    <col min="16" max="16" width="5.88671875" style="1" bestFit="1" customWidth="1"/>
    <col min="17" max="17" width="9.21875" style="1" bestFit="1" customWidth="1"/>
    <col min="18" max="18" width="11" style="1" bestFit="1" customWidth="1"/>
    <col min="19" max="19" width="9.33203125" style="1" bestFit="1" customWidth="1"/>
    <col min="20" max="20" width="11.5546875" style="1" bestFit="1" customWidth="1"/>
    <col min="21" max="21" width="11.77734375" style="1" bestFit="1" customWidth="1"/>
    <col min="22" max="22" width="5.88671875" style="1" bestFit="1" customWidth="1"/>
    <col min="23" max="24" width="8.33203125" style="1" bestFit="1" customWidth="1"/>
    <col min="25" max="16384" width="8.88671875" style="1"/>
  </cols>
  <sheetData>
    <row r="1" spans="1:20" ht="43.5" customHeight="1" x14ac:dyDescent="0.25"/>
    <row r="2" spans="1:20" ht="43.5" customHeight="1" x14ac:dyDescent="0.25"/>
    <row r="3" spans="1:20" ht="43.5" customHeight="1" x14ac:dyDescent="0.25"/>
    <row r="4" spans="1:20" x14ac:dyDescent="0.25">
      <c r="A4" t="s">
        <v>96</v>
      </c>
      <c r="B4" t="s">
        <v>106</v>
      </c>
      <c r="C4" t="s">
        <v>141</v>
      </c>
      <c r="D4" t="s">
        <v>296</v>
      </c>
      <c r="E4" t="s">
        <v>306</v>
      </c>
      <c r="F4" t="s">
        <v>99</v>
      </c>
      <c r="G4" t="s">
        <v>53</v>
      </c>
      <c r="H4" t="s">
        <v>54</v>
      </c>
      <c r="I4" t="s">
        <v>302</v>
      </c>
      <c r="J4" t="s">
        <v>266</v>
      </c>
      <c r="K4" t="s">
        <v>318</v>
      </c>
      <c r="L4" t="s">
        <v>303</v>
      </c>
      <c r="M4" t="s">
        <v>248</v>
      </c>
      <c r="N4" t="s">
        <v>304</v>
      </c>
      <c r="O4" t="s">
        <v>305</v>
      </c>
      <c r="P4" t="s">
        <v>51</v>
      </c>
      <c r="Q4" t="s">
        <v>52</v>
      </c>
      <c r="R4" t="s">
        <v>50</v>
      </c>
      <c r="S4" t="s">
        <v>220</v>
      </c>
      <c r="T4" t="s">
        <v>285</v>
      </c>
    </row>
    <row r="5" spans="1:20" x14ac:dyDescent="0.25">
      <c r="A5" s="113"/>
      <c r="B5" s="113" t="s">
        <v>409</v>
      </c>
      <c r="C5" s="113" t="s">
        <v>461</v>
      </c>
      <c r="D5" s="113" t="s">
        <v>299</v>
      </c>
      <c r="E5" s="113"/>
      <c r="F5" s="113" t="s">
        <v>20</v>
      </c>
      <c r="G5" s="113" t="s">
        <v>414</v>
      </c>
      <c r="H5" s="113" t="s">
        <v>8</v>
      </c>
      <c r="I5" s="113"/>
      <c r="J5" s="113" t="s">
        <v>251</v>
      </c>
      <c r="K5"/>
      <c r="L5" s="113"/>
      <c r="M5" s="133">
        <v>45147</v>
      </c>
      <c r="N5" s="113"/>
      <c r="O5" s="113"/>
      <c r="P5" s="113" t="s">
        <v>2</v>
      </c>
      <c r="Q5" s="113" t="s">
        <v>323</v>
      </c>
      <c r="R5" s="113" t="s">
        <v>162</v>
      </c>
      <c r="S5" s="113"/>
      <c r="T5" s="113"/>
    </row>
    <row r="6" spans="1:20" x14ac:dyDescent="0.25">
      <c r="A6" s="113"/>
      <c r="B6" s="113" t="s">
        <v>422</v>
      </c>
      <c r="C6" s="113" t="s">
        <v>574</v>
      </c>
      <c r="D6" s="113" t="s">
        <v>298</v>
      </c>
      <c r="E6" s="113"/>
      <c r="F6" s="113" t="s">
        <v>19</v>
      </c>
      <c r="G6" s="113" t="s">
        <v>335</v>
      </c>
      <c r="H6" s="113" t="s">
        <v>8</v>
      </c>
      <c r="I6" s="113"/>
      <c r="J6" s="113" t="s">
        <v>250</v>
      </c>
      <c r="K6"/>
      <c r="L6" s="113"/>
      <c r="M6" s="133">
        <v>42936</v>
      </c>
      <c r="N6" s="113"/>
      <c r="O6" s="113"/>
      <c r="P6" s="113" t="s">
        <v>94</v>
      </c>
      <c r="Q6" s="113" t="s">
        <v>433</v>
      </c>
      <c r="R6" s="113" t="s">
        <v>336</v>
      </c>
      <c r="S6" s="113"/>
      <c r="T6" s="113"/>
    </row>
  </sheetData>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C96A0-1473-49AE-AD3A-4CC8DA6BC59D}">
  <sheetPr codeName="Sheet15"/>
  <dimension ref="A5:S7"/>
  <sheetViews>
    <sheetView workbookViewId="0">
      <selection activeCell="S6" sqref="S6"/>
    </sheetView>
  </sheetViews>
  <sheetFormatPr defaultRowHeight="15" x14ac:dyDescent="0.25"/>
  <cols>
    <col min="1" max="1" width="7.109375" style="1" bestFit="1" customWidth="1"/>
    <col min="2" max="2" width="13.21875" style="1" bestFit="1" customWidth="1"/>
    <col min="3" max="3" width="7.5546875" style="1" bestFit="1" customWidth="1"/>
    <col min="4" max="4" width="24.6640625" style="1" bestFit="1" customWidth="1"/>
    <col min="5" max="5" width="11.109375" style="1" bestFit="1" customWidth="1"/>
    <col min="6" max="6" width="9.21875" style="1" bestFit="1" customWidth="1"/>
    <col min="7" max="7" width="8.77734375" style="1" bestFit="1" customWidth="1"/>
    <col min="8" max="9" width="9.21875" style="1" bestFit="1" customWidth="1"/>
    <col min="10" max="10" width="11.44140625" style="1" bestFit="1" customWidth="1"/>
    <col min="11" max="11" width="15.21875" style="1" bestFit="1" customWidth="1"/>
    <col min="12" max="12" width="5.88671875" style="1" bestFit="1" customWidth="1"/>
    <col min="13" max="13" width="9.21875" style="1" bestFit="1" customWidth="1"/>
    <col min="14" max="14" width="5.88671875" style="1" bestFit="1" customWidth="1"/>
    <col min="15" max="17" width="7.5546875" style="1" bestFit="1" customWidth="1"/>
    <col min="18" max="18" width="19.33203125" style="1" bestFit="1" customWidth="1"/>
    <col min="19" max="19" width="10.33203125" style="1" bestFit="1" customWidth="1"/>
    <col min="20" max="20" width="8.77734375" style="1" bestFit="1" customWidth="1"/>
    <col min="21" max="21" width="9.21875" style="1" bestFit="1" customWidth="1"/>
    <col min="22" max="16384" width="8.88671875" style="1"/>
  </cols>
  <sheetData>
    <row r="5" spans="1:19" x14ac:dyDescent="0.25">
      <c r="A5" t="s">
        <v>96</v>
      </c>
      <c r="B5" t="s">
        <v>56</v>
      </c>
      <c r="C5" t="s">
        <v>57</v>
      </c>
      <c r="D5" t="s">
        <v>106</v>
      </c>
      <c r="E5" t="s">
        <v>191</v>
      </c>
      <c r="F5" t="s">
        <v>257</v>
      </c>
      <c r="G5" t="s">
        <v>258</v>
      </c>
      <c r="H5" t="s">
        <v>259</v>
      </c>
      <c r="I5" t="s">
        <v>222</v>
      </c>
      <c r="J5" t="s">
        <v>223</v>
      </c>
      <c r="K5" t="s">
        <v>233</v>
      </c>
      <c r="L5" t="s">
        <v>221</v>
      </c>
      <c r="M5" t="s">
        <v>264</v>
      </c>
      <c r="N5" t="s">
        <v>277</v>
      </c>
      <c r="O5" t="s">
        <v>278</v>
      </c>
      <c r="P5" t="s">
        <v>279</v>
      </c>
      <c r="Q5" t="s">
        <v>280</v>
      </c>
      <c r="R5" t="s">
        <v>181</v>
      </c>
      <c r="S5" t="s">
        <v>281</v>
      </c>
    </row>
    <row r="6" spans="1:19" x14ac:dyDescent="0.25">
      <c r="A6">
        <v>5</v>
      </c>
      <c r="B6" t="s">
        <v>394</v>
      </c>
      <c r="C6">
        <v>45148</v>
      </c>
      <c r="D6" t="s">
        <v>392</v>
      </c>
      <c r="E6" t="s">
        <v>193</v>
      </c>
      <c r="F6" t="s">
        <v>8</v>
      </c>
      <c r="G6" t="s">
        <v>8</v>
      </c>
      <c r="H6" t="s">
        <v>8</v>
      </c>
      <c r="I6" t="s">
        <v>231</v>
      </c>
      <c r="J6" t="s">
        <v>235</v>
      </c>
      <c r="K6" t="s">
        <v>566</v>
      </c>
      <c r="L6" t="s">
        <v>567</v>
      </c>
      <c r="M6" t="s">
        <v>583</v>
      </c>
      <c r="N6">
        <v>1</v>
      </c>
      <c r="O6">
        <v>1</v>
      </c>
      <c r="P6">
        <v>1</v>
      </c>
      <c r="Q6">
        <v>1</v>
      </c>
      <c r="R6" t="s">
        <v>408</v>
      </c>
      <c r="S6"/>
    </row>
    <row r="7" spans="1:19" x14ac:dyDescent="0.25">
      <c r="A7">
        <v>4</v>
      </c>
      <c r="B7" t="s">
        <v>411</v>
      </c>
      <c r="C7">
        <v>45147</v>
      </c>
      <c r="D7" t="s">
        <v>409</v>
      </c>
      <c r="E7" t="s">
        <v>194</v>
      </c>
      <c r="F7" t="s">
        <v>8</v>
      </c>
      <c r="G7" t="s">
        <v>568</v>
      </c>
      <c r="H7" t="s">
        <v>8</v>
      </c>
      <c r="I7" t="s">
        <v>231</v>
      </c>
      <c r="J7" t="s">
        <v>244</v>
      </c>
      <c r="K7" t="s">
        <v>562</v>
      </c>
      <c r="L7" t="s">
        <v>104</v>
      </c>
      <c r="M7" t="s">
        <v>584</v>
      </c>
      <c r="N7">
        <v>1</v>
      </c>
      <c r="O7">
        <v>1</v>
      </c>
      <c r="P7">
        <v>1</v>
      </c>
      <c r="Q7">
        <v>1</v>
      </c>
      <c r="R7" t="s">
        <v>421</v>
      </c>
      <c r="S7"/>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7793B4B-6913-4AF7-8EC6-0BAFAE130B0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30</vt:i4>
      </vt:variant>
    </vt:vector>
  </HeadingPairs>
  <TitlesOfParts>
    <vt:vector size="47" baseType="lpstr">
      <vt:lpstr>EXE</vt:lpstr>
      <vt:lpstr>DOWNLOAD</vt:lpstr>
      <vt:lpstr>FIMTN</vt:lpstr>
      <vt:lpstr>load</vt:lpstr>
      <vt:lpstr>REVIEW_LIST</vt:lpstr>
      <vt:lpstr>Charts</vt:lpstr>
      <vt:lpstr>WRITER</vt:lpstr>
      <vt:lpstr>ECON</vt:lpstr>
      <vt:lpstr>FUTURE</vt:lpstr>
      <vt:lpstr>Add</vt:lpstr>
      <vt:lpstr>dmi</vt:lpstr>
      <vt:lpstr>bbgcorp</vt:lpstr>
      <vt:lpstr>台账</vt:lpstr>
      <vt:lpstr>WST</vt:lpstr>
      <vt:lpstr>AddtoCurated</vt:lpstr>
      <vt:lpstr>AddtoCredit</vt:lpstr>
      <vt:lpstr>AddtoBISL</vt:lpstr>
      <vt:lpstr>dd_BISL_role</vt:lpstr>
      <vt:lpstr>dd_bocomdeal</vt:lpstr>
      <vt:lpstr>dd_bocomrole</vt:lpstr>
      <vt:lpstr>dd_by_rtg</vt:lpstr>
      <vt:lpstr>dd_byrtg</vt:lpstr>
      <vt:lpstr>dd_coverage</vt:lpstr>
      <vt:lpstr>dd_crcy</vt:lpstr>
      <vt:lpstr>dd_econ</vt:lpstr>
      <vt:lpstr>dd_ECONEvent</vt:lpstr>
      <vt:lpstr>dd_econfuture</vt:lpstr>
      <vt:lpstr>dd_FutureEvent</vt:lpstr>
      <vt:lpstr>dd_listing</vt:lpstr>
      <vt:lpstr>dd_region</vt:lpstr>
      <vt:lpstr>dd_sector</vt:lpstr>
      <vt:lpstr>dd_sfcrole</vt:lpstr>
      <vt:lpstr>dd_strct</vt:lpstr>
      <vt:lpstr>dd_structure</vt:lpstr>
      <vt:lpstr>dd_theme</vt:lpstr>
      <vt:lpstr>dd_updator</vt:lpstr>
      <vt:lpstr>dd_中资属性</vt:lpstr>
      <vt:lpstr>dd_板块</vt:lpstr>
      <vt:lpstr>GPS</vt:lpstr>
      <vt:lpstr>hard_coded_1</vt:lpstr>
      <vt:lpstr>hard_coded_2</vt:lpstr>
      <vt:lpstr>hard_coded_3</vt:lpstr>
      <vt:lpstr>hard_coded_4</vt:lpstr>
      <vt:lpstr>hard_coded_5</vt:lpstr>
      <vt:lpstr>hard_coded_6</vt:lpstr>
      <vt:lpstr>input_data</vt:lpstr>
      <vt:lpstr>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Kingsley Tong 童富涵</dc:creator>
  <cp:lastModifiedBy>Kingsley Tong 童富涵</cp:lastModifiedBy>
  <dcterms:created xsi:type="dcterms:W3CDTF">2023-03-10T12:57:22Z</dcterms:created>
  <dcterms:modified xsi:type="dcterms:W3CDTF">2023-08-17T07:23:50Z</dcterms:modified>
</cp:coreProperties>
</file>