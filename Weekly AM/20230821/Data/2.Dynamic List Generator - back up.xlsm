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queryTables/queryTable2.xml" ContentType="application/vnd.openxmlformats-officedocument.spreadsheetml.queryTable+xml"/>
  <Override PartName="/xl/tables/table13.xml" ContentType="application/vnd.openxmlformats-officedocument.spreadsheetml.table+xml"/>
  <Override PartName="/xl/queryTables/queryTable3.xml" ContentType="application/vnd.openxmlformats-officedocument.spreadsheetml.queryTable+xml"/>
  <Override PartName="/xl/tables/table14.xml" ContentType="application/vnd.openxmlformats-officedocument.spreadsheetml.table+xml"/>
  <Override PartName="/xl/queryTables/queryTable4.xml" ContentType="application/vnd.openxmlformats-officedocument.spreadsheetml.queryTable+xml"/>
  <Override PartName="/xl/tables/table1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6.xml" ContentType="application/vnd.openxmlformats-officedocument.spreadsheetml.queryTable+xml"/>
  <Override PartName="/xl/tables/table18.xml" ContentType="application/vnd.openxmlformats-officedocument.spreadsheetml.table+xml"/>
  <Override PartName="/xl/queryTables/queryTable7.xml" ContentType="application/vnd.openxmlformats-officedocument.spreadsheetml.queryTable+xml"/>
  <Override PartName="/xl/tables/table19.xml" ContentType="application/vnd.openxmlformats-officedocument.spreadsheetml.table+xml"/>
  <Override PartName="/xl/queryTables/queryTable8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0.xml" ContentType="application/vnd.openxmlformats-officedocument.spreadsheetml.table+xml"/>
  <Override PartName="/xl/queryTables/queryTable9.xml" ContentType="application/vnd.openxmlformats-officedocument.spreadsheetml.queryTable+xml"/>
  <Override PartName="/xl/tables/table21.xml" ContentType="application/vnd.openxmlformats-officedocument.spreadsheetml.table+xml"/>
  <Override PartName="/xl/queryTables/queryTable10.xml" ContentType="application/vnd.openxmlformats-officedocument.spreadsheetml.queryTable+xml"/>
  <Override PartName="/xl/tables/table22.xml" ContentType="application/vnd.openxmlformats-officedocument.spreadsheetml.table+xml"/>
  <Override PartName="/xl/queryTables/queryTable11.xml" ContentType="application/vnd.openxmlformats-officedocument.spreadsheetml.queryTable+xml"/>
  <Override PartName="/xl/tables/table23.xml" ContentType="application/vnd.openxmlformats-officedocument.spreadsheetml.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4.xml" ContentType="application/vnd.openxmlformats-officedocument.drawing+xml"/>
  <Override PartName="/xl/tables/table27.xml" ContentType="application/vnd.openxmlformats-officedocument.spreadsheetml.table+xml"/>
  <Override PartName="/xl/queryTables/queryTable13.xml" ContentType="application/vnd.openxmlformats-officedocument.spreadsheetml.queryTable+xml"/>
  <Override PartName="/xl/tables/table28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5.xml" ContentType="application/vnd.openxmlformats-officedocument.drawing+xml"/>
  <Override PartName="/xl/tables/table29.xml" ContentType="application/vnd.openxmlformats-officedocument.spreadsheetml.table+xml"/>
  <Override PartName="/xl/queryTables/queryTable15.xml" ContentType="application/vnd.openxmlformats-officedocument.spreadsheetml.queryTable+xml"/>
  <Override PartName="/xl/tables/table30.xml" ContentType="application/vnd.openxmlformats-officedocument.spreadsheetml.table+xml"/>
  <Override PartName="/xl/queryTables/queryTable16.xml" ContentType="application/vnd.openxmlformats-officedocument.spreadsheetml.queryTable+xml"/>
  <Override PartName="/xl/tables/table31.xml" ContentType="application/vnd.openxmlformats-officedocument.spreadsheetml.table+xml"/>
  <Override PartName="/xl/queryTables/queryTable17.xml" ContentType="application/vnd.openxmlformats-officedocument.spreadsheetml.queryTable+xml"/>
  <Override PartName="/xl/comments3.xml" ContentType="application/vnd.openxmlformats-officedocument.spreadsheetml.comments+xml"/>
  <Override PartName="/xl/tables/table32.xml" ContentType="application/vnd.openxmlformats-officedocument.spreadsheetml.table+xml"/>
  <Override PartName="/xl/queryTables/queryTable18.xml" ContentType="application/vnd.openxmlformats-officedocument.spreadsheetml.query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queryTables/queryTable19.xml" ContentType="application/vnd.openxmlformats-officedocument.spreadsheetml.queryTable+xml"/>
  <Override PartName="/xl/tables/table35.xml" ContentType="application/vnd.openxmlformats-officedocument.spreadsheetml.table+xml"/>
  <Override PartName="/xl/drawings/drawing6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20.xml" ContentType="application/vnd.openxmlformats-officedocument.spreadsheetml.queryTable+xml"/>
  <Override PartName="/xl/tables/table38.xml" ContentType="application/vnd.openxmlformats-officedocument.spreadsheetml.table+xml"/>
  <Override PartName="/xl/queryTables/queryTable21.xml" ContentType="application/vnd.openxmlformats-officedocument.spreadsheetml.queryTable+xml"/>
  <Override PartName="/xl/tables/table39.xml" ContentType="application/vnd.openxmlformats-officedocument.spreadsheetml.table+xml"/>
  <Override PartName="/xl/queryTables/queryTable22.xml" ContentType="application/vnd.openxmlformats-officedocument.spreadsheetml.queryTable+xml"/>
  <Override PartName="/xl/tables/table40.xml" ContentType="application/vnd.openxmlformats-officedocument.spreadsheetml.table+xml"/>
  <Override PartName="/xl/queryTables/queryTable23.xml" ContentType="application/vnd.openxmlformats-officedocument.spreadsheetml.queryTable+xml"/>
  <Override PartName="/xl/tables/table41.xml" ContentType="application/vnd.openxmlformats-officedocument.spreadsheetml.table+xml"/>
  <Override PartName="/xl/queryTables/queryTable24.xml" ContentType="application/vnd.openxmlformats-officedocument.spreadsheetml.queryTable+xml"/>
  <Override PartName="/xl/drawings/drawing7.xml" ContentType="application/vnd.openxmlformats-officedocument.drawing+xml"/>
  <Override PartName="/xl/tables/table42.xml" ContentType="application/vnd.openxmlformats-officedocument.spreadsheetml.table+xml"/>
  <Override PartName="/xl/queryTables/queryTable25.xml" ContentType="application/vnd.openxmlformats-officedocument.spreadsheetml.queryTable+xml"/>
  <Override PartName="/xl/drawings/drawing8.xml" ContentType="application/vnd.openxmlformats-officedocument.drawing+xml"/>
  <Override PartName="/xl/tables/table43.xml" ContentType="application/vnd.openxmlformats-officedocument.spreadsheetml.table+xml"/>
  <Override PartName="/xl/queryTables/queryTable26.xml" ContentType="application/vnd.openxmlformats-officedocument.spreadsheetml.queryTable+xml"/>
  <Override PartName="/xl/tables/table44.xml" ContentType="application/vnd.openxmlformats-officedocument.spreadsheetml.table+xml"/>
  <Override PartName="/xl/queryTables/queryTable2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0.10.1.215\dcm$\Team Folder\Execution Team\Weekly AM\20230821\Data\"/>
    </mc:Choice>
  </mc:AlternateContent>
  <xr:revisionPtr revIDLastSave="0" documentId="13_ncr:1_{1B09F63C-CE97-4112-99B9-B0F4AC0087CC}" xr6:coauthVersionLast="36" xr6:coauthVersionMax="36" xr10:uidLastSave="{00000000-0000-0000-0000-000000000000}"/>
  <bookViews>
    <workbookView xWindow="0" yWindow="0" windowWidth="28800" windowHeight="11625" tabRatio="594" firstSheet="1" activeTab="1" xr2:uid="{00000000-000D-0000-FFFF-FFFF00000000}"/>
  </bookViews>
  <sheets>
    <sheet name="EXE" sheetId="27" state="hidden" r:id="rId1"/>
    <sheet name="DOWNLOAD" sheetId="1" r:id="rId2"/>
    <sheet name="load" sheetId="23" r:id="rId3"/>
    <sheet name="REVIEW_LIST" sheetId="33" r:id="rId4"/>
    <sheet name="Charts" sheetId="40" r:id="rId5"/>
    <sheet name="WRITER" sheetId="39" r:id="rId6"/>
    <sheet name="ECON" sheetId="30" r:id="rId7"/>
    <sheet name="FUTURE" sheetId="41" r:id="rId8"/>
    <sheet name="Add" sheetId="15" r:id="rId9"/>
    <sheet name="FIMTN" sheetId="43" state="hidden" r:id="rId10"/>
    <sheet name="dmi" sheetId="42" state="hidden" r:id="rId11"/>
    <sheet name="bbgcorp" sheetId="49" state="hidden" r:id="rId12"/>
    <sheet name="台账" sheetId="51" state="hidden" r:id="rId13"/>
    <sheet name="WST" sheetId="50" state="hidden" r:id="rId14"/>
    <sheet name="AddtoCurated" sheetId="48" state="hidden" r:id="rId15"/>
    <sheet name="AddtoCredit" sheetId="46" state="hidden" r:id="rId16"/>
    <sheet name="AddtoBISL" sheetId="47" state="hidden" r:id="rId17"/>
  </sheets>
  <definedNames>
    <definedName name="_xlnm._FilterDatabase" localSheetId="9" hidden="1">FIMTN!#REF!</definedName>
    <definedName name="dd_BISL_role">BISL_ROLE[BISL_ROLE]</definedName>
    <definedName name="dd_bocomdeal">BOCOM_DEAL[BOCOM_DEAL?]</definedName>
    <definedName name="dd_bocomrole">tbl_dd_role[其他交银_ROLE]</definedName>
    <definedName name="dd_by_rtg">tbl_dd_by_rtg[评级分类]</definedName>
    <definedName name="dd_byrtg">tbl_dd_by_rtg[评级分类]</definedName>
    <definedName name="dd_coverage">tbl_dd_coverage[COVERAGE]</definedName>
    <definedName name="dd_crcy">tbl_dd_crcy[货币]</definedName>
    <definedName name="dd_econ">ECON[上周主要经济数据]</definedName>
    <definedName name="dd_econ1">FUTURE[未来一周主要经济数据]</definedName>
    <definedName name="dd_ECONEvent">ECON[上周主要经济数据]</definedName>
    <definedName name="dd_econfuture">FUTURE[未来一周主要经济数据]</definedName>
    <definedName name="dd_fi_shortlisted">#REF!</definedName>
    <definedName name="dd_FutureEvent">FUTURE[未来一周主要经济数据]</definedName>
    <definedName name="dd_listing">tbl_dd_listing[上市]</definedName>
    <definedName name="dd_region">tbl_dd_region[地区]</definedName>
    <definedName name="dd_sector">tbl_ddsector[行业]</definedName>
    <definedName name="dd_sfcrole">tbl_dd_sfcrole[新规角色]</definedName>
    <definedName name="dd_strct">tbl_dd_structure[结构]</definedName>
    <definedName name="dd_structure">tbl_dd_structure[结构]</definedName>
    <definedName name="dd_theme">tbl_dd_theme[主题]</definedName>
    <definedName name="dd_updator">tbl_updator[Updator]</definedName>
    <definedName name="dd_weeklylist">#REF!</definedName>
    <definedName name="dd_中资属性">中资属性[中资属性]</definedName>
    <definedName name="dd_板块">板块[板块]</definedName>
    <definedName name="ExternalData_1" localSheetId="14" hidden="1">AddtoCurated!$A$4:$AS$8</definedName>
    <definedName name="ExternalData_1" localSheetId="11" hidden="1">bbgcorp!$A$5:$L$21</definedName>
    <definedName name="ExternalData_1" localSheetId="6" hidden="1">ECON!$A$12:$O$29</definedName>
    <definedName name="ExternalData_1" localSheetId="0" hidden="1">EXE!$I$6:$I$11</definedName>
    <definedName name="ExternalData_1" localSheetId="9" hidden="1">FIMTN!$A$5:$J$10</definedName>
    <definedName name="ExternalData_1" localSheetId="13" hidden="1">WST!$A$5:$M$7</definedName>
    <definedName name="ExternalData_10" localSheetId="0" hidden="1">EXE!$E$18:$E$25</definedName>
    <definedName name="ExternalData_11" localSheetId="1" hidden="1">DOWNLOAD!#REF!</definedName>
    <definedName name="ExternalData_11" localSheetId="5" hidden="1">WRITER!$A$10:$F$11</definedName>
    <definedName name="ExternalData_12" localSheetId="5" hidden="1">WRITER!$A$16:$F$17</definedName>
    <definedName name="ExternalData_15" localSheetId="1" hidden="1">DOWNLOAD!$D$10:$CD$14</definedName>
    <definedName name="ExternalData_16" localSheetId="10" hidden="1">dmi!$A$5:$BQ$14</definedName>
    <definedName name="ExternalData_18" localSheetId="1" hidden="1">DOWNLOAD!#REF!</definedName>
    <definedName name="ExternalData_19" localSheetId="1" hidden="1">DOWNLOAD!#REF!</definedName>
    <definedName name="ExternalData_19" localSheetId="2" hidden="1">load!$C$5:$AD$9</definedName>
    <definedName name="ExternalData_2" localSheetId="0" hidden="1">EXE!$J$6:$J$12</definedName>
    <definedName name="ExternalData_2" localSheetId="7" hidden="1">FUTURE!$A$10:$O$21</definedName>
    <definedName name="ExternalData_2" localSheetId="2" hidden="1">load!$AH$5:$AW$6</definedName>
    <definedName name="ExternalData_2" localSheetId="12" hidden="1">台账!$A$5:$H$6</definedName>
    <definedName name="ExternalData_20" localSheetId="1" hidden="1">DOWNLOAD!$B$13:$B$14</definedName>
    <definedName name="ExternalData_21" localSheetId="1" hidden="1">DOWNLOAD!$B$10:$B$11</definedName>
    <definedName name="ExternalData_21" localSheetId="2" hidden="1">load!$AH$11:$AK$13</definedName>
    <definedName name="ExternalData_3" localSheetId="0" hidden="1">EXE!$K$6:$K$12</definedName>
    <definedName name="ExternalData_3" localSheetId="2" hidden="1">load!$A$5:$A$33</definedName>
    <definedName name="ExternalData_4" localSheetId="4" hidden="1">'Charts'!$P$5:$AF$9</definedName>
    <definedName name="ExternalData_4" localSheetId="0" hidden="1">EXE!$M$6:$M$15</definedName>
    <definedName name="ExternalData_5" localSheetId="14" hidden="1">AddtoCurated!$A$4:$BL$14</definedName>
    <definedName name="ExternalData_5" localSheetId="0" hidden="1">EXE!$L$6:$L$11</definedName>
    <definedName name="ExternalData_6" localSheetId="16" hidden="1">AddtoBISL!$A$5:$S$6</definedName>
    <definedName name="ExternalData_8" localSheetId="4" hidden="1">'Charts'!$A$5:$J$14</definedName>
    <definedName name="ExternalData_8" localSheetId="5" hidden="1">WRITER!$A$4:$F$6</definedName>
    <definedName name="ExternalData_9" localSheetId="15" hidden="1">AddtoCredit!$A$4:$T$6</definedName>
    <definedName name="ExternalData_9" localSheetId="0" hidden="1">EXE!#REF!</definedName>
    <definedName name="GPS">EXE!$A$1</definedName>
    <definedName name="hard_coded_1">Add!$G$2:$H$20</definedName>
    <definedName name="hard_coded_2">REVIEW_LIST!$A$4:$AB$41</definedName>
    <definedName name="hard_coded_3">REVIEW_LIST!$AE$4:$AT$40</definedName>
    <definedName name="hard_coded_4">REVIEW_LIST!$AW$4:$AZ$40</definedName>
    <definedName name="hard_coded_5">input_econ[上周主要经济数据]</definedName>
    <definedName name="hard_coded_6">input_future[未来一周主要经济数据]</definedName>
    <definedName name="input_data">Add!$G$2:$H$19</definedName>
    <definedName name="Name">load!$S$4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7" i="1"/>
  <c r="C6" i="1"/>
  <c r="D6" i="1" s="1"/>
  <c r="C5" i="1"/>
  <c r="D5" i="1" l="1"/>
  <c r="D1" i="23"/>
  <c r="S4" i="23" l="1"/>
  <c r="A1" i="27"/>
  <c r="C1" i="40" l="1"/>
  <c r="R1" i="40" l="1"/>
  <c r="Q1" i="40" l="1"/>
  <c r="F4" i="41" l="1"/>
  <c r="E4" i="41"/>
  <c r="D4" i="41"/>
  <c r="F6" i="41"/>
  <c r="E6" i="41"/>
  <c r="D6" i="41"/>
  <c r="F3" i="41"/>
  <c r="E3" i="41"/>
  <c r="D3" i="41"/>
  <c r="F7" i="41"/>
  <c r="E7" i="41"/>
  <c r="D7" i="41"/>
  <c r="F5" i="41"/>
  <c r="E5" i="41"/>
  <c r="D5" i="41"/>
  <c r="F8" i="41"/>
  <c r="E8" i="41"/>
  <c r="D8" i="41"/>
  <c r="H21" i="15"/>
  <c r="G21" i="15"/>
  <c r="F21" i="15"/>
  <c r="H22" i="15" l="1"/>
  <c r="G22" i="15"/>
  <c r="F22" i="15"/>
  <c r="H24" i="15"/>
  <c r="F24" i="15"/>
  <c r="G24" i="15"/>
  <c r="H23" i="15"/>
  <c r="G23" i="15"/>
  <c r="F23" i="15"/>
  <c r="D4" i="30" l="1"/>
  <c r="E4" i="30"/>
  <c r="E8" i="30"/>
  <c r="E7" i="30"/>
  <c r="E5" i="30"/>
  <c r="E3" i="30"/>
  <c r="E6" i="30"/>
  <c r="F4" i="30"/>
  <c r="F8" i="30"/>
  <c r="F7" i="30"/>
  <c r="F5" i="30"/>
  <c r="F3" i="30"/>
  <c r="F6" i="30"/>
  <c r="G4" i="30"/>
  <c r="G8" i="30"/>
  <c r="G7" i="30"/>
  <c r="G5" i="30"/>
  <c r="G3" i="30"/>
  <c r="G6" i="30"/>
  <c r="D8" i="30"/>
  <c r="D7" i="30"/>
  <c r="D5" i="30"/>
  <c r="D3" i="30"/>
  <c r="D6" i="30"/>
  <c r="H26" i="15" l="1"/>
  <c r="G26" i="15"/>
  <c r="F26" i="15"/>
  <c r="H25" i="15"/>
  <c r="G25" i="15"/>
  <c r="F25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M1" authorId="0" shapeId="0" xr:uid="{5F225EBE-C4A4-4976-945D-CA2807ED6C4B}">
      <text>
        <r>
          <rPr>
            <sz val="9"/>
            <color indexed="81"/>
            <rFont val="Tahoma"/>
            <family val="2"/>
          </rPr>
          <t>DateFormat YYYY/M/D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D1" authorId="0" shapeId="0" xr:uid="{47F3EA3D-92D0-444E-B637-DD2064F0A57D}">
      <text>
        <r>
          <rPr>
            <b/>
            <sz val="9"/>
            <color indexed="81"/>
            <rFont val="Tahoma"/>
            <family val="2"/>
          </rPr>
          <t>Formula to check paste value in 1.Download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A3" authorId="0" shapeId="0" xr:uid="{5C849F5E-7FF2-4428-A4A5-42D3B6E6A82C}">
      <text>
        <r>
          <rPr>
            <sz val="12"/>
            <color indexed="81"/>
            <rFont val="Tahoma"/>
            <family val="2"/>
          </rPr>
          <t>如无法判断是否为投资级板块，请在周报Chat确认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3000000}" keepAlive="1" name="Query - BBGcorp" description="Connection to the 'BBGcorp' query in the workbook." type="5" refreshedVersion="6" background="1" saveData="1">
    <dbPr connection="Provider=Microsoft.Mashup.OleDb.1;Data Source=$Workbook$;Location=BBGcorp;Extended Properties=&quot;&quot;" command="SELECT * FROM [BBGcorp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7271C9AE-7E6A-4CA5-AE87-5A56963D7E9D}" keepAlive="1" name="Query - BBGRtg" description="Connection to the 'BBGRtg' query in the workbook." type="5" refreshedVersion="0" background="1">
    <dbPr connection="Provider=Microsoft.Mashup.OleDb.1;Data Source=$Workbook$;Location=BBGRtg;Extended Properties=&quot;&quot;" command="SELECT * FROM [BBGRtg]"/>
  </connection>
  <connection id="3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4" xr16:uid="{80FE2552-31D9-4ED7-AA13-128037E31F67}" keepAlive="1" name="Query - BOCOM_DEAL" description="Connection to the 'BOCOM_DEAL' query in the workbook." type="5" refreshedVersion="6" background="1" saveData="1">
    <dbPr connection="Provider=Microsoft.Mashup.OleDb.1;Data Source=$Workbook$;Location=BOCOM_DEAL;Extended Properties=&quot;&quot;" command="SELECT * FROM [BOCOM_DEAL]"/>
  </connection>
  <connection id="5" xr16:uid="{00000000-0015-0000-FFFF-FFFF04000000}" keepAlive="1" name="Query - charts" description="Connection to the 'charts' query in the workbook." type="5" refreshedVersion="6" background="1" saveData="1">
    <dbPr connection="Provider=Microsoft.Mashup.OleDb.1;Data Source=$Workbook$;Location=charts;Extended Properties=&quot;&quot;" command="SELECT * FROM [charts]"/>
  </connection>
  <connection id="6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7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8" xr16:uid="{33FD96BB-2061-4D64-B212-F4E92D26C14A}" keepAlive="1" name="Query - ColNow_Graph" description="Connection to the 'ColNow_Graph' query in the workbook." type="5" refreshedVersion="0" background="1">
    <dbPr connection="Provider=Microsoft.Mashup.OleDb.1;Data Source=$Workbook$;Location=ColNow_Graph;Extended Properties=&quot;&quot;" command="SELECT * FROM [ColNow_Graph]"/>
  </connection>
  <connection id="9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0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1" xr16:uid="{28F817A5-DA87-4C75-ABB7-1836A531F661}" keepAlive="1" name="Query - ColNow_mCurated" description="Connection to the 'ColNow_mCurated' query in the workbook." type="5" refreshedVersion="0" background="1">
    <dbPr connection="Provider=Microsoft.Mashup.OleDb.1;Data Source=$Workbook$;Location=ColNow_mCurated;Extended Properties=&quot;&quot;" command="SELECT * FROM [ColNow_mCurated]"/>
  </connection>
  <connection id="12" xr16:uid="{0AF1C12F-6409-4D40-8000-EA1EAF0A94F1}" keepAlive="1" name="Query - ColNow_mDMI" description="Connection to the 'ColNow_mDMI' query in the workbook." type="5" refreshedVersion="0" background="1">
    <dbPr connection="Provider=Microsoft.Mashup.OleDb.1;Data Source=$Workbook$;Location=ColNow_mDMI;Extended Properties=&quot;&quot;" command="SELECT * FROM [ColNow_mDMI]"/>
  </connection>
  <connection id="13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4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5" xr16:uid="{00000000-0015-0000-FFFF-FFFF08000000}" keepAlive="1" name="Query - credit_all2" description="Connection to the 'credit_all2' query in the workbook." type="5" refreshedVersion="0" background="1">
    <dbPr connection="Provider=Microsoft.Mashup.OleDb.1;Data Source=$Workbook$;Location=credit_all2;Extended Properties=&quot;&quot;" command="SELECT * FROM [credit_all2]"/>
  </connection>
  <connection id="16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17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18" xr16:uid="{00000000-0015-0000-FFFF-FFFF2B000000}" keepAlive="1" name="Query - DiscoverPrice" description="Connection to the 'DiscoverPrice' query in the workbook." type="5" refreshedVersion="6" background="1" saveData="1">
    <dbPr connection="Provider=Microsoft.Mashup.OleDb.1;Data Source=$Workbook$;Location=DiscoverPrice;Extended Properties=&quot;&quot;" command="SELECT * FROM [DiscoverPrice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00000000-0015-0000-FFFF-FFFF09000000}" keepAlive="1" name="Query - DLDconso" description="Connection to the 'DLDconso' query in the workbook." type="5" refreshedVersion="6" background="1" saveData="1">
    <dbPr connection="Provider=Microsoft.Mashup.OleDb.1;Data Source=$Workbook$;Location=DLDconso;Extended Properties=&quot;&quot;" command="SELECT * FROM [DLDconso]"/>
    <extLst>
      <ext xmlns:x15="http://schemas.microsoft.com/office/spreadsheetml/2010/11/main" uri="{DE250136-89BD-433C-8126-D09CA5730AF9}">
        <x15:connection id="" excludeFromRefreshAll="1"/>
      </ext>
    </extLst>
  </connection>
  <connection id="20" xr16:uid="{00000000-0015-0000-FFFF-FFFF0A000000}" keepAlive="1" name="Query - dmi" description="Connection to the 'dmi' query in the workbook." type="5" refreshedVersion="6" background="1" saveData="1">
    <dbPr connection="Provider=Microsoft.Mashup.OleDb.1;Data Source=$Workbook$;Location=dmi;Extended Properties=&quot;&quot;" command="SELECT * FROM [dmi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22" xr16:uid="{00000000-0015-0000-FFFF-FFFF0C000000}" keepAlive="1" name="Query - DMIFilters" description="Connection to the 'DMIFilters' query in the workbook." type="5" refreshedVersion="0" background="1">
    <dbPr connection="Provider=Microsoft.Mashup.OleDb.1;Data Source=$Workbook$;Location=DMIFilters;Extended Properties=&quot;&quot;" command="SELECT * FROM [DMIFilters]"/>
  </connection>
  <connection id="23" xr16:uid="{B4C9D457-3E61-492F-833F-377DEFF635B1}" keepAlive="1" name="Query - DMIRtg" description="Connection to the 'DMIRtg' query in the workbook." type="5" refreshedVersion="0" background="1">
    <dbPr connection="Provider=Microsoft.Mashup.OleDb.1;Data Source=$Workbook$;Location=DMIRtg;Extended Properties=&quot;&quot;" command="SELECT * FROM [DMIRtg]"/>
  </connection>
  <connection id="24" xr16:uid="{C3C1AEC2-FEE9-4A89-928B-FEC21EF44F9F}" keepAlive="1" name="Query - dmistats" description="Connection to the 'dmistats' query in the workbook." type="5" refreshedVersion="0" background="1" saveData="1">
    <dbPr connection="Provider=Microsoft.Mashup.OleDb.1;Data Source=$Workbook$;Location=dmistats;Extended Properties=&quot;&quot;" command="SELECT * FROM [dmistats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3E0A6FC5-BDF3-4C8C-9C97-5B6F5B25B772}" keepAlive="1" name="Query - DMI列名更改" description="Connection to the 'DMI列名更改' query in the workbook." type="5" refreshedVersion="6" background="1" saveData="1">
    <dbPr connection="Provider=Microsoft.Mashup.OleDb.1;Data Source=$Workbook$;Location=DMI列名更改;Extended Properties=&quot;&quot;" command="SELECT * FROM [DMI列名更改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E625B8BF-BE23-4834-A971-DD1142ED5E96}" keepAlive="1" name="Query - DMI新增列" description="Connection to the 'DMI新增列' query in the workbook." type="5" refreshedVersion="6" background="1" saveData="1">
    <dbPr connection="Provider=Microsoft.Mashup.OleDb.1;Data Source=$Workbook$;Location=DMI新增列;Extended Properties=&quot;&quot;" command="SELECT * FROM [DMI新增列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28" xr16:uid="{00000000-0015-0000-FFFF-FFFF0E000000}" keepAlive="1" name="Query - ECON(1)" description="Connection to the 'ECON' query in the workbook." type="5" refreshedVersion="6" background="1" saveData="1">
    <dbPr connection="Provider=Microsoft.Mashup.OleDb.1;Data Source=$Workbook$;Location=ECON;Extended Properties=&quot;&quot;" command="SELECT * FROM [ECON]"/>
    <extLst>
      <ext xmlns:x15="http://schemas.microsoft.com/office/spreadsheetml/2010/11/main" uri="{DE250136-89BD-433C-8126-D09CA5730AF9}">
        <x15:connection id="" excludeFromRefreshAll="1"/>
      </ext>
    </extLst>
  </connection>
  <connection id="29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  <extLst>
      <ext xmlns:x15="http://schemas.microsoft.com/office/spreadsheetml/2010/11/main" uri="{DE250136-89BD-433C-8126-D09CA5730AF9}">
        <x15:connection id="" excludeFromRefreshAll="1"/>
      </ext>
    </extLst>
  </connection>
  <connection id="30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32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33" xr16:uid="{00000000-0015-0000-FFFF-FFFF12000000}" keepAlive="1" name="Query - FUTURE" description="Connection to the 'FUTURE' query in the workbook." type="5" refreshedVersion="6" background="1" saveData="1">
    <dbPr connection="Provider=Microsoft.Mashup.OleDb.1;Data Source=$Workbook$;Location=FUTURE;Extended Properties=&quot;&quot;" command="SELECT * FROM [FUTURE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ED7E70F9-70B4-4AEA-8E71-2D91C389FDB7}" keepAlive="1" name="Query - fxAddFeatured" description="Connection to the 'fxAddFeatured' query in the workbook." type="5" refreshedVersion="0" background="1">
    <dbPr connection="Provider=Microsoft.Mashup.OleDb.1;Data Source=$Workbook$;Location=fxAddFeatured;Extended Properties=&quot;&quot;" command="SELECT * FROM [fxAddFeatured]"/>
  </connection>
  <connection id="35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36" xr16:uid="{00000000-0015-0000-FFFF-FFFF14000000}" keepAlive="1" name="Query - fxBOCOMDEAL" description="Connection to the 'fxBOCOMDEAL' query in the workbook." type="5" refreshedVersion="0" background="1">
    <dbPr connection="Provider=Microsoft.Mashup.OleDb.1;Data Source=$Workbook$;Location=fxBOCOMDEAL;Extended Properties=&quot;&quot;" command="SELECT * FROM [fxBOCOMDEAL]"/>
  </connection>
  <connection id="37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38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39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40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41" xr16:uid="{D92DE01B-67AA-48C8-9ED8-CF0A12C90E35}" keepAlive="1" name="Query - fxClean" description="Connection to the 'fxClean' query in the workbook." type="5" refreshedVersion="0" background="1">
    <dbPr connection="Provider=Microsoft.Mashup.OleDb.1;Data Source=$Workbook$;Location=fxClean;Extended Properties=&quot;&quot;" command="SELECT * FROM [fxClean]"/>
  </connection>
  <connection id="42" xr16:uid="{240046F4-3549-4CF6-A44E-D16FD099BE8E}" keepAlive="1" name="Query - fxCNPresenter" description="Connection to the 'fxCNPresenter' query in the workbook." type="5" refreshedVersion="0" background="1">
    <dbPr connection="Provider=Microsoft.Mashup.OleDb.1;Data Source=$Workbook$;Location=fxCNPresenter;Extended Properties=&quot;&quot;" command="SELECT * FROM [fxCNPresenter]"/>
  </connection>
  <connection id="43" xr16:uid="{00000000-0015-0000-FFFF-FFFF1A000000}" keepAlive="1" name="Query - fxCNSecName" description="Connection to the 'fxCNSecName' query in the workbook." type="5" refreshedVersion="0" background="1">
    <dbPr connection="Provider=Microsoft.Mashup.OleDb.1;Data Source=$Workbook$;Location=fxCNSecName;Extended Properties=&quot;&quot;" command="SELECT * FROM [fxCNSecName]"/>
  </connection>
  <connection id="44" xr16:uid="{E862A2C4-7470-4098-AE96-B028F7664735}" keepAlive="1" name="Query - fxCNTheme" description="Connection to the 'fxCNTheme' query in the workbook." type="5" refreshedVersion="0" background="1">
    <dbPr connection="Provider=Microsoft.Mashup.OleDb.1;Data Source=$Workbook$;Location=fxCNTheme;Extended Properties=&quot;&quot;" command="SELECT * FROM [fxCNTheme]"/>
  </connection>
  <connection id="45" xr16:uid="{D3527853-721E-4A51-B3A7-14652259259C}" keepAlive="1" name="Query - fxCountDelimeter" description="Connection to the 'fxCountDelimeter' query in the workbook." type="5" refreshedVersion="0" background="1">
    <dbPr connection="Provider=Microsoft.Mashup.OleDb.1;Data Source=$Workbook$;Location=fxCountDelimeter;Extended Properties=&quot;&quot;" command="SELECT * FROM [fxCountDelimeter]"/>
  </connection>
  <connection id="46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47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48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49" xr16:uid="{37291519-D44D-4941-B5BA-94033263FC34}" keepAlive="1" name="Query - fxDiscoverPrice" description="Connection to the 'fxDiscoverPrice' query in the workbook." type="5" refreshedVersion="0" background="1">
    <dbPr connection="Provider=Microsoft.Mashup.OleDb.1;Data Source=$Workbook$;Location=fxDiscoverPrice;Extended Properties=&quot;&quot;" command="SELECT * FROM [fxDiscoverPrice]"/>
  </connection>
  <connection id="50" xr16:uid="{B5341989-3143-46DE-A183-C2941DF8ABA2}" keepAlive="1" name="Query - fxDMILoad" description="Connection to the 'fxDMILoad' query in the workbook." type="5" refreshedVersion="0" background="1">
    <dbPr connection="Provider=Microsoft.Mashup.OleDb.1;Data Source=$Workbook$;Location=fxDMILoad;Extended Properties=&quot;&quot;" command="SELECT * FROM [fxDMILoad]"/>
  </connection>
  <connection id="51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52" xr16:uid="{B489F661-F60D-4F25-A3B3-43B02FA79E73}" keepAlive="1" name="Query - fxExchFilter" description="Connection to the 'fxExchFilter' query in the workbook." type="5" refreshedVersion="0" background="1">
    <dbPr connection="Provider=Microsoft.Mashup.OleDb.1;Data Source=$Workbook$;Location=fxExchFilter;Extended Properties=&quot;&quot;" command="SELECT * FROM [fxExchFilter]"/>
  </connection>
  <connection id="53" xr16:uid="{E21B6A99-46D6-4B3B-8C05-B1C704BFC87F}" keepAlive="1" name="Query - fxFPGNum" description="Connection to the 'fxFPGNum' query in the workbook." type="5" refreshedVersion="0" background="1">
    <dbPr connection="Provider=Microsoft.Mashup.OleDb.1;Data Source=$Workbook$;Location=fxFPGNum;Extended Properties=&quot;&quot;" command="SELECT * FROM [fxFPGNum]"/>
  </connection>
  <connection id="54" xr16:uid="{075E3E6E-CC91-48D0-BDED-C10A9AC8925D}" keepAlive="1" name="Query - fxFRN" description="Connection to the 'fxFRN' query in the workbook." type="5" refreshedVersion="0" background="1">
    <dbPr connection="Provider=Microsoft.Mashup.OleDb.1;Data Source=$Workbook$;Location=fxFRN;Extended Properties=&quot;&quot;" command="SELECT * FROM [fxFRN]"/>
  </connection>
  <connection id="55" xr16:uid="{AD66991F-8EB3-49E8-A820-AEAFB16691FC}" keepAlive="1" name="Query - fxGroupRtg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56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57" xr16:uid="{6AD4BE48-B5C2-4038-BEBF-6EBAC26EDA9D}" keepAlive="1" name="Query - fxIPGNum" description="Connection to the 'fxIPGNum' query in the workbook." type="5" refreshedVersion="0" background="1">
    <dbPr connection="Provider=Microsoft.Mashup.OleDb.1;Data Source=$Workbook$;Location=fxIPGNum;Extended Properties=&quot;&quot;" command="SELECT * FROM [fxIPGNum]"/>
  </connection>
  <connection id="58" xr16:uid="{00000000-0015-0000-FFFF-FFFF20000000}" keepAlive="1" name="Query - fxIsBOCOM" description="Connection to the 'fxIsBOCOM' query in the workbook." type="5" refreshedVersion="0" background="1">
    <dbPr connection="Provider=Microsoft.Mashup.OleDb.1;Data Source=$Workbook$;Location=fxIsBOCOM;Extended Properties=&quot;&quot;" command="SELECT * FROM [fxIsBOCOM]"/>
  </connection>
  <connection id="59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60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1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2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63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64" xr16:uid="{8BF13D0C-F2A1-45B0-85F3-434C33CD2614}" keepAlive="1" name="Query - fxPBMK" description="Connection to the 'fxPBMK' query in the workbook." type="5" refreshedVersion="0" background="1">
    <dbPr connection="Provider=Microsoft.Mashup.OleDb.1;Data Source=$Workbook$;Location=fxPBMK;Extended Properties=&quot;&quot;" command="SELECT * FROM [fxPBMK]"/>
  </connection>
  <connection id="65" xr16:uid="{D9FF31A8-14C9-4CBE-9DB8-F74ED0BDCAC2}" keepAlive="1" name="Query - fxPNum" description="Connection to the 'fxPNum' query in the workbook." type="5" refreshedVersion="0" background="1">
    <dbPr connection="Provider=Microsoft.Mashup.OleDb.1;Data Source=$Workbook$;Location=fxPNum;Extended Properties=&quot;&quot;" command="SELECT * FROM [fxPNum]"/>
  </connection>
  <connection id="66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67" xr16:uid="{9023BC3E-A247-433A-9C1E-B2C14AF030B5}" keepAlive="1" name="Query - fxPriceDES" description="Connection to the 'fxPriceDES' query in the workbook." type="5" refreshedVersion="0" background="1">
    <dbPr connection="Provider=Microsoft.Mashup.OleDb.1;Data Source=$Workbook$;Location=fxPriceDES;Extended Properties=&quot;&quot;" command="SELECT * FROM [fxPriceDES]"/>
  </connection>
  <connection id="68" xr16:uid="{00000000-0015-0000-FFFF-FFFF1F000000}" keepAlive="1" name="Query - fxProjectNamer" description="Connection to the 'fxProjectNamer' query in the workbook." type="5" refreshedVersion="0" background="1">
    <dbPr connection="Provider=Microsoft.Mashup.OleDb.1;Data Source=$Workbook$;Location=fxProjectNamer;Extended Properties=&quot;&quot;" command="SELECT * FROM [fxProjectNamer]"/>
  </connection>
  <connection id="69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70" xr16:uid="{00000000-0015-0000-FFFF-FFFF21000000}" keepAlive="1" name="Query - fxReplacer" description="Connection to the 'fxReplacer' query in the workbook." type="5" refreshedVersion="0" background="1">
    <dbPr connection="Provider=Microsoft.Mashup.OleDb.1;Data Source=$Workbook$;Location=fxReplacer;Extended Properties=&quot;&quot;" command="SELECT * FROM [fxReplacer]"/>
  </connection>
  <connection id="71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2" xr16:uid="{D5FB265F-395B-4041-8CCB-CF6142AC1931}" keepAlive="1" name="Query - fxSmartClean" description="Connection to the 'fxSmartClean' query in the workbook." type="5" refreshedVersion="0" background="1">
    <dbPr connection="Provider=Microsoft.Mashup.OleDb.1;Data Source=$Workbook$;Location=fxSmartClean;Extended Properties=&quot;&quot;" command="SELECT * FROM [fxSmartClean]"/>
  </connection>
  <connection id="73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74" xr16:uid="{00000000-0015-0000-FFFF-FFFF15000000}" keepAlive="1" name="Query - fxSNBranch" description="Connection to the 'fxSNBranch' query in the workbook." type="5" refreshedVersion="0" background="1">
    <dbPr connection="Provider=Microsoft.Mashup.OleDb.1;Data Source=$Workbook$;Location=fxSNBranch;Extended Properties=&quot;&quot;" command="SELECT * FROM [fxSNBranch]"/>
  </connection>
  <connection id="75" xr16:uid="{23C855AD-E4B0-4C68-B306-AE6BED1B3368}" keepAlive="1" name="Query - fxSNCredit" description="Connection to the 'fxSNCredit' query in the workbook." type="5" refreshedVersion="0" background="1">
    <dbPr connection="Provider=Microsoft.Mashup.OleDb.1;Data Source=$Workbook$;Location=fxSNCredit;Extended Properties=&quot;&quot;" command="SELECT * FROM [fxSNCredit]"/>
  </connection>
  <connection id="76" xr16:uid="{2E795B6C-9702-49CA-B1CD-DD39A0CF0CE4}" keepAlive="1" name="Query - fxSNSBLC" description="Connection to the 'fxSNSBLC' query in the workbook." type="5" refreshedVersion="0" background="1">
    <dbPr connection="Provider=Microsoft.Mashup.OleDb.1;Data Source=$Workbook$;Location=fxSNSBLC;Extended Properties=&quot;&quot;" command="SELECT * FROM [fxSNSBLC]"/>
  </connection>
  <connection id="77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78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79" xr16:uid="{C311F849-FC06-46C6-9800-714C81B7B13D}" keepAlive="1" name="Query - fxTimeSlicer" description="Connection to the 'fxTimeSlicer' query in the workbook." type="5" refreshedVersion="0" background="1">
    <dbPr connection="Provider=Microsoft.Mashup.OleDb.1;Data Source=$Workbook$;Location=fxTimeSlicer;Extended Properties=&quot;&quot;" command="SELECT * FROM [fxTimeSlicer]"/>
  </connection>
  <connection id="80" xr16:uid="{00000000-0015-0000-FFFF-FFFF23000000}" keepAlive="1" name="Query - fxTrancher" description="Connection to the 'fxTrancher' query in the workbook." type="5" refreshedVersion="0" background="1">
    <dbPr connection="Provider=Microsoft.Mashup.OleDb.1;Data Source=$Workbook$;Location=fxTrancher;Extended Properties=&quot;&quot;" command="SELECT * FROM [fxTrancher]"/>
  </connection>
  <connection id="81" xr16:uid="{00000000-0015-0000-FFFF-FFFF24000000}" keepAlive="1" name="Query - fxValidator" description="Connection to the 'fxValidator' query in the workbook." type="5" refreshedVersion="0" background="1">
    <dbPr connection="Provider=Microsoft.Mashup.OleDb.1;Data Source=$Workbook$;Location=fxValidator;Extended Properties=&quot;&quot;" command="SELECT * FROM [fxValidator]"/>
  </connection>
  <connection id="82" xr16:uid="{AA79BE51-A3B2-4776-824A-95A7F20FEAC3}" keepAlive="1" name="Query - GPS" description="Connection to the 'GPS' query in the workbook." type="5" refreshedVersion="0" background="1">
    <dbPr connection="Provider=Microsoft.Mashup.OleDb.1;Data Source=$Workbook$;Location=GPS;Extended Properties=&quot;&quot;" command="SELECT * FROM [GPS]"/>
  </connection>
  <connection id="83" xr16:uid="{00000000-0015-0000-FFFF-FFFF25000000}" keepAlive="1" name="Query - graph_weeklydeal" description="Connection to the 'graph_weeklydeal' query in the workbook." type="5" refreshedVersion="6" background="1" saveData="1">
    <dbPr connection="Provider=Microsoft.Mashup.OleDb.1;Data Source=$Workbook$;Location=graph_weeklydeal;Extended Properties=&quot;&quot;" command="SELECT * FROM [graph_weeklydeal]"/>
  </connection>
  <connection id="84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85" xr16:uid="{00000000-0015-0000-FFFF-FFFF28000000}" keepAlive="1" name="Query - headers_review" description="Connection to the 'headers_review' query in the workbook." type="5" refreshedVersion="6" background="1" saveData="1">
    <dbPr connection="Provider=Microsoft.Mashup.OleDb.1;Data Source=$Workbook$;Location=headers_review;Extended Properties=&quot;&quot;" command="SELECT * FROM [headers_review]"/>
    <extLst>
      <ext xmlns:x15="http://schemas.microsoft.com/office/spreadsheetml/2010/11/main" uri="{DE250136-89BD-433C-8126-D09CA5730AF9}">
        <x15:connection id="" excludeFromRefreshAll="1"/>
      </ext>
    </extLst>
  </connection>
  <connection id="86" xr16:uid="{BEC68C88-028F-4B9B-B737-E060542A5742}" keepAlive="1" name="Query - IsTap" description="Connection to the 'IsTap' query in the workbook." type="5" refreshedVersion="6" background="1" saveData="1">
    <dbPr connection="Provider=Microsoft.Mashup.OleDb.1;Data Source=$Workbook$;Location=IsTap;Extended Properties=&quot;&quot;" command="SELECT * FROM [IsTap]"/>
    <extLst>
      <ext xmlns:x15="http://schemas.microsoft.com/office/spreadsheetml/2010/11/main" uri="{DE250136-89BD-433C-8126-D09CA5730AF9}">
        <x15:connection id="" excludeFromRefreshAll="1"/>
      </ext>
    </extLst>
  </connection>
  <connection id="87" xr16:uid="{CCF5AEA9-4876-4713-9EE0-D7F0D0E127ED}" keepAlive="1" name="Query - LaunchDownload" description="Connection to the 'LaunchDownload' query in the workbook." type="5" refreshedVersion="0" background="1" saveData="1">
    <dbPr connection="Provider=Microsoft.Mashup.OleDb.1;Data Source=$Workbook$;Location=LaunchDownload;Extended Properties=&quot;&quot;" command="SELECT * FROM [LaunchDownload]"/>
    <extLst>
      <ext xmlns:x15="http://schemas.microsoft.com/office/spreadsheetml/2010/11/main" uri="{DE250136-89BD-433C-8126-D09CA5730AF9}">
        <x15:connection id="" excludeFromRefreshAll="1"/>
      </ext>
    </extLst>
  </connection>
  <connection id="88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89" xr16:uid="{00000000-0015-0000-FFFF-FFFF30000000}" keepAlive="1" name="Query - mCreditNames" description="Connection to the 'mCreditNames' query in the workbook." type="5" refreshedVersion="0" background="1">
    <dbPr connection="Provider=Microsoft.Mashup.OleDb.1;Data Source=$Workbook$;Location=mCreditNames;Extended Properties=&quot;&quot;" command="SELECT * FROM [mCreditNames]"/>
  </connection>
  <connection id="90" xr16:uid="{37E886E7-3555-40D0-87C0-23B9D1E8DA68}" keepAlive="1" name="Query - Monday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91" xr16:uid="{DE6CD2C6-01DD-4C16-ACE4-D69FFA2ADFAE}" keepAlive="1" name="Query - NameCo" description="Connection to the 'NameCo' query in the workbook." type="5" refreshedVersion="6" background="1" saveData="1">
    <dbPr connection="Provider=Microsoft.Mashup.OleDb.1;Data Source=$Workbook$;Location=NameCo;Extended Properties=&quot;&quot;" command="SELECT * FROM [NameCo]"/>
    <extLst>
      <ext xmlns:x15="http://schemas.microsoft.com/office/spreadsheetml/2010/11/main" uri="{DE250136-89BD-433C-8126-D09CA5730AF9}">
        <x15:connection id="" excludeFromRefreshAll="1"/>
      </ext>
    </extLst>
  </connection>
  <connection id="92" xr16:uid="{72EC8C20-40C7-466B-8F20-7CAEAE24D846}" keepAlive="1" name="Query - P_DefaultedEntity" description="Connection to the 'P_DefaultedEntity' query in the workbook." type="5" refreshedVersion="0" background="1" saveData="1">
    <dbPr connection="Provider=Microsoft.Mashup.OleDb.1;Data Source=$Workbook$;Location=P_DefaultedEntity;Extended Properties=&quot;&quot;" command="SELECT * FROM [P_DefaultedEntity]"/>
    <extLst>
      <ext xmlns:x15="http://schemas.microsoft.com/office/spreadsheetml/2010/11/main" uri="{DE250136-89BD-433C-8126-D09CA5730AF9}">
        <x15:connection id="" excludeFromRefreshAll="1"/>
      </ext>
    </extLst>
  </connection>
  <connection id="93" xr16:uid="{7E2B54C3-A951-45B3-8619-BD0F0AF782C5}" keepAlive="1" name="Query - P_DefaultedEntityQry" description="Connection to the 'P_DefaultedEntityQry' query in the workbook." type="5" refreshedVersion="0" background="1" saveData="1">
    <dbPr connection="Provider=Microsoft.Mashup.OleDb.1;Data Source=$Workbook$;Location=P_DefaultedEntityQry;Extended Properties=&quot;&quot;" command="SELECT * FROM [P_DefaultedEntityQry]"/>
    <extLst>
      <ext xmlns:x15="http://schemas.microsoft.com/office/spreadsheetml/2010/11/main" uri="{DE250136-89BD-433C-8126-D09CA5730AF9}">
        <x15:connection id="" excludeFromRefreshAll="1"/>
      </ext>
    </extLst>
  </connection>
  <connection id="94" xr16:uid="{1BDF5794-999D-4820-9D8F-42590D7C7106}" keepAlive="1" name="Query - postreview(1)" description="Connection to the 'postreview' query in the workbook." type="5" refreshedVersion="6" background="1" saveData="1">
    <dbPr connection="Provider=Microsoft.Mashup.OleDb.1;Data Source=$Workbook$;Location=postreview;Extended Properties=&quot;&quot;" command="SELECT * FROM [postreview]"/>
  </connection>
  <connection id="95" xr16:uid="{D36D6443-03D4-4272-B842-9D0BD4D781FA}" keepAlive="1" name="Query - Query1(1)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96" xr16:uid="{2CEDF875-0920-42D5-ACCC-A3888D29C729}" keepAlive="1" name="Query - Query2" description="Connection to the 'Query2' query in the workbook." type="5" refreshedVersion="0" background="1">
    <dbPr connection="Provider=Microsoft.Mashup.OleDb.1;Data Source=$Workbook$;Location=Query2;Extended Properties=&quot;&quot;" command="SELECT * FROM [Query2]"/>
  </connection>
  <connection id="97" xr16:uid="{24FB9EA4-7F06-4E6C-B36B-3725CA5C4173}" keepAlive="1" name="Query - Query3" description="Connection to the 'Query3' query in the workbook." type="5" refreshedVersion="0" background="1" saveData="1">
    <dbPr connection="Provider=Microsoft.Mashup.OleDb.1;Data Source=$Workbook$;Location=Query3;Extended Properties=&quot;&quot;" command="SELECT * FROM [Query3]"/>
  </connection>
  <connection id="98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99" xr16:uid="{DD67756B-4E79-4EEB-9D1D-2A958FC7C782}" keepAlive="1" name="Query - review" description="Connection to the 'review' query in the workbook." type="5" refreshedVersion="6" background="1" saveData="1">
    <dbPr connection="Provider=Microsoft.Mashup.OleDb.1;Data Source=$Workbook$;Location=review;Extended Properties=&quot;&quot;" command="SELECT * FROM [review]"/>
  </connection>
  <connection id="100" xr16:uid="{00000000-0015-0000-FFFF-FFFF35000000}" keepAlive="1" name="Query - review_BISL" description="Connection to the 'review_BISL' query in the workbook." type="5" refreshedVersion="6" background="1" saveData="1">
    <dbPr connection="Provider=Microsoft.Mashup.OleDb.1;Data Source=$Workbook$;Location=review_BISL;Extended Properties=&quot;&quot;" command="SELECT * FROM [review_BISL]"/>
  </connection>
  <connection id="101" xr16:uid="{00000000-0015-0000-FFFF-FFFF36000000}" keepAlive="1" name="Query - review_shortname" description="Connection to the 'review_shortname' query in the workbook." type="5" refreshedVersion="6" background="1" saveData="1">
    <dbPr connection="Provider=Microsoft.Mashup.OleDb.1;Data Source=$Workbook$;Location=review_shortname;Extended Properties=&quot;&quot;" command="SELECT * FROM [review_shortname]"/>
  </connection>
  <connection id="102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03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04" xr16:uid="{00000000-0015-0000-FFFF-FFFF11000000}" keepAlive="1" name="Query - ss FTZ_region" description="Connection to the 'ss FTZ_region' query in the workbook." type="5" refreshedVersion="6" background="1" saveData="1">
    <dbPr connection="Provider=Microsoft.Mashup.OleDb.1;Data Source=$Workbook$;Location=&quot;ss FTZ_region&quot;;Extended Properties=&quot;&quot;" command="SELECT * FROM [ss FTZ_region]"/>
    <extLst>
      <ext xmlns:x15="http://schemas.microsoft.com/office/spreadsheetml/2010/11/main" uri="{DE250136-89BD-433C-8126-D09CA5730AF9}">
        <x15:connection id="" excludeFromRefreshAll="1"/>
      </ext>
    </extLst>
  </connection>
  <connection id="105" xr16:uid="{64BB5515-6BB1-4128-B7AD-00724FC14FFD}" keepAlive="1" name="Query - tbl_updator" description="Connection to the 'tbl_updator' query in the workbook." type="5" refreshedVersion="6" background="1" saveData="1">
    <dbPr connection="Provider=Microsoft.Mashup.OleDb.1;Data Source=$Workbook$;Location=tbl_updator;Extended Properties=&quot;&quot;" command="SELECT * FROM [tbl_updator]"/>
  </connection>
  <connection id="106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07" xr16:uid="{00000000-0015-0000-FFFF-FFFF2E000000}" keepAlive="1" name="Query - Validate" description="Connection to the 'Validate' query in the workbook." type="5" refreshedVersion="6" background="1" saveData="1">
    <dbPr connection="Provider=Microsoft.Mashup.OleDb.1;Data Source=$Workbook$;Location=Validate;Extended Properties=&quot;&quot;" command="SELECT * FROM [Validate]"/>
    <extLst>
      <ext xmlns:x15="http://schemas.microsoft.com/office/spreadsheetml/2010/11/main" uri="{DE250136-89BD-433C-8126-D09CA5730AF9}">
        <x15:connection id="" excludeFromRefreshAll="1"/>
      </ext>
    </extLst>
  </connection>
  <connection id="108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09" xr16:uid="{19D1300C-0BAB-4E05-B057-6BE735762337}" keepAlive="1" name="Query - WeeklyFilter" description="Connection to the 'WeeklyFilter' query in the workbook." type="5" refreshedVersion="0" background="1">
    <dbPr connection="Provider=Microsoft.Mashup.OleDb.1;Data Source=$Workbook$;Location=WeeklyFilter;Extended Properties=&quot;&quot;" command="SELECT * FROM [WeeklyFilter]"/>
  </connection>
  <connection id="110" xr16:uid="{87E2E6BF-1E97-4F0D-8D48-5C22F420A132}" keepAlive="1" name="Query - WeeklyFIMTN" description="Connection to the 'WeeklyFIMTN' query in the workbook." type="5" refreshedVersion="6" background="1" saveData="1">
    <dbPr connection="Provider=Microsoft.Mashup.OleDb.1;Data Source=$Workbook$;Location=WeeklyFIMTN;Extended Properties=&quot;&quot;" command="SELECT * FROM [WeeklyFIMTN]"/>
    <extLst>
      <ext xmlns:x15="http://schemas.microsoft.com/office/spreadsheetml/2010/11/main" uri="{DE250136-89BD-433C-8126-D09CA5730AF9}">
        <x15:connection id="" excludeFromRefreshAll="1"/>
      </ext>
    </extLst>
  </connection>
  <connection id="111" xr16:uid="{00000000-0015-0000-FFFF-FFFF3B000000}" keepAlive="1" name="Query - writer" description="Connection to the 'writer' query in the workbook." type="5" refreshedVersion="8" background="1" saveData="1">
    <dbPr connection="Provider=Microsoft.Mashup.OleDb.1;Data Source=$Workbook$;Location=writer;Extended Properties=&quot;&quot;" command="SELECT * FROM [writer]"/>
  </connection>
  <connection id="112" xr16:uid="{00000000-0015-0000-FFFF-FFFF3E000000}" keepAlive="1" name="Query - writer_CNH" description="Connection to the 'writer_CNH' query in the workbook." type="5" refreshedVersion="6" background="1" saveData="1">
    <dbPr connection="Provider=Microsoft.Mashup.OleDb.1;Data Source=$Workbook$;Location=writer_CNH;Extended Properties=&quot;&quot;" command="SELECT * FROM [writer_CNH]"/>
  </connection>
  <connection id="113" xr16:uid="{00000000-0015-0000-FFFF-FFFF3C000000}" keepAlive="1" name="Query - writer_fi" description="Connection to the 'writer_fi' query in the workbook." type="5" refreshedVersion="6" background="1" saveData="1">
    <dbPr connection="Provider=Microsoft.Mashup.OleDb.1;Data Source=$Workbook$;Location=writer_fi;Extended Properties=&quot;&quot;" command="SELECT * FROM [writer_fi]"/>
  </connection>
  <connection id="114" xr16:uid="{00000000-0015-0000-FFFF-FFFF3D000000}" keepAlive="1" name="Query - writer_NotCNH" description="Connection to the 'writer_NotCNH' query in the workbook." type="5" refreshedVersion="6" background="1" saveData="1">
    <dbPr connection="Provider=Microsoft.Mashup.OleDb.1;Data Source=$Workbook$;Location=writer_NotCNH;Extended Properties=&quot;&quot;" command="SELECT * FROM [writer_NotCNH]"/>
  </connection>
  <connection id="115" xr16:uid="{00000000-0015-0000-FFFF-FFFF3F000000}" keepAlive="1" name="Query - writer_others" description="Connection to the 'writer_others' query in the workbook." type="5" refreshedVersion="8" background="1" saveData="1">
    <dbPr connection="Provider=Microsoft.Mashup.OleDb.1;Data Source=$Workbook$;Location=writer_others;Extended Properties=&quot;&quot;" command="SELECT * FROM [writer_others]"/>
  </connection>
  <connection id="116" xr16:uid="{00000000-0015-0000-FFFF-FFFF40000000}" keepAlive="1" name="Query - WST" description="Connection to the 'WST' query in the workbook." type="5" refreshedVersion="6" background="1" saveData="1">
    <dbPr connection="Provider=Microsoft.Mashup.OleDb.1;Data Source=$Workbook$;Location=WST;Extended Properties=&quot;&quot;" command="SELECT * FROM [WST]"/>
    <extLst>
      <ext xmlns:x15="http://schemas.microsoft.com/office/spreadsheetml/2010/11/main" uri="{DE250136-89BD-433C-8126-D09CA5730AF9}">
        <x15:connection id="" excludeFromRefreshAll="1"/>
      </ext>
    </extLst>
  </connection>
  <connection id="117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118" xr16:uid="{5803C420-57A2-4823-B625-8F1D20F98284}" keepAlive="1" name="Query - 债务管理Filter" description="Connection to the '债务管理Filter' query in the workbook." type="5" refreshedVersion="0" background="1">
    <dbPr connection="Provider=Microsoft.Mashup.OleDb.1;Data Source=$Workbook$;Location=债务管理Filter;Extended Properties=&quot;&quot;" command="SELECT * FROM [债务管理Filter]"/>
  </connection>
  <connection id="119" xr16:uid="{00000000-0015-0000-FFFF-FFFF33000000}" keepAlive="1" name="Query - 台账23" description="Connection to the '台账23' query in the workbook." type="5" refreshedVersion="6" background="1" saveData="1">
    <dbPr connection="Provider=Microsoft.Mashup.OleDb.1;Data Source=$Workbook$;Location=台账23;Extended Properties=&quot;&quot;" command="SELECT * FROM [台账23]"/>
    <extLst>
      <ext xmlns:x15="http://schemas.microsoft.com/office/spreadsheetml/2010/11/main" uri="{DE250136-89BD-433C-8126-D09CA5730AF9}">
        <x15:connection id="" excludeFromRefreshAll="1"/>
      </ext>
    </extLst>
  </connection>
  <connection id="120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121" xr16:uid="{5FAD6CB1-4054-4D46-BC8C-78174FE2C605}" keepAlive="1" name="Query - 澳门Filter" description="Connection to the '澳门Filter' query in the workbook." type="5" refreshedVersion="0" background="1">
    <dbPr connection="Provider=Microsoft.Mashup.OleDb.1;Data Source=$Workbook$;Location=澳门Filter;Extended Properties=&quot;&quot;" command="SELECT * FROM [澳门Filter]"/>
  </connection>
  <connection id="122" xr16:uid="{60E777FB-0FBC-439A-9E26-0443E2DF96BF}" keepAlive="1" name="Query - 香港Filter" description="Connection to the '香港Filter' query in the workbook." type="5" refreshedVersion="0" background="1">
    <dbPr connection="Provider=Microsoft.Mashup.OleDb.1;Data Source=$Workbook$;Location=香港Filter;Extended Properties=&quot;&quot;" command="SELECT * FROM [香港Filter]"/>
  </connection>
</connections>
</file>

<file path=xl/sharedStrings.xml><?xml version="1.0" encoding="utf-8"?>
<sst xmlns="http://schemas.openxmlformats.org/spreadsheetml/2006/main" count="2263" uniqueCount="624">
  <si>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</si>
  <si>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</si>
  <si>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</si>
  <si>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</si>
  <si>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</si>
  <si>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</si>
  <si>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</si>
  <si>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</si>
  <si>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</si>
  <si>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</si>
  <si>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</si>
  <si>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</si>
  <si>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</si>
  <si>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</si>
  <si>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</si>
  <si>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</si>
  <si>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</si>
  <si>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</si>
  <si>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</si>
  <si>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</si>
  <si>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</si>
  <si>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</si>
  <si>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</si>
  <si>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</si>
  <si>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</si>
  <si>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</si>
  <si>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</si>
  <si>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</si>
  <si>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</si>
  <si>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</si>
  <si>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</si>
  <si>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</si>
  <si>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</si>
  <si>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</si>
  <si>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</si>
  <si>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</si>
  <si>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</si>
  <si>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明珠债</t>
  </si>
  <si>
    <t>绿债</t>
  </si>
  <si>
    <t>可持续债</t>
  </si>
  <si>
    <t>绿色明珠债</t>
  </si>
  <si>
    <t>资本工具</t>
  </si>
  <si>
    <t>可持续挂钩债</t>
  </si>
  <si>
    <t>直发</t>
  </si>
  <si>
    <t>维好+担保</t>
  </si>
  <si>
    <t>担保发行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</si>
  <si>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</si>
  <si>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</si>
  <si>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</si>
  <si>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</si>
  <si>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</si>
  <si>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</si>
  <si>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</si>
  <si>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</si>
  <si>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</si>
  <si>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</si>
  <si>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</si>
  <si>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</si>
  <si>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</si>
  <si>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发行票面利率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</si>
  <si>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</si>
  <si>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</si>
  <si>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</si>
  <si>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</si>
  <si>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</si>
  <si>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</si>
  <si>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</si>
  <si>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</si>
  <si>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</si>
  <si>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</si>
  <si>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</si>
  <si>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</si>
  <si>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</si>
  <si>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</si>
  <si>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</si>
  <si>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</si>
  <si>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</si>
  <si>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</si>
  <si>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</si>
  <si>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</si>
  <si>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</si>
  <si>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</si>
  <si>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</si>
  <si>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</si>
  <si>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</si>
  <si>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</si>
  <si>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</si>
  <si>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</si>
  <si>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</si>
  <si>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</si>
  <si>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</si>
  <si>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无评级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</si>
  <si>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</si>
  <si>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</si>
  <si>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</si>
  <si>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</si>
  <si>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</si>
  <si>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</si>
  <si>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</si>
  <si>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</si>
  <si>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SGX</t>
  </si>
  <si>
    <t>MOX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</si>
  <si>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</si>
  <si>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</si>
  <si>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</si>
  <si>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</si>
  <si>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</si>
  <si>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</si>
  <si>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</si>
  <si>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</si>
  <si>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</si>
  <si>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</si>
  <si>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</si>
  <si>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</si>
  <si>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</si>
  <si>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</si>
  <si>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</si>
  <si>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XS2572949274</t>
  </si>
  <si>
    <t>List</t>
  </si>
  <si>
    <t>CNH</t>
  </si>
  <si>
    <t>品种</t>
  </si>
  <si>
    <t>Example</t>
  </si>
  <si>
    <t>Extra ISIN</t>
  </si>
  <si>
    <t>GENERATOR</t>
  </si>
  <si>
    <t>HKD</t>
  </si>
  <si>
    <t>未上市</t>
  </si>
  <si>
    <t>可持续明珠债</t>
  </si>
  <si>
    <t>HKEX</t>
  </si>
  <si>
    <t>EUR</t>
  </si>
  <si>
    <t>HKEX;MOX</t>
  </si>
  <si>
    <t>SGX;MOX</t>
  </si>
  <si>
    <t>Extra ISIN 1</t>
  </si>
  <si>
    <t>红筹架构</t>
  </si>
  <si>
    <t>备证</t>
  </si>
  <si>
    <t>备证+担保</t>
  </si>
  <si>
    <t>备证+维好</t>
  </si>
  <si>
    <t>备证+担保+维好</t>
  </si>
  <si>
    <t>ISIN CHECK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</si>
  <si>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</si>
  <si>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</si>
  <si>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</si>
  <si>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</si>
  <si>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</si>
  <si>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</si>
  <si>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</si>
  <si>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</si>
  <si>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</si>
  <si>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</si>
  <si>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</si>
  <si>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</si>
  <si>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</si>
  <si>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</si>
  <si>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</si>
  <si>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</si>
  <si>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CPI 月环比</t>
  </si>
  <si>
    <t>地方国有企业</t>
  </si>
  <si>
    <t>--/--</t>
  </si>
  <si>
    <t>Senior Unsecured</t>
  </si>
  <si>
    <t>否</t>
  </si>
  <si>
    <t>固定利率</t>
  </si>
  <si>
    <t>未到期</t>
  </si>
  <si>
    <t>普通债</t>
  </si>
  <si>
    <t>M6</t>
  </si>
  <si>
    <t>认购额(亿)</t>
  </si>
  <si>
    <t>IG</t>
  </si>
  <si>
    <t>HY</t>
  </si>
  <si>
    <t>IPG number</t>
  </si>
  <si>
    <t>FPG number</t>
  </si>
  <si>
    <t>ADD</t>
  </si>
  <si>
    <t>发行评级</t>
  </si>
  <si>
    <t>USD &amp; CNH</t>
  </si>
  <si>
    <t>描述</t>
  </si>
  <si>
    <t>WRITER</t>
  </si>
  <si>
    <t>ESG</t>
  </si>
  <si>
    <t>Check</t>
  </si>
  <si>
    <t>增发判定</t>
  </si>
  <si>
    <t>宁夏</t>
  </si>
  <si>
    <t>西藏</t>
  </si>
  <si>
    <t>青海</t>
  </si>
  <si>
    <t>香港</t>
  </si>
  <si>
    <t>补充OMAS updates</t>
  </si>
  <si>
    <t>信用主体全名</t>
  </si>
  <si>
    <t>headers_review</t>
  </si>
  <si>
    <t>LOAD</t>
  </si>
  <si>
    <t>BISL_ROLE</t>
  </si>
  <si>
    <t>BOCOM_DEAL?</t>
  </si>
  <si>
    <t>JBR</t>
  </si>
  <si>
    <t>JGC</t>
  </si>
  <si>
    <t>投资级</t>
  </si>
  <si>
    <t>3</t>
  </si>
  <si>
    <t>定价</t>
  </si>
  <si>
    <t>其他交银_ROLE</t>
  </si>
  <si>
    <t>FEATURED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</si>
  <si>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</si>
  <si>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</si>
  <si>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</si>
  <si>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</si>
  <si>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</si>
  <si>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</si>
  <si>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</si>
  <si>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</si>
  <si>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</si>
  <si>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</si>
  <si>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</si>
  <si>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</si>
  <si>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</si>
  <si>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</si>
  <si>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</si>
  <si>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</si>
  <si>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4.2%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</si>
  <si>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</si>
  <si>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</si>
  <si>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</si>
  <si>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</si>
  <si>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</si>
  <si>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</si>
  <si>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</si>
  <si>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</si>
  <si>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</si>
  <si>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</si>
  <si>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</si>
  <si>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</si>
  <si>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</si>
  <si>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</si>
  <si>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</si>
  <si>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</si>
  <si>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</si>
  <si>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</si>
  <si>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</si>
  <si>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</si>
  <si>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Global Advisor</t>
  </si>
  <si>
    <t>Co-Manager</t>
  </si>
  <si>
    <t>PA</t>
  </si>
  <si>
    <t>NSCMI</t>
  </si>
  <si>
    <t>POE组</t>
  </si>
  <si>
    <t>审阅简称</t>
  </si>
  <si>
    <t>审阅角色详情</t>
  </si>
  <si>
    <t>审阅债券详情</t>
  </si>
  <si>
    <t>DEBUT_DATE</t>
  </si>
  <si>
    <t>央企</t>
  </si>
  <si>
    <t>央企(子)</t>
  </si>
  <si>
    <t>地方国企</t>
  </si>
  <si>
    <t>民企</t>
  </si>
  <si>
    <t>n/a</t>
  </si>
  <si>
    <t>3.0000</t>
  </si>
  <si>
    <t>发行方式</t>
  </si>
  <si>
    <t>RegS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</si>
  <si>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</si>
  <si>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</si>
  <si>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</si>
  <si>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</si>
  <si>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</si>
  <si>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</si>
  <si>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</si>
  <si>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</si>
  <si>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</si>
  <si>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NotCNH</t>
  </si>
  <si>
    <t>期限备注</t>
  </si>
  <si>
    <t>亿港币</t>
  </si>
  <si>
    <t>SGC</t>
  </si>
  <si>
    <t>Dealer</t>
  </si>
  <si>
    <t>美元债</t>
  </si>
  <si>
    <t>1-3年</t>
  </si>
  <si>
    <t>多笔</t>
  </si>
  <si>
    <t>多币种</t>
  </si>
  <si>
    <t>多品种</t>
  </si>
  <si>
    <t>多期限</t>
  </si>
  <si>
    <t>PRJ对帐号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</si>
  <si>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</si>
  <si>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</si>
  <si>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</si>
  <si>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</si>
  <si>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</si>
  <si>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</si>
  <si>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</si>
  <si>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</si>
  <si>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</si>
  <si>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</si>
  <si>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</si>
  <si>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七月</t>
  </si>
  <si>
    <t>BISL,港分</t>
  </si>
  <si>
    <t>板块</t>
  </si>
  <si>
    <t>主权/政府</t>
  </si>
  <si>
    <t>金融机构类</t>
  </si>
  <si>
    <t>地方平台类</t>
  </si>
  <si>
    <t>产业类</t>
  </si>
  <si>
    <t>房地产类</t>
  </si>
  <si>
    <t>平台级别</t>
  </si>
  <si>
    <t>首次违约日</t>
  </si>
  <si>
    <t>曾用名</t>
  </si>
  <si>
    <t>主体备注</t>
  </si>
  <si>
    <t>行业二级</t>
  </si>
  <si>
    <t>CY</t>
  </si>
  <si>
    <t>注册成立地</t>
  </si>
  <si>
    <t>BISL</t>
  </si>
  <si>
    <t>BISL,港分Global Advisor*</t>
  </si>
  <si>
    <t>港分,澳分</t>
  </si>
  <si>
    <t>港分</t>
  </si>
  <si>
    <t>澳分</t>
  </si>
  <si>
    <t>交行参与投资未承销*</t>
  </si>
  <si>
    <t>直接发行</t>
  </si>
  <si>
    <t>SBLC</t>
  </si>
  <si>
    <t>FI MTN</t>
  </si>
  <si>
    <t>系</t>
  </si>
  <si>
    <t>Stats描述</t>
  </si>
  <si>
    <t>AAA</t>
  </si>
  <si>
    <t>控制权变更回售@100%</t>
  </si>
  <si>
    <t>基础建设</t>
  </si>
  <si>
    <t>稳定/--</t>
  </si>
  <si>
    <t>广东省</t>
  </si>
  <si>
    <t>AA</t>
  </si>
  <si>
    <t>CPI 同比</t>
  </si>
  <si>
    <t>八月</t>
  </si>
  <si>
    <t>点心债</t>
  </si>
  <si>
    <t>英文简称</t>
  </si>
  <si>
    <t>发行架构</t>
  </si>
  <si>
    <t>3.01Y</t>
  </si>
  <si>
    <t>A1/A</t>
  </si>
  <si>
    <t>AA+</t>
  </si>
  <si>
    <t>EC</t>
  </si>
  <si>
    <t>JUL F</t>
  </si>
  <si>
    <t>ECCPEMUY Index</t>
  </si>
  <si>
    <t>欧元区七月</t>
  </si>
  <si>
    <t>欧元区七月CPI 同比</t>
  </si>
  <si>
    <t>GDP经季调季环比</t>
  </si>
  <si>
    <t>2Q P</t>
  </si>
  <si>
    <t>EUGNEMUQ Index</t>
  </si>
  <si>
    <t>二季度</t>
  </si>
  <si>
    <t>欧元区二季度</t>
  </si>
  <si>
    <t>欧元区二季度GDP经季调季环比</t>
  </si>
  <si>
    <t>GDP经季调同比</t>
  </si>
  <si>
    <t>EUGNEMUY Index</t>
  </si>
  <si>
    <t>欧元区二季度GDP经季调同比</t>
  </si>
  <si>
    <t>ECCPEMUM Index</t>
  </si>
  <si>
    <t>欧元区七月CPI 月环比</t>
  </si>
  <si>
    <t>核心CPI同比</t>
  </si>
  <si>
    <t>CPEXEMUY Index</t>
  </si>
  <si>
    <t>欧元区七月核心CPI同比</t>
  </si>
  <si>
    <t>ZEW调查预期</t>
  </si>
  <si>
    <t>AUG</t>
  </si>
  <si>
    <t>GRZEEUEX Index</t>
  </si>
  <si>
    <t>欧元区八月</t>
  </si>
  <si>
    <t>欧元区八月ZEW调查预期</t>
  </si>
  <si>
    <t>Green</t>
  </si>
  <si>
    <t>发行及交存代理*</t>
  </si>
  <si>
    <t>REVIEW
⬇️</t>
  </si>
  <si>
    <t>发行人注册地</t>
  </si>
  <si>
    <t>浮息息差</t>
  </si>
  <si>
    <t>债项BBG</t>
  </si>
  <si>
    <t>主体BBG</t>
  </si>
  <si>
    <t>DMI</t>
  </si>
  <si>
    <t>BBGCorp</t>
  </si>
  <si>
    <t>债券名称</t>
  </si>
  <si>
    <t>初始发行价</t>
  </si>
  <si>
    <t>首日表现</t>
  </si>
  <si>
    <t>最终订单量/峰值订单（亿美元）</t>
  </si>
  <si>
    <t>WSTIPT</t>
  </si>
  <si>
    <t>WSTFPT</t>
  </si>
  <si>
    <t>-/-</t>
  </si>
  <si>
    <t>WST</t>
  </si>
  <si>
    <t>项目名称（集团全称）</t>
  </si>
  <si>
    <t>担任角色</t>
  </si>
  <si>
    <t>项目定价日</t>
  </si>
  <si>
    <t>QRC台账</t>
  </si>
  <si>
    <t>DMI Count</t>
  </si>
  <si>
    <t>BBG Count</t>
  </si>
  <si>
    <t>WST Date</t>
  </si>
  <si>
    <t>Max 台账序号</t>
  </si>
  <si>
    <t>XS2670330641</t>
  </si>
  <si>
    <t>A3/--/--</t>
  </si>
  <si>
    <t>HK</t>
  </si>
  <si>
    <t>A3/BBB+/WD</t>
  </si>
  <si>
    <t>230816XS2670330641</t>
  </si>
  <si>
    <t>A3/BBB+/--</t>
  </si>
  <si>
    <t>HK0000942877</t>
  </si>
  <si>
    <t>CN</t>
  </si>
  <si>
    <t>230816HK0000942877</t>
  </si>
  <si>
    <t>XS2671065501</t>
  </si>
  <si>
    <t>230816XS2671065501</t>
  </si>
  <si>
    <t>XS2671308091</t>
  </si>
  <si>
    <t>--/A+/A+u</t>
  </si>
  <si>
    <t>230815XS2671308091</t>
  </si>
  <si>
    <t>--/A+/A+</t>
  </si>
  <si>
    <t>BBG01HWXF3T9</t>
  </si>
  <si>
    <t>230815BBG01HWXF3T9</t>
  </si>
  <si>
    <t>MO0000000238</t>
  </si>
  <si>
    <t>230815MO0000000238</t>
  </si>
  <si>
    <t>XS2670616023</t>
  </si>
  <si>
    <t>230814XS2670616023</t>
  </si>
  <si>
    <t>XS2670206981</t>
  </si>
  <si>
    <t>230814XS2670206981</t>
  </si>
  <si>
    <t>中信建投(国际)金融控股有限公司</t>
  </si>
  <si>
    <t>CSCIF 6.05 08/16/24</t>
  </si>
  <si>
    <t>中信建投国际 6.05 2024-08-16</t>
  </si>
  <si>
    <t>0.9945</t>
  </si>
  <si>
    <t>SEC注册</t>
  </si>
  <si>
    <t>Unsecured</t>
  </si>
  <si>
    <t>北京市</t>
  </si>
  <si>
    <t>China Securities (International) Brokerage Company Limited</t>
  </si>
  <si>
    <t>多元金融</t>
  </si>
  <si>
    <t>CSCIF</t>
  </si>
  <si>
    <t>Y1</t>
  </si>
  <si>
    <t>CHINA SECURITIES INTERNATIONAL INVESTMENT CO LTD</t>
  </si>
  <si>
    <t>宿迁裕丰产业投资发展管理集团有限公司</t>
  </si>
  <si>
    <t>SQYFCT 3.98 08/23/26</t>
  </si>
  <si>
    <t>宿迁裕丰产业投资发展管理集团有限公司 3.98 2026-08-23</t>
  </si>
  <si>
    <t>中华（澳门）金融资产交易股份有限公司</t>
  </si>
  <si>
    <t>3.98%</t>
  </si>
  <si>
    <t>南京银行股份有限公司宿迁分行</t>
  </si>
  <si>
    <t>江苏省</t>
  </si>
  <si>
    <t>宿迁市</t>
  </si>
  <si>
    <t>Huatai Financial Holdings (Hong Kong) Limited</t>
  </si>
  <si>
    <t>项目开发和补充流动资金</t>
  </si>
  <si>
    <t>SQYFCT</t>
  </si>
  <si>
    <t>Luso International Banking Ltd;China CITIC Bank International Limited;Huatai Financial Holdings (Hong Kong) Limited</t>
  </si>
  <si>
    <t>Luso International Banking Ltd;China CITIC Bank International Limited</t>
  </si>
  <si>
    <t>招银金融租赁有限公司</t>
  </si>
  <si>
    <t>CMINLE FLOAT 08/23/26</t>
  </si>
  <si>
    <t>招银金融租赁 FLOAT 2026-08-23</t>
  </si>
  <si>
    <t>A3/BBB+</t>
  </si>
  <si>
    <t>正面/正面</t>
  </si>
  <si>
    <t>维好协议</t>
  </si>
  <si>
    <t>上海市</t>
  </si>
  <si>
    <t>浦东新区</t>
  </si>
  <si>
    <t>Bank of Communications Co., Ltd. Hong Kong Branch;China Construction Bank (Asia) Corporation Limited;China Minsheng Banking Corp., Ltd., Hong Kong Branch;CMB International Securities Ltd;CMB Wing Lung Bank Limited;Industrial Bank Co., Ltd. Hong Kong Branch;Shanghai Pudong Development Bank Hong Kong Branch;Bank of China (Hong Kong) Limited</t>
  </si>
  <si>
    <t>国有相对控股企业</t>
  </si>
  <si>
    <t>CMINLE</t>
  </si>
  <si>
    <t>M3</t>
  </si>
  <si>
    <t>浮动利率</t>
  </si>
  <si>
    <t>Bank of Communications Co., Ltd. Hong Kong Branch;Industrial Bank Co., Ltd. Hong Kong Branch;China Minsheng Banking Corp., Ltd., Hong Kong Branch;China Construction Bank (Asia) Corporation Limited;Shanghai Pudong Development Bank Hong Kong Branch;CMB Wing Lung Bank Limited;Bank of China (Hong Kong) Limited;CMB International Securities Ltd</t>
  </si>
  <si>
    <t>CMB INTERNATIONAL LEASING MANAGEMENT LTD</t>
  </si>
  <si>
    <t>O/N SOFR +100.000</t>
  </si>
  <si>
    <t>中国进出口银行</t>
  </si>
  <si>
    <t>EXIMCH FLOAT 08/22/28</t>
  </si>
  <si>
    <t>进出口银行 FLOAT 2028-08-22</t>
  </si>
  <si>
    <t>A1/--</t>
  </si>
  <si>
    <t>5.0000</t>
  </si>
  <si>
    <t>西城区</t>
  </si>
  <si>
    <t>Agricultural Bank of China Limited Hong Kong Branch;Mizuho Securities Asia Limited</t>
  </si>
  <si>
    <t>银行</t>
  </si>
  <si>
    <t>5.01Y</t>
  </si>
  <si>
    <t>中央国有企业</t>
  </si>
  <si>
    <t>EXIMCH</t>
  </si>
  <si>
    <t>EXPORT-IMPORT BANK OF CHINA/THE</t>
  </si>
  <si>
    <t>SOFRIX +67.000</t>
  </si>
  <si>
    <t>利率债</t>
  </si>
  <si>
    <t>珠海农村商业银行股份有限公司</t>
  </si>
  <si>
    <t>ZHURUL 3.5 08/22/26</t>
  </si>
  <si>
    <t>珠海农村商业银行股份有限公司 3.5 2026-08-22</t>
  </si>
  <si>
    <t>3.50%</t>
  </si>
  <si>
    <t>珠海市</t>
  </si>
  <si>
    <t>Bank of China Limited, Macau Branch;Huatai Financial Holdings (Hong Kong) Limited;Luso International Banking Limited;Industrial Bank Co., Ltd. Hong Kong Branch;Guotai Junan International Holdings;China CITIC Bank International Limited</t>
  </si>
  <si>
    <t>集体企业</t>
  </si>
  <si>
    <t>预期净收益将用于资助符合条件的项目</t>
  </si>
  <si>
    <t>ZHURUL</t>
  </si>
  <si>
    <t>Guotai Junan International Holdings;Luso International Banking Limited;Industrial Bank Co., Ltd. Hong Kong Branch;Bank of China Limited, Macau Branch;Huatai Financial Holdings (Hong Kong) Limited;China CITIC Bank International Limited</t>
  </si>
  <si>
    <t>EXIMCH 4.75 08/21/26</t>
  </si>
  <si>
    <t>进出口银行 4.75 2026-08-21</t>
  </si>
  <si>
    <t>Standard Chartered Bank</t>
  </si>
  <si>
    <t>中国银行股份有限公司</t>
  </si>
  <si>
    <t>BCHINA 2.45 06/24/25</t>
  </si>
  <si>
    <t>中国银行 2.45 2025-06-24</t>
  </si>
  <si>
    <t>稳定/稳定</t>
  </si>
  <si>
    <t>1.8493</t>
  </si>
  <si>
    <t>Bank of China Limited, Macau Branch</t>
  </si>
  <si>
    <t>1.85Y</t>
  </si>
  <si>
    <t>BCHINA</t>
  </si>
  <si>
    <t>BANK OF CHINA LIMITED, MACAU BRANCH</t>
  </si>
  <si>
    <t>≤1年</t>
  </si>
  <si>
    <t>3-5年</t>
  </si>
  <si>
    <t>宿迁裕丰产投</t>
  </si>
  <si>
    <t>珠海农村商业银行</t>
  </si>
  <si>
    <t>SOFR+100</t>
  </si>
  <si>
    <t>FRN</t>
  </si>
  <si>
    <t>SOFR</t>
  </si>
  <si>
    <t>南京银行</t>
  </si>
  <si>
    <t>澳交所</t>
  </si>
  <si>
    <t>3.5%</t>
  </si>
  <si>
    <t>招银金租</t>
  </si>
  <si>
    <t>浮息债</t>
  </si>
  <si>
    <t>宿迁裕丰产投(南京银行)</t>
  </si>
  <si>
    <t>绿色澳交所点心债</t>
  </si>
  <si>
    <t>周三，招银金租（A3/BBB+/--）定价3亿美元3年期浮息债（A3/--/--），价格SOFR+100，交通银行担任全球协调人</t>
  </si>
  <si>
    <t>HK0000946654</t>
  </si>
  <si>
    <t>--/AA+/AA-</t>
  </si>
  <si>
    <t>230816HK0000946654</t>
  </si>
  <si>
    <t>HK0000947314</t>
  </si>
  <si>
    <t>Aa3/AA+/AA-u</t>
  </si>
  <si>
    <t>230815HK0000947314</t>
  </si>
  <si>
    <t>Aa3/AA+/AA-</t>
  </si>
  <si>
    <t>BBG01HWXPQP1</t>
  </si>
  <si>
    <t>230815BBG01HWXPQP1</t>
  </si>
  <si>
    <t>XS2671020589</t>
  </si>
  <si>
    <t>VG</t>
  </si>
  <si>
    <t>--/BBB+/--</t>
  </si>
  <si>
    <t>230815XS2671020589</t>
  </si>
  <si>
    <t>XS2671021124</t>
  </si>
  <si>
    <t>230815XS2671021124</t>
  </si>
  <si>
    <t>XS2670345599</t>
  </si>
  <si>
    <t>230815XS2670345599</t>
  </si>
  <si>
    <t>XS2670344279</t>
  </si>
  <si>
    <t>230814XS2670344279</t>
  </si>
  <si>
    <t>XS2668382398</t>
  </si>
  <si>
    <t>230814XS2668382398</t>
  </si>
  <si>
    <t>364D</t>
  </si>
  <si>
    <t>宿豫区</t>
  </si>
  <si>
    <t>滨州国有资本投资运营集团有限公司</t>
  </si>
  <si>
    <t>滨州国资增发</t>
  </si>
  <si>
    <t>8%</t>
  </si>
  <si>
    <t>山东省</t>
  </si>
  <si>
    <t>滨州市</t>
  </si>
  <si>
    <t xml:space="preserve">Central Wealth Securities Investment Limited </t>
  </si>
  <si>
    <t>证券</t>
  </si>
  <si>
    <t>项目开发和营运资金补充</t>
  </si>
  <si>
    <t>BZSOCI</t>
  </si>
  <si>
    <t>Shanghai Pudong Development Bank Hong Kong Branch;Essence International;CITIC Securities;SunRiver International Securities Group Limited;CNI Securities Group Limited;AMC Wanhai Securities Limited</t>
  </si>
  <si>
    <t>Central Wealth Securities Investment Limited;Shanghai Pudong Development Bank Hong Kong Branch;Essence International;CITIC Securities;SunRiver International Securities Group Limited;CNI Securities Group Limited;AMC Wanhai Securities Limited</t>
  </si>
  <si>
    <t>控制权变更回售@101%</t>
  </si>
  <si>
    <t>BINZHOU GUOTOU OVERSEAS INVESTMENT CO., LIMITED</t>
  </si>
  <si>
    <t>CH</t>
  </si>
  <si>
    <t>工业增加值同比</t>
  </si>
  <si>
    <t>JUL</t>
  </si>
  <si>
    <t>CHVAIOY Index</t>
  </si>
  <si>
    <t>中国七月</t>
  </si>
  <si>
    <t>中国七月工业增加值同比</t>
  </si>
  <si>
    <t>社会消费品零售总额同比</t>
  </si>
  <si>
    <t>CNRSCYOY Index</t>
  </si>
  <si>
    <t>中国七月社会消费品零售总额同比</t>
  </si>
  <si>
    <t>工业增加值年迄今同比</t>
  </si>
  <si>
    <t>CHVAICY Index</t>
  </si>
  <si>
    <t>中国七月工业增加值年迄今同比</t>
  </si>
  <si>
    <t>固定资产除农村年迄今同比</t>
  </si>
  <si>
    <t>CNFAYOY Index</t>
  </si>
  <si>
    <t>中国七月固定资产除农村年迄今同比</t>
  </si>
  <si>
    <t>US</t>
  </si>
  <si>
    <t>周度首次申领失业救济人数</t>
  </si>
  <si>
    <t>8/1/2012</t>
  </si>
  <si>
    <t>240k</t>
  </si>
  <si>
    <t>239k</t>
  </si>
  <si>
    <t>248k</t>
  </si>
  <si>
    <t>250k</t>
  </si>
  <si>
    <t>INJCJC Index</t>
  </si>
  <si>
    <t>美国</t>
  </si>
  <si>
    <t>美国周度首次申领失业救济人数</t>
  </si>
  <si>
    <t>零售销售月环比</t>
  </si>
  <si>
    <t>RSTAMOM Index</t>
  </si>
  <si>
    <t>美国七月</t>
  </si>
  <si>
    <t>美国七月零售销售月环比</t>
  </si>
  <si>
    <t>周度MBA抵押贷款申请指数环比</t>
  </si>
  <si>
    <t>8/1/2011</t>
  </si>
  <si>
    <t>MBAVCHNG Index</t>
  </si>
  <si>
    <t>美国周度MBA抵押贷款申请指数环比</t>
  </si>
  <si>
    <t>新宅开工指数</t>
  </si>
  <si>
    <t>1450k</t>
  </si>
  <si>
    <t>1452k</t>
  </si>
  <si>
    <t>1434k</t>
  </si>
  <si>
    <t>1398k</t>
  </si>
  <si>
    <t>NHSPSTOT Index</t>
  </si>
  <si>
    <t>美国七月新宅开工指数</t>
  </si>
  <si>
    <t>工业产值(月环比)</t>
  </si>
  <si>
    <t>IP CHNG Index</t>
  </si>
  <si>
    <t>美国七月工业产值(月环比)</t>
  </si>
  <si>
    <t>纽约州制造业调查指数</t>
  </si>
  <si>
    <t>EMPRGBCI Index</t>
  </si>
  <si>
    <t>美国八月</t>
  </si>
  <si>
    <t>美国八月纽约州制造业调查指数</t>
  </si>
  <si>
    <t>世界大型企业研究会领先指数环比</t>
  </si>
  <si>
    <t>LEI CHNG Index</t>
  </si>
  <si>
    <t>美国七月世界大型企业研究会领先指数环比</t>
  </si>
  <si>
    <t>HCOB欧元区制造业PMI</t>
  </si>
  <si>
    <t>AUG P</t>
  </si>
  <si>
    <t>MPMIEZMA Index</t>
  </si>
  <si>
    <t>八月HCOB欧元区制造业PMI</t>
  </si>
  <si>
    <t>HCOB欧元区综合PMI</t>
  </si>
  <si>
    <t>MPMIEZCA Index</t>
  </si>
  <si>
    <t>八月HCOB欧元区综合PMI</t>
  </si>
  <si>
    <t>HCOB欧元区服务业PMI</t>
  </si>
  <si>
    <t>MPMIEZSA Index</t>
  </si>
  <si>
    <t>八月HCOB欧元区服务业PMI</t>
  </si>
  <si>
    <t>消费者信心指数</t>
  </si>
  <si>
    <t>EUCCEMU Index</t>
  </si>
  <si>
    <t>欧元区八月消费者信心指数</t>
  </si>
  <si>
    <t>8/1/2019</t>
  </si>
  <si>
    <t>密歇根大学消费者信心指数</t>
  </si>
  <si>
    <t>AUG F</t>
  </si>
  <si>
    <t>CONSSENT Index</t>
  </si>
  <si>
    <t>美国八月密歇根大学消费者信心指数</t>
  </si>
  <si>
    <t>耐用品订单环比</t>
  </si>
  <si>
    <t>JUL P</t>
  </si>
  <si>
    <t>DGNOCHNG Index</t>
  </si>
  <si>
    <t>美国七月耐用品订单环比</t>
  </si>
  <si>
    <t>8/1/2018</t>
  </si>
  <si>
    <t>标普全球-美国制造业PMI</t>
  </si>
  <si>
    <t>MPMIUSMA Index</t>
  </si>
  <si>
    <t>八月标普全球-美国制造业PMI</t>
  </si>
  <si>
    <t>新建住宅销量年率</t>
  </si>
  <si>
    <t>697k</t>
  </si>
  <si>
    <t>NHSLTOT Index</t>
  </si>
  <si>
    <t>美国七月新建住宅销量年率</t>
  </si>
  <si>
    <t>二手房销量年率</t>
  </si>
  <si>
    <t>4.15m</t>
  </si>
  <si>
    <t>4.16m</t>
  </si>
  <si>
    <t>ETSLTOTL Index</t>
  </si>
  <si>
    <t>美国七月二手房销量年率</t>
  </si>
  <si>
    <t>2.7</t>
  </si>
  <si>
    <t>7.5%</t>
  </si>
  <si>
    <t>珠海农商行</t>
  </si>
  <si>
    <t>周三，宿迁裕丰产投定价人民币2.9亿元3年期点心债（南京银行提供备证），价格3.98%</t>
  </si>
  <si>
    <t>周二，珠海农商行定价人民币5亿元3年期绿色澳交所点心债，价格3.5%</t>
  </si>
  <si>
    <t>增发</t>
  </si>
  <si>
    <t>滨州国投*</t>
  </si>
  <si>
    <t>周一，滨州国投增发5000万美元高级债，价格8%</t>
  </si>
  <si>
    <t xml:space="preserve"> 未检测到DMI列名有更改</t>
  </si>
  <si>
    <t>未检测到DMI有新增列</t>
  </si>
  <si>
    <t>Health Checker</t>
  </si>
  <si>
    <t>DMI列名更改</t>
  </si>
  <si>
    <t>DMI新增列</t>
  </si>
  <si>
    <t>hardcode3 AE4:AT40
Autocopy: AE4</t>
  </si>
  <si>
    <t>hardcode4 AW4:AZ40
Autocopy: AW4</t>
  </si>
  <si>
    <t>ZRCB 3.5 08/22/2026</t>
  </si>
  <si>
    <t>100/-</t>
  </si>
  <si>
    <t>银行保险</t>
  </si>
  <si>
    <t>SQyufeng 3.98 08/23/2026</t>
  </si>
  <si>
    <t>704k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</si>
</sst>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yyyy/m/d;@"/>
    <numFmt numFmtId="165" formatCode="0.000%"/>
    <numFmt numFmtId="166" formatCode="[$-F400]h:mm:ss\ AM/PM"/>
    <numFmt numFmtId="167" formatCode="m/d;@"/>
    <numFmt numFmtId="168" formatCode="0.0%"/>
  </numFmts>
  <fonts count="52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b/>
      <sz val="11"/>
      <color theme="0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11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8"/>
      <color rgb="FF888AA6"/>
      <name val="Microsoft JhengHei UI"/>
      <family val="2"/>
      <scheme val="minor"/>
    </font>
    <font>
      <sz val="26"/>
      <color theme="9"/>
      <name val="Microsoft JhengHei UI"/>
      <family val="2"/>
      <scheme val="minor"/>
    </font>
    <font>
      <b/>
      <i/>
      <sz val="8"/>
      <color theme="1" tint="0.39997558519241921"/>
      <name val="Microsoft JhengHei UI"/>
      <family val="2"/>
      <scheme val="minor"/>
    </font>
    <font>
      <b/>
      <i/>
      <sz val="8"/>
      <color theme="0"/>
      <name val="Microsoft JhengHei UI"/>
      <family val="2"/>
      <scheme val="minor"/>
    </font>
    <font>
      <i/>
      <sz val="8"/>
      <color theme="1" tint="0.39994506668294322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11"/>
      <color rgb="FF404040"/>
      <name val="Microsoft JhengHei UI"/>
      <family val="2"/>
    </font>
    <font>
      <sz val="36"/>
      <color theme="0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8"/>
      <color rgb="FF404040"/>
      <name val="Microsoft JhengHei UI"/>
      <family val="2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b/>
      <sz val="9"/>
      <color indexed="81"/>
      <name val="Tahoma"/>
      <family val="2"/>
    </font>
    <font>
      <sz val="18"/>
      <color theme="9" tint="-0.249977111117893"/>
      <name val="Microsoft JhengHei UI"/>
      <family val="2"/>
      <scheme val="minor"/>
    </font>
    <font>
      <sz val="22"/>
      <color theme="0"/>
      <name val="Microsoft JhengHei UI"/>
      <family val="2"/>
      <scheme val="minor"/>
    </font>
    <font>
      <sz val="36"/>
      <color theme="8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sz val="14"/>
      <color rgb="FF888AA6"/>
      <name val="Microsoft JhengHei UI"/>
      <family val="2"/>
      <scheme val="minor"/>
    </font>
    <font>
      <sz val="12"/>
      <color rgb="FF888AA6"/>
      <name val="Microsoft JhengHei UI"/>
      <family val="2"/>
      <scheme val="minor"/>
    </font>
    <font>
      <b/>
      <sz val="14"/>
      <color rgb="FFC2B59B"/>
      <name val="Microsoft JhengHei UI"/>
      <family val="2"/>
      <scheme val="minor"/>
    </font>
    <font>
      <sz val="28"/>
      <color rgb="FF0070C0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12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</borders>
  <cellStyleXfs count="9">
    <xf numFmtId="0" fontId="0" fillId="0" borderId="0"/>
    <xf numFmtId="0" fontId="6" fillId="2" borderId="1" applyNumberFormat="0" applyFont="0" applyAlignment="0" applyProtection="0"/>
    <xf numFmtId="0" fontId="11" fillId="10" borderId="0">
      <alignment horizontal="center" vertical="center" wrapText="1"/>
    </xf>
    <xf numFmtId="164" fontId="11" fillId="10" borderId="0">
      <alignment horizontal="center" vertical="center"/>
    </xf>
    <xf numFmtId="165" fontId="11" fillId="10" borderId="0">
      <alignment horizontal="center" vertical="center"/>
    </xf>
    <xf numFmtId="0" fontId="10" fillId="11" borderId="0">
      <alignment horizontal="center" vertical="center" wrapText="1"/>
    </xf>
    <xf numFmtId="0" fontId="29" fillId="0" borderId="0"/>
    <xf numFmtId="0" fontId="36" fillId="15" borderId="7" applyNumberFormat="0" applyAlignment="0" applyProtection="0"/>
    <xf numFmtId="0" fontId="39" fillId="15" borderId="8" applyNumberFormat="0" applyAlignment="0" applyProtection="0"/>
  </cellStyleXfs>
  <cellXfs count="143">
    <xf numFmtId="0" fontId="0" fillId="0" borderId="0" xfId="0"/>
    <xf numFmtId="0" fontId="0" fillId="3" borderId="0" xfId="0" applyFill="1"/>
    <xf numFmtId="0" fontId="8" fillId="3" borderId="0" xfId="0" applyFont="1" applyFill="1" applyAlignment="1">
      <alignment vertical="center"/>
    </xf>
    <xf numFmtId="0" fontId="9" fillId="3" borderId="0" xfId="0" applyFont="1" applyFill="1"/>
    <xf numFmtId="0" fontId="0" fillId="3" borderId="0" xfId="0" applyFill="1" applyAlignment="1">
      <alignment horizontal="center" vertical="center"/>
    </xf>
    <xf numFmtId="0" fontId="12" fillId="3" borderId="0" xfId="0" applyFont="1" applyFill="1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3" borderId="0" xfId="0" applyFont="1" applyFill="1"/>
    <xf numFmtId="0" fontId="15" fillId="3" borderId="0" xfId="0" applyFont="1" applyFill="1" applyAlignment="1">
      <alignment vertical="center"/>
    </xf>
    <xf numFmtId="0" fontId="15" fillId="3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5" fillId="7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5" fillId="10" borderId="0" xfId="0" applyFont="1" applyFill="1" applyAlignment="1">
      <alignment vertical="center"/>
    </xf>
    <xf numFmtId="0" fontId="5" fillId="8" borderId="0" xfId="0" applyFont="1" applyFill="1" applyAlignment="1">
      <alignment vertical="center"/>
    </xf>
    <xf numFmtId="0" fontId="5" fillId="9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5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18" fillId="0" borderId="0" xfId="0" applyFont="1"/>
    <xf numFmtId="0" fontId="19" fillId="3" borderId="0" xfId="0" applyFont="1" applyFill="1" applyAlignment="1">
      <alignment vertical="center"/>
    </xf>
    <xf numFmtId="14" fontId="0" fillId="3" borderId="0" xfId="0" applyNumberFormat="1" applyFill="1"/>
    <xf numFmtId="0" fontId="13" fillId="3" borderId="0" xfId="0" applyFont="1" applyFill="1" applyAlignment="1">
      <alignment horizontal="left" vertical="center"/>
    </xf>
    <xf numFmtId="0" fontId="13" fillId="3" borderId="0" xfId="0" applyFont="1" applyFill="1" applyAlignment="1">
      <alignment horizontal="center" vertical="center"/>
    </xf>
    <xf numFmtId="0" fontId="23" fillId="3" borderId="0" xfId="0" applyFont="1" applyFill="1" applyAlignment="1">
      <alignment vertical="center"/>
    </xf>
    <xf numFmtId="0" fontId="24" fillId="3" borderId="0" xfId="0" applyFont="1" applyFill="1" applyAlignment="1">
      <alignment vertical="center"/>
    </xf>
    <xf numFmtId="167" fontId="25" fillId="6" borderId="4" xfId="0" applyNumberFormat="1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 vertical="center"/>
    </xf>
    <xf numFmtId="0" fontId="26" fillId="3" borderId="0" xfId="2" applyFont="1" applyFill="1" applyProtection="1">
      <alignment horizontal="center" vertical="center" wrapText="1"/>
      <protection hidden="1"/>
    </xf>
    <xf numFmtId="0" fontId="27" fillId="10" borderId="0" xfId="2" applyFont="1" applyProtection="1">
      <alignment horizontal="center" vertical="center" wrapText="1"/>
      <protection locked="0"/>
    </xf>
    <xf numFmtId="164" fontId="26" fillId="3" borderId="0" xfId="3" applyFont="1" applyFill="1" applyProtection="1">
      <alignment horizontal="center" vertical="center"/>
      <protection hidden="1"/>
    </xf>
    <xf numFmtId="164" fontId="27" fillId="10" borderId="0" xfId="2" applyNumberFormat="1" applyFont="1" applyProtection="1">
      <alignment horizontal="center" vertical="center" wrapText="1"/>
      <protection locked="0"/>
    </xf>
    <xf numFmtId="0" fontId="26" fillId="3" borderId="0" xfId="2" quotePrefix="1" applyFont="1" applyFill="1" applyProtection="1">
      <alignment horizontal="center" vertical="center" wrapText="1"/>
      <protection hidden="1"/>
    </xf>
    <xf numFmtId="0" fontId="27" fillId="10" borderId="0" xfId="2" quotePrefix="1" applyFont="1" applyProtection="1">
      <alignment horizontal="center" vertical="center" wrapText="1"/>
      <protection locked="0"/>
    </xf>
    <xf numFmtId="49" fontId="26" fillId="3" borderId="0" xfId="4" applyNumberFormat="1" applyFont="1" applyFill="1" applyProtection="1">
      <alignment horizontal="center" vertical="center"/>
      <protection hidden="1"/>
    </xf>
    <xf numFmtId="49" fontId="27" fillId="10" borderId="0" xfId="2" applyNumberFormat="1" applyFont="1" applyProtection="1">
      <alignment horizontal="center" vertical="center" wrapText="1"/>
      <protection locked="0"/>
    </xf>
    <xf numFmtId="49" fontId="27" fillId="10" borderId="0" xfId="4" applyNumberFormat="1" applyFont="1" applyProtection="1">
      <alignment horizontal="center" vertical="center"/>
      <protection locked="0"/>
    </xf>
    <xf numFmtId="10" fontId="27" fillId="10" borderId="0" xfId="2" quotePrefix="1" applyNumberFormat="1" applyFont="1" applyProtection="1">
      <alignment horizontal="center" vertical="center" wrapText="1"/>
      <protection locked="0"/>
    </xf>
    <xf numFmtId="10" fontId="26" fillId="3" borderId="0" xfId="2" applyNumberFormat="1" applyFont="1" applyFill="1" applyProtection="1">
      <alignment horizontal="center" vertical="center" wrapText="1"/>
      <protection hidden="1"/>
    </xf>
    <xf numFmtId="0" fontId="26" fillId="3" borderId="0" xfId="2" applyFont="1" applyFill="1" applyAlignment="1" applyProtection="1">
      <alignment horizontal="center" vertical="center"/>
      <protection hidden="1"/>
    </xf>
    <xf numFmtId="0" fontId="28" fillId="11" borderId="0" xfId="5" applyFont="1" applyProtection="1">
      <alignment horizontal="center" vertical="center" wrapText="1"/>
      <protection hidden="1"/>
    </xf>
    <xf numFmtId="0" fontId="28" fillId="11" borderId="0" xfId="5" quotePrefix="1" applyFont="1" applyProtection="1">
      <alignment horizontal="center" vertical="center" wrapText="1"/>
      <protection hidden="1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/>
    <xf numFmtId="0" fontId="15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23" fillId="3" borderId="0" xfId="0" applyFont="1" applyFill="1" applyAlignment="1" applyProtection="1">
      <alignment vertical="center"/>
      <protection locked="0"/>
    </xf>
    <xf numFmtId="0" fontId="12" fillId="3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center" vertical="center"/>
    </xf>
    <xf numFmtId="0" fontId="32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0" fontId="2" fillId="0" borderId="0" xfId="0" applyFont="1"/>
    <xf numFmtId="0" fontId="0" fillId="3" borderId="6" xfId="0" applyFill="1" applyBorder="1"/>
    <xf numFmtId="0" fontId="2" fillId="3" borderId="0" xfId="0" applyFont="1" applyFill="1" applyAlignment="1">
      <alignment vertical="center"/>
    </xf>
    <xf numFmtId="0" fontId="7" fillId="9" borderId="5" xfId="0" applyFont="1" applyFill="1" applyBorder="1" applyAlignment="1">
      <alignment horizontal="center" vertical="center"/>
    </xf>
    <xf numFmtId="0" fontId="34" fillId="14" borderId="0" xfId="0" applyFont="1" applyFill="1"/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0" fontId="36" fillId="15" borderId="7" xfId="7" applyAlignment="1">
      <alignment horizontal="center" vertical="center"/>
    </xf>
    <xf numFmtId="164" fontId="0" fillId="3" borderId="6" xfId="0" applyNumberFormat="1" applyFill="1" applyBorder="1" applyAlignment="1">
      <alignment vertical="center"/>
    </xf>
    <xf numFmtId="0" fontId="37" fillId="3" borderId="0" xfId="0" applyFont="1" applyFill="1" applyAlignment="1">
      <alignment vertical="center"/>
    </xf>
    <xf numFmtId="0" fontId="38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14" fontId="0" fillId="0" borderId="0" xfId="0" applyNumberFormat="1"/>
    <xf numFmtId="0" fontId="1" fillId="0" borderId="2" xfId="0" applyFont="1" applyBorder="1" applyAlignment="1">
      <alignment horizontal="center" vertical="center"/>
    </xf>
    <xf numFmtId="0" fontId="42" fillId="3" borderId="0" xfId="0" applyFont="1" applyFill="1" applyAlignment="1">
      <alignment vertical="center"/>
    </xf>
    <xf numFmtId="0" fontId="32" fillId="3" borderId="0" xfId="0" applyFont="1" applyFill="1" applyAlignment="1">
      <alignment vertical="center"/>
    </xf>
    <xf numFmtId="0" fontId="43" fillId="3" borderId="0" xfId="0" applyFont="1" applyFill="1" applyAlignment="1">
      <alignment vertical="center"/>
    </xf>
    <xf numFmtId="0" fontId="46" fillId="4" borderId="3" xfId="0" applyFont="1" applyFill="1" applyBorder="1" applyAlignment="1">
      <alignment horizontal="center" vertical="center" wrapText="1"/>
    </xf>
    <xf numFmtId="0" fontId="44" fillId="3" borderId="9" xfId="0" applyFont="1" applyFill="1" applyBorder="1" applyAlignment="1">
      <alignment vertical="center"/>
    </xf>
    <xf numFmtId="0" fontId="47" fillId="3" borderId="0" xfId="0" applyFont="1" applyFill="1" applyAlignment="1">
      <alignment horizontal="center" vertical="center"/>
    </xf>
    <xf numFmtId="167" fontId="47" fillId="3" borderId="0" xfId="0" applyNumberFormat="1" applyFont="1" applyFill="1" applyAlignment="1">
      <alignment horizontal="center" vertical="center"/>
    </xf>
    <xf numFmtId="0" fontId="47" fillId="3" borderId="9" xfId="0" applyFont="1" applyFill="1" applyBorder="1" applyAlignment="1">
      <alignment horizontal="center" vertical="center"/>
    </xf>
    <xf numFmtId="0" fontId="33" fillId="3" borderId="0" xfId="0" applyFont="1" applyFill="1" applyProtection="1">
      <protection locked="0"/>
    </xf>
    <xf numFmtId="0" fontId="31" fillId="3" borderId="0" xfId="0" applyFont="1" applyFill="1" applyAlignment="1" applyProtection="1">
      <alignment vertical="center"/>
      <protection locked="0"/>
    </xf>
    <xf numFmtId="0" fontId="14" fillId="3" borderId="0" xfId="0" applyFont="1" applyFill="1" applyProtection="1">
      <protection locked="0"/>
    </xf>
    <xf numFmtId="0" fontId="21" fillId="3" borderId="0" xfId="0" applyFont="1" applyFill="1" applyAlignment="1" applyProtection="1">
      <alignment horizontal="center" vertical="center"/>
      <protection locked="0"/>
    </xf>
    <xf numFmtId="0" fontId="20" fillId="3" borderId="0" xfId="0" applyFont="1" applyFill="1" applyAlignment="1" applyProtection="1">
      <alignment horizontal="center" vertical="center"/>
      <protection locked="0"/>
    </xf>
    <xf numFmtId="0" fontId="41" fillId="3" borderId="0" xfId="0" applyFont="1" applyFill="1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 vertical="center"/>
      <protection locked="0"/>
    </xf>
    <xf numFmtId="0" fontId="0" fillId="13" borderId="0" xfId="0" applyFill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12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12" borderId="0" xfId="0" quotePrefix="1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164" fontId="0" fillId="0" borderId="0" xfId="0" applyNumberFormat="1" applyProtection="1">
      <protection locked="0"/>
    </xf>
    <xf numFmtId="0" fontId="0" fillId="12" borderId="0" xfId="0" quotePrefix="1" applyFill="1" applyProtection="1">
      <protection locked="0"/>
    </xf>
    <xf numFmtId="0" fontId="0" fillId="12" borderId="0" xfId="0" applyFill="1" applyAlignment="1" applyProtection="1">
      <alignment horizontal="center"/>
      <protection locked="0"/>
    </xf>
    <xf numFmtId="0" fontId="0" fillId="12" borderId="0" xfId="0" applyFill="1" applyProtection="1">
      <protection locked="0"/>
    </xf>
    <xf numFmtId="164" fontId="0" fillId="12" borderId="0" xfId="0" quotePrefix="1" applyNumberFormat="1" applyFill="1" applyAlignment="1" applyProtection="1">
      <alignment horizontal="center"/>
      <protection locked="0"/>
    </xf>
    <xf numFmtId="0" fontId="0" fillId="12" borderId="0" xfId="0" quotePrefix="1" applyFill="1" applyAlignment="1" applyProtection="1">
      <alignment horizontal="center"/>
      <protection locked="0"/>
    </xf>
    <xf numFmtId="10" fontId="0" fillId="12" borderId="0" xfId="0" applyNumberFormat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4" fontId="0" fillId="12" borderId="0" xfId="0" applyNumberFormat="1" applyFill="1" applyAlignment="1" applyProtection="1">
      <alignment horizontal="center"/>
      <protection locked="0"/>
    </xf>
    <xf numFmtId="164" fontId="0" fillId="12" borderId="0" xfId="0" quotePrefix="1" applyNumberFormat="1" applyFill="1" applyProtection="1">
      <protection locked="0"/>
    </xf>
    <xf numFmtId="0" fontId="0" fillId="0" borderId="0" xfId="0" quotePrefix="1" applyAlignment="1" applyProtection="1">
      <alignment horizontal="center" vertical="center"/>
      <protection locked="0"/>
    </xf>
    <xf numFmtId="168" fontId="0" fillId="12" borderId="0" xfId="0" applyNumberFormat="1" applyFill="1" applyAlignment="1" applyProtection="1">
      <alignment horizontal="center" vertical="center"/>
      <protection locked="0"/>
    </xf>
    <xf numFmtId="164" fontId="0" fillId="0" borderId="0" xfId="0" applyNumberFormat="1" applyAlignment="1">
      <alignment horizontal="left" vertical="center"/>
    </xf>
    <xf numFmtId="167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Protection="1">
      <protection locked="0"/>
    </xf>
    <xf numFmtId="0" fontId="48" fillId="3" borderId="0" xfId="0" applyFont="1" applyFill="1"/>
    <xf numFmtId="0" fontId="0" fillId="0" borderId="0" xfId="0" applyNumberFormat="1"/>
    <xf numFmtId="0" fontId="49" fillId="15" borderId="10" xfId="8" applyFont="1" applyBorder="1" applyAlignment="1" applyProtection="1">
      <alignment horizontal="center" vertical="center"/>
      <protection locked="0"/>
    </xf>
    <xf numFmtId="0" fontId="35" fillId="3" borderId="0" xfId="0" applyFont="1" applyFill="1" applyAlignment="1" applyProtection="1">
      <alignment wrapText="1"/>
      <protection locked="0"/>
    </xf>
    <xf numFmtId="0" fontId="35" fillId="3" borderId="0" xfId="0" applyFont="1" applyFill="1" applyAlignment="1" applyProtection="1">
      <alignment vertical="center" wrapText="1"/>
      <protection locked="0"/>
    </xf>
    <xf numFmtId="0" fontId="49" fillId="15" borderId="10" xfId="8" applyFont="1" applyBorder="1" applyAlignment="1" applyProtection="1">
      <alignment horizontal="center" vertical="center" wrapText="1"/>
      <protection locked="0"/>
    </xf>
    <xf numFmtId="0" fontId="0" fillId="0" borderId="0" xfId="0" applyFont="1" applyFill="1" applyBorder="1"/>
    <xf numFmtId="0" fontId="0" fillId="0" borderId="0" xfId="0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4" fontId="0" fillId="0" borderId="0" xfId="0" applyNumberFormat="1" applyFont="1" applyFill="1" applyBorder="1" applyAlignment="1">
      <alignment vertical="center"/>
    </xf>
    <xf numFmtId="0" fontId="44" fillId="3" borderId="0" xfId="0" applyFont="1" applyFill="1" applyBorder="1" applyAlignment="1">
      <alignment vertical="center"/>
    </xf>
    <xf numFmtId="0" fontId="44" fillId="3" borderId="0" xfId="0" applyFont="1" applyFill="1" applyBorder="1" applyAlignment="1">
      <alignment horizontal="left" vertical="center"/>
    </xf>
    <xf numFmtId="0" fontId="45" fillId="3" borderId="9" xfId="0" applyFont="1" applyFill="1" applyBorder="1" applyAlignment="1">
      <alignment horizontal="right"/>
    </xf>
    <xf numFmtId="0" fontId="45" fillId="3" borderId="0" xfId="0" applyFont="1" applyFill="1" applyAlignment="1">
      <alignment horizontal="right" vertical="center" wrapText="1"/>
    </xf>
    <xf numFmtId="0" fontId="45" fillId="3" borderId="9" xfId="0" applyFont="1" applyFill="1" applyBorder="1" applyAlignment="1">
      <alignment horizontal="right" vertical="center" wrapText="1"/>
    </xf>
  </cellXfs>
  <cellStyles count="9">
    <cellStyle name="Calculation" xfId="7" builtinId="22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2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8"/>
        <color theme="1" tint="0.3999755851924192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1"/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  <alignment horizontal="center" vertical="center" textRotation="0" indent="0" justifyLastLine="0" shrinkToFit="0" readingOrder="0"/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m/d/yyyy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6" formatCode="[$-F400]h:mm:ss\ AM/PM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7" formatCode="m/d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ill>
        <patternFill>
          <bgColor rgb="FFE1E1E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numFmt numFmtId="164" formatCode="yyyy/m/d;@"/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fill>
        <patternFill patternType="solid">
          <fgColor indexed="64"/>
          <bgColor theme="6" tint="0.79998168889431442"/>
        </patternFill>
      </fill>
      <protection locked="0" hidden="0"/>
    </dxf>
    <dxf>
      <protection locked="0" hidden="0"/>
    </dxf>
    <dxf>
      <numFmt numFmtId="164" formatCode="yyyy/m/d;@"/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ont>
        <b/>
        <strike val="0"/>
        <outline val="0"/>
        <shadow val="0"/>
        <u val="none"/>
        <vertAlign val="baseline"/>
        <sz val="26"/>
        <color theme="9"/>
        <name val="Microsoft JhengHei UI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 U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88AA6"/>
        <name val="Microsoft JhengHei UI"/>
        <family val="2"/>
        <scheme val="minor"/>
      </font>
      <fill>
        <patternFill patternType="solid">
          <fgColor indexed="64"/>
          <bgColor rgb="FFE1E1E9"/>
        </patternFill>
      </fill>
      <alignment horizontal="center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</dxf>
    <dxf>
      <font>
        <b val="0"/>
        <i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/>
      </font>
    </dxf>
    <dxf>
      <font>
        <b val="0"/>
        <i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</dxfs>
  <tableStyles count="14" defaultTableStyle="Qry Load" defaultPivotStyle="PivotStyleLight16">
    <tableStyle name="Blank" pivot="0" count="1" xr9:uid="{00000000-0011-0000-FFFF-FFFF00000000}">
      <tableStyleElement type="wholeTable" dxfId="286"/>
    </tableStyle>
    <tableStyle name="ECON" pivot="0" count="2" xr9:uid="{00000000-0011-0000-FFFF-FFFF01000000}">
      <tableStyleElement type="wholeTable" dxfId="285"/>
      <tableStyleElement type="headerRow" dxfId="284"/>
    </tableStyle>
    <tableStyle name="Named_dd" pivot="0" count="2" xr9:uid="{00000000-0011-0000-FFFF-FFFF02000000}">
      <tableStyleElement type="wholeTable" dxfId="283"/>
      <tableStyleElement type="headerRow" dxfId="282"/>
    </tableStyle>
    <tableStyle name="Named_dd 2" pivot="0" count="2" xr9:uid="{00000000-0011-0000-FFFF-FFFF03000000}">
      <tableStyleElement type="wholeTable" dxfId="281"/>
      <tableStyleElement type="headerRow" dxfId="280"/>
    </tableStyle>
    <tableStyle name="Named_dd 3" pivot="0" count="2" xr9:uid="{00000000-0011-0000-FFFF-FFFF04000000}">
      <tableStyleElement type="wholeTable" dxfId="279"/>
      <tableStyleElement type="headerRow" dxfId="278"/>
    </tableStyle>
    <tableStyle name="Qry Load" pivot="0" count="3" xr9:uid="{00000000-0011-0000-FFFF-FFFF05000000}">
      <tableStyleElement type="wholeTable" dxfId="277"/>
      <tableStyleElement type="headerRow" dxfId="276"/>
      <tableStyleElement type="totalRow" dxfId="275"/>
    </tableStyle>
    <tableStyle name="Qry Load 2" pivot="0" count="3" xr9:uid="{00000000-0011-0000-FFFF-FFFF06000000}">
      <tableStyleElement type="wholeTable" dxfId="274"/>
      <tableStyleElement type="headerRow" dxfId="273"/>
      <tableStyleElement type="totalRow" dxfId="272"/>
    </tableStyle>
    <tableStyle name="Qry Load 3" pivot="0" count="3" xr9:uid="{00000000-0011-0000-FFFF-FFFF07000000}">
      <tableStyleElement type="wholeTable" dxfId="271"/>
      <tableStyleElement type="headerRow" dxfId="270"/>
      <tableStyleElement type="totalRow" dxfId="269"/>
    </tableStyle>
    <tableStyle name="Qry Load 4" pivot="0" count="3" xr9:uid="{00000000-0011-0000-FFFF-FFFF08000000}">
      <tableStyleElement type="wholeTable" dxfId="268"/>
      <tableStyleElement type="headerRow" dxfId="267"/>
      <tableStyleElement type="totalRow" dxfId="266"/>
    </tableStyle>
    <tableStyle name="Qry Load 5" pivot="0" count="3" xr9:uid="{00000000-0011-0000-FFFF-FFFF09000000}">
      <tableStyleElement type="wholeTable" dxfId="265"/>
      <tableStyleElement type="headerRow" dxfId="264"/>
      <tableStyleElement type="totalRow" dxfId="263"/>
    </tableStyle>
    <tableStyle name="Qry Source" pivot="0" count="2" xr9:uid="{00000000-0011-0000-FFFF-FFFF0A000000}">
      <tableStyleElement type="wholeTable" dxfId="262"/>
      <tableStyleElement type="headerRow" dxfId="261"/>
    </tableStyle>
    <tableStyle name="Qry Source 2" pivot="0" count="2" xr9:uid="{00000000-0011-0000-FFFF-FFFF0B000000}">
      <tableStyleElement type="wholeTable" dxfId="260"/>
      <tableStyleElement type="headerRow" dxfId="259"/>
    </tableStyle>
    <tableStyle name="review" pivot="0" count="3" xr9:uid="{00000000-0011-0000-FFFF-FFFF0C000000}">
      <tableStyleElement type="wholeTable" dxfId="258"/>
      <tableStyleElement type="headerRow" dxfId="257"/>
      <tableStyleElement type="totalRow" dxfId="256"/>
    </tableStyle>
    <tableStyle name="review 2" pivot="0" count="3" xr9:uid="{7E48D373-8BD3-405C-AC0B-582D578C48DF}">
      <tableStyleElement type="wholeTable" dxfId="255"/>
      <tableStyleElement type="headerRow" dxfId="254"/>
      <tableStyleElement type="totalRow" dxfId="253"/>
    </tableStyle>
  </tableStyles>
  <colors>
    <mruColors>
      <color rgb="FFC2B59B"/>
      <color rgb="FF888AA6"/>
      <color rgb="FFC69E62"/>
      <color rgb="FF2A7968"/>
      <color rgb="FFE1E1E9"/>
      <color rgb="FFF4EBE0"/>
      <color rgb="FFF4EBDF"/>
      <color rgb="FF234473"/>
      <color rgb="FF0000FF"/>
      <color rgb="FF0071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112058</xdr:colOff>
      <xdr:row>0</xdr:row>
      <xdr:rowOff>44823</xdr:rowOff>
    </xdr:from>
    <xdr:to>
      <xdr:col>5</xdr:col>
      <xdr:colOff>481853</xdr:colOff>
      <xdr:row>2</xdr:row>
      <xdr:rowOff>145676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63470" y="44823"/>
          <a:ext cx="3070412" cy="1781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ts val="384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3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Change Updator </a:t>
          </a:r>
          <a:endParaRPr lang="en-US" sz="1600">
            <a:solidFill>
              <a:schemeClr val="tx1"/>
            </a:solidFill>
          </a:endParaRPr>
        </a:p>
        <a:p>
          <a:pPr algn="l"/>
          <a:r>
            <a:rPr lang="en-US" sz="1100">
              <a:solidFill>
                <a:schemeClr val="tx1"/>
              </a:solidFill>
            </a:rPr>
            <a:t>will </a:t>
          </a:r>
          <a:r>
            <a:rPr lang="en-US" sz="1100" b="1">
              <a:solidFill>
                <a:schemeClr val="tx1"/>
              </a:solidFill>
            </a:rPr>
            <a:t>wipe out</a:t>
          </a:r>
          <a:r>
            <a:rPr lang="en-US" sz="1100">
              <a:solidFill>
                <a:schemeClr val="tx1"/>
              </a:solidFill>
            </a:rPr>
            <a:t>  </a:t>
          </a:r>
          <a:r>
            <a:rPr lang="en-US" altLang="zh-CN" sz="1100">
              <a:solidFill>
                <a:schemeClr val="tx1"/>
              </a:solidFill>
            </a:rPr>
            <a:t>the following</a:t>
          </a:r>
          <a:r>
            <a:rPr lang="en-US" altLang="zh-CN" sz="1100" baseline="0">
              <a:solidFill>
                <a:schemeClr val="tx1"/>
              </a:solidFill>
            </a:rPr>
            <a:t> Tabs: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REVIEW_LIST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ECON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FUTURE</a:t>
          </a:r>
        </a:p>
      </xdr:txBody>
    </xdr:sp>
    <xdr:clientData fPrintsWithSheet="0"/>
  </xdr:twoCellAnchor>
  <xdr:twoCellAnchor editAs="absolute">
    <xdr:from>
      <xdr:col>4</xdr:col>
      <xdr:colOff>123825</xdr:colOff>
      <xdr:row>2</xdr:row>
      <xdr:rowOff>280146</xdr:rowOff>
    </xdr:from>
    <xdr:to>
      <xdr:col>5</xdr:col>
      <xdr:colOff>470647</xdr:colOff>
      <xdr:row>6</xdr:row>
      <xdr:rowOff>268941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575237" y="1961028"/>
          <a:ext cx="3047439" cy="11542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1: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Set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【1】</a:t>
          </a:r>
          <a:r>
            <a:rPr lang="en-US" altLang="zh-CN" sz="1600" baseline="0">
              <a:solidFill>
                <a:schemeClr val="accent6">
                  <a:lumMod val="75000"/>
                </a:schemeClr>
              </a:solidFill>
              <a:effectLst/>
            </a:rPr>
            <a:t> Paramether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2: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</a:rPr>
            <a:t>Refresh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【2】Folder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3: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</a:rPr>
            <a:t>A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utocopy &amp; Review</a:t>
          </a:r>
          <a:endParaRPr lang="en-US" sz="1600">
            <a:solidFill>
              <a:schemeClr val="accent6">
                <a:lumMod val="75000"/>
              </a:schemeClr>
            </a:solidFill>
            <a:effectLst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322707</xdr:rowOff>
    </xdr:from>
    <xdr:to>
      <xdr:col>1</xdr:col>
      <xdr:colOff>156</xdr:colOff>
      <xdr:row>3</xdr:row>
      <xdr:rowOff>716407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1264001"/>
          <a:ext cx="1501744" cy="718671"/>
          <a:chOff x="4143376" y="1933575"/>
          <a:chExt cx="1457324" cy="71437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4143376" y="1933575"/>
            <a:ext cx="1457324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8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headers_review</a:t>
            </a: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72012" y="1933575"/>
            <a:ext cx="304800" cy="3048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</xdr:col>
      <xdr:colOff>735502</xdr:colOff>
      <xdr:row>3</xdr:row>
      <xdr:rowOff>0</xdr:rowOff>
    </xdr:from>
    <xdr:to>
      <xdr:col>3</xdr:col>
      <xdr:colOff>405365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1846565" y="1266265"/>
          <a:ext cx="1203388" cy="711201"/>
          <a:chOff x="4143376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4143376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2</xdr:row>
          <xdr:rowOff>266700</xdr:rowOff>
        </xdr:from>
        <xdr:to>
          <xdr:col>3</xdr:col>
          <xdr:colOff>1857375</xdr:colOff>
          <xdr:row>3</xdr:row>
          <xdr:rowOff>723900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04040"/>
                  </a:solidFill>
                  <a:latin typeface="Microsoft JhengHei UI"/>
                  <a:ea typeface="Microsoft JhengHei UI"/>
                </a:rPr>
                <a:t>Autocopy Button</a:t>
              </a:r>
            </a:p>
          </xdr:txBody>
        </xdr:sp>
        <xdr:clientData fPrintsWithSheet="0"/>
      </xdr:twoCellAnchor>
    </mc:Choice>
    <mc:Fallback/>
  </mc:AlternateContent>
  <xdr:oneCellAnchor>
    <xdr:from>
      <xdr:col>32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4214943" y="1285199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9525</xdr:colOff>
      <xdr:row>1</xdr:row>
      <xdr:rowOff>57149</xdr:rowOff>
    </xdr:from>
    <xdr:to>
      <xdr:col>12</xdr:col>
      <xdr:colOff>514350</xdr:colOff>
      <xdr:row>1</xdr:row>
      <xdr:rowOff>923924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13230225" y="647699"/>
          <a:ext cx="1447800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zh-CN" altLang="en-US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如有修改</a:t>
          </a:r>
          <a:endParaRPr lang="en-US" sz="16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Ctrl+Alt+F5</a:t>
          </a:r>
        </a:p>
      </xdr:txBody>
    </xdr:sp>
    <xdr:clientData fPrintsWithSheet="0"/>
  </xdr:twoCellAnchor>
  <xdr:twoCellAnchor editAs="oneCell">
    <xdr:from>
      <xdr:col>28</xdr:col>
      <xdr:colOff>535844</xdr:colOff>
      <xdr:row>0</xdr:row>
      <xdr:rowOff>85573</xdr:rowOff>
    </xdr:from>
    <xdr:to>
      <xdr:col>29</xdr:col>
      <xdr:colOff>400049</xdr:colOff>
      <xdr:row>11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25681844" y="85573"/>
          <a:ext cx="1594291" cy="3811018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twoCellAnchor editAs="oneCell">
    <xdr:from>
      <xdr:col>30</xdr:col>
      <xdr:colOff>0</xdr:colOff>
      <xdr:row>0</xdr:row>
      <xdr:rowOff>571500</xdr:rowOff>
    </xdr:from>
    <xdr:to>
      <xdr:col>31</xdr:col>
      <xdr:colOff>257175</xdr:colOff>
      <xdr:row>1</xdr:row>
      <xdr:rowOff>883227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29032200" y="5715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48</xdr:col>
      <xdr:colOff>0</xdr:colOff>
      <xdr:row>0</xdr:row>
      <xdr:rowOff>571500</xdr:rowOff>
    </xdr:from>
    <xdr:to>
      <xdr:col>48</xdr:col>
      <xdr:colOff>2428875</xdr:colOff>
      <xdr:row>1</xdr:row>
      <xdr:rowOff>883227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46234350" y="571500"/>
          <a:ext cx="2428875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0</xdr:col>
      <xdr:colOff>27214</xdr:colOff>
      <xdr:row>1</xdr:row>
      <xdr:rowOff>19051</xdr:rowOff>
    </xdr:from>
    <xdr:to>
      <xdr:col>1</xdr:col>
      <xdr:colOff>2371725</xdr:colOff>
      <xdr:row>1</xdr:row>
      <xdr:rowOff>915885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7214" y="609601"/>
          <a:ext cx="3878036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</a:t>
          </a: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主体及发行评级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oneCellAnchor>
    <xdr:from>
      <xdr:col>1</xdr:col>
      <xdr:colOff>0</xdr:colOff>
      <xdr:row>0</xdr:row>
      <xdr:rowOff>571500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29184600" y="5715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48</xdr:col>
      <xdr:colOff>0</xdr:colOff>
      <xdr:row>0</xdr:row>
      <xdr:rowOff>571500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9184600" y="5715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2</xdr:row>
      <xdr:rowOff>9525</xdr:rowOff>
    </xdr:from>
    <xdr:ext cx="1062610" cy="714376"/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47625" y="1712819"/>
          <a:ext cx="1062610" cy="714376"/>
          <a:chOff x="4143376" y="1933574"/>
          <a:chExt cx="1068457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4143376" y="1933575"/>
            <a:ext cx="1068457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charts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  <xdr:oneCellAnchor>
    <xdr:from>
      <xdr:col>15</xdr:col>
      <xdr:colOff>0</xdr:colOff>
      <xdr:row>2</xdr:row>
      <xdr:rowOff>20731</xdr:rowOff>
    </xdr:from>
    <xdr:ext cx="1062610" cy="909357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4421971" y="1724025"/>
          <a:ext cx="1062610" cy="909357"/>
          <a:chOff x="4143376" y="1933574"/>
          <a:chExt cx="1068457" cy="909357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4143376" y="1933575"/>
            <a:ext cx="1068457" cy="909356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849923</xdr:rowOff>
    </xdr:from>
    <xdr:ext cx="1367118" cy="1646704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0" y="849923"/>
          <a:ext cx="1367118" cy="16467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Refresh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ALL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accent6"/>
              </a:solidFill>
            </a:rPr>
            <a:t>A</a:t>
          </a:r>
          <a:r>
            <a:rPr lang="en-US" altLang="zh-CN" sz="1100">
              <a:solidFill>
                <a:schemeClr val="accent6"/>
              </a:solidFill>
            </a:rPr>
            <a:t>gain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accent6"/>
              </a:solidFill>
            </a:rPr>
            <a:t>When</a:t>
          </a:r>
          <a:r>
            <a:rPr lang="en-US" sz="1100" baseline="0">
              <a:solidFill>
                <a:schemeClr val="accent6"/>
              </a:solidFill>
            </a:rPr>
            <a:t> Added</a:t>
          </a:r>
          <a:endParaRPr lang="en-US" sz="110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60960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0" xr16:uid="{A6361912-58D1-4981-A964-B119518F56C6}" autoFormatId="16" applyNumberFormats="0" applyBorderFormats="0" applyFontFormats="0" applyPatternFormats="0" applyAlignmentFormats="0" applyWidthHeightFormats="0">
  <queryTableRefresh nextId="2">
    <queryTableFields count="1">
      <queryTableField id="1" name="板块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7" xr16:uid="{F6F408C1-5F5C-4646-8990-EA8FE33BBFF2}" autoFormatId="16" applyNumberFormats="0" applyBorderFormats="0" applyFontFormats="0" applyPatternFormats="0" applyAlignmentFormats="0" applyWidthHeightFormats="0">
  <queryTableRefresh nextId="2">
    <queryTableFields count="1">
      <queryTableField id="1" name="中资属性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C4096DD0-AB84-4A53-B115-89BF556605B4}" autoFormatId="16" applyNumberFormats="0" applyBorderFormats="0" applyFontFormats="0" applyPatternFormats="0" applyAlignmentFormats="0" applyWidthHeightFormats="0">
  <queryTableRefresh nextId="2">
    <queryTableFields count="1">
      <queryTableField id="1" name="BISL_ROLE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E4DA41F8-D207-4CA8-8A33-AF4705C2A064}" autoFormatId="16" applyNumberFormats="0" applyBorderFormats="0" applyFontFormats="0" applyPatternFormats="0" applyAlignmentFormats="0" applyWidthHeightFormats="0">
  <queryTableRefresh nextId="2">
    <queryTableFields count="1">
      <queryTableField id="1" name="BOCOM_DEAL?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05" xr16:uid="{6C9BC67F-1F4E-4BE4-B12F-A8FD3BE1E55D}" autoFormatId="16" applyNumberFormats="0" applyBorderFormats="0" applyFontFormats="0" applyPatternFormats="0" applyAlignmentFormats="0" applyWidthHeightFormats="0">
  <queryTableRefresh nextId="2">
    <queryTableFields count="1">
      <queryTableField id="1" name="Updator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9" xr16:uid="{00000000-0016-0000-0100-000000000000}" autoFormatId="16" applyNumberFormats="0" applyBorderFormats="0" applyFontFormats="0" applyPatternFormats="0" applyAlignmentFormats="0" applyWidthHeightFormats="0">
  <queryTableRefresh nextId="507">
    <queryTableFields count="79">
      <queryTableField id="107" name="Index" tableColumnId="67"/>
      <queryTableField id="1" name="信用主体" tableColumnId="1"/>
      <queryTableField id="450" name="英文简称" tableColumnId="23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6" name="发行规模(亿)" tableColumnId="26"/>
      <queryTableField id="27" name="货币" tableColumnId="27"/>
      <queryTableField id="28" name="发行期限(年)" tableColumnId="28"/>
      <queryTableField id="402" name="发行票面利率" tableColumnId="18"/>
      <queryTableField id="19" name="兑付日" tableColumnId="19"/>
      <queryTableField id="30" name="发行场所" tableColumnId="30"/>
      <queryTableField id="98" name="IPT_DMI" tableColumnId="20"/>
      <queryTableField id="99" name="FPG_DMI" tableColumnId="21"/>
      <queryTableField id="22" name="收窄幅度(bp)" tableColumnId="22"/>
      <queryTableField id="93" name="发行方式" tableColumnId="72"/>
      <queryTableField id="144" name="发行架构" tableColumnId="62"/>
      <queryTableField id="24" name="SBLC提供者" tableColumnId="24"/>
      <queryTableField id="25" name="偿还顺位" tableColumnId="25"/>
      <queryTableField id="29" name="发行价" tableColumnId="29"/>
      <queryTableField id="31" name="首日涨跌" tableColumnId="31"/>
      <queryTableField id="5" name="省份" tableColumnId="5"/>
      <queryTableField id="6" name="城市" tableColumnId="6"/>
      <queryTableField id="7" name="区县" tableColumnId="7"/>
      <queryTableField id="32" name="认购额(亿)" tableColumnId="32"/>
      <queryTableField id="33" name="认购倍数" tableColumnId="33"/>
      <queryTableField id="34" name="亚洲占比" tableColumnId="34"/>
      <queryTableField id="35" name="基金占比" tableColumnId="35"/>
      <queryTableField id="36" name="联席全球协调人" tableColumnId="36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122" name="剩余期限" tableColumnId="70"/>
      <queryTableField id="2" name="公司类型" tableColumnId="2"/>
      <queryTableField id="11" name="评级类型" tableColumnId="11"/>
      <queryTableField id="123" name="投资者账户数" tableColumnId="73"/>
      <queryTableField id="124" name="投资者类型" tableColumnId="74"/>
      <queryTableField id="125" name="投资者分布" tableColumnId="75"/>
      <queryTableField id="126" name="筹款用途" tableColumnId="76"/>
      <queryTableField id="37" name="ticker" tableColumnId="37"/>
      <queryTableField id="38" name="债券最新面值" tableColumnId="38"/>
      <queryTableField id="39" name="债券余额" tableColumnId="39"/>
      <queryTableField id="58" name="维好协议提供者" tableColumnId="58"/>
      <queryTableField id="57" name="付息频率" tableColumnId="57"/>
      <queryTableField id="56" name="特殊条款" tableColumnId="56"/>
      <queryTableField id="55" name="债券类型" tableColumnId="55"/>
      <queryTableField id="54" name="交易状态" tableColumnId="54"/>
      <queryTableField id="53" name="利率类型" tableColumnId="53"/>
      <queryTableField id="52" name="是否存单" tableColumnId="52"/>
      <queryTableField id="51" name="是否永续债" tableColumnId="51"/>
      <queryTableField id="128" name="联席账簿管理人" tableColumnId="78"/>
      <queryTableField id="50" name="牵头经办人" tableColumnId="50"/>
      <queryTableField id="49" name="特殊条款说明" tableColumnId="49"/>
      <queryTableField id="48" name="上市日期" tableColumnId="48"/>
      <queryTableField id="136" name="定价_DMI" tableColumnId="77"/>
      <queryTableField id="47" name="发行起始日" tableColumnId="47"/>
      <queryTableField id="46" name="担保人" tableColumnId="46"/>
      <queryTableField id="45" name="发行人" tableColumnId="45"/>
      <queryTableField id="44" name="首次付息日" tableColumnId="44"/>
      <queryTableField id="43" name="计息基准" tableColumnId="43"/>
      <queryTableField id="42" name="最新票面利率" tableColumnId="42"/>
      <queryTableField id="41" name="行权兑付日" tableColumnId="41"/>
      <queryTableField id="40" name="起息日期" tableColumnId="40"/>
      <queryTableField id="91" name="地区" tableColumnId="71"/>
      <queryTableField id="100" name="亿美元" tableColumnId="60"/>
      <queryTableField id="105" name="亿元" tableColumnId="64"/>
      <queryTableField id="120" name="亿港币" tableColumnId="69"/>
      <queryTableField id="140" name="注册成立地" tableColumnId="79"/>
      <queryTableField id="111" name="补充OMAS updates" tableColumnId="63"/>
      <queryTableField id="112" name="定价息差" tableColumnId="65"/>
      <queryTableField id="113" name="发行评级" tableColumnId="66"/>
      <queryTableField id="114" name="主体评级" tableColumnId="68"/>
      <queryTableField id="59" name="Check" tableColumnId="59"/>
      <queryTableField id="109" name="IS_FIMTN" tableColumnId="6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25" xr16:uid="{B2D9610A-2DF8-4D52-9C4A-39A50AFAB38B}" autoFormatId="16" applyNumberFormats="0" applyBorderFormats="0" applyFontFormats="0" applyPatternFormats="0" applyAlignmentFormats="0" applyWidthHeightFormats="0">
  <queryTableRefresh nextId="3">
    <queryTableFields count="1">
      <queryTableField id="2" name="DMI列名更改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26" xr16:uid="{FCE13C74-D69C-46FE-8791-4CF2F506A876}" autoFormatId="16" applyNumberFormats="0" applyBorderFormats="0" applyFontFormats="0" applyPatternFormats="0" applyAlignmentFormats="0" applyWidthHeightFormats="0">
  <queryTableRefresh nextId="3">
    <queryTableFields count="1">
      <queryTableField id="2" name="DMI新增列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85" xr16:uid="{00000000-0016-0000-02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headers_review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32" xr16:uid="{00000000-0016-0000-0200-000003000000}" autoFormatId="16" applyNumberFormats="0" applyBorderFormats="0" applyFontFormats="0" applyPatternFormats="0" applyAlignmentFormats="0" applyWidthHeightFormats="0">
  <queryTableRefresh nextId="124">
    <queryTableFields count="28">
      <queryTableField id="1" name="定价日" tableColumnId="1"/>
      <queryTableField id="2" name="信用主体" tableColumnId="2"/>
      <queryTableField id="36" name="主体评级" tableColumnId="4"/>
      <queryTableField id="6" name="发行评级" tableColumnId="6"/>
      <queryTableField id="71" name="备证行" tableColumnId="30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25" name="定价" tableColumnId="25"/>
      <queryTableField id="72" name="增发判定" tableColumnId="31"/>
      <queryTableField id="110" name="结构" tableColumnId="7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57" name="FEATURED" tableColumnId="20"/>
      <queryTableField id="73" name="上市" tableColumnId="33"/>
      <queryTableField id="26" name="定价基准" tableColumnId="26"/>
      <queryTableField id="27" name="发行票面利率" tableColumnId="27"/>
      <queryTableField id="32" name="境内主体评级" tableColumnId="32"/>
      <queryTableField id="80" name="通过分行" tableColumnId="3"/>
      <queryTableField id="82" name="期限备注" tableColumnId="34"/>
      <queryTableField id="35" name="ISIN" tableColumnId="35"/>
      <queryTableField id="23" name="亿美元" tableColumnId="23"/>
      <queryTableField id="24" name="亿元" tableColumnId="24"/>
      <queryTableField id="84" name="亿港币" tableColumnId="21"/>
      <queryTableField id="49" name="Check" tableColumnId="19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0" xr16:uid="{00000000-0016-0000-0200-000004000000}" autoFormatId="16" applyNumberFormats="0" applyBorderFormats="0" applyFontFormats="0" applyPatternFormats="0" applyAlignmentFormats="0" applyWidthHeightFormats="0">
  <queryTableRefresh nextId="50">
    <queryTableFields count="16">
      <queryTableField id="4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16" name="COVERAGE" tableColumnId="8"/>
      <queryTableField id="22" name="Project Name" tableColumnId="10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20" name="港分_ROLE" tableColumnId="6"/>
      <queryTableField id="21" name="澳分_ROLE" tableColumnId="7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31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5" xr16:uid="{00000000-0016-0000-0400-000009000000}" autoFormatId="16" applyNumberFormats="0" applyBorderFormats="0" applyFontFormats="0" applyPatternFormats="0" applyAlignmentFormats="0" applyWidthHeightFormats="0">
  <queryTableRefresh nextId="17">
    <queryTableFields count="10">
      <queryTableField id="1" name="定价日" tableColumnId="1"/>
      <queryTableField id="2" name="ISIN" tableColumnId="2"/>
      <queryTableField id="3" name="债券简称" tableColumnId="3"/>
      <queryTableField id="4" name="年期" tableColumnId="4"/>
      <queryTableField id="5" name="亿美元" tableColumnId="5"/>
      <queryTableField id="10" name="货币" tableColumnId="10"/>
      <queryTableField id="12" name="板块" tableColumnId="11"/>
      <queryTableField id="7" name="评级分类" tableColumnId="7"/>
      <queryTableField id="8" name="品种" tableColumnId="8"/>
      <queryTableField id="9" name="按年" tableColumnId="9"/>
    </queryTableFields>
    <queryTableDeletedFields count="1">
      <deletedField name="行业"/>
    </queryTableDeleted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3" xr16:uid="{00000000-0016-0000-0400-000006000000}" autoFormatId="16" applyNumberFormats="0" applyBorderFormats="0" applyFontFormats="0" applyPatternFormats="0" applyAlignmentFormats="0" applyWidthHeightFormats="0">
  <queryTableRefresh nextId="115">
    <queryTableFields count="17">
      <queryTableField id="39" name="Index" tableColumnId="2"/>
      <queryTableField id="33" name="ISIN" tableColumnId="33"/>
      <queryTableField id="1" name="定价日" tableColumnId="1"/>
      <queryTableField id="40" name="信用主体(备证行)" tableColumnId="3"/>
      <queryTableField id="7" name="发行评级" tableColumnId="7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5" name="收窄基点" tableColumnId="15"/>
      <queryTableField id="16" name="结构" tableColumnId="16"/>
      <queryTableField id="17" name="主题" tableColumnId="17"/>
      <queryTableField id="113" name="板块" tableColumnId="4"/>
      <queryTableField id="19" name="地区" tableColumnId="19"/>
      <queryTableField id="38" name="BOCOM_DEAL?" tableColumnId="38"/>
      <queryTableField id="52" name="亿美元" tableColumnId="2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13" xr16:uid="{00000000-0016-0000-0500-00000E000000}" autoFormatId="16" applyNumberFormats="0" applyBorderFormats="0" applyFontFormats="0" applyPatternFormats="0" applyAlignmentFormats="0" applyWidthHeightFormats="0">
  <queryTableRefresh nextId="184">
    <queryTableFields count="6">
      <queryTableField id="32" name="Index" tableColumnId="12"/>
      <queryTableField id="182" name="板块" tableColumnId="2"/>
      <queryTableField id="39" name="货币" tableColumnId="19"/>
      <queryTableField id="101" name="信用主体(备证行)" tableColumnId="52"/>
      <queryTableField id="14" name="描述" tableColumnId="8"/>
      <queryTableField id="180" name="Stats描述" tableColumnId="1"/>
    </queryTableFields>
    <queryTableDeletedFields count="11">
      <deletedField name="描述"/>
      <deletedField name="Index"/>
      <deletedField name="信用主体简称"/>
      <deletedField name="BISL_ROLE"/>
      <deletedField name="其他交银_ROLE"/>
      <deletedField name="地区"/>
      <deletedField name="行业"/>
      <deletedField name="主题"/>
      <deletedField name="货币"/>
      <deletedField name="结构"/>
      <deletedField name="增发判定"/>
    </queryTableDeleted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12" xr16:uid="{00000000-0016-0000-0500-00000C000000}" autoFormatId="16" applyNumberFormats="0" applyBorderFormats="0" applyFontFormats="0" applyPatternFormats="0" applyAlignmentFormats="0" applyWidthHeightFormats="0">
  <queryTableRefresh nextId="216">
    <queryTableFields count="6">
      <queryTableField id="22" name="Index" tableColumnId="12"/>
      <queryTableField id="214" name="板块" tableColumnId="2"/>
      <queryTableField id="3" name="货币" tableColumnId="3"/>
      <queryTableField id="74" name="信用主体(备证行)" tableColumnId="52"/>
      <queryTableField id="5" name="描述" tableColumnId="5"/>
      <queryTableField id="213" name="Stats描述" tableColumnId="1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114" xr16:uid="{00000000-0016-0000-0500-00000D000000}" autoFormatId="16" applyNumberFormats="0" applyBorderFormats="0" applyFontFormats="0" applyPatternFormats="0" applyAlignmentFormats="0" applyWidthHeightFormats="0">
  <queryTableRefresh nextId="33">
    <queryTableFields count="6">
      <queryTableField id="22" name="Index" tableColumnId="11"/>
      <queryTableField id="31" name="板块" tableColumnId="2"/>
      <queryTableField id="3" name="货币" tableColumnId="3"/>
      <queryTableField id="27" name="信用主体(备证行)" tableColumnId="1"/>
      <queryTableField id="5" name="描述" tableColumnId="5"/>
      <queryTableField id="30" name="Stats描述" tableColumnId="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8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3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0" xr16:uid="{BCA25F3D-5EA7-4438-BD47-A2F505717EAC}" autoFormatId="16" applyNumberFormats="0" applyBorderFormats="0" applyFontFormats="0" applyPatternFormats="0" applyAlignmentFormats="0" applyWidthHeightFormats="0">
  <queryTableRefresh nextId="17">
    <queryTableFields count="10">
      <queryTableField id="2" name="定价日" tableColumnId="2"/>
      <queryTableField id="3" name="ISIN" tableColumnId="3"/>
      <queryTableField id="4" name="债券简称" tableColumnId="4"/>
      <queryTableField id="5" name="年期" tableColumnId="5"/>
      <queryTableField id="6" name="亿美元" tableColumnId="6"/>
      <queryTableField id="7" name="货币" tableColumnId="7"/>
      <queryTableField id="12" name="板块" tableColumnId="1"/>
      <queryTableField id="9" name="评级分类" tableColumnId="9"/>
      <queryTableField id="10" name="品种" tableColumnId="10"/>
      <queryTableField id="11" name="按年" tableColumnId="11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0" xr16:uid="{B8FD89C8-856C-4BC4-965B-5913312DB0D0}" autoFormatId="16" applyNumberFormats="0" applyBorderFormats="0" applyFontFormats="0" applyPatternFormats="0" applyAlignmentFormats="0" applyWidthHeightFormats="0">
  <queryTableRefresh nextId="441">
    <queryTableFields count="69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7" name="发行规模(亿)" tableColumnId="27"/>
      <queryTableField id="28" name="货币" tableColumnId="28"/>
      <queryTableField id="29" name="发行期限(年)" tableColumnId="29"/>
      <queryTableField id="336" name="发行票面利率" tableColumnId="18"/>
      <queryTableField id="19" name="兑付日" tableColumnId="19"/>
      <queryTableField id="31" name="发行场所" tableColumnId="31"/>
      <queryTableField id="20" name="IPT_DMI" tableColumnId="20"/>
      <queryTableField id="21" name="FPG_DMI" tableColumnId="21"/>
      <queryTableField id="22" name="收窄幅度(bp)" tableColumnId="22"/>
      <queryTableField id="23" name="发行方式" tableColumnId="23"/>
      <queryTableField id="78" name="发行架构" tableColumnId="69"/>
      <queryTableField id="25" name="SBLC提供者" tableColumnId="25"/>
      <queryTableField id="26" name="偿还顺位" tableColumnId="26"/>
      <queryTableField id="30" name="发行价" tableColumnId="30"/>
      <queryTableField id="32" name="首日涨跌" tableColumnId="32"/>
      <queryTableField id="5" name="省份" tableColumnId="5"/>
      <queryTableField id="6" name="城市" tableColumnId="6"/>
      <queryTableField id="7" name="区县" tableColumnId="7"/>
      <queryTableField id="33" name="认购额(亿)" tableColumnId="33"/>
      <queryTableField id="34" name="认购倍数" tableColumnId="34"/>
      <queryTableField id="35" name="亚洲占比" tableColumnId="35"/>
      <queryTableField id="36" name="基金占比" tableColumnId="36"/>
      <queryTableField id="37" name="联席全球协调人" tableColumnId="37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62" name="剩余期限" tableColumnId="62"/>
      <queryTableField id="2" name="公司类型" tableColumnId="2"/>
      <queryTableField id="11" name="评级类型" tableColumnId="11"/>
      <queryTableField id="63" name="投资者账户数" tableColumnId="63"/>
      <queryTableField id="64" name="投资者类型" tableColumnId="64"/>
      <queryTableField id="65" name="投资者分布" tableColumnId="65"/>
      <queryTableField id="66" name="筹款用途" tableColumnId="66"/>
      <queryTableField id="38" name="ticker" tableColumnId="38"/>
      <queryTableField id="39" name="债券最新面值" tableColumnId="39"/>
      <queryTableField id="40" name="债券余额" tableColumnId="40"/>
      <queryTableField id="59" name="维好协议提供者" tableColumnId="59"/>
      <queryTableField id="58" name="付息频率" tableColumnId="58"/>
      <queryTableField id="57" name="特殊条款" tableColumnId="57"/>
      <queryTableField id="56" name="债券类型" tableColumnId="56"/>
      <queryTableField id="55" name="交易状态" tableColumnId="55"/>
      <queryTableField id="54" name="利率类型" tableColumnId="54"/>
      <queryTableField id="53" name="是否存单" tableColumnId="53"/>
      <queryTableField id="52" name="是否永续债" tableColumnId="52"/>
      <queryTableField id="68" name="联席账簿管理人" tableColumnId="68"/>
      <queryTableField id="51" name="牵头经办人" tableColumnId="51"/>
      <queryTableField id="50" name="特殊条款说明" tableColumnId="50"/>
      <queryTableField id="49" name="上市日期" tableColumnId="49"/>
      <queryTableField id="67" name="定价_DMI" tableColumnId="67"/>
      <queryTableField id="48" name="发行起始日" tableColumnId="48"/>
      <queryTableField id="47" name="担保人" tableColumnId="47"/>
      <queryTableField id="46" name="发行人" tableColumnId="46"/>
      <queryTableField id="45" name="首次付息日" tableColumnId="45"/>
      <queryTableField id="44" name="计息基准" tableColumnId="44"/>
      <queryTableField id="43" name="最新票面利率" tableColumnId="43"/>
      <queryTableField id="42" name="行权兑付日" tableColumnId="42"/>
      <queryTableField id="41" name="起息日期" tableColumnId="41"/>
      <queryTableField id="60" name="地区" tableColumnId="60"/>
      <queryTableField id="61" name="Check" tableColumnId="61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B373777-6D0E-4373-8161-40D12EDDEF4D}" autoFormatId="16" applyNumberFormats="0" applyBorderFormats="0" applyFontFormats="0" applyPatternFormats="0" applyAlignmentFormats="0" applyWidthHeightFormats="0">
  <queryTableRefresh nextId="13">
    <queryTableFields count="12">
      <queryTableField id="1" name="Index" tableColumnId="1"/>
      <queryTableField id="2" name="定价日" tableColumnId="2"/>
      <queryTableField id="3" name="ISIN" tableColumnId="3"/>
      <queryTableField id="4" name="补充OMAS updates" tableColumnId="4"/>
      <queryTableField id="5" name="发行评级" tableColumnId="5"/>
      <queryTableField id="6" name="发行人注册地" tableColumnId="6"/>
      <queryTableField id="7" name="主体评级" tableColumnId="7"/>
      <queryTableField id="8" name="定价息差" tableColumnId="8"/>
      <queryTableField id="9" name="浮息息差" tableColumnId="9"/>
      <queryTableField id="10" name="Check" tableColumnId="10"/>
      <queryTableField id="11" name="债项BBG" tableColumnId="11"/>
      <queryTableField id="12" name="主体BBG" tableColumnId="1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9" xr16:uid="{F411338F-7C60-4E47-A1F5-A5A87D4E0DE3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6" xr16:uid="{77DE529F-18C5-4C93-9015-01A7C00BE612}" autoFormatId="16" applyNumberFormats="0" applyBorderFormats="0" applyFontFormats="0" applyPatternFormats="0" applyAlignmentFormats="0" applyWidthHeightFormats="0">
  <queryTableRefresh nextId="14">
    <queryTableFields count="13">
      <queryTableField id="1" name="信用主体" tableColumnId="1"/>
      <queryTableField id="2" name="定价日" tableColumnId="2"/>
      <queryTableField id="3" name="债券名称" tableColumnId="3"/>
      <queryTableField id="4" name="ISIN" tableColumnId="4"/>
      <queryTableField id="5" name="发行价" tableColumnId="5"/>
      <queryTableField id="6" name="初始发行价" tableColumnId="6"/>
      <queryTableField id="7" name="认购倍数" tableColumnId="7"/>
      <queryTableField id="8" name="首日表现" tableColumnId="8"/>
      <queryTableField id="9" name="行业" tableColumnId="9"/>
      <queryTableField id="10" name="最终订单量/峰值订单（亿美元）" tableColumnId="10"/>
      <queryTableField id="11" name="WSTIPT" tableColumnId="11"/>
      <queryTableField id="12" name="WSTFPT" tableColumnId="12"/>
      <queryTableField id="13" name="Check" tableColumnId="13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4" xr16:uid="{9A83D6E5-8028-451F-81EB-6106800FC1B7}" autoFormatId="16" applyNumberFormats="0" applyBorderFormats="0" applyFontFormats="0" applyPatternFormats="0" applyAlignmentFormats="0" applyWidthHeightFormats="0">
  <queryTableRefresh nextId="59">
    <queryTableFields count="45">
      <queryTableField id="1" name="Index" tableColumnId="1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30" name="FEATURED" tableColumnId="30"/>
      <queryTableField id="31" name="亮点" tableColumnId="31"/>
      <queryTableField id="32" name="通过分行" tableColumnId="32"/>
      <queryTableField id="33" name="期限备注" tableColumnId="33"/>
      <queryTableField id="34" name="SPECIALs" tableColumnId="34"/>
      <queryTableField id="35" name="OTHER_ISIN" tableColumnId="35"/>
      <queryTableField id="36" name="Updator" tableColumnId="36"/>
      <queryTableField id="37" name="Timestamp" tableColumnId="37"/>
      <queryTableField id="38" name="Check" tableColumnId="38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01" xr16:uid="{00000000-0016-0000-0400-00000A000000}" autoFormatId="16" applyNumberFormats="0" applyBorderFormats="0" applyFontFormats="0" applyPatternFormats="0" applyAlignmentFormats="0" applyWidthHeightFormats="0">
  <queryTableRefresh nextId="58">
    <queryTableFields count="20">
      <queryTableField id="24" name="Index" tableColumnId="1"/>
      <queryTableField id="7" name="信用主体" tableColumnId="7"/>
      <queryTableField id="25" name="信用主体简称" tableColumnId="12"/>
      <queryTableField id="22" name="板块" tableColumnId="3"/>
      <queryTableField id="45" name="行业二级" tableColumnId="13"/>
      <queryTableField id="4" name="地区" tableColumnId="4"/>
      <queryTableField id="5" name="城市" tableColumnId="5"/>
      <queryTableField id="6" name="区县" tableColumnId="6"/>
      <queryTableField id="27" name="平台级别" tableColumnId="14"/>
      <queryTableField id="12" name="中资属性" tableColumnId="2"/>
      <queryTableField id="56" name="系" tableColumnId="20"/>
      <queryTableField id="28" name="首次违约日" tableColumnId="15"/>
      <queryTableField id="11" name="DEBUT_DATE" tableColumnId="11"/>
      <queryTableField id="29" name="曾用名" tableColumnId="16"/>
      <queryTableField id="30" name="主体备注" tableColumnId="17"/>
      <queryTableField id="8" name="行业" tableColumnId="8"/>
      <queryTableField id="9" name="细分行业" tableColumnId="9"/>
      <queryTableField id="10" name="公司类型" tableColumnId="10"/>
      <queryTableField id="31" name="Updator" tableColumnId="18"/>
      <queryTableField id="32" name="Timestamp" tableColumnId="19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0" xr16:uid="{00000000-0016-0000-0400-000008000000}" autoFormatId="16" applyNumberFormats="0" applyBorderFormats="0" applyFontFormats="0" applyPatternFormats="0" applyAlignmentFormats="0" applyWidthHeightFormats="0">
  <queryTableRefresh nextId="56">
    <queryTableFields count="19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37" name="多期限" tableColumnId="17"/>
      <queryTableField id="1" name="Check" tableColumnId="1"/>
      <queryTableField id="38" name="PRJ对帐号" tableColumnId="19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_ddsector" displayName="tbl_ddsector" ref="A6:A10" totalsRowShown="0">
  <autoFilter ref="A6:A10" xr:uid="{00000000-0009-0000-0100-000006000000}"/>
  <tableColumns count="1">
    <tableColumn id="1" xr3:uid="{00000000-0010-0000-0000-000001000000}" name="行业"/>
  </tableColumns>
  <tableStyleInfo name="Named_dd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B6:B9" totalsRowShown="0">
  <autoFilter ref="B6:B9" xr:uid="{00000000-0009-0000-0100-000005000000}"/>
  <tableColumns count="1">
    <tableColumn id="1" xr3:uid="{00000000-0010-0000-0200-000001000000}" name="评级分类"/>
  </tableColumns>
  <tableStyleInfo name="Named_dd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_dd_crcy" displayName="tbl_dd_crcy" ref="C6:C10" totalsRowShown="0">
  <autoFilter ref="C6:C10" xr:uid="{00000000-0009-0000-0100-000003000000}"/>
  <tableColumns count="1">
    <tableColumn id="1" xr3:uid="{00000000-0010-0000-0500-000001000000}" name="货币"/>
  </tableColumns>
  <tableStyleInfo name="Named_d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bl_dd_listing" displayName="tbl_dd_listing" ref="D6:D14" totalsRowShown="0">
  <autoFilter ref="D6:D14" xr:uid="{00000000-0009-0000-0100-00000C000000}"/>
  <tableColumns count="1">
    <tableColumn id="1" xr3:uid="{00000000-0010-0000-0600-000001000000}" name="上市"/>
  </tableColumns>
  <tableStyleInfo name="Named_d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_dd_structure" displayName="tbl_dd_structure" ref="E6:E15" totalsRowShown="0">
  <autoFilter ref="E6:E15" xr:uid="{00000000-0009-0000-0100-00000D000000}"/>
  <tableColumns count="1">
    <tableColumn id="1" xr3:uid="{00000000-0010-0000-0700-000001000000}" name="结构"/>
  </tableColumns>
  <tableStyleInfo name="Named_d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9000000}" name="tbl_dd_region" displayName="tbl_dd_region" ref="A12:A44" totalsRowShown="0" headerRowDxfId="252" dataDxfId="251">
  <autoFilter ref="A12:A44" xr:uid="{00000000-0009-0000-0100-000019000000}"/>
  <tableColumns count="1">
    <tableColumn id="1" xr3:uid="{00000000-0010-0000-0900-000001000000}" name="地区" dataDxfId="250"/>
  </tableColumns>
  <tableStyleInfo name="Named_d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A000000}" name="tbl_dd_theme" displayName="tbl_dd_theme" ref="B12:B20" totalsRowShown="0" headerRowDxfId="249" dataDxfId="248">
  <autoFilter ref="B12:B20" xr:uid="{00000000-0009-0000-0100-00001A000000}"/>
  <tableColumns count="1">
    <tableColumn id="1" xr3:uid="{00000000-0010-0000-0A00-000001000000}" name="主题" dataDxfId="247"/>
  </tableColumns>
  <tableStyleInfo name="Named_d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D000000}" name="tbl_dd_role" displayName="tbl_dd_role" ref="F6:F10" totalsRowShown="0">
  <autoFilter ref="F6:F10" xr:uid="{00000000-0009-0000-0100-000018000000}"/>
  <tableColumns count="1">
    <tableColumn id="1" xr3:uid="{00000000-0010-0000-0D00-000001000000}" name="其他交银_ROLE"/>
  </tableColumns>
  <tableStyleInfo name="Named_d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E000000}" name="tbl_dd_sfcrole" displayName="tbl_dd_sfcrole" ref="G6:G10" totalsRowShown="0">
  <autoFilter ref="G6:G10" xr:uid="{00000000-0009-0000-0100-00001B000000}"/>
  <tableColumns count="1">
    <tableColumn id="1" xr3:uid="{00000000-0010-0000-0E00-000001000000}" name="新规角色"/>
  </tableColumns>
  <tableStyleInfo name="Named_d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H6:H10" totalsRowShown="0">
  <autoFilter ref="H6:H10" xr:uid="{00000000-0009-0000-0100-00001D000000}"/>
  <tableColumns count="1">
    <tableColumn id="1" xr3:uid="{00000000-0010-0000-0F00-000001000000}" name="COVERAGE"/>
  </tableColumns>
  <tableStyleInfo name="Named_d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I6:I11" tableType="queryTable" totalsRowShown="0">
  <autoFilter ref="I6:I11" xr:uid="{26FE236B-2A97-45BE-82BB-C1AD85E2DB46}"/>
  <tableColumns count="1">
    <tableColumn id="1" xr3:uid="{DE820937-D9CF-434A-8A46-AEA8816786C6}" uniqueName="1" name="板块" queryTableFieldId="1" dataDxfId="246"/>
  </tableColumns>
  <tableStyleInfo name="Named_dd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J6:J12" tableType="queryTable" totalsRowShown="0">
  <autoFilter ref="J6:J12" xr:uid="{468C1FBA-82A3-4DD0-AF71-D0CA0ACFFFD2}"/>
  <tableColumns count="1">
    <tableColumn id="1" xr3:uid="{E46ED5D9-5689-449D-A1E6-5A3A303F856D}" uniqueName="1" name="中资属性" queryTableFieldId="1" dataDxfId="245"/>
  </tableColumns>
  <tableStyleInfo name="Named_dd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K6:K12" tableType="queryTable" totalsRowShown="0">
  <autoFilter ref="K6:K12" xr:uid="{FF208760-EA58-4FEC-8BFC-A2D10CC56FD3}"/>
  <tableColumns count="1">
    <tableColumn id="1" xr3:uid="{E8A08C19-4FDD-411B-A6E1-3AEE07FBDDD9}" uniqueName="1" name="BISL_ROLE" queryTableFieldId="1" dataDxfId="244"/>
  </tableColumns>
  <tableStyleInfo name="Named_dd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A0C9D44-CD1D-472C-AE88-CA3B607FE7CC}" name="BOCOM_DEAL" displayName="BOCOM_DEAL" ref="M6:M15" tableType="queryTable" totalsRowShown="0">
  <autoFilter ref="M6:M15" xr:uid="{BBFF4DEA-A6A6-4E4A-BBFF-5F70C9A4075B}"/>
  <tableColumns count="1">
    <tableColumn id="1" xr3:uid="{16D02616-7CFF-4860-A675-A380E36236C5}" uniqueName="1" name="BOCOM_DEAL?" queryTableFieldId="1" dataDxfId="243"/>
  </tableColumns>
  <tableStyleInfo name="Named_dd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tbl_updator" displayName="tbl_updator" ref="L6:L11" tableType="queryTable" totalsRowShown="0">
  <autoFilter ref="L6:L11" xr:uid="{999A9F35-E4E0-4D85-AD86-43F048CB5B5A}"/>
  <tableColumns count="1">
    <tableColumn id="1" xr3:uid="{2AA3E575-2017-4E83-9753-495BF623DBCA}" uniqueName="1" name="Updator" queryTableFieldId="1" dataDxfId="242"/>
  </tableColumns>
  <tableStyleInfo name="Named_dd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2000000}" name="tbl_dt" displayName="tbl_dt" ref="I1:I2" totalsRowShown="0" headerRowDxfId="241" dataDxfId="240">
  <autoFilter ref="I1:I2" xr:uid="{00000000-0009-0000-0100-00001C000000}">
    <filterColumn colId="0" hiddenButton="1"/>
  </autoFilter>
  <tableColumns count="1">
    <tableColumn id="1" xr3:uid="{00000000-0010-0000-1200-000001000000}" name="Updator" dataDxfId="239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Table_DLDconso" displayName="Table_DLDconso" ref="D10:CD14" tableType="queryTable" totalsRowShown="0">
  <autoFilter ref="D10:CD14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</autoFilter>
  <tableColumns count="79">
    <tableColumn id="67" xr3:uid="{89571AE0-3879-457F-B318-34D498859252}" uniqueName="67" name="Index" queryTableFieldId="107"/>
    <tableColumn id="1" xr3:uid="{00000000-0010-0000-1400-000001000000}" uniqueName="1" name="信用主体" queryTableFieldId="1"/>
    <tableColumn id="23" xr3:uid="{B5A6303E-E7C0-43D0-A6BB-6FDABEE4ABD9}" uniqueName="23" name="英文简称" queryTableFieldId="450"/>
    <tableColumn id="9" xr3:uid="{00000000-0010-0000-1400-000009000000}" uniqueName="9" name="ISIN" queryTableFieldId="9"/>
    <tableColumn id="12" xr3:uid="{00000000-0010-0000-1400-00000C000000}" uniqueName="12" name="定价日" queryTableFieldId="12"/>
    <tableColumn id="8" xr3:uid="{00000000-0010-0000-1400-000008000000}" uniqueName="8" name="债券简称" queryTableFieldId="8"/>
    <tableColumn id="13" xr3:uid="{00000000-0010-0000-1400-00000D000000}" uniqueName="13" name="穆迪/标普" queryTableFieldId="13"/>
    <tableColumn id="14" xr3:uid="{00000000-0010-0000-1400-00000E000000}" uniqueName="14" name="主体评级展望" queryTableFieldId="14"/>
    <tableColumn id="15" xr3:uid="{00000000-0010-0000-1400-00000F000000}" uniqueName="15" name="债项评级" queryTableFieldId="15"/>
    <tableColumn id="26" xr3:uid="{00000000-0010-0000-1400-00001A000000}" uniqueName="26" name="发行规模(亿)" queryTableFieldId="26"/>
    <tableColumn id="27" xr3:uid="{00000000-0010-0000-1400-00001B000000}" uniqueName="27" name="货币" queryTableFieldId="27"/>
    <tableColumn id="28" xr3:uid="{00000000-0010-0000-1400-00001C000000}" uniqueName="28" name="发行期限(年)" queryTableFieldId="28"/>
    <tableColumn id="18" xr3:uid="{976CC2A1-CB1D-46FB-BCEF-7DD409F4944D}" uniqueName="18" name="发行票面利率" queryTableFieldId="402"/>
    <tableColumn id="19" xr3:uid="{00000000-0010-0000-1400-000013000000}" uniqueName="19" name="兑付日" queryTableFieldId="19"/>
    <tableColumn id="30" xr3:uid="{00000000-0010-0000-1400-00001E000000}" uniqueName="30" name="发行场所" queryTableFieldId="30"/>
    <tableColumn id="20" xr3:uid="{2E21E1F0-B3C8-4D63-81C1-4DEA5849D935}" uniqueName="20" name="IPT_DMI" queryTableFieldId="98"/>
    <tableColumn id="21" xr3:uid="{721CAAAA-9532-4A2C-AF68-00307121AC06}" uniqueName="21" name="FPG_DMI" queryTableFieldId="99"/>
    <tableColumn id="22" xr3:uid="{00000000-0010-0000-1400-000016000000}" uniqueName="22" name="收窄幅度(bp)" queryTableFieldId="22"/>
    <tableColumn id="72" xr3:uid="{00000000-0010-0000-1400-000048000000}" uniqueName="72" name="发行方式" queryTableFieldId="93"/>
    <tableColumn id="62" xr3:uid="{9E4808FC-4C9C-428D-82BA-2929B856B8D6}" uniqueName="62" name="发行架构" queryTableFieldId="144"/>
    <tableColumn id="24" xr3:uid="{00000000-0010-0000-1400-000018000000}" uniqueName="24" name="SBLC提供者" queryTableFieldId="24"/>
    <tableColumn id="25" xr3:uid="{00000000-0010-0000-1400-000019000000}" uniqueName="25" name="偿还顺位" queryTableFieldId="25"/>
    <tableColumn id="29" xr3:uid="{00000000-0010-0000-1400-00001D000000}" uniqueName="29" name="发行价" queryTableFieldId="29"/>
    <tableColumn id="31" xr3:uid="{00000000-0010-0000-1400-00001F000000}" uniqueName="31" name="首日涨跌" queryTableFieldId="31"/>
    <tableColumn id="5" xr3:uid="{00000000-0010-0000-1400-000005000000}" uniqueName="5" name="省份" queryTableFieldId="5"/>
    <tableColumn id="6" xr3:uid="{00000000-0010-0000-1400-000006000000}" uniqueName="6" name="城市" queryTableFieldId="6"/>
    <tableColumn id="7" xr3:uid="{00000000-0010-0000-1400-000007000000}" uniqueName="7" name="区县" queryTableFieldId="7"/>
    <tableColumn id="32" xr3:uid="{00000000-0010-0000-1400-000020000000}" uniqueName="32" name="认购额(亿)" queryTableFieldId="32"/>
    <tableColumn id="33" xr3:uid="{00000000-0010-0000-1400-000021000000}" uniqueName="33" name="认购倍数" queryTableFieldId="33"/>
    <tableColumn id="34" xr3:uid="{00000000-0010-0000-1400-000022000000}" uniqueName="34" name="亚洲占比" queryTableFieldId="34"/>
    <tableColumn id="35" xr3:uid="{00000000-0010-0000-1400-000023000000}" uniqueName="35" name="基金占比" queryTableFieldId="35"/>
    <tableColumn id="36" xr3:uid="{00000000-0010-0000-1400-000024000000}" uniqueName="36" name="联席全球协调人" queryTableFieldId="36"/>
    <tableColumn id="4" xr3:uid="{00000000-0010-0000-1400-000004000000}" uniqueName="4" name="细分行业" queryTableFieldId="4"/>
    <tableColumn id="10" xr3:uid="{00000000-0010-0000-1400-00000A000000}" uniqueName="10" name="主题债券" queryTableFieldId="10"/>
    <tableColumn id="16" xr3:uid="{00000000-0010-0000-1400-000010000000}" uniqueName="16" name="债项初始评级" queryTableFieldId="16"/>
    <tableColumn id="17" xr3:uid="{00000000-0010-0000-1400-000011000000}" uniqueName="17" name="境内主体评级" queryTableFieldId="17"/>
    <tableColumn id="3" xr3:uid="{00000000-0010-0000-1400-000003000000}" uniqueName="3" name="行业" queryTableFieldId="3"/>
    <tableColumn id="70" xr3:uid="{D4D745FA-E2EC-49A7-8DD6-A7E0C561075E}" uniqueName="70" name="剩余期限" queryTableFieldId="122"/>
    <tableColumn id="2" xr3:uid="{00000000-0010-0000-1400-000002000000}" uniqueName="2" name="公司类型" queryTableFieldId="2"/>
    <tableColumn id="11" xr3:uid="{00000000-0010-0000-1400-00000B000000}" uniqueName="11" name="评级类型" queryTableFieldId="11"/>
    <tableColumn id="73" xr3:uid="{EC155D5D-7034-4D98-AE8E-9FD72DE0014F}" uniqueName="73" name="投资者账户数" queryTableFieldId="123"/>
    <tableColumn id="74" xr3:uid="{F3AEB759-21B8-4CF1-A6A6-D6587E7B0569}" uniqueName="74" name="投资者类型" queryTableFieldId="124"/>
    <tableColumn id="75" xr3:uid="{8379EAC2-F6FB-4868-9327-F4926D5314B2}" uniqueName="75" name="投资者分布" queryTableFieldId="125"/>
    <tableColumn id="76" xr3:uid="{99F5C9BF-819A-4B74-90A6-3D912D600F26}" uniqueName="76" name="筹款用途" queryTableFieldId="126"/>
    <tableColumn id="37" xr3:uid="{00000000-0010-0000-1400-000025000000}" uniqueName="37" name="ticker" queryTableFieldId="37"/>
    <tableColumn id="38" xr3:uid="{00000000-0010-0000-1400-000026000000}" uniqueName="38" name="债券最新面值" queryTableFieldId="38"/>
    <tableColumn id="39" xr3:uid="{00000000-0010-0000-1400-000027000000}" uniqueName="39" name="债券余额" queryTableFieldId="39"/>
    <tableColumn id="58" xr3:uid="{00000000-0010-0000-1400-00003A000000}" uniqueName="58" name="维好协议提供者" queryTableFieldId="58"/>
    <tableColumn id="57" xr3:uid="{00000000-0010-0000-1400-000039000000}" uniqueName="57" name="付息频率" queryTableFieldId="57"/>
    <tableColumn id="56" xr3:uid="{00000000-0010-0000-1400-000038000000}" uniqueName="56" name="特殊条款" queryTableFieldId="56"/>
    <tableColumn id="55" xr3:uid="{00000000-0010-0000-1400-000037000000}" uniqueName="55" name="债券类型" queryTableFieldId="55"/>
    <tableColumn id="54" xr3:uid="{00000000-0010-0000-1400-000036000000}" uniqueName="54" name="交易状态" queryTableFieldId="54"/>
    <tableColumn id="53" xr3:uid="{00000000-0010-0000-1400-000035000000}" uniqueName="53" name="利率类型" queryTableFieldId="53"/>
    <tableColumn id="52" xr3:uid="{00000000-0010-0000-1400-000034000000}" uniqueName="52" name="是否存单" queryTableFieldId="52"/>
    <tableColumn id="51" xr3:uid="{00000000-0010-0000-1400-000033000000}" uniqueName="51" name="是否永续债" queryTableFieldId="51"/>
    <tableColumn id="78" xr3:uid="{A0CF3BD1-5FCF-4795-AF10-20DDD23A6110}" uniqueName="78" name="联席账簿管理人" queryTableFieldId="128"/>
    <tableColumn id="50" xr3:uid="{00000000-0010-0000-1400-000032000000}" uniqueName="50" name="牵头经办人" queryTableFieldId="50"/>
    <tableColumn id="49" xr3:uid="{00000000-0010-0000-1400-000031000000}" uniqueName="49" name="特殊条款说明" queryTableFieldId="49"/>
    <tableColumn id="48" xr3:uid="{00000000-0010-0000-1400-000030000000}" uniqueName="48" name="上市日期" queryTableFieldId="48"/>
    <tableColumn id="77" xr3:uid="{96AB1C8E-595F-43D9-A802-E2A6579CD92F}" uniqueName="77" name="定价_DMI" queryTableFieldId="136"/>
    <tableColumn id="47" xr3:uid="{00000000-0010-0000-1400-00002F000000}" uniqueName="47" name="发行起始日" queryTableFieldId="47"/>
    <tableColumn id="46" xr3:uid="{00000000-0010-0000-1400-00002E000000}" uniqueName="46" name="担保人" queryTableFieldId="46"/>
    <tableColumn id="45" xr3:uid="{00000000-0010-0000-1400-00002D000000}" uniqueName="45" name="发行人" queryTableFieldId="45"/>
    <tableColumn id="44" xr3:uid="{00000000-0010-0000-1400-00002C000000}" uniqueName="44" name="首次付息日" queryTableFieldId="44"/>
    <tableColumn id="43" xr3:uid="{00000000-0010-0000-1400-00002B000000}" uniqueName="43" name="计息基准" queryTableFieldId="43"/>
    <tableColumn id="42" xr3:uid="{00000000-0010-0000-1400-00002A000000}" uniqueName="42" name="最新票面利率" queryTableFieldId="42"/>
    <tableColumn id="41" xr3:uid="{00000000-0010-0000-1400-000029000000}" uniqueName="41" name="行权兑付日" queryTableFieldId="41"/>
    <tableColumn id="40" xr3:uid="{00000000-0010-0000-1400-000028000000}" uniqueName="40" name="起息日期" queryTableFieldId="40"/>
    <tableColumn id="71" xr3:uid="{00000000-0010-0000-1400-000047000000}" uniqueName="71" name="地区" queryTableFieldId="91"/>
    <tableColumn id="60" xr3:uid="{FFDB6495-96BB-4A1F-8A95-F7E651B4C829}" uniqueName="60" name="亿美元" queryTableFieldId="100"/>
    <tableColumn id="64" xr3:uid="{8A4D7B30-87EA-4608-AF0A-57BD31C54E25}" uniqueName="64" name="亿元" queryTableFieldId="105"/>
    <tableColumn id="69" xr3:uid="{CF2B540E-0281-473E-8195-E64D9272102B}" uniqueName="69" name="亿港币" queryTableFieldId="120"/>
    <tableColumn id="79" xr3:uid="{4D5A05D7-BD47-4CF2-BA37-25E4CD582264}" uniqueName="79" name="注册成立地" queryTableFieldId="140"/>
    <tableColumn id="63" xr3:uid="{222E9603-970D-4782-9F61-BA306470C980}" uniqueName="63" name="补充OMAS updates" queryTableFieldId="111"/>
    <tableColumn id="65" xr3:uid="{80765AA5-3F0E-470B-9194-548C15E96FE2}" uniqueName="65" name="定价息差" queryTableFieldId="112"/>
    <tableColumn id="66" xr3:uid="{835384CB-5EA1-4AA5-80C7-6E7A7E31992D}" uniqueName="66" name="发行评级" queryTableFieldId="113"/>
    <tableColumn id="68" xr3:uid="{3FAE810C-DBB1-4EA1-887E-C959C6AEE507}" uniqueName="68" name="主体评级" queryTableFieldId="114"/>
    <tableColumn id="59" xr3:uid="{00000000-0010-0000-1400-00003B000000}" uniqueName="59" name="Check" queryTableFieldId="59"/>
    <tableColumn id="61" xr3:uid="{C8615552-A40D-44A0-968D-B22B635B4874}" uniqueName="61" name="IS_FIMTN" queryTableFieldId="109"/>
  </tableColumns>
  <tableStyleInfo name="Qry Load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1B45695-E23F-4488-86FF-EB9FF19D0D29}" name="DMI列名更改_2" displayName="DMI列名更改_2" ref="B10:B11" tableType="queryTable" totalsRowShown="0">
  <autoFilter ref="B10:B11" xr:uid="{01B45695-E23F-4488-86FF-EB9FF19D0D29}">
    <filterColumn colId="0" hiddenButton="1"/>
  </autoFilter>
  <tableColumns count="1">
    <tableColumn id="2" xr3:uid="{DFAF3CC5-F455-4853-8EC1-D311FB3CA37A}" uniqueName="2" name="DMI列名更改" queryTableFieldId="2"/>
  </tableColumns>
  <tableStyleInfo name="review 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CC4E3B3E-DF33-41C3-95A7-8A54E29E2305}" name="DMI新增列_2" displayName="DMI新增列_2" ref="B13:B14" tableType="queryTable" totalsRowShown="0">
  <autoFilter ref="B13:B14" xr:uid="{CC4E3B3E-DF33-41C3-95A7-8A54E29E2305}">
    <filterColumn colId="0" hiddenButton="1"/>
  </autoFilter>
  <tableColumns count="1">
    <tableColumn id="2" xr3:uid="{E47B8A04-A7A3-447E-9A93-6C98C57C7BFA}" uniqueName="2" name="DMI新增列" queryTableFieldId="2"/>
  </tableColumns>
  <tableStyleInfo name="review 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6000000}" name="headers_review" displayName="headers_review" ref="A5:A33" tableType="queryTable" totalsRowShown="0">
  <autoFilter ref="A5:A33" xr:uid="{00000000-0009-0000-0100-000028000000}">
    <filterColumn colId="0" hiddenButton="1"/>
  </autoFilter>
  <tableColumns count="1">
    <tableColumn id="1" xr3:uid="{00000000-0010-0000-1600-000001000000}" uniqueName="1" name="headers_review" queryTableFieldId="1" dataDxfId="237"/>
  </tableColumns>
  <tableStyleInfo name="Qry Load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C5:AD9" tableType="queryTable" totalsRowShown="0">
  <autoFilter ref="C5:AD9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00000000-0010-0000-1700-000001000000}" uniqueName="1" name="定价日" queryTableFieldId="1" dataDxfId="236"/>
    <tableColumn id="2" xr3:uid="{00000000-0010-0000-1700-000002000000}" uniqueName="2" name="信用主体" queryTableFieldId="2"/>
    <tableColumn id="4" xr3:uid="{00000000-0010-0000-1700-000004000000}" uniqueName="4" name="主体评级" queryTableFieldId="36"/>
    <tableColumn id="6" xr3:uid="{00000000-0010-0000-1700-000006000000}" uniqueName="6" name="发行评级" queryTableFieldId="6"/>
    <tableColumn id="30" xr3:uid="{510F9677-E5E7-4EF2-B231-02CFB970A361}" uniqueName="30" name="备证行" queryTableFieldId="71"/>
    <tableColumn id="15" xr3:uid="{E24E777A-D49C-4B3E-93AA-DFAEBA57F42B}" uniqueName="15" name="ESG" queryTableFieldId="55"/>
    <tableColumn id="12" xr3:uid="{00000000-0010-0000-1700-00000C000000}" uniqueName="12" name="IPG" queryTableFieldId="12"/>
    <tableColumn id="13" xr3:uid="{00000000-0010-0000-1700-00000D000000}" uniqueName="13" name="FPG" queryTableFieldId="13"/>
    <tableColumn id="14" xr3:uid="{00000000-0010-0000-1700-00000E000000}" uniqueName="14" name="收窄基点" queryTableFieldId="14"/>
    <tableColumn id="25" xr3:uid="{00000000-0010-0000-1700-000019000000}" uniqueName="25" name="定价" queryTableFieldId="25"/>
    <tableColumn id="31" xr3:uid="{FFCE47EB-D5CF-4D34-81FA-065EDA65F5D5}" uniqueName="31" name="增发判定" queryTableFieldId="72"/>
    <tableColumn id="7" xr3:uid="{CF54548E-CA29-447B-8DEF-9AFB019B9DDA}" uniqueName="7" name="结构" queryTableFieldId="110"/>
    <tableColumn id="8" xr3:uid="{00000000-0010-0000-1700-000008000000}" uniqueName="8" name="货币" queryTableFieldId="8"/>
    <tableColumn id="9" xr3:uid="{00000000-0010-0000-1700-000009000000}" uniqueName="9" name="发行规模(亿)" queryTableFieldId="9"/>
    <tableColumn id="5" xr3:uid="{A465A109-439B-46CC-B8D9-8536815366D7}" uniqueName="5" name="年期" queryTableFieldId="52"/>
    <tableColumn id="11" xr3:uid="{00000000-0010-0000-1700-00000B000000}" uniqueName="11" name="票息" queryTableFieldId="11"/>
    <tableColumn id="20" xr3:uid="{7E19D719-1D4A-42E1-9F7A-3CD7D5DA6A44}" uniqueName="20" name="FEATURED" queryTableFieldId="57"/>
    <tableColumn id="33" xr3:uid="{F7F8C15B-103F-4121-B909-0AA998B5A268}" uniqueName="33" name="上市" queryTableFieldId="73"/>
    <tableColumn id="26" xr3:uid="{00000000-0010-0000-1700-00001A000000}" uniqueName="26" name="定价基准" queryTableFieldId="26"/>
    <tableColumn id="27" xr3:uid="{00000000-0010-0000-1700-00001B000000}" uniqueName="27" name="发行票面利率" queryTableFieldId="27"/>
    <tableColumn id="32" xr3:uid="{00000000-0010-0000-1700-000020000000}" uniqueName="32" name="境内主体评级" queryTableFieldId="32"/>
    <tableColumn id="3" xr3:uid="{0D8767D9-8A3E-4DE0-A81A-BA74924ABBE9}" uniqueName="3" name="通过分行" queryTableFieldId="80"/>
    <tableColumn id="34" xr3:uid="{54CE4E1B-194A-4B7A-8136-018BFA61D12B}" uniqueName="34" name="期限备注" queryTableFieldId="82"/>
    <tableColumn id="35" xr3:uid="{00000000-0010-0000-1700-000023000000}" uniqueName="35" name="ISIN" queryTableFieldId="35"/>
    <tableColumn id="23" xr3:uid="{00000000-0010-0000-1700-000017000000}" uniqueName="23" name="亿美元" queryTableFieldId="23"/>
    <tableColumn id="24" xr3:uid="{00000000-0010-0000-1700-000018000000}" uniqueName="24" name="亿元" queryTableFieldId="24"/>
    <tableColumn id="21" xr3:uid="{02205151-A1BC-4641-96CA-0A9C736A8B39}" uniqueName="21" name="亿港币" queryTableFieldId="84"/>
    <tableColumn id="19" xr3:uid="{00000000-0010-0000-1700-000013000000}" uniqueName="19" name="Check" queryTableFieldId="49"/>
  </tableColumns>
  <tableStyleInfo name="Qry Load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H5:AW6" tableType="queryTable" totalsRowShown="0" headerRowDxfId="235" dataDxfId="234">
  <autoFilter ref="AH5:AW6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0000000-0010-0000-1800-000004000000}" uniqueName="4" name="信用主体" queryTableFieldId="4" dataDxfId="233"/>
    <tableColumn id="1" xr3:uid="{00000000-0010-0000-1800-000001000000}" uniqueName="1" name="Check" queryTableFieldId="1" dataDxfId="232"/>
    <tableColumn id="2" xr3:uid="{00000000-0010-0000-1800-000002000000}" uniqueName="2" name="ISIN" queryTableFieldId="2" dataDxfId="231"/>
    <tableColumn id="3" xr3:uid="{00000000-0010-0000-1800-000003000000}" uniqueName="3" name="定价日" queryTableFieldId="3" dataDxfId="230"/>
    <tableColumn id="18" xr3:uid="{CE8319FC-590C-4EDF-A68D-FBC91063B4F2}" uniqueName="18" name="台账序号" queryTableFieldId="38" dataDxfId="229"/>
    <tableColumn id="8" xr3:uid="{00000000-0010-0000-1800-000008000000}" uniqueName="8" name="COVERAGE" queryTableFieldId="16" dataDxfId="228"/>
    <tableColumn id="10" xr3:uid="{00000000-0010-0000-1800-00000A000000}" uniqueName="10" name="Project Name" queryTableFieldId="22" dataDxfId="227"/>
    <tableColumn id="12" xr3:uid="{00000000-0010-0000-1800-00000C000000}" uniqueName="12" name="新规角色" queryTableFieldId="12" dataDxfId="226"/>
    <tableColumn id="9" xr3:uid="{00000000-0010-0000-1800-000009000000}" uniqueName="9" name="PROJECT_CODE" queryTableFieldId="17" dataDxfId="225"/>
    <tableColumn id="15" xr3:uid="{00000000-0010-0000-1800-00000F000000}" uniqueName="15" name="期数" queryTableFieldId="15" dataDxfId="224"/>
    <tableColumn id="5" xr3:uid="{00000000-0010-0000-1800-000005000000}" uniqueName="5" name="BISL_ROLE" queryTableFieldId="5" dataDxfId="223"/>
    <tableColumn id="6" xr3:uid="{00000000-0010-0000-1800-000006000000}" uniqueName="6" name="港分_ROLE" queryTableFieldId="20" dataDxfId="222"/>
    <tableColumn id="7" xr3:uid="{00000000-0010-0000-1800-000007000000}" uniqueName="7" name="澳分_ROLE" queryTableFieldId="21" dataDxfId="221"/>
    <tableColumn id="11" xr3:uid="{00000000-0010-0000-1800-00000B000000}" uniqueName="11" name="IS_LEAD" queryTableFieldId="30" dataDxfId="220"/>
    <tableColumn id="13" xr3:uid="{00000000-0010-0000-1800-00000D000000}" uniqueName="13" name="IS_B&amp;D" queryTableFieldId="31" dataDxfId="219"/>
    <tableColumn id="14" xr3:uid="{00000000-0010-0000-1800-00000E000000}" uniqueName="14" name="是否合名" queryTableFieldId="32" dataDxfId="218"/>
  </tableColumns>
  <tableStyleInfo name="Qry Load 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AH11:AK13" tableType="queryTable" totalsRowShown="0">
  <autoFilter ref="AH11:AK13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/>
    <tableColumn id="3" xr3:uid="{00000000-0010-0000-1900-000003000000}" uniqueName="3" name="SHORTNAMER" queryTableFieldId="3"/>
    <tableColumn id="2" xr3:uid="{067E2B2D-938B-409B-BBB9-BD65FC38D959}" uniqueName="2" name="中资属性" queryTableFieldId="6"/>
    <tableColumn id="4" xr3:uid="{5D8C0826-4749-4B80-BE52-B2AE7B522193}" uniqueName="4" name="板块" queryTableFieldId="8"/>
  </tableColumns>
  <tableStyleInfo name="review 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A3:AB26" totalsRowShown="0" headerRowDxfId="217" dataDxfId="216">
  <autoFilter ref="A3:AB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00000000-0010-0000-1A00-000001000000}" name="定价日" dataDxfId="215"/>
    <tableColumn id="2" xr3:uid="{00000000-0010-0000-1A00-000002000000}" name="信用主体" dataDxfId="214"/>
    <tableColumn id="3" xr3:uid="{00000000-0010-0000-1A00-000003000000}" name="主体评级" dataDxfId="213"/>
    <tableColumn id="4" xr3:uid="{00000000-0010-0000-1A00-000004000000}" name="发行评级" dataDxfId="212"/>
    <tableColumn id="6" xr3:uid="{00000000-0010-0000-1A00-000006000000}" name="备证行" dataDxfId="211"/>
    <tableColumn id="16" xr3:uid="{00000000-0010-0000-1A00-000010000000}" name="ESG" dataDxfId="210"/>
    <tableColumn id="11" xr3:uid="{00000000-0010-0000-1A00-00000B000000}" name="IPG" dataDxfId="209"/>
    <tableColumn id="12" xr3:uid="{00000000-0010-0000-1A00-00000C000000}" name="FPG" dataDxfId="208"/>
    <tableColumn id="13" xr3:uid="{00000000-0010-0000-1A00-00000D000000}" name="收窄基点" dataDxfId="207"/>
    <tableColumn id="14" xr3:uid="{00000000-0010-0000-1A00-00000E000000}" name="定价" dataDxfId="206"/>
    <tableColumn id="19" xr3:uid="{00000000-0010-0000-1A00-000013000000}" name="增发判定" dataDxfId="205"/>
    <tableColumn id="5" xr3:uid="{00000000-0010-0000-1A00-000005000000}" name="结构" dataDxfId="204"/>
    <tableColumn id="7" xr3:uid="{00000000-0010-0000-1A00-000007000000}" name="货币" dataDxfId="203"/>
    <tableColumn id="8" xr3:uid="{00000000-0010-0000-1A00-000008000000}" name="发行规模(亿)" dataDxfId="202"/>
    <tableColumn id="9" xr3:uid="{00000000-0010-0000-1A00-000009000000}" name="年期" dataDxfId="201"/>
    <tableColumn id="10" xr3:uid="{00000000-0010-0000-1A00-00000A000000}" name="票息" dataDxfId="200"/>
    <tableColumn id="17" xr3:uid="{00000000-0010-0000-1A00-000011000000}" name="FEATURED" dataDxfId="199"/>
    <tableColumn id="18" xr3:uid="{00000000-0010-0000-1A00-000012000000}" name="上市" dataDxfId="198"/>
    <tableColumn id="15" xr3:uid="{00000000-0010-0000-1A00-00000F000000}" name="定价基准" dataDxfId="197"/>
    <tableColumn id="20" xr3:uid="{00000000-0010-0000-1A00-000014000000}" name="发行票面利率" dataDxfId="196"/>
    <tableColumn id="21" xr3:uid="{00000000-0010-0000-1A00-000015000000}" name="境内主体评级" dataDxfId="195"/>
    <tableColumn id="22" xr3:uid="{00000000-0010-0000-1A00-000016000000}" name="通过分行" dataDxfId="194"/>
    <tableColumn id="23" xr3:uid="{00000000-0010-0000-1A00-000017000000}" name="期限备注" dataDxfId="193"/>
    <tableColumn id="24" xr3:uid="{00000000-0010-0000-1A00-000018000000}" name="ISIN" dataDxfId="192"/>
    <tableColumn id="25" xr3:uid="{00000000-0010-0000-1A00-000019000000}" name="亿美元" dataDxfId="191"/>
    <tableColumn id="26" xr3:uid="{00000000-0010-0000-1A00-00001A000000}" name="亿元" dataDxfId="190"/>
    <tableColumn id="27" xr3:uid="{00000000-0010-0000-1A00-00001B000000}" name="亿港币" dataDxfId="189"/>
    <tableColumn id="28" xr3:uid="{00000000-0010-0000-1A00-00001C000000}" name="Check" dataDxfId="188"/>
  </tableColumns>
  <tableStyleInfo name="review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E3:AT11" totalsRowShown="0" headerRowDxfId="187" dataDxfId="186">
  <tableColumns count="16">
    <tableColumn id="1" xr3:uid="{00000000-0010-0000-1B00-000001000000}" name="信用主体" dataDxfId="185"/>
    <tableColumn id="2" xr3:uid="{00000000-0010-0000-1B00-000002000000}" name="Check" dataDxfId="184"/>
    <tableColumn id="3" xr3:uid="{00000000-0010-0000-1B00-000003000000}" name="ISIN" dataDxfId="183"/>
    <tableColumn id="4" xr3:uid="{00000000-0010-0000-1B00-000004000000}" name="定价日" dataDxfId="182"/>
    <tableColumn id="5" xr3:uid="{00000000-0010-0000-1B00-000005000000}" name="台账序号" dataDxfId="181"/>
    <tableColumn id="6" xr3:uid="{00000000-0010-0000-1B00-000006000000}" name="COVERAGE" dataDxfId="180"/>
    <tableColumn id="7" xr3:uid="{00000000-0010-0000-1B00-000007000000}" name="Project Name" dataDxfId="179"/>
    <tableColumn id="8" xr3:uid="{00000000-0010-0000-1B00-000008000000}" name="新规角色" dataDxfId="178"/>
    <tableColumn id="9" xr3:uid="{00000000-0010-0000-1B00-000009000000}" name="PROJECT_CODE" dataDxfId="177"/>
    <tableColumn id="10" xr3:uid="{00000000-0010-0000-1B00-00000A000000}" name="期数" dataDxfId="176"/>
    <tableColumn id="11" xr3:uid="{00000000-0010-0000-1B00-00000B000000}" name="BISL_ROLE" dataDxfId="175"/>
    <tableColumn id="12" xr3:uid="{00000000-0010-0000-1B00-00000C000000}" name="港分_ROLE" dataDxfId="174"/>
    <tableColumn id="13" xr3:uid="{00000000-0010-0000-1B00-00000D000000}" name="澳分_ROLE" dataDxfId="173"/>
    <tableColumn id="14" xr3:uid="{00000000-0010-0000-1B00-00000E000000}" name="IS_LEAD" dataDxfId="172"/>
    <tableColumn id="15" xr3:uid="{00000000-0010-0000-1B00-00000F000000}" name="IS_B&amp;D" dataDxfId="171"/>
    <tableColumn id="16" xr3:uid="{4944CEE3-9CA6-4C3E-8070-375A0A0EC795}" name="是否合名" dataDxfId="170"/>
  </tableColumns>
  <tableStyleInfo name="review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AW3:AZ10" totalsRowShown="0" headerRowDxfId="169" dataDxfId="168">
  <autoFilter ref="AW3:AZ1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167"/>
    <tableColumn id="2" xr3:uid="{00000000-0010-0000-1C00-000002000000}" name="SHORTNAMER" dataDxfId="166"/>
    <tableColumn id="3" xr3:uid="{00000000-0010-0000-1C00-000003000000}" name="中资属性" dataDxfId="165"/>
    <tableColumn id="4" xr3:uid="{00000000-0010-0000-1C00-000004000000}" name="板块" dataDxfId="164"/>
  </tableColumns>
  <tableStyleInfo name="review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5:J14" tableType="queryTable" totalsRowShown="0">
  <autoFilter ref="A5:J14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000-000001000000}" uniqueName="1" name="定价日" queryTableFieldId="1" dataDxfId="163"/>
    <tableColumn id="2" xr3:uid="{00000000-0010-0000-2000-000002000000}" uniqueName="2" name="ISIN" queryTableFieldId="2" dataDxfId="162"/>
    <tableColumn id="3" xr3:uid="{00000000-0010-0000-2000-000003000000}" uniqueName="3" name="债券简称" queryTableFieldId="3" dataDxfId="161"/>
    <tableColumn id="4" xr3:uid="{00000000-0010-0000-2000-000004000000}" uniqueName="4" name="年期" queryTableFieldId="4" dataDxfId="160"/>
    <tableColumn id="5" xr3:uid="{00000000-0010-0000-2000-000005000000}" uniqueName="5" name="亿美元" queryTableFieldId="5" dataDxfId="159"/>
    <tableColumn id="10" xr3:uid="{4DD127ED-3CFA-482D-824F-8996B3B2FF61}" uniqueName="10" name="货币" queryTableFieldId="10" dataDxfId="158"/>
    <tableColumn id="11" xr3:uid="{736609AE-728A-49BC-8EC6-3BE5EAB61E97}" uniqueName="11" name="板块" queryTableFieldId="12" dataDxfId="157"/>
    <tableColumn id="7" xr3:uid="{00000000-0010-0000-2000-000007000000}" uniqueName="7" name="评级分类" queryTableFieldId="7" dataDxfId="156"/>
    <tableColumn id="8" xr3:uid="{00000000-0010-0000-2000-000008000000}" uniqueName="8" name="品种" queryTableFieldId="8" dataDxfId="155"/>
    <tableColumn id="9" xr3:uid="{00000000-0010-0000-2000-000009000000}" uniqueName="9" name="按年" queryTableFieldId="9" dataDxfId="154"/>
  </tableColumns>
  <tableStyleInfo name="Qry Load 4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P5:AF9" tableType="queryTable" totalsRowShown="0">
  <autoFilter ref="P5:AF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2" xr3:uid="{00000000-0010-0000-1D00-000002000000}" uniqueName="2" name="Index" queryTableFieldId="39" dataDxfId="153"/>
    <tableColumn id="33" xr3:uid="{00000000-0010-0000-1D00-000021000000}" uniqueName="33" name="ISIN" queryTableFieldId="33" dataDxfId="152"/>
    <tableColumn id="1" xr3:uid="{00000000-0010-0000-1D00-000001000000}" uniqueName="1" name="定价日" queryTableFieldId="1" dataDxfId="151"/>
    <tableColumn id="3" xr3:uid="{00000000-0010-0000-1D00-000003000000}" uniqueName="3" name="信用主体(备证行)" queryTableFieldId="40" dataDxfId="150"/>
    <tableColumn id="7" xr3:uid="{00000000-0010-0000-1D00-000007000000}" uniqueName="7" name="发行评级" queryTableFieldId="7" dataDxfId="149"/>
    <tableColumn id="9" xr3:uid="{00000000-0010-0000-1D00-000009000000}" uniqueName="9" name="货币" queryTableFieldId="9" dataDxfId="148"/>
    <tableColumn id="10" xr3:uid="{00000000-0010-0000-1D00-00000A000000}" uniqueName="10" name="发行规模(亿)" queryTableFieldId="10" dataDxfId="147"/>
    <tableColumn id="11" xr3:uid="{00000000-0010-0000-1D00-00000B000000}" uniqueName="11" name="年期" queryTableFieldId="11" dataDxfId="146"/>
    <tableColumn id="12" xr3:uid="{00000000-0010-0000-1D00-00000C000000}" uniqueName="12" name="票息" queryTableFieldId="12" dataDxfId="145"/>
    <tableColumn id="13" xr3:uid="{00000000-0010-0000-1D00-00000D000000}" uniqueName="13" name="IPG" queryTableFieldId="13" dataDxfId="144"/>
    <tableColumn id="15" xr3:uid="{00000000-0010-0000-1D00-00000F000000}" uniqueName="15" name="收窄基点" queryTableFieldId="15" dataDxfId="143"/>
    <tableColumn id="16" xr3:uid="{00000000-0010-0000-1D00-000010000000}" uniqueName="16" name="结构" queryTableFieldId="16" dataDxfId="142"/>
    <tableColumn id="17" xr3:uid="{00000000-0010-0000-1D00-000011000000}" uniqueName="17" name="主题" queryTableFieldId="17" dataDxfId="141"/>
    <tableColumn id="4" xr3:uid="{FA4F2C95-A39F-499C-B714-9F3BFC490D1F}" uniqueName="4" name="板块" queryTableFieldId="113"/>
    <tableColumn id="19" xr3:uid="{00000000-0010-0000-1D00-000013000000}" uniqueName="19" name="地区" queryTableFieldId="19" dataDxfId="140"/>
    <tableColumn id="38" xr3:uid="{00000000-0010-0000-1D00-000026000000}" uniqueName="38" name="BOCOM_DEAL?" queryTableFieldId="38" dataDxfId="139"/>
    <tableColumn id="23" xr3:uid="{00000000-0010-0000-1D00-000017000000}" uniqueName="23" name="亿美元" queryTableFieldId="52" dataDxfId="138"/>
  </tableColumns>
  <tableStyleInfo name="Qry Load 5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6" tableType="queryTable" totalsRowShown="0" headerRowDxfId="136" dataDxfId="135">
  <autoFilter ref="A4:F6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500-00000C000000}" uniqueName="12" name="Index" queryTableFieldId="32"/>
    <tableColumn id="2" xr3:uid="{DC9FDCD3-4D4A-4186-A5C9-F5B48634CAC0}" uniqueName="2" name="板块" queryTableFieldId="182"/>
    <tableColumn id="19" xr3:uid="{00000000-0010-0000-2500-000013000000}" uniqueName="19" name="货币" queryTableFieldId="39"/>
    <tableColumn id="52" xr3:uid="{AB26975F-D9EA-48BA-ABD9-CE520C3C1B20}" uniqueName="52" name="信用主体(备证行)" queryTableFieldId="101"/>
    <tableColumn id="8" xr3:uid="{00000000-0010-0000-2500-000008000000}" uniqueName="8" name="描述" queryTableFieldId="14"/>
    <tableColumn id="1" xr3:uid="{AAB49F9D-B49B-4DF6-8D13-D7CB4D93209D}" uniqueName="1" name="Stats描述" queryTableFieldId="180" dataDxfId="134"/>
  </tableColumns>
  <tableStyleInfo name="Qry Load 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10:F11" tableType="queryTable" totalsRowShown="0" headerRowDxfId="133" dataDxfId="132">
  <autoFilter ref="A10:F11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300-00000C000000}" uniqueName="12" name="Index" queryTableFieldId="22" dataDxfId="131"/>
    <tableColumn id="2" xr3:uid="{6DD35146-7DF1-4CCE-9356-C22B108F4F39}" uniqueName="2" name="板块" queryTableFieldId="214"/>
    <tableColumn id="3" xr3:uid="{00000000-0010-0000-2300-000003000000}" uniqueName="3" name="货币" queryTableFieldId="3" dataDxfId="130"/>
    <tableColumn id="52" xr3:uid="{747DCABA-F2CB-44A1-BB61-12F09EA77A65}" uniqueName="52" name="信用主体(备证行)" queryTableFieldId="74" dataDxfId="129"/>
    <tableColumn id="5" xr3:uid="{00000000-0010-0000-2300-000005000000}" uniqueName="5" name="描述" queryTableFieldId="5" dataDxfId="128"/>
    <tableColumn id="1" xr3:uid="{DCE0C678-7429-4B20-B919-874EAF955EBE}" uniqueName="1" name="Stats描述" queryTableFieldId="213" dataDxfId="127"/>
  </tableColumns>
  <tableStyleInfo name="Qry Load 5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16:F17" tableType="queryTable" totalsRowShown="0" headerRowDxfId="126" dataDxfId="125">
  <autoFilter ref="A16:F17" xr:uid="{00000000-0009-0000-0100-00002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1" xr3:uid="{00000000-0010-0000-2400-00000B000000}" uniqueName="11" name="Index" queryTableFieldId="22" dataDxfId="124"/>
    <tableColumn id="2" xr3:uid="{2E4D374C-6CDD-42F1-B20B-3BBE7554D480}" uniqueName="2" name="板块" queryTableFieldId="31"/>
    <tableColumn id="3" xr3:uid="{00000000-0010-0000-2400-000003000000}" uniqueName="3" name="货币" queryTableFieldId="3" dataDxfId="123"/>
    <tableColumn id="1" xr3:uid="{2E389034-2B87-4958-B802-5B79867D001B}" uniqueName="1" name="信用主体(备证行)" queryTableFieldId="27" dataDxfId="122"/>
    <tableColumn id="5" xr3:uid="{00000000-0010-0000-2400-000005000000}" uniqueName="5" name="描述" queryTableFieldId="5" dataDxfId="121"/>
    <tableColumn id="4" xr3:uid="{16F5A068-483F-4DF8-A04E-F4CBC2061169}" uniqueName="4" name="Stats描述" queryTableFieldId="30" dataDxfId="120"/>
  </tableColumns>
  <tableStyleInfo name="Qry Load 5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29" tableType="queryTable" totalsRowShown="0">
  <autoFilter ref="A12:O29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ref="A13:O29">
    <sortCondition descending="1" ref="I12:I29"/>
  </sortState>
  <tableColumns count="15">
    <tableColumn id="1" xr3:uid="{00000000-0010-0000-2600-000001000000}" uniqueName="1" name="Date" queryTableFieldId="1" dataDxfId="119"/>
    <tableColumn id="13" xr3:uid="{00000000-0010-0000-2600-00000D000000}" uniqueName="13" name="Region" queryTableFieldId="13" dataDxfId="118"/>
    <tableColumn id="3" xr3:uid="{00000000-0010-0000-2600-000003000000}" uniqueName="3" name="Event" queryTableFieldId="3" dataDxfId="117"/>
    <tableColumn id="14" xr3:uid="{00000000-0010-0000-2600-00000E000000}" uniqueName="14" name="Period" queryTableFieldId="14" dataDxfId="116"/>
    <tableColumn id="5" xr3:uid="{00000000-0010-0000-2600-000005000000}" uniqueName="5" name="Survey" queryTableFieldId="5" dataDxfId="115"/>
    <tableColumn id="6" xr3:uid="{00000000-0010-0000-2600-000006000000}" uniqueName="6" name="Actual" queryTableFieldId="6" dataDxfId="114"/>
    <tableColumn id="7" xr3:uid="{00000000-0010-0000-2600-000007000000}" uniqueName="7" name="Prior" queryTableFieldId="7" dataDxfId="113"/>
    <tableColumn id="8" xr3:uid="{00000000-0010-0000-2600-000008000000}" uniqueName="8" name="Revised" queryTableFieldId="8" dataDxfId="112"/>
    <tableColumn id="9" xr3:uid="{00000000-0010-0000-2600-000009000000}" uniqueName="9" name="Relevance" queryTableFieldId="9" dataDxfId="111"/>
    <tableColumn id="10" xr3:uid="{00000000-0010-0000-2600-00000A000000}" uniqueName="10" name="Ticker" queryTableFieldId="10" dataDxfId="110"/>
    <tableColumn id="11" xr3:uid="{00000000-0010-0000-2600-00000B000000}" uniqueName="11" name="Time" queryTableFieldId="11" dataDxfId="109"/>
    <tableColumn id="15" xr3:uid="{00000000-0010-0000-2600-00000F000000}" uniqueName="15" name="Table" queryTableFieldId="15" dataDxfId="108"/>
    <tableColumn id="17" xr3:uid="{00000000-0010-0000-2600-000011000000}" uniqueName="17" name="区间" queryTableFieldId="22" dataDxfId="107"/>
    <tableColumn id="18" xr3:uid="{00000000-0010-0000-2600-000012000000}" uniqueName="18" name="范围" queryTableFieldId="23" dataDxfId="106"/>
    <tableColumn id="16" xr3:uid="{00000000-0010-0000-2600-000010000000}" uniqueName="16" name="上周主要经济数据" queryTableFieldId="16" dataDxfId="105"/>
  </tableColumns>
  <tableStyleInfo name="Qry Load 5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104" dataDxfId="103">
  <autoFilter ref="B2:G8" xr:uid="{24589828-60FF-4B5D-BC74-4E07AE8162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ref="B3:G8">
    <sortCondition ref="D2:D8"/>
  </sortState>
  <tableColumns count="6">
    <tableColumn id="6" xr3:uid="{00000000-0010-0000-2700-000006000000}" name="Index" dataDxfId="102"/>
    <tableColumn id="1" xr3:uid="{00000000-0010-0000-2700-000001000000}" name="上周主要经济数据" dataDxfId="101"/>
    <tableColumn id="2" xr3:uid="{00000000-0010-0000-2700-000002000000}" name="发布(HKT) " dataDxfId="100">
      <calculatedColumnFormula>IFERROR(INDEX(ECON[Date],MATCH(input_econ[[#This Row],[上周主要经济数据]],ECON[上周主要经济数据],0)),"")</calculatedColumnFormula>
    </tableColumn>
    <tableColumn id="3" xr3:uid="{00000000-0010-0000-2700-000003000000}" name="前值" dataDxfId="99">
      <calculatedColumnFormula>IFERROR(INDEX(ECON[Prior],MATCH(input_econ[[#This Row],[上周主要经济数据]],ECON[上周主要经济数据],0)),"")</calculatedColumnFormula>
    </tableColumn>
    <tableColumn id="4" xr3:uid="{00000000-0010-0000-2700-000004000000}" name="预期" dataDxfId="98">
      <calculatedColumnFormula>IFERROR(INDEX(ECON[Survey],MATCH(input_econ[[#This Row],[上周主要经济数据]],ECON[上周主要经济数据],0)),"")</calculatedColumnFormula>
    </tableColumn>
    <tableColumn id="5" xr3:uid="{00000000-0010-0000-2700-000005000000}" name="现值" dataDxfId="97">
      <calculatedColumnFormula>IFERROR(INDEX(ECON[Actual],MATCH(input_econ[[#This Row],[上周主要经济数据]],ECON[上周主要经济数据],0)),"")</calculatedColumnFormula>
    </tableColumn>
  </tableColumns>
  <tableStyleInfo name="Qry Load 5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1" tableType="queryTable" totalsRowShown="0" dataDxfId="96">
  <autoFilter ref="A10:O21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ref="A11:O21">
    <sortCondition ref="A10:A21"/>
  </sortState>
  <tableColumns count="15">
    <tableColumn id="1" xr3:uid="{00000000-0010-0000-2800-000001000000}" uniqueName="1" name="Date" queryTableFieldId="1" dataDxfId="95"/>
    <tableColumn id="2" xr3:uid="{00000000-0010-0000-2800-000002000000}" uniqueName="2" name="Region" queryTableFieldId="2" dataDxfId="94"/>
    <tableColumn id="3" xr3:uid="{00000000-0010-0000-2800-000003000000}" uniqueName="3" name="Event" queryTableFieldId="3" dataDxfId="93"/>
    <tableColumn id="4" xr3:uid="{00000000-0010-0000-2800-000004000000}" uniqueName="4" name="Period" queryTableFieldId="4" dataDxfId="92"/>
    <tableColumn id="5" xr3:uid="{00000000-0010-0000-2800-000005000000}" uniqueName="5" name="Survey" queryTableFieldId="5" dataDxfId="91"/>
    <tableColumn id="6" xr3:uid="{00000000-0010-0000-2800-000006000000}" uniqueName="6" name="Actual" queryTableFieldId="6" dataDxfId="90"/>
    <tableColumn id="7" xr3:uid="{00000000-0010-0000-2800-000007000000}" uniqueName="7" name="Prior" queryTableFieldId="7" dataDxfId="89"/>
    <tableColumn id="8" xr3:uid="{00000000-0010-0000-2800-000008000000}" uniqueName="8" name="Revised" queryTableFieldId="8" dataDxfId="88"/>
    <tableColumn id="9" xr3:uid="{00000000-0010-0000-2800-000009000000}" uniqueName="9" name="Relevance" queryTableFieldId="9" dataDxfId="87"/>
    <tableColumn id="10" xr3:uid="{00000000-0010-0000-2800-00000A000000}" uniqueName="10" name="Ticker" queryTableFieldId="10" dataDxfId="86"/>
    <tableColumn id="11" xr3:uid="{00000000-0010-0000-2800-00000B000000}" uniqueName="11" name="Time" queryTableFieldId="11" dataDxfId="85"/>
    <tableColumn id="12" xr3:uid="{00000000-0010-0000-2800-00000C000000}" uniqueName="12" name="Table" queryTableFieldId="12" dataDxfId="84"/>
    <tableColumn id="14" xr3:uid="{00000000-0010-0000-2800-00000E000000}" uniqueName="14" name="区间" queryTableFieldId="14" dataDxfId="83"/>
    <tableColumn id="15" xr3:uid="{00000000-0010-0000-2800-00000F000000}" uniqueName="15" name="范围" queryTableFieldId="15" dataDxfId="82"/>
    <tableColumn id="16" xr3:uid="{00000000-0010-0000-2800-000010000000}" uniqueName="16" name="未来一周主要经济数据" queryTableFieldId="16" dataDxfId="81"/>
  </tableColumns>
  <tableStyleInfo name="Qry Load 3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80" dataDxfId="79">
  <autoFilter ref="B2:F8" xr:uid="{00000000-0009-0000-0100-000012000000}">
    <filterColumn colId="0" hiddenButton="1"/>
    <filterColumn colId="1" hiddenButton="1"/>
    <filterColumn colId="2" hiddenButton="1"/>
    <filterColumn colId="3" hiddenButton="1"/>
    <filterColumn colId="4" hiddenButton="1"/>
  </autoFilter>
  <sortState ref="B3:F8">
    <sortCondition ref="D2:D8"/>
  </sortState>
  <tableColumns count="5">
    <tableColumn id="6" xr3:uid="{00000000-0010-0000-2900-000006000000}" name="Index" dataDxfId="78"/>
    <tableColumn id="1" xr3:uid="{00000000-0010-0000-2900-000001000000}" name="未来一周主要经济数据" dataDxfId="77"/>
    <tableColumn id="2" xr3:uid="{00000000-0010-0000-2900-000002000000}" name="预计发布(HKT) " dataDxfId="76">
      <calculatedColumnFormula>IFERROR(INDEX(FUTURE[Date],MATCH(input_future[[#This Row],[未来一周主要经济数据]],FUTURE[未来一周主要经济数据],0)),"")</calculatedColumnFormula>
    </tableColumn>
    <tableColumn id="3" xr3:uid="{00000000-0010-0000-2900-000003000000}" name="前值" dataDxfId="75">
      <calculatedColumnFormula>IFERROR(INDEX(FUTURE[Prior],MATCH(input_future[[#This Row],[未来一周主要经济数据]],FUTURE[未来一周主要经济数据],0)),"")</calculatedColumnFormula>
    </tableColumn>
    <tableColumn id="4" xr3:uid="{00000000-0010-0000-2900-000004000000}" name="预期" dataDxfId="74">
      <calculatedColumnFormula>IFERROR(INDEX(FUTURE[Survey],MATCH(input_future[[#This Row],[未来一周主要经济数据]],FUTURE[未来一周主要经济数据],0)),"")</calculatedColumnFormula>
    </tableColumn>
  </tableColumns>
  <tableStyleInfo name="Qry Load 3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2A000000}" name="tbl_extra_isin" displayName="tbl_extra_isin" ref="E1:H26" totalsRowShown="0" headerRowDxfId="73" dataDxfId="72">
  <autoFilter ref="E1:H26" xr:uid="{00000000-0009-0000-0100-000008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2A00-000001000000}" name="List" dataDxfId="71"/>
    <tableColumn id="2" xr3:uid="{00000000-0010-0000-2A00-000002000000}" name="Example" dataDxfId="70" dataCellStyle="For Input"/>
    <tableColumn id="3" xr3:uid="{00000000-0010-0000-2A00-000003000000}" name="Extra ISIN" dataDxfId="69" dataCellStyle="For Input"/>
    <tableColumn id="4" xr3:uid="{00000000-0010-0000-2A00-000004000000}" name="Extra ISIN 1" dataDxfId="68" dataCellStyle="For Input"/>
  </tableColumns>
  <tableStyleInfo name="Qry Source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104A2-68B4-43DE-A626-D8C1F553DB0E}" name="Table_WeeklyFIMTN" displayName="Table_WeeklyFIMTN" ref="A5:J10" tableType="queryTable" totalsRowShown="0">
  <autoFilter ref="A5:J10" xr:uid="{6AE104A2-68B4-43DE-A626-D8C1F553DB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2" xr3:uid="{1BDBF4C9-A94A-4461-8D96-48885513318D}" uniqueName="2" name="定价日" queryTableFieldId="2" dataDxfId="67"/>
    <tableColumn id="3" xr3:uid="{A4050823-CF41-4CB7-9327-CCA27CCCD0E4}" uniqueName="3" name="ISIN" queryTableFieldId="3" dataDxfId="66"/>
    <tableColumn id="4" xr3:uid="{9D24D768-6BC8-4791-8E2E-C86E5BF82512}" uniqueName="4" name="债券简称" queryTableFieldId="4" dataDxfId="65"/>
    <tableColumn id="5" xr3:uid="{B89E485D-90FD-42CA-8E06-07E227BFAC56}" uniqueName="5" name="年期" queryTableFieldId="5" dataDxfId="64"/>
    <tableColumn id="6" xr3:uid="{48E5A60E-B3FA-4455-ABB7-055B82F3F12D}" uniqueName="6" name="亿美元" queryTableFieldId="6" dataDxfId="63"/>
    <tableColumn id="7" xr3:uid="{E1A849A5-2B7E-46F5-AA30-62AB73378003}" uniqueName="7" name="货币" queryTableFieldId="7" dataDxfId="62"/>
    <tableColumn id="1" xr3:uid="{21EC3522-50EE-494B-B37E-A2DBB3CAFDF6}" uniqueName="1" name="板块" queryTableFieldId="12" dataDxfId="61"/>
    <tableColumn id="9" xr3:uid="{8518B990-BE3D-498F-99C1-D5BB48BDB6F4}" uniqueName="9" name="评级分类" queryTableFieldId="9" dataDxfId="60"/>
    <tableColumn id="10" xr3:uid="{B1604B6E-D553-4497-BF5C-15D6A76CC790}" uniqueName="10" name="品种" queryTableFieldId="10" dataDxfId="59"/>
    <tableColumn id="11" xr3:uid="{CE10F02A-05E7-45BB-9E38-F4B08F95D57D}" uniqueName="11" name="按年" queryTableFieldId="11" dataDxfId="58"/>
  </tableColumns>
  <tableStyleInfo name="Qry Load 4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Table_dmi" displayName="Table_dmi" ref="A5:BQ14" tableType="queryTable" totalsRowShown="0">
  <autoFilter ref="A5:BQ14" xr:uid="{760A78EB-B646-4F10-831A-D22B21A96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</autoFilter>
  <tableColumns count="69">
    <tableColumn id="1" xr3:uid="{65CE1E33-8359-4C0B-9221-1E30F7E1CEF4}" uniqueName="1" name="信用主体" queryTableFieldId="1"/>
    <tableColumn id="24" xr3:uid="{A81CDE9A-F459-467A-95A6-76B9882E80D7}" uniqueName="24" name="英文简称" queryTableFieldId="384"/>
    <tableColumn id="9" xr3:uid="{6CF5A73E-65DE-485F-A790-2A65D986DCCA}" uniqueName="9" name="ISIN" queryTableFieldId="9"/>
    <tableColumn id="12" xr3:uid="{2FAEB098-B99A-49BC-8F9E-60BB22B8B1A8}" uniqueName="12" name="定价日" queryTableFieldId="12" dataDxfId="57"/>
    <tableColumn id="8" xr3:uid="{5ABB02D5-4AA9-47AD-B0BA-BE18B2B3C4DE}" uniqueName="8" name="债券简称" queryTableFieldId="8"/>
    <tableColumn id="13" xr3:uid="{5E4165C1-E3B4-48D3-8D3A-10EB35D470E0}" uniqueName="13" name="穆迪/标普" queryTableFieldId="13"/>
    <tableColumn id="14" xr3:uid="{D0CD7E0A-5738-4057-9BC0-77E832B4C25E}" uniqueName="14" name="主体评级展望" queryTableFieldId="14"/>
    <tableColumn id="15" xr3:uid="{32ECF4B7-EF13-4935-98C6-7E853C1916B9}" uniqueName="15" name="债项评级" queryTableFieldId="15"/>
    <tableColumn id="27" xr3:uid="{00C79F5A-7701-4B0D-8C7E-8C5F683178C5}" uniqueName="27" name="发行规模(亿)" queryTableFieldId="27"/>
    <tableColumn id="28" xr3:uid="{E7406E52-8977-4808-A788-298B36157479}" uniqueName="28" name="货币" queryTableFieldId="28"/>
    <tableColumn id="29" xr3:uid="{697EF4DB-C377-4637-A8D4-B512822D8F0E}" uniqueName="29" name="发行期限(年)" queryTableFieldId="29"/>
    <tableColumn id="18" xr3:uid="{50B52BF9-BA98-4CD8-B6A2-4F8187974C4E}" uniqueName="18" name="发行票面利率" queryTableFieldId="336"/>
    <tableColumn id="19" xr3:uid="{4C2677D7-B95D-4CBD-97D0-A324C689DECD}" uniqueName="19" name="兑付日" queryTableFieldId="19" dataDxfId="56"/>
    <tableColumn id="31" xr3:uid="{9394B226-D977-440D-BBB4-696AAAD92014}" uniqueName="31" name="发行场所" queryTableFieldId="31"/>
    <tableColumn id="20" xr3:uid="{140F0A6F-50E8-4D1A-8A9F-8D00CEE04850}" uniqueName="20" name="IPT_DMI" queryTableFieldId="20"/>
    <tableColumn id="21" xr3:uid="{536CD873-CE57-4DE2-A54F-18E33D004325}" uniqueName="21" name="FPG_DMI" queryTableFieldId="21"/>
    <tableColumn id="22" xr3:uid="{82FAF641-AB3E-4935-B71A-3C539F35361C}" uniqueName="22" name="收窄幅度(bp)" queryTableFieldId="22" dataDxfId="55"/>
    <tableColumn id="23" xr3:uid="{50116619-6391-40C5-AAE1-F0D778876139}" uniqueName="23" name="发行方式" queryTableFieldId="23"/>
    <tableColumn id="69" xr3:uid="{66B79F56-B661-4ED8-8D3C-3F444AAC1C7D}" uniqueName="69" name="发行架构" queryTableFieldId="78"/>
    <tableColumn id="25" xr3:uid="{89B2DB1E-4CFE-4140-9A07-0F1E43F6C9AC}" uniqueName="25" name="SBLC提供者" queryTableFieldId="25"/>
    <tableColumn id="26" xr3:uid="{C94A4441-8480-4C30-99DA-F2FF91A5E801}" uniqueName="26" name="偿还顺位" queryTableFieldId="26"/>
    <tableColumn id="30" xr3:uid="{6BA1C82B-55CF-4344-AFEE-FD6746AB9A6C}" uniqueName="30" name="发行价" queryTableFieldId="30"/>
    <tableColumn id="32" xr3:uid="{A6056AD5-48AD-4001-A74C-ECA77FC26CB2}" uniqueName="32" name="首日涨跌" queryTableFieldId="32"/>
    <tableColumn id="5" xr3:uid="{FFD49085-9527-4367-B0C2-2E8443581C7C}" uniqueName="5" name="省份" queryTableFieldId="5"/>
    <tableColumn id="6" xr3:uid="{851B0F66-A6A0-4EE3-AEC3-02593C4D8B13}" uniqueName="6" name="城市" queryTableFieldId="6"/>
    <tableColumn id="7" xr3:uid="{015C4268-F544-4F8B-A375-27371977DA3A}" uniqueName="7" name="区县" queryTableFieldId="7"/>
    <tableColumn id="33" xr3:uid="{072BF78A-2040-4CCF-95BA-462ACF02A26B}" uniqueName="33" name="认购额(亿)" queryTableFieldId="33" dataDxfId="54"/>
    <tableColumn id="34" xr3:uid="{79315342-FB4B-48FA-9D0E-BB5182F1342A}" uniqueName="34" name="认购倍数" queryTableFieldId="34" dataDxfId="53"/>
    <tableColumn id="35" xr3:uid="{3B7B9C0D-05D5-4554-9DD5-4648FC9FD35A}" uniqueName="35" name="亚洲占比" queryTableFieldId="35"/>
    <tableColumn id="36" xr3:uid="{7E161805-3582-4E8B-AD1E-8D44C6578511}" uniqueName="36" name="基金占比" queryTableFieldId="36"/>
    <tableColumn id="37" xr3:uid="{678B1454-0186-4392-9084-8A4631663D07}" uniqueName="37" name="联席全球协调人" queryTableFieldId="37"/>
    <tableColumn id="4" xr3:uid="{F2F32A9C-87BC-497A-A806-ABCC694FD9DD}" uniqueName="4" name="细分行业" queryTableFieldId="4"/>
    <tableColumn id="10" xr3:uid="{43CE6995-65BA-4391-BADA-3C1BCBA73A55}" uniqueName="10" name="主题债券" queryTableFieldId="10"/>
    <tableColumn id="16" xr3:uid="{31CB77BA-C75C-4904-BE05-EA3D31CB0E8E}" uniqueName="16" name="债项初始评级" queryTableFieldId="16"/>
    <tableColumn id="17" xr3:uid="{EAB58105-9561-4364-BE64-FA9715A8F45D}" uniqueName="17" name="境内主体评级" queryTableFieldId="17"/>
    <tableColumn id="3" xr3:uid="{0D6292F2-14C6-4D00-9C2B-D4771C6FCBEB}" uniqueName="3" name="行业" queryTableFieldId="3"/>
    <tableColumn id="62" xr3:uid="{788704BA-E54A-4436-9FC7-E5EEF473C596}" uniqueName="62" name="剩余期限" queryTableFieldId="62"/>
    <tableColumn id="2" xr3:uid="{D2679A15-B28C-4B9B-90D8-85DA1F060224}" uniqueName="2" name="公司类型" queryTableFieldId="2"/>
    <tableColumn id="11" xr3:uid="{A0E133D3-082C-430A-8830-87B8C99C392A}" uniqueName="11" name="评级类型" queryTableFieldId="11"/>
    <tableColumn id="63" xr3:uid="{EE264CCC-DCFC-4688-9A0B-4A404F87045B}" uniqueName="63" name="投资者账户数" queryTableFieldId="63"/>
    <tableColumn id="64" xr3:uid="{EAE71064-4CB1-4B07-944E-84D6F3C49081}" uniqueName="64" name="投资者类型" queryTableFieldId="64"/>
    <tableColumn id="65" xr3:uid="{E7174B24-DE40-43F6-8633-438CBA936C58}" uniqueName="65" name="投资者分布" queryTableFieldId="65"/>
    <tableColumn id="66" xr3:uid="{CC4128EA-9B08-4BCD-B35C-71CF4AAFA24C}" uniqueName="66" name="筹款用途" queryTableFieldId="66"/>
    <tableColumn id="38" xr3:uid="{975ADB86-B00A-4806-9500-96E93B0E8E67}" uniqueName="38" name="ticker" queryTableFieldId="38"/>
    <tableColumn id="39" xr3:uid="{72AA5BB3-7E54-4DE0-9CE8-13DDE5A6A94C}" uniqueName="39" name="债券最新面值" queryTableFieldId="39"/>
    <tableColumn id="40" xr3:uid="{4EE46BC2-E1CF-462A-A03E-DF0563BE31D9}" uniqueName="40" name="债券余额" queryTableFieldId="40"/>
    <tableColumn id="59" xr3:uid="{C8D1AF04-7E6F-4D88-B06F-C8310837A162}" uniqueName="59" name="维好协议提供者" queryTableFieldId="59"/>
    <tableColumn id="58" xr3:uid="{019381F3-72FB-4C5F-9AB8-FA53CD073BE5}" uniqueName="58" name="付息频率" queryTableFieldId="58"/>
    <tableColumn id="57" xr3:uid="{145EA911-7D60-43D2-854F-080D2E91B1E5}" uniqueName="57" name="特殊条款" queryTableFieldId="57"/>
    <tableColumn id="56" xr3:uid="{6CE7EEB7-7E14-4960-892D-D2B4A752EA7F}" uniqueName="56" name="债券类型" queryTableFieldId="56"/>
    <tableColumn id="55" xr3:uid="{40CC185A-EE88-4DE1-8A90-03B8F737740F}" uniqueName="55" name="交易状态" queryTableFieldId="55"/>
    <tableColumn id="54" xr3:uid="{D1474CED-58C4-4A46-81D9-D99210D02234}" uniqueName="54" name="利率类型" queryTableFieldId="54"/>
    <tableColumn id="53" xr3:uid="{74446647-F415-46DC-A41C-CE06D819E843}" uniqueName="53" name="是否存单" queryTableFieldId="53"/>
    <tableColumn id="52" xr3:uid="{A98F2AA1-AD8E-4BE7-8B74-C3458DC2EC64}" uniqueName="52" name="是否永续债" queryTableFieldId="52"/>
    <tableColumn id="68" xr3:uid="{DDA77D44-FA04-425D-9DA1-4DAB31A61BB6}" uniqueName="68" name="联席账簿管理人" queryTableFieldId="68"/>
    <tableColumn id="51" xr3:uid="{E59ECFC4-F0C9-41B1-9733-1AEB70C7437B}" uniqueName="51" name="牵头经办人" queryTableFieldId="51"/>
    <tableColumn id="50" xr3:uid="{2215B6A7-05C9-4C6B-8AE1-E60AE330BE07}" uniqueName="50" name="特殊条款说明" queryTableFieldId="50"/>
    <tableColumn id="49" xr3:uid="{1682CF98-DB54-47C3-8A44-144BB70D0821}" uniqueName="49" name="上市日期" queryTableFieldId="49" dataDxfId="52"/>
    <tableColumn id="67" xr3:uid="{AD599695-8522-46E7-B118-DE2179D8EA71}" uniqueName="67" name="定价_DMI" queryTableFieldId="67"/>
    <tableColumn id="48" xr3:uid="{E3D34E72-CB63-4E18-AED9-A3EC74CFDD3C}" uniqueName="48" name="发行起始日" queryTableFieldId="48" dataDxfId="51"/>
    <tableColumn id="47" xr3:uid="{17C9AFD4-5642-48EA-8D06-494AAC11A915}" uniqueName="47" name="担保人" queryTableFieldId="47"/>
    <tableColumn id="46" xr3:uid="{20F5098B-FF11-4DA0-A626-7DF045DB0FB3}" uniqueName="46" name="发行人" queryTableFieldId="46"/>
    <tableColumn id="45" xr3:uid="{1C61FECB-9E8B-4B0A-A577-E0EADEE6ACB0}" uniqueName="45" name="首次付息日" queryTableFieldId="45" dataDxfId="50"/>
    <tableColumn id="44" xr3:uid="{0E120977-4EC2-4818-BC4D-6CCE5264355E}" uniqueName="44" name="计息基准" queryTableFieldId="44"/>
    <tableColumn id="43" xr3:uid="{7A00E475-6904-4819-BC88-02B7AD3D67B7}" uniqueName="43" name="最新票面利率" queryTableFieldId="43"/>
    <tableColumn id="42" xr3:uid="{2E685F7F-FFBA-484A-A377-6390F6A585BE}" uniqueName="42" name="行权兑付日" queryTableFieldId="42" dataDxfId="49"/>
    <tableColumn id="41" xr3:uid="{4BFB0F89-8CA1-4D0F-9EB3-325F7C449AB2}" uniqueName="41" name="起息日期" queryTableFieldId="41" dataDxfId="48"/>
    <tableColumn id="60" xr3:uid="{92CFA544-119D-46AF-AD53-05E6F7709CB5}" uniqueName="60" name="地区" queryTableFieldId="60"/>
    <tableColumn id="61" xr3:uid="{EFAB649D-F0FE-4812-A2D5-2D3BCB496CCA}" uniqueName="61" name="Check" queryTableFieldId="61"/>
  </tableColumns>
  <tableStyleInfo name="review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BBGcorp" displayName="BBGcorp" ref="A5:L21" tableType="queryTable" totalsRowShown="0">
  <autoFilter ref="A5:L21" xr:uid="{FD7ECA0B-0FF6-411A-8C06-812B258A1B5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708FCF03-69E0-45CA-8914-D229D5C86DFC}" uniqueName="1" name="Index" queryTableFieldId="1" dataDxfId="47"/>
    <tableColumn id="2" xr3:uid="{C3F732B3-45FA-4844-A166-E4D90A2FF4A7}" uniqueName="2" name="定价日" queryTableFieldId="2" dataDxfId="46"/>
    <tableColumn id="3" xr3:uid="{693984F3-D10B-45D9-B70A-607684C923C4}" uniqueName="3" name="ISIN" queryTableFieldId="3" dataDxfId="45"/>
    <tableColumn id="4" xr3:uid="{B82F24B2-2DE7-431E-BEF8-F7696535CFF8}" uniqueName="4" name="补充OMAS updates" queryTableFieldId="4" dataDxfId="44"/>
    <tableColumn id="5" xr3:uid="{51954C56-B4CD-447B-A9B9-324865237CD6}" uniqueName="5" name="发行评级" queryTableFieldId="5" dataDxfId="43"/>
    <tableColumn id="6" xr3:uid="{AED08928-756A-48CC-A444-204CF6809787}" uniqueName="6" name="发行人注册地" queryTableFieldId="6" dataDxfId="42"/>
    <tableColumn id="7" xr3:uid="{A5B0308D-B1F8-4208-A561-DF94E20F0BAA}" uniqueName="7" name="主体评级" queryTableFieldId="7" dataDxfId="41"/>
    <tableColumn id="8" xr3:uid="{8DD9D5B0-06FC-4925-B90A-757DFCE21989}" uniqueName="8" name="定价息差" queryTableFieldId="8" dataDxfId="40"/>
    <tableColumn id="9" xr3:uid="{6E3DDE2C-C376-4E7A-80DB-DA717BE2BC0D}" uniqueName="9" name="浮息息差" queryTableFieldId="9" dataDxfId="39"/>
    <tableColumn id="10" xr3:uid="{FB6745CE-81E9-4406-ACE4-86067C25D3F3}" uniqueName="10" name="Check" queryTableFieldId="10" dataDxfId="38"/>
    <tableColumn id="11" xr3:uid="{5DB9999E-F7D2-433B-8890-B1C56C19BF69}" uniqueName="11" name="债项BBG" queryTableFieldId="11" dataDxfId="37"/>
    <tableColumn id="12" xr3:uid="{A644B0B6-8830-44E1-848F-4DD23B0FA826}" uniqueName="12" name="主体BBG" queryTableFieldId="12" dataDxfId="36"/>
  </tableColumns>
  <tableStyleInfo name="Qry Load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8122B9D-D88A-4417-A590-C14D4FEDCC2B}" name="台账23" displayName="台账23" ref="A5:H6" tableType="queryTable" insertRow="1" totalsRowShown="0">
  <autoFilter ref="A5:H6" xr:uid="{78CB3706-FAC2-467E-9AB9-E7D9BDB149B1}"/>
  <tableColumns count="8">
    <tableColumn id="1" xr3:uid="{452685CD-B6AF-41B0-9DCA-05BCB9D70F7E}" uniqueName="1" name="Project Name" queryTableFieldId="1"/>
    <tableColumn id="2" xr3:uid="{986CDE42-782A-49E7-91BC-67A8850799D0}" uniqueName="2" name="ISIN" queryTableFieldId="2"/>
    <tableColumn id="3" xr3:uid="{61325DEE-E54D-4931-99A5-C22FE3CF3CB3}" uniqueName="3" name="项目名称（集团全称）" queryTableFieldId="3"/>
    <tableColumn id="4" xr3:uid="{6444732D-9545-4654-97A1-5FB2111E8A94}" uniqueName="4" name="台账序号" queryTableFieldId="4"/>
    <tableColumn id="5" xr3:uid="{0F08114E-4D0F-44F0-ABEC-1B6A077D3B97}" uniqueName="5" name="担任角色" queryTableFieldId="5"/>
    <tableColumn id="6" xr3:uid="{3D2B4DC5-D21C-4000-9D31-864D1C6A7896}" uniqueName="6" name="新规角色" queryTableFieldId="6"/>
    <tableColumn id="7" xr3:uid="{AAF702ED-6B9D-4AB7-B165-E5357C3BC81D}" uniqueName="7" name="COVERAGE" queryTableFieldId="7"/>
    <tableColumn id="8" xr3:uid="{7627D9B7-40E3-4CE4-A8E1-8C41A826F986}" uniqueName="8" name="项目定价日" queryTableFieldId="8"/>
  </tableColumns>
  <tableStyleInfo name="review 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3CEA282-4DD0-444D-8E1A-CD6CC475A516}" name="WST" displayName="WST" ref="A5:M7" tableType="queryTable" totalsRowShown="0">
  <autoFilter ref="A5:M7" xr:uid="{5F9F53E5-3FF9-4DA7-9FCA-ADC3C794787C}"/>
  <tableColumns count="13">
    <tableColumn id="1" xr3:uid="{73CD5201-082E-498B-9B10-CEEE707D3AE5}" uniqueName="1" name="信用主体" queryTableFieldId="1" dataDxfId="35"/>
    <tableColumn id="2" xr3:uid="{315FC98E-B8F8-486A-B226-FDF59406D65F}" uniqueName="2" name="定价日" queryTableFieldId="2" dataDxfId="34"/>
    <tableColumn id="3" xr3:uid="{B54A3A77-1989-4DFF-8375-331766138419}" uniqueName="3" name="债券名称" queryTableFieldId="3" dataDxfId="33"/>
    <tableColumn id="4" xr3:uid="{0D6706BF-6495-4C1A-A63C-43284EE2FE35}" uniqueName="4" name="ISIN" queryTableFieldId="4" dataDxfId="32"/>
    <tableColumn id="5" xr3:uid="{EB58C7EE-E358-43AD-9703-17A9EDF69E5D}" uniqueName="5" name="发行价" queryTableFieldId="5" dataDxfId="31"/>
    <tableColumn id="6" xr3:uid="{3F74B019-98B1-4372-AF0A-53DC78AB3064}" uniqueName="6" name="初始发行价" queryTableFieldId="6" dataDxfId="30"/>
    <tableColumn id="7" xr3:uid="{0F80C7C4-A7BE-4F40-822B-B7C5F8247FF7}" uniqueName="7" name="认购倍数" queryTableFieldId="7" dataDxfId="29"/>
    <tableColumn id="8" xr3:uid="{28C62948-F18B-4A4D-88AD-A4FC4E6A0737}" uniqueName="8" name="首日表现" queryTableFieldId="8" dataDxfId="28"/>
    <tableColumn id="9" xr3:uid="{C69C4FB6-08B5-45AF-9AF7-4C1F46AAE1AB}" uniqueName="9" name="行业" queryTableFieldId="9" dataDxfId="27"/>
    <tableColumn id="10" xr3:uid="{DC0041C0-4531-4065-B9BF-CD8778A86D35}" uniqueName="10" name="最终订单量/峰值订单（亿美元）" queryTableFieldId="10" dataDxfId="26"/>
    <tableColumn id="11" xr3:uid="{28B7D2D8-085E-4201-8DA8-9CB4698F6516}" uniqueName="11" name="WSTIPT" queryTableFieldId="11" dataDxfId="25"/>
    <tableColumn id="12" xr3:uid="{CF71063B-0A8C-44D6-B40D-94C01A017AA1}" uniqueName="12" name="WSTFPT" queryTableFieldId="12" dataDxfId="24"/>
    <tableColumn id="13" xr3:uid="{FC486DC8-207A-41B0-97F5-FD11AD7CAD15}" uniqueName="13" name="Check" queryTableFieldId="13" dataDxfId="23"/>
  </tableColumns>
  <tableStyleInfo name="Qry Source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Table_postreview" displayName="Table_postreview" ref="A4:AS8" tableType="queryTable" totalsRowShown="0">
  <autoFilter ref="A4:AS8" xr:uid="{BED11331-0A79-433D-AD27-4FE128D28E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</autoFilter>
  <tableColumns count="45">
    <tableColumn id="1" xr3:uid="{791E5B07-BD81-4C7D-914D-F61E0BD81704}" uniqueName="1" name="Index" queryTableFieldId="1"/>
    <tableColumn id="2" xr3:uid="{E4F1AA1A-4561-4DCC-BD36-6E0C0BF9681D}" uniqueName="2" name="信用主体" queryTableFieldId="2"/>
    <tableColumn id="3" xr3:uid="{BCA724F0-8962-4CF8-9F27-DFAB5A7EE57F}" uniqueName="3" name="ISIN" queryTableFieldId="3"/>
    <tableColumn id="4" xr3:uid="{7B86C8AE-E7F7-4B8E-A455-4336C7F9D6D4}" uniqueName="4" name="定价日" queryTableFieldId="4" dataDxfId="22"/>
    <tableColumn id="5" xr3:uid="{8479A384-B664-40C5-817C-35D95E248CA9}" uniqueName="5" name="发行评级" queryTableFieldId="5"/>
    <tableColumn id="6" xr3:uid="{560F1DF2-A9DC-4732-81D4-617CC1DDABEC}" uniqueName="6" name="主体评级" queryTableFieldId="6"/>
    <tableColumn id="7" xr3:uid="{78286578-0202-44D4-898F-7BC8053C30D1}" uniqueName="7" name="境内主体评级" queryTableFieldId="7"/>
    <tableColumn id="8" xr3:uid="{11202A1D-7F53-4AFC-889F-FD580FC6F359}" uniqueName="8" name="货币" queryTableFieldId="8"/>
    <tableColumn id="9" xr3:uid="{00F822E0-673A-426E-97E0-C7C03264A9B7}" uniqueName="9" name="发行规模(亿)" queryTableFieldId="9"/>
    <tableColumn id="10" xr3:uid="{A4600EBC-E807-4C67-B01C-5CD1E3909F2C}" uniqueName="10" name="年期" queryTableFieldId="10"/>
    <tableColumn id="11" xr3:uid="{3882855A-6F78-4733-843C-A5CCC8C71BBE}" uniqueName="11" name="票息" queryTableFieldId="11"/>
    <tableColumn id="12" xr3:uid="{AA7813E9-B7C0-4485-97E4-3E4D3C485DA4}" uniqueName="12" name="IPG" queryTableFieldId="12"/>
    <tableColumn id="13" xr3:uid="{6BC3F1E2-AC4E-42E4-8B1C-4FFDBF40A64D}" uniqueName="13" name="FPG" queryTableFieldId="13"/>
    <tableColumn id="14" xr3:uid="{A56676CE-514E-4236-AF6A-12F9A2068657}" uniqueName="14" name="定价" queryTableFieldId="14"/>
    <tableColumn id="15" xr3:uid="{8DC4F8E2-94E1-4CA7-8249-B35B934BB7A7}" uniqueName="15" name="收窄基点" queryTableFieldId="15"/>
    <tableColumn id="16" xr3:uid="{2A30FA30-EA68-445A-B3B2-07A216AE817C}" uniqueName="16" name="定价基准" queryTableFieldId="16"/>
    <tableColumn id="18" xr3:uid="{68B928C8-F110-4275-943D-B563184CF448}" uniqueName="18" name="发行价" queryTableFieldId="39"/>
    <tableColumn id="17" xr3:uid="{0ACF0E03-B0D4-4057-BF46-E322F4936C17}" uniqueName="17" name="结构" queryTableFieldId="17"/>
    <tableColumn id="19" xr3:uid="{979EE12C-AD42-4833-8A99-EC817C6F2D45}" uniqueName="19" name="上市" queryTableFieldId="19"/>
    <tableColumn id="20" xr3:uid="{E6204F0C-29FB-48D4-9E0E-4731335D7A28}" uniqueName="20" name="港分_ROLE" queryTableFieldId="20"/>
    <tableColumn id="21" xr3:uid="{DBF246C1-9F14-46AE-BBC3-92DB6B28A9F5}" uniqueName="21" name="澳分_ROLE" queryTableFieldId="21"/>
    <tableColumn id="22" xr3:uid="{A427B15A-1E3B-4176-8AAF-3C66C694FA16}" uniqueName="22" name="增发判定" queryTableFieldId="22"/>
    <tableColumn id="26" xr3:uid="{D81B8EC4-1E43-4536-91C9-D9443CB5B5E6}" uniqueName="26" name="付息频率" queryTableFieldId="40"/>
    <tableColumn id="27" xr3:uid="{1B4F1862-A915-4343-BD42-60FE8D9C5914}" uniqueName="27" name="起息日期" queryTableFieldId="41" dataDxfId="21"/>
    <tableColumn id="39" xr3:uid="{63B90420-8840-4507-9FE7-AEEA98D3C1EA}" uniqueName="39" name="首次付息日" queryTableFieldId="42" dataDxfId="20"/>
    <tableColumn id="40" xr3:uid="{BD1F8AC9-D7AC-4D02-8E73-E640E429EA37}" uniqueName="40" name="兑付日" queryTableFieldId="43" dataDxfId="19"/>
    <tableColumn id="23" xr3:uid="{32278D46-AAFB-46AC-B876-F0B2F5B3D38C}" uniqueName="23" name="亿美元" queryTableFieldId="23"/>
    <tableColumn id="24" xr3:uid="{1F885E33-0B82-4272-882B-8A2CC2097721}" uniqueName="24" name="亿元" queryTableFieldId="24"/>
    <tableColumn id="25" xr3:uid="{636B29DB-50B6-49B5-9EE5-519500C5F4C5}" uniqueName="25" name="亿港币" queryTableFieldId="25"/>
    <tableColumn id="41" xr3:uid="{88894D22-D148-449D-8AFE-C1E41A6237D0}" uniqueName="41" name="ticker" queryTableFieldId="44"/>
    <tableColumn id="45" xr3:uid="{D35F78CD-33DF-4BE5-B09E-5792350E6F5E}" uniqueName="45" name="注册成立地" queryTableFieldId="57"/>
    <tableColumn id="42" xr3:uid="{A2CC7DB9-0BC7-4182-BD08-B5982994B9A6}" uniqueName="42" name="发行人" queryTableFieldId="45"/>
    <tableColumn id="43" xr3:uid="{D8401749-5222-4202-B6A6-652D8A1D8E68}" uniqueName="43" name="担保人" queryTableFieldId="46"/>
    <tableColumn id="44" xr3:uid="{38FFC5B5-8532-438A-9D5B-F9205283973B}" uniqueName="44" name="维好协议提供者" queryTableFieldId="47"/>
    <tableColumn id="28" xr3:uid="{636A1BFB-2DD2-4E7A-8C04-E4AD77737D6B}" uniqueName="28" name="备证行" queryTableFieldId="28"/>
    <tableColumn id="29" xr3:uid="{22C55275-6BA9-4912-9032-F35F16DFEF5E}" uniqueName="29" name="ESG" queryTableFieldId="29"/>
    <tableColumn id="30" xr3:uid="{E89FFB45-1C1B-48CF-9DCC-B98D4629418D}" uniqueName="30" name="FEATURED" queryTableFieldId="30"/>
    <tableColumn id="31" xr3:uid="{C11B3DB5-9721-4EF1-B0A1-D0EB6C66C057}" uniqueName="31" name="亮点" queryTableFieldId="31"/>
    <tableColumn id="32" xr3:uid="{DF9610CA-17E8-4B49-910E-BA6EB58E92E6}" uniqueName="32" name="通过分行" queryTableFieldId="32"/>
    <tableColumn id="33" xr3:uid="{F3F9AA75-29DA-43EE-BB6E-5BA6DF5BB1E3}" uniqueName="33" name="期限备注" queryTableFieldId="33"/>
    <tableColumn id="34" xr3:uid="{4A3208F5-5206-4EA3-95FD-A6BD27F0D520}" uniqueName="34" name="SPECIALs" queryTableFieldId="34"/>
    <tableColumn id="35" xr3:uid="{73AAEBCD-2442-42BC-AB08-3A3863CB5C99}" uniqueName="35" name="OTHER_ISIN" queryTableFieldId="35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/>
  </tableColumns>
  <tableStyleInfo name="Qry Load 3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review_shortname" displayName="review_shortname" ref="A4:T6" tableType="queryTable" totalsRowShown="0">
  <autoFilter ref="A4:T6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839D15CD-929C-426E-BE35-D71776CF4847}" uniqueName="1" name="Index" queryTableFieldId="24" dataDxfId="18"/>
    <tableColumn id="7" xr3:uid="{00000000-0010-0000-2100-000007000000}" uniqueName="7" name="信用主体" queryTableFieldId="7" dataDxfId="17"/>
    <tableColumn id="12" xr3:uid="{D8848C67-C257-40AA-BA2E-11E9707D0C96}" uniqueName="12" name="信用主体简称" queryTableFieldId="25" dataDxfId="16"/>
    <tableColumn id="3" xr3:uid="{B0A40063-19C6-436A-B9D7-8F869CBB7078}" uniqueName="3" name="板块" queryTableFieldId="22" dataDxfId="15"/>
    <tableColumn id="13" xr3:uid="{EF898015-116B-4F44-8180-3FBDA10D157E}" uniqueName="13" name="行业二级" queryTableFieldId="45" dataDxfId="14"/>
    <tableColumn id="4" xr3:uid="{00000000-0010-0000-2100-000004000000}" uniqueName="4" name="地区" queryTableFieldId="4" dataDxfId="13"/>
    <tableColumn id="5" xr3:uid="{00000000-0010-0000-2100-000005000000}" uniqueName="5" name="城市" queryTableFieldId="5" dataDxfId="12"/>
    <tableColumn id="6" xr3:uid="{00000000-0010-0000-2100-000006000000}" uniqueName="6" name="区县" queryTableFieldId="6" dataDxfId="11"/>
    <tableColumn id="14" xr3:uid="{FA0B5668-222B-4765-812C-C03B5B97EC30}" uniqueName="14" name="平台级别" queryTableFieldId="27" dataDxfId="10"/>
    <tableColumn id="2" xr3:uid="{2E2AEFE9-AB5E-4BE5-BAE0-A95DCF912FA9}" uniqueName="2" name="中资属性" queryTableFieldId="12" dataDxfId="9"/>
    <tableColumn id="20" xr3:uid="{0AE5210F-C482-43A4-AC19-BA6841B87837}" uniqueName="20" name="系" queryTableFieldId="56"/>
    <tableColumn id="15" xr3:uid="{9EB1F89B-CC53-4B89-9385-E7B40FF125C7}" uniqueName="15" name="首次违约日" queryTableFieldId="28" dataDxfId="8"/>
    <tableColumn id="11" xr3:uid="{00000000-0010-0000-2100-00000B000000}" uniqueName="11" name="DEBUT_DATE" queryTableFieldId="11" dataDxfId="7"/>
    <tableColumn id="16" xr3:uid="{0B2ECDC0-ECBB-49D2-AE22-30BDCBF42B44}" uniqueName="16" name="曾用名" queryTableFieldId="29" dataDxfId="6"/>
    <tableColumn id="17" xr3:uid="{1E2A9035-C305-4E84-8A00-32F6B16469B0}" uniqueName="17" name="主体备注" queryTableFieldId="30" dataDxfId="5"/>
    <tableColumn id="8" xr3:uid="{00000000-0010-0000-2100-000008000000}" uniqueName="8" name="行业" queryTableFieldId="8" dataDxfId="4"/>
    <tableColumn id="9" xr3:uid="{00000000-0010-0000-2100-000009000000}" uniqueName="9" name="细分行业" queryTableFieldId="9" dataDxfId="3"/>
    <tableColumn id="10" xr3:uid="{00000000-0010-0000-2100-00000A000000}" uniqueName="10" name="公司类型" queryTableFieldId="10" dataDxfId="2"/>
    <tableColumn id="18" xr3:uid="{8745C1D2-A151-43DA-9DB4-BE5C10F1E3EA}" uniqueName="18" name="Updator" queryTableFieldId="31" dataDxfId="1"/>
    <tableColumn id="19" xr3:uid="{DE99903B-F628-4B59-9730-5822264C6BC0}" uniqueName="19" name="Timestamp" queryTableFieldId="32" dataDxfId="0"/>
  </tableColumns>
  <tableStyleInfo name="review 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Table_review_BISL" displayName="Table_review_BISL" ref="A5:S6" tableType="queryTable" insertRow="1" totalsRowShown="0">
  <autoFilter ref="A5:S6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6" xr3:uid="{3411C0CF-976A-4264-975A-7FF83ECA3A4F}" uniqueName="6" name="Index" queryTableFieldId="33"/>
    <tableColumn id="2" xr3:uid="{00000000-0010-0000-1F00-000002000000}" uniqueName="2" name="ISIN" queryTableFieldId="2"/>
    <tableColumn id="3" xr3:uid="{00000000-0010-0000-1F00-000003000000}" uniqueName="3" name="定价日" queryTableFieldId="3"/>
    <tableColumn id="4" xr3:uid="{00000000-0010-0000-1F00-000004000000}" uniqueName="4" name="信用主体" queryTableFieldId="4"/>
    <tableColumn id="5" xr3:uid="{00000000-0010-0000-1F00-000005000000}" uniqueName="5" name="BISL_ROLE" queryTableFieldId="5"/>
    <tableColumn id="12" xr3:uid="{00000000-0010-0000-1F00-00000C000000}" uniqueName="12" name="IS_LEAD" queryTableFieldId="14"/>
    <tableColumn id="14" xr3:uid="{00000000-0010-0000-1F00-00000E000000}" uniqueName="14" name="IS_B&amp;D" queryTableFieldId="15"/>
    <tableColumn id="15" xr3:uid="{00000000-0010-0000-1F00-00000F000000}" uniqueName="15" name="是否合名" queryTableFieldId="16"/>
    <tableColumn id="10" xr3:uid="{00000000-0010-0000-1F00-00000A000000}" uniqueName="10" name="新规角色" queryTableFieldId="10"/>
    <tableColumn id="11" xr3:uid="{00000000-0010-0000-1F00-00000B000000}" uniqueName="11" name="COVERAGE" queryTableFieldId="11"/>
    <tableColumn id="8" xr3:uid="{00000000-0010-0000-1F00-000008000000}" uniqueName="8" name="PROJECT_CODE" queryTableFieldId="8"/>
    <tableColumn id="9" xr3:uid="{00000000-0010-0000-1F00-000009000000}" uniqueName="9" name="期数" queryTableFieldId="9"/>
    <tableColumn id="18" xr3:uid="{BD2A2563-6D0C-4C70-8C7F-DBFEB75BF9F7}" uniqueName="18" name="台账序号" queryTableFieldId="22"/>
    <tableColumn id="7" xr3:uid="{6DE07327-A6E4-4356-AA50-0A878930CEA5}" uniqueName="7" name="多笔" queryTableFieldId="34"/>
    <tableColumn id="13" xr3:uid="{46C7532C-3BEE-4236-939A-E9519058A4F0}" uniqueName="13" name="多币种" queryTableFieldId="35"/>
    <tableColumn id="16" xr3:uid="{A77870FD-F6DE-4CA1-B614-9C21258B5A9A}" uniqueName="16" name="多品种" queryTableFieldId="36"/>
    <tableColumn id="17" xr3:uid="{B157A89E-0608-47B6-B1F4-C5375D9EE80D}" uniqueName="17" name="多期限" queryTableFieldId="37"/>
    <tableColumn id="1" xr3:uid="{00000000-0010-0000-1F00-000001000000}" uniqueName="1" name="Check" queryTableFieldId="1"/>
    <tableColumn id="19" xr3:uid="{21B06EAE-8568-4B4F-9535-B0BA6BEED0CC}" uniqueName="19" name="PRJ对帐号" queryTableFieldId="38"/>
  </tableColumns>
  <tableStyleInfo name="Qry Load 4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2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44"/>
  <sheetViews>
    <sheetView zoomScale="115" zoomScaleNormal="115" workbookViewId="0">
      <selection activeCell="E26" sqref="E26"/>
    </sheetView>
  </sheetViews>
  <sheetFormatPr defaultColWidth="8.21875" defaultRowHeight="18.75" customHeight="1" outlineLevelRow="1" x14ac:dyDescent="0.25"/>
  <cols>
    <col min="1" max="1" width="8.109375" style="21" bestFit="1" customWidth="1"/>
    <col min="2" max="2" width="8.109375" style="20" bestFit="1" customWidth="1"/>
    <col min="3" max="3" width="11.44140625" style="21" bestFit="1" customWidth="1"/>
    <col min="4" max="4" width="9.33203125" style="13" bestFit="1" customWidth="1"/>
    <col min="5" max="6" width="13.5546875" style="13" bestFit="1" customWidth="1"/>
    <col min="7" max="7" width="11.77734375" style="13" bestFit="1" customWidth="1"/>
    <col min="8" max="8" width="15" style="13" bestFit="1" customWidth="1"/>
    <col min="9" max="9" width="9.33203125" style="13" bestFit="1" customWidth="1"/>
    <col min="10" max="10" width="9.21875" style="13" bestFit="1" customWidth="1"/>
    <col min="11" max="11" width="11.109375" style="13" bestFit="1" customWidth="1"/>
    <col min="12" max="12" width="9.33203125" style="13" bestFit="1" customWidth="1"/>
    <col min="13" max="13" width="20.44140625" style="13" bestFit="1" customWidth="1"/>
    <col min="14" max="14" width="7.33203125" style="13" bestFit="1" customWidth="1"/>
    <col min="15" max="15" width="10.6640625" style="13" bestFit="1" customWidth="1"/>
    <col min="16" max="16" width="7.109375" style="13" bestFit="1" customWidth="1"/>
    <col min="17" max="17" width="7.88671875" style="13" bestFit="1" customWidth="1"/>
    <col min="18" max="18" width="23.109375" style="13" bestFit="1" customWidth="1"/>
    <col min="19" max="19" width="7.21875" style="13" bestFit="1" customWidth="1"/>
    <col min="20" max="20" width="15.5546875" style="13" bestFit="1" customWidth="1"/>
    <col min="21" max="21" width="15.5546875" style="13" customWidth="1"/>
    <col min="22" max="22" width="8.109375" style="13" bestFit="1" customWidth="1"/>
    <col min="23" max="23" width="9" style="13" bestFit="1" customWidth="1"/>
    <col min="24" max="24" width="7.109375" style="13" bestFit="1" customWidth="1"/>
    <col min="25" max="25" width="10.6640625" style="13" bestFit="1" customWidth="1"/>
    <col min="26" max="26" width="7.109375" style="13" bestFit="1" customWidth="1"/>
    <col min="27" max="27" width="15.21875" style="13" bestFit="1" customWidth="1"/>
    <col min="28" max="28" width="7.109375" style="13" bestFit="1" customWidth="1"/>
    <col min="29" max="29" width="5.77734375" style="13" bestFit="1" customWidth="1"/>
    <col min="30" max="30" width="7.109375" style="13" bestFit="1" customWidth="1"/>
    <col min="31" max="16384" width="8.21875" style="13"/>
  </cols>
  <sheetData>
    <row r="1" spans="1:13" ht="18.75" customHeight="1" x14ac:dyDescent="0.25">
      <c r="A1" s="76" t="str">
        <f ca="1" xml:space="preserve"> IF(ISNUMBER(FIND("ktkt2",CELL("filename"))),"Remote",IF(ISNUMBER(FIND("docs.live",CELL("filename"))),"Remote","Global"))</f>
        <v>Global</v>
      </c>
      <c r="B1" s="11"/>
      <c r="C1" s="12"/>
      <c r="D1" s="17"/>
      <c r="E1" s="14"/>
      <c r="F1" s="15"/>
      <c r="G1" s="18"/>
      <c r="H1" s="16"/>
      <c r="I1" s="17"/>
    </row>
    <row r="2" spans="1:13" ht="18.75" customHeight="1" outlineLevel="1" x14ac:dyDescent="0.25">
      <c r="A2" s="13"/>
      <c r="B2" s="13"/>
      <c r="C2" s="13"/>
    </row>
    <row r="3" spans="1:13" ht="18.75" customHeight="1" outlineLevel="1" x14ac:dyDescent="0.25">
      <c r="A3" s="13"/>
      <c r="B3" s="13"/>
      <c r="C3" s="13"/>
    </row>
    <row r="4" spans="1:13" ht="18.75" customHeight="1" outlineLevel="1" x14ac:dyDescent="0.25">
      <c r="A4" s="13"/>
      <c r="B4" s="13"/>
      <c r="C4" s="13"/>
    </row>
    <row r="5" spans="1:13" ht="18.75" customHeight="1" outlineLevel="1" x14ac:dyDescent="0.25">
      <c r="A5" s="20"/>
      <c r="B5" s="21"/>
      <c r="C5" s="13"/>
    </row>
    <row r="6" spans="1:13" ht="15" x14ac:dyDescent="0.25">
      <c r="A6" s="82" t="s">
        <v>50</v>
      </c>
      <c r="B6" s="81" t="s">
        <v>104</v>
      </c>
      <c r="C6" s="81" t="s">
        <v>72</v>
      </c>
      <c r="D6" s="64" t="s">
        <v>102</v>
      </c>
      <c r="E6" s="64" t="s">
        <v>99</v>
      </c>
      <c r="F6" s="61" t="s">
        <v>191</v>
      </c>
      <c r="G6" s="61" t="s">
        <v>212</v>
      </c>
      <c r="H6" s="61" t="s">
        <v>213</v>
      </c>
      <c r="I6" s="61" t="s">
        <v>281</v>
      </c>
      <c r="J6" s="61" t="s">
        <v>252</v>
      </c>
      <c r="K6" s="61" t="s">
        <v>184</v>
      </c>
      <c r="L6" s="61" t="s">
        <v>210</v>
      </c>
      <c r="M6" s="61" t="s">
        <v>185</v>
      </c>
    </row>
    <row r="7" spans="1:13" ht="15" x14ac:dyDescent="0.25">
      <c r="A7" s="82" t="s">
        <v>1</v>
      </c>
      <c r="B7" s="81" t="s">
        <v>164</v>
      </c>
      <c r="C7" s="82" t="s">
        <v>94</v>
      </c>
      <c r="D7" s="64" t="s">
        <v>127</v>
      </c>
      <c r="E7" s="64" t="s">
        <v>133</v>
      </c>
      <c r="F7" s="61" t="s">
        <v>187</v>
      </c>
      <c r="G7" s="61" t="s">
        <v>224</v>
      </c>
      <c r="H7" s="61" t="s">
        <v>222</v>
      </c>
      <c r="I7" s="61" t="s">
        <v>282</v>
      </c>
      <c r="J7" s="61" t="s">
        <v>239</v>
      </c>
      <c r="K7" s="61" t="s">
        <v>259</v>
      </c>
      <c r="L7" s="61" t="s">
        <v>0</v>
      </c>
      <c r="M7" s="61" t="s">
        <v>294</v>
      </c>
    </row>
    <row r="8" spans="1:13" ht="15" x14ac:dyDescent="0.25">
      <c r="A8" s="82" t="s">
        <v>93</v>
      </c>
      <c r="B8" s="81" t="s">
        <v>165</v>
      </c>
      <c r="C8" s="82" t="s">
        <v>119</v>
      </c>
      <c r="D8" s="64" t="s">
        <v>101</v>
      </c>
      <c r="E8" s="64" t="s">
        <v>134</v>
      </c>
      <c r="F8" s="61" t="s">
        <v>186</v>
      </c>
      <c r="G8" s="61" t="s">
        <v>221</v>
      </c>
      <c r="H8" s="61" t="s">
        <v>225</v>
      </c>
      <c r="I8" s="61" t="s">
        <v>283</v>
      </c>
      <c r="J8" s="61" t="s">
        <v>240</v>
      </c>
      <c r="K8" s="61" t="s">
        <v>186</v>
      </c>
      <c r="L8" s="61" t="s">
        <v>4</v>
      </c>
      <c r="M8" s="61" t="s">
        <v>295</v>
      </c>
    </row>
    <row r="9" spans="1:13" ht="15" x14ac:dyDescent="0.25">
      <c r="A9" s="82" t="s">
        <v>2</v>
      </c>
      <c r="B9" s="81" t="s">
        <v>139</v>
      </c>
      <c r="C9" s="82" t="s">
        <v>128</v>
      </c>
      <c r="D9" s="64" t="s">
        <v>100</v>
      </c>
      <c r="E9" s="64" t="s">
        <v>136</v>
      </c>
      <c r="F9" s="61" t="s">
        <v>230</v>
      </c>
      <c r="G9" s="61" t="s">
        <v>233</v>
      </c>
      <c r="H9" s="61" t="s">
        <v>234</v>
      </c>
      <c r="I9" s="61" t="s">
        <v>284</v>
      </c>
      <c r="J9" s="61" t="s">
        <v>241</v>
      </c>
      <c r="K9" s="61" t="s">
        <v>260</v>
      </c>
      <c r="L9" s="61" t="s">
        <v>5</v>
      </c>
      <c r="M9" s="61" t="s">
        <v>280</v>
      </c>
    </row>
    <row r="10" spans="1:13" ht="15" x14ac:dyDescent="0.25">
      <c r="A10" s="82" t="s">
        <v>3</v>
      </c>
      <c r="C10" s="82" t="s">
        <v>124</v>
      </c>
      <c r="D10" s="64" t="s">
        <v>129</v>
      </c>
      <c r="E10" s="64" t="s">
        <v>135</v>
      </c>
      <c r="F10" s="80" t="s">
        <v>7</v>
      </c>
      <c r="G10" s="80" t="s">
        <v>7</v>
      </c>
      <c r="H10" s="80" t="s">
        <v>7</v>
      </c>
      <c r="I10" s="61" t="s">
        <v>285</v>
      </c>
      <c r="J10" s="61" t="s">
        <v>242</v>
      </c>
      <c r="K10" s="61" t="s">
        <v>232</v>
      </c>
      <c r="L10" s="61" t="s">
        <v>6</v>
      </c>
      <c r="M10" s="61" t="s">
        <v>296</v>
      </c>
    </row>
    <row r="11" spans="1:13" ht="15" x14ac:dyDescent="0.25">
      <c r="D11" s="64" t="s">
        <v>130</v>
      </c>
      <c r="E11" s="64" t="s">
        <v>46</v>
      </c>
      <c r="F11" s="71"/>
      <c r="I11" s="61" t="s">
        <v>286</v>
      </c>
      <c r="J11" s="61" t="s">
        <v>2</v>
      </c>
      <c r="K11" s="61" t="s">
        <v>187</v>
      </c>
      <c r="L11" s="61" t="s">
        <v>292</v>
      </c>
      <c r="M11" s="61" t="s">
        <v>297</v>
      </c>
    </row>
    <row r="12" spans="1:13" ht="15" x14ac:dyDescent="0.25">
      <c r="A12" s="22" t="s">
        <v>98</v>
      </c>
      <c r="B12" s="19" t="s">
        <v>36</v>
      </c>
      <c r="C12" s="13"/>
      <c r="D12" s="64" t="s">
        <v>129</v>
      </c>
      <c r="E12" s="64" t="s">
        <v>43</v>
      </c>
      <c r="F12" s="71"/>
      <c r="J12" s="61" t="s">
        <v>243</v>
      </c>
      <c r="K12" s="61" t="s">
        <v>231</v>
      </c>
      <c r="M12" s="61" t="s">
        <v>298</v>
      </c>
    </row>
    <row r="13" spans="1:13" ht="15" x14ac:dyDescent="0.25">
      <c r="A13" s="22" t="s">
        <v>13</v>
      </c>
      <c r="B13" s="19" t="s">
        <v>37</v>
      </c>
      <c r="C13" s="13"/>
      <c r="D13" s="64" t="s">
        <v>125</v>
      </c>
      <c r="E13" s="64" t="s">
        <v>132</v>
      </c>
      <c r="F13" s="80"/>
      <c r="G13" s="71"/>
      <c r="M13" s="61" t="s">
        <v>344</v>
      </c>
    </row>
    <row r="14" spans="1:13" ht="15" x14ac:dyDescent="0.25">
      <c r="A14" s="22" t="s">
        <v>10</v>
      </c>
      <c r="B14" s="19" t="s">
        <v>40</v>
      </c>
      <c r="C14" s="13"/>
      <c r="D14" s="64" t="s">
        <v>2</v>
      </c>
      <c r="E14" s="64" t="s">
        <v>47</v>
      </c>
      <c r="F14" s="71"/>
      <c r="G14" s="71"/>
      <c r="M14" s="61" t="s">
        <v>299</v>
      </c>
    </row>
    <row r="15" spans="1:13" ht="15" x14ac:dyDescent="0.25">
      <c r="A15" s="22" t="s">
        <v>29</v>
      </c>
      <c r="B15" s="19" t="s">
        <v>38</v>
      </c>
      <c r="D15" s="21"/>
      <c r="E15" s="64" t="s">
        <v>44</v>
      </c>
      <c r="F15" s="71"/>
      <c r="M15" s="61" t="s">
        <v>7</v>
      </c>
    </row>
    <row r="16" spans="1:13" ht="18.75" customHeight="1" x14ac:dyDescent="0.25">
      <c r="A16" s="22" t="s">
        <v>18</v>
      </c>
      <c r="B16" s="19" t="s">
        <v>39</v>
      </c>
    </row>
    <row r="17" spans="1:11" ht="18.75" customHeight="1" x14ac:dyDescent="0.25">
      <c r="A17" s="22" t="s">
        <v>24</v>
      </c>
      <c r="B17" s="19" t="s">
        <v>42</v>
      </c>
    </row>
    <row r="18" spans="1:11" ht="18.75" customHeight="1" x14ac:dyDescent="0.25">
      <c r="A18" s="22" t="s">
        <v>23</v>
      </c>
      <c r="B18" s="19" t="s">
        <v>41</v>
      </c>
      <c r="D18" s="72" t="s">
        <v>184</v>
      </c>
      <c r="E18" s="72" t="s">
        <v>227</v>
      </c>
      <c r="F18" s="72" t="s">
        <v>228</v>
      </c>
      <c r="G18" s="72" t="s">
        <v>212</v>
      </c>
      <c r="H18" s="72" t="s">
        <v>213</v>
      </c>
      <c r="I18" s="72" t="s">
        <v>247</v>
      </c>
      <c r="J18" s="72" t="s">
        <v>248</v>
      </c>
      <c r="K18" s="72" t="s">
        <v>249</v>
      </c>
    </row>
    <row r="19" spans="1:11" ht="18.75" customHeight="1" x14ac:dyDescent="0.25">
      <c r="A19" s="22" t="s">
        <v>34</v>
      </c>
      <c r="B19" s="19" t="s">
        <v>126</v>
      </c>
      <c r="D19" s="70" t="s">
        <v>186</v>
      </c>
      <c r="E19" s="70" t="s">
        <v>187</v>
      </c>
      <c r="F19" s="70" t="s">
        <v>7</v>
      </c>
      <c r="G19" s="70" t="s">
        <v>221</v>
      </c>
      <c r="H19" s="70" t="s">
        <v>222</v>
      </c>
      <c r="I19" s="70"/>
      <c r="J19" s="70"/>
      <c r="K19" s="70"/>
    </row>
    <row r="20" spans="1:11" ht="18.75" customHeight="1" x14ac:dyDescent="0.25">
      <c r="A20" s="22" t="s">
        <v>28</v>
      </c>
      <c r="B20" s="19" t="s">
        <v>7</v>
      </c>
      <c r="C20" s="50"/>
      <c r="D20" s="49"/>
      <c r="H20" s="49"/>
      <c r="J20" s="49"/>
    </row>
    <row r="21" spans="1:11" ht="18.75" customHeight="1" x14ac:dyDescent="0.25">
      <c r="A21" s="22" t="s">
        <v>12</v>
      </c>
      <c r="H21" s="49"/>
    </row>
    <row r="22" spans="1:11" ht="18.75" customHeight="1" x14ac:dyDescent="0.25">
      <c r="A22" s="22" t="s">
        <v>19</v>
      </c>
      <c r="C22" s="13"/>
      <c r="F22" s="49"/>
      <c r="G22" s="49"/>
    </row>
    <row r="23" spans="1:11" ht="18.75" customHeight="1" x14ac:dyDescent="0.25">
      <c r="A23" s="22" t="s">
        <v>176</v>
      </c>
      <c r="C23" s="13"/>
      <c r="F23" s="49"/>
      <c r="G23" s="49"/>
    </row>
    <row r="24" spans="1:11" ht="18.75" customHeight="1" x14ac:dyDescent="0.25">
      <c r="A24" s="22" t="s">
        <v>35</v>
      </c>
      <c r="C24" s="13"/>
      <c r="F24" s="49"/>
      <c r="G24" s="49"/>
    </row>
    <row r="25" spans="1:11" ht="18.75" customHeight="1" x14ac:dyDescent="0.25">
      <c r="A25" s="22" t="s">
        <v>30</v>
      </c>
      <c r="C25" s="13"/>
      <c r="F25" s="49"/>
      <c r="G25" s="49"/>
    </row>
    <row r="26" spans="1:11" ht="18.75" customHeight="1" x14ac:dyDescent="0.25">
      <c r="A26" s="22" t="s">
        <v>22</v>
      </c>
      <c r="C26" s="13"/>
      <c r="F26" s="49"/>
      <c r="G26" s="49"/>
    </row>
    <row r="27" spans="1:11" ht="18.75" customHeight="1" x14ac:dyDescent="0.25">
      <c r="A27" s="22" t="s">
        <v>20</v>
      </c>
      <c r="C27" s="13"/>
      <c r="F27" s="49"/>
      <c r="G27" s="49"/>
    </row>
    <row r="28" spans="1:11" ht="18.75" customHeight="1" x14ac:dyDescent="0.2">
      <c r="A28" s="22" t="s">
        <v>17</v>
      </c>
      <c r="C28" s="13"/>
      <c r="F28" s="73"/>
      <c r="G28" s="69"/>
    </row>
    <row r="29" spans="1:11" ht="18.75" customHeight="1" x14ac:dyDescent="0.25">
      <c r="A29" s="22" t="s">
        <v>177</v>
      </c>
      <c r="C29" s="13"/>
    </row>
    <row r="30" spans="1:11" ht="18.75" customHeight="1" x14ac:dyDescent="0.25">
      <c r="A30" s="22" t="s">
        <v>9</v>
      </c>
      <c r="C30" s="13"/>
    </row>
    <row r="31" spans="1:11" ht="18.75" customHeight="1" x14ac:dyDescent="0.25">
      <c r="A31" s="22" t="s">
        <v>33</v>
      </c>
      <c r="C31" s="13"/>
    </row>
    <row r="32" spans="1:11" ht="18.75" customHeight="1" x14ac:dyDescent="0.25">
      <c r="A32" s="22" t="s">
        <v>26</v>
      </c>
      <c r="C32" s="13"/>
    </row>
    <row r="33" spans="1:3" ht="18.75" customHeight="1" x14ac:dyDescent="0.25">
      <c r="A33" s="22" t="s">
        <v>178</v>
      </c>
      <c r="C33" s="13"/>
    </row>
    <row r="34" spans="1:3" ht="18.75" customHeight="1" x14ac:dyDescent="0.25">
      <c r="A34" s="22" t="s">
        <v>25</v>
      </c>
      <c r="C34" s="13"/>
    </row>
    <row r="35" spans="1:3" ht="18.75" customHeight="1" x14ac:dyDescent="0.25">
      <c r="A35" s="22" t="s">
        <v>11</v>
      </c>
      <c r="C35" s="13"/>
    </row>
    <row r="36" spans="1:3" ht="18.75" customHeight="1" x14ac:dyDescent="0.25">
      <c r="A36" s="22" t="s">
        <v>15</v>
      </c>
      <c r="C36" s="13"/>
    </row>
    <row r="37" spans="1:3" ht="18.75" customHeight="1" x14ac:dyDescent="0.25">
      <c r="A37" s="22" t="s">
        <v>8</v>
      </c>
      <c r="C37" s="13"/>
    </row>
    <row r="38" spans="1:3" ht="18.75" customHeight="1" x14ac:dyDescent="0.25">
      <c r="A38" s="22" t="s">
        <v>27</v>
      </c>
    </row>
    <row r="39" spans="1:3" ht="18.75" customHeight="1" x14ac:dyDescent="0.25">
      <c r="A39" s="22" t="s">
        <v>21</v>
      </c>
    </row>
    <row r="40" spans="1:3" ht="18.75" customHeight="1" x14ac:dyDescent="0.25">
      <c r="A40" s="22" t="s">
        <v>14</v>
      </c>
    </row>
    <row r="41" spans="1:3" ht="18.75" customHeight="1" x14ac:dyDescent="0.25">
      <c r="A41" s="22" t="s">
        <v>32</v>
      </c>
    </row>
    <row r="42" spans="1:3" ht="18.75" customHeight="1" x14ac:dyDescent="0.25">
      <c r="A42" s="22" t="s">
        <v>31</v>
      </c>
    </row>
    <row r="43" spans="1:3" ht="18.75" customHeight="1" x14ac:dyDescent="0.25">
      <c r="A43" s="22" t="s">
        <v>16</v>
      </c>
    </row>
    <row r="44" spans="1:3" ht="18.75" customHeight="1" x14ac:dyDescent="0.25">
      <c r="A44" s="22" t="s">
        <v>179</v>
      </c>
    </row>
  </sheetData>
  <sortState ref="E7:E16">
    <sortCondition ref="E7"/>
  </sortState>
  <phoneticPr fontId="17" type="noConversion"/>
  <dataValidations count="7">
    <dataValidation type="list" allowBlank="1" showInputMessage="1" showErrorMessage="1" sqref="H19" xr:uid="{00000000-0002-0000-0000-000001000000}">
      <formula1>dd_coverage</formula1>
    </dataValidation>
    <dataValidation type="list" allowBlank="1" showInputMessage="1" showErrorMessage="1" sqref="G19" xr:uid="{00000000-0002-0000-0000-000002000000}">
      <formula1>dd_sfcrole</formula1>
    </dataValidation>
    <dataValidation type="list" allowBlank="1" showInputMessage="1" showErrorMessage="1" sqref="E19:F19" xr:uid="{00000000-0002-0000-0000-000003000000}">
      <formula1>dd_bocomrole</formula1>
    </dataValidation>
    <dataValidation type="list" allowBlank="1" showInputMessage="1" showErrorMessage="1" sqref="D19" xr:uid="{00000000-0002-0000-0000-000004000000}">
      <formula1>dd_BISL_role</formula1>
    </dataValidation>
    <dataValidation type="list" allowBlank="1" showInputMessage="1" showErrorMessage="1" sqref="I19" xr:uid="{00000000-0002-0000-0000-000005000000}">
      <formula1>"--,Left-lead,Lead"</formula1>
    </dataValidation>
    <dataValidation type="list" allowBlank="1" showInputMessage="1" showErrorMessage="1" sqref="J19" xr:uid="{00000000-0002-0000-0000-000006000000}">
      <formula1>"--,B&amp;D FOP,B&amp;D DvP,CCDC"</formula1>
    </dataValidation>
    <dataValidation type="list" allowBlank="1" showInputMessage="1" showErrorMessage="1" sqref="K19" xr:uid="{00000000-0002-0000-0000-000007000000}">
      <formula1>"--,合名"</formula1>
    </dataValidation>
  </dataValidations>
  <pageMargins left="0.7" right="0.7" top="0.75" bottom="0.75" header="0.3" footer="0.3"/>
  <pageSetup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CD28"/>
  <sheetViews>
    <sheetView tabSelected="1" zoomScale="85" zoomScaleNormal="85" workbookViewId="0">
      <selection activeCell="F13" sqref="F13"/>
    </sheetView>
  </sheetViews>
  <sheetFormatPr defaultColWidth="8.88671875" defaultRowHeight="18" customHeight="1" outlineLevelCol="1" x14ac:dyDescent="0.25"/>
  <cols>
    <col min="1" max="1" width="5.6640625" style="2" bestFit="1" customWidth="1"/>
    <col min="2" max="2" width="19.88671875" style="2" bestFit="1" customWidth="1"/>
    <col min="3" max="3" width="9.109375" style="2" customWidth="1"/>
    <col min="4" max="4" width="5.5546875" style="2" bestFit="1" customWidth="1"/>
    <col min="5" max="5" width="31.5546875" style="2" bestFit="1" customWidth="1"/>
    <col min="6" max="6" width="20.77734375" style="2" bestFit="1" customWidth="1"/>
    <col min="7" max="7" width="14" style="2" bestFit="1" customWidth="1"/>
    <col min="8" max="8" width="9.33203125" style="2" bestFit="1" customWidth="1"/>
    <col min="9" max="9" width="45.44140625" style="2" bestFit="1" customWidth="1"/>
    <col min="10" max="10" width="8.44140625" style="2" bestFit="1" customWidth="1"/>
    <col min="11" max="11" width="11" style="2" bestFit="1" customWidth="1"/>
    <col min="12" max="12" width="7.6640625" style="2" bestFit="1" customWidth="1"/>
    <col min="13" max="13" width="10.44140625" style="2" hidden="1" customWidth="1" outlineLevel="1"/>
    <col min="14" max="14" width="4.77734375" style="2" hidden="1" customWidth="1" outlineLevel="1"/>
    <col min="15" max="15" width="10.5546875" style="2" hidden="1" customWidth="1" outlineLevel="1"/>
    <col min="16" max="16" width="12.77734375" style="2" hidden="1" customWidth="1" outlineLevel="1"/>
    <col min="17" max="17" width="9.44140625" style="2" hidden="1" customWidth="1" outlineLevel="1"/>
    <col min="18" max="18" width="31.6640625" style="2" hidden="1" customWidth="1" outlineLevel="1"/>
    <col min="19" max="19" width="8" style="2" hidden="1" customWidth="1" outlineLevel="1"/>
    <col min="20" max="20" width="8.5546875" style="2" hidden="1" customWidth="1" outlineLevel="1"/>
    <col min="21" max="21" width="11.109375" style="2" hidden="1" customWidth="1" outlineLevel="1"/>
    <col min="22" max="22" width="7.77734375" style="2" hidden="1" customWidth="1" outlineLevel="1"/>
    <col min="23" max="23" width="9.44140625" style="2" hidden="1" customWidth="1" outlineLevel="1"/>
    <col min="24" max="24" width="24.77734375" style="2" hidden="1" customWidth="1" outlineLevel="1"/>
    <col min="25" max="25" width="15" style="2" hidden="1" customWidth="1" outlineLevel="1"/>
    <col min="26" max="26" width="6.109375" style="2" hidden="1" customWidth="1" outlineLevel="1"/>
    <col min="27" max="27" width="7.77734375" style="2" hidden="1" customWidth="1" outlineLevel="1"/>
    <col min="28" max="28" width="6.109375" style="2" hidden="1" customWidth="1" outlineLevel="1"/>
    <col min="29" max="29" width="7.77734375" style="2" hidden="1" customWidth="1" outlineLevel="1"/>
    <col min="30" max="30" width="6.109375" style="2" hidden="1" customWidth="1" outlineLevel="1"/>
    <col min="31" max="31" width="8.88671875" style="2" hidden="1" customWidth="1" outlineLevel="1"/>
    <col min="32" max="34" width="7.77734375" style="2" hidden="1" customWidth="1" outlineLevel="1"/>
    <col min="35" max="35" width="80.88671875" style="2" hidden="1" customWidth="1" outlineLevel="1"/>
    <col min="36" max="37" width="7.77734375" style="2" hidden="1" customWidth="1" outlineLevel="1"/>
    <col min="38" max="39" width="11.109375" style="2" hidden="1" customWidth="1" outlineLevel="1"/>
    <col min="40" max="40" width="4.44140625" style="2" hidden="1" customWidth="1" outlineLevel="1"/>
    <col min="41" max="41" width="9.44140625" style="2" hidden="1" customWidth="1" outlineLevel="1"/>
    <col min="42" max="42" width="14.5546875" style="2" hidden="1" customWidth="1" outlineLevel="1"/>
    <col min="43" max="43" width="7.77734375" style="2" hidden="1" customWidth="1" outlineLevel="1"/>
    <col min="44" max="44" width="12.77734375" style="2" hidden="1" customWidth="1" outlineLevel="1"/>
    <col min="45" max="46" width="11.109375" style="2" hidden="1" customWidth="1" outlineLevel="1"/>
    <col min="47" max="47" width="30" style="2" hidden="1" customWidth="1" outlineLevel="1"/>
    <col min="48" max="48" width="7.77734375" style="2" hidden="1" customWidth="1" outlineLevel="1"/>
    <col min="49" max="49" width="11.109375" style="2" hidden="1" customWidth="1" outlineLevel="1"/>
    <col min="50" max="50" width="7.77734375" style="2" hidden="1" customWidth="1" outlineLevel="1"/>
    <col min="51" max="51" width="18" style="2" hidden="1" customWidth="1" outlineLevel="1"/>
    <col min="52" max="57" width="7.77734375" style="2" hidden="1" customWidth="1" outlineLevel="1"/>
    <col min="58" max="58" width="9.44140625" style="2" hidden="1" customWidth="1" outlineLevel="1"/>
    <col min="59" max="60" width="80.88671875" style="2" hidden="1" customWidth="1" outlineLevel="1"/>
    <col min="61" max="61" width="19.109375" style="2" hidden="1" customWidth="1" outlineLevel="1"/>
    <col min="62" max="62" width="9.44140625" style="2" hidden="1" customWidth="1" outlineLevel="1"/>
    <col min="63" max="63" width="10.44140625" style="2" hidden="1" customWidth="1" outlineLevel="1"/>
    <col min="64" max="64" width="9.44140625" style="2" hidden="1" customWidth="1" outlineLevel="1"/>
    <col min="65" max="65" width="28.21875" style="2" hidden="1" customWidth="1" outlineLevel="1"/>
    <col min="66" max="66" width="47.33203125" style="2" hidden="1" customWidth="1" outlineLevel="1"/>
    <col min="67" max="67" width="10.44140625" style="2" hidden="1" customWidth="1" outlineLevel="1"/>
    <col min="68" max="68" width="17.44140625" style="2" hidden="1" customWidth="1" outlineLevel="1"/>
    <col min="69" max="69" width="11.109375" style="2" hidden="1" customWidth="1" outlineLevel="1"/>
    <col min="70" max="71" width="9.44140625" style="2" hidden="1" customWidth="1" outlineLevel="1"/>
    <col min="72" max="72" width="4.44140625" style="2" hidden="1" customWidth="1" outlineLevel="1"/>
    <col min="73" max="73" width="6.109375" style="2" hidden="1" customWidth="1" outlineLevel="1"/>
    <col min="74" max="74" width="7.109375" style="2" hidden="1" customWidth="1" outlineLevel="1"/>
    <col min="75" max="75" width="7.77734375" style="2" hidden="1" customWidth="1" outlineLevel="1"/>
    <col min="76" max="76" width="11.109375" style="2" hidden="1" customWidth="1" outlineLevel="1"/>
    <col min="77" max="77" width="16.6640625" style="2" bestFit="1" customWidth="1" collapsed="1"/>
    <col min="78" max="79" width="7.6640625" style="2" bestFit="1" customWidth="1"/>
    <col min="80" max="80" width="10" style="2" bestFit="1" customWidth="1"/>
    <col min="81" max="81" width="20.109375" style="2" bestFit="1" customWidth="1"/>
    <col min="82" max="82" width="8.77734375" style="2" bestFit="1" customWidth="1"/>
    <col min="83" max="83" width="10.5546875" style="2" bestFit="1" customWidth="1"/>
    <col min="84" max="85" width="10.33203125" style="2" bestFit="1" customWidth="1"/>
    <col min="86" max="86" width="10.5546875" style="2" bestFit="1" customWidth="1"/>
    <col min="87" max="87" width="19.5546875" style="2" bestFit="1" customWidth="1"/>
    <col min="88" max="88" width="10.5546875" style="2" bestFit="1" customWidth="1"/>
    <col min="89" max="89" width="10.33203125" style="2" bestFit="1" customWidth="1"/>
    <col min="90" max="91" width="10.5546875" style="2" bestFit="1" customWidth="1"/>
    <col min="92" max="92" width="16.6640625" style="2" bestFit="1" customWidth="1"/>
    <col min="93" max="93" width="7.6640625" style="2" bestFit="1" customWidth="1"/>
    <col min="94" max="95" width="10.44140625" style="2" bestFit="1" customWidth="1"/>
    <col min="96" max="96" width="17.33203125" style="2" bestFit="1" customWidth="1"/>
    <col min="97" max="98" width="10.109375" style="2" bestFit="1" customWidth="1"/>
    <col min="99" max="100" width="12.44140625" style="2" bestFit="1" customWidth="1"/>
    <col min="101" max="101" width="8.6640625" style="2" bestFit="1" customWidth="1"/>
    <col min="102" max="104" width="8.6640625" style="2" customWidth="1"/>
    <col min="105" max="105" width="9.21875" style="2" customWidth="1"/>
    <col min="106" max="106" width="28.6640625" style="2" customWidth="1"/>
    <col min="107" max="107" width="9" style="2" customWidth="1"/>
    <col min="108" max="108" width="11.6640625" style="2" customWidth="1"/>
    <col min="109" max="110" width="9.21875" style="2" customWidth="1"/>
    <col min="111" max="111" width="10.44140625" style="2" customWidth="1"/>
    <col min="112" max="112" width="11.6640625" style="2" customWidth="1"/>
    <col min="113" max="113" width="9.21875" style="2" customWidth="1"/>
    <col min="114" max="114" width="10.44140625" style="2" customWidth="1"/>
    <col min="115" max="115" width="20.109375" style="2" customWidth="1"/>
    <col min="116" max="116" width="37.77734375" style="2" customWidth="1"/>
    <col min="117" max="117" width="43.21875" style="2" customWidth="1"/>
    <col min="118" max="118" width="9.21875" style="2" customWidth="1"/>
    <col min="119" max="119" width="13.77734375" style="2" customWidth="1"/>
    <col min="120" max="120" width="37.109375" style="2" customWidth="1"/>
    <col min="121" max="121" width="10.44140625" style="2" customWidth="1"/>
    <col min="122" max="127" width="9.21875" style="2" customWidth="1"/>
    <col min="128" max="128" width="12.33203125" style="2" bestFit="1" customWidth="1"/>
    <col min="129" max="129" width="11.109375" style="2" customWidth="1"/>
    <col min="130" max="130" width="11.6640625" style="2" bestFit="1" customWidth="1"/>
    <col min="131" max="131" width="11.6640625" style="2" customWidth="1"/>
    <col min="132" max="132" width="4.77734375" style="2" bestFit="1" customWidth="1"/>
    <col min="133" max="133" width="7.44140625" style="2" bestFit="1" customWidth="1"/>
    <col min="134" max="16384" width="8.88671875" style="2"/>
  </cols>
  <sheetData>
    <row r="1" spans="1:82" ht="66" customHeight="1" x14ac:dyDescent="0.25">
      <c r="A1" s="78" t="s">
        <v>250</v>
      </c>
      <c r="B1" s="8"/>
      <c r="I1" s="91" t="s">
        <v>210</v>
      </c>
      <c r="M1" s="77">
        <v>44951</v>
      </c>
    </row>
    <row r="2" spans="1:82" ht="66" customHeight="1" x14ac:dyDescent="0.25">
      <c r="A2" s="79" t="s">
        <v>123</v>
      </c>
      <c r="I2" s="30" t="s">
        <v>4</v>
      </c>
    </row>
    <row r="3" spans="1:82" ht="23.25" customHeight="1" x14ac:dyDescent="0.3">
      <c r="B3" s="140" t="s">
        <v>614</v>
      </c>
      <c r="C3" s="92"/>
      <c r="D3" s="138"/>
      <c r="G3" s="31"/>
    </row>
    <row r="4" spans="1:82" ht="23.25" customHeight="1" x14ac:dyDescent="0.25">
      <c r="B4" s="141" t="s">
        <v>364</v>
      </c>
      <c r="C4" s="93">
        <f>MAX(Table_DLDconso[Index])</f>
        <v>4</v>
      </c>
      <c r="D4" s="138"/>
    </row>
    <row r="5" spans="1:82" ht="23.25" customHeight="1" x14ac:dyDescent="0.25">
      <c r="B5" s="141" t="s">
        <v>365</v>
      </c>
      <c r="C5" s="93">
        <f>MAX(BBGcorp[Index])</f>
        <v>16</v>
      </c>
      <c r="D5" s="139">
        <f>$C$5-C$4</f>
        <v>12</v>
      </c>
    </row>
    <row r="6" spans="1:82" ht="23.25" customHeight="1" x14ac:dyDescent="0.25">
      <c r="B6" s="141" t="s">
        <v>366</v>
      </c>
      <c r="C6" s="94">
        <f>MAX(WST[定价日])</f>
        <v>45154</v>
      </c>
      <c r="D6" s="139">
        <f>WEEKNUM(C$6)-WEEKNUM(MAX(Table_DLDconso[定价日]))</f>
        <v>0</v>
      </c>
    </row>
    <row r="7" spans="1:82" ht="23.25" customHeight="1" x14ac:dyDescent="0.25">
      <c r="B7" s="142" t="s">
        <v>367</v>
      </c>
      <c r="C7" s="95">
        <f>MAX(台账23[台账序号])</f>
        <v>0</v>
      </c>
      <c r="D7" s="138"/>
    </row>
    <row r="8" spans="1:82" ht="14.25" customHeight="1" x14ac:dyDescent="0.25"/>
    <row r="9" spans="1:82" ht="11.25" x14ac:dyDescent="0.25"/>
    <row r="10" spans="1:82" ht="15" x14ac:dyDescent="0.25">
      <c r="B10" t="s">
        <v>615</v>
      </c>
      <c r="D10" s="134" t="s">
        <v>95</v>
      </c>
      <c r="E10" s="135" t="s">
        <v>105</v>
      </c>
      <c r="F10" s="134" t="s">
        <v>314</v>
      </c>
      <c r="G10" s="135" t="s">
        <v>55</v>
      </c>
      <c r="H10" s="135" t="s">
        <v>56</v>
      </c>
      <c r="I10" s="135" t="s">
        <v>54</v>
      </c>
      <c r="J10" s="135" t="s">
        <v>109</v>
      </c>
      <c r="K10" s="135" t="s">
        <v>110</v>
      </c>
      <c r="L10" s="135" t="s">
        <v>57</v>
      </c>
      <c r="M10" s="135" t="s">
        <v>65</v>
      </c>
      <c r="N10" s="135" t="s">
        <v>72</v>
      </c>
      <c r="O10" s="135" t="s">
        <v>66</v>
      </c>
      <c r="P10" s="134" t="s">
        <v>59</v>
      </c>
      <c r="Q10" s="135" t="s">
        <v>60</v>
      </c>
      <c r="R10" s="135" t="s">
        <v>111</v>
      </c>
      <c r="S10" s="134" t="s">
        <v>253</v>
      </c>
      <c r="T10" s="134" t="s">
        <v>254</v>
      </c>
      <c r="U10" s="135" t="s">
        <v>62</v>
      </c>
      <c r="V10" s="134" t="s">
        <v>245</v>
      </c>
      <c r="W10" s="134" t="s">
        <v>315</v>
      </c>
      <c r="X10" s="135" t="s">
        <v>63</v>
      </c>
      <c r="Y10" s="135" t="s">
        <v>64</v>
      </c>
      <c r="Z10" s="135" t="s">
        <v>67</v>
      </c>
      <c r="AA10" s="135" t="s">
        <v>68</v>
      </c>
      <c r="AB10" s="135" t="s">
        <v>106</v>
      </c>
      <c r="AC10" s="135" t="s">
        <v>52</v>
      </c>
      <c r="AD10" s="135" t="s">
        <v>53</v>
      </c>
      <c r="AE10" s="135" t="s">
        <v>163</v>
      </c>
      <c r="AF10" s="135" t="s">
        <v>69</v>
      </c>
      <c r="AG10" s="135" t="s">
        <v>70</v>
      </c>
      <c r="AH10" s="135" t="s">
        <v>71</v>
      </c>
      <c r="AI10" s="135" t="s">
        <v>73</v>
      </c>
      <c r="AJ10" s="135" t="s">
        <v>51</v>
      </c>
      <c r="AK10" s="135" t="s">
        <v>107</v>
      </c>
      <c r="AL10" s="135" t="s">
        <v>217</v>
      </c>
      <c r="AM10" s="135" t="s">
        <v>58</v>
      </c>
      <c r="AN10" s="135" t="s">
        <v>50</v>
      </c>
      <c r="AO10" s="134" t="s">
        <v>272</v>
      </c>
      <c r="AP10" s="135" t="s">
        <v>49</v>
      </c>
      <c r="AQ10" s="135" t="s">
        <v>108</v>
      </c>
      <c r="AR10" s="134" t="s">
        <v>273</v>
      </c>
      <c r="AS10" s="134" t="s">
        <v>274</v>
      </c>
      <c r="AT10" s="134" t="s">
        <v>275</v>
      </c>
      <c r="AU10" s="134" t="s">
        <v>276</v>
      </c>
      <c r="AV10" s="135" t="s">
        <v>74</v>
      </c>
      <c r="AW10" s="135" t="s">
        <v>112</v>
      </c>
      <c r="AX10" s="135" t="s">
        <v>113</v>
      </c>
      <c r="AY10" s="135" t="s">
        <v>90</v>
      </c>
      <c r="AZ10" s="135" t="s">
        <v>89</v>
      </c>
      <c r="BA10" s="135" t="s">
        <v>116</v>
      </c>
      <c r="BB10" s="135" t="s">
        <v>88</v>
      </c>
      <c r="BC10" s="135" t="s">
        <v>87</v>
      </c>
      <c r="BD10" s="135" t="s">
        <v>86</v>
      </c>
      <c r="BE10" s="135" t="s">
        <v>85</v>
      </c>
      <c r="BF10" s="135" t="s">
        <v>84</v>
      </c>
      <c r="BG10" s="134" t="s">
        <v>277</v>
      </c>
      <c r="BH10" s="135" t="s">
        <v>83</v>
      </c>
      <c r="BI10" s="135" t="s">
        <v>115</v>
      </c>
      <c r="BJ10" s="135" t="s">
        <v>82</v>
      </c>
      <c r="BK10" s="134" t="s">
        <v>278</v>
      </c>
      <c r="BL10" s="135" t="s">
        <v>81</v>
      </c>
      <c r="BM10" s="135" t="s">
        <v>80</v>
      </c>
      <c r="BN10" s="135" t="s">
        <v>79</v>
      </c>
      <c r="BO10" s="135" t="s">
        <v>78</v>
      </c>
      <c r="BP10" s="135" t="s">
        <v>77</v>
      </c>
      <c r="BQ10" s="135" t="s">
        <v>114</v>
      </c>
      <c r="BR10" s="135" t="s">
        <v>76</v>
      </c>
      <c r="BS10" s="135" t="s">
        <v>75</v>
      </c>
      <c r="BT10" s="134" t="s">
        <v>98</v>
      </c>
      <c r="BU10" s="134" t="s">
        <v>214</v>
      </c>
      <c r="BV10" s="134" t="s">
        <v>215</v>
      </c>
      <c r="BW10" s="134" t="s">
        <v>258</v>
      </c>
      <c r="BX10" s="134" t="s">
        <v>293</v>
      </c>
      <c r="BY10" s="134" t="s">
        <v>180</v>
      </c>
      <c r="BZ10" s="134" t="s">
        <v>142</v>
      </c>
      <c r="CA10" s="134" t="s">
        <v>169</v>
      </c>
      <c r="CB10" s="134" t="s">
        <v>218</v>
      </c>
      <c r="CC10" s="135" t="s">
        <v>174</v>
      </c>
      <c r="CD10" s="134" t="s">
        <v>216</v>
      </c>
    </row>
    <row r="11" spans="1:82" ht="15" x14ac:dyDescent="0.25">
      <c r="B11" t="s">
        <v>612</v>
      </c>
      <c r="D11" s="134">
        <v>1</v>
      </c>
      <c r="E11" s="135" t="s">
        <v>403</v>
      </c>
      <c r="F11" s="134" t="s">
        <v>404</v>
      </c>
      <c r="G11" s="135" t="s">
        <v>374</v>
      </c>
      <c r="H11" s="136">
        <v>45154</v>
      </c>
      <c r="I11" s="135" t="s">
        <v>405</v>
      </c>
      <c r="J11" s="135" t="s">
        <v>156</v>
      </c>
      <c r="K11" s="135" t="s">
        <v>156</v>
      </c>
      <c r="L11" s="135" t="s">
        <v>156</v>
      </c>
      <c r="M11" s="134">
        <v>2.9</v>
      </c>
      <c r="N11" s="135" t="s">
        <v>119</v>
      </c>
      <c r="O11" s="135" t="s">
        <v>244</v>
      </c>
      <c r="P11" s="134">
        <v>3.98</v>
      </c>
      <c r="Q11" s="137">
        <v>46257</v>
      </c>
      <c r="R11" s="135" t="s">
        <v>406</v>
      </c>
      <c r="S11" s="134" t="s">
        <v>103</v>
      </c>
      <c r="T11" s="134" t="s">
        <v>407</v>
      </c>
      <c r="U11" s="134"/>
      <c r="V11" s="134" t="s">
        <v>246</v>
      </c>
      <c r="W11" s="134" t="s">
        <v>301</v>
      </c>
      <c r="X11" s="135" t="s">
        <v>408</v>
      </c>
      <c r="Y11" s="135" t="s">
        <v>157</v>
      </c>
      <c r="Z11" s="134">
        <v>100</v>
      </c>
      <c r="AA11" s="135"/>
      <c r="AB11" s="135" t="s">
        <v>409</v>
      </c>
      <c r="AC11" s="135" t="s">
        <v>410</v>
      </c>
      <c r="AD11" s="135" t="s">
        <v>505</v>
      </c>
      <c r="AE11" s="135"/>
      <c r="AF11" s="135"/>
      <c r="AG11" s="135"/>
      <c r="AH11" s="135"/>
      <c r="AI11" s="135" t="s">
        <v>411</v>
      </c>
      <c r="AJ11" s="135" t="s">
        <v>307</v>
      </c>
      <c r="AK11" s="135" t="s">
        <v>103</v>
      </c>
      <c r="AL11" s="135" t="s">
        <v>156</v>
      </c>
      <c r="AM11" s="135" t="s">
        <v>310</v>
      </c>
      <c r="AN11" s="135" t="s">
        <v>1</v>
      </c>
      <c r="AO11" s="134" t="s">
        <v>316</v>
      </c>
      <c r="AP11" s="135" t="s">
        <v>155</v>
      </c>
      <c r="AQ11" s="135" t="s">
        <v>91</v>
      </c>
      <c r="AR11" s="134"/>
      <c r="AS11" s="134"/>
      <c r="AT11" s="134"/>
      <c r="AU11" s="134" t="s">
        <v>412</v>
      </c>
      <c r="AV11" s="135" t="s">
        <v>413</v>
      </c>
      <c r="AW11" s="134">
        <v>10000</v>
      </c>
      <c r="AX11" s="134">
        <v>2.9</v>
      </c>
      <c r="AY11" s="135" t="s">
        <v>103</v>
      </c>
      <c r="AZ11" s="135" t="s">
        <v>162</v>
      </c>
      <c r="BA11" s="135" t="s">
        <v>103</v>
      </c>
      <c r="BB11" s="135" t="s">
        <v>161</v>
      </c>
      <c r="BC11" s="135" t="s">
        <v>160</v>
      </c>
      <c r="BD11" s="135" t="s">
        <v>159</v>
      </c>
      <c r="BE11" s="135" t="s">
        <v>158</v>
      </c>
      <c r="BF11" s="135" t="s">
        <v>158</v>
      </c>
      <c r="BG11" s="134" t="s">
        <v>414</v>
      </c>
      <c r="BH11" s="135" t="s">
        <v>415</v>
      </c>
      <c r="BI11" s="135" t="s">
        <v>306</v>
      </c>
      <c r="BJ11" s="137">
        <v>45161</v>
      </c>
      <c r="BK11" s="134" t="s">
        <v>407</v>
      </c>
      <c r="BL11" s="137">
        <v>45161</v>
      </c>
      <c r="BM11" s="135" t="s">
        <v>103</v>
      </c>
      <c r="BN11" s="135" t="s">
        <v>403</v>
      </c>
      <c r="BO11" s="137">
        <v>45192</v>
      </c>
      <c r="BP11" s="135" t="s">
        <v>103</v>
      </c>
      <c r="BQ11" s="134">
        <v>3.98</v>
      </c>
      <c r="BR11" s="137"/>
      <c r="BS11" s="137">
        <v>45161</v>
      </c>
      <c r="BT11" s="134" t="s">
        <v>17</v>
      </c>
      <c r="BU11" s="134">
        <v>0.39400000000000002</v>
      </c>
      <c r="BV11" s="134">
        <v>2.9</v>
      </c>
      <c r="BW11" s="134">
        <v>3.097</v>
      </c>
      <c r="BX11" s="134" t="s">
        <v>375</v>
      </c>
      <c r="BY11" s="134"/>
      <c r="BZ11" s="134"/>
      <c r="CA11" s="134" t="s">
        <v>92</v>
      </c>
      <c r="CB11" s="134" t="s">
        <v>92</v>
      </c>
      <c r="CC11" s="134" t="s">
        <v>376</v>
      </c>
      <c r="CD11" s="134" t="s">
        <v>7</v>
      </c>
    </row>
    <row r="12" spans="1:82" ht="15" x14ac:dyDescent="0.25">
      <c r="B12"/>
      <c r="D12" s="134">
        <v>2</v>
      </c>
      <c r="E12" s="135" t="s">
        <v>416</v>
      </c>
      <c r="F12" s="134" t="s">
        <v>417</v>
      </c>
      <c r="G12" s="135" t="s">
        <v>368</v>
      </c>
      <c r="H12" s="136">
        <v>45154</v>
      </c>
      <c r="I12" s="135" t="s">
        <v>418</v>
      </c>
      <c r="J12" s="135" t="s">
        <v>419</v>
      </c>
      <c r="K12" s="135" t="s">
        <v>420</v>
      </c>
      <c r="L12" s="135" t="s">
        <v>156</v>
      </c>
      <c r="M12" s="134">
        <v>3</v>
      </c>
      <c r="N12" s="135" t="s">
        <v>94</v>
      </c>
      <c r="O12" s="135" t="s">
        <v>244</v>
      </c>
      <c r="P12" s="134"/>
      <c r="Q12" s="137">
        <v>46257</v>
      </c>
      <c r="R12" s="135" t="s">
        <v>125</v>
      </c>
      <c r="S12" s="134" t="s">
        <v>103</v>
      </c>
      <c r="T12" s="134" t="s">
        <v>103</v>
      </c>
      <c r="U12" s="134"/>
      <c r="V12" s="134" t="s">
        <v>246</v>
      </c>
      <c r="W12" s="134" t="s">
        <v>421</v>
      </c>
      <c r="X12" s="135" t="s">
        <v>103</v>
      </c>
      <c r="Y12" s="135" t="s">
        <v>157</v>
      </c>
      <c r="Z12" s="134"/>
      <c r="AA12" s="135"/>
      <c r="AB12" s="135" t="s">
        <v>422</v>
      </c>
      <c r="AC12" s="135" t="s">
        <v>423</v>
      </c>
      <c r="AD12" s="135"/>
      <c r="AE12" s="135"/>
      <c r="AF12" s="135"/>
      <c r="AG12" s="135"/>
      <c r="AH12" s="135"/>
      <c r="AI12" s="135" t="s">
        <v>424</v>
      </c>
      <c r="AJ12" s="135" t="s">
        <v>399</v>
      </c>
      <c r="AK12" s="135" t="s">
        <v>103</v>
      </c>
      <c r="AL12" s="135" t="s">
        <v>156</v>
      </c>
      <c r="AM12" s="135" t="s">
        <v>305</v>
      </c>
      <c r="AN12" s="135" t="s">
        <v>93</v>
      </c>
      <c r="AO12" s="134" t="s">
        <v>316</v>
      </c>
      <c r="AP12" s="135" t="s">
        <v>425</v>
      </c>
      <c r="AQ12" s="135" t="s">
        <v>188</v>
      </c>
      <c r="AR12" s="134"/>
      <c r="AS12" s="134"/>
      <c r="AT12" s="134"/>
      <c r="AU12" s="134"/>
      <c r="AV12" s="135" t="s">
        <v>426</v>
      </c>
      <c r="AW12" s="134">
        <v>1000</v>
      </c>
      <c r="AX12" s="134">
        <v>3</v>
      </c>
      <c r="AY12" s="135" t="s">
        <v>416</v>
      </c>
      <c r="AZ12" s="135" t="s">
        <v>427</v>
      </c>
      <c r="BA12" s="135" t="s">
        <v>103</v>
      </c>
      <c r="BB12" s="135" t="s">
        <v>161</v>
      </c>
      <c r="BC12" s="135" t="s">
        <v>160</v>
      </c>
      <c r="BD12" s="135" t="s">
        <v>428</v>
      </c>
      <c r="BE12" s="135" t="s">
        <v>158</v>
      </c>
      <c r="BF12" s="135" t="s">
        <v>158</v>
      </c>
      <c r="BG12" s="134" t="s">
        <v>429</v>
      </c>
      <c r="BH12" s="135" t="s">
        <v>103</v>
      </c>
      <c r="BI12" s="135" t="s">
        <v>103</v>
      </c>
      <c r="BJ12" s="137">
        <v>45161</v>
      </c>
      <c r="BK12" s="134"/>
      <c r="BL12" s="137">
        <v>45161</v>
      </c>
      <c r="BM12" s="135" t="s">
        <v>103</v>
      </c>
      <c r="BN12" s="135" t="s">
        <v>430</v>
      </c>
      <c r="BO12" s="137">
        <v>45254</v>
      </c>
      <c r="BP12" s="135" t="s">
        <v>431</v>
      </c>
      <c r="BQ12" s="134">
        <v>6.3353000000000002</v>
      </c>
      <c r="BR12" s="137"/>
      <c r="BS12" s="137">
        <v>45161</v>
      </c>
      <c r="BT12" s="134" t="s">
        <v>13</v>
      </c>
      <c r="BU12" s="134">
        <v>3</v>
      </c>
      <c r="BV12" s="134">
        <v>21.998999999999999</v>
      </c>
      <c r="BW12" s="134">
        <v>23.49</v>
      </c>
      <c r="BX12" s="134" t="s">
        <v>370</v>
      </c>
      <c r="BY12" s="134"/>
      <c r="BZ12" s="134"/>
      <c r="CA12" s="134" t="s">
        <v>369</v>
      </c>
      <c r="CB12" s="134" t="s">
        <v>373</v>
      </c>
      <c r="CC12" s="134" t="s">
        <v>372</v>
      </c>
      <c r="CD12" s="134" t="s">
        <v>7</v>
      </c>
    </row>
    <row r="13" spans="1:82" ht="15" x14ac:dyDescent="0.25">
      <c r="B13" t="s">
        <v>616</v>
      </c>
      <c r="D13" s="134">
        <v>3</v>
      </c>
      <c r="E13" s="135" t="s">
        <v>446</v>
      </c>
      <c r="F13" s="134" t="s">
        <v>447</v>
      </c>
      <c r="G13" s="135" t="s">
        <v>385</v>
      </c>
      <c r="H13" s="136">
        <v>45153</v>
      </c>
      <c r="I13" s="135" t="s">
        <v>448</v>
      </c>
      <c r="J13" s="135" t="s">
        <v>156</v>
      </c>
      <c r="K13" s="135" t="s">
        <v>156</v>
      </c>
      <c r="L13" s="135" t="s">
        <v>156</v>
      </c>
      <c r="M13" s="134">
        <v>5</v>
      </c>
      <c r="N13" s="135" t="s">
        <v>119</v>
      </c>
      <c r="O13" s="135" t="s">
        <v>244</v>
      </c>
      <c r="P13" s="134">
        <v>3.5</v>
      </c>
      <c r="Q13" s="137">
        <v>46256</v>
      </c>
      <c r="R13" s="135" t="s">
        <v>406</v>
      </c>
      <c r="S13" s="134" t="s">
        <v>103</v>
      </c>
      <c r="T13" s="134" t="s">
        <v>449</v>
      </c>
      <c r="U13" s="134"/>
      <c r="V13" s="134" t="s">
        <v>246</v>
      </c>
      <c r="W13" s="134" t="s">
        <v>300</v>
      </c>
      <c r="X13" s="135" t="s">
        <v>103</v>
      </c>
      <c r="Y13" s="135" t="s">
        <v>157</v>
      </c>
      <c r="Z13" s="134">
        <v>100</v>
      </c>
      <c r="AA13" s="135"/>
      <c r="AB13" s="135" t="s">
        <v>309</v>
      </c>
      <c r="AC13" s="135" t="s">
        <v>450</v>
      </c>
      <c r="AD13" s="135"/>
      <c r="AE13" s="135"/>
      <c r="AF13" s="135"/>
      <c r="AG13" s="135"/>
      <c r="AH13" s="135"/>
      <c r="AI13" s="135" t="s">
        <v>451</v>
      </c>
      <c r="AJ13" s="135" t="s">
        <v>439</v>
      </c>
      <c r="AK13" s="135" t="s">
        <v>38</v>
      </c>
      <c r="AL13" s="135" t="s">
        <v>156</v>
      </c>
      <c r="AM13" s="135" t="s">
        <v>318</v>
      </c>
      <c r="AN13" s="135" t="s">
        <v>93</v>
      </c>
      <c r="AO13" s="134" t="s">
        <v>316</v>
      </c>
      <c r="AP13" s="135" t="s">
        <v>452</v>
      </c>
      <c r="AQ13" s="135" t="s">
        <v>91</v>
      </c>
      <c r="AR13" s="134"/>
      <c r="AS13" s="134"/>
      <c r="AT13" s="134"/>
      <c r="AU13" s="134" t="s">
        <v>453</v>
      </c>
      <c r="AV13" s="135" t="s">
        <v>454</v>
      </c>
      <c r="AW13" s="134">
        <v>10000</v>
      </c>
      <c r="AX13" s="134">
        <v>5</v>
      </c>
      <c r="AY13" s="135" t="s">
        <v>103</v>
      </c>
      <c r="AZ13" s="135" t="s">
        <v>162</v>
      </c>
      <c r="BA13" s="135" t="s">
        <v>103</v>
      </c>
      <c r="BB13" s="135" t="s">
        <v>103</v>
      </c>
      <c r="BC13" s="135" t="s">
        <v>160</v>
      </c>
      <c r="BD13" s="135" t="s">
        <v>159</v>
      </c>
      <c r="BE13" s="135" t="s">
        <v>158</v>
      </c>
      <c r="BF13" s="135" t="s">
        <v>158</v>
      </c>
      <c r="BG13" s="134" t="s">
        <v>455</v>
      </c>
      <c r="BH13" s="135" t="s">
        <v>103</v>
      </c>
      <c r="BI13" s="135" t="s">
        <v>103</v>
      </c>
      <c r="BJ13" s="137">
        <v>45160</v>
      </c>
      <c r="BK13" s="134" t="s">
        <v>449</v>
      </c>
      <c r="BL13" s="137">
        <v>45160</v>
      </c>
      <c r="BM13" s="135" t="s">
        <v>103</v>
      </c>
      <c r="BN13" s="135" t="s">
        <v>446</v>
      </c>
      <c r="BO13" s="137">
        <v>45344</v>
      </c>
      <c r="BP13" s="135" t="s">
        <v>103</v>
      </c>
      <c r="BQ13" s="134">
        <v>3.5</v>
      </c>
      <c r="BR13" s="137"/>
      <c r="BS13" s="137">
        <v>45160</v>
      </c>
      <c r="BT13" s="134" t="s">
        <v>18</v>
      </c>
      <c r="BU13" s="134">
        <v>0.68500000000000005</v>
      </c>
      <c r="BV13" s="134">
        <v>5</v>
      </c>
      <c r="BW13" s="134">
        <v>5.35</v>
      </c>
      <c r="BX13" s="134" t="s">
        <v>375</v>
      </c>
      <c r="BY13" s="134"/>
      <c r="BZ13" s="134"/>
      <c r="CA13" s="134" t="s">
        <v>92</v>
      </c>
      <c r="CB13" s="134" t="s">
        <v>92</v>
      </c>
      <c r="CC13" s="134" t="s">
        <v>386</v>
      </c>
      <c r="CD13" s="134" t="s">
        <v>7</v>
      </c>
    </row>
    <row r="14" spans="1:82" ht="15" x14ac:dyDescent="0.25">
      <c r="B14" t="s">
        <v>613</v>
      </c>
      <c r="D14" s="134">
        <v>4</v>
      </c>
      <c r="E14" s="135" t="s">
        <v>506</v>
      </c>
      <c r="F14" s="134"/>
      <c r="G14" s="135" t="s">
        <v>502</v>
      </c>
      <c r="H14" s="136">
        <v>45152</v>
      </c>
      <c r="I14" s="135" t="s">
        <v>507</v>
      </c>
      <c r="J14" s="135" t="s">
        <v>156</v>
      </c>
      <c r="K14" s="135" t="s">
        <v>156</v>
      </c>
      <c r="L14" s="135" t="s">
        <v>156</v>
      </c>
      <c r="M14" s="134">
        <v>0.5</v>
      </c>
      <c r="N14" s="135" t="s">
        <v>94</v>
      </c>
      <c r="O14" s="135" t="s">
        <v>244</v>
      </c>
      <c r="P14" s="134">
        <v>7.5</v>
      </c>
      <c r="Q14" s="137">
        <v>46132</v>
      </c>
      <c r="R14" s="135" t="s">
        <v>125</v>
      </c>
      <c r="S14" s="134" t="s">
        <v>103</v>
      </c>
      <c r="T14" s="134" t="s">
        <v>508</v>
      </c>
      <c r="U14" s="134"/>
      <c r="V14" s="134"/>
      <c r="W14" s="134" t="s">
        <v>45</v>
      </c>
      <c r="X14" s="135" t="s">
        <v>103</v>
      </c>
      <c r="Y14" s="135" t="s">
        <v>157</v>
      </c>
      <c r="Z14" s="134"/>
      <c r="AA14" s="135"/>
      <c r="AB14" s="135" t="s">
        <v>509</v>
      </c>
      <c r="AC14" s="135" t="s">
        <v>510</v>
      </c>
      <c r="AD14" s="135"/>
      <c r="AE14" s="135"/>
      <c r="AF14" s="135"/>
      <c r="AG14" s="135"/>
      <c r="AH14" s="135"/>
      <c r="AI14" s="135" t="s">
        <v>511</v>
      </c>
      <c r="AJ14" s="135" t="s">
        <v>512</v>
      </c>
      <c r="AK14" s="135" t="s">
        <v>103</v>
      </c>
      <c r="AL14" s="135" t="s">
        <v>103</v>
      </c>
      <c r="AM14" s="135" t="s">
        <v>103</v>
      </c>
      <c r="AN14" s="135" t="s">
        <v>1</v>
      </c>
      <c r="AO14" s="134"/>
      <c r="AP14" s="135" t="s">
        <v>155</v>
      </c>
      <c r="AQ14" s="135" t="s">
        <v>91</v>
      </c>
      <c r="AR14" s="134"/>
      <c r="AS14" s="134"/>
      <c r="AT14" s="134"/>
      <c r="AU14" s="134" t="s">
        <v>513</v>
      </c>
      <c r="AV14" s="135" t="s">
        <v>514</v>
      </c>
      <c r="AW14" s="134">
        <v>1000</v>
      </c>
      <c r="AX14" s="134"/>
      <c r="AY14" s="135" t="s">
        <v>103</v>
      </c>
      <c r="AZ14" s="135" t="s">
        <v>162</v>
      </c>
      <c r="BA14" s="135" t="s">
        <v>103</v>
      </c>
      <c r="BB14" s="135" t="s">
        <v>161</v>
      </c>
      <c r="BC14" s="135" t="s">
        <v>160</v>
      </c>
      <c r="BD14" s="135" t="s">
        <v>159</v>
      </c>
      <c r="BE14" s="135" t="s">
        <v>158</v>
      </c>
      <c r="BF14" s="135" t="s">
        <v>158</v>
      </c>
      <c r="BG14" s="134" t="s">
        <v>515</v>
      </c>
      <c r="BH14" s="135" t="s">
        <v>516</v>
      </c>
      <c r="BI14" s="135" t="s">
        <v>517</v>
      </c>
      <c r="BJ14" s="137"/>
      <c r="BK14" s="134" t="s">
        <v>508</v>
      </c>
      <c r="BL14" s="137">
        <v>45156</v>
      </c>
      <c r="BM14" s="135" t="s">
        <v>506</v>
      </c>
      <c r="BN14" s="135" t="s">
        <v>518</v>
      </c>
      <c r="BO14" s="137"/>
      <c r="BP14" s="135" t="s">
        <v>103</v>
      </c>
      <c r="BQ14" s="134">
        <v>7.5</v>
      </c>
      <c r="BR14" s="137"/>
      <c r="BS14" s="137">
        <v>45156</v>
      </c>
      <c r="BT14" s="134" t="s">
        <v>10</v>
      </c>
      <c r="BU14" s="134">
        <v>0.5</v>
      </c>
      <c r="BV14" s="134">
        <v>3.6379999999999999</v>
      </c>
      <c r="BW14" s="134">
        <v>3.91</v>
      </c>
      <c r="BX14" s="134" t="s">
        <v>493</v>
      </c>
      <c r="BY14" s="134"/>
      <c r="BZ14" s="134"/>
      <c r="CA14" s="134" t="s">
        <v>92</v>
      </c>
      <c r="CB14" s="134" t="s">
        <v>92</v>
      </c>
      <c r="CC14" s="134" t="s">
        <v>503</v>
      </c>
      <c r="CD14" s="134" t="s">
        <v>7</v>
      </c>
    </row>
    <row r="15" spans="1:82" ht="11.25" x14ac:dyDescent="0.25"/>
    <row r="16" spans="1:82" ht="11.25" x14ac:dyDescent="0.25"/>
    <row r="17" ht="11.25" x14ac:dyDescent="0.25"/>
    <row r="18" ht="11.25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1.25" x14ac:dyDescent="0.25"/>
    <row r="24" ht="11.25" x14ac:dyDescent="0.25"/>
    <row r="25" ht="11.25" x14ac:dyDescent="0.25"/>
    <row r="26" ht="11.25" x14ac:dyDescent="0.25"/>
    <row r="27" ht="11.25" x14ac:dyDescent="0.25"/>
    <row r="28" ht="11.25" x14ac:dyDescent="0.25"/>
  </sheetData>
  <phoneticPr fontId="17" type="noConversion"/>
  <conditionalFormatting sqref="D6">
    <cfRule type="iconSet" priority="2">
      <iconSet showValue="0">
        <cfvo type="percent" val="0"/>
        <cfvo type="num" val="-1"/>
        <cfvo type="num" val="0"/>
      </iconSet>
    </cfRule>
  </conditionalFormatting>
  <conditionalFormatting sqref="D5">
    <cfRule type="iconSet" priority="1">
      <iconSet showValue="0">
        <cfvo type="percent" val="0"/>
        <cfvo type="num" val="-1"/>
        <cfvo type="num" val="0"/>
      </iconSet>
    </cfRule>
  </conditionalFormatting>
  <dataValidations count="1">
    <dataValidation type="list" allowBlank="1" showInputMessage="1" showErrorMessage="1" sqref="I2" xr:uid="{00000000-0002-0000-0100-000002000000}">
      <formula1>dd_updator</formula1>
    </dataValidation>
  </dataValidations>
  <pageMargins left="0.7" right="0.7" top="0.75" bottom="0.75" header="0.3" footer="0.3"/>
  <pageSetup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CV73"/>
  <sheetViews>
    <sheetView topLeftCell="H1" zoomScale="85" zoomScaleNormal="100" workbookViewId="0">
      <selection activeCell="Q8" sqref="Q8"/>
    </sheetView>
  </sheetViews>
  <sheetFormatPr defaultColWidth="8.88671875" defaultRowHeight="15.75" customHeight="1" outlineLevelCol="1" x14ac:dyDescent="0.25"/>
  <cols>
    <col min="1" max="1" width="17.5546875" style="3" bestFit="1" customWidth="1"/>
    <col min="2" max="2" width="4" style="3" customWidth="1"/>
    <col min="3" max="3" width="9.33203125" style="3" bestFit="1" customWidth="1"/>
    <col min="4" max="4" width="31.5546875" style="3" bestFit="1" customWidth="1"/>
    <col min="5" max="5" width="10" style="3" bestFit="1" customWidth="1"/>
    <col min="6" max="6" width="7.6640625" style="3" bestFit="1" customWidth="1"/>
    <col min="7" max="7" width="7.6640625" style="3" bestFit="1" customWidth="1" outlineLevel="1"/>
    <col min="8" max="8" width="5.6640625" style="3" bestFit="1" customWidth="1" outlineLevel="1"/>
    <col min="9" max="9" width="3.77734375" style="3" bestFit="1" customWidth="1" outlineLevel="1"/>
    <col min="10" max="10" width="5.77734375" style="3" bestFit="1" customWidth="1" outlineLevel="1"/>
    <col min="11" max="11" width="7.6640625" style="3" bestFit="1" customWidth="1" outlineLevel="1"/>
    <col min="12" max="12" width="9.5546875" style="3" bestFit="1" customWidth="1" outlineLevel="1"/>
    <col min="13" max="13" width="7.6640625" style="3" bestFit="1" customWidth="1" outlineLevel="1"/>
    <col min="14" max="14" width="4.33203125" style="3" bestFit="1" customWidth="1" outlineLevel="1"/>
    <col min="15" max="15" width="4.6640625" style="3" bestFit="1" customWidth="1" outlineLevel="1"/>
    <col min="16" max="16" width="10.44140625" style="3" bestFit="1" customWidth="1" outlineLevel="1"/>
    <col min="17" max="17" width="4.33203125" style="3" bestFit="1" customWidth="1" outlineLevel="1"/>
    <col min="18" max="19" width="9.5546875" style="3" bestFit="1" customWidth="1" outlineLevel="1"/>
    <col min="20" max="20" width="6" style="3" bestFit="1" customWidth="1" outlineLevel="1"/>
    <col min="21" max="21" width="7.6640625" style="3" bestFit="1" customWidth="1" outlineLevel="1"/>
    <col min="22" max="23" width="11" style="3" bestFit="1" customWidth="1" outlineLevel="1"/>
    <col min="24" max="25" width="7.6640625" style="3" bestFit="1" customWidth="1" outlineLevel="1"/>
    <col min="26" max="26" width="14" style="3" bestFit="1" customWidth="1" outlineLevel="1"/>
    <col min="27" max="27" width="6" style="3" bestFit="1" customWidth="1" outlineLevel="1"/>
    <col min="28" max="28" width="7" style="3" bestFit="1" customWidth="1" outlineLevel="1"/>
    <col min="29" max="29" width="6" style="3" bestFit="1" customWidth="1"/>
    <col min="30" max="30" width="20.109375" style="3" bestFit="1" customWidth="1"/>
    <col min="31" max="33" width="2.5546875" style="3" customWidth="1"/>
    <col min="34" max="34" width="17.88671875" style="3" bestFit="1" customWidth="1"/>
    <col min="35" max="35" width="19.33203125" style="3" bestFit="1" customWidth="1"/>
    <col min="36" max="36" width="13.21875" style="3" bestFit="1" customWidth="1"/>
    <col min="37" max="37" width="9.33203125" style="3" bestFit="1" customWidth="1"/>
    <col min="38" max="38" width="7.6640625" style="3" bestFit="1" customWidth="1"/>
    <col min="39" max="39" width="9.88671875" style="3" bestFit="1" customWidth="1"/>
    <col min="40" max="40" width="12" style="3" bestFit="1" customWidth="1"/>
    <col min="41" max="41" width="7.6640625" style="3" bestFit="1" customWidth="1"/>
    <col min="42" max="42" width="13.6640625" style="3" bestFit="1" customWidth="1"/>
    <col min="43" max="43" width="4.33203125" style="3" bestFit="1" customWidth="1"/>
    <col min="44" max="44" width="9.5546875" style="3" bestFit="1" customWidth="1"/>
    <col min="45" max="45" width="9.33203125" style="3" bestFit="1" customWidth="1"/>
    <col min="46" max="46" width="9.33203125" style="51" bestFit="1" customWidth="1"/>
    <col min="47" max="47" width="7.6640625" style="51" bestFit="1" customWidth="1"/>
    <col min="48" max="48" width="7.21875" style="51" bestFit="1" customWidth="1"/>
    <col min="49" max="49" width="7.6640625" style="51" bestFit="1" customWidth="1"/>
    <col min="50" max="50" width="9.21875" style="51" bestFit="1" customWidth="1"/>
    <col min="51" max="52" width="9.44140625" style="51" bestFit="1" customWidth="1"/>
    <col min="53" max="54" width="11.109375" style="51" bestFit="1" customWidth="1"/>
    <col min="55" max="55" width="9.44140625" style="51" bestFit="1" customWidth="1"/>
    <col min="56" max="56" width="9" style="51" bestFit="1" customWidth="1"/>
    <col min="57" max="58" width="9.44140625" style="51" bestFit="1" customWidth="1"/>
    <col min="59" max="59" width="9.21875" style="51" bestFit="1" customWidth="1"/>
    <col min="60" max="60" width="8.77734375" style="51" bestFit="1" customWidth="1"/>
    <col min="61" max="61" width="9.21875" style="51" bestFit="1" customWidth="1"/>
    <col min="62" max="62" width="42.77734375" style="51" bestFit="1" customWidth="1"/>
    <col min="63" max="63" width="9.21875" style="51" bestFit="1" customWidth="1"/>
    <col min="64" max="64" width="9.44140625" style="51" bestFit="1" customWidth="1"/>
    <col min="65" max="65" width="8.77734375" style="51" bestFit="1" customWidth="1"/>
    <col min="66" max="66" width="9.21875" style="51" bestFit="1" customWidth="1"/>
    <col min="67" max="67" width="15.21875" style="51" bestFit="1" customWidth="1"/>
    <col min="68" max="68" width="5.88671875" style="51" bestFit="1" customWidth="1"/>
    <col min="69" max="69" width="10.77734375" style="51" bestFit="1" customWidth="1"/>
    <col min="70" max="70" width="10.88671875" style="51" bestFit="1" customWidth="1"/>
    <col min="71" max="71" width="11.44140625" style="51" bestFit="1" customWidth="1"/>
    <col min="72" max="72" width="13.5546875" style="51" bestFit="1" customWidth="1"/>
    <col min="73" max="73" width="42.77734375" style="51" bestFit="1" customWidth="1"/>
    <col min="74" max="74" width="9.21875" style="51" bestFit="1" customWidth="1"/>
    <col min="75" max="75" width="10.88671875" style="51" bestFit="1" customWidth="1"/>
    <col min="76" max="76" width="11.44140625" style="51" bestFit="1" customWidth="1"/>
    <col min="77" max="77" width="13.5546875" style="51" bestFit="1" customWidth="1"/>
    <col min="78" max="78" width="51.44140625" style="51" bestFit="1" customWidth="1"/>
    <col min="79" max="79" width="9.21875" style="51" bestFit="1" customWidth="1"/>
    <col min="80" max="80" width="51.44140625" style="51" bestFit="1" customWidth="1"/>
    <col min="81" max="81" width="9.21875" style="51" bestFit="1" customWidth="1"/>
    <col min="82" max="82" width="11.6640625" style="51" bestFit="1" customWidth="1"/>
    <col min="83" max="83" width="15.5546875" style="51" bestFit="1" customWidth="1"/>
    <col min="84" max="84" width="9.44140625" style="51" bestFit="1" customWidth="1"/>
    <col min="85" max="85" width="11.6640625" style="51" bestFit="1" customWidth="1"/>
    <col min="86" max="86" width="15.5546875" style="51" bestFit="1" customWidth="1"/>
    <col min="87" max="87" width="9.44140625" style="51" bestFit="1" customWidth="1"/>
    <col min="88" max="88" width="15.44140625" style="51" bestFit="1" customWidth="1"/>
    <col min="89" max="89" width="6.109375" style="51" bestFit="1" customWidth="1"/>
    <col min="90" max="90" width="15.21875" style="51" bestFit="1" customWidth="1"/>
    <col min="91" max="91" width="5.88671875" style="51" bestFit="1" customWidth="1"/>
    <col min="92" max="92" width="13.109375" style="51" bestFit="1" customWidth="1"/>
    <col min="93" max="93" width="5.88671875" style="51" bestFit="1" customWidth="1"/>
    <col min="94" max="94" width="9.6640625" style="51" bestFit="1" customWidth="1"/>
    <col min="95" max="95" width="14" style="51" bestFit="1" customWidth="1"/>
    <col min="96" max="96" width="14.109375" style="51" bestFit="1" customWidth="1"/>
    <col min="97" max="97" width="13.33203125" style="51" bestFit="1" customWidth="1"/>
    <col min="98" max="99" width="8.109375" style="51" customWidth="1"/>
    <col min="100" max="100" width="8.88671875" style="51" bestFit="1" customWidth="1"/>
    <col min="101" max="121" width="8.109375" style="3" customWidth="1"/>
    <col min="122" max="125" width="9" style="3" customWidth="1"/>
    <col min="126" max="126" width="2.88671875" style="3" customWidth="1"/>
    <col min="127" max="127" width="8.109375" style="3" customWidth="1"/>
    <col min="128" max="128" width="9" style="3" customWidth="1"/>
    <col min="129" max="129" width="6.109375" style="3" bestFit="1" customWidth="1"/>
    <col min="130" max="130" width="7.77734375" style="3" bestFit="1" customWidth="1"/>
    <col min="131" max="16384" width="8.88671875" style="3"/>
  </cols>
  <sheetData>
    <row r="1" spans="1:100" s="1" customFormat="1" ht="48.75" customHeight="1" x14ac:dyDescent="0.25">
      <c r="A1" s="65" t="s">
        <v>183</v>
      </c>
      <c r="B1" s="6"/>
      <c r="D1" s="88">
        <f>IF(LEN($E$6)-LEN(SUBSTITUTE($E$6,"/",""))=1,"请检查1.Download是否已Paste Value",0)</f>
        <v>0</v>
      </c>
      <c r="P1" s="8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</row>
    <row r="2" spans="1:100" s="1" customFormat="1" ht="25.5" customHeight="1" x14ac:dyDescent="0.25"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J2" s="51"/>
      <c r="CK2" s="51"/>
      <c r="CL2" s="51"/>
      <c r="CM2" s="51"/>
      <c r="CN2" s="51"/>
      <c r="CO2" s="51"/>
      <c r="CP2" s="51"/>
      <c r="CQ2" s="51"/>
      <c r="CR2" s="51"/>
      <c r="CS2" s="51"/>
      <c r="CT2" s="51"/>
      <c r="CU2" s="51"/>
      <c r="CV2" s="51"/>
    </row>
    <row r="3" spans="1:100" s="1" customFormat="1" ht="25.5" customHeight="1" x14ac:dyDescent="0.25"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J3" s="51"/>
      <c r="CK3" s="51"/>
      <c r="CL3" s="51"/>
      <c r="CM3" s="51"/>
      <c r="CN3" s="51"/>
      <c r="CO3" s="51"/>
      <c r="CP3" s="51"/>
      <c r="CQ3" s="51"/>
      <c r="CR3" s="51"/>
      <c r="CS3" s="51"/>
      <c r="CT3" s="51"/>
      <c r="CU3" s="51"/>
      <c r="CV3" s="51"/>
    </row>
    <row r="4" spans="1:100" ht="61.5" customHeight="1" x14ac:dyDescent="0.25">
      <c r="O4" s="5"/>
      <c r="P4" s="8"/>
      <c r="Q4" s="8"/>
      <c r="S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00" ht="15" x14ac:dyDescent="0.25">
      <c r="A5" t="s">
        <v>182</v>
      </c>
      <c r="C5" t="s">
        <v>56</v>
      </c>
      <c r="D5" t="s">
        <v>105</v>
      </c>
      <c r="E5" t="s">
        <v>218</v>
      </c>
      <c r="F5" t="s">
        <v>169</v>
      </c>
      <c r="G5" t="s">
        <v>48</v>
      </c>
      <c r="H5" t="s">
        <v>173</v>
      </c>
      <c r="I5" t="s">
        <v>97</v>
      </c>
      <c r="J5" t="s">
        <v>61</v>
      </c>
      <c r="K5" t="s">
        <v>206</v>
      </c>
      <c r="L5" t="s">
        <v>190</v>
      </c>
      <c r="M5" t="s">
        <v>175</v>
      </c>
      <c r="N5" t="s">
        <v>99</v>
      </c>
      <c r="O5" t="s">
        <v>72</v>
      </c>
      <c r="P5" t="s">
        <v>65</v>
      </c>
      <c r="Q5" t="s">
        <v>96</v>
      </c>
      <c r="R5" t="s">
        <v>143</v>
      </c>
      <c r="S5" t="s">
        <v>192</v>
      </c>
      <c r="T5" t="s">
        <v>102</v>
      </c>
      <c r="U5" t="s">
        <v>208</v>
      </c>
      <c r="V5" t="s">
        <v>59</v>
      </c>
      <c r="W5" t="s">
        <v>58</v>
      </c>
      <c r="X5" t="s">
        <v>255</v>
      </c>
      <c r="Y5" t="s">
        <v>257</v>
      </c>
      <c r="Z5" t="s">
        <v>55</v>
      </c>
      <c r="AA5" t="s">
        <v>214</v>
      </c>
      <c r="AB5" t="s">
        <v>215</v>
      </c>
      <c r="AC5" t="s">
        <v>258</v>
      </c>
      <c r="AD5" t="s">
        <v>174</v>
      </c>
      <c r="AE5" s="63"/>
      <c r="AH5" s="83" t="s">
        <v>105</v>
      </c>
      <c r="AI5" s="83" t="s">
        <v>174</v>
      </c>
      <c r="AJ5" s="83" t="s">
        <v>55</v>
      </c>
      <c r="AK5" s="83" t="s">
        <v>56</v>
      </c>
      <c r="AL5" s="84" t="s">
        <v>251</v>
      </c>
      <c r="AM5" s="84" t="s">
        <v>213</v>
      </c>
      <c r="AN5" s="84" t="s">
        <v>229</v>
      </c>
      <c r="AO5" s="83" t="s">
        <v>212</v>
      </c>
      <c r="AP5" s="84" t="s">
        <v>223</v>
      </c>
      <c r="AQ5" s="84" t="s">
        <v>211</v>
      </c>
      <c r="AR5" s="83" t="s">
        <v>184</v>
      </c>
      <c r="AS5" s="84" t="s">
        <v>227</v>
      </c>
      <c r="AT5" s="84" t="s">
        <v>228</v>
      </c>
      <c r="AU5" s="84" t="s">
        <v>247</v>
      </c>
      <c r="AV5" s="84" t="s">
        <v>248</v>
      </c>
      <c r="AW5" s="84" t="s">
        <v>249</v>
      </c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</row>
    <row r="6" spans="1:100" ht="15" x14ac:dyDescent="0.25">
      <c r="A6" t="s">
        <v>56</v>
      </c>
      <c r="C6" s="86">
        <v>45154</v>
      </c>
      <c r="D6" t="s">
        <v>416</v>
      </c>
      <c r="E6" t="s">
        <v>373</v>
      </c>
      <c r="F6" t="s">
        <v>369</v>
      </c>
      <c r="G6" t="s">
        <v>7</v>
      </c>
      <c r="H6" t="s">
        <v>7</v>
      </c>
      <c r="I6"/>
      <c r="J6"/>
      <c r="K6"/>
      <c r="L6" t="s">
        <v>472</v>
      </c>
      <c r="M6"/>
      <c r="N6" t="s">
        <v>47</v>
      </c>
      <c r="O6" t="s">
        <v>94</v>
      </c>
      <c r="P6">
        <v>3</v>
      </c>
      <c r="Q6" t="s">
        <v>189</v>
      </c>
      <c r="R6" t="s">
        <v>472</v>
      </c>
      <c r="S6" t="s">
        <v>473</v>
      </c>
      <c r="T6" t="s">
        <v>125</v>
      </c>
      <c r="U6" t="s">
        <v>474</v>
      </c>
      <c r="V6"/>
      <c r="W6" t="s">
        <v>305</v>
      </c>
      <c r="X6" t="s">
        <v>103</v>
      </c>
      <c r="Y6" t="s">
        <v>103</v>
      </c>
      <c r="Z6" t="s">
        <v>368</v>
      </c>
      <c r="AA6">
        <v>3</v>
      </c>
      <c r="AB6">
        <v>21.998999999999999</v>
      </c>
      <c r="AC6">
        <v>23.49</v>
      </c>
      <c r="AD6" t="s">
        <v>372</v>
      </c>
      <c r="AE6" s="63"/>
      <c r="AH6" s="83" t="s">
        <v>416</v>
      </c>
      <c r="AI6" s="84" t="s">
        <v>372</v>
      </c>
      <c r="AJ6" s="83" t="s">
        <v>368</v>
      </c>
      <c r="AK6" s="125">
        <v>45154</v>
      </c>
      <c r="AL6" s="84"/>
      <c r="AM6" s="84"/>
      <c r="AN6" s="84"/>
      <c r="AO6" s="84"/>
      <c r="AP6" s="84"/>
      <c r="AQ6" s="84"/>
      <c r="AR6" s="84" t="s">
        <v>7</v>
      </c>
      <c r="AS6" s="84" t="s">
        <v>187</v>
      </c>
      <c r="AT6" s="84" t="s">
        <v>7</v>
      </c>
      <c r="AU6" s="84"/>
      <c r="AV6" s="84"/>
      <c r="AW6" s="84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</row>
    <row r="7" spans="1:100" ht="15" x14ac:dyDescent="0.25">
      <c r="A7" t="s">
        <v>105</v>
      </c>
      <c r="C7" s="86">
        <v>45154</v>
      </c>
      <c r="D7" t="s">
        <v>403</v>
      </c>
      <c r="E7" t="s">
        <v>92</v>
      </c>
      <c r="F7" t="s">
        <v>92</v>
      </c>
      <c r="G7" t="s">
        <v>475</v>
      </c>
      <c r="H7" t="s">
        <v>7</v>
      </c>
      <c r="I7"/>
      <c r="J7" t="s">
        <v>407</v>
      </c>
      <c r="K7"/>
      <c r="L7"/>
      <c r="M7"/>
      <c r="N7" t="s">
        <v>133</v>
      </c>
      <c r="O7" t="s">
        <v>119</v>
      </c>
      <c r="P7">
        <v>2.9</v>
      </c>
      <c r="Q7" t="s">
        <v>189</v>
      </c>
      <c r="R7" t="s">
        <v>407</v>
      </c>
      <c r="S7" t="s">
        <v>7</v>
      </c>
      <c r="T7" t="s">
        <v>476</v>
      </c>
      <c r="U7" t="s">
        <v>138</v>
      </c>
      <c r="V7">
        <v>3.98</v>
      </c>
      <c r="W7" t="s">
        <v>310</v>
      </c>
      <c r="X7" t="s">
        <v>103</v>
      </c>
      <c r="Y7" t="s">
        <v>103</v>
      </c>
      <c r="Z7" t="s">
        <v>374</v>
      </c>
      <c r="AA7">
        <v>0.39400000000000002</v>
      </c>
      <c r="AB7">
        <v>2.9</v>
      </c>
      <c r="AC7">
        <v>3.097</v>
      </c>
      <c r="AD7" t="s">
        <v>376</v>
      </c>
      <c r="AE7" s="6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</row>
    <row r="8" spans="1:100" ht="15" x14ac:dyDescent="0.25">
      <c r="A8" t="s">
        <v>218</v>
      </c>
      <c r="C8" s="86">
        <v>45153</v>
      </c>
      <c r="D8" t="s">
        <v>446</v>
      </c>
      <c r="E8" t="s">
        <v>92</v>
      </c>
      <c r="F8" t="s">
        <v>92</v>
      </c>
      <c r="G8" t="s">
        <v>7</v>
      </c>
      <c r="H8" t="s">
        <v>343</v>
      </c>
      <c r="I8"/>
      <c r="J8" t="s">
        <v>477</v>
      </c>
      <c r="K8"/>
      <c r="L8"/>
      <c r="M8"/>
      <c r="N8" t="s">
        <v>43</v>
      </c>
      <c r="O8" t="s">
        <v>119</v>
      </c>
      <c r="P8">
        <v>5</v>
      </c>
      <c r="Q8" t="s">
        <v>189</v>
      </c>
      <c r="R8" t="s">
        <v>477</v>
      </c>
      <c r="S8" t="s">
        <v>101</v>
      </c>
      <c r="T8" t="s">
        <v>476</v>
      </c>
      <c r="U8" t="s">
        <v>138</v>
      </c>
      <c r="V8">
        <v>3.5</v>
      </c>
      <c r="W8" t="s">
        <v>318</v>
      </c>
      <c r="X8" t="s">
        <v>103</v>
      </c>
      <c r="Y8" t="s">
        <v>103</v>
      </c>
      <c r="Z8" t="s">
        <v>385</v>
      </c>
      <c r="AA8">
        <v>0.68500000000000005</v>
      </c>
      <c r="AB8">
        <v>5</v>
      </c>
      <c r="AC8">
        <v>5.35</v>
      </c>
      <c r="AD8" t="s">
        <v>386</v>
      </c>
      <c r="AE8" s="63"/>
      <c r="AH8" s="51"/>
      <c r="AI8" s="51"/>
      <c r="AJ8" s="51"/>
      <c r="AK8" s="6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</row>
    <row r="9" spans="1:100" ht="15" x14ac:dyDescent="0.25">
      <c r="A9" t="s">
        <v>169</v>
      </c>
      <c r="C9" s="86">
        <v>45152</v>
      </c>
      <c r="D9" t="s">
        <v>506</v>
      </c>
      <c r="E9" t="s">
        <v>92</v>
      </c>
      <c r="F9" t="s">
        <v>92</v>
      </c>
      <c r="G9" t="s">
        <v>7</v>
      </c>
      <c r="H9" t="s">
        <v>7</v>
      </c>
      <c r="I9"/>
      <c r="J9" t="s">
        <v>508</v>
      </c>
      <c r="K9"/>
      <c r="L9"/>
      <c r="M9"/>
      <c r="N9" t="s">
        <v>46</v>
      </c>
      <c r="O9" t="s">
        <v>94</v>
      </c>
      <c r="P9">
        <v>0.5</v>
      </c>
      <c r="Q9" t="s">
        <v>604</v>
      </c>
      <c r="R9" t="s">
        <v>605</v>
      </c>
      <c r="S9" t="s">
        <v>7</v>
      </c>
      <c r="T9" t="s">
        <v>125</v>
      </c>
      <c r="U9" t="s">
        <v>138</v>
      </c>
      <c r="V9">
        <v>7.5</v>
      </c>
      <c r="W9" t="s">
        <v>103</v>
      </c>
      <c r="X9" t="s">
        <v>103</v>
      </c>
      <c r="Y9" t="s">
        <v>103</v>
      </c>
      <c r="Z9" t="s">
        <v>502</v>
      </c>
      <c r="AA9">
        <v>0.5</v>
      </c>
      <c r="AB9">
        <v>3.6379999999999999</v>
      </c>
      <c r="AC9">
        <v>3.91</v>
      </c>
      <c r="AD9" t="s">
        <v>503</v>
      </c>
      <c r="AE9" s="63"/>
      <c r="AH9" s="51"/>
      <c r="AN9" s="51"/>
      <c r="AS9" s="51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</row>
    <row r="10" spans="1:100" ht="15" x14ac:dyDescent="0.25">
      <c r="A10" t="s">
        <v>48</v>
      </c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O10" s="51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</row>
    <row r="11" spans="1:100" ht="15" x14ac:dyDescent="0.25">
      <c r="A11" t="s">
        <v>173</v>
      </c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t="s">
        <v>105</v>
      </c>
      <c r="AI11" t="s">
        <v>219</v>
      </c>
      <c r="AJ11" t="s">
        <v>252</v>
      </c>
      <c r="AK11" t="s">
        <v>281</v>
      </c>
      <c r="AO11" s="51"/>
      <c r="AZ11" s="63"/>
      <c r="BA11" s="3"/>
      <c r="BB11" s="3"/>
      <c r="BF11" s="3"/>
      <c r="BH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</row>
    <row r="12" spans="1:100" ht="15" x14ac:dyDescent="0.25">
      <c r="A12" t="s">
        <v>97</v>
      </c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t="s">
        <v>403</v>
      </c>
      <c r="AI12" t="s">
        <v>470</v>
      </c>
      <c r="AJ12"/>
      <c r="AK12"/>
      <c r="AM12" s="51"/>
      <c r="AO12" s="51"/>
      <c r="BB12" s="3"/>
      <c r="BF12" s="3"/>
      <c r="BH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</row>
    <row r="13" spans="1:100" ht="15" x14ac:dyDescent="0.25">
      <c r="A13" t="s">
        <v>61</v>
      </c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t="s">
        <v>446</v>
      </c>
      <c r="AI13" t="s">
        <v>471</v>
      </c>
      <c r="AJ13"/>
      <c r="AK13"/>
      <c r="AO13" s="51"/>
      <c r="BC13" s="3"/>
      <c r="BE13" s="3"/>
      <c r="BF13" s="3"/>
      <c r="BG13" s="3"/>
      <c r="BH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</row>
    <row r="14" spans="1:100" ht="15" x14ac:dyDescent="0.25">
      <c r="A14" t="s">
        <v>206</v>
      </c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N14" s="51"/>
      <c r="AO14" s="51"/>
      <c r="AP14" s="51"/>
      <c r="AQ14" s="51"/>
      <c r="AR14" s="51"/>
      <c r="AS14" s="51"/>
      <c r="BC14" s="3"/>
      <c r="BE14" s="3"/>
      <c r="BF14" s="3"/>
      <c r="BG14" s="3"/>
      <c r="BH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</row>
    <row r="15" spans="1:100" ht="15" x14ac:dyDescent="0.25">
      <c r="A15" t="s">
        <v>190</v>
      </c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N15" s="51"/>
      <c r="AO15" s="51"/>
      <c r="AP15" s="51"/>
      <c r="AQ15" s="51"/>
      <c r="AR15" s="51"/>
      <c r="AS15" s="51"/>
      <c r="BC15" s="3"/>
      <c r="BE15" s="3"/>
      <c r="BF15" s="3"/>
      <c r="BG15" s="3"/>
      <c r="BH15" s="3"/>
      <c r="BI15" s="3"/>
      <c r="BJ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</row>
    <row r="16" spans="1:100" ht="15" x14ac:dyDescent="0.25">
      <c r="A16" t="s">
        <v>175</v>
      </c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BC16" s="3"/>
      <c r="BE16" s="3"/>
      <c r="BF16" s="3"/>
      <c r="BG16" s="3"/>
      <c r="BH16" s="3"/>
      <c r="BI16" s="3"/>
      <c r="BJ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</row>
    <row r="17" spans="1:100" ht="15" x14ac:dyDescent="0.25">
      <c r="A17" t="s">
        <v>99</v>
      </c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BC17" s="3"/>
      <c r="BE17" s="3"/>
      <c r="BF17" s="3"/>
      <c r="BG17" s="3"/>
      <c r="BH17" s="3"/>
      <c r="BI17" s="3"/>
      <c r="BJ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</row>
    <row r="18" spans="1:100" ht="15" x14ac:dyDescent="0.25">
      <c r="A18" t="s">
        <v>72</v>
      </c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BC18" s="3"/>
      <c r="BE18" s="3"/>
      <c r="BF18" s="3"/>
      <c r="BG18" s="3"/>
      <c r="BH18" s="3"/>
      <c r="BI18" s="3"/>
      <c r="BJ18" s="3"/>
      <c r="BK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</row>
    <row r="19" spans="1:100" ht="15" x14ac:dyDescent="0.25">
      <c r="A19" t="s">
        <v>65</v>
      </c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BF19" s="3"/>
      <c r="BH19" s="3"/>
      <c r="BI19" s="3"/>
      <c r="BJ19" s="3"/>
      <c r="BK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</row>
    <row r="20" spans="1:100" ht="15" x14ac:dyDescent="0.25">
      <c r="A20" t="s">
        <v>96</v>
      </c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BN20" s="3"/>
      <c r="BO20" s="3"/>
      <c r="BR20" s="3"/>
      <c r="BS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</row>
    <row r="21" spans="1:100" ht="15" x14ac:dyDescent="0.25">
      <c r="A21" t="s">
        <v>143</v>
      </c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BN21" s="3"/>
      <c r="BO21" s="3"/>
      <c r="BR21" s="3"/>
      <c r="BS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</row>
    <row r="22" spans="1:100" ht="15" x14ac:dyDescent="0.25">
      <c r="A22" t="s">
        <v>192</v>
      </c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BS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</row>
    <row r="23" spans="1:100" ht="15" x14ac:dyDescent="0.25">
      <c r="A23" t="s">
        <v>102</v>
      </c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BS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</row>
    <row r="24" spans="1:100" ht="15" x14ac:dyDescent="0.25">
      <c r="A24" t="s">
        <v>208</v>
      </c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BS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</row>
    <row r="25" spans="1:100" ht="15" x14ac:dyDescent="0.25">
      <c r="A25" t="s">
        <v>59</v>
      </c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BS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</row>
    <row r="26" spans="1:100" ht="15" x14ac:dyDescent="0.25">
      <c r="A26" t="s">
        <v>58</v>
      </c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BS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</row>
    <row r="27" spans="1:100" ht="15" x14ac:dyDescent="0.25">
      <c r="A27" t="s">
        <v>255</v>
      </c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BT27" s="3"/>
      <c r="BU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</row>
    <row r="28" spans="1:100" ht="15" x14ac:dyDescent="0.25">
      <c r="A28" t="s">
        <v>257</v>
      </c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BT28" s="3"/>
      <c r="BU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</row>
    <row r="29" spans="1:100" ht="15" x14ac:dyDescent="0.25">
      <c r="A29" t="s">
        <v>55</v>
      </c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BT29" s="3"/>
      <c r="BU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</row>
    <row r="30" spans="1:100" ht="15" x14ac:dyDescent="0.25">
      <c r="A30" t="s">
        <v>214</v>
      </c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BT30" s="3"/>
      <c r="BU30" s="3"/>
      <c r="BW30" s="3"/>
      <c r="BX30" s="3"/>
      <c r="BY30" s="3"/>
      <c r="BZ30" s="3"/>
      <c r="CA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</row>
    <row r="31" spans="1:100" ht="15" x14ac:dyDescent="0.25">
      <c r="A31" t="s">
        <v>215</v>
      </c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BT31" s="3"/>
      <c r="BU31" s="3"/>
      <c r="BW31" s="3"/>
      <c r="BX31" s="3"/>
      <c r="BY31" s="3"/>
      <c r="BZ31" s="3"/>
      <c r="CA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</row>
    <row r="32" spans="1:100" ht="15" x14ac:dyDescent="0.25">
      <c r="A32" t="s">
        <v>258</v>
      </c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BT32" s="3"/>
      <c r="BU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</row>
    <row r="33" spans="1:100" ht="15" x14ac:dyDescent="0.25">
      <c r="A33" t="s">
        <v>174</v>
      </c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BT33" s="3"/>
      <c r="BU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</row>
    <row r="34" spans="1:100" ht="13.5" x14ac:dyDescent="0.25"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BT34" s="3"/>
      <c r="BU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</row>
    <row r="35" spans="1:100" ht="13.5" x14ac:dyDescent="0.25"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BT35" s="3"/>
      <c r="BU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</row>
    <row r="36" spans="1:100" ht="13.5" x14ac:dyDescent="0.25"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BT36" s="3"/>
      <c r="BU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</row>
    <row r="37" spans="1:100" ht="15.75" customHeight="1" x14ac:dyDescent="0.25"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BT37" s="3"/>
      <c r="BU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</row>
    <row r="38" spans="1:100" ht="15.75" customHeight="1" x14ac:dyDescent="0.25"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BT38" s="3"/>
      <c r="BU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</row>
    <row r="39" spans="1:100" ht="15.75" customHeight="1" x14ac:dyDescent="0.25"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BT39" s="3"/>
      <c r="BU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</row>
    <row r="40" spans="1:100" ht="15.75" customHeight="1" x14ac:dyDescent="0.25"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BT40" s="3"/>
      <c r="BU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</row>
    <row r="41" spans="1:100" ht="15.75" customHeight="1" x14ac:dyDescent="0.25"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BT41" s="3"/>
      <c r="BU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</row>
    <row r="42" spans="1:100" ht="15.75" customHeight="1" x14ac:dyDescent="0.25"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BT42" s="3"/>
      <c r="BU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</row>
    <row r="43" spans="1:100" ht="15.75" customHeight="1" x14ac:dyDescent="0.25"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BT43" s="3"/>
      <c r="BU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</row>
    <row r="44" spans="1:100" ht="15.75" customHeight="1" x14ac:dyDescent="0.25"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BT44" s="3"/>
      <c r="BU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</row>
    <row r="45" spans="1:100" ht="15.75" customHeight="1" x14ac:dyDescent="0.25"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BT45" s="3"/>
      <c r="BU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</row>
    <row r="46" spans="1:100" ht="15.75" customHeight="1" x14ac:dyDescent="0.25"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BT46" s="3"/>
      <c r="BU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</row>
    <row r="47" spans="1:100" ht="15.75" customHeight="1" x14ac:dyDescent="0.25"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BT47" s="3"/>
      <c r="BU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</row>
    <row r="48" spans="1:100" ht="15.75" customHeight="1" x14ac:dyDescent="0.25"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BT48" s="3"/>
      <c r="BU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</row>
    <row r="49" spans="12:100" ht="15.75" customHeight="1" x14ac:dyDescent="0.25"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BT49" s="3"/>
      <c r="BU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</row>
    <row r="50" spans="12:100" ht="15.75" customHeight="1" x14ac:dyDescent="0.25"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BT50" s="3"/>
      <c r="BU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</row>
    <row r="51" spans="12:100" ht="15.75" customHeight="1" x14ac:dyDescent="0.25"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BT51" s="3"/>
      <c r="BU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</row>
    <row r="52" spans="12:100" ht="15.75" customHeight="1" x14ac:dyDescent="0.25"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BT52" s="3"/>
      <c r="BU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</row>
    <row r="53" spans="12:100" ht="15.75" customHeight="1" x14ac:dyDescent="0.25"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BT53" s="3"/>
      <c r="BU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</row>
    <row r="54" spans="12:100" ht="15.75" customHeight="1" x14ac:dyDescent="0.25"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M54" s="51"/>
      <c r="AN54" s="51"/>
      <c r="AO54" s="51"/>
      <c r="AP54" s="51"/>
      <c r="AQ54" s="51"/>
      <c r="AR54" s="51"/>
      <c r="AS54" s="51"/>
      <c r="BT54" s="3"/>
      <c r="BU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</row>
    <row r="55" spans="12:100" ht="15.75" customHeight="1" x14ac:dyDescent="0.25"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M55" s="51"/>
      <c r="AN55" s="51"/>
      <c r="AO55" s="51"/>
      <c r="AP55" s="51"/>
      <c r="AQ55" s="51"/>
      <c r="AR55" s="51"/>
      <c r="AS55" s="51"/>
      <c r="BT55" s="3"/>
      <c r="BU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</row>
    <row r="56" spans="12:100" ht="15.75" customHeight="1" x14ac:dyDescent="0.25"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M56" s="51"/>
      <c r="AN56" s="51"/>
      <c r="AO56" s="51"/>
      <c r="AP56" s="51"/>
      <c r="AQ56" s="51"/>
      <c r="AR56" s="51"/>
      <c r="AS56" s="51"/>
      <c r="BT56" s="3"/>
      <c r="BU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</row>
    <row r="57" spans="12:100" ht="15.75" customHeight="1" x14ac:dyDescent="0.25"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M57" s="51"/>
      <c r="AP57" s="51"/>
      <c r="AQ57" s="51"/>
      <c r="AR57" s="51"/>
      <c r="AS57" s="51"/>
      <c r="BT57" s="3"/>
      <c r="BU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</row>
    <row r="58" spans="12:100" ht="15.75" customHeight="1" x14ac:dyDescent="0.25">
      <c r="AF58" s="51"/>
      <c r="AM58" s="51"/>
      <c r="AP58" s="51"/>
      <c r="AQ58" s="51"/>
      <c r="AR58" s="51"/>
      <c r="AS58" s="51"/>
      <c r="BT58" s="3"/>
      <c r="BU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</row>
    <row r="59" spans="12:100" ht="13.5" x14ac:dyDescent="0.25">
      <c r="AM59" s="51"/>
      <c r="AP59" s="51"/>
      <c r="AQ59" s="51"/>
      <c r="AR59" s="51"/>
      <c r="AS59" s="51"/>
      <c r="BT59" s="3"/>
      <c r="BU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</row>
    <row r="60" spans="12:100" ht="13.5" x14ac:dyDescent="0.25">
      <c r="AM60" s="51"/>
      <c r="AP60" s="51"/>
      <c r="BT60" s="3"/>
      <c r="BU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</row>
    <row r="61" spans="12:100" ht="13.5" x14ac:dyDescent="0.25">
      <c r="AM61" s="51"/>
      <c r="BT61" s="3"/>
      <c r="BU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</row>
    <row r="62" spans="12:100" ht="13.5" x14ac:dyDescent="0.25">
      <c r="BT62" s="3"/>
      <c r="BU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</row>
    <row r="63" spans="12:100" ht="13.5" x14ac:dyDescent="0.25">
      <c r="BT63" s="3"/>
      <c r="BU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</row>
    <row r="64" spans="12:100" ht="13.5" x14ac:dyDescent="0.25">
      <c r="BT64" s="3"/>
      <c r="BU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</row>
    <row r="65" spans="72:100" ht="13.5" x14ac:dyDescent="0.25">
      <c r="BT65" s="3"/>
      <c r="BU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</row>
    <row r="66" spans="72:100" ht="13.5" x14ac:dyDescent="0.25">
      <c r="BT66" s="3"/>
      <c r="BU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</row>
    <row r="67" spans="72:100" ht="13.5" x14ac:dyDescent="0.25"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</row>
    <row r="68" spans="72:100" ht="13.5" x14ac:dyDescent="0.25"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</row>
    <row r="69" spans="72:100" ht="13.5" x14ac:dyDescent="0.25"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</row>
    <row r="70" spans="72:100" ht="13.5" x14ac:dyDescent="0.25"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</row>
    <row r="71" spans="72:100" ht="13.5" x14ac:dyDescent="0.25"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</row>
    <row r="72" spans="72:100" ht="13.5" x14ac:dyDescent="0.25"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</row>
    <row r="73" spans="72:100" ht="13.5" x14ac:dyDescent="0.25"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</row>
  </sheetData>
  <phoneticPr fontId="17" type="noConversion"/>
  <conditionalFormatting sqref="D1:I1">
    <cfRule type="expression" dxfId="238" priority="1">
      <formula>$D$1&lt;&gt;0</formula>
    </cfRule>
  </conditionalFormatting>
  <dataValidations count="2">
    <dataValidation type="list" allowBlank="1" showInputMessage="1" showErrorMessage="1" sqref="AR6" xr:uid="{00000000-0002-0000-0200-000000000000}">
      <formula1>dd_BISL_role</formula1>
    </dataValidation>
    <dataValidation type="list" allowBlank="1" showInputMessage="1" showErrorMessage="1" sqref="AS6:AW6" xr:uid="{00000000-0002-0000-0200-000001000000}">
      <formula1>dd_bocomrole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 sizeWithCells="1">
                  <from>
                    <xdr:col>3</xdr:col>
                    <xdr:colOff>466725</xdr:colOff>
                    <xdr:row>2</xdr:row>
                    <xdr:rowOff>266700</xdr:rowOff>
                  </from>
                  <to>
                    <xdr:col>3</xdr:col>
                    <xdr:colOff>1857375</xdr:colOff>
                    <xdr:row>3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AZ52"/>
  <sheetViews>
    <sheetView topLeftCell="C1" zoomScaleNormal="100" workbookViewId="0">
      <selection activeCell="K1" sqref="K1"/>
    </sheetView>
  </sheetViews>
  <sheetFormatPr defaultColWidth="8.88671875" defaultRowHeight="20.100000000000001" customHeight="1" outlineLevelCol="1" x14ac:dyDescent="0.25"/>
  <cols>
    <col min="1" max="1" width="17.88671875" style="53" customWidth="1"/>
    <col min="2" max="2" width="31.5546875" style="53" bestFit="1" customWidth="1"/>
    <col min="3" max="5" width="11" style="53" bestFit="1" customWidth="1"/>
    <col min="6" max="6" width="12" style="1" customWidth="1"/>
    <col min="7" max="7" width="11" style="53" bestFit="1" customWidth="1"/>
    <col min="8" max="8" width="11" style="1" bestFit="1" customWidth="1"/>
    <col min="9" max="10" width="13" style="1" customWidth="1"/>
    <col min="11" max="11" width="11.77734375" style="53" customWidth="1"/>
    <col min="12" max="12" width="11" style="53" bestFit="1" customWidth="1"/>
    <col min="13" max="13" width="6.109375" style="1" customWidth="1"/>
    <col min="14" max="14" width="10.44140625" style="1" bestFit="1" customWidth="1"/>
    <col min="15" max="15" width="4.33203125" style="53" bestFit="1" customWidth="1"/>
    <col min="16" max="16" width="9.5546875" style="53" bestFit="1" customWidth="1"/>
    <col min="17" max="17" width="9.5546875" style="53" bestFit="1" customWidth="1" outlineLevel="1"/>
    <col min="18" max="18" width="6" style="53" bestFit="1" customWidth="1" outlineLevel="1"/>
    <col min="19" max="19" width="7.6640625" style="1" bestFit="1" customWidth="1" outlineLevel="1"/>
    <col min="20" max="20" width="11" style="1" bestFit="1" customWidth="1" outlineLevel="1"/>
    <col min="21" max="21" width="11" style="53" bestFit="1" customWidth="1" outlineLevel="1"/>
    <col min="22" max="22" width="7.6640625" style="53" bestFit="1" customWidth="1" outlineLevel="1"/>
    <col min="23" max="23" width="7.6640625" style="1" bestFit="1" customWidth="1" outlineLevel="1"/>
    <col min="24" max="24" width="14" style="53" bestFit="1" customWidth="1" outlineLevel="1"/>
    <col min="25" max="25" width="6" style="53" bestFit="1" customWidth="1" outlineLevel="1"/>
    <col min="26" max="26" width="7" style="1" bestFit="1" customWidth="1" outlineLevel="1"/>
    <col min="27" max="27" width="6" style="53" bestFit="1" customWidth="1" outlineLevel="1"/>
    <col min="28" max="29" width="20.109375" style="53" customWidth="1"/>
    <col min="30" max="30" width="11" style="53" customWidth="1"/>
    <col min="31" max="31" width="26.77734375" style="53" bestFit="1" customWidth="1"/>
    <col min="32" max="32" width="19.33203125" style="53" bestFit="1" customWidth="1"/>
    <col min="33" max="33" width="13.21875" style="53" bestFit="1" customWidth="1"/>
    <col min="34" max="34" width="9.33203125" style="53" bestFit="1" customWidth="1"/>
    <col min="35" max="35" width="7.6640625" style="53" bestFit="1" customWidth="1"/>
    <col min="36" max="36" width="9.88671875" style="53" bestFit="1" customWidth="1"/>
    <col min="37" max="37" width="12" style="53" bestFit="1" customWidth="1"/>
    <col min="38" max="38" width="7.6640625" style="53" bestFit="1" customWidth="1"/>
    <col min="39" max="39" width="14.44140625" style="53" customWidth="1"/>
    <col min="40" max="40" width="8.109375" style="53" customWidth="1"/>
    <col min="41" max="41" width="9.5546875" style="53" bestFit="1" customWidth="1"/>
    <col min="42" max="43" width="9.33203125" style="53" bestFit="1" customWidth="1"/>
    <col min="44" max="44" width="7.6640625" style="53" bestFit="1" customWidth="1"/>
    <col min="45" max="45" width="7.21875" style="53" bestFit="1" customWidth="1"/>
    <col min="46" max="46" width="7.6640625" style="53" bestFit="1" customWidth="1"/>
    <col min="47" max="47" width="12" style="53" bestFit="1" customWidth="1"/>
    <col min="48" max="48" width="7.6640625" style="53" bestFit="1" customWidth="1"/>
    <col min="49" max="49" width="31.5546875" style="53" bestFit="1" customWidth="1"/>
    <col min="50" max="50" width="13.109375" style="53" bestFit="1" customWidth="1"/>
    <col min="51" max="51" width="7.6640625" style="53" bestFit="1" customWidth="1"/>
    <col min="52" max="52" width="9.33203125" style="53" bestFit="1" customWidth="1"/>
    <col min="53" max="53" width="12.44140625" style="53" bestFit="1" customWidth="1"/>
    <col min="54" max="54" width="10.77734375" style="53" bestFit="1" customWidth="1"/>
    <col min="55" max="55" width="10.33203125" style="53" bestFit="1" customWidth="1"/>
    <col min="56" max="56" width="10.77734375" style="53" bestFit="1" customWidth="1"/>
    <col min="57" max="57" width="13.109375" style="53" bestFit="1" customWidth="1"/>
    <col min="58" max="58" width="12.6640625" style="53" bestFit="1" customWidth="1"/>
    <col min="59" max="59" width="35.77734375" style="53" customWidth="1"/>
    <col min="60" max="60" width="15.6640625" style="53" customWidth="1"/>
    <col min="61" max="61" width="15.21875" style="53" customWidth="1"/>
    <col min="62" max="62" width="15.6640625" style="53" customWidth="1"/>
    <col min="63" max="64" width="15.5546875" style="53" customWidth="1"/>
    <col min="65" max="16384" width="8.88671875" style="53"/>
  </cols>
  <sheetData>
    <row r="1" spans="1:52" s="98" customFormat="1" ht="46.5" x14ac:dyDescent="0.55000000000000004">
      <c r="A1" s="96" t="s">
        <v>237</v>
      </c>
      <c r="B1" s="97"/>
      <c r="C1" s="131"/>
      <c r="F1" s="130" t="s">
        <v>343</v>
      </c>
      <c r="G1" s="130" t="s">
        <v>97</v>
      </c>
      <c r="H1" s="130" t="s">
        <v>61</v>
      </c>
      <c r="K1" s="130" t="s">
        <v>609</v>
      </c>
      <c r="AE1" s="96" t="s">
        <v>236</v>
      </c>
      <c r="AF1" s="131" t="s">
        <v>617</v>
      </c>
      <c r="AJ1" s="130" t="s">
        <v>213</v>
      </c>
      <c r="AL1" s="130" t="s">
        <v>212</v>
      </c>
      <c r="AO1" s="130" t="s">
        <v>184</v>
      </c>
      <c r="AR1" s="130" t="s">
        <v>247</v>
      </c>
      <c r="AS1" s="130" t="s">
        <v>248</v>
      </c>
      <c r="AT1" s="130" t="s">
        <v>249</v>
      </c>
      <c r="AW1" s="96" t="s">
        <v>235</v>
      </c>
      <c r="AX1" s="132" t="s">
        <v>618</v>
      </c>
      <c r="AY1" s="130" t="s">
        <v>252</v>
      </c>
      <c r="AZ1" s="130" t="s">
        <v>281</v>
      </c>
    </row>
    <row r="2" spans="1:52" s="99" customFormat="1" ht="75" customHeight="1" x14ac:dyDescent="0.35">
      <c r="B2" s="100"/>
      <c r="C2" s="101" t="s">
        <v>345</v>
      </c>
      <c r="D2" s="101" t="s">
        <v>345</v>
      </c>
      <c r="E2" s="101" t="s">
        <v>345</v>
      </c>
      <c r="F2" s="101" t="s">
        <v>345</v>
      </c>
      <c r="G2" s="101" t="s">
        <v>345</v>
      </c>
      <c r="H2" s="101" t="s">
        <v>345</v>
      </c>
      <c r="I2" s="101" t="s">
        <v>345</v>
      </c>
      <c r="K2" s="101" t="s">
        <v>345</v>
      </c>
    </row>
    <row r="3" spans="1:52" s="103" customFormat="1" ht="33" customHeight="1" x14ac:dyDescent="0.25">
      <c r="A3" s="102" t="s">
        <v>56</v>
      </c>
      <c r="B3" s="102" t="s">
        <v>105</v>
      </c>
      <c r="C3" s="102" t="s">
        <v>218</v>
      </c>
      <c r="D3" s="102" t="s">
        <v>169</v>
      </c>
      <c r="E3" s="102" t="s">
        <v>48</v>
      </c>
      <c r="F3" s="102" t="s">
        <v>173</v>
      </c>
      <c r="G3" s="102" t="s">
        <v>97</v>
      </c>
      <c r="H3" s="102" t="s">
        <v>61</v>
      </c>
      <c r="I3" s="102" t="s">
        <v>206</v>
      </c>
      <c r="J3" s="102" t="s">
        <v>190</v>
      </c>
      <c r="K3" s="102" t="s">
        <v>175</v>
      </c>
      <c r="L3" s="102" t="s">
        <v>99</v>
      </c>
      <c r="M3" s="102" t="s">
        <v>72</v>
      </c>
      <c r="N3" s="102" t="s">
        <v>65</v>
      </c>
      <c r="O3" s="102" t="s">
        <v>96</v>
      </c>
      <c r="P3" s="102" t="s">
        <v>143</v>
      </c>
      <c r="Q3" s="102" t="s">
        <v>192</v>
      </c>
      <c r="R3" s="102" t="s">
        <v>102</v>
      </c>
      <c r="S3" s="102" t="s">
        <v>208</v>
      </c>
      <c r="T3" s="102" t="s">
        <v>59</v>
      </c>
      <c r="U3" s="102" t="s">
        <v>58</v>
      </c>
      <c r="V3" s="102" t="s">
        <v>255</v>
      </c>
      <c r="W3" s="102" t="s">
        <v>257</v>
      </c>
      <c r="X3" s="102" t="s">
        <v>55</v>
      </c>
      <c r="Y3" s="102" t="s">
        <v>214</v>
      </c>
      <c r="Z3" s="102" t="s">
        <v>215</v>
      </c>
      <c r="AA3" s="102" t="s">
        <v>258</v>
      </c>
      <c r="AB3" s="102" t="s">
        <v>174</v>
      </c>
      <c r="AE3" s="102" t="s">
        <v>105</v>
      </c>
      <c r="AF3" s="102" t="s">
        <v>174</v>
      </c>
      <c r="AG3" s="102" t="s">
        <v>55</v>
      </c>
      <c r="AH3" s="102" t="s">
        <v>56</v>
      </c>
      <c r="AI3" s="102" t="s">
        <v>251</v>
      </c>
      <c r="AJ3" s="102" t="s">
        <v>213</v>
      </c>
      <c r="AK3" s="102" t="s">
        <v>229</v>
      </c>
      <c r="AL3" s="102" t="s">
        <v>212</v>
      </c>
      <c r="AM3" s="102" t="s">
        <v>223</v>
      </c>
      <c r="AN3" s="102" t="s">
        <v>211</v>
      </c>
      <c r="AO3" s="102" t="s">
        <v>184</v>
      </c>
      <c r="AP3" s="102" t="s">
        <v>227</v>
      </c>
      <c r="AQ3" s="102" t="s">
        <v>228</v>
      </c>
      <c r="AR3" s="102" t="s">
        <v>247</v>
      </c>
      <c r="AS3" s="102" t="s">
        <v>248</v>
      </c>
      <c r="AT3" s="102" t="s">
        <v>249</v>
      </c>
      <c r="AU3" s="99"/>
      <c r="AW3" s="102" t="s">
        <v>105</v>
      </c>
      <c r="AX3" s="102" t="s">
        <v>219</v>
      </c>
      <c r="AY3" s="102" t="s">
        <v>252</v>
      </c>
      <c r="AZ3" s="102" t="s">
        <v>281</v>
      </c>
    </row>
    <row r="4" spans="1:52" ht="20.100000000000001" customHeight="1" x14ac:dyDescent="0.25">
      <c r="A4" s="104" t="s">
        <v>56</v>
      </c>
      <c r="B4" s="104" t="s">
        <v>105</v>
      </c>
      <c r="C4" s="104" t="s">
        <v>218</v>
      </c>
      <c r="D4" s="104" t="s">
        <v>169</v>
      </c>
      <c r="E4" s="104" t="s">
        <v>48</v>
      </c>
      <c r="F4" s="104" t="s">
        <v>173</v>
      </c>
      <c r="G4" s="104" t="s">
        <v>97</v>
      </c>
      <c r="H4" s="104" t="s">
        <v>61</v>
      </c>
      <c r="I4" s="104" t="s">
        <v>206</v>
      </c>
      <c r="J4" s="104" t="s">
        <v>190</v>
      </c>
      <c r="K4" s="104" t="s">
        <v>175</v>
      </c>
      <c r="L4" s="104" t="s">
        <v>99</v>
      </c>
      <c r="M4" s="104" t="s">
        <v>72</v>
      </c>
      <c r="N4" s="104" t="s">
        <v>65</v>
      </c>
      <c r="O4" s="104" t="s">
        <v>96</v>
      </c>
      <c r="P4" s="104" t="s">
        <v>143</v>
      </c>
      <c r="Q4" s="104" t="s">
        <v>192</v>
      </c>
      <c r="R4" s="104" t="s">
        <v>102</v>
      </c>
      <c r="S4" s="104" t="s">
        <v>208</v>
      </c>
      <c r="T4" s="104" t="s">
        <v>59</v>
      </c>
      <c r="U4" s="104" t="s">
        <v>58</v>
      </c>
      <c r="V4" s="104" t="s">
        <v>255</v>
      </c>
      <c r="W4" s="104" t="s">
        <v>257</v>
      </c>
      <c r="X4" s="104" t="s">
        <v>55</v>
      </c>
      <c r="Y4" s="104" t="s">
        <v>214</v>
      </c>
      <c r="Z4" s="104" t="s">
        <v>215</v>
      </c>
      <c r="AA4" s="104" t="s">
        <v>258</v>
      </c>
      <c r="AB4" s="104" t="s">
        <v>174</v>
      </c>
      <c r="AC4" s="103"/>
      <c r="AD4" s="103"/>
      <c r="AE4" s="105" t="s">
        <v>105</v>
      </c>
      <c r="AF4" s="105" t="s">
        <v>174</v>
      </c>
      <c r="AG4" s="105" t="s">
        <v>55</v>
      </c>
      <c r="AH4" s="105" t="s">
        <v>56</v>
      </c>
      <c r="AI4" s="105" t="s">
        <v>251</v>
      </c>
      <c r="AJ4" s="105" t="s">
        <v>213</v>
      </c>
      <c r="AK4" s="105" t="s">
        <v>229</v>
      </c>
      <c r="AL4" s="105" t="s">
        <v>212</v>
      </c>
      <c r="AM4" s="105" t="s">
        <v>223</v>
      </c>
      <c r="AN4" s="105" t="s">
        <v>211</v>
      </c>
      <c r="AO4" s="105" t="s">
        <v>184</v>
      </c>
      <c r="AP4" s="105" t="s">
        <v>227</v>
      </c>
      <c r="AQ4" s="105" t="s">
        <v>228</v>
      </c>
      <c r="AR4" s="105" t="s">
        <v>247</v>
      </c>
      <c r="AS4" s="105" t="s">
        <v>248</v>
      </c>
      <c r="AT4" s="105" t="s">
        <v>249</v>
      </c>
      <c r="AU4" s="99"/>
      <c r="AW4" s="105" t="s">
        <v>105</v>
      </c>
      <c r="AX4" s="105" t="s">
        <v>219</v>
      </c>
      <c r="AY4" s="105" t="s">
        <v>252</v>
      </c>
      <c r="AZ4" s="105" t="s">
        <v>281</v>
      </c>
    </row>
    <row r="5" spans="1:52" ht="20.100000000000001" customHeight="1" x14ac:dyDescent="0.25">
      <c r="A5" s="106">
        <v>45154</v>
      </c>
      <c r="B5" s="106" t="s">
        <v>416</v>
      </c>
      <c r="C5" s="107" t="s">
        <v>373</v>
      </c>
      <c r="D5" s="107" t="s">
        <v>369</v>
      </c>
      <c r="E5" s="107" t="s">
        <v>7</v>
      </c>
      <c r="F5" s="107" t="s">
        <v>7</v>
      </c>
      <c r="G5" s="107"/>
      <c r="H5" s="111"/>
      <c r="I5" s="107"/>
      <c r="J5" s="112" t="s">
        <v>472</v>
      </c>
      <c r="K5" s="109"/>
      <c r="L5" s="108" t="s">
        <v>47</v>
      </c>
      <c r="M5" s="109" t="s">
        <v>94</v>
      </c>
      <c r="N5" s="109">
        <v>3</v>
      </c>
      <c r="O5" s="109" t="s">
        <v>189</v>
      </c>
      <c r="P5" s="110" t="s">
        <v>472</v>
      </c>
      <c r="Q5" s="108" t="s">
        <v>473</v>
      </c>
      <c r="R5" s="109" t="s">
        <v>125</v>
      </c>
      <c r="S5" s="108" t="s">
        <v>474</v>
      </c>
      <c r="T5" s="109"/>
      <c r="U5" s="109" t="s">
        <v>305</v>
      </c>
      <c r="V5" s="109" t="s">
        <v>103</v>
      </c>
      <c r="W5" s="109" t="s">
        <v>103</v>
      </c>
      <c r="X5" s="109" t="s">
        <v>368</v>
      </c>
      <c r="Y5" s="109">
        <v>3</v>
      </c>
      <c r="Z5" s="109">
        <v>21.998999999999999</v>
      </c>
      <c r="AA5" s="109">
        <v>23.49</v>
      </c>
      <c r="AB5" s="109" t="s">
        <v>372</v>
      </c>
      <c r="AC5" s="103"/>
      <c r="AD5" s="103"/>
      <c r="AE5" s="55" t="s">
        <v>416</v>
      </c>
      <c r="AF5" s="55" t="s">
        <v>372</v>
      </c>
      <c r="AG5" s="113" t="s">
        <v>368</v>
      </c>
      <c r="AH5" s="106">
        <v>45154</v>
      </c>
      <c r="AL5" s="114"/>
      <c r="AM5" s="114"/>
      <c r="AN5" s="114"/>
      <c r="AO5" s="115" t="s">
        <v>7</v>
      </c>
      <c r="AP5" s="116" t="s">
        <v>187</v>
      </c>
      <c r="AQ5" s="115" t="s">
        <v>7</v>
      </c>
      <c r="AR5" s="117"/>
      <c r="AS5" s="114"/>
      <c r="AT5" s="118"/>
      <c r="AU5" s="99"/>
      <c r="AW5" s="55" t="s">
        <v>403</v>
      </c>
      <c r="AX5" s="116" t="s">
        <v>470</v>
      </c>
      <c r="AY5" s="116" t="s">
        <v>241</v>
      </c>
      <c r="AZ5" s="116" t="s">
        <v>284</v>
      </c>
    </row>
    <row r="6" spans="1:52" ht="20.100000000000001" customHeight="1" x14ac:dyDescent="0.25">
      <c r="A6" s="106">
        <v>45154</v>
      </c>
      <c r="B6" s="106" t="s">
        <v>403</v>
      </c>
      <c r="C6" s="111" t="s">
        <v>92</v>
      </c>
      <c r="D6" s="111" t="s">
        <v>92</v>
      </c>
      <c r="E6" s="107" t="s">
        <v>475</v>
      </c>
      <c r="F6" s="107" t="s">
        <v>7</v>
      </c>
      <c r="G6" s="107"/>
      <c r="H6" s="119" t="s">
        <v>407</v>
      </c>
      <c r="I6" s="107"/>
      <c r="J6" s="120"/>
      <c r="K6" s="109"/>
      <c r="L6" s="108" t="s">
        <v>133</v>
      </c>
      <c r="M6" s="109" t="s">
        <v>119</v>
      </c>
      <c r="N6" s="109">
        <v>2.9</v>
      </c>
      <c r="O6" s="109" t="s">
        <v>189</v>
      </c>
      <c r="P6" s="109" t="s">
        <v>407</v>
      </c>
      <c r="Q6" s="108" t="s">
        <v>7</v>
      </c>
      <c r="R6" s="109" t="s">
        <v>476</v>
      </c>
      <c r="S6" s="108" t="s">
        <v>138</v>
      </c>
      <c r="T6" s="109">
        <v>3.98</v>
      </c>
      <c r="U6" s="109" t="s">
        <v>310</v>
      </c>
      <c r="V6" s="109" t="s">
        <v>103</v>
      </c>
      <c r="W6" s="109" t="s">
        <v>103</v>
      </c>
      <c r="X6" s="109" t="s">
        <v>374</v>
      </c>
      <c r="Y6" s="109">
        <v>0.39400000000000002</v>
      </c>
      <c r="Z6" s="109">
        <v>2.9</v>
      </c>
      <c r="AA6" s="109">
        <v>3.097</v>
      </c>
      <c r="AB6" s="109" t="s">
        <v>376</v>
      </c>
      <c r="AC6" s="103"/>
      <c r="AD6" s="103"/>
      <c r="AE6" s="55"/>
      <c r="AF6" s="55"/>
      <c r="AG6" s="113"/>
      <c r="AH6" s="106"/>
      <c r="AL6" s="114"/>
      <c r="AM6" s="114"/>
      <c r="AN6" s="114"/>
      <c r="AO6" s="115"/>
      <c r="AP6" s="116"/>
      <c r="AQ6" s="115"/>
      <c r="AR6" s="121"/>
      <c r="AS6" s="114"/>
      <c r="AT6" s="115"/>
      <c r="AU6" s="99"/>
      <c r="AW6" s="55" t="s">
        <v>446</v>
      </c>
      <c r="AX6" s="116" t="s">
        <v>606</v>
      </c>
      <c r="AY6" s="116" t="s">
        <v>241</v>
      </c>
      <c r="AZ6" s="116" t="s">
        <v>283</v>
      </c>
    </row>
    <row r="7" spans="1:52" ht="20.100000000000001" customHeight="1" x14ac:dyDescent="0.25">
      <c r="A7" s="106">
        <v>45153</v>
      </c>
      <c r="B7" s="106" t="s">
        <v>446</v>
      </c>
      <c r="C7" s="107" t="s">
        <v>92</v>
      </c>
      <c r="D7" s="111" t="s">
        <v>92</v>
      </c>
      <c r="E7" s="107" t="s">
        <v>7</v>
      </c>
      <c r="F7" s="107" t="s">
        <v>343</v>
      </c>
      <c r="G7" s="107"/>
      <c r="H7" s="119" t="s">
        <v>477</v>
      </c>
      <c r="I7" s="107"/>
      <c r="J7" s="108"/>
      <c r="K7" s="109"/>
      <c r="L7" s="108" t="s">
        <v>43</v>
      </c>
      <c r="M7" s="109" t="s">
        <v>119</v>
      </c>
      <c r="N7" s="109">
        <v>5</v>
      </c>
      <c r="O7" s="109" t="s">
        <v>189</v>
      </c>
      <c r="P7" s="109" t="s">
        <v>477</v>
      </c>
      <c r="Q7" s="108" t="s">
        <v>101</v>
      </c>
      <c r="R7" s="109" t="s">
        <v>476</v>
      </c>
      <c r="S7" s="108" t="s">
        <v>138</v>
      </c>
      <c r="T7" s="109">
        <v>3.5</v>
      </c>
      <c r="U7" s="109" t="s">
        <v>318</v>
      </c>
      <c r="V7" s="109" t="s">
        <v>103</v>
      </c>
      <c r="W7" s="109" t="s">
        <v>103</v>
      </c>
      <c r="X7" s="109" t="s">
        <v>385</v>
      </c>
      <c r="Y7" s="109">
        <v>0.68500000000000005</v>
      </c>
      <c r="Z7" s="109">
        <v>5</v>
      </c>
      <c r="AA7" s="109">
        <v>5.35</v>
      </c>
      <c r="AB7" s="109" t="s">
        <v>386</v>
      </c>
      <c r="AC7" s="103"/>
      <c r="AD7" s="103"/>
      <c r="AE7" s="55"/>
      <c r="AF7" s="55"/>
      <c r="AG7" s="113"/>
      <c r="AH7" s="106"/>
      <c r="AL7" s="114"/>
      <c r="AM7" s="114"/>
      <c r="AN7" s="114"/>
      <c r="AO7" s="115"/>
      <c r="AP7" s="116"/>
      <c r="AQ7" s="115"/>
      <c r="AR7" s="121"/>
      <c r="AS7" s="114"/>
      <c r="AT7" s="118"/>
      <c r="AU7" s="99"/>
      <c r="AW7" s="55"/>
      <c r="AX7" s="116"/>
      <c r="AY7" s="116"/>
      <c r="AZ7" s="116"/>
    </row>
    <row r="8" spans="1:52" ht="20.100000000000001" customHeight="1" x14ac:dyDescent="0.25">
      <c r="A8" s="106">
        <v>45152</v>
      </c>
      <c r="B8" s="106" t="s">
        <v>506</v>
      </c>
      <c r="C8" s="111" t="s">
        <v>92</v>
      </c>
      <c r="D8" s="111" t="s">
        <v>92</v>
      </c>
      <c r="E8" s="107" t="s">
        <v>7</v>
      </c>
      <c r="F8" s="107" t="s">
        <v>7</v>
      </c>
      <c r="G8" s="107"/>
      <c r="H8" s="107" t="s">
        <v>508</v>
      </c>
      <c r="I8" s="107"/>
      <c r="J8" s="108"/>
      <c r="K8" s="109" t="s">
        <v>609</v>
      </c>
      <c r="L8" s="108" t="s">
        <v>46</v>
      </c>
      <c r="M8" s="109" t="s">
        <v>94</v>
      </c>
      <c r="N8" s="109">
        <v>0.5</v>
      </c>
      <c r="O8" s="109" t="s">
        <v>604</v>
      </c>
      <c r="P8" s="109" t="s">
        <v>605</v>
      </c>
      <c r="Q8" s="108" t="s">
        <v>7</v>
      </c>
      <c r="R8" s="109" t="s">
        <v>125</v>
      </c>
      <c r="S8" s="108" t="s">
        <v>138</v>
      </c>
      <c r="T8" s="109">
        <v>7.5</v>
      </c>
      <c r="U8" s="109" t="s">
        <v>103</v>
      </c>
      <c r="V8" s="109" t="s">
        <v>103</v>
      </c>
      <c r="W8" s="109" t="s">
        <v>103</v>
      </c>
      <c r="X8" s="109" t="s">
        <v>502</v>
      </c>
      <c r="Y8" s="109">
        <v>0.5</v>
      </c>
      <c r="Z8" s="109">
        <v>3.6379999999999999</v>
      </c>
      <c r="AA8" s="109">
        <v>3.91</v>
      </c>
      <c r="AB8" s="109" t="s">
        <v>503</v>
      </c>
      <c r="AC8" s="103"/>
      <c r="AD8" s="103"/>
      <c r="AE8" s="55"/>
      <c r="AF8" s="55"/>
      <c r="AG8" s="113"/>
      <c r="AH8" s="106"/>
      <c r="AL8" s="114"/>
      <c r="AM8" s="114"/>
      <c r="AN8" s="114"/>
      <c r="AO8" s="115"/>
      <c r="AP8" s="116"/>
      <c r="AQ8" s="115"/>
      <c r="AR8" s="122"/>
      <c r="AS8" s="114"/>
      <c r="AT8" s="115"/>
      <c r="AU8" s="99"/>
      <c r="AW8" s="55"/>
      <c r="AX8" s="116"/>
      <c r="AY8" s="116"/>
      <c r="AZ8" s="116"/>
    </row>
    <row r="9" spans="1:52" ht="20.100000000000001" customHeight="1" x14ac:dyDescent="0.25">
      <c r="A9" s="106"/>
      <c r="B9" s="106"/>
      <c r="C9" s="111"/>
      <c r="D9" s="111"/>
      <c r="E9" s="107"/>
      <c r="F9" s="107"/>
      <c r="G9" s="107"/>
      <c r="H9" s="107"/>
      <c r="I9" s="111"/>
      <c r="J9" s="108"/>
      <c r="K9" s="109"/>
      <c r="L9" s="108"/>
      <c r="M9" s="109"/>
      <c r="N9" s="109"/>
      <c r="O9" s="109"/>
      <c r="P9" s="123"/>
      <c r="Q9" s="108"/>
      <c r="R9" s="109"/>
      <c r="S9" s="108"/>
      <c r="T9" s="109"/>
      <c r="U9" s="109"/>
      <c r="V9" s="109"/>
      <c r="W9" s="109"/>
      <c r="X9" s="109"/>
      <c r="Y9" s="109"/>
      <c r="Z9" s="109"/>
      <c r="AA9" s="109"/>
      <c r="AB9" s="109"/>
      <c r="AC9" s="103"/>
      <c r="AD9" s="103"/>
      <c r="AE9" s="55"/>
      <c r="AF9" s="55"/>
      <c r="AG9" s="113"/>
      <c r="AH9" s="106"/>
      <c r="AL9" s="114"/>
      <c r="AM9" s="114"/>
      <c r="AN9" s="114"/>
      <c r="AO9" s="115"/>
      <c r="AP9" s="116"/>
      <c r="AQ9" s="115"/>
      <c r="AR9" s="122"/>
      <c r="AS9" s="114"/>
      <c r="AT9" s="115"/>
      <c r="AU9" s="99"/>
      <c r="AW9" s="55"/>
      <c r="AX9" s="116"/>
      <c r="AY9" s="116"/>
      <c r="AZ9" s="116"/>
    </row>
    <row r="10" spans="1:52" ht="20.100000000000001" customHeight="1" x14ac:dyDescent="0.25">
      <c r="A10" s="106"/>
      <c r="B10" s="106"/>
      <c r="C10" s="111"/>
      <c r="D10" s="111"/>
      <c r="E10" s="107"/>
      <c r="F10" s="107"/>
      <c r="G10" s="107"/>
      <c r="H10" s="124"/>
      <c r="I10" s="107"/>
      <c r="J10" s="120"/>
      <c r="K10" s="109"/>
      <c r="L10" s="108"/>
      <c r="M10" s="109"/>
      <c r="N10" s="109"/>
      <c r="O10" s="109"/>
      <c r="P10" s="109"/>
      <c r="Q10" s="108"/>
      <c r="R10" s="109"/>
      <c r="S10" s="108"/>
      <c r="T10" s="109"/>
      <c r="U10" s="109"/>
      <c r="V10" s="109"/>
      <c r="W10" s="109"/>
      <c r="X10" s="109"/>
      <c r="Y10" s="109"/>
      <c r="Z10" s="109"/>
      <c r="AA10" s="109"/>
      <c r="AB10" s="109"/>
      <c r="AC10" s="103"/>
      <c r="AD10" s="103"/>
      <c r="AE10" s="55"/>
      <c r="AF10" s="55"/>
      <c r="AG10" s="113"/>
      <c r="AH10" s="106"/>
      <c r="AL10" s="114"/>
      <c r="AM10" s="116"/>
      <c r="AN10" s="116"/>
      <c r="AO10" s="115"/>
      <c r="AP10" s="116"/>
      <c r="AQ10" s="115"/>
      <c r="AR10" s="122"/>
      <c r="AS10" s="116"/>
      <c r="AT10" s="115"/>
      <c r="AU10" s="99"/>
      <c r="AW10" s="55"/>
      <c r="AX10" s="116"/>
      <c r="AY10" s="116"/>
      <c r="AZ10" s="116"/>
    </row>
    <row r="11" spans="1:52" ht="20.100000000000001" customHeight="1" x14ac:dyDescent="0.25">
      <c r="A11" s="106"/>
      <c r="B11" s="106"/>
      <c r="C11" s="107"/>
      <c r="D11" s="107"/>
      <c r="E11" s="107"/>
      <c r="F11" s="107"/>
      <c r="G11" s="107"/>
      <c r="H11" s="107"/>
      <c r="I11" s="107"/>
      <c r="J11" s="108"/>
      <c r="K11" s="109"/>
      <c r="L11" s="108"/>
      <c r="M11" s="109"/>
      <c r="N11" s="109"/>
      <c r="O11" s="109"/>
      <c r="P11" s="109"/>
      <c r="Q11" s="108"/>
      <c r="R11" s="109"/>
      <c r="S11" s="108"/>
      <c r="T11" s="109"/>
      <c r="U11" s="109"/>
      <c r="V11" s="109"/>
      <c r="W11" s="109"/>
      <c r="X11" s="109"/>
      <c r="Y11" s="109"/>
      <c r="Z11" s="109"/>
      <c r="AA11" s="109"/>
      <c r="AB11" s="109"/>
      <c r="AC11" s="103"/>
      <c r="AD11" s="103"/>
      <c r="AE11" s="55"/>
      <c r="AF11" s="55"/>
      <c r="AG11" s="113"/>
      <c r="AH11" s="55"/>
      <c r="AL11" s="114"/>
      <c r="AM11" s="116"/>
      <c r="AN11" s="116"/>
      <c r="AO11" s="116"/>
      <c r="AP11" s="116"/>
      <c r="AQ11" s="115"/>
      <c r="AR11" s="121"/>
      <c r="AS11" s="116"/>
      <c r="AT11" s="115"/>
      <c r="AU11" s="99"/>
    </row>
    <row r="12" spans="1:52" ht="20.100000000000001" customHeight="1" x14ac:dyDescent="0.25">
      <c r="A12" s="106"/>
      <c r="B12" s="106"/>
      <c r="C12" s="107"/>
      <c r="D12" s="111"/>
      <c r="E12" s="107"/>
      <c r="F12" s="107"/>
      <c r="G12" s="107"/>
      <c r="H12" s="107"/>
      <c r="I12" s="107"/>
      <c r="J12" s="108"/>
      <c r="K12" s="109"/>
      <c r="L12" s="108"/>
      <c r="M12" s="109"/>
      <c r="N12" s="109"/>
      <c r="O12" s="109"/>
      <c r="P12" s="109"/>
      <c r="Q12" s="108"/>
      <c r="R12" s="109"/>
      <c r="S12" s="108"/>
      <c r="T12" s="109"/>
      <c r="U12" s="109"/>
      <c r="V12" s="109"/>
      <c r="W12" s="109"/>
      <c r="X12" s="109"/>
      <c r="Y12" s="109"/>
      <c r="Z12" s="109"/>
      <c r="AA12" s="109"/>
      <c r="AB12" s="109"/>
      <c r="AC12" s="103"/>
      <c r="AD12" s="103"/>
      <c r="AQ12" s="103"/>
      <c r="AR12" s="103"/>
      <c r="AT12" s="103"/>
      <c r="AU12" s="99"/>
    </row>
    <row r="13" spans="1:52" ht="20.100000000000001" customHeight="1" x14ac:dyDescent="0.25">
      <c r="A13" s="106"/>
      <c r="B13" s="106"/>
      <c r="C13" s="107"/>
      <c r="D13" s="107"/>
      <c r="E13" s="107"/>
      <c r="F13" s="107"/>
      <c r="G13" s="107"/>
      <c r="H13" s="111"/>
      <c r="I13" s="107"/>
      <c r="J13" s="108"/>
      <c r="K13" s="109"/>
      <c r="L13" s="108"/>
      <c r="M13" s="109"/>
      <c r="N13" s="109"/>
      <c r="O13" s="109"/>
      <c r="P13" s="109"/>
      <c r="Q13" s="108"/>
      <c r="R13" s="109"/>
      <c r="S13" s="108"/>
      <c r="T13" s="109"/>
      <c r="U13" s="109"/>
      <c r="V13" s="109"/>
      <c r="W13" s="109"/>
      <c r="X13" s="109"/>
      <c r="Y13" s="109"/>
      <c r="Z13" s="109"/>
      <c r="AA13" s="109"/>
      <c r="AB13" s="109"/>
      <c r="AC13" s="103"/>
      <c r="AD13" s="103"/>
      <c r="AR13" s="103"/>
      <c r="AT13" s="103"/>
      <c r="AU13" s="99"/>
    </row>
    <row r="14" spans="1:52" ht="20.100000000000001" customHeight="1" x14ac:dyDescent="0.25">
      <c r="A14" s="106"/>
      <c r="B14" s="106"/>
      <c r="C14" s="107"/>
      <c r="D14" s="107"/>
      <c r="E14" s="107"/>
      <c r="F14" s="107"/>
      <c r="G14" s="107"/>
      <c r="H14" s="107"/>
      <c r="I14" s="107"/>
      <c r="J14" s="108"/>
      <c r="K14" s="109"/>
      <c r="L14" s="108"/>
      <c r="M14" s="109"/>
      <c r="N14" s="109"/>
      <c r="O14" s="109"/>
      <c r="P14" s="109"/>
      <c r="Q14" s="108"/>
      <c r="R14" s="109"/>
      <c r="S14" s="108"/>
      <c r="T14" s="109"/>
      <c r="U14" s="109"/>
      <c r="V14" s="109"/>
      <c r="W14" s="109"/>
      <c r="X14" s="109"/>
      <c r="Y14" s="109"/>
      <c r="Z14" s="109"/>
      <c r="AA14" s="109"/>
      <c r="AB14" s="109"/>
      <c r="AC14" s="103"/>
      <c r="AD14" s="103"/>
      <c r="AR14" s="103"/>
      <c r="AT14" s="103"/>
    </row>
    <row r="15" spans="1:52" ht="20.100000000000001" customHeight="1" x14ac:dyDescent="0.25">
      <c r="A15" s="106"/>
      <c r="B15" s="106"/>
      <c r="C15" s="107"/>
      <c r="D15" s="107"/>
      <c r="E15" s="107"/>
      <c r="F15" s="107"/>
      <c r="G15" s="107"/>
      <c r="H15" s="119"/>
      <c r="I15" s="107"/>
      <c r="J15" s="108"/>
      <c r="K15" s="109"/>
      <c r="L15" s="108"/>
      <c r="M15" s="109"/>
      <c r="N15" s="109"/>
      <c r="O15" s="109"/>
      <c r="P15" s="109"/>
      <c r="Q15" s="108"/>
      <c r="R15" s="109"/>
      <c r="S15" s="108"/>
      <c r="T15" s="109"/>
      <c r="U15" s="109"/>
      <c r="V15" s="109"/>
      <c r="W15" s="109"/>
      <c r="X15" s="109"/>
      <c r="Y15" s="109"/>
      <c r="Z15" s="109"/>
      <c r="AA15" s="109"/>
      <c r="AB15" s="109"/>
      <c r="AC15" s="103"/>
      <c r="AD15" s="103"/>
    </row>
    <row r="16" spans="1:52" ht="20.100000000000001" customHeight="1" x14ac:dyDescent="0.25">
      <c r="A16" s="106"/>
      <c r="B16" s="106"/>
      <c r="C16" s="107"/>
      <c r="D16" s="107"/>
      <c r="E16" s="107"/>
      <c r="F16" s="107"/>
      <c r="G16" s="107"/>
      <c r="H16" s="107"/>
      <c r="I16" s="107"/>
      <c r="J16" s="108"/>
      <c r="K16" s="109"/>
      <c r="L16" s="108"/>
      <c r="M16" s="109"/>
      <c r="N16" s="109"/>
      <c r="O16" s="109"/>
      <c r="P16" s="109"/>
      <c r="Q16" s="108"/>
      <c r="R16" s="109"/>
      <c r="S16" s="108"/>
      <c r="T16" s="109"/>
      <c r="U16" s="109"/>
      <c r="V16" s="109"/>
      <c r="W16" s="109"/>
      <c r="X16" s="109"/>
      <c r="Y16" s="109"/>
      <c r="Z16" s="109"/>
      <c r="AA16" s="109"/>
      <c r="AB16" s="109"/>
      <c r="AC16" s="103"/>
      <c r="AD16" s="103"/>
    </row>
    <row r="17" spans="1:42" ht="20.100000000000001" customHeight="1" x14ac:dyDescent="0.25">
      <c r="A17" s="106"/>
      <c r="B17" s="106"/>
      <c r="C17" s="107"/>
      <c r="D17" s="107"/>
      <c r="E17" s="107"/>
      <c r="F17" s="107"/>
      <c r="G17" s="107"/>
      <c r="H17" s="107"/>
      <c r="I17" s="107"/>
      <c r="J17" s="108"/>
      <c r="K17" s="109"/>
      <c r="L17" s="108"/>
      <c r="M17" s="109"/>
      <c r="N17" s="109"/>
      <c r="O17" s="109"/>
      <c r="P17" s="109"/>
      <c r="Q17" s="108"/>
      <c r="R17" s="109"/>
      <c r="S17" s="108"/>
      <c r="T17" s="109"/>
      <c r="U17" s="109"/>
      <c r="V17" s="109"/>
      <c r="W17" s="109"/>
      <c r="X17" s="109"/>
      <c r="Y17" s="109"/>
      <c r="Z17" s="109"/>
      <c r="AA17" s="109"/>
      <c r="AB17" s="109"/>
      <c r="AC17" s="103"/>
      <c r="AD17" s="103"/>
    </row>
    <row r="18" spans="1:42" ht="20.100000000000001" customHeight="1" x14ac:dyDescent="0.25">
      <c r="A18" s="106"/>
      <c r="B18" s="106"/>
      <c r="C18" s="107"/>
      <c r="D18" s="107"/>
      <c r="E18" s="107"/>
      <c r="F18" s="107"/>
      <c r="G18" s="107"/>
      <c r="H18" s="107"/>
      <c r="I18" s="107"/>
      <c r="J18" s="108"/>
      <c r="K18" s="109"/>
      <c r="L18" s="108"/>
      <c r="M18" s="109"/>
      <c r="N18" s="109"/>
      <c r="O18" s="109"/>
      <c r="P18" s="109"/>
      <c r="Q18" s="108"/>
      <c r="R18" s="109"/>
      <c r="S18" s="108"/>
      <c r="T18" s="109"/>
      <c r="U18" s="109"/>
      <c r="V18" s="109"/>
      <c r="W18" s="109"/>
      <c r="X18" s="109"/>
      <c r="Y18" s="109"/>
      <c r="Z18" s="109"/>
      <c r="AA18" s="109"/>
      <c r="AB18" s="109"/>
      <c r="AC18" s="103"/>
      <c r="AD18" s="103"/>
    </row>
    <row r="19" spans="1:42" ht="20.100000000000001" customHeight="1" x14ac:dyDescent="0.25">
      <c r="A19" s="106"/>
      <c r="B19" s="106"/>
      <c r="C19" s="107"/>
      <c r="D19" s="107"/>
      <c r="E19" s="107"/>
      <c r="F19" s="107"/>
      <c r="G19" s="107"/>
      <c r="H19" s="107"/>
      <c r="I19" s="107"/>
      <c r="J19" s="108"/>
      <c r="K19" s="109"/>
      <c r="L19" s="108"/>
      <c r="M19" s="109"/>
      <c r="N19" s="109"/>
      <c r="O19" s="109"/>
      <c r="P19" s="109"/>
      <c r="Q19" s="108"/>
      <c r="R19" s="109"/>
      <c r="S19" s="108"/>
      <c r="T19" s="109"/>
      <c r="U19" s="109"/>
      <c r="V19" s="109"/>
      <c r="W19" s="109"/>
      <c r="X19" s="109"/>
      <c r="Y19" s="109"/>
      <c r="Z19" s="109"/>
      <c r="AA19" s="109"/>
      <c r="AB19" s="109"/>
      <c r="AC19" s="103"/>
      <c r="AD19" s="103"/>
    </row>
    <row r="20" spans="1:42" ht="20.100000000000001" customHeight="1" x14ac:dyDescent="0.25">
      <c r="A20" s="106"/>
      <c r="B20" s="106"/>
      <c r="C20" s="107"/>
      <c r="D20" s="107"/>
      <c r="E20" s="107"/>
      <c r="F20" s="107"/>
      <c r="G20" s="107"/>
      <c r="H20" s="107"/>
      <c r="I20" s="107"/>
      <c r="J20" s="108"/>
      <c r="K20" s="109"/>
      <c r="L20" s="108"/>
      <c r="M20" s="109"/>
      <c r="N20" s="109"/>
      <c r="O20" s="109"/>
      <c r="P20" s="109"/>
      <c r="Q20" s="108"/>
      <c r="R20" s="109"/>
      <c r="S20" s="108"/>
      <c r="T20" s="109"/>
      <c r="U20" s="109"/>
      <c r="V20" s="109"/>
      <c r="W20" s="109"/>
      <c r="X20" s="109"/>
      <c r="Y20" s="109"/>
      <c r="Z20" s="109"/>
      <c r="AA20" s="109"/>
      <c r="AB20" s="109"/>
      <c r="AC20" s="103"/>
      <c r="AD20" s="103"/>
    </row>
    <row r="21" spans="1:42" ht="20.100000000000001" customHeight="1" x14ac:dyDescent="0.25">
      <c r="A21" s="106"/>
      <c r="B21" s="106"/>
      <c r="C21" s="107"/>
      <c r="D21" s="107"/>
      <c r="E21" s="107"/>
      <c r="F21" s="107"/>
      <c r="G21" s="107"/>
      <c r="H21" s="107"/>
      <c r="I21" s="107"/>
      <c r="J21" s="108"/>
      <c r="K21" s="109"/>
      <c r="L21" s="108"/>
      <c r="M21" s="109"/>
      <c r="N21" s="109"/>
      <c r="O21" s="109"/>
      <c r="P21" s="109"/>
      <c r="Q21" s="108"/>
      <c r="R21" s="109"/>
      <c r="S21" s="108"/>
      <c r="T21" s="109"/>
      <c r="U21" s="109"/>
      <c r="V21" s="109"/>
      <c r="W21" s="109"/>
      <c r="X21" s="109"/>
      <c r="Y21" s="109"/>
      <c r="Z21" s="109"/>
      <c r="AA21" s="109"/>
      <c r="AB21" s="109"/>
      <c r="AC21" s="103"/>
      <c r="AD21" s="103"/>
    </row>
    <row r="22" spans="1:42" ht="20.100000000000001" customHeight="1" x14ac:dyDescent="0.25">
      <c r="A22" s="106"/>
      <c r="B22" s="106"/>
      <c r="C22" s="107"/>
      <c r="D22" s="107"/>
      <c r="E22" s="107"/>
      <c r="F22" s="107"/>
      <c r="G22" s="107"/>
      <c r="H22" s="107"/>
      <c r="I22" s="107"/>
      <c r="J22" s="108"/>
      <c r="K22" s="109"/>
      <c r="L22" s="108"/>
      <c r="M22" s="109"/>
      <c r="N22" s="109"/>
      <c r="O22" s="109"/>
      <c r="P22" s="109"/>
      <c r="Q22" s="108"/>
      <c r="R22" s="109"/>
      <c r="S22" s="108"/>
      <c r="T22" s="109"/>
      <c r="U22" s="109"/>
      <c r="V22" s="109"/>
      <c r="W22" s="109"/>
      <c r="X22" s="109"/>
      <c r="Y22" s="109"/>
      <c r="Z22" s="109"/>
      <c r="AA22" s="109"/>
      <c r="AB22" s="109"/>
      <c r="AC22" s="103"/>
      <c r="AD22" s="103"/>
    </row>
    <row r="23" spans="1:42" ht="20.100000000000001" customHeight="1" x14ac:dyDescent="0.25">
      <c r="A23" s="106"/>
      <c r="B23" s="106"/>
      <c r="C23" s="107"/>
      <c r="D23" s="107"/>
      <c r="E23" s="107"/>
      <c r="F23" s="107"/>
      <c r="G23" s="107"/>
      <c r="H23" s="107"/>
      <c r="I23" s="107"/>
      <c r="J23" s="108"/>
      <c r="K23" s="109"/>
      <c r="L23" s="108"/>
      <c r="M23" s="109"/>
      <c r="N23" s="109"/>
      <c r="O23" s="109"/>
      <c r="P23" s="109"/>
      <c r="Q23" s="108"/>
      <c r="R23" s="109"/>
      <c r="S23" s="108"/>
      <c r="T23" s="109"/>
      <c r="U23" s="109"/>
      <c r="V23" s="109"/>
      <c r="W23" s="109"/>
      <c r="X23" s="109"/>
      <c r="Y23" s="109"/>
      <c r="Z23" s="109"/>
      <c r="AA23" s="109"/>
      <c r="AB23" s="109"/>
      <c r="AC23" s="103"/>
      <c r="AD23" s="103"/>
    </row>
    <row r="24" spans="1:42" ht="20.100000000000001" customHeight="1" x14ac:dyDescent="0.25">
      <c r="A24" s="106"/>
      <c r="B24" s="106"/>
      <c r="C24" s="107"/>
      <c r="D24" s="107"/>
      <c r="E24" s="107"/>
      <c r="F24" s="107"/>
      <c r="G24" s="107"/>
      <c r="H24" s="107"/>
      <c r="I24" s="107"/>
      <c r="J24" s="108"/>
      <c r="K24" s="109"/>
      <c r="L24" s="108"/>
      <c r="M24" s="109"/>
      <c r="N24" s="109"/>
      <c r="O24" s="109"/>
      <c r="P24" s="109"/>
      <c r="Q24" s="108"/>
      <c r="R24" s="109"/>
      <c r="S24" s="108"/>
      <c r="T24" s="109"/>
      <c r="U24" s="109"/>
      <c r="V24" s="109"/>
      <c r="W24" s="109"/>
      <c r="X24" s="109"/>
      <c r="Y24" s="109"/>
      <c r="Z24" s="109"/>
      <c r="AA24" s="109"/>
      <c r="AB24" s="109"/>
      <c r="AC24" s="103"/>
      <c r="AD24" s="103"/>
    </row>
    <row r="25" spans="1:42" ht="20.100000000000001" customHeight="1" x14ac:dyDescent="0.25">
      <c r="A25" s="106"/>
      <c r="B25" s="106"/>
      <c r="C25" s="107"/>
      <c r="D25" s="107"/>
      <c r="E25" s="107"/>
      <c r="F25" s="107"/>
      <c r="G25" s="107"/>
      <c r="H25" s="107"/>
      <c r="I25" s="107"/>
      <c r="J25" s="108"/>
      <c r="K25" s="109"/>
      <c r="L25" s="108"/>
      <c r="M25" s="109"/>
      <c r="N25" s="109"/>
      <c r="O25" s="109"/>
      <c r="P25" s="109"/>
      <c r="Q25" s="108"/>
      <c r="R25" s="109"/>
      <c r="S25" s="108"/>
      <c r="T25" s="109"/>
      <c r="U25" s="109"/>
      <c r="V25" s="109"/>
      <c r="W25" s="109"/>
      <c r="X25" s="109"/>
      <c r="Y25" s="109"/>
      <c r="Z25" s="109"/>
      <c r="AA25" s="109"/>
      <c r="AB25" s="109"/>
      <c r="AC25" s="103"/>
      <c r="AD25" s="103"/>
    </row>
    <row r="26" spans="1:42" ht="20.100000000000001" customHeight="1" x14ac:dyDescent="0.25">
      <c r="A26" s="106"/>
      <c r="B26" s="106"/>
      <c r="C26" s="107"/>
      <c r="D26" s="107"/>
      <c r="E26" s="107"/>
      <c r="F26" s="107"/>
      <c r="G26" s="107"/>
      <c r="H26" s="107"/>
      <c r="I26" s="107"/>
      <c r="J26" s="108"/>
      <c r="K26" s="109"/>
      <c r="L26" s="108"/>
      <c r="M26" s="109"/>
      <c r="N26" s="109"/>
      <c r="O26" s="109"/>
      <c r="P26" s="109"/>
      <c r="Q26" s="108"/>
      <c r="R26" s="109"/>
      <c r="S26" s="108"/>
      <c r="T26" s="109"/>
      <c r="U26" s="109"/>
      <c r="V26" s="109"/>
      <c r="W26" s="109"/>
      <c r="X26" s="109"/>
      <c r="Y26" s="109"/>
      <c r="Z26" s="109"/>
      <c r="AA26" s="109"/>
      <c r="AB26" s="109"/>
      <c r="AC26" s="103"/>
      <c r="AD26" s="103"/>
    </row>
    <row r="27" spans="1:42" ht="20.100000000000001" customHeight="1" x14ac:dyDescent="0.25">
      <c r="A27" s="103"/>
      <c r="B27" s="103"/>
      <c r="C27" s="103"/>
      <c r="D27" s="103"/>
      <c r="E27" s="103"/>
      <c r="G27" s="103"/>
      <c r="K27" s="103"/>
      <c r="L27" s="103"/>
      <c r="O27" s="103"/>
      <c r="P27" s="103"/>
      <c r="Q27" s="103"/>
      <c r="R27" s="103"/>
      <c r="U27" s="103"/>
      <c r="V27" s="103"/>
      <c r="AA27" s="103"/>
      <c r="AB27" s="103"/>
      <c r="AC27" s="103"/>
      <c r="AD27" s="103"/>
      <c r="AE27" s="103"/>
      <c r="AF27" s="103"/>
      <c r="AG27" s="103"/>
      <c r="AH27" s="103"/>
      <c r="AI27" s="103"/>
      <c r="AJ27" s="103"/>
      <c r="AK27" s="103"/>
      <c r="AL27" s="103"/>
      <c r="AM27" s="103"/>
      <c r="AN27" s="103"/>
      <c r="AO27" s="103"/>
      <c r="AP27" s="103"/>
    </row>
    <row r="28" spans="1:42" ht="20.100000000000001" customHeight="1" x14ac:dyDescent="0.25">
      <c r="A28" s="103"/>
      <c r="B28" s="103"/>
      <c r="C28" s="103"/>
      <c r="D28" s="103"/>
      <c r="E28" s="103"/>
      <c r="G28" s="103"/>
      <c r="K28" s="103"/>
      <c r="L28" s="103"/>
      <c r="O28" s="103"/>
      <c r="P28" s="103"/>
      <c r="Q28" s="103"/>
      <c r="R28" s="103"/>
      <c r="U28" s="103"/>
      <c r="V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</row>
    <row r="29" spans="1:42" ht="20.100000000000001" customHeight="1" x14ac:dyDescent="0.25">
      <c r="A29" s="103"/>
      <c r="B29" s="103"/>
      <c r="C29" s="103"/>
      <c r="D29" s="103"/>
      <c r="E29" s="103"/>
      <c r="G29" s="103"/>
      <c r="K29" s="103"/>
      <c r="L29" s="103"/>
      <c r="O29" s="103"/>
      <c r="P29" s="103"/>
      <c r="Q29" s="103"/>
      <c r="R29" s="103"/>
      <c r="U29" s="103"/>
      <c r="V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</row>
    <row r="30" spans="1:42" ht="20.100000000000001" customHeight="1" x14ac:dyDescent="0.25">
      <c r="A30" s="103"/>
      <c r="B30" s="103"/>
      <c r="C30" s="103"/>
      <c r="D30" s="103"/>
      <c r="E30" s="103"/>
      <c r="G30" s="103"/>
      <c r="K30" s="103"/>
      <c r="L30" s="103"/>
      <c r="O30" s="103"/>
      <c r="P30" s="103"/>
      <c r="Q30" s="103"/>
      <c r="R30" s="103"/>
      <c r="U30" s="103"/>
      <c r="V30" s="103"/>
      <c r="AA30" s="103"/>
      <c r="AB30" s="103"/>
      <c r="AC30" s="103"/>
      <c r="AD30" s="103"/>
      <c r="AE30" s="103"/>
      <c r="AF30" s="103"/>
      <c r="AG30" s="103"/>
      <c r="AH30" s="103"/>
      <c r="AI30" s="103"/>
      <c r="AJ30" s="103"/>
      <c r="AK30" s="103"/>
      <c r="AL30" s="103"/>
      <c r="AM30" s="103"/>
      <c r="AN30" s="103"/>
      <c r="AO30" s="103"/>
      <c r="AP30" s="103"/>
    </row>
    <row r="31" spans="1:42" ht="20.100000000000001" customHeight="1" x14ac:dyDescent="0.25">
      <c r="A31" s="103"/>
      <c r="B31" s="103"/>
      <c r="C31" s="103"/>
      <c r="D31" s="103"/>
      <c r="E31" s="103"/>
      <c r="G31" s="103"/>
      <c r="K31" s="103"/>
      <c r="L31" s="103"/>
      <c r="O31" s="103"/>
      <c r="P31" s="103"/>
      <c r="Q31" s="103"/>
      <c r="R31" s="103"/>
      <c r="U31" s="103"/>
      <c r="V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  <c r="AK31" s="103"/>
      <c r="AL31" s="103"/>
      <c r="AM31" s="103"/>
      <c r="AN31" s="103"/>
      <c r="AO31" s="103"/>
      <c r="AP31" s="103"/>
    </row>
    <row r="32" spans="1:42" ht="20.100000000000001" customHeight="1" x14ac:dyDescent="0.25">
      <c r="A32" s="103"/>
      <c r="B32" s="103"/>
      <c r="C32" s="103"/>
      <c r="D32" s="103"/>
      <c r="E32" s="103"/>
      <c r="G32" s="103"/>
      <c r="K32" s="103"/>
      <c r="L32" s="103"/>
      <c r="O32" s="103"/>
      <c r="P32" s="103"/>
      <c r="Q32" s="103"/>
      <c r="R32" s="103"/>
      <c r="U32" s="103"/>
      <c r="V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</row>
    <row r="33" spans="1:42" ht="20.100000000000001" customHeight="1" x14ac:dyDescent="0.25">
      <c r="A33" s="103"/>
      <c r="B33" s="103"/>
      <c r="C33" s="103"/>
      <c r="D33" s="103"/>
      <c r="E33" s="103"/>
      <c r="G33" s="103"/>
      <c r="K33" s="103"/>
      <c r="L33" s="103"/>
      <c r="O33" s="103"/>
      <c r="P33" s="103"/>
      <c r="Q33" s="103"/>
      <c r="R33" s="103"/>
      <c r="U33" s="103"/>
      <c r="V33" s="103"/>
      <c r="AA33" s="103"/>
      <c r="AB33" s="103"/>
      <c r="AC33" s="103"/>
      <c r="AD33" s="103"/>
      <c r="AE33" s="103"/>
      <c r="AF33" s="103"/>
      <c r="AG33" s="103"/>
      <c r="AH33" s="103"/>
      <c r="AI33" s="103"/>
      <c r="AJ33" s="103"/>
      <c r="AK33" s="103"/>
      <c r="AL33" s="103"/>
      <c r="AM33" s="103"/>
      <c r="AN33" s="103"/>
      <c r="AO33" s="103"/>
      <c r="AP33" s="103"/>
    </row>
    <row r="34" spans="1:42" ht="20.100000000000001" customHeight="1" x14ac:dyDescent="0.25">
      <c r="A34" s="103"/>
      <c r="B34" s="103"/>
      <c r="C34" s="103"/>
      <c r="D34" s="103"/>
      <c r="E34" s="103"/>
      <c r="G34" s="103"/>
      <c r="K34" s="103"/>
      <c r="L34" s="103"/>
      <c r="O34" s="103"/>
      <c r="P34" s="103"/>
      <c r="Q34" s="103"/>
      <c r="R34" s="103"/>
      <c r="U34" s="103"/>
      <c r="V34" s="103"/>
      <c r="AA34" s="103"/>
      <c r="AB34" s="103"/>
      <c r="AC34" s="103"/>
      <c r="AD34" s="103"/>
      <c r="AE34" s="103"/>
      <c r="AF34" s="103"/>
      <c r="AG34" s="103"/>
      <c r="AH34" s="103"/>
      <c r="AI34" s="103"/>
      <c r="AJ34" s="103"/>
      <c r="AK34" s="103"/>
      <c r="AL34" s="103"/>
      <c r="AM34" s="103"/>
      <c r="AN34" s="103"/>
      <c r="AO34" s="103"/>
      <c r="AP34" s="103"/>
    </row>
    <row r="35" spans="1:42" ht="20.100000000000001" customHeight="1" x14ac:dyDescent="0.25">
      <c r="A35" s="108"/>
      <c r="C35" s="68"/>
    </row>
    <row r="36" spans="1:42" ht="20.100000000000001" customHeight="1" x14ac:dyDescent="0.25">
      <c r="A36" s="108"/>
      <c r="C36" s="68"/>
    </row>
    <row r="37" spans="1:42" ht="20.100000000000001" customHeight="1" x14ac:dyDescent="0.25">
      <c r="C37" s="68"/>
    </row>
    <row r="38" spans="1:42" ht="20.100000000000001" customHeight="1" x14ac:dyDescent="0.25">
      <c r="C38" s="68"/>
    </row>
    <row r="39" spans="1:42" ht="20.100000000000001" customHeight="1" x14ac:dyDescent="0.25">
      <c r="C39" s="68"/>
    </row>
    <row r="40" spans="1:42" ht="20.100000000000001" customHeight="1" x14ac:dyDescent="0.25">
      <c r="C40" s="68"/>
    </row>
    <row r="41" spans="1:42" ht="20.100000000000001" customHeight="1" x14ac:dyDescent="0.25">
      <c r="C41" s="68"/>
    </row>
    <row r="42" spans="1:42" ht="20.100000000000001" customHeight="1" x14ac:dyDescent="0.25">
      <c r="C42" s="68"/>
    </row>
    <row r="43" spans="1:42" ht="20.100000000000001" customHeight="1" x14ac:dyDescent="0.25">
      <c r="C43" s="68"/>
    </row>
    <row r="44" spans="1:42" ht="20.100000000000001" customHeight="1" x14ac:dyDescent="0.25">
      <c r="C44" s="68"/>
    </row>
    <row r="45" spans="1:42" ht="20.100000000000001" customHeight="1" x14ac:dyDescent="0.25">
      <c r="C45" s="68"/>
    </row>
    <row r="46" spans="1:42" ht="20.100000000000001" customHeight="1" x14ac:dyDescent="0.25">
      <c r="C46" s="68"/>
    </row>
    <row r="47" spans="1:42" ht="20.100000000000001" customHeight="1" x14ac:dyDescent="0.25">
      <c r="C47" s="68"/>
    </row>
    <row r="48" spans="1:42" ht="20.100000000000001" customHeight="1" x14ac:dyDescent="0.25">
      <c r="C48" s="68"/>
    </row>
    <row r="49" spans="3:3" ht="20.100000000000001" customHeight="1" x14ac:dyDescent="0.25">
      <c r="C49" s="68"/>
    </row>
    <row r="50" spans="3:3" ht="20.100000000000001" customHeight="1" x14ac:dyDescent="0.25">
      <c r="C50" s="68"/>
    </row>
    <row r="51" spans="3:3" ht="20.100000000000001" customHeight="1" x14ac:dyDescent="0.25">
      <c r="C51" s="68"/>
    </row>
    <row r="52" spans="3:3" ht="20.100000000000001" customHeight="1" x14ac:dyDescent="0.25">
      <c r="C52" s="68"/>
    </row>
  </sheetData>
  <sheetProtection sheet="1" objects="1" scenarios="1"/>
  <phoneticPr fontId="17" type="noConversion"/>
  <dataValidations count="16">
    <dataValidation type="list" allowBlank="1" showInputMessage="1" showErrorMessage="1" sqref="AK11" xr:uid="{00000000-0002-0000-0300-000001000000}">
      <formula1>dd_bocomrole</formula1>
    </dataValidation>
    <dataValidation type="list" allowBlank="1" showInputMessage="1" showErrorMessage="1" sqref="AY4:AY10 AY1" xr:uid="{00000000-0002-0000-0300-000002000000}">
      <formula1>dd_中资属性</formula1>
    </dataValidation>
    <dataValidation type="list" allowBlank="1" showInputMessage="1" showErrorMessage="1" sqref="AZ5:AZ10 AZ1" xr:uid="{00000000-0002-0000-0300-000003000000}">
      <formula1>dd_板块</formula1>
    </dataValidation>
    <dataValidation type="list" allowBlank="1" showInputMessage="1" showErrorMessage="1" sqref="Q5:Q26" xr:uid="{00000000-0002-0000-0300-000004000000}">
      <formula1>dd_theme</formula1>
    </dataValidation>
    <dataValidation type="list" allowBlank="1" showInputMessage="1" showErrorMessage="1" sqref="AN8:AN11" xr:uid="{00000000-0002-0000-0300-00000A000000}">
      <formula1>"'--,合名"</formula1>
    </dataValidation>
    <dataValidation type="list" allowBlank="1" showInputMessage="1" showErrorMessage="1" sqref="AR1 AR4:AR11" xr:uid="{99BFFB53-B38D-40D3-8663-38F15ACF9F54}">
      <formula1>"--,Sole,Left-lead,Lead"</formula1>
    </dataValidation>
    <dataValidation type="list" allowBlank="1" showInputMessage="1" sqref="AS1 AS5:AS11" xr:uid="{CB096AB9-FDB8-4552-9C42-68264AF37713}">
      <formula1>"--,B&amp;D FOP,B&amp;D DvP,Arranger,DM,CCDC"</formula1>
    </dataValidation>
    <dataValidation type="list" allowBlank="1" showInputMessage="1" sqref="AT1 AT5:AT11" xr:uid="{6411A959-20E5-4337-AA9F-75101C5E704D}">
      <formula1>"--,合名"</formula1>
    </dataValidation>
    <dataValidation type="list" allowBlank="1" showInputMessage="1" sqref="AO1 AO5:AO11" xr:uid="{3E454A5F-36EA-4840-AEAE-0DBBC1E9E30B}">
      <formula1>dd_BISL_role</formula1>
    </dataValidation>
    <dataValidation type="list" allowBlank="1" showInputMessage="1" sqref="AZ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G4:G8 G10:G26 G1" xr:uid="{6BE86BC5-A580-4469-A83C-50849458266E}"/>
    <dataValidation allowBlank="1" showInputMessage="1" showErrorMessage="1" promptTitle="FPG Format" prompt="No need to write bp_x000a_Decimal follow BBG_x000a__x000a_3.20%_x000a_3.8%_x000a_T+100_x000a_" sqref="H4:H26 G9 H1" xr:uid="{9DC2CDDF-02A4-46D0-9060-1915C70FB108}"/>
    <dataValidation type="list" allowBlank="1" showInputMessage="1" showErrorMessage="1" sqref="K5:K26" xr:uid="{9603EDB2-06F0-4BAF-8AE1-2933FEC0AE55}">
      <formula1>$K$1</formula1>
    </dataValidation>
    <dataValidation type="list" allowBlank="1" showInputMessage="1" showErrorMessage="1" sqref="F1 F4:F26" xr:uid="{21CF6E36-BFBE-43D8-81D2-7C0C7797C6AF}">
      <formula1>"Green,Sustainable,SLB,--"</formula1>
    </dataValidation>
    <dataValidation type="list" allowBlank="1" showInputMessage="1" showErrorMessage="1" sqref="AJ1 AJ5:AJ11" xr:uid="{9AD15052-9D16-43CA-833E-3464C184A18B}">
      <formula1>dd_coverage</formula1>
    </dataValidation>
    <dataValidation type="list" allowBlank="1" showInputMessage="1" showErrorMessage="1" sqref="AL1 AL5:AL11" xr:uid="{4C13DF36-2ABE-480F-A19C-E364241326EC}">
      <formula1>dd_sfcrole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V54"/>
  <sheetViews>
    <sheetView zoomScale="85" zoomScaleNormal="85" workbookViewId="0">
      <selection activeCell="M19" sqref="M19"/>
    </sheetView>
  </sheetViews>
  <sheetFormatPr defaultColWidth="8.88671875" defaultRowHeight="15" x14ac:dyDescent="0.25"/>
  <cols>
    <col min="1" max="1" width="9.33203125" style="1" bestFit="1" customWidth="1"/>
    <col min="2" max="2" width="14.109375" style="1" bestFit="1" customWidth="1"/>
    <col min="3" max="3" width="45.44140625" style="1" bestFit="1" customWidth="1"/>
    <col min="4" max="4" width="7" style="1" bestFit="1" customWidth="1"/>
    <col min="5" max="5" width="6" style="1" bestFit="1" customWidth="1"/>
    <col min="6" max="6" width="4.6640625" style="1" bestFit="1" customWidth="1"/>
    <col min="7" max="7" width="9.33203125" style="1" bestFit="1" customWidth="1"/>
    <col min="8" max="8" width="7.6640625" style="1" bestFit="1" customWidth="1"/>
    <col min="9" max="9" width="6" style="1" bestFit="1" customWidth="1"/>
    <col min="10" max="10" width="5.33203125" style="1" bestFit="1" customWidth="1"/>
    <col min="11" max="11" width="5.88671875" style="1" bestFit="1" customWidth="1"/>
    <col min="12" max="13" width="8.88671875" style="1" customWidth="1"/>
    <col min="14" max="14" width="20.6640625" style="1" bestFit="1" customWidth="1"/>
    <col min="15" max="15" width="8.88671875" style="1"/>
    <col min="16" max="16" width="5.5546875" style="1" bestFit="1" customWidth="1"/>
    <col min="17" max="17" width="14" style="1" bestFit="1" customWidth="1"/>
    <col min="18" max="18" width="9.33203125" style="1" bestFit="1" customWidth="1"/>
    <col min="19" max="19" width="19" style="1" bestFit="1" customWidth="1"/>
    <col min="20" max="20" width="7.6640625" style="1" bestFit="1" customWidth="1"/>
    <col min="21" max="21" width="4.6640625" style="1" bestFit="1" customWidth="1"/>
    <col min="22" max="22" width="10.44140625" style="1" bestFit="1" customWidth="1"/>
    <col min="23" max="23" width="4.33203125" style="1" bestFit="1" customWidth="1"/>
    <col min="24" max="24" width="9.5546875" style="1" bestFit="1" customWidth="1"/>
    <col min="25" max="25" width="3.77734375" style="1" bestFit="1" customWidth="1"/>
    <col min="26" max="26" width="7.6640625" style="1" bestFit="1" customWidth="1"/>
    <col min="27" max="27" width="4.33203125" style="1" bestFit="1" customWidth="1"/>
    <col min="28" max="28" width="14.44140625" style="1" bestFit="1" customWidth="1"/>
    <col min="29" max="29" width="9.33203125" style="1" bestFit="1" customWidth="1"/>
    <col min="30" max="30" width="4.33203125" style="1" bestFit="1" customWidth="1"/>
    <col min="31" max="31" width="13.5546875" style="1" bestFit="1" customWidth="1"/>
    <col min="32" max="32" width="6" style="1" bestFit="1" customWidth="1"/>
    <col min="33" max="33" width="7.77734375" style="1" bestFit="1" customWidth="1"/>
    <col min="34" max="34" width="15.109375" style="1" bestFit="1" customWidth="1"/>
    <col min="35" max="35" width="15.33203125" style="1" bestFit="1" customWidth="1"/>
    <col min="36" max="36" width="6.109375" style="1" bestFit="1" customWidth="1"/>
    <col min="37" max="37" width="5.88671875" style="1" bestFit="1" customWidth="1"/>
    <col min="38" max="38" width="9.44140625" style="1" bestFit="1" customWidth="1"/>
    <col min="39" max="39" width="36.77734375" style="1" bestFit="1" customWidth="1"/>
    <col min="40" max="40" width="12.5546875" style="1" bestFit="1" customWidth="1"/>
    <col min="41" max="41" width="9.21875" style="1" bestFit="1" customWidth="1"/>
    <col min="42" max="42" width="7.5546875" style="1" bestFit="1" customWidth="1"/>
    <col min="43" max="43" width="9.21875" style="1" bestFit="1" customWidth="1"/>
    <col min="44" max="44" width="5.88671875" style="1" bestFit="1" customWidth="1"/>
    <col min="45" max="45" width="12" style="1" bestFit="1" customWidth="1"/>
    <col min="46" max="47" width="5.88671875" style="1" bestFit="1" customWidth="1"/>
    <col min="48" max="49" width="5.77734375" style="1" bestFit="1" customWidth="1"/>
    <col min="50" max="50" width="9.21875" style="1" bestFit="1" customWidth="1"/>
    <col min="51" max="51" width="9" style="1" bestFit="1" customWidth="1"/>
    <col min="52" max="54" width="5.88671875" style="1" bestFit="1" customWidth="1"/>
    <col min="55" max="55" width="9.21875" style="1" bestFit="1" customWidth="1"/>
    <col min="56" max="56" width="7.5546875" style="1" bestFit="1" customWidth="1"/>
    <col min="57" max="57" width="7.109375" style="1" bestFit="1" customWidth="1"/>
    <col min="58" max="58" width="7.5546875" style="1" bestFit="1" customWidth="1"/>
    <col min="59" max="59" width="5.88671875" style="1" bestFit="1" customWidth="1"/>
    <col min="60" max="60" width="9.21875" style="1" bestFit="1" customWidth="1"/>
    <col min="61" max="61" width="12.5546875" style="1" bestFit="1" customWidth="1"/>
    <col min="62" max="62" width="5.88671875" style="1" bestFit="1" customWidth="1"/>
    <col min="63" max="63" width="5.77734375" style="1" bestFit="1" customWidth="1"/>
    <col min="64" max="64" width="5.44140625" style="1" bestFit="1" customWidth="1"/>
    <col min="65" max="65" width="11.109375" style="1" bestFit="1" customWidth="1"/>
    <col min="66" max="66" width="12.5546875" style="1" bestFit="1" customWidth="1"/>
    <col min="67" max="67" width="10.33203125" style="1" bestFit="1" customWidth="1"/>
    <col min="68" max="68" width="13.33203125" style="1" bestFit="1" customWidth="1"/>
    <col min="69" max="72" width="9.21875" style="1" bestFit="1" customWidth="1"/>
    <col min="73" max="73" width="11.44140625" style="1" bestFit="1" customWidth="1"/>
    <col min="74" max="74" width="9.21875" style="1" bestFit="1" customWidth="1"/>
    <col min="75" max="75" width="15.21875" style="1" bestFit="1" customWidth="1"/>
    <col min="76" max="76" width="13.5546875" style="1" bestFit="1" customWidth="1"/>
    <col min="77" max="77" width="11.109375" style="1" bestFit="1" customWidth="1"/>
    <col min="78" max="79" width="10.88671875" style="1" bestFit="1" customWidth="1"/>
    <col min="80" max="80" width="9.21875" style="1" bestFit="1" customWidth="1"/>
    <col min="81" max="81" width="8.77734375" style="1" bestFit="1" customWidth="1"/>
    <col min="82" max="82" width="9.21875" style="1" bestFit="1" customWidth="1"/>
    <col min="83" max="83" width="10.109375" style="1" bestFit="1" customWidth="1"/>
    <col min="84" max="84" width="10.33203125" style="1" bestFit="1" customWidth="1"/>
    <col min="85" max="85" width="15.109375" style="1" bestFit="1" customWidth="1"/>
    <col min="86" max="86" width="10.44140625" style="1" bestFit="1" customWidth="1"/>
    <col min="87" max="87" width="5.88671875" style="1" bestFit="1" customWidth="1"/>
    <col min="88" max="88" width="9.21875" style="1" bestFit="1" customWidth="1"/>
    <col min="89" max="89" width="10.44140625" style="1" bestFit="1" customWidth="1"/>
    <col min="90" max="90" width="14.5546875" style="1" bestFit="1" customWidth="1"/>
    <col min="91" max="91" width="16.21875" style="1" bestFit="1" customWidth="1"/>
    <col min="92" max="92" width="17.44140625" style="1" bestFit="1" customWidth="1"/>
    <col min="93" max="93" width="15.44140625" style="1" bestFit="1" customWidth="1"/>
    <col min="94" max="94" width="7.109375" style="1" bestFit="1" customWidth="1"/>
    <col min="95" max="95" width="17.44140625" style="1" bestFit="1" customWidth="1"/>
    <col min="96" max="96" width="15.44140625" style="1" bestFit="1" customWidth="1"/>
    <col min="97" max="97" width="7.109375" style="1" bestFit="1" customWidth="1"/>
    <col min="98" max="98" width="12.77734375" style="1" bestFit="1" customWidth="1"/>
    <col min="99" max="100" width="7.109375" style="1" bestFit="1" customWidth="1"/>
    <col min="101" max="101" width="7.33203125" style="1" bestFit="1" customWidth="1"/>
    <col min="102" max="102" width="9.21875" style="1" bestFit="1" customWidth="1"/>
    <col min="103" max="103" width="15.109375" style="1" bestFit="1" customWidth="1"/>
    <col min="104" max="104" width="17.44140625" style="1" bestFit="1" customWidth="1"/>
    <col min="105" max="105" width="19.109375" style="1" bestFit="1" customWidth="1"/>
    <col min="106" max="106" width="9.21875" style="1" bestFit="1" customWidth="1"/>
    <col min="107" max="107" width="7.109375" style="1" bestFit="1" customWidth="1"/>
    <col min="108" max="108" width="15.33203125" style="1" bestFit="1" customWidth="1"/>
    <col min="109" max="109" width="18.21875" style="1" bestFit="1" customWidth="1"/>
    <col min="110" max="110" width="19.109375" style="1" bestFit="1" customWidth="1"/>
    <col min="111" max="111" width="9.44140625" style="1" bestFit="1" customWidth="1"/>
    <col min="112" max="113" width="7.33203125" style="1" bestFit="1" customWidth="1"/>
    <col min="114" max="114" width="18.109375" style="1" bestFit="1" customWidth="1"/>
    <col min="115" max="115" width="19" style="1" bestFit="1" customWidth="1"/>
    <col min="116" max="116" width="9.44140625" style="1" bestFit="1" customWidth="1"/>
    <col min="117" max="117" width="7.33203125" style="1" bestFit="1" customWidth="1"/>
    <col min="118" max="16384" width="8.88671875" style="1"/>
  </cols>
  <sheetData>
    <row r="1" spans="1:48" ht="91.5" customHeight="1" x14ac:dyDescent="0.25">
      <c r="A1" s="5" t="s">
        <v>220</v>
      </c>
      <c r="C1" s="60">
        <f>COUNTA(charts[ISIN])</f>
        <v>9</v>
      </c>
      <c r="D1" s="8" t="s">
        <v>170</v>
      </c>
      <c r="O1" s="60" t="s">
        <v>226</v>
      </c>
      <c r="Q1" s="26" t="str">
        <f>COUNTA(Table_graph_weeklydeal[Index])&amp;"笔"</f>
        <v>4笔</v>
      </c>
      <c r="R1" s="27">
        <f>ROUND(SUM(Table_graph_weeklydeal[亿美元]),1)</f>
        <v>4.5999999999999996</v>
      </c>
      <c r="S1" s="26" t="s">
        <v>214</v>
      </c>
      <c r="AV1" s="5"/>
    </row>
    <row r="2" spans="1:48" ht="42" customHeight="1" x14ac:dyDescent="0.25"/>
    <row r="3" spans="1:48" ht="73.5" customHeight="1" x14ac:dyDescent="0.25"/>
    <row r="5" spans="1:48" x14ac:dyDescent="0.25">
      <c r="A5" t="s">
        <v>56</v>
      </c>
      <c r="B5" t="s">
        <v>55</v>
      </c>
      <c r="C5" t="s">
        <v>54</v>
      </c>
      <c r="D5" t="s">
        <v>96</v>
      </c>
      <c r="E5" t="s">
        <v>214</v>
      </c>
      <c r="F5" t="s">
        <v>72</v>
      </c>
      <c r="G5" t="s">
        <v>281</v>
      </c>
      <c r="H5" t="s">
        <v>104</v>
      </c>
      <c r="I5" t="s">
        <v>120</v>
      </c>
      <c r="J5" t="s">
        <v>141</v>
      </c>
      <c r="P5" t="s">
        <v>95</v>
      </c>
      <c r="Q5" t="s">
        <v>55</v>
      </c>
      <c r="R5" t="s">
        <v>56</v>
      </c>
      <c r="S5" t="s">
        <v>205</v>
      </c>
      <c r="T5" t="s">
        <v>169</v>
      </c>
      <c r="U5" t="s">
        <v>72</v>
      </c>
      <c r="V5" t="s">
        <v>65</v>
      </c>
      <c r="W5" t="s">
        <v>96</v>
      </c>
      <c r="X5" t="s">
        <v>143</v>
      </c>
      <c r="Y5" t="s">
        <v>97</v>
      </c>
      <c r="Z5" t="s">
        <v>206</v>
      </c>
      <c r="AA5" t="s">
        <v>99</v>
      </c>
      <c r="AB5" t="s">
        <v>36</v>
      </c>
      <c r="AC5" t="s">
        <v>281</v>
      </c>
      <c r="AD5" t="s">
        <v>98</v>
      </c>
      <c r="AE5" t="s">
        <v>185</v>
      </c>
      <c r="AF5" t="s">
        <v>214</v>
      </c>
    </row>
    <row r="6" spans="1:48" x14ac:dyDescent="0.25">
      <c r="A6" s="86">
        <v>45154</v>
      </c>
      <c r="B6" s="129" t="s">
        <v>374</v>
      </c>
      <c r="C6" t="s">
        <v>405</v>
      </c>
      <c r="D6">
        <v>3</v>
      </c>
      <c r="E6">
        <v>0.39400000000000002</v>
      </c>
      <c r="F6" s="129" t="s">
        <v>119</v>
      </c>
      <c r="G6" t="s">
        <v>284</v>
      </c>
      <c r="H6" t="s">
        <v>139</v>
      </c>
      <c r="I6" t="s">
        <v>313</v>
      </c>
      <c r="J6" t="s">
        <v>262</v>
      </c>
      <c r="P6">
        <v>4</v>
      </c>
      <c r="Q6" t="s">
        <v>368</v>
      </c>
      <c r="R6" s="86">
        <v>45154</v>
      </c>
      <c r="S6" t="s">
        <v>478</v>
      </c>
      <c r="T6" t="s">
        <v>369</v>
      </c>
      <c r="U6" t="s">
        <v>94</v>
      </c>
      <c r="V6">
        <v>3</v>
      </c>
      <c r="W6" t="s">
        <v>189</v>
      </c>
      <c r="X6" t="s">
        <v>472</v>
      </c>
      <c r="Y6" t="s">
        <v>7</v>
      </c>
      <c r="Z6" t="s">
        <v>7</v>
      </c>
      <c r="AA6" t="s">
        <v>47</v>
      </c>
      <c r="AB6" t="s">
        <v>479</v>
      </c>
      <c r="AC6" t="s">
        <v>283</v>
      </c>
      <c r="AD6" t="s">
        <v>13</v>
      </c>
      <c r="AE6" t="s">
        <v>297</v>
      </c>
      <c r="AF6">
        <v>3</v>
      </c>
    </row>
    <row r="7" spans="1:48" x14ac:dyDescent="0.25">
      <c r="A7" s="86">
        <v>45154</v>
      </c>
      <c r="B7" s="129" t="s">
        <v>377</v>
      </c>
      <c r="C7" t="s">
        <v>393</v>
      </c>
      <c r="D7">
        <v>1</v>
      </c>
      <c r="E7">
        <v>0.03</v>
      </c>
      <c r="F7" s="129" t="s">
        <v>94</v>
      </c>
      <c r="G7" t="s">
        <v>283</v>
      </c>
      <c r="H7" t="s">
        <v>139</v>
      </c>
      <c r="I7" t="s">
        <v>261</v>
      </c>
      <c r="J7" t="s">
        <v>468</v>
      </c>
      <c r="P7">
        <v>3</v>
      </c>
      <c r="Q7" t="s">
        <v>374</v>
      </c>
      <c r="R7" s="86">
        <v>45154</v>
      </c>
      <c r="S7" t="s">
        <v>480</v>
      </c>
      <c r="T7" t="s">
        <v>92</v>
      </c>
      <c r="U7" t="s">
        <v>119</v>
      </c>
      <c r="V7">
        <v>2.9</v>
      </c>
      <c r="W7" t="s">
        <v>189</v>
      </c>
      <c r="X7" t="s">
        <v>407</v>
      </c>
      <c r="Y7" t="s">
        <v>7</v>
      </c>
      <c r="Z7" t="s">
        <v>7</v>
      </c>
      <c r="AA7" t="s">
        <v>133</v>
      </c>
      <c r="AB7" t="s">
        <v>313</v>
      </c>
      <c r="AC7" t="s">
        <v>284</v>
      </c>
      <c r="AD7" t="s">
        <v>17</v>
      </c>
      <c r="AE7" t="s">
        <v>7</v>
      </c>
      <c r="AF7">
        <v>0.39400000000000002</v>
      </c>
    </row>
    <row r="8" spans="1:48" x14ac:dyDescent="0.25">
      <c r="A8" s="86">
        <v>45154</v>
      </c>
      <c r="B8" s="129" t="s">
        <v>368</v>
      </c>
      <c r="C8" t="s">
        <v>418</v>
      </c>
      <c r="D8">
        <v>3</v>
      </c>
      <c r="E8">
        <v>3</v>
      </c>
      <c r="F8" s="129" t="s">
        <v>94</v>
      </c>
      <c r="G8" t="s">
        <v>283</v>
      </c>
      <c r="H8" t="s">
        <v>164</v>
      </c>
      <c r="I8" t="s">
        <v>261</v>
      </c>
      <c r="J8" t="s">
        <v>262</v>
      </c>
      <c r="P8">
        <v>2</v>
      </c>
      <c r="Q8" t="s">
        <v>385</v>
      </c>
      <c r="R8" s="86">
        <v>45153</v>
      </c>
      <c r="S8" t="s">
        <v>606</v>
      </c>
      <c r="T8" t="s">
        <v>92</v>
      </c>
      <c r="U8" t="s">
        <v>119</v>
      </c>
      <c r="V8">
        <v>5</v>
      </c>
      <c r="W8" t="s">
        <v>189</v>
      </c>
      <c r="X8" t="s">
        <v>477</v>
      </c>
      <c r="Y8" t="s">
        <v>7</v>
      </c>
      <c r="Z8" t="s">
        <v>7</v>
      </c>
      <c r="AA8" t="s">
        <v>43</v>
      </c>
      <c r="AB8" t="s">
        <v>481</v>
      </c>
      <c r="AC8" t="s">
        <v>283</v>
      </c>
      <c r="AD8" t="s">
        <v>18</v>
      </c>
      <c r="AE8" t="s">
        <v>7</v>
      </c>
      <c r="AF8">
        <v>0.68500000000000005</v>
      </c>
    </row>
    <row r="9" spans="1:48" x14ac:dyDescent="0.25">
      <c r="A9" s="86">
        <v>45153</v>
      </c>
      <c r="B9" s="129" t="s">
        <v>379</v>
      </c>
      <c r="C9" t="s">
        <v>434</v>
      </c>
      <c r="D9">
        <v>5</v>
      </c>
      <c r="E9">
        <v>2</v>
      </c>
      <c r="F9" s="129" t="s">
        <v>94</v>
      </c>
      <c r="G9" t="s">
        <v>283</v>
      </c>
      <c r="H9" t="s">
        <v>139</v>
      </c>
      <c r="I9" t="s">
        <v>261</v>
      </c>
      <c r="J9" t="s">
        <v>469</v>
      </c>
      <c r="P9">
        <v>1</v>
      </c>
      <c r="Q9" t="s">
        <v>502</v>
      </c>
      <c r="R9" s="86">
        <v>45152</v>
      </c>
      <c r="S9" t="s">
        <v>610</v>
      </c>
      <c r="T9" t="s">
        <v>92</v>
      </c>
      <c r="U9" t="s">
        <v>94</v>
      </c>
      <c r="V9">
        <v>0.5</v>
      </c>
      <c r="W9" t="s">
        <v>604</v>
      </c>
      <c r="X9" t="s">
        <v>605</v>
      </c>
      <c r="Y9" t="s">
        <v>7</v>
      </c>
      <c r="Z9" t="s">
        <v>7</v>
      </c>
      <c r="AA9" t="s">
        <v>46</v>
      </c>
      <c r="AB9" t="s">
        <v>7</v>
      </c>
      <c r="AC9" t="s">
        <v>284</v>
      </c>
      <c r="AD9" t="s">
        <v>10</v>
      </c>
      <c r="AE9" t="s">
        <v>7</v>
      </c>
      <c r="AF9">
        <v>0.5</v>
      </c>
    </row>
    <row r="10" spans="1:48" x14ac:dyDescent="0.25">
      <c r="A10" s="86">
        <v>45153</v>
      </c>
      <c r="B10" s="129" t="s">
        <v>385</v>
      </c>
      <c r="C10" t="s">
        <v>448</v>
      </c>
      <c r="D10">
        <v>3</v>
      </c>
      <c r="E10">
        <v>0.68500000000000005</v>
      </c>
      <c r="F10" s="129" t="s">
        <v>119</v>
      </c>
      <c r="G10" t="s">
        <v>283</v>
      </c>
      <c r="H10" t="s">
        <v>139</v>
      </c>
      <c r="I10" t="s">
        <v>313</v>
      </c>
      <c r="J10" t="s">
        <v>262</v>
      </c>
    </row>
    <row r="11" spans="1:48" x14ac:dyDescent="0.25">
      <c r="A11" s="86">
        <v>45153</v>
      </c>
      <c r="B11" s="129" t="s">
        <v>383</v>
      </c>
      <c r="C11" t="s">
        <v>434</v>
      </c>
      <c r="D11">
        <v>5</v>
      </c>
      <c r="E11">
        <v>2</v>
      </c>
      <c r="F11" s="129" t="s">
        <v>94</v>
      </c>
      <c r="G11" t="s">
        <v>283</v>
      </c>
      <c r="H11" t="s">
        <v>139</v>
      </c>
      <c r="I11" t="s">
        <v>261</v>
      </c>
      <c r="J11" t="s">
        <v>469</v>
      </c>
    </row>
    <row r="12" spans="1:48" x14ac:dyDescent="0.25">
      <c r="A12" s="86">
        <v>45152</v>
      </c>
      <c r="B12" s="129" t="s">
        <v>502</v>
      </c>
      <c r="C12" t="s">
        <v>507</v>
      </c>
      <c r="D12">
        <v>2.7</v>
      </c>
      <c r="E12">
        <v>0.5</v>
      </c>
      <c r="F12" s="129" t="s">
        <v>94</v>
      </c>
      <c r="G12" t="s">
        <v>284</v>
      </c>
      <c r="H12" t="s">
        <v>139</v>
      </c>
      <c r="I12" t="s">
        <v>261</v>
      </c>
      <c r="J12" t="s">
        <v>262</v>
      </c>
    </row>
    <row r="13" spans="1:48" x14ac:dyDescent="0.25">
      <c r="A13" s="86">
        <v>45152</v>
      </c>
      <c r="B13" s="129" t="s">
        <v>389</v>
      </c>
      <c r="C13" t="s">
        <v>461</v>
      </c>
      <c r="D13">
        <v>1.8492999999999999</v>
      </c>
      <c r="E13">
        <v>0.04</v>
      </c>
      <c r="F13" s="129" t="s">
        <v>94</v>
      </c>
      <c r="G13" t="s">
        <v>283</v>
      </c>
      <c r="H13" t="s">
        <v>139</v>
      </c>
      <c r="I13" t="s">
        <v>261</v>
      </c>
      <c r="J13" t="s">
        <v>262</v>
      </c>
    </row>
    <row r="14" spans="1:48" x14ac:dyDescent="0.25">
      <c r="A14" s="86">
        <v>45152</v>
      </c>
      <c r="B14" s="129" t="s">
        <v>387</v>
      </c>
      <c r="C14" t="s">
        <v>457</v>
      </c>
      <c r="D14">
        <v>3</v>
      </c>
      <c r="E14">
        <v>0.5</v>
      </c>
      <c r="F14" s="129" t="s">
        <v>94</v>
      </c>
      <c r="G14" t="s">
        <v>283</v>
      </c>
      <c r="H14" t="s">
        <v>139</v>
      </c>
      <c r="I14" t="s">
        <v>261</v>
      </c>
      <c r="J14" t="s">
        <v>262</v>
      </c>
    </row>
    <row r="54" spans="15:15" x14ac:dyDescent="0.25">
      <c r="O54"/>
    </row>
  </sheetData>
  <phoneticPr fontId="17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17"/>
  <sheetViews>
    <sheetView zoomScale="85" zoomScaleNormal="85" workbookViewId="0">
      <selection activeCell="E11" sqref="E11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28" t="s">
        <v>172</v>
      </c>
      <c r="B1" s="8"/>
      <c r="C1" s="8"/>
      <c r="D1" s="8"/>
      <c r="E1" s="7"/>
      <c r="F1" s="7"/>
      <c r="G1" s="7"/>
    </row>
    <row r="2" spans="1:7" ht="60.75" customHeight="1" x14ac:dyDescent="0.25">
      <c r="A2" s="23"/>
    </row>
    <row r="3" spans="1:7" ht="57" customHeight="1" x14ac:dyDescent="0.25">
      <c r="A3" s="8" t="s">
        <v>93</v>
      </c>
      <c r="E3" s="24"/>
      <c r="F3" s="24"/>
      <c r="G3" s="24"/>
    </row>
    <row r="4" spans="1:7" x14ac:dyDescent="0.25">
      <c r="A4" t="s">
        <v>95</v>
      </c>
      <c r="B4" t="s">
        <v>281</v>
      </c>
      <c r="C4" t="s">
        <v>72</v>
      </c>
      <c r="D4" t="s">
        <v>205</v>
      </c>
      <c r="E4" t="s">
        <v>171</v>
      </c>
      <c r="F4" t="s">
        <v>304</v>
      </c>
    </row>
    <row r="5" spans="1:7" x14ac:dyDescent="0.25">
      <c r="A5">
        <v>4</v>
      </c>
      <c r="B5" t="s">
        <v>283</v>
      </c>
      <c r="C5" t="s">
        <v>94</v>
      </c>
      <c r="D5" t="s">
        <v>478</v>
      </c>
      <c r="E5" t="s">
        <v>482</v>
      </c>
      <c r="F5" s="85" t="s">
        <v>7</v>
      </c>
    </row>
    <row r="6" spans="1:7" x14ac:dyDescent="0.25">
      <c r="A6">
        <v>2</v>
      </c>
      <c r="B6" t="s">
        <v>283</v>
      </c>
      <c r="C6" t="s">
        <v>119</v>
      </c>
      <c r="D6" t="s">
        <v>606</v>
      </c>
      <c r="E6" t="s">
        <v>608</v>
      </c>
      <c r="F6" s="85" t="s">
        <v>7</v>
      </c>
    </row>
    <row r="8" spans="1:7" ht="23.25" x14ac:dyDescent="0.25">
      <c r="G8" s="24"/>
    </row>
    <row r="9" spans="1:7" ht="46.5" x14ac:dyDescent="0.25">
      <c r="A9" s="8" t="s">
        <v>119</v>
      </c>
      <c r="E9" s="24"/>
      <c r="F9" s="24"/>
    </row>
    <row r="10" spans="1:7" x14ac:dyDescent="0.25">
      <c r="A10" s="85" t="s">
        <v>95</v>
      </c>
      <c r="B10" t="s">
        <v>281</v>
      </c>
      <c r="C10" s="85" t="s">
        <v>72</v>
      </c>
      <c r="D10" s="85" t="s">
        <v>205</v>
      </c>
      <c r="E10" s="85" t="s">
        <v>171</v>
      </c>
      <c r="F10" s="85" t="s">
        <v>304</v>
      </c>
    </row>
    <row r="11" spans="1:7" x14ac:dyDescent="0.25">
      <c r="A11" s="85">
        <v>3</v>
      </c>
      <c r="B11" t="s">
        <v>284</v>
      </c>
      <c r="C11" s="85" t="s">
        <v>119</v>
      </c>
      <c r="D11" s="85" t="s">
        <v>480</v>
      </c>
      <c r="E11" s="85" t="s">
        <v>607</v>
      </c>
      <c r="F11" s="85" t="s">
        <v>7</v>
      </c>
    </row>
    <row r="15" spans="1:7" ht="46.5" x14ac:dyDescent="0.25">
      <c r="A15" s="8" t="s">
        <v>256</v>
      </c>
    </row>
    <row r="16" spans="1:7" x14ac:dyDescent="0.25">
      <c r="A16" t="s">
        <v>95</v>
      </c>
      <c r="B16" t="s">
        <v>281</v>
      </c>
      <c r="C16" t="s">
        <v>72</v>
      </c>
      <c r="D16" t="s">
        <v>205</v>
      </c>
      <c r="E16" t="s">
        <v>171</v>
      </c>
      <c r="F16" t="s">
        <v>304</v>
      </c>
    </row>
    <row r="17" spans="1:6" x14ac:dyDescent="0.25">
      <c r="A17">
        <v>1</v>
      </c>
      <c r="B17" t="s">
        <v>284</v>
      </c>
      <c r="C17" t="s">
        <v>94</v>
      </c>
      <c r="D17" t="s">
        <v>610</v>
      </c>
      <c r="E17" s="85" t="s">
        <v>611</v>
      </c>
      <c r="F17" s="85" t="s">
        <v>7</v>
      </c>
    </row>
  </sheetData>
  <phoneticPr fontId="17" type="noConversion"/>
  <conditionalFormatting sqref="G9:G11 E10:E11 E16:E17 E4:E6">
    <cfRule type="containsText" dxfId="137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zoomScale="115" zoomScaleNormal="115" workbookViewId="0">
      <selection activeCell="O4" sqref="O4"/>
    </sheetView>
  </sheetViews>
  <sheetFormatPr defaultColWidth="8.88671875" defaultRowHeight="28.5" customHeight="1" x14ac:dyDescent="0.25"/>
  <cols>
    <col min="1" max="1" width="4.88671875" style="53" bestFit="1" customWidth="1"/>
    <col min="2" max="2" width="6.77734375" style="53" bestFit="1" customWidth="1"/>
    <col min="3" max="3" width="26.44140625" style="53" bestFit="1" customWidth="1"/>
    <col min="4" max="4" width="8.33203125" style="53" bestFit="1" customWidth="1"/>
    <col min="5" max="7" width="6.6640625" style="53" bestFit="1" customWidth="1"/>
    <col min="8" max="8" width="7.33203125" style="53" bestFit="1" customWidth="1"/>
    <col min="9" max="9" width="9.21875" style="53" bestFit="1" customWidth="1"/>
    <col min="10" max="10" width="15.77734375" style="53" hidden="1" customWidth="1"/>
    <col min="11" max="11" width="10.6640625" style="53" hidden="1" customWidth="1"/>
    <col min="12" max="12" width="7.21875" style="53" hidden="1" customWidth="1"/>
    <col min="13" max="13" width="6" style="53" hidden="1" customWidth="1"/>
    <col min="14" max="14" width="11" style="53" hidden="1" customWidth="1"/>
    <col min="15" max="15" width="33.21875" style="53" bestFit="1" customWidth="1" collapsed="1"/>
    <col min="16" max="16" width="6.5546875" style="53" customWidth="1"/>
    <col min="17" max="17" width="6.77734375" style="53" customWidth="1"/>
    <col min="18" max="18" width="28.109375" style="53" bestFit="1" customWidth="1"/>
    <col min="19" max="19" width="12.6640625" style="53" bestFit="1" customWidth="1"/>
    <col min="20" max="22" width="7.6640625" style="53" customWidth="1"/>
    <col min="23" max="23" width="6.109375" style="53" bestFit="1" customWidth="1"/>
    <col min="24" max="24" width="9.44140625" style="53" bestFit="1" customWidth="1"/>
    <col min="25" max="25" width="35.109375" style="53" bestFit="1" customWidth="1"/>
    <col min="26" max="16384" width="8.88671875" style="53"/>
  </cols>
  <sheetData>
    <row r="1" spans="1:22" ht="59.25" customHeight="1" x14ac:dyDescent="0.25">
      <c r="A1" s="59" t="s">
        <v>144</v>
      </c>
      <c r="I1" s="133" t="s">
        <v>193</v>
      </c>
    </row>
    <row r="2" spans="1:22" ht="15" x14ac:dyDescent="0.25">
      <c r="B2" s="54" t="s">
        <v>95</v>
      </c>
      <c r="C2" s="54" t="s">
        <v>193</v>
      </c>
      <c r="D2" s="54" t="s">
        <v>194</v>
      </c>
      <c r="E2" s="54" t="s">
        <v>195</v>
      </c>
      <c r="F2" s="54" t="s">
        <v>196</v>
      </c>
      <c r="G2" s="54" t="s">
        <v>197</v>
      </c>
    </row>
    <row r="3" spans="1:22" ht="15" x14ac:dyDescent="0.25">
      <c r="B3" s="54">
        <v>5</v>
      </c>
      <c r="C3" s="55" t="s">
        <v>547</v>
      </c>
      <c r="D3" s="74">
        <f>IFERROR(INDEX(ECON[Date],MATCH(input_econ[[#This Row],[上周主要经济数据]],ECON[上周主要经济数据],0)),"")</f>
        <v>45153</v>
      </c>
      <c r="E3" s="57">
        <f>IFERROR(INDEX(ECON[Prior],MATCH(input_econ[[#This Row],[上周主要经济数据]],ECON[上周主要经济数据],0)),"")</f>
        <v>2E-3</v>
      </c>
      <c r="F3" s="57">
        <f>IFERROR(INDEX(ECON[Survey],MATCH(input_econ[[#This Row],[上周主要经济数据]],ECON[上周主要经济数据],0)),"")</f>
        <v>4.0000000000000001E-3</v>
      </c>
      <c r="G3" s="57">
        <f>IFERROR(INDEX(ECON[Actual],MATCH(input_econ[[#This Row],[上周主要经济数据]],ECON[上周主要经济数据],0)),"")</f>
        <v>7.0000000000000001E-3</v>
      </c>
    </row>
    <row r="4" spans="1:22" ht="15" x14ac:dyDescent="0.25">
      <c r="B4" s="54">
        <v>1</v>
      </c>
      <c r="C4" s="55" t="s">
        <v>524</v>
      </c>
      <c r="D4" s="74">
        <f>IFERROR(INDEX(ECON[Date],MATCH(input_econ[[#This Row],[上周主要经济数据]],ECON[上周主要经济数据],0)),"")</f>
        <v>45153</v>
      </c>
      <c r="E4" s="57">
        <f>IFERROR(INDEX(ECON[Prior],MATCH(input_econ[[#This Row],[上周主要经济数据]],ECON[上周主要经济数据],0)),"")</f>
        <v>4.3999999999999997E-2</v>
      </c>
      <c r="F4" s="57">
        <f>IFERROR(INDEX(ECON[Survey],MATCH(input_econ[[#This Row],[上周主要经济数据]],ECON[上周主要经济数据],0)),"")</f>
        <v>4.2999999999999997E-2</v>
      </c>
      <c r="G4" s="57">
        <f>IFERROR(INDEX(ECON[Actual],MATCH(input_econ[[#This Row],[上周主要经济数据]],ECON[上周主要经济数据],0)),"")</f>
        <v>3.6999999999999998E-2</v>
      </c>
    </row>
    <row r="5" spans="1:22" ht="15" x14ac:dyDescent="0.25">
      <c r="B5" s="54">
        <v>4</v>
      </c>
      <c r="C5" s="55" t="s">
        <v>527</v>
      </c>
      <c r="D5" s="74">
        <f>IFERROR(INDEX(ECON[Date],MATCH(input_econ[[#This Row],[上周主要经济数据]],ECON[上周主要经济数据],0)),"")</f>
        <v>45153</v>
      </c>
      <c r="E5" s="57">
        <f>IFERROR(INDEX(ECON[Prior],MATCH(input_econ[[#This Row],[上周主要经济数据]],ECON[上周主要经济数据],0)),"")</f>
        <v>3.1E-2</v>
      </c>
      <c r="F5" s="57">
        <f>IFERROR(INDEX(ECON[Survey],MATCH(input_econ[[#This Row],[上周主要经济数据]],ECON[上周主要经济数据],0)),"")</f>
        <v>0.04</v>
      </c>
      <c r="G5" s="57">
        <f>IFERROR(INDEX(ECON[Actual],MATCH(input_econ[[#This Row],[上周主要经济数据]],ECON[上周主要经济数据],0)),"")</f>
        <v>2.5000000000000001E-2</v>
      </c>
    </row>
    <row r="6" spans="1:22" ht="15" x14ac:dyDescent="0.25">
      <c r="B6" s="54">
        <v>6</v>
      </c>
      <c r="C6" s="55" t="s">
        <v>329</v>
      </c>
      <c r="D6" s="74">
        <f>IFERROR(INDEX(ECON[Date],MATCH(input_econ[[#This Row],[上周主要经济数据]],ECON[上周主要经济数据],0)),"")</f>
        <v>45154</v>
      </c>
      <c r="E6" s="57">
        <f>IFERROR(INDEX(ECON[Prior],MATCH(input_econ[[#This Row],[上周主要经济数据]],ECON[上周主要经济数据],0)),"")</f>
        <v>3.0000000000000001E-3</v>
      </c>
      <c r="F6" s="57">
        <f>IFERROR(INDEX(ECON[Survey],MATCH(input_econ[[#This Row],[上周主要经济数据]],ECON[上周主要经济数据],0)),"")</f>
        <v>3.0000000000000001E-3</v>
      </c>
      <c r="G6" s="57">
        <f>IFERROR(INDEX(ECON[Actual],MATCH(input_econ[[#This Row],[上周主要经济数据]],ECON[上周主要经济数据],0)),"")</f>
        <v>3.0000000000000001E-3</v>
      </c>
    </row>
    <row r="7" spans="1:22" ht="15" x14ac:dyDescent="0.25">
      <c r="B7" s="54">
        <v>3</v>
      </c>
      <c r="C7" s="55" t="s">
        <v>323</v>
      </c>
      <c r="D7" s="74">
        <f>IFERROR(INDEX(ECON[Date],MATCH(input_econ[[#This Row],[上周主要经济数据]],ECON[上周主要经济数据],0)),"")</f>
        <v>45156</v>
      </c>
      <c r="E7" s="57">
        <f>IFERROR(INDEX(ECON[Prior],MATCH(input_econ[[#This Row],[上周主要经济数据]],ECON[上周主要经济数据],0)),"")</f>
        <v>5.2999999999999999E-2</v>
      </c>
      <c r="F7" s="57">
        <f>IFERROR(INDEX(ECON[Survey],MATCH(input_econ[[#This Row],[上周主要经济数据]],ECON[上周主要经济数据],0)),"")</f>
        <v>5.2999999999999999E-2</v>
      </c>
      <c r="G7" s="57">
        <f>IFERROR(INDEX(ECON[Actual],MATCH(input_econ[[#This Row],[上周主要经济数据]],ECON[上周主要经济数据],0)),"")</f>
        <v>5.2999999999999999E-2</v>
      </c>
    </row>
    <row r="8" spans="1:22" ht="15" x14ac:dyDescent="0.25">
      <c r="B8" s="54">
        <v>2</v>
      </c>
      <c r="C8" s="55" t="s">
        <v>543</v>
      </c>
      <c r="D8" s="74">
        <f>IFERROR(INDEX(ECON[Date],MATCH(input_econ[[#This Row],[上周主要经济数据]],ECON[上周主要经济数据],0)),"")</f>
        <v>45155</v>
      </c>
      <c r="E8" s="57" t="str">
        <f>IFERROR(INDEX(ECON[Prior],MATCH(input_econ[[#This Row],[上周主要经济数据]],ECON[上周主要经济数据],0)),"")</f>
        <v>248k</v>
      </c>
      <c r="F8" s="57" t="str">
        <f>IFERROR(INDEX(ECON[Survey],MATCH(input_econ[[#This Row],[上周主要经济数据]],ECON[上周主要经济数据],0)),"")</f>
        <v>240k</v>
      </c>
      <c r="G8" s="57" t="str">
        <f>IFERROR(INDEX(ECON[Actual],MATCH(input_econ[[#This Row],[上周主要经济数据]],ECON[上周主要经济数据],0)),"")</f>
        <v>239k</v>
      </c>
    </row>
    <row r="9" spans="1:22" ht="15" x14ac:dyDescent="0.25">
      <c r="Q9" s="56"/>
      <c r="R9" s="56"/>
      <c r="S9" s="56"/>
      <c r="T9" s="56"/>
      <c r="U9" s="56"/>
      <c r="V9" s="56"/>
    </row>
    <row r="10" spans="1:22" ht="15" x14ac:dyDescent="0.25">
      <c r="Q10" s="56"/>
      <c r="R10" s="56"/>
      <c r="S10" s="56"/>
      <c r="T10" s="56"/>
      <c r="U10" s="56"/>
      <c r="V10" s="56"/>
    </row>
    <row r="11" spans="1:22" ht="15" x14ac:dyDescent="0.25">
      <c r="Q11" s="56"/>
      <c r="R11" s="56"/>
      <c r="S11" s="56"/>
      <c r="T11" s="56"/>
      <c r="U11" s="56"/>
      <c r="V11" s="56"/>
    </row>
    <row r="12" spans="1:22" ht="15" x14ac:dyDescent="0.25">
      <c r="A12" s="54" t="s">
        <v>145</v>
      </c>
      <c r="B12" s="55" t="s">
        <v>198</v>
      </c>
      <c r="C12" s="55" t="s">
        <v>146</v>
      </c>
      <c r="D12" s="55" t="s">
        <v>199</v>
      </c>
      <c r="E12" s="55" t="s">
        <v>147</v>
      </c>
      <c r="F12" s="55" t="s">
        <v>148</v>
      </c>
      <c r="G12" s="55" t="s">
        <v>149</v>
      </c>
      <c r="H12" s="55" t="s">
        <v>150</v>
      </c>
      <c r="I12" s="55" t="s">
        <v>151</v>
      </c>
      <c r="J12" s="55" t="s">
        <v>152</v>
      </c>
      <c r="K12" s="55" t="s">
        <v>153</v>
      </c>
      <c r="L12" s="55" t="s">
        <v>200</v>
      </c>
      <c r="M12" s="55" t="s">
        <v>202</v>
      </c>
      <c r="N12" s="55" t="s">
        <v>203</v>
      </c>
      <c r="O12" s="55" t="s">
        <v>193</v>
      </c>
      <c r="Q12" s="56"/>
      <c r="R12" s="56"/>
      <c r="S12" s="56"/>
      <c r="T12" s="56"/>
      <c r="U12" s="56"/>
      <c r="V12" s="56"/>
    </row>
    <row r="13" spans="1:22" ht="15" x14ac:dyDescent="0.25">
      <c r="A13" s="126">
        <v>45155</v>
      </c>
      <c r="B13" s="55" t="s">
        <v>534</v>
      </c>
      <c r="C13" s="55" t="s">
        <v>535</v>
      </c>
      <c r="D13" s="55" t="s">
        <v>536</v>
      </c>
      <c r="E13" s="55" t="s">
        <v>537</v>
      </c>
      <c r="F13" s="55" t="s">
        <v>538</v>
      </c>
      <c r="G13" s="55" t="s">
        <v>539</v>
      </c>
      <c r="H13" s="55" t="s">
        <v>540</v>
      </c>
      <c r="I13" s="55">
        <v>98</v>
      </c>
      <c r="J13" s="55" t="s">
        <v>541</v>
      </c>
      <c r="K13" s="127">
        <v>0.85416666666666663</v>
      </c>
      <c r="L13" s="55" t="s">
        <v>144</v>
      </c>
      <c r="M13" s="55" t="s">
        <v>103</v>
      </c>
      <c r="N13" s="55" t="s">
        <v>542</v>
      </c>
      <c r="O13" s="55" t="s">
        <v>543</v>
      </c>
      <c r="Q13" s="56"/>
      <c r="R13" s="56"/>
      <c r="S13" s="56"/>
      <c r="T13" s="56"/>
      <c r="U13" s="56"/>
      <c r="V13" s="56"/>
    </row>
    <row r="14" spans="1:22" ht="15" x14ac:dyDescent="0.25">
      <c r="A14" s="126">
        <v>45156</v>
      </c>
      <c r="B14" s="55" t="s">
        <v>319</v>
      </c>
      <c r="C14" s="55" t="s">
        <v>311</v>
      </c>
      <c r="D14" s="55" t="s">
        <v>320</v>
      </c>
      <c r="E14" s="55">
        <v>5.2999999999999999E-2</v>
      </c>
      <c r="F14" s="55">
        <v>5.2999999999999999E-2</v>
      </c>
      <c r="G14" s="55">
        <v>5.2999999999999999E-2</v>
      </c>
      <c r="H14" s="55" t="s">
        <v>7</v>
      </c>
      <c r="I14" s="55">
        <v>95</v>
      </c>
      <c r="J14" s="55" t="s">
        <v>321</v>
      </c>
      <c r="K14" s="127">
        <v>0.70833333333333337</v>
      </c>
      <c r="L14" s="55" t="s">
        <v>144</v>
      </c>
      <c r="M14" s="55" t="s">
        <v>279</v>
      </c>
      <c r="N14" s="55" t="s">
        <v>322</v>
      </c>
      <c r="O14" s="55" t="s">
        <v>323</v>
      </c>
      <c r="Q14" s="56"/>
      <c r="R14" s="56"/>
      <c r="S14" s="56"/>
      <c r="T14" s="56"/>
      <c r="U14" s="56"/>
      <c r="V14" s="56"/>
    </row>
    <row r="15" spans="1:22" ht="15" x14ac:dyDescent="0.25">
      <c r="A15" s="126">
        <v>45154</v>
      </c>
      <c r="B15" s="55" t="s">
        <v>319</v>
      </c>
      <c r="C15" s="55" t="s">
        <v>324</v>
      </c>
      <c r="D15" s="55" t="s">
        <v>325</v>
      </c>
      <c r="E15" s="55">
        <v>3.0000000000000001E-3</v>
      </c>
      <c r="F15" s="55">
        <v>3.0000000000000001E-3</v>
      </c>
      <c r="G15" s="55">
        <v>3.0000000000000001E-3</v>
      </c>
      <c r="H15" s="55" t="s">
        <v>7</v>
      </c>
      <c r="I15" s="55">
        <v>93</v>
      </c>
      <c r="J15" s="55" t="s">
        <v>326</v>
      </c>
      <c r="K15" s="127">
        <v>0.70833333333333337</v>
      </c>
      <c r="L15" s="55" t="s">
        <v>144</v>
      </c>
      <c r="M15" s="55" t="s">
        <v>327</v>
      </c>
      <c r="N15" s="55" t="s">
        <v>328</v>
      </c>
      <c r="O15" s="55" t="s">
        <v>329</v>
      </c>
      <c r="Q15" s="56"/>
      <c r="R15" s="56"/>
      <c r="S15" s="56"/>
      <c r="T15" s="56"/>
      <c r="U15" s="56"/>
      <c r="V15" s="56"/>
    </row>
    <row r="16" spans="1:22" ht="15" x14ac:dyDescent="0.25">
      <c r="A16" s="126">
        <v>45153</v>
      </c>
      <c r="B16" s="55" t="s">
        <v>534</v>
      </c>
      <c r="C16" s="55" t="s">
        <v>544</v>
      </c>
      <c r="D16" s="55" t="s">
        <v>521</v>
      </c>
      <c r="E16" s="55">
        <v>4.0000000000000001E-3</v>
      </c>
      <c r="F16" s="55">
        <v>7.0000000000000001E-3</v>
      </c>
      <c r="G16" s="55">
        <v>2E-3</v>
      </c>
      <c r="H16" s="55">
        <v>3.0000000000000001E-3</v>
      </c>
      <c r="I16" s="55">
        <v>93</v>
      </c>
      <c r="J16" s="55" t="s">
        <v>545</v>
      </c>
      <c r="K16" s="127">
        <v>0.85416666666666663</v>
      </c>
      <c r="L16" s="55" t="s">
        <v>144</v>
      </c>
      <c r="M16" s="55" t="s">
        <v>279</v>
      </c>
      <c r="N16" s="55" t="s">
        <v>546</v>
      </c>
      <c r="O16" s="55" t="s">
        <v>547</v>
      </c>
      <c r="Q16" s="56"/>
      <c r="R16" s="56"/>
      <c r="S16" s="56"/>
      <c r="T16" s="56"/>
      <c r="U16" s="56"/>
      <c r="V16" s="56"/>
    </row>
    <row r="17" spans="1:22" ht="15" x14ac:dyDescent="0.25">
      <c r="A17" s="126">
        <v>45154</v>
      </c>
      <c r="B17" s="55" t="s">
        <v>534</v>
      </c>
      <c r="C17" s="55" t="s">
        <v>548</v>
      </c>
      <c r="D17" s="55" t="s">
        <v>549</v>
      </c>
      <c r="E17" s="55" t="s">
        <v>7</v>
      </c>
      <c r="F17" s="55">
        <v>-8.0000000000000002E-3</v>
      </c>
      <c r="G17" s="55">
        <v>-3.1E-2</v>
      </c>
      <c r="H17" s="55" t="s">
        <v>7</v>
      </c>
      <c r="I17" s="55">
        <v>91</v>
      </c>
      <c r="J17" s="55" t="s">
        <v>550</v>
      </c>
      <c r="K17" s="127">
        <v>0.79166666666666663</v>
      </c>
      <c r="L17" s="55" t="s">
        <v>144</v>
      </c>
      <c r="M17" s="55" t="s">
        <v>103</v>
      </c>
      <c r="N17" s="55" t="s">
        <v>542</v>
      </c>
      <c r="O17" s="55" t="s">
        <v>551</v>
      </c>
      <c r="Q17" s="56"/>
      <c r="R17" s="56"/>
      <c r="S17" s="56"/>
      <c r="T17" s="56"/>
      <c r="U17" s="56"/>
      <c r="V17" s="56"/>
    </row>
    <row r="18" spans="1:22" ht="15" x14ac:dyDescent="0.25">
      <c r="A18" s="126">
        <v>45154</v>
      </c>
      <c r="B18" s="55" t="s">
        <v>319</v>
      </c>
      <c r="C18" s="55" t="s">
        <v>330</v>
      </c>
      <c r="D18" s="55" t="s">
        <v>325</v>
      </c>
      <c r="E18" s="55">
        <v>6.0000000000000001E-3</v>
      </c>
      <c r="F18" s="55">
        <v>6.0000000000000001E-3</v>
      </c>
      <c r="G18" s="55">
        <v>6.0000000000000001E-3</v>
      </c>
      <c r="H18" s="55" t="s">
        <v>7</v>
      </c>
      <c r="I18" s="55">
        <v>90</v>
      </c>
      <c r="J18" s="55" t="s">
        <v>331</v>
      </c>
      <c r="K18" s="127">
        <v>0.70833333333333337</v>
      </c>
      <c r="L18" s="55" t="s">
        <v>144</v>
      </c>
      <c r="M18" s="55" t="s">
        <v>327</v>
      </c>
      <c r="N18" s="55" t="s">
        <v>328</v>
      </c>
      <c r="O18" s="55" t="s">
        <v>332</v>
      </c>
    </row>
    <row r="19" spans="1:22" ht="15" x14ac:dyDescent="0.25">
      <c r="A19" s="126">
        <v>45154</v>
      </c>
      <c r="B19" s="55" t="s">
        <v>534</v>
      </c>
      <c r="C19" s="55" t="s">
        <v>552</v>
      </c>
      <c r="D19" s="55" t="s">
        <v>521</v>
      </c>
      <c r="E19" s="55" t="s">
        <v>553</v>
      </c>
      <c r="F19" s="55" t="s">
        <v>554</v>
      </c>
      <c r="G19" s="55" t="s">
        <v>555</v>
      </c>
      <c r="H19" s="55" t="s">
        <v>556</v>
      </c>
      <c r="I19" s="55">
        <v>90</v>
      </c>
      <c r="J19" s="55" t="s">
        <v>557</v>
      </c>
      <c r="K19" s="127">
        <v>0.85416666666666663</v>
      </c>
      <c r="L19" s="55" t="s">
        <v>144</v>
      </c>
      <c r="M19" s="55" t="s">
        <v>279</v>
      </c>
      <c r="N19" s="55" t="s">
        <v>546</v>
      </c>
      <c r="O19" s="55" t="s">
        <v>558</v>
      </c>
      <c r="Q19" s="56"/>
      <c r="R19" s="56"/>
      <c r="S19" s="56"/>
      <c r="T19" s="56"/>
      <c r="U19" s="56"/>
      <c r="V19" s="56"/>
    </row>
    <row r="20" spans="1:22" ht="15" x14ac:dyDescent="0.25">
      <c r="A20" s="126">
        <v>45153</v>
      </c>
      <c r="B20" s="55" t="s">
        <v>519</v>
      </c>
      <c r="C20" s="55" t="s">
        <v>520</v>
      </c>
      <c r="D20" s="55" t="s">
        <v>521</v>
      </c>
      <c r="E20" s="55">
        <v>4.2999999999999997E-2</v>
      </c>
      <c r="F20" s="55">
        <v>3.6999999999999998E-2</v>
      </c>
      <c r="G20" s="55">
        <v>4.3999999999999997E-2</v>
      </c>
      <c r="H20" s="55" t="s">
        <v>7</v>
      </c>
      <c r="I20" s="55">
        <v>88</v>
      </c>
      <c r="J20" s="55" t="s">
        <v>522</v>
      </c>
      <c r="K20" s="127">
        <v>0.41666666666666669</v>
      </c>
      <c r="L20" s="55" t="s">
        <v>144</v>
      </c>
      <c r="M20" s="55" t="s">
        <v>279</v>
      </c>
      <c r="N20" s="55" t="s">
        <v>523</v>
      </c>
      <c r="O20" s="55" t="s">
        <v>524</v>
      </c>
      <c r="V20" s="56"/>
    </row>
    <row r="21" spans="1:22" ht="15" x14ac:dyDescent="0.25">
      <c r="A21" s="126">
        <v>45154</v>
      </c>
      <c r="B21" s="55" t="s">
        <v>534</v>
      </c>
      <c r="C21" s="55" t="s">
        <v>559</v>
      </c>
      <c r="D21" s="55" t="s">
        <v>521</v>
      </c>
      <c r="E21" s="55">
        <v>3.0000000000000001E-3</v>
      </c>
      <c r="F21" s="55">
        <v>0.01</v>
      </c>
      <c r="G21" s="55">
        <v>-5.0000000000000001E-3</v>
      </c>
      <c r="H21" s="55">
        <v>-8.0000000000000002E-3</v>
      </c>
      <c r="I21" s="55">
        <v>88</v>
      </c>
      <c r="J21" s="55" t="s">
        <v>560</v>
      </c>
      <c r="K21" s="127">
        <v>0.88541666666666663</v>
      </c>
      <c r="L21" s="55" t="s">
        <v>144</v>
      </c>
      <c r="M21" s="55" t="s">
        <v>279</v>
      </c>
      <c r="N21" s="55" t="s">
        <v>546</v>
      </c>
      <c r="O21" s="55" t="s">
        <v>561</v>
      </c>
      <c r="V21" s="56"/>
    </row>
    <row r="22" spans="1:22" ht="15" x14ac:dyDescent="0.25">
      <c r="A22" s="126">
        <v>45156</v>
      </c>
      <c r="B22" s="55" t="s">
        <v>319</v>
      </c>
      <c r="C22" s="55" t="s">
        <v>154</v>
      </c>
      <c r="D22" s="55" t="s">
        <v>320</v>
      </c>
      <c r="E22" s="55">
        <v>-1E-3</v>
      </c>
      <c r="F22" s="55">
        <v>-1E-3</v>
      </c>
      <c r="G22" s="55">
        <v>-1E-3</v>
      </c>
      <c r="H22" s="55" t="s">
        <v>7</v>
      </c>
      <c r="I22" s="55">
        <v>85</v>
      </c>
      <c r="J22" s="55" t="s">
        <v>333</v>
      </c>
      <c r="K22" s="127">
        <v>0.70833333333333337</v>
      </c>
      <c r="L22" s="55" t="s">
        <v>144</v>
      </c>
      <c r="M22" s="55" t="s">
        <v>279</v>
      </c>
      <c r="N22" s="55" t="s">
        <v>322</v>
      </c>
      <c r="O22" s="55" t="s">
        <v>334</v>
      </c>
      <c r="V22" s="56"/>
    </row>
    <row r="23" spans="1:22" ht="15" x14ac:dyDescent="0.25">
      <c r="A23" s="126">
        <v>45153</v>
      </c>
      <c r="B23" s="55" t="s">
        <v>519</v>
      </c>
      <c r="C23" s="55" t="s">
        <v>525</v>
      </c>
      <c r="D23" s="55" t="s">
        <v>521</v>
      </c>
      <c r="E23" s="55">
        <v>0.04</v>
      </c>
      <c r="F23" s="55">
        <v>2.5000000000000001E-2</v>
      </c>
      <c r="G23" s="55">
        <v>3.1E-2</v>
      </c>
      <c r="H23" s="55" t="s">
        <v>7</v>
      </c>
      <c r="I23" s="55">
        <v>84</v>
      </c>
      <c r="J23" s="55" t="s">
        <v>526</v>
      </c>
      <c r="K23" s="127">
        <v>0.41666666666666669</v>
      </c>
      <c r="L23" s="55" t="s">
        <v>144</v>
      </c>
      <c r="M23" s="55" t="s">
        <v>279</v>
      </c>
      <c r="N23" s="55" t="s">
        <v>523</v>
      </c>
      <c r="O23" s="55" t="s">
        <v>527</v>
      </c>
      <c r="V23" s="56"/>
    </row>
    <row r="24" spans="1:22" ht="15" x14ac:dyDescent="0.25">
      <c r="A24" s="126">
        <v>45153</v>
      </c>
      <c r="B24" s="55" t="s">
        <v>534</v>
      </c>
      <c r="C24" s="55" t="s">
        <v>562</v>
      </c>
      <c r="D24" s="55" t="s">
        <v>339</v>
      </c>
      <c r="E24" s="55">
        <v>-1</v>
      </c>
      <c r="F24" s="55">
        <v>-19</v>
      </c>
      <c r="G24" s="55">
        <v>1.1000000000000001</v>
      </c>
      <c r="H24" s="55" t="s">
        <v>7</v>
      </c>
      <c r="I24" s="55">
        <v>83</v>
      </c>
      <c r="J24" s="55" t="s">
        <v>563</v>
      </c>
      <c r="K24" s="127">
        <v>0.85416666666666663</v>
      </c>
      <c r="L24" s="55" t="s">
        <v>144</v>
      </c>
      <c r="M24" s="55" t="s">
        <v>312</v>
      </c>
      <c r="N24" s="55" t="s">
        <v>564</v>
      </c>
      <c r="O24" s="55" t="s">
        <v>565</v>
      </c>
      <c r="V24" s="56"/>
    </row>
    <row r="25" spans="1:22" ht="15" x14ac:dyDescent="0.25">
      <c r="A25" s="126">
        <v>45155</v>
      </c>
      <c r="B25" s="55" t="s">
        <v>534</v>
      </c>
      <c r="C25" s="55" t="s">
        <v>566</v>
      </c>
      <c r="D25" s="55" t="s">
        <v>521</v>
      </c>
      <c r="E25" s="55">
        <v>-4.0000000000000001E-3</v>
      </c>
      <c r="F25" s="55">
        <v>-4.0000000000000001E-3</v>
      </c>
      <c r="G25" s="55">
        <v>-7.0000000000000001E-3</v>
      </c>
      <c r="H25" s="55" t="s">
        <v>7</v>
      </c>
      <c r="I25" s="55">
        <v>82</v>
      </c>
      <c r="J25" s="55" t="s">
        <v>567</v>
      </c>
      <c r="K25" s="127">
        <v>0.91666666666666663</v>
      </c>
      <c r="L25" s="55" t="s">
        <v>144</v>
      </c>
      <c r="M25" s="55" t="s">
        <v>279</v>
      </c>
      <c r="N25" s="55" t="s">
        <v>546</v>
      </c>
      <c r="O25" s="55" t="s">
        <v>568</v>
      </c>
      <c r="V25" s="56"/>
    </row>
    <row r="26" spans="1:22" ht="15" x14ac:dyDescent="0.25">
      <c r="A26" s="126">
        <v>45156</v>
      </c>
      <c r="B26" s="55" t="s">
        <v>319</v>
      </c>
      <c r="C26" s="55" t="s">
        <v>335</v>
      </c>
      <c r="D26" s="55" t="s">
        <v>320</v>
      </c>
      <c r="E26" s="55">
        <v>5.5E-2</v>
      </c>
      <c r="F26" s="55">
        <v>5.5E-2</v>
      </c>
      <c r="G26" s="55">
        <v>5.5E-2</v>
      </c>
      <c r="H26" s="55" t="s">
        <v>7</v>
      </c>
      <c r="I26" s="55">
        <v>71</v>
      </c>
      <c r="J26" s="55" t="s">
        <v>336</v>
      </c>
      <c r="K26" s="127">
        <v>0.70833333333333337</v>
      </c>
      <c r="L26" s="55" t="s">
        <v>144</v>
      </c>
      <c r="M26" s="55" t="s">
        <v>279</v>
      </c>
      <c r="N26" s="55" t="s">
        <v>322</v>
      </c>
      <c r="O26" s="55" t="s">
        <v>337</v>
      </c>
      <c r="V26" s="56"/>
    </row>
    <row r="27" spans="1:22" ht="15" x14ac:dyDescent="0.25">
      <c r="A27" s="126">
        <v>45153</v>
      </c>
      <c r="B27" s="55" t="s">
        <v>519</v>
      </c>
      <c r="C27" s="55" t="s">
        <v>528</v>
      </c>
      <c r="D27" s="55" t="s">
        <v>521</v>
      </c>
      <c r="E27" s="55">
        <v>3.7999999999999999E-2</v>
      </c>
      <c r="F27" s="55">
        <v>3.7999999999999999E-2</v>
      </c>
      <c r="G27" s="55">
        <v>3.7999999999999999E-2</v>
      </c>
      <c r="H27" s="55" t="s">
        <v>7</v>
      </c>
      <c r="I27" s="55">
        <v>66</v>
      </c>
      <c r="J27" s="55" t="s">
        <v>529</v>
      </c>
      <c r="K27" s="127">
        <v>0.41666666666666669</v>
      </c>
      <c r="L27" s="55" t="s">
        <v>144</v>
      </c>
      <c r="M27" s="55" t="s">
        <v>279</v>
      </c>
      <c r="N27" s="55" t="s">
        <v>523</v>
      </c>
      <c r="O27" s="55" t="s">
        <v>530</v>
      </c>
      <c r="V27" s="56"/>
    </row>
    <row r="28" spans="1:22" ht="15" x14ac:dyDescent="0.25">
      <c r="A28" s="126">
        <v>45153</v>
      </c>
      <c r="B28" s="55" t="s">
        <v>519</v>
      </c>
      <c r="C28" s="55" t="s">
        <v>531</v>
      </c>
      <c r="D28" s="55" t="s">
        <v>521</v>
      </c>
      <c r="E28" s="55">
        <v>3.6999999999999998E-2</v>
      </c>
      <c r="F28" s="55">
        <v>3.4000000000000002E-2</v>
      </c>
      <c r="G28" s="55">
        <v>3.7999999999999999E-2</v>
      </c>
      <c r="H28" s="55" t="s">
        <v>7</v>
      </c>
      <c r="I28" s="55">
        <v>62</v>
      </c>
      <c r="J28" s="55" t="s">
        <v>532</v>
      </c>
      <c r="K28" s="127">
        <v>0.41666666666666669</v>
      </c>
      <c r="L28" s="55" t="s">
        <v>144</v>
      </c>
      <c r="M28" s="55" t="s">
        <v>279</v>
      </c>
      <c r="N28" s="55" t="s">
        <v>523</v>
      </c>
      <c r="O28" s="55" t="s">
        <v>533</v>
      </c>
    </row>
    <row r="29" spans="1:22" ht="15" x14ac:dyDescent="0.25">
      <c r="A29" s="126">
        <v>45153</v>
      </c>
      <c r="B29" s="55" t="s">
        <v>319</v>
      </c>
      <c r="C29" s="55" t="s">
        <v>338</v>
      </c>
      <c r="D29" s="55" t="s">
        <v>339</v>
      </c>
      <c r="E29" s="55" t="s">
        <v>7</v>
      </c>
      <c r="F29" s="55">
        <v>-5.5</v>
      </c>
      <c r="G29" s="55">
        <v>-12.2</v>
      </c>
      <c r="H29" s="55" t="s">
        <v>7</v>
      </c>
      <c r="I29" s="55">
        <v>61</v>
      </c>
      <c r="J29" s="55" t="s">
        <v>340</v>
      </c>
      <c r="K29" s="127">
        <v>0.70833333333333337</v>
      </c>
      <c r="L29" s="55" t="s">
        <v>144</v>
      </c>
      <c r="M29" s="55" t="s">
        <v>312</v>
      </c>
      <c r="N29" s="55" t="s">
        <v>341</v>
      </c>
      <c r="O29" s="55" t="s">
        <v>342</v>
      </c>
    </row>
    <row r="30" spans="1:22" ht="15" x14ac:dyDescent="0.25"/>
    <row r="31" spans="1:22" ht="15" x14ac:dyDescent="0.25"/>
    <row r="32" spans="1:2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7" type="noConversion"/>
  <conditionalFormatting sqref="I13:I29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dataValidations count="2">
    <dataValidation type="list" allowBlank="1" showInputMessage="1" showErrorMessage="1" sqref="C3:C8" xr:uid="{93BE4856-26AC-41BB-9A51-0DAC314F15E0}">
      <formula1>dd_econ</formula1>
    </dataValidation>
    <dataValidation type="list" allowBlank="1" showInputMessage="1" sqref="I1" xr:uid="{247CD28C-E434-4B8B-BA8E-BA3C6FA30DA7}">
      <formula1>dd_econ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I13:I29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35"/>
  <sheetViews>
    <sheetView workbookViewId="0">
      <selection activeCell="H1" sqref="H1"/>
    </sheetView>
  </sheetViews>
  <sheetFormatPr defaultColWidth="8.88671875" defaultRowHeight="15" x14ac:dyDescent="0.25"/>
  <cols>
    <col min="1" max="1" width="9.33203125" style="53" bestFit="1" customWidth="1"/>
    <col min="2" max="2" width="6.77734375" style="53" bestFit="1" customWidth="1"/>
    <col min="3" max="3" width="25" style="53" bestFit="1" customWidth="1"/>
    <col min="4" max="4" width="12.6640625" style="53" bestFit="1" customWidth="1"/>
    <col min="5" max="5" width="6.44140625" style="53" bestFit="1" customWidth="1"/>
    <col min="6" max="6" width="6.109375" style="53" bestFit="1" customWidth="1"/>
    <col min="7" max="7" width="6.6640625" style="53" bestFit="1" customWidth="1"/>
    <col min="8" max="8" width="7.33203125" style="53" bestFit="1" customWidth="1"/>
    <col min="9" max="9" width="9.21875" style="53" bestFit="1" customWidth="1" collapsed="1"/>
    <col min="10" max="10" width="15.77734375" style="53" bestFit="1" customWidth="1"/>
    <col min="11" max="11" width="10.6640625" style="53" bestFit="1" customWidth="1"/>
    <col min="12" max="12" width="7.21875" style="53" bestFit="1" customWidth="1"/>
    <col min="13" max="13" width="4.33203125" style="53" bestFit="1" customWidth="1"/>
    <col min="14" max="14" width="9.33203125" style="53" bestFit="1" customWidth="1"/>
    <col min="15" max="15" width="28.44140625" style="53" bestFit="1" customWidth="1" collapsed="1"/>
    <col min="16" max="16" width="6.5546875" style="53" customWidth="1"/>
    <col min="17" max="17" width="6.77734375" style="53" customWidth="1"/>
    <col min="18" max="18" width="28.109375" style="53" bestFit="1" customWidth="1"/>
    <col min="19" max="19" width="12.6640625" style="53" bestFit="1" customWidth="1"/>
    <col min="20" max="22" width="7.6640625" style="53" customWidth="1"/>
    <col min="23" max="23" width="6.109375" style="53" bestFit="1" customWidth="1"/>
    <col min="24" max="24" width="9.44140625" style="53" bestFit="1" customWidth="1"/>
    <col min="25" max="25" width="35.109375" style="53" bestFit="1" customWidth="1"/>
    <col min="26" max="16384" width="8.88671875" style="53"/>
  </cols>
  <sheetData>
    <row r="1" spans="1:22" ht="59.25" customHeight="1" x14ac:dyDescent="0.25">
      <c r="A1" s="52" t="s">
        <v>201</v>
      </c>
      <c r="H1" s="133" t="s">
        <v>204</v>
      </c>
    </row>
    <row r="2" spans="1:22" x14ac:dyDescent="0.25">
      <c r="B2" s="54" t="s">
        <v>95</v>
      </c>
      <c r="C2" s="54" t="s">
        <v>204</v>
      </c>
      <c r="D2" s="54" t="s">
        <v>207</v>
      </c>
      <c r="E2" s="54" t="s">
        <v>195</v>
      </c>
      <c r="F2" s="54" t="s">
        <v>196</v>
      </c>
      <c r="V2" s="56"/>
    </row>
    <row r="3" spans="1:22" x14ac:dyDescent="0.25">
      <c r="B3" s="54">
        <v>4</v>
      </c>
      <c r="C3" s="55" t="s">
        <v>572</v>
      </c>
      <c r="D3" s="75">
        <f>IFERROR(INDEX(FUTURE[Date],MATCH(input_future[[#This Row],[未来一周主要经济数据]],FUTURE[未来一周主要经济数据],0)),"")</f>
        <v>45161</v>
      </c>
      <c r="E3" s="58">
        <f>IFERROR(INDEX(FUTURE[Prior],MATCH(input_future[[#This Row],[未来一周主要经济数据]],FUTURE[未来一周主要经济数据],0)),"")</f>
        <v>42.7</v>
      </c>
      <c r="F3" s="58">
        <f>IFERROR(INDEX(FUTURE[Survey],MATCH(input_future[[#This Row],[未来一周主要经济数据]],FUTURE[未来一周主要经济数据],0)),"")</f>
        <v>42.6</v>
      </c>
      <c r="V3" s="63"/>
    </row>
    <row r="4" spans="1:22" x14ac:dyDescent="0.25">
      <c r="B4" s="54">
        <v>6</v>
      </c>
      <c r="C4" s="55" t="s">
        <v>575</v>
      </c>
      <c r="D4" s="75">
        <f>IFERROR(INDEX(FUTURE[Date],MATCH(input_future[[#This Row],[未来一周主要经济数据]],FUTURE[未来一周主要经济数据],0)),"")</f>
        <v>45161</v>
      </c>
      <c r="E4" s="58">
        <f>IFERROR(INDEX(FUTURE[Prior],MATCH(input_future[[#This Row],[未来一周主要经济数据]],FUTURE[未来一周主要经济数据],0)),"")</f>
        <v>48.6</v>
      </c>
      <c r="F4" s="58">
        <f>IFERROR(INDEX(FUTURE[Survey],MATCH(input_future[[#This Row],[未来一周主要经济数据]],FUTURE[未来一周主要经济数据],0)),"")</f>
        <v>48.5</v>
      </c>
      <c r="V4" s="63"/>
    </row>
    <row r="5" spans="1:22" x14ac:dyDescent="0.25">
      <c r="B5" s="54">
        <v>2</v>
      </c>
      <c r="C5" s="55" t="s">
        <v>578</v>
      </c>
      <c r="D5" s="75">
        <f>IFERROR(INDEX(FUTURE[Date],MATCH(input_future[[#This Row],[未来一周主要经济数据]],FUTURE[未来一周主要经济数据],0)),"")</f>
        <v>45161</v>
      </c>
      <c r="E5" s="58">
        <f>IFERROR(INDEX(FUTURE[Prior],MATCH(input_future[[#This Row],[未来一周主要经济数据]],FUTURE[未来一周主要经济数据],0)),"")</f>
        <v>50.9</v>
      </c>
      <c r="F5" s="58">
        <f>IFERROR(INDEX(FUTURE[Survey],MATCH(input_future[[#This Row],[未来一周主要经济数据]],FUTURE[未来一周主要经济数据],0)),"")</f>
        <v>50.5</v>
      </c>
      <c r="V5" s="63"/>
    </row>
    <row r="6" spans="1:22" x14ac:dyDescent="0.25">
      <c r="B6" s="54">
        <v>5</v>
      </c>
      <c r="C6" s="55" t="s">
        <v>543</v>
      </c>
      <c r="D6" s="75">
        <f>IFERROR(INDEX(FUTURE[Date],MATCH(input_future[[#This Row],[未来一周主要经济数据]],FUTURE[未来一周主要经济数据],0)),"")</f>
        <v>45162</v>
      </c>
      <c r="E6" s="58" t="str">
        <f>IFERROR(INDEX(FUTURE[Prior],MATCH(input_future[[#This Row],[未来一周主要经济数据]],FUTURE[未来一周主要经济数据],0)),"")</f>
        <v>239k</v>
      </c>
      <c r="F6" s="58" t="str">
        <f>IFERROR(INDEX(FUTURE[Survey],MATCH(input_future[[#This Row],[未来一周主要经济数据]],FUTURE[未来一周主要经济数据],0)),"")</f>
        <v>240k</v>
      </c>
      <c r="V6" s="63"/>
    </row>
    <row r="7" spans="1:22" x14ac:dyDescent="0.25">
      <c r="B7" s="54">
        <v>3</v>
      </c>
      <c r="C7" s="55" t="s">
        <v>590</v>
      </c>
      <c r="D7" s="75">
        <f>IFERROR(INDEX(FUTURE[Date],MATCH(input_future[[#This Row],[未来一周主要经济数据]],FUTURE[未来一周主要经济数据],0)),"")</f>
        <v>45162</v>
      </c>
      <c r="E7" s="58">
        <f>IFERROR(INDEX(FUTURE[Prior],MATCH(input_future[[#This Row],[未来一周主要经济数据]],FUTURE[未来一周主要经济数据],0)),"")</f>
        <v>4.5999999999999999E-2</v>
      </c>
      <c r="F7" s="58">
        <f>IFERROR(INDEX(FUTURE[Survey],MATCH(input_future[[#This Row],[未来一周主要经济数据]],FUTURE[未来一周主要经济数据],0)),"")</f>
        <v>-0.04</v>
      </c>
      <c r="V7" s="63"/>
    </row>
    <row r="8" spans="1:22" x14ac:dyDescent="0.25">
      <c r="B8" s="54">
        <v>1</v>
      </c>
      <c r="C8" s="55" t="s">
        <v>586</v>
      </c>
      <c r="D8" s="75">
        <f>IFERROR(INDEX(FUTURE[Date],MATCH(input_future[[#This Row],[未来一周主要经济数据]],FUTURE[未来一周主要经济数据],0)),"")</f>
        <v>45163</v>
      </c>
      <c r="E8" s="58">
        <f>IFERROR(INDEX(FUTURE[Prior],MATCH(input_future[[#This Row],[未来一周主要经济数据]],FUTURE[未来一周主要经济数据],0)),"")</f>
        <v>71.2</v>
      </c>
      <c r="F8" s="58">
        <f>IFERROR(INDEX(FUTURE[Survey],MATCH(input_future[[#This Row],[未来一周主要经济数据]],FUTURE[未来一周主要经济数据],0)),"")</f>
        <v>71.2</v>
      </c>
      <c r="V8" s="63"/>
    </row>
    <row r="9" spans="1:22" x14ac:dyDescent="0.25">
      <c r="Q9" s="56"/>
      <c r="R9" s="56"/>
      <c r="S9" s="56"/>
      <c r="T9" s="56"/>
      <c r="U9" s="56"/>
      <c r="V9" s="56"/>
    </row>
    <row r="10" spans="1:22" x14ac:dyDescent="0.25">
      <c r="A10" s="55" t="s">
        <v>145</v>
      </c>
      <c r="B10" s="55" t="s">
        <v>198</v>
      </c>
      <c r="C10" s="55" t="s">
        <v>146</v>
      </c>
      <c r="D10" s="55" t="s">
        <v>199</v>
      </c>
      <c r="E10" s="55" t="s">
        <v>147</v>
      </c>
      <c r="F10" s="55" t="s">
        <v>148</v>
      </c>
      <c r="G10" s="55" t="s">
        <v>149</v>
      </c>
      <c r="H10" s="55" t="s">
        <v>150</v>
      </c>
      <c r="I10" s="55" t="s">
        <v>151</v>
      </c>
      <c r="J10" s="55" t="s">
        <v>152</v>
      </c>
      <c r="K10" s="55" t="s">
        <v>153</v>
      </c>
      <c r="L10" s="55" t="s">
        <v>200</v>
      </c>
      <c r="M10" s="55" t="s">
        <v>202</v>
      </c>
      <c r="N10" s="55" t="s">
        <v>203</v>
      </c>
      <c r="O10" s="55" t="s">
        <v>204</v>
      </c>
      <c r="Q10" s="56"/>
      <c r="R10" s="56"/>
      <c r="S10" s="56"/>
      <c r="T10" s="56"/>
      <c r="U10" s="56"/>
      <c r="V10" s="56"/>
    </row>
    <row r="11" spans="1:22" x14ac:dyDescent="0.25">
      <c r="A11" s="68">
        <v>45160</v>
      </c>
      <c r="B11" s="53" t="s">
        <v>534</v>
      </c>
      <c r="C11" s="53" t="s">
        <v>599</v>
      </c>
      <c r="D11" s="53" t="s">
        <v>521</v>
      </c>
      <c r="E11" s="53" t="s">
        <v>600</v>
      </c>
      <c r="F11" s="53" t="s">
        <v>7</v>
      </c>
      <c r="G11" s="53" t="s">
        <v>601</v>
      </c>
      <c r="H11" s="53" t="s">
        <v>7</v>
      </c>
      <c r="I11" s="53">
        <v>86</v>
      </c>
      <c r="J11" s="53" t="s">
        <v>602</v>
      </c>
      <c r="K11" s="66">
        <v>0.91666666666666663</v>
      </c>
      <c r="L11" s="53" t="s">
        <v>201</v>
      </c>
      <c r="M11" s="53" t="s">
        <v>279</v>
      </c>
      <c r="N11" s="53" t="s">
        <v>546</v>
      </c>
      <c r="O11" s="53" t="s">
        <v>603</v>
      </c>
      <c r="Q11" s="56"/>
      <c r="R11" s="56"/>
      <c r="S11" s="56"/>
      <c r="T11" s="56"/>
      <c r="U11" s="56"/>
      <c r="V11" s="56"/>
    </row>
    <row r="12" spans="1:22" x14ac:dyDescent="0.25">
      <c r="A12" s="68">
        <v>45161</v>
      </c>
      <c r="B12" s="53" t="s">
        <v>319</v>
      </c>
      <c r="C12" s="53" t="s">
        <v>569</v>
      </c>
      <c r="D12" s="53" t="s">
        <v>570</v>
      </c>
      <c r="E12" s="53">
        <v>42.6</v>
      </c>
      <c r="F12" s="53" t="s">
        <v>7</v>
      </c>
      <c r="G12" s="53">
        <v>42.7</v>
      </c>
      <c r="H12" s="53" t="s">
        <v>7</v>
      </c>
      <c r="I12" s="53">
        <v>90</v>
      </c>
      <c r="J12" s="53" t="s">
        <v>571</v>
      </c>
      <c r="K12" s="66">
        <v>0.66666666666666663</v>
      </c>
      <c r="L12" s="53" t="s">
        <v>201</v>
      </c>
      <c r="M12" s="53" t="s">
        <v>312</v>
      </c>
      <c r="N12" s="53" t="s">
        <v>312</v>
      </c>
      <c r="O12" s="53" t="s">
        <v>572</v>
      </c>
      <c r="Q12" s="56"/>
      <c r="R12" s="56"/>
      <c r="S12" s="56"/>
      <c r="T12" s="56"/>
      <c r="U12" s="56"/>
      <c r="V12" s="56"/>
    </row>
    <row r="13" spans="1:22" x14ac:dyDescent="0.25">
      <c r="A13" s="68">
        <v>45161</v>
      </c>
      <c r="B13" s="53" t="s">
        <v>319</v>
      </c>
      <c r="C13" s="53" t="s">
        <v>573</v>
      </c>
      <c r="D13" s="53" t="s">
        <v>570</v>
      </c>
      <c r="E13" s="53">
        <v>48.5</v>
      </c>
      <c r="F13" s="53" t="s">
        <v>7</v>
      </c>
      <c r="G13" s="53">
        <v>48.6</v>
      </c>
      <c r="H13" s="53" t="s">
        <v>7</v>
      </c>
      <c r="I13" s="53">
        <v>73</v>
      </c>
      <c r="J13" s="53" t="s">
        <v>574</v>
      </c>
      <c r="K13" s="66">
        <v>0.66666666666666663</v>
      </c>
      <c r="L13" s="53" t="s">
        <v>201</v>
      </c>
      <c r="M13" s="53" t="s">
        <v>312</v>
      </c>
      <c r="N13" s="53" t="s">
        <v>312</v>
      </c>
      <c r="O13" s="53" t="s">
        <v>575</v>
      </c>
      <c r="Q13" s="56"/>
      <c r="R13" s="56"/>
      <c r="S13" s="56"/>
      <c r="T13" s="56"/>
      <c r="U13" s="56"/>
      <c r="V13" s="56"/>
    </row>
    <row r="14" spans="1:22" x14ac:dyDescent="0.25">
      <c r="A14" s="68">
        <v>45161</v>
      </c>
      <c r="B14" s="53" t="s">
        <v>319</v>
      </c>
      <c r="C14" s="53" t="s">
        <v>576</v>
      </c>
      <c r="D14" s="53" t="s">
        <v>570</v>
      </c>
      <c r="E14" s="53">
        <v>50.5</v>
      </c>
      <c r="F14" s="53" t="s">
        <v>7</v>
      </c>
      <c r="G14" s="53">
        <v>50.9</v>
      </c>
      <c r="H14" s="53" t="s">
        <v>7</v>
      </c>
      <c r="I14" s="53">
        <v>70</v>
      </c>
      <c r="J14" s="53" t="s">
        <v>577</v>
      </c>
      <c r="K14" s="66">
        <v>0.66666666666666663</v>
      </c>
      <c r="L14" s="53" t="s">
        <v>201</v>
      </c>
      <c r="M14" s="53" t="s">
        <v>312</v>
      </c>
      <c r="N14" s="53" t="s">
        <v>312</v>
      </c>
      <c r="O14" s="53" t="s">
        <v>578</v>
      </c>
      <c r="Q14" s="56"/>
      <c r="R14" s="56"/>
      <c r="S14" s="56"/>
      <c r="T14" s="56"/>
      <c r="U14" s="56"/>
      <c r="V14" s="56"/>
    </row>
    <row r="15" spans="1:22" x14ac:dyDescent="0.25">
      <c r="A15" s="68">
        <v>45161</v>
      </c>
      <c r="B15" s="53" t="s">
        <v>319</v>
      </c>
      <c r="C15" s="53" t="s">
        <v>579</v>
      </c>
      <c r="D15" s="53" t="s">
        <v>570</v>
      </c>
      <c r="E15" s="53">
        <v>-14.5</v>
      </c>
      <c r="F15" s="53" t="s">
        <v>7</v>
      </c>
      <c r="G15" s="53">
        <v>-15.1</v>
      </c>
      <c r="H15" s="53" t="s">
        <v>7</v>
      </c>
      <c r="I15" s="53">
        <v>66</v>
      </c>
      <c r="J15" s="53" t="s">
        <v>580</v>
      </c>
      <c r="K15" s="66">
        <v>0.91666666666666663</v>
      </c>
      <c r="L15" s="53" t="s">
        <v>201</v>
      </c>
      <c r="M15" s="53" t="s">
        <v>312</v>
      </c>
      <c r="N15" s="53" t="s">
        <v>341</v>
      </c>
      <c r="O15" s="53" t="s">
        <v>581</v>
      </c>
      <c r="Q15" s="56"/>
      <c r="R15" s="56"/>
      <c r="S15" s="56"/>
      <c r="T15" s="56"/>
      <c r="U15" s="56"/>
      <c r="V15" s="56"/>
    </row>
    <row r="16" spans="1:22" x14ac:dyDescent="0.25">
      <c r="A16" s="68">
        <v>45161</v>
      </c>
      <c r="B16" s="53" t="s">
        <v>534</v>
      </c>
      <c r="C16" s="53" t="s">
        <v>548</v>
      </c>
      <c r="D16" s="53" t="s">
        <v>591</v>
      </c>
      <c r="E16" s="53" t="s">
        <v>7</v>
      </c>
      <c r="F16" s="53" t="s">
        <v>7</v>
      </c>
      <c r="G16" s="53">
        <v>-8.0000000000000002E-3</v>
      </c>
      <c r="H16" s="53" t="s">
        <v>7</v>
      </c>
      <c r="I16" s="53">
        <v>91</v>
      </c>
      <c r="J16" s="53" t="s">
        <v>550</v>
      </c>
      <c r="K16" s="66">
        <v>0.79166666666666663</v>
      </c>
      <c r="L16" s="53" t="s">
        <v>201</v>
      </c>
      <c r="M16" s="53" t="s">
        <v>103</v>
      </c>
      <c r="N16" s="53" t="s">
        <v>542</v>
      </c>
      <c r="O16" s="53" t="s">
        <v>551</v>
      </c>
      <c r="Q16" s="56"/>
      <c r="R16" s="56"/>
      <c r="S16" s="56"/>
      <c r="T16" s="56"/>
      <c r="U16" s="56"/>
      <c r="V16" s="56"/>
    </row>
    <row r="17" spans="1:22" x14ac:dyDescent="0.25">
      <c r="A17" s="68">
        <v>45161</v>
      </c>
      <c r="B17" s="53" t="s">
        <v>534</v>
      </c>
      <c r="C17" s="53" t="s">
        <v>592</v>
      </c>
      <c r="D17" s="53" t="s">
        <v>570</v>
      </c>
      <c r="E17" s="53">
        <v>49</v>
      </c>
      <c r="F17" s="53" t="s">
        <v>7</v>
      </c>
      <c r="G17" s="53">
        <v>49</v>
      </c>
      <c r="H17" s="53" t="s">
        <v>7</v>
      </c>
      <c r="I17" s="53">
        <v>90</v>
      </c>
      <c r="J17" s="53" t="s">
        <v>593</v>
      </c>
      <c r="K17" s="66">
        <v>0.90625</v>
      </c>
      <c r="L17" s="53" t="s">
        <v>201</v>
      </c>
      <c r="M17" s="53" t="s">
        <v>312</v>
      </c>
      <c r="N17" s="53" t="s">
        <v>312</v>
      </c>
      <c r="O17" s="53" t="s">
        <v>594</v>
      </c>
      <c r="Q17" s="56"/>
      <c r="R17" s="56"/>
      <c r="S17" s="56"/>
      <c r="T17" s="56"/>
      <c r="U17" s="56"/>
      <c r="V17" s="56"/>
    </row>
    <row r="18" spans="1:22" x14ac:dyDescent="0.25">
      <c r="A18" s="68">
        <v>45161</v>
      </c>
      <c r="B18" s="53" t="s">
        <v>534</v>
      </c>
      <c r="C18" s="53" t="s">
        <v>595</v>
      </c>
      <c r="D18" s="53" t="s">
        <v>521</v>
      </c>
      <c r="E18" s="53" t="s">
        <v>623</v>
      </c>
      <c r="F18" s="53" t="s">
        <v>7</v>
      </c>
      <c r="G18" s="53" t="s">
        <v>596</v>
      </c>
      <c r="H18" s="53" t="s">
        <v>7</v>
      </c>
      <c r="I18" s="53">
        <v>89</v>
      </c>
      <c r="J18" s="53" t="s">
        <v>597</v>
      </c>
      <c r="K18" s="66">
        <v>0.91666666666666663</v>
      </c>
      <c r="L18" s="53" t="s">
        <v>201</v>
      </c>
      <c r="M18" s="53" t="s">
        <v>279</v>
      </c>
      <c r="N18" s="53" t="s">
        <v>546</v>
      </c>
      <c r="O18" s="53" t="s">
        <v>598</v>
      </c>
    </row>
    <row r="19" spans="1:22" x14ac:dyDescent="0.25">
      <c r="A19" s="68">
        <v>45162</v>
      </c>
      <c r="B19" s="53" t="s">
        <v>534</v>
      </c>
      <c r="C19" s="53" t="s">
        <v>535</v>
      </c>
      <c r="D19" s="53" t="s">
        <v>582</v>
      </c>
      <c r="E19" s="53" t="s">
        <v>537</v>
      </c>
      <c r="F19" s="53" t="s">
        <v>7</v>
      </c>
      <c r="G19" s="53" t="s">
        <v>538</v>
      </c>
      <c r="H19" s="53" t="s">
        <v>7</v>
      </c>
      <c r="I19" s="53">
        <v>98</v>
      </c>
      <c r="J19" s="53" t="s">
        <v>541</v>
      </c>
      <c r="K19" s="66">
        <v>0.85416666666666663</v>
      </c>
      <c r="L19" s="53" t="s">
        <v>201</v>
      </c>
      <c r="M19" s="53" t="s">
        <v>103</v>
      </c>
      <c r="N19" s="53" t="s">
        <v>542</v>
      </c>
      <c r="O19" s="53" t="s">
        <v>543</v>
      </c>
      <c r="Q19" s="56"/>
      <c r="R19" s="56"/>
      <c r="S19" s="56"/>
      <c r="T19" s="56"/>
      <c r="U19" s="56"/>
      <c r="V19" s="56"/>
    </row>
    <row r="20" spans="1:22" x14ac:dyDescent="0.25">
      <c r="A20" s="68">
        <v>45162</v>
      </c>
      <c r="B20" s="53" t="s">
        <v>534</v>
      </c>
      <c r="C20" s="53" t="s">
        <v>587</v>
      </c>
      <c r="D20" s="53" t="s">
        <v>588</v>
      </c>
      <c r="E20" s="53">
        <v>-0.04</v>
      </c>
      <c r="F20" s="53" t="s">
        <v>7</v>
      </c>
      <c r="G20" s="53">
        <v>4.5999999999999999E-2</v>
      </c>
      <c r="H20" s="53" t="s">
        <v>7</v>
      </c>
      <c r="I20" s="53">
        <v>91</v>
      </c>
      <c r="J20" s="53" t="s">
        <v>589</v>
      </c>
      <c r="K20" s="66">
        <v>0.85416666666666663</v>
      </c>
      <c r="L20" s="53" t="s">
        <v>201</v>
      </c>
      <c r="M20" s="53" t="s">
        <v>279</v>
      </c>
      <c r="N20" s="53" t="s">
        <v>546</v>
      </c>
      <c r="O20" s="53" t="s">
        <v>590</v>
      </c>
      <c r="V20" s="56"/>
    </row>
    <row r="21" spans="1:22" x14ac:dyDescent="0.25">
      <c r="A21" s="68">
        <v>45163</v>
      </c>
      <c r="B21" s="53" t="s">
        <v>534</v>
      </c>
      <c r="C21" s="53" t="s">
        <v>583</v>
      </c>
      <c r="D21" s="53" t="s">
        <v>584</v>
      </c>
      <c r="E21" s="53">
        <v>71.2</v>
      </c>
      <c r="F21" s="53" t="s">
        <v>7</v>
      </c>
      <c r="G21" s="53">
        <v>71.2</v>
      </c>
      <c r="H21" s="53" t="s">
        <v>7</v>
      </c>
      <c r="I21" s="53">
        <v>95</v>
      </c>
      <c r="J21" s="53" t="s">
        <v>585</v>
      </c>
      <c r="K21" s="66">
        <v>0.91666666666666663</v>
      </c>
      <c r="L21" s="53" t="s">
        <v>201</v>
      </c>
      <c r="M21" s="53" t="s">
        <v>312</v>
      </c>
      <c r="N21" s="53" t="s">
        <v>564</v>
      </c>
      <c r="O21" s="53" t="s">
        <v>586</v>
      </c>
      <c r="V21" s="56"/>
    </row>
    <row r="22" spans="1:22" x14ac:dyDescent="0.25">
      <c r="V22" s="56"/>
    </row>
    <row r="23" spans="1:22" x14ac:dyDescent="0.25">
      <c r="A23" s="68"/>
      <c r="K23" s="66"/>
      <c r="V23" s="56"/>
    </row>
    <row r="24" spans="1:22" x14ac:dyDescent="0.25">
      <c r="A24" s="68"/>
      <c r="K24" s="66"/>
      <c r="Q24" s="56"/>
      <c r="R24" s="56"/>
      <c r="S24" s="56"/>
      <c r="T24" s="56"/>
      <c r="U24" s="56"/>
      <c r="V24" s="56"/>
    </row>
    <row r="25" spans="1:22" x14ac:dyDescent="0.25">
      <c r="A25" s="68"/>
      <c r="K25" s="66"/>
      <c r="Q25" s="56"/>
      <c r="R25" s="56"/>
      <c r="S25" s="67"/>
      <c r="T25" s="63"/>
      <c r="U25" s="63"/>
      <c r="V25" s="56"/>
    </row>
    <row r="26" spans="1:22" x14ac:dyDescent="0.25">
      <c r="A26" s="68"/>
      <c r="K26" s="66"/>
      <c r="Q26" s="56"/>
      <c r="R26" s="56"/>
      <c r="S26" s="67"/>
      <c r="T26" s="63"/>
      <c r="U26" s="63"/>
      <c r="V26" s="56"/>
    </row>
    <row r="27" spans="1:22" x14ac:dyDescent="0.25">
      <c r="A27" s="68"/>
      <c r="K27" s="66"/>
      <c r="Q27" s="56"/>
      <c r="R27" s="56"/>
      <c r="S27" s="67"/>
      <c r="T27" s="63"/>
      <c r="U27" s="63"/>
      <c r="V27" s="56"/>
    </row>
    <row r="28" spans="1:22" x14ac:dyDescent="0.25">
      <c r="A28" s="68"/>
      <c r="K28" s="66"/>
      <c r="Q28" s="56"/>
      <c r="R28" s="56"/>
      <c r="S28" s="67"/>
      <c r="T28" s="63"/>
      <c r="U28" s="63"/>
    </row>
    <row r="29" spans="1:22" x14ac:dyDescent="0.25">
      <c r="A29" s="68"/>
      <c r="K29" s="66"/>
      <c r="Q29" s="56"/>
      <c r="R29" s="56"/>
      <c r="S29" s="67"/>
      <c r="T29" s="63"/>
      <c r="U29" s="63"/>
    </row>
    <row r="30" spans="1:22" x14ac:dyDescent="0.25">
      <c r="A30" s="68"/>
      <c r="K30" s="66"/>
      <c r="Q30" s="56"/>
      <c r="R30" s="56"/>
      <c r="S30" s="67"/>
      <c r="T30" s="63"/>
      <c r="U30" s="63"/>
    </row>
    <row r="31" spans="1:22" x14ac:dyDescent="0.25">
      <c r="A31" s="68"/>
      <c r="K31" s="66"/>
    </row>
    <row r="32" spans="1:22" x14ac:dyDescent="0.25">
      <c r="A32" s="68"/>
      <c r="K32" s="66"/>
    </row>
    <row r="33" spans="1:11" x14ac:dyDescent="0.25">
      <c r="A33" s="68"/>
      <c r="K33" s="66"/>
    </row>
    <row r="34" spans="1:11" x14ac:dyDescent="0.25">
      <c r="A34" s="68"/>
      <c r="K34" s="66"/>
    </row>
    <row r="35" spans="1:11" x14ac:dyDescent="0.25">
      <c r="A35" s="68"/>
      <c r="K35" s="66"/>
    </row>
  </sheetData>
  <conditionalFormatting sqref="I23:I35 I11:I21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2">
    <dataValidation type="list" allowBlank="1" showInputMessage="1" sqref="H1" xr:uid="{190CA822-8438-459E-9664-4295D566F166}">
      <formula1>dd_econfuture</formula1>
    </dataValidation>
    <dataValidation type="list" allowBlank="1" showInputMessage="1" showErrorMessage="1" sqref="C3:C8" xr:uid="{31688EE8-2314-4D04-B044-655D4C8CA3AE}">
      <formula1>dd_econ1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I23:I35 I11:I21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rgb="FFF4EBE0"/>
  </sheetPr>
  <dimension ref="A1:S30"/>
  <sheetViews>
    <sheetView zoomScale="130" zoomScaleNormal="130" workbookViewId="0">
      <selection activeCell="M18" sqref="M18"/>
    </sheetView>
  </sheetViews>
  <sheetFormatPr defaultColWidth="8.88671875" defaultRowHeight="18.75" customHeight="1" x14ac:dyDescent="0.25"/>
  <cols>
    <col min="1" max="1" width="5.6640625" style="4" customWidth="1"/>
    <col min="2" max="2" width="5" style="4" bestFit="1" customWidth="1"/>
    <col min="3" max="3" width="5.33203125" style="4" bestFit="1" customWidth="1" collapsed="1"/>
    <col min="4" max="4" width="1.21875" style="4" customWidth="1"/>
    <col min="5" max="5" width="11.21875" style="4" bestFit="1" customWidth="1"/>
    <col min="6" max="6" width="11.33203125" style="4" bestFit="1" customWidth="1"/>
    <col min="7" max="8" width="19.33203125" style="4" customWidth="1"/>
    <col min="9" max="13" width="2.88671875" style="4" customWidth="1"/>
    <col min="14" max="14" width="11.44140625" style="4" customWidth="1"/>
    <col min="15" max="15" width="17.5546875" style="4" bestFit="1" customWidth="1"/>
    <col min="16" max="16" width="13.44140625" style="4" bestFit="1" customWidth="1"/>
    <col min="17" max="17" width="9.5546875" style="4" bestFit="1" customWidth="1"/>
    <col min="18" max="18" width="31.6640625" style="4" bestFit="1" customWidth="1"/>
    <col min="19" max="19" width="13.109375" style="4" bestFit="1" customWidth="1"/>
    <col min="20" max="20" width="16.21875" style="4" bestFit="1" customWidth="1"/>
    <col min="21" max="21" width="17.109375" style="4" bestFit="1" customWidth="1"/>
    <col min="22" max="22" width="11.21875" style="4" bestFit="1" customWidth="1"/>
    <col min="23" max="23" width="7.88671875" style="4" bestFit="1" customWidth="1"/>
    <col min="24" max="24" width="13.33203125" style="4" bestFit="1" customWidth="1"/>
    <col min="25" max="25" width="6.109375" style="4" bestFit="1" customWidth="1"/>
    <col min="26" max="26" width="7.88671875" style="4" bestFit="1" customWidth="1"/>
    <col min="27" max="28" width="11.21875" style="4" bestFit="1" customWidth="1"/>
    <col min="29" max="29" width="7.88671875" style="4" bestFit="1" customWidth="1"/>
    <col min="30" max="16384" width="8.88671875" style="4"/>
  </cols>
  <sheetData>
    <row r="1" spans="1:19" ht="67.5" customHeight="1" x14ac:dyDescent="0.25">
      <c r="A1" s="9" t="s">
        <v>168</v>
      </c>
      <c r="C1" s="10"/>
      <c r="E1" s="32" t="s">
        <v>118</v>
      </c>
      <c r="F1" s="32" t="s">
        <v>121</v>
      </c>
      <c r="G1" s="33" t="s">
        <v>122</v>
      </c>
      <c r="H1" s="33" t="s">
        <v>131</v>
      </c>
      <c r="N1" s="29"/>
      <c r="O1" s="29"/>
      <c r="P1" s="29"/>
      <c r="Q1" s="29"/>
      <c r="R1" s="29"/>
      <c r="S1" s="29"/>
    </row>
    <row r="2" spans="1:19" ht="15" x14ac:dyDescent="0.25">
      <c r="E2" s="34" t="s">
        <v>55</v>
      </c>
      <c r="F2" s="35" t="s">
        <v>117</v>
      </c>
      <c r="G2" s="36"/>
      <c r="H2" s="36"/>
    </row>
    <row r="3" spans="1:19" ht="15" x14ac:dyDescent="0.25">
      <c r="E3" s="34" t="s">
        <v>56</v>
      </c>
      <c r="F3" s="37">
        <v>44998</v>
      </c>
      <c r="G3" s="38"/>
      <c r="H3" s="38"/>
    </row>
    <row r="4" spans="1:19" ht="15" x14ac:dyDescent="0.25">
      <c r="E4" s="34" t="s">
        <v>105</v>
      </c>
      <c r="F4" s="35" t="s">
        <v>181</v>
      </c>
      <c r="G4" s="36"/>
      <c r="H4" s="36"/>
    </row>
    <row r="5" spans="1:19" ht="15" x14ac:dyDescent="0.25">
      <c r="E5" s="34" t="s">
        <v>98</v>
      </c>
      <c r="F5" s="35" t="s">
        <v>31</v>
      </c>
      <c r="G5" s="36"/>
      <c r="H5" s="36"/>
    </row>
    <row r="6" spans="1:19" ht="15" x14ac:dyDescent="0.25">
      <c r="E6" s="87" t="s">
        <v>281</v>
      </c>
      <c r="F6" s="35" t="s">
        <v>284</v>
      </c>
      <c r="G6" s="36"/>
      <c r="H6" s="36"/>
    </row>
    <row r="7" spans="1:19" ht="15" x14ac:dyDescent="0.25">
      <c r="E7" s="34" t="s">
        <v>36</v>
      </c>
      <c r="F7" s="35" t="s">
        <v>37</v>
      </c>
      <c r="G7" s="36"/>
      <c r="H7" s="36"/>
    </row>
    <row r="8" spans="1:19" ht="15" x14ac:dyDescent="0.25">
      <c r="E8" s="34" t="s">
        <v>169</v>
      </c>
      <c r="F8" s="39" t="s">
        <v>92</v>
      </c>
      <c r="G8" s="36"/>
      <c r="H8" s="40"/>
    </row>
    <row r="9" spans="1:19" ht="15" x14ac:dyDescent="0.25">
      <c r="E9" s="34" t="s">
        <v>104</v>
      </c>
      <c r="F9" s="35" t="s">
        <v>139</v>
      </c>
      <c r="G9" s="36"/>
      <c r="H9" s="36"/>
    </row>
    <row r="10" spans="1:19" ht="15" x14ac:dyDescent="0.25">
      <c r="E10" s="34" t="s">
        <v>72</v>
      </c>
      <c r="F10" s="35" t="s">
        <v>94</v>
      </c>
      <c r="G10" s="36"/>
      <c r="H10" s="36"/>
    </row>
    <row r="11" spans="1:19" ht="15" x14ac:dyDescent="0.25">
      <c r="E11" s="34" t="s">
        <v>65</v>
      </c>
      <c r="F11" s="35">
        <v>0.6</v>
      </c>
      <c r="G11" s="36"/>
      <c r="H11" s="36"/>
    </row>
    <row r="12" spans="1:19" ht="15" x14ac:dyDescent="0.25">
      <c r="E12" s="34" t="s">
        <v>59</v>
      </c>
      <c r="F12" s="41" t="s">
        <v>209</v>
      </c>
      <c r="G12" s="42"/>
      <c r="H12" s="43"/>
    </row>
    <row r="13" spans="1:19" ht="15" x14ac:dyDescent="0.25">
      <c r="E13" s="34" t="s">
        <v>96</v>
      </c>
      <c r="F13" s="35">
        <v>3</v>
      </c>
      <c r="G13" s="36"/>
      <c r="H13" s="36"/>
    </row>
    <row r="14" spans="1:19" ht="15" x14ac:dyDescent="0.25">
      <c r="E14" s="34" t="s">
        <v>166</v>
      </c>
      <c r="F14" s="39" t="s">
        <v>7</v>
      </c>
      <c r="G14" s="44"/>
      <c r="H14" s="44"/>
    </row>
    <row r="15" spans="1:19" ht="15" x14ac:dyDescent="0.25">
      <c r="E15" s="34" t="s">
        <v>167</v>
      </c>
      <c r="F15" s="45">
        <v>7.5999999999999998E-2</v>
      </c>
      <c r="G15" s="44"/>
      <c r="H15" s="40"/>
    </row>
    <row r="16" spans="1:19" ht="15" x14ac:dyDescent="0.25">
      <c r="E16" s="34" t="s">
        <v>102</v>
      </c>
      <c r="F16" s="46" t="s">
        <v>101</v>
      </c>
      <c r="G16" s="36"/>
      <c r="H16" s="36"/>
    </row>
    <row r="17" spans="5:16" ht="46.5" x14ac:dyDescent="0.25">
      <c r="E17" s="34" t="s">
        <v>99</v>
      </c>
      <c r="F17" s="35" t="s">
        <v>43</v>
      </c>
      <c r="G17" s="36"/>
      <c r="H17" s="36"/>
      <c r="O17" s="60"/>
      <c r="P17" s="8"/>
    </row>
    <row r="18" spans="5:16" ht="15" x14ac:dyDescent="0.25">
      <c r="E18" s="34" t="s">
        <v>48</v>
      </c>
      <c r="F18" s="35"/>
      <c r="G18" s="36"/>
      <c r="H18" s="36"/>
    </row>
    <row r="19" spans="5:16" ht="15" x14ac:dyDescent="0.25">
      <c r="E19" s="34" t="s">
        <v>185</v>
      </c>
      <c r="F19" s="39"/>
      <c r="G19" s="36"/>
      <c r="H19" s="40"/>
    </row>
    <row r="20" spans="5:16" ht="15" x14ac:dyDescent="0.25">
      <c r="E20" s="62" t="s">
        <v>216</v>
      </c>
      <c r="F20" s="39" t="s">
        <v>7</v>
      </c>
      <c r="G20" s="36"/>
      <c r="H20" s="40"/>
    </row>
    <row r="21" spans="5:16" ht="15" x14ac:dyDescent="0.25">
      <c r="E21" s="62" t="s">
        <v>214</v>
      </c>
      <c r="F21" s="47" t="str">
        <f>IFERROR(VLOOKUP(VLOOKUP("货币",tbl_extra_isin[],COLUMN()-COLUMN(tbl_extra_isin[[#This Row],[List]])+1,FALSE),#REF!,2,FALSE)*VLOOKUP("发行规模(亿)",tbl_extra_isin[],COLUMN()-COLUMN(tbl_extra_isin[[#This Row],[List]])+1,FALSE),"")</f>
        <v/>
      </c>
      <c r="G21" s="47" t="str">
        <f>IFERROR(VLOOKUP(VLOOKUP("货币",tbl_extra_isin[],COLUMN()-COLUMN(tbl_extra_isin[[#This Row],[List]])+1,FALSE),#REF!,2,FALSE)*VLOOKUP("发行规模(亿)",tbl_extra_isin[],COLUMN()-COLUMN(tbl_extra_isin[[#This Row],[List]])+1,FALSE),"")</f>
        <v/>
      </c>
      <c r="H21" s="47" t="str">
        <f>IFERROR(VLOOKUP(VLOOKUP("货币",tbl_extra_isin[],COLUMN()-COLUMN(tbl_extra_isin[[#This Row],[List]])+1,FALSE),#REF!,2,FALSE)*VLOOKUP("发行规模(亿)",tbl_extra_isin[],COLUMN()-COLUMN(tbl_extra_isin[[#This Row],[List]])+1,FALSE),"")</f>
        <v/>
      </c>
    </row>
    <row r="22" spans="5:16" ht="15" x14ac:dyDescent="0.25">
      <c r="E22" s="34" t="s">
        <v>97</v>
      </c>
      <c r="F22" s="47" t="str">
        <f>SUBSTITUTE(SUBSTITUTE(IFERROR(IF(F14&lt;&gt;"--",TEXT(F14,"0.00%")&amp;"a","--"),"--"),"0.00%a","--"),"aa","a")</f>
        <v>--</v>
      </c>
      <c r="G22" s="47" t="str">
        <f t="shared" ref="G22:H22" si="0">SUBSTITUTE(SUBSTITUTE(IFERROR(IF(G14&lt;&gt;"--",TEXT(G14,"0.00%")&amp;"a","--"),"--"),"0.00%a","--"),"aa","a")</f>
        <v>--</v>
      </c>
      <c r="H22" s="47" t="str">
        <f t="shared" si="0"/>
        <v>--</v>
      </c>
    </row>
    <row r="23" spans="5:16" ht="15" x14ac:dyDescent="0.25">
      <c r="E23" s="34" t="s">
        <v>61</v>
      </c>
      <c r="F23" s="47" t="str">
        <f>IF(ISNUMBER(F15),TEXT(F15,"0.00%"),IF(ISBLANK(F15),"--","--"))</f>
        <v>7.60%</v>
      </c>
      <c r="G23" s="47" t="str">
        <f t="shared" ref="G23:H23" si="1">IF(ISNUMBER(G15),TEXT(G15,"0.00%"),IF(ISBLANK(G15),"--","--"))</f>
        <v>--</v>
      </c>
      <c r="H23" s="47" t="str">
        <f t="shared" si="1"/>
        <v>--</v>
      </c>
    </row>
    <row r="24" spans="5:16" ht="15" x14ac:dyDescent="0.25">
      <c r="E24" s="34" t="s">
        <v>143</v>
      </c>
      <c r="F24" s="47" t="str">
        <f t="shared" ref="F24" si="2">SUBSTITUTE(TEXT(F12,"0.00%"),"0.00%","")</f>
        <v>4.20%</v>
      </c>
      <c r="G24" s="47" t="str">
        <f>SUBSTITUTE(TEXT(G12,"0.00%"),"0.00%","")</f>
        <v/>
      </c>
      <c r="H24" s="47" t="str">
        <f t="shared" ref="H24" si="3">SUBSTITUTE(TEXT(H12,"0.00%"),"0.00%","")</f>
        <v/>
      </c>
    </row>
    <row r="25" spans="5:16" ht="15" x14ac:dyDescent="0.25">
      <c r="E25" s="34" t="s">
        <v>54</v>
      </c>
      <c r="F25" s="48" t="str">
        <f>F4&amp;" "&amp;F10</f>
        <v>信用主体全名 USD</v>
      </c>
      <c r="G25" s="48" t="str">
        <f>G4&amp;" "&amp;G10</f>
        <v xml:space="preserve"> </v>
      </c>
      <c r="H25" s="48" t="str">
        <f>H4&amp;" "&amp;H10</f>
        <v xml:space="preserve"> </v>
      </c>
    </row>
    <row r="26" spans="5:16" ht="15" x14ac:dyDescent="0.25">
      <c r="E26" s="34" t="s">
        <v>137</v>
      </c>
      <c r="F26" s="48" t="str">
        <f>IF(ISNUMBER(MATCH(VLOOKUP("ISIN",tbl_extra_isin[],COLUMN()-COLUMN(tbl_extra_isin[[#This Row],[List]])+1,FALSE),#REF!,0)),"-[Dupe]","")</f>
        <v/>
      </c>
      <c r="G26" s="48" t="str">
        <f>IF(ISNUMBER(MATCH(VLOOKUP("ISIN",tbl_extra_isin[],COLUMN()-COLUMN(tbl_extra_isin[[#This Row],[List]])+1,FALSE),#REF!,0)),"-[Dupe]","")</f>
        <v/>
      </c>
      <c r="H26" s="48" t="str">
        <f>IF(ISNUMBER(MATCH(VLOOKUP("ISIN",tbl_extra_isin[],COLUMN()-COLUMN(tbl_extra_isin[[#This Row],[List]])+1,FALSE),#REF!,0)),"-[Dupe]","")</f>
        <v/>
      </c>
    </row>
    <row r="27" spans="5:16" ht="15" x14ac:dyDescent="0.25"/>
    <row r="28" spans="5:16" ht="15" x14ac:dyDescent="0.25"/>
    <row r="29" spans="5:16" ht="15" x14ac:dyDescent="0.25"/>
    <row r="30" spans="5:16" ht="15" x14ac:dyDescent="0.25"/>
  </sheetData>
  <phoneticPr fontId="17" type="noConversion"/>
  <dataValidations count="14">
    <dataValidation type="list" allowBlank="1" showInputMessage="1" showErrorMessage="1" sqref="F10:H10" xr:uid="{00000000-0002-0000-0800-000000000000}">
      <formula1>dd_crcy</formula1>
    </dataValidation>
    <dataValidation type="list" allowBlank="1" showInputMessage="1" showErrorMessage="1" sqref="F5:H5" xr:uid="{00000000-0002-0000-0800-000001000000}">
      <formula1>dd_region</formula1>
    </dataValidation>
    <dataValidation type="decimal" allowBlank="1" showInputMessage="1" showErrorMessage="1" promptTitle="发行规模" prompt="单位：亿" sqref="F11:H11" xr:uid="{00000000-0002-0000-0800-000002000000}">
      <formula1>0.1</formula1>
      <formula2>20</formula2>
    </dataValidation>
    <dataValidation type="list" allowBlank="1" showInputMessage="1" showErrorMessage="1" sqref="F7:H7" xr:uid="{00000000-0002-0000-0800-000003000000}">
      <formula1>dd_theme</formula1>
    </dataValidation>
    <dataValidation type="list" allowBlank="1" showInputMessage="1" showErrorMessage="1" sqref="F17:H17" xr:uid="{00000000-0002-0000-0800-000004000000}">
      <formula1>dd_structure</formula1>
    </dataValidation>
    <dataValidation type="list" allowBlank="1" showInputMessage="1" showErrorMessage="1" sqref="F6:H6" xr:uid="{00000000-0002-0000-0800-000005000000}">
      <formula1>dd_板块</formula1>
    </dataValidation>
    <dataValidation type="list" allowBlank="1" showInputMessage="1" showErrorMessage="1" sqref="F9:H9" xr:uid="{00000000-0002-0000-0800-000006000000}">
      <formula1>dd_byrtg</formula1>
    </dataValidation>
    <dataValidation allowBlank="1" showInputMessage="1" showErrorMessage="1" promptTitle="债项评级" prompt="M/S/F_x000a_--/--/--" sqref="F8:H8" xr:uid="{00000000-0002-0000-0800-000007000000}"/>
    <dataValidation allowBlank="1" showInputMessage="1" showErrorMessage="1" promptTitle="IPG" prompt="1）如无，填--_x000a_2）不需加&quot;a&quot;, e.g._x000a_T+150_x000a_7.5%_x000a__x000a_" sqref="F14:H14" xr:uid="{00000000-0002-0000-0800-000008000000}"/>
    <dataValidation type="list" allowBlank="1" showInputMessage="1" showErrorMessage="1" promptTitle="is_bocom deal? 参与承销的交行主体" prompt="--代表未参与_x000a_BISL及港分：共同参与且未合名_x000a_BISL及港分【合名】：使用combined marketing name" sqref="F19:H19" xr:uid="{00000000-0002-0000-0800-000009000000}">
      <formula1>dd_bocomdeal</formula1>
    </dataValidation>
    <dataValidation type="list" allowBlank="1" showInputMessage="1" showErrorMessage="1" promptTitle="IS_FIMTN" prompt="Y =excluded from deal list" sqref="F20:H20" xr:uid="{00000000-0002-0000-0800-00000A000000}">
      <formula1>dd_fi_shortlisted</formula1>
    </dataValidation>
    <dataValidation type="list" allowBlank="1" showInputMessage="1" showErrorMessage="1" sqref="F16:H16" xr:uid="{00000000-0002-0000-0800-00000B000000}">
      <formula1>dd_listing</formula1>
    </dataValidation>
    <dataValidation allowBlank="1" showInputMessage="1" showErrorMessage="1" promptTitle="全名" prompt="信用主体的全名" sqref="G4:H4" xr:uid="{00000000-0002-0000-0800-00000C000000}"/>
    <dataValidation allowBlank="1" showInputMessage="1" showErrorMessage="1" promptTitle="票面利率" prompt="例：4.2%" sqref="F12:H12" xr:uid="{00000000-0002-0000-0800-00000D000000}"/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xr:uid="{00000000-0002-0000-0800-00000E000000}">
          <x14:formula1>
            <xm:f>DOWNLOAD!$I$2-7</xm:f>
          </x14:formula1>
          <x14:formula2>
            <xm:f>DOWNLOAD!$I$2</xm:f>
          </x14:formula2>
          <xm:sqref>G3:H3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85E74-E8A0-4729-83E3-EFD401F92620}">
  <sheetPr codeName="Sheet11">
    <tabColor rgb="FFE1E1E9"/>
  </sheetPr>
  <dimension ref="A1:J10"/>
  <sheetViews>
    <sheetView workbookViewId="0">
      <selection activeCell="K18" sqref="K18"/>
    </sheetView>
  </sheetViews>
  <sheetFormatPr defaultRowHeight="15" x14ac:dyDescent="0.25"/>
  <cols>
    <col min="1" max="1" width="9.33203125" style="1" bestFit="1" customWidth="1"/>
    <col min="2" max="2" width="14.109375" style="1" bestFit="1" customWidth="1"/>
    <col min="3" max="3" width="25" style="1" bestFit="1" customWidth="1"/>
    <col min="4" max="4" width="7" style="1" bestFit="1" customWidth="1"/>
    <col min="5" max="5" width="7.5546875" style="1" bestFit="1" customWidth="1"/>
    <col min="6" max="6" width="5.88671875" style="1" bestFit="1" customWidth="1"/>
    <col min="7" max="7" width="9.33203125" style="1" bestFit="1" customWidth="1"/>
    <col min="8" max="8" width="9.21875" style="1" bestFit="1" customWidth="1"/>
    <col min="9" max="9" width="6" style="1" bestFit="1" customWidth="1"/>
    <col min="10" max="10" width="5.88671875" style="1" bestFit="1" customWidth="1"/>
    <col min="11" max="11" width="5.88671875" style="1" customWidth="1"/>
    <col min="12" max="12" width="6.109375" style="1" bestFit="1" customWidth="1"/>
    <col min="13" max="16384" width="8.88671875" style="1"/>
  </cols>
  <sheetData>
    <row r="1" spans="1:10" ht="58.5" customHeight="1" x14ac:dyDescent="0.55000000000000004">
      <c r="A1" s="128" t="s">
        <v>302</v>
      </c>
    </row>
    <row r="5" spans="1:10" x14ac:dyDescent="0.25">
      <c r="A5" t="s">
        <v>56</v>
      </c>
      <c r="B5" t="s">
        <v>55</v>
      </c>
      <c r="C5" t="s">
        <v>54</v>
      </c>
      <c r="D5" t="s">
        <v>96</v>
      </c>
      <c r="E5" t="s">
        <v>214</v>
      </c>
      <c r="F5" t="s">
        <v>72</v>
      </c>
      <c r="G5" t="s">
        <v>281</v>
      </c>
      <c r="H5" t="s">
        <v>104</v>
      </c>
      <c r="I5" t="s">
        <v>120</v>
      </c>
      <c r="J5" t="s">
        <v>141</v>
      </c>
    </row>
    <row r="6" spans="1:10" x14ac:dyDescent="0.25">
      <c r="A6" s="86">
        <v>45154</v>
      </c>
      <c r="B6" t="s">
        <v>377</v>
      </c>
      <c r="C6" t="s">
        <v>393</v>
      </c>
      <c r="D6">
        <v>1</v>
      </c>
      <c r="E6">
        <v>0.03</v>
      </c>
      <c r="F6" t="s">
        <v>94</v>
      </c>
      <c r="G6" t="s">
        <v>283</v>
      </c>
      <c r="H6" t="s">
        <v>139</v>
      </c>
      <c r="I6" t="s">
        <v>261</v>
      </c>
      <c r="J6" t="s">
        <v>468</v>
      </c>
    </row>
    <row r="7" spans="1:10" x14ac:dyDescent="0.25">
      <c r="A7" s="86">
        <v>45153</v>
      </c>
      <c r="B7" t="s">
        <v>379</v>
      </c>
      <c r="C7" t="s">
        <v>434</v>
      </c>
      <c r="D7">
        <v>5</v>
      </c>
      <c r="E7">
        <v>2</v>
      </c>
      <c r="F7" t="s">
        <v>94</v>
      </c>
      <c r="G7" t="s">
        <v>283</v>
      </c>
      <c r="H7" t="s">
        <v>139</v>
      </c>
      <c r="I7" t="s">
        <v>261</v>
      </c>
      <c r="J7" t="s">
        <v>469</v>
      </c>
    </row>
    <row r="8" spans="1:10" x14ac:dyDescent="0.25">
      <c r="A8" s="86">
        <v>45153</v>
      </c>
      <c r="B8" t="s">
        <v>383</v>
      </c>
      <c r="C8" t="s">
        <v>434</v>
      </c>
      <c r="D8">
        <v>5</v>
      </c>
      <c r="E8">
        <v>2</v>
      </c>
      <c r="F8" t="s">
        <v>94</v>
      </c>
      <c r="G8" t="s">
        <v>283</v>
      </c>
      <c r="H8" t="s">
        <v>139</v>
      </c>
      <c r="I8" t="s">
        <v>261</v>
      </c>
      <c r="J8" t="s">
        <v>469</v>
      </c>
    </row>
    <row r="9" spans="1:10" x14ac:dyDescent="0.25">
      <c r="A9" s="86">
        <v>45152</v>
      </c>
      <c r="B9" t="s">
        <v>389</v>
      </c>
      <c r="C9" t="s">
        <v>461</v>
      </c>
      <c r="D9">
        <v>1.8492999999999999</v>
      </c>
      <c r="E9">
        <v>0.04</v>
      </c>
      <c r="F9" t="s">
        <v>94</v>
      </c>
      <c r="G9" t="s">
        <v>283</v>
      </c>
      <c r="H9" t="s">
        <v>139</v>
      </c>
      <c r="I9" t="s">
        <v>261</v>
      </c>
      <c r="J9" t="s">
        <v>262</v>
      </c>
    </row>
    <row r="10" spans="1:10" x14ac:dyDescent="0.25">
      <c r="A10" s="86">
        <v>45152</v>
      </c>
      <c r="B10" t="s">
        <v>387</v>
      </c>
      <c r="C10" t="s">
        <v>457</v>
      </c>
      <c r="D10">
        <v>3</v>
      </c>
      <c r="E10">
        <v>0.5</v>
      </c>
      <c r="F10" t="s">
        <v>94</v>
      </c>
      <c r="G10" t="s">
        <v>283</v>
      </c>
      <c r="H10" t="s">
        <v>139</v>
      </c>
      <c r="I10" t="s">
        <v>261</v>
      </c>
      <c r="J10" t="s">
        <v>262</v>
      </c>
    </row>
  </sheetData>
  <phoneticPr fontId="1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Q14"/>
  <sheetViews>
    <sheetView topLeftCell="A4" workbookViewId="0">
      <selection activeCell="E13" sqref="E13"/>
    </sheetView>
  </sheetViews>
  <sheetFormatPr defaultRowHeight="15" x14ac:dyDescent="0.25"/>
  <cols>
    <col min="1" max="1" width="31.5546875" style="1" bestFit="1" customWidth="1"/>
    <col min="2" max="2" width="20.88671875" style="1" bestFit="1" customWidth="1"/>
    <col min="3" max="3" width="14.109375" style="1" bestFit="1" customWidth="1"/>
    <col min="4" max="4" width="9.33203125" style="1" bestFit="1" customWidth="1"/>
    <col min="5" max="5" width="45.44140625" style="1" bestFit="1" customWidth="1"/>
    <col min="6" max="6" width="10" style="1" bestFit="1" customWidth="1"/>
    <col min="7" max="7" width="12.5546875" style="1" bestFit="1" customWidth="1"/>
    <col min="8" max="8" width="9.21875" style="1" bestFit="1" customWidth="1"/>
    <col min="9" max="9" width="12" style="1" bestFit="1" customWidth="1"/>
    <col min="10" max="10" width="5.88671875" style="1" bestFit="1" customWidth="1"/>
    <col min="11" max="11" width="12" style="1" bestFit="1" customWidth="1"/>
    <col min="12" max="12" width="12.5546875" style="1" bestFit="1" customWidth="1"/>
    <col min="13" max="13" width="9.33203125" style="1" bestFit="1" customWidth="1"/>
    <col min="14" max="14" width="31.5546875" style="1" bestFit="1" customWidth="1"/>
    <col min="15" max="15" width="9.44140625" style="1" bestFit="1" customWidth="1"/>
    <col min="16" max="16" width="10" style="1" bestFit="1" customWidth="1"/>
    <col min="17" max="17" width="12.5546875" style="1" bestFit="1" customWidth="1"/>
    <col min="18" max="19" width="9.21875" style="1" bestFit="1" customWidth="1"/>
    <col min="20" max="20" width="24.6640625" style="1" bestFit="1" customWidth="1"/>
    <col min="21" max="21" width="14.88671875" style="1" bestFit="1" customWidth="1"/>
    <col min="22" max="22" width="7.5546875" style="1" bestFit="1" customWidth="1"/>
    <col min="23" max="23" width="9.21875" style="1" bestFit="1" customWidth="1"/>
    <col min="24" max="24" width="6" style="1" bestFit="1" customWidth="1"/>
    <col min="25" max="25" width="7.6640625" style="1" bestFit="1" customWidth="1"/>
    <col min="26" max="26" width="6" style="1" bestFit="1" customWidth="1"/>
    <col min="27" max="27" width="10.33203125" style="1" bestFit="1" customWidth="1"/>
    <col min="28" max="30" width="9.21875" style="1" bestFit="1" customWidth="1"/>
    <col min="31" max="31" width="80.88671875" style="1" bestFit="1" customWidth="1"/>
    <col min="32" max="33" width="9.21875" style="1" bestFit="1" customWidth="1"/>
    <col min="34" max="35" width="12.5546875" style="1" bestFit="1" customWidth="1"/>
    <col min="36" max="36" width="5.88671875" style="1" bestFit="1" customWidth="1"/>
    <col min="37" max="37" width="9.21875" style="1" bestFit="1" customWidth="1"/>
    <col min="38" max="38" width="14.44140625" style="1" bestFit="1" customWidth="1"/>
    <col min="39" max="39" width="9.21875" style="1" bestFit="1" customWidth="1"/>
    <col min="40" max="40" width="12.5546875" style="1" bestFit="1" customWidth="1"/>
    <col min="41" max="42" width="10.88671875" style="1" bestFit="1" customWidth="1"/>
    <col min="43" max="43" width="29.88671875" style="1" bestFit="1" customWidth="1"/>
    <col min="44" max="44" width="7.6640625" style="1" bestFit="1" customWidth="1"/>
    <col min="45" max="45" width="12.5546875" style="1" bestFit="1" customWidth="1"/>
    <col min="46" max="46" width="9.21875" style="1" bestFit="1" customWidth="1"/>
    <col min="47" max="47" width="17.88671875" style="1" bestFit="1" customWidth="1"/>
    <col min="48" max="53" width="9.21875" style="1" bestFit="1" customWidth="1"/>
    <col min="54" max="54" width="10.88671875" style="1" bestFit="1" customWidth="1"/>
    <col min="55" max="56" width="80.88671875" style="1" bestFit="1" customWidth="1"/>
    <col min="57" max="57" width="19" style="1" bestFit="1" customWidth="1"/>
    <col min="58" max="58" width="9.33203125" style="1" bestFit="1" customWidth="1"/>
    <col min="59" max="59" width="10.21875" style="1" bestFit="1" customWidth="1"/>
    <col min="60" max="60" width="10.88671875" style="1" bestFit="1" customWidth="1"/>
    <col min="61" max="61" width="28.109375" style="1" bestFit="1" customWidth="1"/>
    <col min="62" max="62" width="47.33203125" style="1" bestFit="1" customWidth="1"/>
    <col min="63" max="63" width="10.88671875" style="1" bestFit="1" customWidth="1"/>
    <col min="64" max="64" width="17.33203125" style="1" bestFit="1" customWidth="1"/>
    <col min="65" max="65" width="12.5546875" style="1" bestFit="1" customWidth="1"/>
    <col min="66" max="66" width="10.88671875" style="1" bestFit="1" customWidth="1"/>
    <col min="67" max="67" width="9.33203125" style="1" bestFit="1" customWidth="1"/>
    <col min="68" max="68" width="5.88671875" style="1" bestFit="1" customWidth="1"/>
    <col min="69" max="71" width="20.21875" style="1" bestFit="1" customWidth="1"/>
    <col min="72" max="76" width="19.33203125" style="1" bestFit="1" customWidth="1"/>
    <col min="77" max="77" width="6.109375" style="1" bestFit="1" customWidth="1"/>
    <col min="78" max="78" width="19.44140625" style="1" bestFit="1" customWidth="1"/>
    <col min="79" max="16384" width="8.88671875" style="1"/>
  </cols>
  <sheetData>
    <row r="1" spans="1:69" ht="67.5" customHeight="1" x14ac:dyDescent="0.25">
      <c r="A1" s="6" t="s">
        <v>350</v>
      </c>
    </row>
    <row r="5" spans="1:69" x14ac:dyDescent="0.25">
      <c r="A5" t="s">
        <v>105</v>
      </c>
      <c r="B5" t="s">
        <v>314</v>
      </c>
      <c r="C5" t="s">
        <v>55</v>
      </c>
      <c r="D5" t="s">
        <v>56</v>
      </c>
      <c r="E5" t="s">
        <v>54</v>
      </c>
      <c r="F5" t="s">
        <v>109</v>
      </c>
      <c r="G5" t="s">
        <v>110</v>
      </c>
      <c r="H5" t="s">
        <v>57</v>
      </c>
      <c r="I5" t="s">
        <v>65</v>
      </c>
      <c r="J5" t="s">
        <v>72</v>
      </c>
      <c r="K5" t="s">
        <v>66</v>
      </c>
      <c r="L5" t="s">
        <v>59</v>
      </c>
      <c r="M5" t="s">
        <v>60</v>
      </c>
      <c r="N5" t="s">
        <v>111</v>
      </c>
      <c r="O5" t="s">
        <v>253</v>
      </c>
      <c r="P5" t="s">
        <v>254</v>
      </c>
      <c r="Q5" t="s">
        <v>62</v>
      </c>
      <c r="R5" t="s">
        <v>245</v>
      </c>
      <c r="S5" t="s">
        <v>315</v>
      </c>
      <c r="T5" t="s">
        <v>63</v>
      </c>
      <c r="U5" t="s">
        <v>64</v>
      </c>
      <c r="V5" t="s">
        <v>67</v>
      </c>
      <c r="W5" t="s">
        <v>68</v>
      </c>
      <c r="X5" t="s">
        <v>106</v>
      </c>
      <c r="Y5" t="s">
        <v>52</v>
      </c>
      <c r="Z5" t="s">
        <v>53</v>
      </c>
      <c r="AA5" t="s">
        <v>163</v>
      </c>
      <c r="AB5" t="s">
        <v>69</v>
      </c>
      <c r="AC5" t="s">
        <v>70</v>
      </c>
      <c r="AD5" t="s">
        <v>71</v>
      </c>
      <c r="AE5" t="s">
        <v>73</v>
      </c>
      <c r="AF5" t="s">
        <v>51</v>
      </c>
      <c r="AG5" t="s">
        <v>107</v>
      </c>
      <c r="AH5" t="s">
        <v>217</v>
      </c>
      <c r="AI5" t="s">
        <v>58</v>
      </c>
      <c r="AJ5" t="s">
        <v>50</v>
      </c>
      <c r="AK5" t="s">
        <v>272</v>
      </c>
      <c r="AL5" t="s">
        <v>49</v>
      </c>
      <c r="AM5" t="s">
        <v>108</v>
      </c>
      <c r="AN5" t="s">
        <v>273</v>
      </c>
      <c r="AO5" t="s">
        <v>274</v>
      </c>
      <c r="AP5" t="s">
        <v>275</v>
      </c>
      <c r="AQ5" t="s">
        <v>276</v>
      </c>
      <c r="AR5" t="s">
        <v>74</v>
      </c>
      <c r="AS5" t="s">
        <v>112</v>
      </c>
      <c r="AT5" t="s">
        <v>113</v>
      </c>
      <c r="AU5" t="s">
        <v>90</v>
      </c>
      <c r="AV5" t="s">
        <v>89</v>
      </c>
      <c r="AW5" t="s">
        <v>116</v>
      </c>
      <c r="AX5" t="s">
        <v>88</v>
      </c>
      <c r="AY5" t="s">
        <v>87</v>
      </c>
      <c r="AZ5" t="s">
        <v>86</v>
      </c>
      <c r="BA5" t="s">
        <v>85</v>
      </c>
      <c r="BB5" t="s">
        <v>84</v>
      </c>
      <c r="BC5" t="s">
        <v>277</v>
      </c>
      <c r="BD5" t="s">
        <v>83</v>
      </c>
      <c r="BE5" t="s">
        <v>115</v>
      </c>
      <c r="BF5" t="s">
        <v>82</v>
      </c>
      <c r="BG5" t="s">
        <v>278</v>
      </c>
      <c r="BH5" t="s">
        <v>81</v>
      </c>
      <c r="BI5" t="s">
        <v>80</v>
      </c>
      <c r="BJ5" t="s">
        <v>79</v>
      </c>
      <c r="BK5" t="s">
        <v>78</v>
      </c>
      <c r="BL5" t="s">
        <v>77</v>
      </c>
      <c r="BM5" t="s">
        <v>114</v>
      </c>
      <c r="BN5" t="s">
        <v>76</v>
      </c>
      <c r="BO5" t="s">
        <v>75</v>
      </c>
      <c r="BP5" t="s">
        <v>98</v>
      </c>
      <c r="BQ5" t="s">
        <v>174</v>
      </c>
    </row>
    <row r="6" spans="1:69" x14ac:dyDescent="0.25">
      <c r="A6" t="s">
        <v>391</v>
      </c>
      <c r="B6" t="s">
        <v>392</v>
      </c>
      <c r="C6" t="s">
        <v>377</v>
      </c>
      <c r="D6" s="86">
        <v>45154</v>
      </c>
      <c r="E6" t="s">
        <v>393</v>
      </c>
      <c r="F6" t="s">
        <v>156</v>
      </c>
      <c r="G6" t="s">
        <v>156</v>
      </c>
      <c r="H6" t="s">
        <v>156</v>
      </c>
      <c r="I6">
        <v>0.03</v>
      </c>
      <c r="J6" t="s">
        <v>94</v>
      </c>
      <c r="K6" t="s">
        <v>394</v>
      </c>
      <c r="L6">
        <v>6.05</v>
      </c>
      <c r="M6" s="86">
        <v>45520</v>
      </c>
      <c r="N6" t="s">
        <v>125</v>
      </c>
      <c r="O6" t="s">
        <v>103</v>
      </c>
      <c r="P6" t="s">
        <v>103</v>
      </c>
      <c r="Q6"/>
      <c r="R6" t="s">
        <v>395</v>
      </c>
      <c r="S6" t="s">
        <v>45</v>
      </c>
      <c r="T6" t="s">
        <v>103</v>
      </c>
      <c r="U6" t="s">
        <v>396</v>
      </c>
      <c r="V6">
        <v>100</v>
      </c>
      <c r="W6"/>
      <c r="X6" t="s">
        <v>397</v>
      </c>
      <c r="Y6"/>
      <c r="Z6"/>
      <c r="AA6"/>
      <c r="AB6"/>
      <c r="AC6"/>
      <c r="AD6"/>
      <c r="AE6" t="s">
        <v>398</v>
      </c>
      <c r="AF6" t="s">
        <v>399</v>
      </c>
      <c r="AG6" t="s">
        <v>103</v>
      </c>
      <c r="AH6" t="s">
        <v>156</v>
      </c>
      <c r="AI6" t="s">
        <v>103</v>
      </c>
      <c r="AJ6" t="s">
        <v>93</v>
      </c>
      <c r="AK6" t="s">
        <v>504</v>
      </c>
      <c r="AL6" t="s">
        <v>155</v>
      </c>
      <c r="AM6" t="s">
        <v>91</v>
      </c>
      <c r="AN6"/>
      <c r="AO6"/>
      <c r="AP6"/>
      <c r="AQ6"/>
      <c r="AR6" t="s">
        <v>400</v>
      </c>
      <c r="AS6">
        <v>3000000</v>
      </c>
      <c r="AT6">
        <v>0.03</v>
      </c>
      <c r="AU6" t="s">
        <v>103</v>
      </c>
      <c r="AV6" t="s">
        <v>401</v>
      </c>
      <c r="AW6" t="s">
        <v>103</v>
      </c>
      <c r="AX6" t="s">
        <v>161</v>
      </c>
      <c r="AY6" t="s">
        <v>160</v>
      </c>
      <c r="AZ6" t="s">
        <v>159</v>
      </c>
      <c r="BA6" t="s">
        <v>158</v>
      </c>
      <c r="BB6" t="s">
        <v>158</v>
      </c>
      <c r="BC6" t="s">
        <v>398</v>
      </c>
      <c r="BD6" t="s">
        <v>103</v>
      </c>
      <c r="BE6" t="s">
        <v>103</v>
      </c>
      <c r="BF6" s="86">
        <v>45156</v>
      </c>
      <c r="BG6"/>
      <c r="BH6" s="86">
        <v>45156</v>
      </c>
      <c r="BI6" t="s">
        <v>391</v>
      </c>
      <c r="BJ6" t="s">
        <v>402</v>
      </c>
      <c r="BK6" s="86">
        <v>45520</v>
      </c>
      <c r="BL6" t="s">
        <v>103</v>
      </c>
      <c r="BM6">
        <v>6.05</v>
      </c>
      <c r="BN6" s="86"/>
      <c r="BO6" s="86">
        <v>45156</v>
      </c>
      <c r="BP6" t="s">
        <v>12</v>
      </c>
      <c r="BQ6" t="s">
        <v>378</v>
      </c>
    </row>
    <row r="7" spans="1:69" x14ac:dyDescent="0.25">
      <c r="A7" t="s">
        <v>403</v>
      </c>
      <c r="B7" t="s">
        <v>404</v>
      </c>
      <c r="C7" t="s">
        <v>374</v>
      </c>
      <c r="D7" s="86">
        <v>45154</v>
      </c>
      <c r="E7" t="s">
        <v>405</v>
      </c>
      <c r="F7" t="s">
        <v>156</v>
      </c>
      <c r="G7" t="s">
        <v>156</v>
      </c>
      <c r="H7" t="s">
        <v>156</v>
      </c>
      <c r="I7">
        <v>2.9</v>
      </c>
      <c r="J7" t="s">
        <v>119</v>
      </c>
      <c r="K7" t="s">
        <v>244</v>
      </c>
      <c r="L7">
        <v>3.98</v>
      </c>
      <c r="M7" s="86">
        <v>46257</v>
      </c>
      <c r="N7" t="s">
        <v>406</v>
      </c>
      <c r="O7" t="s">
        <v>103</v>
      </c>
      <c r="P7" t="s">
        <v>407</v>
      </c>
      <c r="Q7"/>
      <c r="R7" t="s">
        <v>246</v>
      </c>
      <c r="S7" t="s">
        <v>301</v>
      </c>
      <c r="T7" t="s">
        <v>408</v>
      </c>
      <c r="U7" t="s">
        <v>157</v>
      </c>
      <c r="V7">
        <v>100</v>
      </c>
      <c r="W7"/>
      <c r="X7" t="s">
        <v>409</v>
      </c>
      <c r="Y7" t="s">
        <v>410</v>
      </c>
      <c r="Z7" t="s">
        <v>505</v>
      </c>
      <c r="AA7"/>
      <c r="AB7"/>
      <c r="AC7"/>
      <c r="AD7"/>
      <c r="AE7" t="s">
        <v>411</v>
      </c>
      <c r="AF7" t="s">
        <v>307</v>
      </c>
      <c r="AG7" t="s">
        <v>103</v>
      </c>
      <c r="AH7" t="s">
        <v>156</v>
      </c>
      <c r="AI7" t="s">
        <v>310</v>
      </c>
      <c r="AJ7" t="s">
        <v>1</v>
      </c>
      <c r="AK7" t="s">
        <v>316</v>
      </c>
      <c r="AL7" t="s">
        <v>155</v>
      </c>
      <c r="AM7" t="s">
        <v>91</v>
      </c>
      <c r="AN7"/>
      <c r="AO7"/>
      <c r="AP7"/>
      <c r="AQ7" t="s">
        <v>412</v>
      </c>
      <c r="AR7" t="s">
        <v>413</v>
      </c>
      <c r="AS7">
        <v>10000</v>
      </c>
      <c r="AT7">
        <v>2.9</v>
      </c>
      <c r="AU7" t="s">
        <v>103</v>
      </c>
      <c r="AV7" t="s">
        <v>162</v>
      </c>
      <c r="AW7" t="s">
        <v>103</v>
      </c>
      <c r="AX7" t="s">
        <v>161</v>
      </c>
      <c r="AY7" t="s">
        <v>160</v>
      </c>
      <c r="AZ7" t="s">
        <v>159</v>
      </c>
      <c r="BA7" t="s">
        <v>158</v>
      </c>
      <c r="BB7" t="s">
        <v>158</v>
      </c>
      <c r="BC7" t="s">
        <v>414</v>
      </c>
      <c r="BD7" t="s">
        <v>415</v>
      </c>
      <c r="BE7" t="s">
        <v>306</v>
      </c>
      <c r="BF7" s="86">
        <v>45161</v>
      </c>
      <c r="BG7" t="s">
        <v>407</v>
      </c>
      <c r="BH7" s="86">
        <v>45161</v>
      </c>
      <c r="BI7" t="s">
        <v>103</v>
      </c>
      <c r="BJ7" t="s">
        <v>403</v>
      </c>
      <c r="BK7" s="86">
        <v>45192</v>
      </c>
      <c r="BL7" t="s">
        <v>103</v>
      </c>
      <c r="BM7">
        <v>3.98</v>
      </c>
      <c r="BN7" s="86"/>
      <c r="BO7" s="86">
        <v>45161</v>
      </c>
      <c r="BP7" t="s">
        <v>17</v>
      </c>
      <c r="BQ7" t="s">
        <v>376</v>
      </c>
    </row>
    <row r="8" spans="1:69" x14ac:dyDescent="0.25">
      <c r="A8" t="s">
        <v>416</v>
      </c>
      <c r="B8" t="s">
        <v>417</v>
      </c>
      <c r="C8" t="s">
        <v>368</v>
      </c>
      <c r="D8" s="86">
        <v>45154</v>
      </c>
      <c r="E8" t="s">
        <v>418</v>
      </c>
      <c r="F8" t="s">
        <v>419</v>
      </c>
      <c r="G8" t="s">
        <v>420</v>
      </c>
      <c r="H8" t="s">
        <v>156</v>
      </c>
      <c r="I8">
        <v>3</v>
      </c>
      <c r="J8" t="s">
        <v>94</v>
      </c>
      <c r="K8" t="s">
        <v>244</v>
      </c>
      <c r="L8"/>
      <c r="M8" s="86">
        <v>46257</v>
      </c>
      <c r="N8" t="s">
        <v>125</v>
      </c>
      <c r="O8" t="s">
        <v>103</v>
      </c>
      <c r="P8" t="s">
        <v>103</v>
      </c>
      <c r="Q8"/>
      <c r="R8" t="s">
        <v>246</v>
      </c>
      <c r="S8" t="s">
        <v>421</v>
      </c>
      <c r="T8" t="s">
        <v>103</v>
      </c>
      <c r="U8" t="s">
        <v>157</v>
      </c>
      <c r="V8"/>
      <c r="W8"/>
      <c r="X8" t="s">
        <v>422</v>
      </c>
      <c r="Y8" t="s">
        <v>423</v>
      </c>
      <c r="Z8"/>
      <c r="AA8"/>
      <c r="AB8"/>
      <c r="AC8"/>
      <c r="AD8"/>
      <c r="AE8" t="s">
        <v>424</v>
      </c>
      <c r="AF8" t="s">
        <v>399</v>
      </c>
      <c r="AG8" t="s">
        <v>103</v>
      </c>
      <c r="AH8" t="s">
        <v>156</v>
      </c>
      <c r="AI8" t="s">
        <v>305</v>
      </c>
      <c r="AJ8" t="s">
        <v>93</v>
      </c>
      <c r="AK8" t="s">
        <v>316</v>
      </c>
      <c r="AL8" t="s">
        <v>425</v>
      </c>
      <c r="AM8" t="s">
        <v>188</v>
      </c>
      <c r="AN8"/>
      <c r="AO8"/>
      <c r="AP8"/>
      <c r="AQ8"/>
      <c r="AR8" t="s">
        <v>426</v>
      </c>
      <c r="AS8">
        <v>1000</v>
      </c>
      <c r="AT8">
        <v>3</v>
      </c>
      <c r="AU8" t="s">
        <v>416</v>
      </c>
      <c r="AV8" t="s">
        <v>427</v>
      </c>
      <c r="AW8" t="s">
        <v>103</v>
      </c>
      <c r="AX8" t="s">
        <v>161</v>
      </c>
      <c r="AY8" t="s">
        <v>160</v>
      </c>
      <c r="AZ8" t="s">
        <v>428</v>
      </c>
      <c r="BA8" t="s">
        <v>158</v>
      </c>
      <c r="BB8" t="s">
        <v>158</v>
      </c>
      <c r="BC8" t="s">
        <v>429</v>
      </c>
      <c r="BD8" t="s">
        <v>103</v>
      </c>
      <c r="BE8" t="s">
        <v>103</v>
      </c>
      <c r="BF8" s="86">
        <v>45161</v>
      </c>
      <c r="BG8"/>
      <c r="BH8" s="86">
        <v>45161</v>
      </c>
      <c r="BI8" t="s">
        <v>103</v>
      </c>
      <c r="BJ8" t="s">
        <v>430</v>
      </c>
      <c r="BK8" s="86">
        <v>45254</v>
      </c>
      <c r="BL8" t="s">
        <v>431</v>
      </c>
      <c r="BM8">
        <v>6.3353000000000002</v>
      </c>
      <c r="BN8" s="86"/>
      <c r="BO8" s="86">
        <v>45161</v>
      </c>
      <c r="BP8" t="s">
        <v>13</v>
      </c>
      <c r="BQ8" t="s">
        <v>372</v>
      </c>
    </row>
    <row r="9" spans="1:69" x14ac:dyDescent="0.25">
      <c r="A9" t="s">
        <v>432</v>
      </c>
      <c r="B9" t="s">
        <v>433</v>
      </c>
      <c r="C9" t="s">
        <v>383</v>
      </c>
      <c r="D9" s="86">
        <v>45153</v>
      </c>
      <c r="E9" t="s">
        <v>434</v>
      </c>
      <c r="F9" t="s">
        <v>435</v>
      </c>
      <c r="G9" t="s">
        <v>308</v>
      </c>
      <c r="H9" t="s">
        <v>156</v>
      </c>
      <c r="I9">
        <v>2</v>
      </c>
      <c r="J9" t="s">
        <v>94</v>
      </c>
      <c r="K9" t="s">
        <v>436</v>
      </c>
      <c r="L9"/>
      <c r="M9" s="86">
        <v>46987</v>
      </c>
      <c r="N9" t="s">
        <v>125</v>
      </c>
      <c r="O9" t="s">
        <v>103</v>
      </c>
      <c r="P9" t="s">
        <v>103</v>
      </c>
      <c r="Q9"/>
      <c r="R9" t="s">
        <v>246</v>
      </c>
      <c r="S9" t="s">
        <v>300</v>
      </c>
      <c r="T9" t="s">
        <v>103</v>
      </c>
      <c r="U9" t="s">
        <v>157</v>
      </c>
      <c r="V9">
        <v>100</v>
      </c>
      <c r="W9"/>
      <c r="X9" t="s">
        <v>397</v>
      </c>
      <c r="Y9" t="s">
        <v>437</v>
      </c>
      <c r="Z9"/>
      <c r="AA9"/>
      <c r="AB9"/>
      <c r="AC9"/>
      <c r="AD9"/>
      <c r="AE9" t="s">
        <v>438</v>
      </c>
      <c r="AF9" t="s">
        <v>439</v>
      </c>
      <c r="AG9" t="s">
        <v>103</v>
      </c>
      <c r="AH9" t="s">
        <v>156</v>
      </c>
      <c r="AI9" t="s">
        <v>305</v>
      </c>
      <c r="AJ9" t="s">
        <v>93</v>
      </c>
      <c r="AK9" t="s">
        <v>440</v>
      </c>
      <c r="AL9" t="s">
        <v>441</v>
      </c>
      <c r="AM9" t="s">
        <v>188</v>
      </c>
      <c r="AN9"/>
      <c r="AO9"/>
      <c r="AP9"/>
      <c r="AQ9"/>
      <c r="AR9" t="s">
        <v>442</v>
      </c>
      <c r="AS9">
        <v>200000</v>
      </c>
      <c r="AT9">
        <v>2</v>
      </c>
      <c r="AU9" t="s">
        <v>103</v>
      </c>
      <c r="AV9" t="s">
        <v>427</v>
      </c>
      <c r="AW9" t="s">
        <v>103</v>
      </c>
      <c r="AX9" t="s">
        <v>161</v>
      </c>
      <c r="AY9" t="s">
        <v>160</v>
      </c>
      <c r="AZ9" t="s">
        <v>428</v>
      </c>
      <c r="BA9" t="s">
        <v>158</v>
      </c>
      <c r="BB9" t="s">
        <v>158</v>
      </c>
      <c r="BC9" t="s">
        <v>438</v>
      </c>
      <c r="BD9" t="s">
        <v>103</v>
      </c>
      <c r="BE9" t="s">
        <v>103</v>
      </c>
      <c r="BF9" s="86">
        <v>45160</v>
      </c>
      <c r="BG9"/>
      <c r="BH9" s="86">
        <v>45160</v>
      </c>
      <c r="BI9" t="s">
        <v>103</v>
      </c>
      <c r="BJ9" t="s">
        <v>443</v>
      </c>
      <c r="BK9" s="86">
        <v>45252</v>
      </c>
      <c r="BL9" t="s">
        <v>444</v>
      </c>
      <c r="BM9">
        <v>1.7639</v>
      </c>
      <c r="BN9" s="86"/>
      <c r="BO9" s="86">
        <v>45160</v>
      </c>
      <c r="BP9" t="s">
        <v>12</v>
      </c>
      <c r="BQ9" t="s">
        <v>384</v>
      </c>
    </row>
    <row r="10" spans="1:69" x14ac:dyDescent="0.25">
      <c r="A10" t="s">
        <v>432</v>
      </c>
      <c r="B10" t="s">
        <v>433</v>
      </c>
      <c r="C10" t="s">
        <v>379</v>
      </c>
      <c r="D10" s="86">
        <v>45153</v>
      </c>
      <c r="E10" t="s">
        <v>434</v>
      </c>
      <c r="F10" t="s">
        <v>435</v>
      </c>
      <c r="G10" t="s">
        <v>308</v>
      </c>
      <c r="H10" t="s">
        <v>156</v>
      </c>
      <c r="I10">
        <v>2</v>
      </c>
      <c r="J10" t="s">
        <v>94</v>
      </c>
      <c r="K10" t="s">
        <v>436</v>
      </c>
      <c r="L10"/>
      <c r="M10" s="86">
        <v>46987</v>
      </c>
      <c r="N10" t="s">
        <v>125</v>
      </c>
      <c r="O10" t="s">
        <v>103</v>
      </c>
      <c r="P10" t="s">
        <v>103</v>
      </c>
      <c r="Q10"/>
      <c r="R10" t="s">
        <v>246</v>
      </c>
      <c r="S10" t="s">
        <v>300</v>
      </c>
      <c r="T10" t="s">
        <v>103</v>
      </c>
      <c r="U10" t="s">
        <v>157</v>
      </c>
      <c r="V10">
        <v>100</v>
      </c>
      <c r="W10"/>
      <c r="X10" t="s">
        <v>397</v>
      </c>
      <c r="Y10" t="s">
        <v>437</v>
      </c>
      <c r="Z10"/>
      <c r="AA10"/>
      <c r="AB10"/>
      <c r="AC10"/>
      <c r="AD10"/>
      <c r="AE10" t="s">
        <v>438</v>
      </c>
      <c r="AF10" t="s">
        <v>439</v>
      </c>
      <c r="AG10" t="s">
        <v>103</v>
      </c>
      <c r="AH10" t="s">
        <v>156</v>
      </c>
      <c r="AI10" t="s">
        <v>305</v>
      </c>
      <c r="AJ10" t="s">
        <v>93</v>
      </c>
      <c r="AK10" t="s">
        <v>440</v>
      </c>
      <c r="AL10" t="s">
        <v>441</v>
      </c>
      <c r="AM10" t="s">
        <v>188</v>
      </c>
      <c r="AN10"/>
      <c r="AO10"/>
      <c r="AP10"/>
      <c r="AQ10"/>
      <c r="AR10" t="s">
        <v>442</v>
      </c>
      <c r="AS10">
        <v>200000</v>
      </c>
      <c r="AT10">
        <v>2</v>
      </c>
      <c r="AU10" t="s">
        <v>103</v>
      </c>
      <c r="AV10" t="s">
        <v>427</v>
      </c>
      <c r="AW10" t="s">
        <v>103</v>
      </c>
      <c r="AX10" t="s">
        <v>445</v>
      </c>
      <c r="AY10" t="s">
        <v>160</v>
      </c>
      <c r="AZ10" t="s">
        <v>428</v>
      </c>
      <c r="BA10" t="s">
        <v>158</v>
      </c>
      <c r="BB10" t="s">
        <v>158</v>
      </c>
      <c r="BC10" t="s">
        <v>438</v>
      </c>
      <c r="BD10" t="s">
        <v>103</v>
      </c>
      <c r="BE10" t="s">
        <v>103</v>
      </c>
      <c r="BF10" s="86">
        <v>45160</v>
      </c>
      <c r="BG10"/>
      <c r="BH10" s="86">
        <v>45160</v>
      </c>
      <c r="BI10" t="s">
        <v>103</v>
      </c>
      <c r="BJ10" t="s">
        <v>443</v>
      </c>
      <c r="BK10" s="86">
        <v>45252</v>
      </c>
      <c r="BL10" t="s">
        <v>444</v>
      </c>
      <c r="BM10">
        <v>6.0053000000000001</v>
      </c>
      <c r="BN10" s="86"/>
      <c r="BO10" s="86">
        <v>45160</v>
      </c>
      <c r="BP10" t="s">
        <v>12</v>
      </c>
      <c r="BQ10" t="s">
        <v>381</v>
      </c>
    </row>
    <row r="11" spans="1:69" x14ac:dyDescent="0.25">
      <c r="A11" t="s">
        <v>446</v>
      </c>
      <c r="B11" t="s">
        <v>447</v>
      </c>
      <c r="C11" t="s">
        <v>385</v>
      </c>
      <c r="D11" s="86">
        <v>45153</v>
      </c>
      <c r="E11" t="s">
        <v>448</v>
      </c>
      <c r="F11" t="s">
        <v>156</v>
      </c>
      <c r="G11" t="s">
        <v>156</v>
      </c>
      <c r="H11" t="s">
        <v>156</v>
      </c>
      <c r="I11">
        <v>5</v>
      </c>
      <c r="J11" t="s">
        <v>119</v>
      </c>
      <c r="K11" t="s">
        <v>244</v>
      </c>
      <c r="L11">
        <v>3.5</v>
      </c>
      <c r="M11" s="86">
        <v>46256</v>
      </c>
      <c r="N11" t="s">
        <v>406</v>
      </c>
      <c r="O11" t="s">
        <v>103</v>
      </c>
      <c r="P11" t="s">
        <v>449</v>
      </c>
      <c r="Q11"/>
      <c r="R11" t="s">
        <v>246</v>
      </c>
      <c r="S11" t="s">
        <v>300</v>
      </c>
      <c r="T11" t="s">
        <v>103</v>
      </c>
      <c r="U11" t="s">
        <v>157</v>
      </c>
      <c r="V11">
        <v>100</v>
      </c>
      <c r="W11"/>
      <c r="X11" t="s">
        <v>309</v>
      </c>
      <c r="Y11" t="s">
        <v>450</v>
      </c>
      <c r="Z11"/>
      <c r="AA11"/>
      <c r="AB11"/>
      <c r="AC11"/>
      <c r="AD11"/>
      <c r="AE11" t="s">
        <v>451</v>
      </c>
      <c r="AF11" t="s">
        <v>439</v>
      </c>
      <c r="AG11" t="s">
        <v>38</v>
      </c>
      <c r="AH11" t="s">
        <v>156</v>
      </c>
      <c r="AI11" t="s">
        <v>318</v>
      </c>
      <c r="AJ11" t="s">
        <v>93</v>
      </c>
      <c r="AK11" t="s">
        <v>316</v>
      </c>
      <c r="AL11" t="s">
        <v>452</v>
      </c>
      <c r="AM11" t="s">
        <v>91</v>
      </c>
      <c r="AN11"/>
      <c r="AO11"/>
      <c r="AP11"/>
      <c r="AQ11" t="s">
        <v>453</v>
      </c>
      <c r="AR11" t="s">
        <v>454</v>
      </c>
      <c r="AS11">
        <v>10000</v>
      </c>
      <c r="AT11">
        <v>5</v>
      </c>
      <c r="AU11" t="s">
        <v>103</v>
      </c>
      <c r="AV11" t="s">
        <v>162</v>
      </c>
      <c r="AW11" t="s">
        <v>103</v>
      </c>
      <c r="AX11" t="s">
        <v>103</v>
      </c>
      <c r="AY11" t="s">
        <v>160</v>
      </c>
      <c r="AZ11" t="s">
        <v>159</v>
      </c>
      <c r="BA11" t="s">
        <v>158</v>
      </c>
      <c r="BB11" t="s">
        <v>158</v>
      </c>
      <c r="BC11" t="s">
        <v>455</v>
      </c>
      <c r="BD11" t="s">
        <v>103</v>
      </c>
      <c r="BE11" t="s">
        <v>103</v>
      </c>
      <c r="BF11" s="86">
        <v>45160</v>
      </c>
      <c r="BG11" t="s">
        <v>449</v>
      </c>
      <c r="BH11" s="86">
        <v>45160</v>
      </c>
      <c r="BI11" t="s">
        <v>103</v>
      </c>
      <c r="BJ11" t="s">
        <v>446</v>
      </c>
      <c r="BK11" s="86">
        <v>45344</v>
      </c>
      <c r="BL11" t="s">
        <v>103</v>
      </c>
      <c r="BM11">
        <v>3.5</v>
      </c>
      <c r="BN11" s="86"/>
      <c r="BO11" s="86">
        <v>45160</v>
      </c>
      <c r="BP11" t="s">
        <v>18</v>
      </c>
      <c r="BQ11" t="s">
        <v>386</v>
      </c>
    </row>
    <row r="12" spans="1:69" x14ac:dyDescent="0.25">
      <c r="A12" t="s">
        <v>432</v>
      </c>
      <c r="B12" t="s">
        <v>456</v>
      </c>
      <c r="C12" t="s">
        <v>387</v>
      </c>
      <c r="D12" s="86">
        <v>45152</v>
      </c>
      <c r="E12" t="s">
        <v>457</v>
      </c>
      <c r="F12" t="s">
        <v>435</v>
      </c>
      <c r="G12" t="s">
        <v>308</v>
      </c>
      <c r="H12" t="s">
        <v>156</v>
      </c>
      <c r="I12">
        <v>0.5</v>
      </c>
      <c r="J12" t="s">
        <v>94</v>
      </c>
      <c r="K12" t="s">
        <v>244</v>
      </c>
      <c r="L12">
        <v>4.75</v>
      </c>
      <c r="M12" s="86">
        <v>46255</v>
      </c>
      <c r="N12" t="s">
        <v>125</v>
      </c>
      <c r="O12" t="s">
        <v>103</v>
      </c>
      <c r="P12" t="s">
        <v>103</v>
      </c>
      <c r="Q12"/>
      <c r="R12"/>
      <c r="S12" t="s">
        <v>300</v>
      </c>
      <c r="T12" t="s">
        <v>103</v>
      </c>
      <c r="U12" t="s">
        <v>157</v>
      </c>
      <c r="V12"/>
      <c r="W12"/>
      <c r="X12" t="s">
        <v>397</v>
      </c>
      <c r="Y12" t="s">
        <v>437</v>
      </c>
      <c r="Z12"/>
      <c r="AA12"/>
      <c r="AB12"/>
      <c r="AC12"/>
      <c r="AD12"/>
      <c r="AE12" t="s">
        <v>458</v>
      </c>
      <c r="AF12" t="s">
        <v>439</v>
      </c>
      <c r="AG12" t="s">
        <v>103</v>
      </c>
      <c r="AH12" t="s">
        <v>156</v>
      </c>
      <c r="AI12" t="s">
        <v>305</v>
      </c>
      <c r="AJ12" t="s">
        <v>93</v>
      </c>
      <c r="AK12" t="s">
        <v>316</v>
      </c>
      <c r="AL12" t="s">
        <v>441</v>
      </c>
      <c r="AM12" t="s">
        <v>188</v>
      </c>
      <c r="AN12"/>
      <c r="AO12"/>
      <c r="AP12"/>
      <c r="AQ12"/>
      <c r="AR12" t="s">
        <v>442</v>
      </c>
      <c r="AS12">
        <v>1000</v>
      </c>
      <c r="AT12">
        <v>0.5</v>
      </c>
      <c r="AU12" t="s">
        <v>103</v>
      </c>
      <c r="AV12" t="s">
        <v>162</v>
      </c>
      <c r="AW12" t="s">
        <v>103</v>
      </c>
      <c r="AX12" t="s">
        <v>445</v>
      </c>
      <c r="AY12" t="s">
        <v>160</v>
      </c>
      <c r="AZ12" t="s">
        <v>159</v>
      </c>
      <c r="BA12" t="s">
        <v>158</v>
      </c>
      <c r="BB12" t="s">
        <v>158</v>
      </c>
      <c r="BC12" t="s">
        <v>458</v>
      </c>
      <c r="BD12" t="s">
        <v>103</v>
      </c>
      <c r="BE12" t="s">
        <v>103</v>
      </c>
      <c r="BF12" s="86">
        <v>45159</v>
      </c>
      <c r="BG12"/>
      <c r="BH12" s="86">
        <v>45159</v>
      </c>
      <c r="BI12" t="s">
        <v>103</v>
      </c>
      <c r="BJ12" t="s">
        <v>443</v>
      </c>
      <c r="BK12" s="86">
        <v>45343</v>
      </c>
      <c r="BL12" t="s">
        <v>103</v>
      </c>
      <c r="BM12">
        <v>4.75</v>
      </c>
      <c r="BN12" s="86"/>
      <c r="BO12" s="86">
        <v>45159</v>
      </c>
      <c r="BP12" t="s">
        <v>12</v>
      </c>
      <c r="BQ12" t="s">
        <v>388</v>
      </c>
    </row>
    <row r="13" spans="1:69" x14ac:dyDescent="0.25">
      <c r="A13" t="s">
        <v>459</v>
      </c>
      <c r="B13" t="s">
        <v>460</v>
      </c>
      <c r="C13" t="s">
        <v>389</v>
      </c>
      <c r="D13" s="86">
        <v>45152</v>
      </c>
      <c r="E13" t="s">
        <v>461</v>
      </c>
      <c r="F13" t="s">
        <v>317</v>
      </c>
      <c r="G13" t="s">
        <v>462</v>
      </c>
      <c r="H13" t="s">
        <v>156</v>
      </c>
      <c r="I13">
        <v>0.04</v>
      </c>
      <c r="J13" t="s">
        <v>94</v>
      </c>
      <c r="K13" t="s">
        <v>463</v>
      </c>
      <c r="L13">
        <v>2.4500000000000002</v>
      </c>
      <c r="M13" s="86">
        <v>45832</v>
      </c>
      <c r="N13" t="s">
        <v>125</v>
      </c>
      <c r="O13" t="s">
        <v>103</v>
      </c>
      <c r="P13" t="s">
        <v>103</v>
      </c>
      <c r="Q13"/>
      <c r="R13" t="s">
        <v>246</v>
      </c>
      <c r="S13" t="s">
        <v>300</v>
      </c>
      <c r="T13" t="s">
        <v>103</v>
      </c>
      <c r="U13" t="s">
        <v>157</v>
      </c>
      <c r="V13">
        <v>96.477999999999994</v>
      </c>
      <c r="W13"/>
      <c r="X13" t="s">
        <v>397</v>
      </c>
      <c r="Y13" t="s">
        <v>437</v>
      </c>
      <c r="Z13"/>
      <c r="AA13"/>
      <c r="AB13"/>
      <c r="AC13"/>
      <c r="AD13"/>
      <c r="AE13" t="s">
        <v>464</v>
      </c>
      <c r="AF13" t="s">
        <v>439</v>
      </c>
      <c r="AG13" t="s">
        <v>103</v>
      </c>
      <c r="AH13" t="s">
        <v>156</v>
      </c>
      <c r="AI13" t="s">
        <v>305</v>
      </c>
      <c r="AJ13" t="s">
        <v>93</v>
      </c>
      <c r="AK13" t="s">
        <v>465</v>
      </c>
      <c r="AL13" t="s">
        <v>441</v>
      </c>
      <c r="AM13" t="s">
        <v>188</v>
      </c>
      <c r="AN13"/>
      <c r="AO13"/>
      <c r="AP13"/>
      <c r="AQ13"/>
      <c r="AR13" t="s">
        <v>466</v>
      </c>
      <c r="AS13">
        <v>1000</v>
      </c>
      <c r="AT13">
        <v>0.04</v>
      </c>
      <c r="AU13" t="s">
        <v>103</v>
      </c>
      <c r="AV13" t="s">
        <v>103</v>
      </c>
      <c r="AW13" t="s">
        <v>103</v>
      </c>
      <c r="AX13" t="s">
        <v>161</v>
      </c>
      <c r="AY13" t="s">
        <v>160</v>
      </c>
      <c r="AZ13" t="s">
        <v>159</v>
      </c>
      <c r="BA13" t="s">
        <v>158</v>
      </c>
      <c r="BB13" t="s">
        <v>158</v>
      </c>
      <c r="BC13" t="s">
        <v>464</v>
      </c>
      <c r="BD13" t="s">
        <v>103</v>
      </c>
      <c r="BE13" t="s">
        <v>103</v>
      </c>
      <c r="BF13" s="86">
        <v>45156</v>
      </c>
      <c r="BG13"/>
      <c r="BH13" s="86">
        <v>45156</v>
      </c>
      <c r="BI13" t="s">
        <v>103</v>
      </c>
      <c r="BJ13" t="s">
        <v>467</v>
      </c>
      <c r="BK13" s="86">
        <v>45284</v>
      </c>
      <c r="BL13" t="s">
        <v>103</v>
      </c>
      <c r="BM13">
        <v>2.4500000000000002</v>
      </c>
      <c r="BN13" s="86"/>
      <c r="BO13" s="86"/>
      <c r="BP13" t="s">
        <v>12</v>
      </c>
      <c r="BQ13" t="s">
        <v>390</v>
      </c>
    </row>
    <row r="14" spans="1:69" x14ac:dyDescent="0.25">
      <c r="A14" t="s">
        <v>506</v>
      </c>
      <c r="B14"/>
      <c r="C14" t="s">
        <v>502</v>
      </c>
      <c r="D14" s="86">
        <v>45152</v>
      </c>
      <c r="E14" t="s">
        <v>507</v>
      </c>
      <c r="F14" t="s">
        <v>156</v>
      </c>
      <c r="G14" t="s">
        <v>156</v>
      </c>
      <c r="H14" t="s">
        <v>156</v>
      </c>
      <c r="I14">
        <v>0.5</v>
      </c>
      <c r="J14" t="s">
        <v>94</v>
      </c>
      <c r="K14" t="s">
        <v>244</v>
      </c>
      <c r="L14">
        <v>7.5</v>
      </c>
      <c r="M14" s="86">
        <v>46132</v>
      </c>
      <c r="N14" t="s">
        <v>125</v>
      </c>
      <c r="O14" t="s">
        <v>103</v>
      </c>
      <c r="P14" t="s">
        <v>508</v>
      </c>
      <c r="Q14"/>
      <c r="R14"/>
      <c r="S14" t="s">
        <v>45</v>
      </c>
      <c r="T14" t="s">
        <v>103</v>
      </c>
      <c r="U14" t="s">
        <v>157</v>
      </c>
      <c r="V14"/>
      <c r="W14"/>
      <c r="X14" t="s">
        <v>509</v>
      </c>
      <c r="Y14" t="s">
        <v>510</v>
      </c>
      <c r="Z14"/>
      <c r="AA14"/>
      <c r="AB14"/>
      <c r="AC14"/>
      <c r="AD14"/>
      <c r="AE14" t="s">
        <v>511</v>
      </c>
      <c r="AF14" t="s">
        <v>512</v>
      </c>
      <c r="AG14" t="s">
        <v>103</v>
      </c>
      <c r="AH14" t="s">
        <v>103</v>
      </c>
      <c r="AI14" t="s">
        <v>103</v>
      </c>
      <c r="AJ14" t="s">
        <v>1</v>
      </c>
      <c r="AK14"/>
      <c r="AL14" t="s">
        <v>155</v>
      </c>
      <c r="AM14" t="s">
        <v>91</v>
      </c>
      <c r="AN14"/>
      <c r="AO14"/>
      <c r="AP14"/>
      <c r="AQ14" t="s">
        <v>513</v>
      </c>
      <c r="AR14" t="s">
        <v>514</v>
      </c>
      <c r="AS14">
        <v>1000</v>
      </c>
      <c r="AT14"/>
      <c r="AU14" t="s">
        <v>103</v>
      </c>
      <c r="AV14" t="s">
        <v>162</v>
      </c>
      <c r="AW14" t="s">
        <v>103</v>
      </c>
      <c r="AX14" t="s">
        <v>161</v>
      </c>
      <c r="AY14" t="s">
        <v>160</v>
      </c>
      <c r="AZ14" t="s">
        <v>159</v>
      </c>
      <c r="BA14" t="s">
        <v>158</v>
      </c>
      <c r="BB14" t="s">
        <v>158</v>
      </c>
      <c r="BC14" t="s">
        <v>515</v>
      </c>
      <c r="BD14" t="s">
        <v>516</v>
      </c>
      <c r="BE14" t="s">
        <v>517</v>
      </c>
      <c r="BF14" s="86"/>
      <c r="BG14" t="s">
        <v>508</v>
      </c>
      <c r="BH14" s="86">
        <v>45156</v>
      </c>
      <c r="BI14" t="s">
        <v>506</v>
      </c>
      <c r="BJ14" t="s">
        <v>518</v>
      </c>
      <c r="BK14" s="86"/>
      <c r="BL14" t="s">
        <v>103</v>
      </c>
      <c r="BM14">
        <v>7.5</v>
      </c>
      <c r="BN14" s="86"/>
      <c r="BO14" s="86">
        <v>45156</v>
      </c>
      <c r="BP14" t="s">
        <v>10</v>
      </c>
      <c r="BQ14" t="s">
        <v>503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L21"/>
  <sheetViews>
    <sheetView workbookViewId="0">
      <selection activeCell="E11" sqref="E11"/>
    </sheetView>
  </sheetViews>
  <sheetFormatPr defaultRowHeight="15" x14ac:dyDescent="0.25"/>
  <cols>
    <col min="1" max="1" width="7.109375" style="1" bestFit="1" customWidth="1"/>
    <col min="2" max="2" width="9.33203125" style="1" bestFit="1" customWidth="1"/>
    <col min="3" max="3" width="14.6640625" style="1" bestFit="1" customWidth="1"/>
    <col min="4" max="4" width="18.21875" style="1" bestFit="1" customWidth="1"/>
    <col min="5" max="5" width="9.21875" style="1" bestFit="1" customWidth="1"/>
    <col min="6" max="6" width="12.5546875" style="1" bestFit="1" customWidth="1"/>
    <col min="7" max="7" width="12.6640625" style="1" bestFit="1" customWidth="1"/>
    <col min="8" max="9" width="9.21875" style="1" bestFit="1" customWidth="1"/>
    <col min="10" max="10" width="20.77734375" style="1" bestFit="1" customWidth="1"/>
    <col min="11" max="11" width="9.33203125" style="1" bestFit="1" customWidth="1"/>
    <col min="12" max="12" width="11.6640625" style="1" bestFit="1" customWidth="1"/>
    <col min="13" max="16384" width="8.88671875" style="1"/>
  </cols>
  <sheetData>
    <row r="1" spans="1:12" ht="67.5" customHeight="1" x14ac:dyDescent="0.25">
      <c r="A1" s="89" t="s">
        <v>351</v>
      </c>
    </row>
    <row r="5" spans="1:12" x14ac:dyDescent="0.25">
      <c r="A5" t="s">
        <v>95</v>
      </c>
      <c r="B5" t="s">
        <v>56</v>
      </c>
      <c r="C5" t="s">
        <v>55</v>
      </c>
      <c r="D5" t="s">
        <v>180</v>
      </c>
      <c r="E5" t="s">
        <v>169</v>
      </c>
      <c r="F5" t="s">
        <v>346</v>
      </c>
      <c r="G5" t="s">
        <v>218</v>
      </c>
      <c r="H5" t="s">
        <v>142</v>
      </c>
      <c r="I5" t="s">
        <v>347</v>
      </c>
      <c r="J5" t="s">
        <v>174</v>
      </c>
      <c r="K5" t="s">
        <v>348</v>
      </c>
      <c r="L5" t="s">
        <v>349</v>
      </c>
    </row>
    <row r="6" spans="1:12" x14ac:dyDescent="0.25">
      <c r="A6">
        <v>1</v>
      </c>
      <c r="B6" s="86">
        <v>45154</v>
      </c>
      <c r="C6" t="s">
        <v>483</v>
      </c>
      <c r="D6"/>
      <c r="E6" t="s">
        <v>92</v>
      </c>
      <c r="F6" t="s">
        <v>370</v>
      </c>
      <c r="G6" t="s">
        <v>484</v>
      </c>
      <c r="H6"/>
      <c r="I6">
        <v>38</v>
      </c>
      <c r="J6" t="s">
        <v>485</v>
      </c>
      <c r="K6" t="s">
        <v>92</v>
      </c>
      <c r="L6" t="s">
        <v>484</v>
      </c>
    </row>
    <row r="7" spans="1:12" x14ac:dyDescent="0.25">
      <c r="A7">
        <v>2</v>
      </c>
      <c r="B7" s="86">
        <v>45154</v>
      </c>
      <c r="C7" t="s">
        <v>368</v>
      </c>
      <c r="D7"/>
      <c r="E7" t="s">
        <v>369</v>
      </c>
      <c r="F7" t="s">
        <v>370</v>
      </c>
      <c r="G7" t="s">
        <v>371</v>
      </c>
      <c r="H7"/>
      <c r="I7">
        <v>100</v>
      </c>
      <c r="J7" t="s">
        <v>372</v>
      </c>
      <c r="K7" t="s">
        <v>369</v>
      </c>
      <c r="L7" t="s">
        <v>373</v>
      </c>
    </row>
    <row r="8" spans="1:12" x14ac:dyDescent="0.25">
      <c r="A8">
        <v>3</v>
      </c>
      <c r="B8" s="86">
        <v>45154</v>
      </c>
      <c r="C8" t="s">
        <v>374</v>
      </c>
      <c r="D8"/>
      <c r="E8" t="s">
        <v>92</v>
      </c>
      <c r="F8" t="s">
        <v>375</v>
      </c>
      <c r="G8" t="s">
        <v>92</v>
      </c>
      <c r="H8"/>
      <c r="I8"/>
      <c r="J8" t="s">
        <v>376</v>
      </c>
      <c r="K8" t="s">
        <v>92</v>
      </c>
      <c r="L8" t="s">
        <v>92</v>
      </c>
    </row>
    <row r="9" spans="1:12" x14ac:dyDescent="0.25">
      <c r="A9">
        <v>4</v>
      </c>
      <c r="B9" s="86">
        <v>45154</v>
      </c>
      <c r="C9" t="s">
        <v>377</v>
      </c>
      <c r="D9"/>
      <c r="E9" t="s">
        <v>92</v>
      </c>
      <c r="F9" t="s">
        <v>370</v>
      </c>
      <c r="G9" t="s">
        <v>92</v>
      </c>
      <c r="H9"/>
      <c r="I9"/>
      <c r="J9" t="s">
        <v>378</v>
      </c>
      <c r="K9" t="s">
        <v>92</v>
      </c>
      <c r="L9" t="s">
        <v>92</v>
      </c>
    </row>
    <row r="10" spans="1:12" x14ac:dyDescent="0.25">
      <c r="A10">
        <v>5</v>
      </c>
      <c r="B10" s="86">
        <v>45153</v>
      </c>
      <c r="C10" t="s">
        <v>486</v>
      </c>
      <c r="D10"/>
      <c r="E10" t="s">
        <v>92</v>
      </c>
      <c r="F10" t="s">
        <v>370</v>
      </c>
      <c r="G10" t="s">
        <v>487</v>
      </c>
      <c r="H10"/>
      <c r="I10"/>
      <c r="J10" t="s">
        <v>488</v>
      </c>
      <c r="K10" t="s">
        <v>92</v>
      </c>
      <c r="L10" t="s">
        <v>489</v>
      </c>
    </row>
    <row r="11" spans="1:12" x14ac:dyDescent="0.25">
      <c r="A11">
        <v>6</v>
      </c>
      <c r="B11" s="86">
        <v>45153</v>
      </c>
      <c r="C11" t="s">
        <v>379</v>
      </c>
      <c r="D11"/>
      <c r="E11" t="s">
        <v>92</v>
      </c>
      <c r="F11" t="s">
        <v>375</v>
      </c>
      <c r="G11" t="s">
        <v>380</v>
      </c>
      <c r="H11"/>
      <c r="I11">
        <v>67</v>
      </c>
      <c r="J11" t="s">
        <v>381</v>
      </c>
      <c r="K11" t="s">
        <v>92</v>
      </c>
      <c r="L11" t="s">
        <v>382</v>
      </c>
    </row>
    <row r="12" spans="1:12" x14ac:dyDescent="0.25">
      <c r="A12">
        <v>7</v>
      </c>
      <c r="B12" s="86">
        <v>45153</v>
      </c>
      <c r="C12" t="s">
        <v>490</v>
      </c>
      <c r="D12"/>
      <c r="E12" t="s">
        <v>92</v>
      </c>
      <c r="F12" t="s">
        <v>370</v>
      </c>
      <c r="G12" t="s">
        <v>487</v>
      </c>
      <c r="H12"/>
      <c r="I12"/>
      <c r="J12" t="s">
        <v>491</v>
      </c>
      <c r="K12" t="s">
        <v>92</v>
      </c>
      <c r="L12" t="s">
        <v>489</v>
      </c>
    </row>
    <row r="13" spans="1:12" x14ac:dyDescent="0.25">
      <c r="A13">
        <v>8</v>
      </c>
      <c r="B13" s="86">
        <v>45153</v>
      </c>
      <c r="C13" t="s">
        <v>492</v>
      </c>
      <c r="D13"/>
      <c r="E13" t="s">
        <v>92</v>
      </c>
      <c r="F13" t="s">
        <v>493</v>
      </c>
      <c r="G13" t="s">
        <v>494</v>
      </c>
      <c r="H13"/>
      <c r="I13"/>
      <c r="J13" t="s">
        <v>495</v>
      </c>
      <c r="K13" t="s">
        <v>92</v>
      </c>
      <c r="L13" t="s">
        <v>494</v>
      </c>
    </row>
    <row r="14" spans="1:12" x14ac:dyDescent="0.25">
      <c r="A14">
        <v>9</v>
      </c>
      <c r="B14" s="86">
        <v>45153</v>
      </c>
      <c r="C14" t="s">
        <v>496</v>
      </c>
      <c r="D14"/>
      <c r="E14" t="s">
        <v>92</v>
      </c>
      <c r="F14" t="s">
        <v>493</v>
      </c>
      <c r="G14" t="s">
        <v>494</v>
      </c>
      <c r="H14"/>
      <c r="I14"/>
      <c r="J14" t="s">
        <v>497</v>
      </c>
      <c r="K14" t="s">
        <v>92</v>
      </c>
      <c r="L14" t="s">
        <v>494</v>
      </c>
    </row>
    <row r="15" spans="1:12" x14ac:dyDescent="0.25">
      <c r="A15">
        <v>10</v>
      </c>
      <c r="B15" s="86">
        <v>45153</v>
      </c>
      <c r="C15" t="s">
        <v>498</v>
      </c>
      <c r="D15"/>
      <c r="E15" t="s">
        <v>92</v>
      </c>
      <c r="F15" t="s">
        <v>493</v>
      </c>
      <c r="G15" t="s">
        <v>494</v>
      </c>
      <c r="H15"/>
      <c r="I15"/>
      <c r="J15" t="s">
        <v>499</v>
      </c>
      <c r="K15" t="s">
        <v>92</v>
      </c>
      <c r="L15" t="s">
        <v>494</v>
      </c>
    </row>
    <row r="16" spans="1:12" x14ac:dyDescent="0.25">
      <c r="A16">
        <v>11</v>
      </c>
      <c r="B16" s="86">
        <v>45153</v>
      </c>
      <c r="C16" t="s">
        <v>383</v>
      </c>
      <c r="D16"/>
      <c r="E16" t="s">
        <v>92</v>
      </c>
      <c r="F16" t="s">
        <v>375</v>
      </c>
      <c r="G16" t="s">
        <v>380</v>
      </c>
      <c r="H16"/>
      <c r="I16">
        <v>67</v>
      </c>
      <c r="J16" t="s">
        <v>384</v>
      </c>
      <c r="K16" t="s">
        <v>92</v>
      </c>
      <c r="L16" t="s">
        <v>382</v>
      </c>
    </row>
    <row r="17" spans="1:12" x14ac:dyDescent="0.25">
      <c r="A17">
        <v>12</v>
      </c>
      <c r="B17" s="86">
        <v>45153</v>
      </c>
      <c r="C17" t="s">
        <v>385</v>
      </c>
      <c r="D17"/>
      <c r="E17" t="s">
        <v>92</v>
      </c>
      <c r="F17" t="s">
        <v>375</v>
      </c>
      <c r="G17" t="s">
        <v>92</v>
      </c>
      <c r="H17"/>
      <c r="I17"/>
      <c r="J17" t="s">
        <v>386</v>
      </c>
      <c r="K17" t="s">
        <v>92</v>
      </c>
      <c r="L17" t="s">
        <v>92</v>
      </c>
    </row>
    <row r="18" spans="1:12" x14ac:dyDescent="0.25">
      <c r="A18">
        <v>13</v>
      </c>
      <c r="B18" s="86">
        <v>45152</v>
      </c>
      <c r="C18" t="s">
        <v>387</v>
      </c>
      <c r="D18"/>
      <c r="E18" t="s">
        <v>92</v>
      </c>
      <c r="F18" t="s">
        <v>375</v>
      </c>
      <c r="G18" t="s">
        <v>380</v>
      </c>
      <c r="H18"/>
      <c r="I18"/>
      <c r="J18" t="s">
        <v>388</v>
      </c>
      <c r="K18" t="s">
        <v>92</v>
      </c>
      <c r="L18" t="s">
        <v>382</v>
      </c>
    </row>
    <row r="19" spans="1:12" x14ac:dyDescent="0.25">
      <c r="A19">
        <v>14</v>
      </c>
      <c r="B19" s="86">
        <v>45152</v>
      </c>
      <c r="C19" t="s">
        <v>389</v>
      </c>
      <c r="D19"/>
      <c r="E19" t="s">
        <v>92</v>
      </c>
      <c r="F19" t="s">
        <v>375</v>
      </c>
      <c r="G19" t="s">
        <v>92</v>
      </c>
      <c r="H19"/>
      <c r="I19"/>
      <c r="J19" t="s">
        <v>390</v>
      </c>
      <c r="K19" t="s">
        <v>92</v>
      </c>
      <c r="L19" t="s">
        <v>92</v>
      </c>
    </row>
    <row r="20" spans="1:12" x14ac:dyDescent="0.25">
      <c r="A20">
        <v>15</v>
      </c>
      <c r="B20" s="86">
        <v>45152</v>
      </c>
      <c r="C20" t="s">
        <v>500</v>
      </c>
      <c r="D20"/>
      <c r="E20" t="s">
        <v>92</v>
      </c>
      <c r="F20" t="s">
        <v>493</v>
      </c>
      <c r="G20" t="s">
        <v>494</v>
      </c>
      <c r="H20"/>
      <c r="I20"/>
      <c r="J20" t="s">
        <v>501</v>
      </c>
      <c r="K20" t="s">
        <v>92</v>
      </c>
      <c r="L20" t="s">
        <v>494</v>
      </c>
    </row>
    <row r="21" spans="1:12" x14ac:dyDescent="0.25">
      <c r="A21">
        <v>16</v>
      </c>
      <c r="B21" s="86">
        <v>45152</v>
      </c>
      <c r="C21" t="s">
        <v>502</v>
      </c>
      <c r="D21"/>
      <c r="E21" t="s">
        <v>92</v>
      </c>
      <c r="F21" t="s">
        <v>493</v>
      </c>
      <c r="G21" t="s">
        <v>92</v>
      </c>
      <c r="H21"/>
      <c r="I21"/>
      <c r="J21" t="s">
        <v>503</v>
      </c>
      <c r="K21" t="s">
        <v>92</v>
      </c>
      <c r="L21" t="s">
        <v>92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D57B4-6EF1-40A2-95CC-36C330DDF6AE}">
  <sheetPr codeName="Sheet16"/>
  <dimension ref="A1:H6"/>
  <sheetViews>
    <sheetView workbookViewId="0">
      <selection activeCell="E20" sqref="E20"/>
    </sheetView>
  </sheetViews>
  <sheetFormatPr defaultRowHeight="15" x14ac:dyDescent="0.25"/>
  <cols>
    <col min="1" max="1" width="13.5546875" style="1" bestFit="1" customWidth="1"/>
    <col min="2" max="2" width="6" style="1" bestFit="1" customWidth="1"/>
    <col min="3" max="3" width="19.44140625" style="1" bestFit="1" customWidth="1"/>
    <col min="4" max="6" width="9.21875" style="1" bestFit="1" customWidth="1"/>
    <col min="7" max="7" width="11.44140625" style="1" bestFit="1" customWidth="1"/>
    <col min="8" max="8" width="10.88671875" style="1" bestFit="1" customWidth="1"/>
    <col min="9" max="16384" width="8.88671875" style="1"/>
  </cols>
  <sheetData>
    <row r="1" spans="1:8" ht="67.5" customHeight="1" x14ac:dyDescent="0.25">
      <c r="A1" s="90" t="s">
        <v>363</v>
      </c>
    </row>
    <row r="5" spans="1:8" x14ac:dyDescent="0.25">
      <c r="A5" t="s">
        <v>229</v>
      </c>
      <c r="B5" t="s">
        <v>55</v>
      </c>
      <c r="C5" t="s">
        <v>360</v>
      </c>
      <c r="D5" t="s">
        <v>251</v>
      </c>
      <c r="E5" t="s">
        <v>361</v>
      </c>
      <c r="F5" t="s">
        <v>212</v>
      </c>
      <c r="G5" t="s">
        <v>213</v>
      </c>
      <c r="H5" t="s">
        <v>362</v>
      </c>
    </row>
    <row r="6" spans="1:8" x14ac:dyDescent="0.25">
      <c r="A6"/>
      <c r="B6"/>
      <c r="C6"/>
      <c r="D6"/>
      <c r="E6"/>
      <c r="F6"/>
      <c r="G6"/>
      <c r="H6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41CE-0582-4EBB-8FB6-8CEF8ED29E76}">
  <sheetPr codeName="Sheet17"/>
  <dimension ref="A1:M7"/>
  <sheetViews>
    <sheetView workbookViewId="0">
      <selection activeCell="E20" sqref="E20"/>
    </sheetView>
  </sheetViews>
  <sheetFormatPr defaultRowHeight="15" x14ac:dyDescent="0.25"/>
  <cols>
    <col min="1" max="1" width="31.5546875" style="1" bestFit="1" customWidth="1"/>
    <col min="2" max="2" width="9.33203125" style="1" bestFit="1" customWidth="1"/>
    <col min="3" max="3" width="22.6640625" style="1" bestFit="1" customWidth="1"/>
    <col min="4" max="4" width="14" style="1" bestFit="1" customWidth="1"/>
    <col min="5" max="5" width="7.5546875" style="1" bestFit="1" customWidth="1"/>
    <col min="6" max="6" width="10.88671875" style="1" bestFit="1" customWidth="1"/>
    <col min="7" max="8" width="9.21875" style="1" bestFit="1" customWidth="1"/>
    <col min="9" max="9" width="7.6640625" style="1" bestFit="1" customWidth="1"/>
    <col min="10" max="10" width="27.109375" style="1" bestFit="1" customWidth="1"/>
    <col min="11" max="11" width="8.88671875" style="1" bestFit="1" customWidth="1"/>
    <col min="12" max="12" width="9.21875" style="1" bestFit="1" customWidth="1"/>
    <col min="13" max="13" width="20.109375" style="1" bestFit="1" customWidth="1"/>
    <col min="14" max="16384" width="8.88671875" style="1"/>
  </cols>
  <sheetData>
    <row r="1" spans="1:13" ht="67.5" customHeight="1" x14ac:dyDescent="0.25">
      <c r="A1" s="8" t="s">
        <v>359</v>
      </c>
    </row>
    <row r="5" spans="1:13" x14ac:dyDescent="0.25">
      <c r="A5" t="s">
        <v>105</v>
      </c>
      <c r="B5" t="s">
        <v>56</v>
      </c>
      <c r="C5" t="s">
        <v>352</v>
      </c>
      <c r="D5" t="s">
        <v>55</v>
      </c>
      <c r="E5" t="s">
        <v>67</v>
      </c>
      <c r="F5" t="s">
        <v>353</v>
      </c>
      <c r="G5" t="s">
        <v>69</v>
      </c>
      <c r="H5" t="s">
        <v>354</v>
      </c>
      <c r="I5" t="s">
        <v>50</v>
      </c>
      <c r="J5" t="s">
        <v>355</v>
      </c>
      <c r="K5" t="s">
        <v>356</v>
      </c>
      <c r="L5" t="s">
        <v>357</v>
      </c>
      <c r="M5" t="s">
        <v>174</v>
      </c>
    </row>
    <row r="6" spans="1:13" x14ac:dyDescent="0.25">
      <c r="A6" t="s">
        <v>446</v>
      </c>
      <c r="B6" s="86">
        <v>45153</v>
      </c>
      <c r="C6" t="s">
        <v>619</v>
      </c>
      <c r="D6" t="s">
        <v>385</v>
      </c>
      <c r="E6" t="s">
        <v>620</v>
      </c>
      <c r="F6" t="s">
        <v>358</v>
      </c>
      <c r="G6"/>
      <c r="H6"/>
      <c r="I6" t="s">
        <v>621</v>
      </c>
      <c r="J6"/>
      <c r="K6" t="s">
        <v>103</v>
      </c>
      <c r="L6" t="s">
        <v>103</v>
      </c>
      <c r="M6" t="s">
        <v>386</v>
      </c>
    </row>
    <row r="7" spans="1:13" x14ac:dyDescent="0.25">
      <c r="A7" t="s">
        <v>403</v>
      </c>
      <c r="B7" s="86">
        <v>45154</v>
      </c>
      <c r="C7" t="s">
        <v>622</v>
      </c>
      <c r="D7" t="s">
        <v>374</v>
      </c>
      <c r="E7" t="s">
        <v>620</v>
      </c>
      <c r="F7" t="s">
        <v>358</v>
      </c>
      <c r="G7"/>
      <c r="H7"/>
      <c r="I7" t="s">
        <v>1</v>
      </c>
      <c r="J7"/>
      <c r="K7" t="s">
        <v>103</v>
      </c>
      <c r="L7" t="s">
        <v>103</v>
      </c>
      <c r="M7" t="s">
        <v>376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F14"/>
  <sheetViews>
    <sheetView workbookViewId="0">
      <selection activeCell="F5" sqref="F5"/>
    </sheetView>
  </sheetViews>
  <sheetFormatPr defaultRowHeight="15" x14ac:dyDescent="0.25"/>
  <cols>
    <col min="1" max="1" width="7.109375" style="1" bestFit="1" customWidth="1"/>
    <col min="2" max="2" width="31.5546875" style="1" bestFit="1" customWidth="1"/>
    <col min="3" max="3" width="14" style="1" bestFit="1" customWidth="1"/>
    <col min="4" max="4" width="9.33203125" style="1" bestFit="1" customWidth="1"/>
    <col min="5" max="5" width="9.21875" style="1" bestFit="1" customWidth="1"/>
    <col min="6" max="6" width="10" style="1" bestFit="1" customWidth="1"/>
    <col min="7" max="7" width="12.5546875" style="1" bestFit="1" customWidth="1"/>
    <col min="8" max="8" width="5.88671875" style="1" bestFit="1" customWidth="1"/>
    <col min="9" max="9" width="12" style="1" bestFit="1" customWidth="1"/>
    <col min="10" max="10" width="5.88671875" style="1" bestFit="1" customWidth="1"/>
    <col min="11" max="11" width="9.5546875" style="1" bestFit="1" customWidth="1"/>
    <col min="12" max="12" width="5.33203125" style="1" bestFit="1" customWidth="1"/>
    <col min="13" max="13" width="5.77734375" style="1" bestFit="1" customWidth="1"/>
    <col min="14" max="14" width="9.5546875" style="1" bestFit="1" customWidth="1"/>
    <col min="15" max="16" width="9.21875" style="1" bestFit="1" customWidth="1"/>
    <col min="17" max="17" width="7.5546875" style="1" bestFit="1" customWidth="1"/>
    <col min="18" max="18" width="5.88671875" style="1" bestFit="1" customWidth="1"/>
    <col min="19" max="19" width="6" style="1" bestFit="1" customWidth="1"/>
    <col min="20" max="21" width="10.88671875" style="1" bestFit="1" customWidth="1"/>
    <col min="22" max="23" width="9.21875" style="1" bestFit="1" customWidth="1"/>
    <col min="24" max="24" width="9.33203125" style="1" bestFit="1" customWidth="1"/>
    <col min="25" max="25" width="10.88671875" style="1" bestFit="1" customWidth="1"/>
    <col min="26" max="26" width="9.33203125" style="1" bestFit="1" customWidth="1"/>
    <col min="27" max="27" width="7.5546875" style="1" bestFit="1" customWidth="1"/>
    <col min="28" max="28" width="7" style="1" bestFit="1" customWidth="1"/>
    <col min="29" max="29" width="7.5546875" style="1" bestFit="1" customWidth="1"/>
    <col min="30" max="30" width="7.6640625" style="1" bestFit="1" customWidth="1"/>
    <col min="31" max="31" width="10.88671875" style="1" bestFit="1" customWidth="1"/>
    <col min="32" max="32" width="47.21875" style="1" bestFit="1" customWidth="1"/>
    <col min="33" max="33" width="28.109375" style="1" bestFit="1" customWidth="1"/>
    <col min="34" max="34" width="17.88671875" style="1" bestFit="1" customWidth="1"/>
    <col min="35" max="35" width="7.6640625" style="1" bestFit="1" customWidth="1"/>
    <col min="36" max="36" width="5.6640625" style="1" bestFit="1" customWidth="1"/>
    <col min="37" max="37" width="11.109375" style="1" bestFit="1" customWidth="1"/>
    <col min="38" max="38" width="5.88671875" style="1" bestFit="1" customWidth="1"/>
    <col min="39" max="40" width="9.21875" style="1" bestFit="1" customWidth="1"/>
    <col min="41" max="41" width="10" style="1" bestFit="1" customWidth="1"/>
    <col min="42" max="42" width="12.44140625" style="1" bestFit="1" customWidth="1"/>
    <col min="43" max="43" width="9.33203125" style="1" bestFit="1" customWidth="1"/>
    <col min="44" max="44" width="11.5546875" style="1" bestFit="1" customWidth="1"/>
    <col min="45" max="45" width="20.109375" style="1" bestFit="1" customWidth="1"/>
    <col min="46" max="46" width="11.5546875" style="1" bestFit="1" customWidth="1"/>
    <col min="47" max="48" width="17.33203125" style="1" bestFit="1" customWidth="1"/>
    <col min="49" max="49" width="9.21875" style="1" bestFit="1" customWidth="1"/>
    <col min="50" max="50" width="15.21875" style="1" bestFit="1" customWidth="1"/>
    <col min="51" max="51" width="13.44140625" style="1" bestFit="1" customWidth="1"/>
    <col min="52" max="52" width="11.109375" style="1" bestFit="1" customWidth="1"/>
    <col min="53" max="54" width="10.88671875" style="1" bestFit="1" customWidth="1"/>
    <col min="55" max="55" width="9.21875" style="1" bestFit="1" customWidth="1"/>
    <col min="56" max="56" width="8.77734375" style="1" bestFit="1" customWidth="1"/>
    <col min="57" max="57" width="9.21875" style="1" bestFit="1" customWidth="1"/>
    <col min="58" max="58" width="14.6640625" style="1" bestFit="1" customWidth="1"/>
    <col min="59" max="59" width="9.21875" style="1" bestFit="1" customWidth="1"/>
    <col min="60" max="60" width="8.5546875" style="1" bestFit="1" customWidth="1"/>
    <col min="61" max="61" width="9.33203125" style="1" bestFit="1" customWidth="1"/>
    <col min="62" max="62" width="9.21875" style="1" bestFit="1" customWidth="1"/>
    <col min="63" max="63" width="10.109375" style="1" bestFit="1" customWidth="1"/>
    <col min="64" max="64" width="10.33203125" style="1" bestFit="1" customWidth="1"/>
    <col min="65" max="65" width="15.109375" style="1" bestFit="1" customWidth="1"/>
    <col min="66" max="66" width="10.33203125" style="1" bestFit="1" customWidth="1"/>
    <col min="67" max="67" width="5.88671875" style="1" bestFit="1" customWidth="1"/>
    <col min="68" max="68" width="9.21875" style="1" bestFit="1" customWidth="1"/>
    <col min="69" max="69" width="10.33203125" style="1" bestFit="1" customWidth="1"/>
    <col min="70" max="70" width="14.44140625" style="1" bestFit="1" customWidth="1"/>
    <col min="71" max="71" width="16.109375" style="1" bestFit="1" customWidth="1"/>
    <col min="72" max="72" width="20.6640625" style="1" bestFit="1" customWidth="1"/>
    <col min="73" max="73" width="18.88671875" style="1" bestFit="1" customWidth="1"/>
    <col min="74" max="74" width="27.109375" style="1" bestFit="1" customWidth="1"/>
    <col min="75" max="16384" width="8.88671875" style="1"/>
  </cols>
  <sheetData>
    <row r="1" spans="1:58" ht="39.75" customHeight="1" x14ac:dyDescent="0.25"/>
    <row r="2" spans="1:58" ht="39.75" customHeight="1" x14ac:dyDescent="0.25"/>
    <row r="3" spans="1:58" ht="39.75" customHeight="1" x14ac:dyDescent="0.25"/>
    <row r="4" spans="1:58" x14ac:dyDescent="0.25">
      <c r="A4" t="s">
        <v>95</v>
      </c>
      <c r="B4" t="s">
        <v>105</v>
      </c>
      <c r="C4" t="s">
        <v>55</v>
      </c>
      <c r="D4" t="s">
        <v>56</v>
      </c>
      <c r="E4" t="s">
        <v>169</v>
      </c>
      <c r="F4" t="s">
        <v>218</v>
      </c>
      <c r="G4" t="s">
        <v>58</v>
      </c>
      <c r="H4" t="s">
        <v>72</v>
      </c>
      <c r="I4" t="s">
        <v>65</v>
      </c>
      <c r="J4" t="s">
        <v>96</v>
      </c>
      <c r="K4" t="s">
        <v>143</v>
      </c>
      <c r="L4" t="s">
        <v>97</v>
      </c>
      <c r="M4" t="s">
        <v>61</v>
      </c>
      <c r="N4" t="s">
        <v>190</v>
      </c>
      <c r="O4" t="s">
        <v>206</v>
      </c>
      <c r="P4" t="s">
        <v>208</v>
      </c>
      <c r="Q4" t="s">
        <v>67</v>
      </c>
      <c r="R4" t="s">
        <v>99</v>
      </c>
      <c r="S4" t="s">
        <v>102</v>
      </c>
      <c r="T4" t="s">
        <v>227</v>
      </c>
      <c r="U4" t="s">
        <v>228</v>
      </c>
      <c r="V4" t="s">
        <v>175</v>
      </c>
      <c r="W4" t="s">
        <v>89</v>
      </c>
      <c r="X4" t="s">
        <v>75</v>
      </c>
      <c r="Y4" t="s">
        <v>78</v>
      </c>
      <c r="Z4" t="s">
        <v>60</v>
      </c>
      <c r="AA4" t="s">
        <v>214</v>
      </c>
      <c r="AB4" t="s">
        <v>215</v>
      </c>
      <c r="AC4" t="s">
        <v>258</v>
      </c>
      <c r="AD4" t="s">
        <v>74</v>
      </c>
      <c r="AE4" t="s">
        <v>293</v>
      </c>
      <c r="AF4" t="s">
        <v>79</v>
      </c>
      <c r="AG4" t="s">
        <v>80</v>
      </c>
      <c r="AH4" t="s">
        <v>90</v>
      </c>
      <c r="AI4" t="s">
        <v>48</v>
      </c>
      <c r="AJ4" t="s">
        <v>173</v>
      </c>
      <c r="AK4" t="s">
        <v>192</v>
      </c>
      <c r="AL4" t="s">
        <v>268</v>
      </c>
      <c r="AM4" t="s">
        <v>255</v>
      </c>
      <c r="AN4" t="s">
        <v>257</v>
      </c>
      <c r="AO4" t="s">
        <v>269</v>
      </c>
      <c r="AP4" t="s">
        <v>270</v>
      </c>
      <c r="AQ4" t="s">
        <v>210</v>
      </c>
      <c r="AR4" t="s">
        <v>271</v>
      </c>
      <c r="AS4" t="s">
        <v>174</v>
      </c>
    </row>
    <row r="5" spans="1:58" x14ac:dyDescent="0.25">
      <c r="A5">
        <v>4</v>
      </c>
      <c r="B5" t="s">
        <v>416</v>
      </c>
      <c r="C5" t="s">
        <v>368</v>
      </c>
      <c r="D5" s="86">
        <v>45154</v>
      </c>
      <c r="E5" t="s">
        <v>369</v>
      </c>
      <c r="F5" t="s">
        <v>373</v>
      </c>
      <c r="G5" t="s">
        <v>305</v>
      </c>
      <c r="H5" t="s">
        <v>94</v>
      </c>
      <c r="I5">
        <v>3</v>
      </c>
      <c r="J5" t="s">
        <v>189</v>
      </c>
      <c r="K5" t="s">
        <v>472</v>
      </c>
      <c r="L5" t="s">
        <v>7</v>
      </c>
      <c r="M5" t="s">
        <v>7</v>
      </c>
      <c r="N5" t="s">
        <v>472</v>
      </c>
      <c r="O5" t="s">
        <v>7</v>
      </c>
      <c r="P5" t="s">
        <v>474</v>
      </c>
      <c r="Q5"/>
      <c r="R5" t="s">
        <v>47</v>
      </c>
      <c r="S5" t="s">
        <v>125</v>
      </c>
      <c r="T5" t="s">
        <v>187</v>
      </c>
      <c r="U5" t="s">
        <v>7</v>
      </c>
      <c r="V5" t="s">
        <v>103</v>
      </c>
      <c r="W5" t="s">
        <v>427</v>
      </c>
      <c r="X5" s="86">
        <v>45161</v>
      </c>
      <c r="Y5" s="86">
        <v>45254</v>
      </c>
      <c r="Z5" s="86">
        <v>46257</v>
      </c>
      <c r="AA5">
        <v>3</v>
      </c>
      <c r="AB5">
        <v>21.998999999999999</v>
      </c>
      <c r="AC5">
        <v>23.49</v>
      </c>
      <c r="AD5" t="s">
        <v>426</v>
      </c>
      <c r="AE5" t="s">
        <v>370</v>
      </c>
      <c r="AF5" t="s">
        <v>430</v>
      </c>
      <c r="AG5" t="s">
        <v>103</v>
      </c>
      <c r="AH5" t="s">
        <v>416</v>
      </c>
      <c r="AI5" t="s">
        <v>7</v>
      </c>
      <c r="AJ5" t="s">
        <v>7</v>
      </c>
      <c r="AK5" t="s">
        <v>473</v>
      </c>
      <c r="AL5"/>
      <c r="AM5" t="s">
        <v>103</v>
      </c>
      <c r="AN5" t="s">
        <v>103</v>
      </c>
      <c r="AO5"/>
      <c r="AP5"/>
      <c r="AQ5"/>
      <c r="AR5"/>
      <c r="AS5" t="s">
        <v>372</v>
      </c>
      <c r="BF5" s="25"/>
    </row>
    <row r="6" spans="1:58" x14ac:dyDescent="0.25">
      <c r="A6">
        <v>3</v>
      </c>
      <c r="B6" t="s">
        <v>403</v>
      </c>
      <c r="C6" t="s">
        <v>374</v>
      </c>
      <c r="D6" s="86">
        <v>45154</v>
      </c>
      <c r="E6" t="s">
        <v>92</v>
      </c>
      <c r="F6" t="s">
        <v>92</v>
      </c>
      <c r="G6" t="s">
        <v>310</v>
      </c>
      <c r="H6" t="s">
        <v>119</v>
      </c>
      <c r="I6">
        <v>2.9</v>
      </c>
      <c r="J6" t="s">
        <v>189</v>
      </c>
      <c r="K6" t="s">
        <v>407</v>
      </c>
      <c r="L6" t="s">
        <v>7</v>
      </c>
      <c r="M6" t="s">
        <v>407</v>
      </c>
      <c r="N6" t="s">
        <v>7</v>
      </c>
      <c r="O6" t="s">
        <v>7</v>
      </c>
      <c r="P6" t="s">
        <v>138</v>
      </c>
      <c r="Q6">
        <v>100</v>
      </c>
      <c r="R6" t="s">
        <v>133</v>
      </c>
      <c r="S6" t="s">
        <v>476</v>
      </c>
      <c r="T6" t="s">
        <v>7</v>
      </c>
      <c r="U6" t="s">
        <v>7</v>
      </c>
      <c r="V6" t="s">
        <v>103</v>
      </c>
      <c r="W6" t="s">
        <v>162</v>
      </c>
      <c r="X6" s="86">
        <v>45161</v>
      </c>
      <c r="Y6" s="86">
        <v>45192</v>
      </c>
      <c r="Z6" s="86">
        <v>46257</v>
      </c>
      <c r="AA6">
        <v>0.39400000000000002</v>
      </c>
      <c r="AB6">
        <v>2.9</v>
      </c>
      <c r="AC6">
        <v>3.097</v>
      </c>
      <c r="AD6" t="s">
        <v>413</v>
      </c>
      <c r="AE6" t="s">
        <v>375</v>
      </c>
      <c r="AF6" t="s">
        <v>403</v>
      </c>
      <c r="AG6" t="s">
        <v>103</v>
      </c>
      <c r="AH6" t="s">
        <v>103</v>
      </c>
      <c r="AI6" t="s">
        <v>475</v>
      </c>
      <c r="AJ6" t="s">
        <v>7</v>
      </c>
      <c r="AK6" t="s">
        <v>7</v>
      </c>
      <c r="AL6"/>
      <c r="AM6" t="s">
        <v>103</v>
      </c>
      <c r="AN6" t="s">
        <v>103</v>
      </c>
      <c r="AO6"/>
      <c r="AP6"/>
      <c r="AQ6"/>
      <c r="AR6"/>
      <c r="AS6" t="s">
        <v>376</v>
      </c>
      <c r="BF6" s="25"/>
    </row>
    <row r="7" spans="1:58" x14ac:dyDescent="0.25">
      <c r="A7">
        <v>2</v>
      </c>
      <c r="B7" t="s">
        <v>446</v>
      </c>
      <c r="C7" t="s">
        <v>385</v>
      </c>
      <c r="D7" s="86">
        <v>45153</v>
      </c>
      <c r="E7" t="s">
        <v>92</v>
      </c>
      <c r="F7" t="s">
        <v>92</v>
      </c>
      <c r="G7" t="s">
        <v>318</v>
      </c>
      <c r="H7" t="s">
        <v>119</v>
      </c>
      <c r="I7">
        <v>5</v>
      </c>
      <c r="J7" t="s">
        <v>189</v>
      </c>
      <c r="K7" t="s">
        <v>477</v>
      </c>
      <c r="L7" t="s">
        <v>7</v>
      </c>
      <c r="M7" t="s">
        <v>477</v>
      </c>
      <c r="N7" t="s">
        <v>7</v>
      </c>
      <c r="O7" t="s">
        <v>7</v>
      </c>
      <c r="P7" t="s">
        <v>138</v>
      </c>
      <c r="Q7">
        <v>100</v>
      </c>
      <c r="R7" t="s">
        <v>43</v>
      </c>
      <c r="S7" t="s">
        <v>476</v>
      </c>
      <c r="T7" t="s">
        <v>7</v>
      </c>
      <c r="U7" t="s">
        <v>7</v>
      </c>
      <c r="V7" t="s">
        <v>103</v>
      </c>
      <c r="W7" t="s">
        <v>162</v>
      </c>
      <c r="X7" s="86">
        <v>45160</v>
      </c>
      <c r="Y7" s="86">
        <v>45344</v>
      </c>
      <c r="Z7" s="86">
        <v>46256</v>
      </c>
      <c r="AA7">
        <v>0.68500000000000005</v>
      </c>
      <c r="AB7">
        <v>5</v>
      </c>
      <c r="AC7">
        <v>5.35</v>
      </c>
      <c r="AD7" t="s">
        <v>454</v>
      </c>
      <c r="AE7" t="s">
        <v>375</v>
      </c>
      <c r="AF7" t="s">
        <v>446</v>
      </c>
      <c r="AG7" t="s">
        <v>103</v>
      </c>
      <c r="AH7" t="s">
        <v>103</v>
      </c>
      <c r="AI7" t="s">
        <v>7</v>
      </c>
      <c r="AJ7" t="s">
        <v>343</v>
      </c>
      <c r="AK7" t="s">
        <v>101</v>
      </c>
      <c r="AL7"/>
      <c r="AM7" t="s">
        <v>103</v>
      </c>
      <c r="AN7" t="s">
        <v>103</v>
      </c>
      <c r="AO7"/>
      <c r="AP7"/>
      <c r="AQ7"/>
      <c r="AR7"/>
      <c r="AS7" t="s">
        <v>386</v>
      </c>
      <c r="BF7" s="25"/>
    </row>
    <row r="8" spans="1:58" x14ac:dyDescent="0.25">
      <c r="A8">
        <v>1</v>
      </c>
      <c r="B8" t="s">
        <v>506</v>
      </c>
      <c r="C8" t="s">
        <v>502</v>
      </c>
      <c r="D8" s="86">
        <v>45152</v>
      </c>
      <c r="E8" t="s">
        <v>92</v>
      </c>
      <c r="F8" t="s">
        <v>92</v>
      </c>
      <c r="G8" t="s">
        <v>7</v>
      </c>
      <c r="H8" t="s">
        <v>94</v>
      </c>
      <c r="I8">
        <v>0.5</v>
      </c>
      <c r="J8" t="s">
        <v>604</v>
      </c>
      <c r="K8" t="s">
        <v>605</v>
      </c>
      <c r="L8" t="s">
        <v>7</v>
      </c>
      <c r="M8" t="s">
        <v>508</v>
      </c>
      <c r="N8" t="s">
        <v>508</v>
      </c>
      <c r="O8" t="s">
        <v>7</v>
      </c>
      <c r="P8" t="s">
        <v>138</v>
      </c>
      <c r="Q8"/>
      <c r="R8" t="s">
        <v>46</v>
      </c>
      <c r="S8" t="s">
        <v>125</v>
      </c>
      <c r="T8" t="s">
        <v>7</v>
      </c>
      <c r="U8" t="s">
        <v>7</v>
      </c>
      <c r="V8" t="s">
        <v>609</v>
      </c>
      <c r="W8" t="s">
        <v>162</v>
      </c>
      <c r="X8" s="86">
        <v>45156</v>
      </c>
      <c r="Y8" s="86"/>
      <c r="Z8" s="86">
        <v>46132</v>
      </c>
      <c r="AA8">
        <v>0.5</v>
      </c>
      <c r="AB8">
        <v>3.6379999999999999</v>
      </c>
      <c r="AC8">
        <v>3.91</v>
      </c>
      <c r="AD8" t="s">
        <v>514</v>
      </c>
      <c r="AE8" t="s">
        <v>493</v>
      </c>
      <c r="AF8" t="s">
        <v>518</v>
      </c>
      <c r="AG8" t="s">
        <v>506</v>
      </c>
      <c r="AH8" t="s">
        <v>103</v>
      </c>
      <c r="AI8" t="s">
        <v>7</v>
      </c>
      <c r="AJ8" t="s">
        <v>7</v>
      </c>
      <c r="AK8" t="s">
        <v>7</v>
      </c>
      <c r="AL8"/>
      <c r="AM8" t="s">
        <v>103</v>
      </c>
      <c r="AN8" t="s">
        <v>103</v>
      </c>
      <c r="AO8"/>
      <c r="AP8"/>
      <c r="AQ8"/>
      <c r="AR8"/>
      <c r="AS8" t="s">
        <v>503</v>
      </c>
      <c r="BF8" s="25"/>
    </row>
    <row r="9" spans="1:58" x14ac:dyDescent="0.25">
      <c r="BF9" s="25"/>
    </row>
    <row r="10" spans="1:58" x14ac:dyDescent="0.25">
      <c r="BF10" s="25"/>
    </row>
    <row r="11" spans="1:58" x14ac:dyDescent="0.25">
      <c r="BF11" s="25"/>
    </row>
    <row r="12" spans="1:58" x14ac:dyDescent="0.25">
      <c r="BF12" s="25"/>
    </row>
    <row r="13" spans="1:58" x14ac:dyDescent="0.25">
      <c r="BF13" s="25"/>
    </row>
    <row r="14" spans="1:58" x14ac:dyDescent="0.25">
      <c r="BF14" s="25"/>
    </row>
  </sheetData>
  <phoneticPr fontId="17" type="noConversion"/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T6"/>
  <sheetViews>
    <sheetView workbookViewId="0">
      <selection activeCell="E5" sqref="E5"/>
    </sheetView>
  </sheetViews>
  <sheetFormatPr defaultRowHeight="15" x14ac:dyDescent="0.25"/>
  <cols>
    <col min="1" max="1" width="7.109375" style="1" bestFit="1" customWidth="1"/>
    <col min="2" max="2" width="31.5546875" style="1" bestFit="1" customWidth="1"/>
    <col min="3" max="3" width="12.5546875" style="1" bestFit="1" customWidth="1"/>
    <col min="4" max="4" width="9.33203125" style="1" bestFit="1" customWidth="1"/>
    <col min="5" max="5" width="9.21875" style="1" bestFit="1" customWidth="1"/>
    <col min="6" max="6" width="5.88671875" style="1" bestFit="1" customWidth="1"/>
    <col min="7" max="8" width="6" style="1" bestFit="1" customWidth="1"/>
    <col min="9" max="10" width="9.21875" style="1" bestFit="1" customWidth="1"/>
    <col min="11" max="11" width="4.21875" style="1" bestFit="1" customWidth="1"/>
    <col min="12" max="12" width="10.88671875" style="1" bestFit="1" customWidth="1"/>
    <col min="13" max="13" width="13.33203125" style="1" bestFit="1" customWidth="1"/>
    <col min="14" max="14" width="7.5546875" style="1" bestFit="1" customWidth="1"/>
    <col min="15" max="15" width="9.21875" style="1" bestFit="1" customWidth="1"/>
    <col min="16" max="16" width="5.88671875" style="1" bestFit="1" customWidth="1"/>
    <col min="17" max="17" width="9.21875" style="1" bestFit="1" customWidth="1"/>
    <col min="18" max="18" width="11" style="1" bestFit="1" customWidth="1"/>
    <col min="19" max="19" width="9.33203125" style="1" bestFit="1" customWidth="1"/>
    <col min="20" max="20" width="11.5546875" style="1" bestFit="1" customWidth="1"/>
    <col min="21" max="21" width="11.77734375" style="1" bestFit="1" customWidth="1"/>
    <col min="22" max="22" width="5.88671875" style="1" bestFit="1" customWidth="1"/>
    <col min="23" max="24" width="8.33203125" style="1" bestFit="1" customWidth="1"/>
    <col min="25" max="16384" width="8.88671875" style="1"/>
  </cols>
  <sheetData>
    <row r="1" spans="1:20" ht="43.5" customHeight="1" x14ac:dyDescent="0.25"/>
    <row r="2" spans="1:20" ht="43.5" customHeight="1" x14ac:dyDescent="0.25"/>
    <row r="3" spans="1:20" ht="43.5" customHeight="1" x14ac:dyDescent="0.25"/>
    <row r="4" spans="1:20" x14ac:dyDescent="0.25">
      <c r="A4" t="s">
        <v>95</v>
      </c>
      <c r="B4" t="s">
        <v>105</v>
      </c>
      <c r="C4" t="s">
        <v>140</v>
      </c>
      <c r="D4" t="s">
        <v>281</v>
      </c>
      <c r="E4" t="s">
        <v>291</v>
      </c>
      <c r="F4" t="s">
        <v>98</v>
      </c>
      <c r="G4" t="s">
        <v>52</v>
      </c>
      <c r="H4" t="s">
        <v>53</v>
      </c>
      <c r="I4" t="s">
        <v>287</v>
      </c>
      <c r="J4" t="s">
        <v>252</v>
      </c>
      <c r="K4" t="s">
        <v>303</v>
      </c>
      <c r="L4" t="s">
        <v>288</v>
      </c>
      <c r="M4" t="s">
        <v>238</v>
      </c>
      <c r="N4" t="s">
        <v>289</v>
      </c>
      <c r="O4" t="s">
        <v>290</v>
      </c>
      <c r="P4" t="s">
        <v>50</v>
      </c>
      <c r="Q4" t="s">
        <v>51</v>
      </c>
      <c r="R4" t="s">
        <v>49</v>
      </c>
      <c r="S4" t="s">
        <v>210</v>
      </c>
      <c r="T4" t="s">
        <v>271</v>
      </c>
    </row>
    <row r="5" spans="1:20" x14ac:dyDescent="0.25">
      <c r="A5"/>
      <c r="B5" t="s">
        <v>403</v>
      </c>
      <c r="C5" t="s">
        <v>470</v>
      </c>
      <c r="D5" t="s">
        <v>284</v>
      </c>
      <c r="E5"/>
      <c r="F5" t="s">
        <v>17</v>
      </c>
      <c r="G5" t="s">
        <v>410</v>
      </c>
      <c r="H5" t="s">
        <v>505</v>
      </c>
      <c r="I5"/>
      <c r="J5" t="s">
        <v>241</v>
      </c>
      <c r="K5"/>
      <c r="L5"/>
      <c r="M5" s="86">
        <v>45154</v>
      </c>
      <c r="N5"/>
      <c r="O5"/>
      <c r="P5" t="s">
        <v>1</v>
      </c>
      <c r="Q5" t="s">
        <v>307</v>
      </c>
      <c r="R5" t="s">
        <v>155</v>
      </c>
      <c r="S5"/>
      <c r="T5"/>
    </row>
    <row r="6" spans="1:20" x14ac:dyDescent="0.25">
      <c r="A6"/>
      <c r="B6" t="s">
        <v>446</v>
      </c>
      <c r="C6" t="s">
        <v>606</v>
      </c>
      <c r="D6" t="s">
        <v>283</v>
      </c>
      <c r="E6"/>
      <c r="F6" t="s">
        <v>18</v>
      </c>
      <c r="G6" t="s">
        <v>450</v>
      </c>
      <c r="H6" t="s">
        <v>7</v>
      </c>
      <c r="I6"/>
      <c r="J6" t="s">
        <v>241</v>
      </c>
      <c r="K6"/>
      <c r="L6"/>
      <c r="M6" s="86">
        <v>45153</v>
      </c>
      <c r="N6"/>
      <c r="O6"/>
      <c r="P6" t="s">
        <v>93</v>
      </c>
      <c r="Q6" t="s">
        <v>439</v>
      </c>
      <c r="R6" t="s">
        <v>452</v>
      </c>
      <c r="S6"/>
      <c r="T6"/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S6"/>
  <sheetViews>
    <sheetView workbookViewId="0">
      <selection activeCell="K5" sqref="K5"/>
    </sheetView>
  </sheetViews>
  <sheetFormatPr defaultRowHeight="15" x14ac:dyDescent="0.25"/>
  <cols>
    <col min="1" max="1" width="7.109375" style="1" bestFit="1" customWidth="1"/>
    <col min="2" max="2" width="6" style="1" bestFit="1" customWidth="1"/>
    <col min="3" max="3" width="7.5546875" style="1" bestFit="1" customWidth="1"/>
    <col min="4" max="4" width="9.21875" style="1" bestFit="1" customWidth="1"/>
    <col min="5" max="5" width="11.109375" style="1" bestFit="1" customWidth="1"/>
    <col min="6" max="6" width="9.21875" style="1" bestFit="1" customWidth="1"/>
    <col min="7" max="7" width="8.77734375" style="1" bestFit="1" customWidth="1"/>
    <col min="8" max="9" width="9.21875" style="1" bestFit="1" customWidth="1"/>
    <col min="10" max="10" width="11.44140625" style="1" bestFit="1" customWidth="1"/>
    <col min="11" max="11" width="15.21875" style="1" bestFit="1" customWidth="1"/>
    <col min="12" max="12" width="5.88671875" style="1" bestFit="1" customWidth="1"/>
    <col min="13" max="13" width="9.21875" style="1" bestFit="1" customWidth="1"/>
    <col min="14" max="14" width="5.88671875" style="1" bestFit="1" customWidth="1"/>
    <col min="15" max="17" width="7.5546875" style="1" bestFit="1" customWidth="1"/>
    <col min="18" max="18" width="7.44140625" style="1" bestFit="1" customWidth="1"/>
    <col min="19" max="19" width="10.33203125" style="1" bestFit="1" customWidth="1"/>
    <col min="20" max="20" width="8.77734375" style="1" bestFit="1" customWidth="1"/>
    <col min="21" max="21" width="9.21875" style="1" bestFit="1" customWidth="1"/>
    <col min="22" max="16384" width="8.88671875" style="1"/>
  </cols>
  <sheetData>
    <row r="5" spans="1:19" x14ac:dyDescent="0.25">
      <c r="A5" t="s">
        <v>95</v>
      </c>
      <c r="B5" t="s">
        <v>55</v>
      </c>
      <c r="C5" t="s">
        <v>56</v>
      </c>
      <c r="D5" t="s">
        <v>105</v>
      </c>
      <c r="E5" t="s">
        <v>184</v>
      </c>
      <c r="F5" t="s">
        <v>247</v>
      </c>
      <c r="G5" t="s">
        <v>248</v>
      </c>
      <c r="H5" t="s">
        <v>249</v>
      </c>
      <c r="I5" t="s">
        <v>212</v>
      </c>
      <c r="J5" t="s">
        <v>213</v>
      </c>
      <c r="K5" t="s">
        <v>223</v>
      </c>
      <c r="L5" t="s">
        <v>211</v>
      </c>
      <c r="M5" t="s">
        <v>251</v>
      </c>
      <c r="N5" t="s">
        <v>263</v>
      </c>
      <c r="O5" t="s">
        <v>264</v>
      </c>
      <c r="P5" t="s">
        <v>265</v>
      </c>
      <c r="Q5" t="s">
        <v>266</v>
      </c>
      <c r="R5" t="s">
        <v>174</v>
      </c>
      <c r="S5" t="s">
        <v>267</v>
      </c>
    </row>
    <row r="6" spans="1:19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31</vt:i4>
      </vt:variant>
    </vt:vector>
  </HeadingPairs>
  <TitlesOfParts>
    <vt:vector size="48" baseType="lpstr">
      <vt:lpstr>EXE</vt:lpstr>
      <vt:lpstr>DOWNLOAD</vt:lpstr>
      <vt:lpstr>load</vt:lpstr>
      <vt:lpstr>REVIEW_LIST</vt:lpstr>
      <vt:lpstr>Charts</vt:lpstr>
      <vt:lpstr>WRITER</vt:lpstr>
      <vt:lpstr>ECON</vt:lpstr>
      <vt:lpstr>FUTURE</vt:lpstr>
      <vt:lpstr>Add</vt:lpstr>
      <vt:lpstr>FIMTN</vt:lpstr>
      <vt:lpstr>dmi</vt:lpstr>
      <vt:lpstr>bbgcorp</vt:lpstr>
      <vt:lpstr>台账</vt:lpstr>
      <vt:lpstr>WST</vt:lpstr>
      <vt:lpstr>AddtoCurated</vt:lpstr>
      <vt:lpstr>AddtoCredit</vt:lpstr>
      <vt:lpstr>AddtoBISL</vt:lpstr>
      <vt:lpstr>dd_BISL_role</vt:lpstr>
      <vt:lpstr>dd_bocomdeal</vt:lpstr>
      <vt:lpstr>dd_bocomrole</vt:lpstr>
      <vt:lpstr>dd_by_rtg</vt:lpstr>
      <vt:lpstr>dd_byrtg</vt:lpstr>
      <vt:lpstr>dd_coverage</vt:lpstr>
      <vt:lpstr>dd_crcy</vt:lpstr>
      <vt:lpstr>dd_econ</vt:lpstr>
      <vt:lpstr>dd_econ1</vt:lpstr>
      <vt:lpstr>dd_ECONEvent</vt:lpstr>
      <vt:lpstr>dd_econfuture</vt:lpstr>
      <vt:lpstr>dd_FutureEvent</vt:lpstr>
      <vt:lpstr>dd_listing</vt:lpstr>
      <vt:lpstr>dd_region</vt:lpstr>
      <vt:lpstr>dd_sector</vt:lpstr>
      <vt:lpstr>dd_sfcrole</vt:lpstr>
      <vt:lpstr>dd_strct</vt:lpstr>
      <vt:lpstr>dd_structure</vt:lpstr>
      <vt:lpstr>dd_theme</vt:lpstr>
      <vt:lpstr>dd_updator</vt:lpstr>
      <vt:lpstr>dd_中资属性</vt:lpstr>
      <vt:lpstr>dd_板块</vt:lpstr>
      <vt:lpstr>GPS</vt:lpstr>
      <vt:lpstr>hard_coded_1</vt:lpstr>
      <vt:lpstr>hard_coded_2</vt:lpstr>
      <vt:lpstr>hard_coded_3</vt:lpstr>
      <vt:lpstr>hard_coded_4</vt:lpstr>
      <vt:lpstr>hard_coded_5</vt:lpstr>
      <vt:lpstr>hard_coded_6</vt:lpstr>
      <vt:lpstr>input_data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dcterms:created xsi:type="dcterms:W3CDTF">2023-03-10T12:57:22Z</dcterms:created>
  <dcterms:modified xsi:type="dcterms:W3CDTF">2023-08-21T06:49:58Z</dcterms:modified>
</cp:coreProperties>
</file>