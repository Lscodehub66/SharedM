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6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3.xml" ContentType="application/vnd.openxmlformats-officedocument.spreadsheetml.comments+xml"/>
  <Override PartName="/xl/tables/table24.xml" ContentType="application/vnd.openxmlformats-officedocument.spreadsheetml.table+xml"/>
  <Override PartName="/xl/queryTables/queryTable15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queryTables/queryTable16.xml" ContentType="application/vnd.openxmlformats-officedocument.spreadsheetml.queryTable+xml"/>
  <Override PartName="/xl/tables/table27.xml" ContentType="application/vnd.openxmlformats-officedocument.spreadsheetml.table+xml"/>
  <Override PartName="/xl/drawings/drawing7.xml" ContentType="application/vnd.openxmlformats-officedocument.drawing+xml"/>
  <Override PartName="/xl/tables/table28.xml" ContentType="application/vnd.openxmlformats-officedocument.spreadsheetml.table+xml"/>
  <Override PartName="/xl/queryTables/queryTable1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8.xml" ContentType="application/vnd.openxmlformats-officedocument.spreadsheetml.query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queryTables/queryTable19.xml" ContentType="application/vnd.openxmlformats-officedocument.spreadsheetml.queryTable+xml"/>
  <Override PartName="/xl/tables/table36.xml" ContentType="application/vnd.openxmlformats-officedocument.spreadsheetml.table+xml"/>
  <Override PartName="/xl/queryTables/queryTable20.xml" ContentType="application/vnd.openxmlformats-officedocument.spreadsheetml.queryTable+xml"/>
  <Override PartName="/xl/tables/table37.xml" ContentType="application/vnd.openxmlformats-officedocument.spreadsheetml.table+xml"/>
  <Override PartName="/xl/queryTables/queryTable21.xml" ContentType="application/vnd.openxmlformats-officedocument.spreadsheetml.queryTable+xml"/>
  <Override PartName="/xl/tables/table38.xml" ContentType="application/vnd.openxmlformats-officedocument.spreadsheetml.table+xml"/>
  <Override PartName="/xl/queryTables/queryTable22.xml" ContentType="application/vnd.openxmlformats-officedocument.spreadsheetml.queryTable+xml"/>
  <Override PartName="/xl/tables/table39.xml" ContentType="application/vnd.openxmlformats-officedocument.spreadsheetml.table+xml"/>
  <Override PartName="/xl/queryTables/queryTable23.xml" ContentType="application/vnd.openxmlformats-officedocument.spreadsheetml.queryTable+xml"/>
  <Override PartName="/xl/tables/table40.xml" ContentType="application/vnd.openxmlformats-officedocument.spreadsheetml.table+xml"/>
  <Override PartName="/xl/queryTables/queryTable24.xml" ContentType="application/vnd.openxmlformats-officedocument.spreadsheetml.queryTable+xml"/>
  <Override PartName="/xl/tables/table41.xml" ContentType="application/vnd.openxmlformats-officedocument.spreadsheetml.table+xml"/>
  <Override PartName="/xl/queryTables/queryTable25.xml" ContentType="application/vnd.openxmlformats-officedocument.spreadsheetml.queryTable+xml"/>
  <Override PartName="/xl/tables/table42.xml" ContentType="application/vnd.openxmlformats-officedocument.spreadsheetml.table+xml"/>
  <Override PartName="/xl/queryTables/queryTable26.xml" ContentType="application/vnd.openxmlformats-officedocument.spreadsheetml.query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queryTables/queryTable27.xml" ContentType="application/vnd.openxmlformats-officedocument.spreadsheetml.queryTable+xml"/>
  <Override PartName="/xl/tables/table45.xml" ContentType="application/vnd.openxmlformats-officedocument.spreadsheetml.table+xml"/>
  <Override PartName="/xl/queryTables/queryTable28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queryTables/queryTable29.xml" ContentType="application/vnd.openxmlformats-officedocument.spreadsheetml.query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queryTables/queryTable30.xml" ContentType="application/vnd.openxmlformats-officedocument.spreadsheetml.queryTable+xml"/>
  <Override PartName="/xl/tables/table50.xml" ContentType="application/vnd.openxmlformats-officedocument.spreadsheetml.table+xml"/>
  <Override PartName="/xl/queryTables/queryTable31.xml" ContentType="application/vnd.openxmlformats-officedocument.spreadsheetml.query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32.xml" ContentType="application/vnd.openxmlformats-officedocument.spreadsheetml.query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queryTables/queryTable33.xml" ContentType="application/vnd.openxmlformats-officedocument.spreadsheetml.queryTable+xml"/>
  <Override PartName="/xl/tables/table65.xml" ContentType="application/vnd.openxmlformats-officedocument.spreadsheetml.table+xml"/>
  <Override PartName="/xl/queryTables/queryTable34.xml" ContentType="application/vnd.openxmlformats-officedocument.spreadsheetml.queryTable+xml"/>
  <Override PartName="/xl/drawings/drawing8.xml" ContentType="application/vnd.openxmlformats-officedocument.drawing+xml"/>
  <Override PartName="/xl/tables/table66.xml" ContentType="application/vnd.openxmlformats-officedocument.spreadsheetml.table+xml"/>
  <Override PartName="/xl/queryTables/queryTable35.xml" ContentType="application/vnd.openxmlformats-officedocument.spreadsheetml.queryTable+xml"/>
  <Override PartName="/xl/drawings/drawing9.xml" ContentType="application/vnd.openxmlformats-officedocument.drawing+xml"/>
  <Override PartName="/xl/tables/table67.xml" ContentType="application/vnd.openxmlformats-officedocument.spreadsheetml.table+xml"/>
  <Override PartName="/xl/queryTables/queryTable36.xml" ContentType="application/vnd.openxmlformats-officedocument.spreadsheetml.queryTable+xml"/>
  <Override PartName="/xl/tables/table68.xml" ContentType="application/vnd.openxmlformats-officedocument.spreadsheetml.table+xml"/>
  <Override PartName="/xl/queryTables/queryTable3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feab00a3385f653/EXE Team/DataHub/SharedM/"/>
    </mc:Choice>
  </mc:AlternateContent>
  <xr:revisionPtr revIDLastSave="167" documentId="13_ncr:20001_{D3F455E9-34CF-45B3-A7BD-E1D32A8C73A6}" xr6:coauthVersionLast="47" xr6:coauthVersionMax="47" xr10:uidLastSave="{BB9DEC3F-B869-4FF7-AB0F-C3E75E096B4B}"/>
  <bookViews>
    <workbookView xWindow="-120" yWindow="-120" windowWidth="29040" windowHeight="15720" tabRatio="594" xr2:uid="{00000000-000D-0000-FFFF-FFFF00000000}"/>
  </bookViews>
  <sheets>
    <sheet name="DOWNLOAD" sheetId="1" r:id="rId1"/>
    <sheet name="load" sheetId="23" r:id="rId2"/>
    <sheet name="DLD_Add" sheetId="56" state="hidden" r:id="rId3"/>
    <sheet name="REVIEW_LIST" sheetId="33" r:id="rId4"/>
    <sheet name="ToDM" sheetId="57" state="hidden" r:id="rId5"/>
    <sheet name="Charts" sheetId="40" state="hidden" r:id="rId6"/>
    <sheet name="NWriter" sheetId="52" r:id="rId7"/>
    <sheet name="WRITER" sheetId="39" state="hidden" r:id="rId8"/>
    <sheet name="ECON" sheetId="30" state="hidden" r:id="rId9"/>
    <sheet name="FUTURE" sheetId="41" state="hidden" r:id="rId10"/>
    <sheet name="AddTap" sheetId="53" r:id="rId11"/>
    <sheet name="MDM" sheetId="27" r:id="rId12"/>
    <sheet name="WIP AddNew" sheetId="54" state="hidden" r:id="rId13"/>
    <sheet name="wDMI" sheetId="42" state="hidden" r:id="rId14"/>
    <sheet name="BBG" sheetId="49" state="hidden" r:id="rId15"/>
    <sheet name="wCurated" sheetId="48" state="hidden" r:id="rId16"/>
    <sheet name="wCredit" sheetId="46" state="hidden" r:id="rId17"/>
    <sheet name="wBISL" sheetId="47" state="hidden" r:id="rId18"/>
  </sheets>
  <definedNames>
    <definedName name="_xlnm._FilterDatabase" localSheetId="11" hidden="1">MDM!#REF!</definedName>
    <definedName name="_xlnm.Criteria" localSheetId="11">MDM!$Q$6:$Q$10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10" hidden="1">AddTap!$B$9:$K$19</definedName>
    <definedName name="ExternalData_1" localSheetId="14" hidden="1">BBG!$A$5:$Z$17</definedName>
    <definedName name="ExternalData_1" localSheetId="8" hidden="1">ECON!$A$12:$O$27</definedName>
    <definedName name="ExternalData_1" localSheetId="11" hidden="1">MDM!$H$24:$I$31</definedName>
    <definedName name="ExternalData_1" localSheetId="15" hidden="1">wCurated!$A$4:$AY$13</definedName>
    <definedName name="ExternalData_1" localSheetId="12" hidden="1">'WIP AddNew'!$B$6:$B$16</definedName>
    <definedName name="ExternalData_10" localSheetId="5" hidden="1">'Charts'!$L$12:$N$13</definedName>
    <definedName name="ExternalData_10" localSheetId="11" hidden="1">MDM!$C$41:$C$94</definedName>
    <definedName name="ExternalData_11" localSheetId="0" hidden="1">DOWNLOAD!#REF!</definedName>
    <definedName name="ExternalData_11" localSheetId="11" hidden="1">MDM!$C$6:$C$39</definedName>
    <definedName name="ExternalData_11" localSheetId="4" hidden="1">ToDM!$B$6:$FM$15</definedName>
    <definedName name="ExternalData_11" localSheetId="7" hidden="1">WRITER!$A$9:$F$15</definedName>
    <definedName name="ExternalData_12" localSheetId="11" hidden="1">MDM!$L$6:$M$75</definedName>
    <definedName name="ExternalData_12" localSheetId="7" hidden="1">WRITER!$A$20:$F$21</definedName>
    <definedName name="ExternalData_13" localSheetId="11" hidden="1">MDM!$O$6:$O$57</definedName>
    <definedName name="ExternalData_13" localSheetId="6" hidden="1">NWriter!$A$6:$D$15</definedName>
    <definedName name="ExternalData_14" localSheetId="11" hidden="1">MDM!$C$107:$C$138</definedName>
    <definedName name="ExternalData_15" localSheetId="0" hidden="1">DOWNLOAD!$J$15:$CO$27</definedName>
    <definedName name="ExternalData_16" localSheetId="13" hidden="1">wDMI!$A$5:$BV$17</definedName>
    <definedName name="ExternalData_18" localSheetId="0" hidden="1">DOWNLOAD!#REF!</definedName>
    <definedName name="ExternalData_19" localSheetId="0" hidden="1">DOWNLOAD!#REF!</definedName>
    <definedName name="ExternalData_19" localSheetId="1" hidden="1">load!$P$5:$AI$14</definedName>
    <definedName name="ExternalData_2" localSheetId="10" hidden="1">AddTap!$B$26:$C$59</definedName>
    <definedName name="ExternalData_2" localSheetId="9" hidden="1">FUTURE!$A$10:$O$23</definedName>
    <definedName name="ExternalData_2" localSheetId="1" hidden="1">load!$AO$5:$BB$7</definedName>
    <definedName name="ExternalData_2" localSheetId="11" hidden="1">MDM!$H$14:$I$22</definedName>
    <definedName name="ExternalData_20" localSheetId="0" hidden="1">DOWNLOAD!$H$16:$H$17</definedName>
    <definedName name="ExternalData_21" localSheetId="0" hidden="1">DOWNLOAD!$C$21:$C$23</definedName>
    <definedName name="ExternalData_21" localSheetId="1" hidden="1">load!$BH$5:$BK$6</definedName>
    <definedName name="ExternalData_22" localSheetId="1" hidden="1">load!$B$5:$L$14</definedName>
    <definedName name="ExternalData_23" localSheetId="2" hidden="1">DLD_Add!$A$6:$CZ$18</definedName>
    <definedName name="ExternalData_23" localSheetId="0" hidden="1">DOWNLOAD!$CT$15:$DA$16</definedName>
    <definedName name="ExternalData_23" localSheetId="1" hidden="1">load!#REF!</definedName>
    <definedName name="ExternalData_24" localSheetId="0" hidden="1">DOWNLOAD!$H$15:$H$17</definedName>
    <definedName name="ExternalData_24" localSheetId="1" hidden="1">load!$A$5:$E$17</definedName>
    <definedName name="ExternalData_25" localSheetId="0" hidden="1">DOWNLOAD!$H$23:$H$25</definedName>
    <definedName name="ExternalData_3" localSheetId="1" hidden="1">load!#REF!</definedName>
    <definedName name="ExternalData_3" localSheetId="11" hidden="1">MDM!$H$33:$I$39</definedName>
    <definedName name="ExternalData_4" localSheetId="5" hidden="1">'Charts'!$P$8:$AF$17</definedName>
    <definedName name="ExternalData_5" localSheetId="11" hidden="1">MDM!$H$6:$I$11</definedName>
    <definedName name="ExternalData_5" localSheetId="15" hidden="1">wCurated!$A$4:$BR$14</definedName>
    <definedName name="ExternalData_6" localSheetId="11" hidden="1">MDM!$H$63:$I$69</definedName>
    <definedName name="ExternalData_6" localSheetId="17" hidden="1">wBISL!$A$5:$T$7</definedName>
    <definedName name="ExternalData_7" localSheetId="11" hidden="1">MDM!$C$96:$C$105</definedName>
    <definedName name="ExternalData_8" localSheetId="5" hidden="1">'Charts'!$A$8:$J$9</definedName>
    <definedName name="ExternalData_8" localSheetId="11" hidden="1">MDM!$H$41:$I$52</definedName>
    <definedName name="ExternalData_8" localSheetId="7" hidden="1">WRITER!$A$4:$F$5</definedName>
    <definedName name="ExternalData_9" localSheetId="5" hidden="1">'Charts'!$L$8:$N$9</definedName>
    <definedName name="ExternalData_9" localSheetId="11" hidden="1">MDM!$H$54:$I$61</definedName>
    <definedName name="ExternalData_9" localSheetId="16" hidden="1">wCredit!$A$4:$Z$5</definedName>
    <definedName name="GPS">MDM!$A$1</definedName>
    <definedName name="GPS_FileName">MDM!$B$1</definedName>
    <definedName name="input_data">#REF!</definedName>
    <definedName name="IS_EXCH_FILTER">DOWNLOAD!$C$8</definedName>
    <definedName name="Monday">DOWNLOAD!$C$4</definedName>
    <definedName name="MultiSource">DOWNLOAD!$C$10</definedName>
    <definedName name="Name">load!$T$4</definedName>
    <definedName name="UpdatorWeekly">DOWNLOAD!$C$5</definedName>
    <definedName name="WeeklyFilter">DOWNLOAD!$C$9</definedName>
    <definedName name="澳门Filter">DOWNLOAD!$C$6</definedName>
    <definedName name="香港Filter">DOWNLOAD!$C$7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7" l="1"/>
  <c r="E1" i="23"/>
  <c r="F10" i="1"/>
  <c r="F9" i="1" l="1"/>
  <c r="B1" i="27" l="1"/>
  <c r="R1" i="23" l="1"/>
  <c r="S1" i="23" s="1"/>
  <c r="S1" i="40"/>
  <c r="Q1" i="40"/>
  <c r="AO1" i="23"/>
  <c r="AP1" i="23" s="1"/>
  <c r="F1" i="23"/>
  <c r="R7" i="27"/>
  <c r="R8" i="27"/>
  <c r="R9" i="27"/>
  <c r="R10" i="27"/>
  <c r="F8" i="1"/>
  <c r="G9" i="1" l="1"/>
  <c r="T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R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O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5" xr16:uid="{5ECC110B-5941-4CB2-94EB-3F1D17502467}" keepAlive="1" name="Query - BISL_ROLE" description="Connection to the 'BISL_ROLE' query in the workbook." type="5" refreshedVersion="8" background="1" saveData="1">
    <dbPr connection="Provider=Microsoft.Mashup.OleDb.1;Data Source=$Workbook$;Location=BISL_ROLE;Extended Properties=&quot;&quot;" command="SELECT * FROM [BISL_ROLE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8" background="1" saveData="1">
    <dbPr connection="Provider=Microsoft.Mashup.OleDb.1;Data Source=$Workbook$;Location=ColNow_mCurated;Extended Properties=&quot;&quot;" command="SELECT * FROM [ColNow_mCurated]"/>
  </connection>
  <connection id="12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3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4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5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6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7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18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0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1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2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23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24" xr16:uid="{5223AE51-58CA-4B4C-87C7-8490764DD6CC}" keepAlive="1" name="Query - DLD_Add" description="Connection to the 'DLD_Add' query in the workbook." type="5" refreshedVersion="8" background="1" saveData="1">
    <dbPr connection="Provider=Microsoft.Mashup.OleDb.1;Data Source=$Workbook$;Location=DLD_Add;Extended Properties=&quot;&quot;" command="SELECT * FROM [DLD_Add]"/>
  </connection>
  <connection id="25" xr16:uid="{00000000-0015-0000-FFFF-FFFF03000000}" keepAlive="1" name="Query - DLD_BBG_Corp" description="Connection to the 'DLD_BBG_Corp' query in the workbook." type="5" refreshedVersion="8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9000000}" keepAlive="1" name="Query - DLD_Conso" description="Connection to the 'DLD_Conso' query in the workbook." type="5" refreshedVersion="8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A000000}" keepAlive="1" name="Query - DLD_DMI" description="Connection to the 'DLD_DMI' query in the workbook." type="5" refreshedVersion="8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29" xr16:uid="{00000000-0015-0000-FFFF-FFFF33000000}" keepAlive="1" name="Query - DLD_QRC_23" description="Connection to the 'DLD_QRC_23' query in the workbook." type="5" refreshedVersion="8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CCF5AEA9-4876-4713-9EE0-D7F0D0E127ED}" keepAlive="1" name="Query - DLD_SourcePQ" description="Connection to the 'DLD_SourcePQ' query in the workbook." type="5" refreshedVersion="0" background="1" saveData="1">
    <dbPr connection="Provider=Microsoft.Mashup.OleDb.1;Data Source=$Workbook$;Location=DLD_SourcePQ;Extended Properties=&quot;&quot;" command="SELECT * FROM [DLD_SourcePQ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08000000}" keepAlive="1" name="Query - DM_DMI_Credit" description="Connection to the 'DM_DMI_Credit' query in the workbook." type="5" refreshedVersion="0" background="1">
    <dbPr connection="Provider=Microsoft.Mashup.OleDb.1;Data Source=$Workbook$;Location=DM_DMI_Credit;Extended Properties=&quot;&quot;" command="SELECT * FROM [DM_DMI_Credit]"/>
  </connection>
  <connection id="32" xr16:uid="{3E0A6FC5-BDF3-4C8C-9C97-5B6F5B25B772}" keepAlive="1" name="Query - DMI_ChangedColumn" description="Connection to the 'DMI_ChangedColumn' query in the workbook." type="5" refreshedVersion="8" background="1" saveData="1">
    <dbPr connection="Provider=Microsoft.Mashup.OleDb.1;Data Source=$Workbook$;Location=DMI_ChangedColumn;Extended Properties=&quot;&quot;" command="SELECT * FROM [DMI_ChangedColumn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B3385EF9-0C67-44D3-A5B3-207896EE8512}" keepAlive="1" name="Query - DMI_Load" description="Connection to the 'DMI_Load' query in the workbook." type="5" refreshedVersion="0" background="1">
    <dbPr connection="Provider=Microsoft.Mashup.OleDb.1;Data Source=$Workbook$;Location=DMI_Load;Extended Properties=&quot;&quot;" command="SELECT * FROM [DMI_Load]"/>
  </connection>
  <connection id="34" xr16:uid="{E625B8BF-BE23-4834-A971-DD1142ED5E96}" keepAlive="1" name="Query - DMI_NewColumn" description="Connection to the 'DMI_NewColumn' query in the workbook." type="5" refreshedVersion="8" background="1" saveData="1">
    <dbPr connection="Provider=Microsoft.Mashup.OleDb.1;Data Source=$Workbook$;Location=DMI_NewColumn;Extended Properties=&quot;&quot;" command="SELECT * FROM [DMI_NewColumn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6" xr16:uid="{7F3E4F52-6A9D-4FC7-8753-2A0C423FBBDF}" keepAlive="1" name="Query - DMIHeaders" description="Connection to the 'DMIHeaders' query in the workbook." type="5" refreshedVersion="8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8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9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8752F56F-7E5E-48E4-904F-75D0F93905AC}" keepAlive="1" name="Query - ForReview_Issuer" description="Connection to the 'ForReview_Issuer' query in the workbook." type="5" refreshedVersion="8" background="1" saveData="1">
    <dbPr connection="Provider=Microsoft.Mashup.OleDb.1;Data Source=$Workbook$;Location=ForReview_Issuer;Extended Properties=&quot;&quot;" command="SELECT * FROM [ForReview_Issuer]"/>
  </connection>
  <connection id="42" xr16:uid="{00000000-0015-0000-FFFF-FFFF2C000000}" keepAlive="1" name="Query - ForReview_wBOCOM" description="Connection to the 'ForReview_wBOCOM' query in the workbook." type="5" refreshedVersion="8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00000000}" keepAlive="1" name="Query - ForReview_wCredit" description="Connection to the 'ForReview_wCredit' query in the workbook." type="5" refreshedVersion="8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00000000-0015-0000-FFFF-FFFF10000000}" keepAlive="1" name="Query - ForReview_wCurated" description="Connection to the 'ForReview_wCurated' query in the workbook." type="5" refreshedVersion="8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5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6" xr16:uid="{00000000-0015-0000-FFFF-FFFF15000000}" keepAlive="1" name="Query - fxAddBranch" description="Connection to the 'fxAddBranch' query in the workbook." type="5" refreshedVersion="0" background="1">
    <dbPr connection="Provider=Microsoft.Mashup.OleDb.1;Data Source=$Workbook$;Location=fxAddBranch;Extended Properties=&quot;&quot;" command="SELECT * FROM [fxAddBranch]"/>
  </connection>
  <connection id="47" xr16:uid="{ED7E70F9-70B4-4AEA-8E71-2D91C389FDB7}" keepAlive="1" name="Query - fxAddESGMore" description="Connection to the 'fxAddESGMore' query in the workbook." type="5" refreshedVersion="0" background="1">
    <dbPr connection="Provider=Microsoft.Mashup.OleDb.1;Data Source=$Workbook$;Location=fxAddESGMore;Extended Properties=&quot;&quot;" command="SELECT * FROM [fxAddESGMore]"/>
  </connection>
  <connection id="48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9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50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1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2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3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4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5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6" xr16:uid="{30FCF092-B4B7-46FF-9A35-A8608C60F962}" keepAlive="1" name="Query - fxConnect" description="Connection to the 'fxConnect' query in the workbook." type="5" refreshedVersion="0" background="1">
    <dbPr connection="Provider=Microsoft.Mashup.OleDb.1;Data Source=$Workbook$;Location=fxConnect;Extended Properties=&quot;&quot;" command="SELECT * FROM [fxConnect]"/>
  </connection>
  <connection id="57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8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9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60" xr16:uid="{B5341989-3143-46DE-A183-C2941DF8ABA2}" keepAlive="1" name="Query - fxDMI" description="Connection to the 'fxDMI' query in the workbook." type="5" refreshedVersion="0" background="1">
    <dbPr connection="Provider=Microsoft.Mashup.OleDb.1;Data Source=$Workbook$;Location=fxDMI;Extended Properties=&quot;&quot;" command="SELECT * FROM [fxDMI]"/>
  </connection>
  <connection id="61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2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3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4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5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6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8" xr16:uid="{CF89096E-D60C-472D-9AC8-86537529C4A6}" keepAlive="1" name="Query - fxMerge" description="Connection to the 'fxMerge' query in the workbook." type="5" refreshedVersion="0" background="1">
    <dbPr connection="Provider=Microsoft.Mashup.OleDb.1;Data Source=$Workbook$;Location=fxMerge;Extended Properties=&quot;&quot;" command="SELECT * FROM [fxMerge]"/>
  </connection>
  <connection id="69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0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1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2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3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4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5" xr16:uid="{96688F12-6A34-47A2-BF8B-DB3DC5737510}" keepAlive="1" name="Query - fxShowDupe" description="Connection to the 'fxShowDupe' query in the workbook." type="5" refreshedVersion="0" background="1">
    <dbPr connection="Provider=Microsoft.Mashup.OleDb.1;Data Source=$Workbook$;Location=fxShowDupe;Extended Properties=&quot;&quot;" command="SELECT * FROM [fxShowDupe]"/>
  </connection>
  <connection id="76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7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8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79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0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1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2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3" xr16:uid="{B4AB1D6B-DCBA-4ED7-BB15-FB63BD8D4A62}" keepAlive="1" name="Query - fxtblNList" description="Connection to the 'fxtblNList' query in the workbook." type="5" refreshedVersion="0" background="1">
    <dbPr connection="Provider=Microsoft.Mashup.OleDb.1;Data Source=$Workbook$;Location=fxtblNList;Extended Properties=&quot;&quot;" command="SELECT * FROM [fxtblNList]"/>
  </connection>
  <connection id="84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5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6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7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88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89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90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  <extLst>
      <ext xmlns:x15="http://schemas.microsoft.com/office/spreadsheetml/2010/11/main" uri="{DE250136-89BD-433C-8126-D09CA5730AF9}">
        <x15:connection id="" excludeFromRefreshAll="1"/>
      </ext>
    </extLst>
  </connection>
  <connection id="91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2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5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96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7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8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9" xr16:uid="{D557CED3-B195-48D3-AA56-CFE775047551}" keepAlive="1" name="Query - Monday(1)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0" xr16:uid="{25FBA1C8-6C0E-4A0F-9567-7279ECA81A57}" keepAlive="1" name="Query - Multi" description="Connection to the 'Multi' query in the workbook." type="5" refreshedVersion="0" background="1">
    <dbPr connection="Provider=Microsoft.Mashup.OleDb.1;Data Source=$Workbook$;Location=Multi;Extended Properties=&quot;&quot;" command="SELECT * FROM [Multi]"/>
  </connection>
  <connection id="101" xr16:uid="{37E886E7-3555-40D0-87C0-23B9D1E8DA68}" keepAlive="1" name="Query - ORIDEMonday" description="Connection to the 'ORIDEMonday' query in the workbook." type="5" refreshedVersion="0" background="1">
    <dbPr connection="Provider=Microsoft.Mashup.OleDb.1;Data Source=$Workbook$;Location=ORIDEMonday;Extended Properties=&quot;&quot;" command="SELECT * FROM [ORIDEMonday]"/>
  </connection>
  <connection id="102" xr16:uid="{2B37D559-24C2-410E-B6ED-5B3135229924}" keepAlive="1" name="Query - ORIDEMulti" description="Connection to the 'ORIDEMulti' query in the workbook." type="5" refreshedVersion="0" background="1">
    <dbPr connection="Provider=Microsoft.Mashup.OleDb.1;Data Source=$Workbook$;Location=ORIDEMulti;Extended Properties=&quot;&quot;" command="SELECT * FROM [ORIDEMulti]"/>
  </connection>
  <connection id="103" xr16:uid="{19D1300C-0BAB-4E05-B057-6BE735762337}" keepAlive="1" name="Query - ORIDEwFilter" description="Connection to the 'ORIDEwFilter' query in the workbook." type="5" refreshedVersion="0" background="1">
    <dbPr connection="Provider=Microsoft.Mashup.OleDb.1;Data Source=$Workbook$;Location=ORIDEwFilter;Extended Properties=&quot;&quot;" command="SELECT * FROM [ORIDEwFilter]"/>
  </connection>
  <connection id="104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5" xr16:uid="{56446388-4194-40DC-96D7-7FB22086692E}" keepAlive="1" name="Query - Prefix" description="Connection to the 'Prefix' query in the workbook." type="5" refreshedVersion="0" background="1">
    <dbPr connection="Provider=Microsoft.Mashup.OleDb.1;Data Source=$Workbook$;Location=Prefix;Extended Properties=&quot;&quot;" command="SELECT * FROM [Prefix]"/>
  </connection>
  <connection id="106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107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8" xr16:uid="{D9BD31C0-3BE7-44F3-B49A-0B8072CF3555}" keepAlive="1" name="Query - Reviewed_curated" description="Connection to the 'Reviewed_curated' query in the workbook." type="5" refreshedVersion="0" background="1">
    <dbPr connection="Provider=Microsoft.Mashup.OleDb.1;Data Source=$Workbook$;Location=Reviewed_curated;Extended Properties=&quot;&quot;" command="SELECT * FROM [Reviewed_curated]"/>
  </connection>
  <connection id="109" xr16:uid="{3D5FADB2-F6C8-42FF-880A-8D97591D21C9}" keepAlive="1" name="Query - Reviewed_issuer" description="Connection to the 'Reviewed_issuer' query in the workbook." type="5" refreshedVersion="0" background="1">
    <dbPr connection="Provider=Microsoft.Mashup.OleDb.1;Data Source=$Workbook$;Location=Reviewed_issuer;Extended Properties=&quot;&quot;" command="SELECT * FROM [Reviewed_issuer]"/>
  </connection>
  <connection id="110" xr16:uid="{DD67756B-4E79-4EEB-9D1D-2A958FC7C782}" keepAlive="1" name="Query - ReviewedConso" description="Connection to the 'ReviewedConso' query in the workbook." type="5" refreshedVersion="6" background="1" saveData="1">
    <dbPr connection="Provider=Microsoft.Mashup.OleDb.1;Data Source=$Workbook$;Location=ReviewedConso;Extended Properties=&quot;&quot;" command="SELECT * FROM [ReviewedConso]"/>
  </connection>
  <connection id="111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12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3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  <extLst>
      <ext xmlns:x15="http://schemas.microsoft.com/office/spreadsheetml/2010/11/main" uri="{DE250136-89BD-433C-8126-D09CA5730AF9}">
        <x15:connection id="" excludeFromRefreshAll="1"/>
      </ext>
    </extLst>
  </connection>
  <connection id="114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5" xr16:uid="{64BB5515-6BB1-4128-B7AD-00724FC14FFD}" keepAlive="1" name="Query - Updator" description="Connection to the 'Updator' query in the workbook." type="5" refreshedVersion="8" background="1" saveData="1">
    <dbPr connection="Provider=Microsoft.Mashup.OleDb.1;Data Source=$Workbook$;Location=Updator;Extended Properties=&quot;&quot;" command="SELECT * FROM [Updator]"/>
  </connection>
  <connection id="116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7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8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9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20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21" xr16:uid="{300052CE-E049-47C1-8773-F138EC001C65}" keepAlive="1" name="Query - 上市分类" description="Connection to the '上市分类' query in the workbook." type="5" refreshedVersion="8" background="1" saveData="1">
    <dbPr connection="Provider=Microsoft.Mashup.OleDb.1;Data Source=$Workbook$;Location=上市分类;Extended Properties=&quot;&quot;" command="SELECT * FROM [上市分类]"/>
  </connection>
  <connection id="122" xr16:uid="{370A6D65-AD92-4777-A563-8BCAE798FDE5}" keepAlive="1" name="Query - 中资属性" description="Connection to the '中资属性' query in the workbook." type="5" refreshedVersion="8" background="1" saveData="1">
    <dbPr connection="Provider=Microsoft.Mashup.OleDb.1;Data Source=$Workbook$;Location=中资属性;Extended Properties=&quot;&quot;" command="SELECT * FROM [中资属性]"/>
  </connection>
  <connection id="123" xr16:uid="{E97E0589-0DC6-4A92-ACAA-A90D51140E8C}" keepAlive="1" name="Query - 地区" description="Connection to the '地区' query in the workbook." type="5" refreshedVersion="8" background="1" saveData="1">
    <dbPr connection="Provider=Microsoft.Mashup.OleDb.1;Data Source=$Workbook$;Location=地区;Extended Properties=&quot;&quot;" command="SELECT * FROM [地区]"/>
  </connection>
  <connection id="124" xr16:uid="{11B12458-3054-4656-B5A0-28E39A6B7A7E}" keepAlive="1" name="Query - 备证行" description="Connection to the '备证行' query in the workbook." type="5" refreshedVersion="8" background="1" saveData="1">
    <dbPr connection="Provider=Microsoft.Mashup.OleDb.1;Data Source=$Workbook$;Location=备证行;Extended Properties=&quot;&quot;" command="SELECT * FROM [备证行]"/>
  </connection>
  <connection id="125" xr16:uid="{D721FFC0-031C-4161-ABF2-749DD8FBE622}" keepAlive="1" name="Query - 新规角色" description="Connection to the '新规角色' query in the workbook." type="5" refreshedVersion="8" background="1" saveData="1">
    <dbPr connection="Provider=Microsoft.Mashup.OleDb.1;Data Source=$Workbook$;Location=新规角色;Extended Properties=&quot;&quot;" command="SELECT * FROM [新规角色]"/>
  </connection>
  <connection id="126" xr16:uid="{44C1FC59-A385-4F10-963A-D0BA37120278}" keepAlive="1" name="Query - 板块" description="Connection to the '板块' query in the workbook." type="5" refreshedVersion="8" background="1" saveData="1">
    <dbPr connection="Provider=Microsoft.Mashup.OleDb.1;Data Source=$Workbook$;Location=板块;Extended Properties=&quot;&quot;" command="SELECT * FROM [板块]"/>
  </connection>
  <connection id="127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28" xr16:uid="{ABF191AE-2E2C-4E38-A4FF-8E4D5CB9358A}" keepAlive="1" name="Query - 结构" description="Connection to the '结构' query in the workbook." type="5" refreshedVersion="8" background="1" saveData="1">
    <dbPr connection="Provider=Microsoft.Mashup.OleDb.1;Data Source=$Workbook$;Location=结构;Extended Properties=&quot;&quot;" command="SELECT * FROM [结构]"/>
  </connection>
  <connection id="129" xr16:uid="{3AD69D05-CDF4-4A1A-819B-39DC20D2AE25}" keepAlive="1" name="Query - 货币" description="Connection to the '货币' query in the workbook." type="5" refreshedVersion="8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<sst xmlns="http://schemas.openxmlformats.org/spreadsheetml/2006/main" count="4828" uniqueCount="943">
  <si>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</si>
  <si>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</si>
  <si>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</si>
  <si>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</si>
  <si>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</si>
  <si>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</si>
  <si>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</si>
  <si>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</si>
  <si>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</si>
  <si>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</si>
  <si>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</si>
  <si>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</si>
  <si>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</si>
  <si>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</si>
  <si>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</si>
  <si>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</si>
  <si>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</si>
  <si>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</si>
  <si>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</si>
  <si>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</si>
  <si>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</si>
  <si>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</si>
  <si>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</si>
  <si>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</si>
  <si>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</si>
  <si>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</si>
  <si>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</si>
  <si>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</si>
  <si>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</si>
  <si>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</si>
  <si>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</si>
  <si>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</si>
  <si>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</si>
  <si>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</si>
  <si>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</si>
  <si>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</si>
  <si>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</si>
  <si>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</si>
  <si>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</si>
  <si>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</si>
  <si>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</si>
  <si>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</si>
  <si>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</si>
  <si>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</si>
  <si>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</si>
  <si>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</si>
  <si>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</si>
  <si>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</si>
  <si>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</si>
  <si>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</si>
  <si>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</si>
  <si>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</si>
  <si>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</si>
  <si>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</si>
  <si>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</si>
  <si>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</si>
  <si>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</si>
  <si>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</si>
  <si>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</si>
  <si>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</si>
  <si>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</si>
  <si>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</si>
  <si>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</si>
  <si>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</si>
  <si>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</si>
  <si>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</si>
  <si>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</si>
  <si>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</si>
  <si>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</si>
  <si>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</si>
  <si>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</si>
  <si>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</si>
  <si>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</si>
  <si>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</si>
  <si>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</si>
  <si>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</si>
  <si>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</si>
  <si>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</si>
  <si>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</si>
  <si>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</si>
  <si>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</si>
  <si>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</si>
  <si>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</si>
  <si>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</si>
  <si>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</si>
  <si>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</si>
  <si>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</si>
  <si>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</si>
  <si>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</si>
  <si>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</si>
  <si>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</si>
  <si>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</si>
  <si>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</si>
  <si>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</si>
  <si>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</si>
  <si>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</si>
  <si>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</si>
  <si>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</si>
  <si>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</si>
  <si>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</si>
  <si>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</si>
  <si>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</si>
  <si>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</si>
  <si>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</si>
  <si>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</si>
  <si>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</si>
  <si>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</si>
  <si>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</si>
  <si>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</si>
  <si>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</si>
  <si>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</si>
  <si>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</si>
  <si>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</si>
  <si>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</si>
  <si>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</si>
  <si>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</si>
  <si>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</si>
  <si>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</si>
  <si>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</si>
  <si>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</si>
  <si>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</si>
  <si>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</si>
  <si>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</si>
  <si>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</si>
  <si>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</si>
  <si>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</si>
  <si>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</si>
  <si>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</si>
  <si>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</si>
  <si>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</si>
  <si>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</si>
  <si>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</si>
  <si>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</si>
  <si>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</si>
  <si>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</si>
  <si>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</si>
  <si>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</si>
  <si>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</si>
  <si>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</si>
  <si>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</si>
  <si>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</si>
  <si>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</si>
  <si>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</si>
  <si>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</si>
  <si>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</si>
  <si>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</si>
  <si>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</si>
  <si>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</si>
  <si>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</si>
  <si>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</si>
  <si>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</si>
  <si>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</si>
  <si>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</si>
  <si>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</si>
  <si>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</si>
  <si>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</si>
  <si>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</si>
  <si>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</si>
  <si>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</si>
  <si>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</si>
  <si>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</si>
  <si>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</si>
  <si>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</si>
  <si>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</si>
  <si>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</si>
  <si>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</si>
  <si>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</si>
  <si>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</si>
  <si>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</si>
  <si>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</si>
  <si>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</si>
  <si>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</si>
  <si>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</si>
  <si>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</si>
  <si>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</si>
  <si>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</si>
  <si>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</si>
  <si>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</si>
  <si>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</si>
  <si>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</si>
  <si>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</si>
  <si>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</si>
  <si>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</si>
  <si>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</si>
  <si>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</si>
  <si>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</si>
  <si>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</si>
  <si>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</si>
  <si>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</si>
  <si>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</si>
  <si>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</si>
  <si>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</si>
  <si>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</si>
  <si>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</si>
  <si>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</si>
  <si>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</si>
  <si>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</si>
  <si>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</si>
  <si>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</si>
  <si>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</si>
  <si>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</si>
  <si>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</si>
  <si>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</si>
  <si>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</si>
  <si>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</si>
  <si>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</si>
  <si>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</si>
  <si>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</si>
  <si>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</si>
  <si>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</si>
  <si>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</si>
  <si>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</si>
  <si>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</si>
  <si>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</si>
  <si>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</si>
  <si>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</si>
  <si>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</si>
  <si>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</si>
  <si>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</si>
  <si>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</si>
  <si>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</si>
  <si>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</si>
  <si>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</si>
  <si>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</si>
  <si>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</si>
  <si>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</si>
  <si>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</si>
  <si>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</si>
  <si>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</si>
  <si>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</si>
  <si>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</si>
  <si>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</si>
  <si>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</si>
  <si>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</si>
  <si>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</si>
  <si>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CY</t>
  </si>
  <si>
    <t>注册成立地</t>
  </si>
  <si>
    <t>BISL</t>
  </si>
  <si>
    <t>港分</t>
  </si>
  <si>
    <t>澳分</t>
  </si>
  <si>
    <t>系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</si>
  <si>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</si>
  <si>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</si>
  <si>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</si>
  <si>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</si>
  <si>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</si>
  <si>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</si>
  <si>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</si>
  <si>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</si>
  <si>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</si>
  <si>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</si>
  <si>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</si>
  <si>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</si>
  <si>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</si>
  <si>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</si>
  <si>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</si>
  <si>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</si>
  <si>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</si>
  <si>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</si>
  <si>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</si>
  <si>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</si>
  <si>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</si>
  <si>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</si>
  <si>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</si>
  <si>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</si>
  <si>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</si>
  <si>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</si>
  <si>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</si>
  <si>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</si>
  <si>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</si>
  <si>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</si>
  <si>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</si>
  <si>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</si>
  <si>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</si>
  <si>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</si>
  <si>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</si>
  <si>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</si>
  <si>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</si>
  <si>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</si>
  <si>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</si>
  <si>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</si>
  <si>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</si>
  <si>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</si>
  <si>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</si>
  <si>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</si>
  <si>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</si>
  <si>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</si>
  <si>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</si>
  <si>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</si>
  <si>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</si>
  <si>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</si>
  <si>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</si>
  <si>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</si>
  <si>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</si>
  <si>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</si>
  <si>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</si>
  <si>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</si>
  <si>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</si>
  <si>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</si>
  <si>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</si>
  <si>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</si>
  <si>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</si>
  <si>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</si>
  <si>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</si>
  <si>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</si>
  <si>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</si>
  <si>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</si>
  <si>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</si>
  <si>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</si>
  <si>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</si>
  <si>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</si>
  <si>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</si>
  <si>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</si>
  <si>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</si>
  <si>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</si>
  <si>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</si>
  <si>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</si>
  <si>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</si>
  <si>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</si>
  <si>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</si>
  <si>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</si>
  <si>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</si>
  <si>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</si>
  <si>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</si>
  <si>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</si>
  <si>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</si>
  <si>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</si>
  <si>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</si>
  <si>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</si>
  <si>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</si>
  <si>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</si>
  <si>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</si>
  <si>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</si>
  <si>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中国银行股份有限公司</t>
  </si>
  <si>
    <t>新发</t>
  </si>
  <si>
    <t>中国银行</t>
  </si>
  <si>
    <t>Monday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</si>
  <si>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</si>
  <si>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</si>
  <si>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</si>
  <si>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</si>
  <si>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</si>
  <si>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</si>
  <si>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</si>
  <si>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</si>
  <si>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</si>
  <si>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</si>
  <si>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</si>
  <si>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</si>
  <si>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</si>
  <si>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</si>
  <si>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</si>
  <si>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</si>
  <si>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</si>
  <si>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</si>
  <si>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</si>
  <si>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</si>
  <si>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</si>
  <si>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</si>
  <si>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</si>
  <si>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</si>
  <si>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</si>
  <si>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</si>
  <si>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</si>
  <si>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</si>
  <si>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</si>
  <si>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</si>
  <si>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</si>
  <si>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</si>
  <si>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</si>
  <si>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</si>
  <si>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</si>
  <si>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</si>
  <si>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</si>
  <si>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</si>
  <si>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</si>
  <si>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</si>
  <si>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</si>
  <si>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</si>
  <si>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</si>
  <si>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</si>
  <si>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</si>
  <si>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</si>
  <si>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</si>
  <si>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</si>
  <si>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</si>
  <si>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</si>
  <si>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</si>
  <si>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</si>
  <si>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</si>
  <si>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</si>
  <si>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</si>
  <si>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</si>
  <si>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</si>
  <si>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</si>
  <si>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</si>
  <si>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</si>
  <si>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</si>
  <si>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</si>
  <si>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</si>
  <si>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</si>
  <si>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</si>
  <si>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</si>
  <si>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</si>
  <si>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</si>
  <si>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</si>
  <si>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</si>
  <si>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</si>
  <si>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</si>
  <si>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</si>
  <si>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</si>
  <si>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</si>
  <si>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</si>
  <si>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</si>
  <si>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</si>
  <si>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</si>
  <si>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</si>
  <si>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中国国际金融(国际)有限公司</t>
  </si>
  <si>
    <t>债券详情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</si>
  <si>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</si>
  <si>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</si>
  <si>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</si>
  <si>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</si>
  <si>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</si>
  <si>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</si>
  <si>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</si>
  <si>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</si>
  <si>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</si>
  <si>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</si>
  <si>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</si>
  <si>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</si>
  <si>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</si>
  <si>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</si>
  <si>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</si>
  <si>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</si>
  <si>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</si>
  <si>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</si>
  <si>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</si>
  <si>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</si>
  <si>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</si>
  <si>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</si>
  <si>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删除及隐藏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</si>
  <si>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</si>
  <si>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</si>
  <si>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</si>
  <si>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</si>
  <si>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</si>
  <si>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</si>
  <si>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</si>
  <si>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</si>
  <si>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</si>
  <si>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</si>
  <si>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</si>
  <si>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FolderPath</t>
  </si>
  <si>
    <t>HK0000954344</t>
  </si>
  <si>
    <t>枣庄高新(恒丰银行)</t>
  </si>
  <si>
    <t>4.8%</t>
  </si>
  <si>
    <t>中国光大银行股份有限公司</t>
  </si>
  <si>
    <t>--/BBB+/--</t>
  </si>
  <si>
    <t>银行</t>
  </si>
  <si>
    <t>HK0000954286</t>
  </si>
  <si>
    <t>HK0000942661</t>
  </si>
  <si>
    <t>HK0000954021</t>
  </si>
  <si>
    <t>4.95%</t>
  </si>
  <si>
    <t>3.88%</t>
  </si>
  <si>
    <t>3.9%a</t>
  </si>
  <si>
    <t>4.1%a</t>
  </si>
  <si>
    <t>3.9%</t>
  </si>
  <si>
    <t>甘肃公航旅(邮储银行)</t>
  </si>
  <si>
    <t>江苏平陵建投(邮储银行)</t>
  </si>
  <si>
    <t>XS2649030330</t>
  </si>
  <si>
    <t>7.1%</t>
  </si>
  <si>
    <t>--/--/A+</t>
  </si>
  <si>
    <t>西安航天高技术(长安银行)</t>
  </si>
  <si>
    <t>陕西沣西发展(西安银行)</t>
  </si>
  <si>
    <t>XS2685949492</t>
  </si>
  <si>
    <t>XS2679063862</t>
  </si>
  <si>
    <t>HK0000954104</t>
  </si>
  <si>
    <t>XS2677539541</t>
  </si>
  <si>
    <t>A1/A/A</t>
  </si>
  <si>
    <t>HK0000951035</t>
  </si>
  <si>
    <t>邹平财金(青岛银行)</t>
  </si>
  <si>
    <t>2.3%</t>
  </si>
  <si>
    <t>2.3%a</t>
  </si>
  <si>
    <t>淄博财金(邮储银行)</t>
  </si>
  <si>
    <t>3.7%</t>
  </si>
  <si>
    <t>3.7%a</t>
  </si>
  <si>
    <t>光银悉尼分行</t>
  </si>
  <si>
    <t>SOFR+63</t>
  </si>
  <si>
    <t>SOFR+110a</t>
  </si>
  <si>
    <t>中银迪拜分行</t>
  </si>
  <si>
    <t>SOFR+60</t>
  </si>
  <si>
    <t>SOFR+105a</t>
  </si>
  <si>
    <t>中银卢森堡分行</t>
  </si>
  <si>
    <t>2.98%</t>
  </si>
  <si>
    <t>3.3%a</t>
  </si>
  <si>
    <t>板块二级</t>
  </si>
  <si>
    <t>板块三级</t>
  </si>
  <si>
    <t>板块标签</t>
  </si>
  <si>
    <t>YY类型</t>
  </si>
  <si>
    <t>Parent company tiker</t>
  </si>
  <si>
    <t>Parent Company 评级</t>
  </si>
  <si>
    <t>ESG indicator</t>
  </si>
  <si>
    <t>KPW 评级</t>
  </si>
  <si>
    <t>湖南银行</t>
  </si>
  <si>
    <t>Parameter</t>
  </si>
  <si>
    <t>Value</t>
  </si>
  <si>
    <t>DimMonday</t>
  </si>
  <si>
    <t>2023/03/20</t>
  </si>
  <si>
    <t>2023/03/27</t>
  </si>
  <si>
    <t>2023/04/03</t>
  </si>
  <si>
    <t>2023/04/10</t>
  </si>
  <si>
    <t>2023/04/17</t>
  </si>
  <si>
    <t>2023/04/24</t>
  </si>
  <si>
    <t>2023/05/01</t>
  </si>
  <si>
    <t>2023/05/08</t>
  </si>
  <si>
    <t>2023/05/15</t>
  </si>
  <si>
    <t>2023/05/22</t>
  </si>
  <si>
    <t>2023/05/29</t>
  </si>
  <si>
    <t>2023/06/05</t>
  </si>
  <si>
    <t>2023/06/12</t>
  </si>
  <si>
    <t>2023/06/19</t>
  </si>
  <si>
    <t>2023/06/26</t>
  </si>
  <si>
    <t>2023/07/03</t>
  </si>
  <si>
    <t>2023/07/10</t>
  </si>
  <si>
    <t>2023/07/17</t>
  </si>
  <si>
    <t>2023/07/24</t>
  </si>
  <si>
    <t>2023/07/31</t>
  </si>
  <si>
    <t>2023/08/07</t>
  </si>
  <si>
    <t>2023/08/14</t>
  </si>
  <si>
    <t>2023/08/21</t>
  </si>
  <si>
    <t>2023/08/28</t>
  </si>
  <si>
    <t>2023/09/04</t>
  </si>
  <si>
    <t>2023/09/11</t>
  </si>
  <si>
    <t>2023/09/18</t>
  </si>
  <si>
    <t>2023/09/25</t>
  </si>
  <si>
    <t>2023/10/02</t>
  </si>
  <si>
    <t>2023/10/09</t>
  </si>
  <si>
    <t>WeeklyFilter</t>
  </si>
  <si>
    <t>ON</t>
  </si>
  <si>
    <t>澳门Filter</t>
  </si>
  <si>
    <t>香港Filter</t>
  </si>
  <si>
    <t>MultiSource</t>
  </si>
  <si>
    <t>ECON_RlvLvl</t>
  </si>
  <si>
    <t>ECON_US_addon</t>
  </si>
  <si>
    <t>IS_ISSUER</t>
  </si>
  <si>
    <t>IS_SBLC</t>
  </si>
  <si>
    <t>IS_CLIENT</t>
  </si>
  <si>
    <t>中国人民银行</t>
  </si>
  <si>
    <t>2023/10/16</t>
  </si>
  <si>
    <t>西安航天高技术产业发展集团有限公司</t>
  </si>
  <si>
    <t>XI'AN AEROSPACE HIGH-TECH INDU</t>
  </si>
  <si>
    <t>7.1</t>
  </si>
  <si>
    <t>0928XS2649030330</t>
  </si>
  <si>
    <t>XS2694370227</t>
  </si>
  <si>
    <t>高密华荣实业发展有限公司</t>
  </si>
  <si>
    <t>GAOMI HUARONG INDUSTRIAL DEVEL</t>
  </si>
  <si>
    <t>7.5</t>
  </si>
  <si>
    <t>0928XS2694370227</t>
  </si>
  <si>
    <t>XS2671498447</t>
  </si>
  <si>
    <t>上饶市城市建设投资开发集团有限公司</t>
  </si>
  <si>
    <t>--/--/BB+</t>
  </si>
  <si>
    <t>SHANGRAO CITY CONSTRUCTION INV</t>
  </si>
  <si>
    <t>8.5</t>
  </si>
  <si>
    <t>0791831D CH</t>
  </si>
  <si>
    <t>0928XS2671498447</t>
  </si>
  <si>
    <t>HK0000957982</t>
  </si>
  <si>
    <t>成都香城投资集团有限公司</t>
  </si>
  <si>
    <t>CHENGDU XIANGCHENG INVESTMENT</t>
  </si>
  <si>
    <t>4.8</t>
  </si>
  <si>
    <t>1762135D CH</t>
  </si>
  <si>
    <t>0928HK0000957982</t>
  </si>
  <si>
    <t>XS2681919762</t>
  </si>
  <si>
    <t>常德市城市建设投资集团有限公司</t>
  </si>
  <si>
    <t>--/--/BBB-</t>
  </si>
  <si>
    <t>CHANGDE URBAN CONSTRUCTION AND</t>
  </si>
  <si>
    <t>5.9</t>
  </si>
  <si>
    <t>CDCJIZ CH</t>
  </si>
  <si>
    <t>0928XS2681919762</t>
  </si>
  <si>
    <t>XS2699002882</t>
  </si>
  <si>
    <t>中信建投(国际)金融控股有限公司</t>
  </si>
  <si>
    <t>HK</t>
  </si>
  <si>
    <t>CHINA SECURITIES INTERNATIONAL</t>
  </si>
  <si>
    <t>CHINA SECURITIES INTERNATIONAL FINANCE HOLDING CO LTD</t>
  </si>
  <si>
    <t>6066 HK</t>
  </si>
  <si>
    <t>--/BBB+/BBB+</t>
  </si>
  <si>
    <t>0927XS2699002882</t>
  </si>
  <si>
    <t>XS2699400771</t>
  </si>
  <si>
    <t>4.75</t>
  </si>
  <si>
    <t>0927XS2699400771</t>
  </si>
  <si>
    <t>XS2697201155</t>
  </si>
  <si>
    <t>六盘水市民生产业投资集团有限责任公司</t>
  </si>
  <si>
    <t>LIUPANSHUI MINSHENG INVESTMENT</t>
  </si>
  <si>
    <t>6.4</t>
  </si>
  <si>
    <t>1370877D CH</t>
  </si>
  <si>
    <t>0927XS2697201155</t>
  </si>
  <si>
    <t>XS2697690332</t>
  </si>
  <si>
    <t>许昌市投资集团有限公司</t>
  </si>
  <si>
    <t>XUCHANG GENERAL INVESTMENT CO</t>
  </si>
  <si>
    <t>3.69</t>
  </si>
  <si>
    <t>0794811D CH</t>
  </si>
  <si>
    <t>0927XS2697690332</t>
  </si>
  <si>
    <t>XS2695373451</t>
  </si>
  <si>
    <t>昆明产业开发投资有限责任公司</t>
  </si>
  <si>
    <t>HONG KONG JY FLOWER LTD</t>
  </si>
  <si>
    <t>KUNMING INDUSTRIAL DEVELOPMENT &amp; INVESTMENT CO LTD</t>
  </si>
  <si>
    <t>9.6999999999999993</t>
  </si>
  <si>
    <t>0795500D CH</t>
  </si>
  <si>
    <t>--/--/WD</t>
  </si>
  <si>
    <t>0926XS2695373451</t>
  </si>
  <si>
    <t>XS2697456817</t>
  </si>
  <si>
    <t>BANK OF CHINA LTD QATAR FINANC</t>
  </si>
  <si>
    <t>5.25</t>
  </si>
  <si>
    <t>3988 HK</t>
  </si>
  <si>
    <t>--/A/A</t>
  </si>
  <si>
    <t>0925XS2697456817</t>
  </si>
  <si>
    <t>HK0000957776</t>
  </si>
  <si>
    <t>江阴国有资本控股(集团)有限公司</t>
  </si>
  <si>
    <t>--/--/BBB</t>
  </si>
  <si>
    <t>CHENGDA INTERNATIONAL CO LTD</t>
  </si>
  <si>
    <t>JIANGYIN STATE OWNED CAPITAL HOLDING GROUP CO LTD</t>
  </si>
  <si>
    <t>3.98</t>
  </si>
  <si>
    <t>0925HK0000957776</t>
  </si>
  <si>
    <t>IS_EXCH</t>
  </si>
  <si>
    <t>SHARAO 8.5 10/11/26</t>
  </si>
  <si>
    <t>普通债</t>
  </si>
  <si>
    <t>未到期</t>
  </si>
  <si>
    <t>固定利率</t>
  </si>
  <si>
    <t>否</t>
  </si>
  <si>
    <t>Shenwan Hongyuan Securities (H.K.) Limited;BG Securities (HK) Co., Limited;Guoyuan Securities Brokerage (Hong Kong) Limited;GF Securities (Hong Kong) Brokerage Limited;CLSA Securities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Limited;China CITIC Bank International Limited;CMB Wing Lung Bank Limited</t>
  </si>
  <si>
    <t>Shenwan Hongyuan Securities (H.K.) Limited;BG Securities (HK) Co., Limited;Guoyuan Securities Brokerage (Hong Kong)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Limited;CMB Wing Lung Bank Limited</t>
  </si>
  <si>
    <t>控制权变更回售@101%</t>
  </si>
  <si>
    <t>8.50%</t>
  </si>
  <si>
    <t>SHARAO</t>
  </si>
  <si>
    <t>Repayment of existing medium to long term offshore indebtedness which will become due within one year.</t>
  </si>
  <si>
    <t>高收益</t>
  </si>
  <si>
    <t>地方国有企业</t>
  </si>
  <si>
    <t>3.02Y</t>
  </si>
  <si>
    <t>--/--</t>
  </si>
  <si>
    <t>基础建设</t>
  </si>
  <si>
    <t>China CITIC Bank International Limited;GF Securities (Hong Kong) Brokerage Limited;CLSA Securities Limited</t>
  </si>
  <si>
    <t>上饶市</t>
  </si>
  <si>
    <t>江西省</t>
  </si>
  <si>
    <t>Senior Unsecured</t>
  </si>
  <si>
    <t>直接发行</t>
  </si>
  <si>
    <t>RegS</t>
  </si>
  <si>
    <t>8.50%(#)</t>
  </si>
  <si>
    <t>香港交易所</t>
  </si>
  <si>
    <t>3.0000</t>
  </si>
  <si>
    <t>上饶城投 8.5 2026-10-11</t>
  </si>
  <si>
    <t>CHADEC 5.9 10/11/26</t>
  </si>
  <si>
    <t>Bank of China Limited;BG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Limited;China CITIC Bank International Limited;SunRiver International Securities Group Limited;YUEXING SECURITIES COMPANY LIMITED;Guotai Junan International;ABC International Holdings Limited;Haitong Bank, Macau Branch</t>
  </si>
  <si>
    <t>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Limited;SunRiver International Securities Group Limited;YUEXING SECURITIES COMPANY LIMITED;Haitong Bank, Macau Branch</t>
  </si>
  <si>
    <t>控制权变更回售@100%</t>
  </si>
  <si>
    <t>5.90%</t>
  </si>
  <si>
    <t>CHADEC</t>
  </si>
  <si>
    <t>Repayment of the Issuer's medium to long term offshore debts due within one year</t>
  </si>
  <si>
    <t>投资级</t>
  </si>
  <si>
    <t>Bank of China Limited;China CITIC Bank International Limited;Guotai Junan International;ABC International Holdings Limited</t>
  </si>
  <si>
    <t>常德市</t>
  </si>
  <si>
    <t>湖南省</t>
  </si>
  <si>
    <t>中国邮政储蓄银行股份有限公司常德分行</t>
  </si>
  <si>
    <t>SBLC</t>
  </si>
  <si>
    <t>5.90%(#)</t>
  </si>
  <si>
    <t>6.10%区域</t>
  </si>
  <si>
    <t>常德市城市建设投资集团有限公司 5.9 2026-10-11</t>
  </si>
  <si>
    <t>CDXCIG 4.8 10/13/26</t>
  </si>
  <si>
    <t>Y1</t>
  </si>
  <si>
    <t>BOSC International Securities Limited;Zheshang International Financial Holdings Co., Limited;Shenwan Hongyuan Securities (H.K.) Limited;CEB International Capital Corporation Limited;Essence International Securities (Hong Kong)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Limited;Haitong Bank, Macau Branch</t>
  </si>
  <si>
    <t>BOSC International Securities Limited;Zheshang International Financial Holdings Co., Limited;Shenwan Hongyuan Securities (H.K.) Limited;CEB International Capital Corporation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</t>
  </si>
  <si>
    <t>控制权变更回售@101</t>
  </si>
  <si>
    <t>CDXCIG</t>
  </si>
  <si>
    <t>Refinancing of the medium to long-term offshore bonds due within one year of the date of the NDRC Certificate</t>
  </si>
  <si>
    <t>无评级</t>
  </si>
  <si>
    <t>3.03Y</t>
  </si>
  <si>
    <t>Essence International Securities (Hong Kong) Limited;Haitong Bank, Macau Branch</t>
  </si>
  <si>
    <t>新都区</t>
  </si>
  <si>
    <t>成都市</t>
  </si>
  <si>
    <t>四川省</t>
  </si>
  <si>
    <t>4.8%区域</t>
  </si>
  <si>
    <t>中华（澳门）金融资产交易股份有限公司</t>
  </si>
  <si>
    <t>香城投资 4.8 2026-10-13</t>
  </si>
  <si>
    <t>XIANST 7.1 10/16/26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</si>
  <si>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</si>
  <si>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Industrial Bank Co., Ltd. Hong Kong Branch;China Zheshang Bank Co., Ltd. Hong Kong Branch;Wilson Securities Limited;Initial Capital Securities Limited;Guoyuan Securities Brokerage (Hong Kong) Limited;China Galaxy International Securities (Hong Kong) Co., Limited;CNCB Capital</t>
  </si>
  <si>
    <t>XIANST</t>
  </si>
  <si>
    <t>For repayment of existing offshore indebtedness</t>
  </si>
  <si>
    <t>AA</t>
  </si>
  <si>
    <t>Fosun International Securities Limited</t>
  </si>
  <si>
    <t>陕西航天经开区</t>
  </si>
  <si>
    <t>西安市</t>
  </si>
  <si>
    <t>陕西省</t>
  </si>
  <si>
    <t>长安银行股份有限公司</t>
  </si>
  <si>
    <t>西安航天高技术产业 7.1 2026-10-16</t>
  </si>
  <si>
    <t>GMHRSY 7.5 10/08/24</t>
  </si>
  <si>
    <t>Zhonghui International Securities Limited;China Galaxy International Securities (Hong Kong) Company Limited;Excellent Tide Securities Limited;Haitong International Securities Company Limited</t>
  </si>
  <si>
    <t>Excellent Tide Securities Limited;Zhonghui International Securities Limited</t>
  </si>
  <si>
    <t>GAOMI HUARONG INDUSTRIAL DEVELOPMENT CO LTD</t>
  </si>
  <si>
    <t>GMHRSY</t>
  </si>
  <si>
    <t>1.01Y</t>
  </si>
  <si>
    <t>综合</t>
  </si>
  <si>
    <t>China Galaxy International Securities (Hong Kong) Company Limited;Haitong International Securities Company Limited</t>
  </si>
  <si>
    <t>高密市</t>
  </si>
  <si>
    <t>潍坊市</t>
  </si>
  <si>
    <t>山东省</t>
  </si>
  <si>
    <t>0.9945</t>
  </si>
  <si>
    <t>高密华荣实业发展有限公司 7.5 2024-10-08</t>
  </si>
  <si>
    <t>CSCIF 3 10/31/23</t>
  </si>
  <si>
    <t>可回售债</t>
  </si>
  <si>
    <t>China Securities (International) Brokerage Company Limited</t>
  </si>
  <si>
    <t>CHINA SECURITIES INTERNATIONAL INVESTMENT CO LTD</t>
  </si>
  <si>
    <t>CSCIF</t>
  </si>
  <si>
    <t>28D</t>
  </si>
  <si>
    <t>多元金融</t>
  </si>
  <si>
    <t>北京市</t>
  </si>
  <si>
    <t>担保发行</t>
  </si>
  <si>
    <t>0.0904</t>
  </si>
  <si>
    <t>中信建投国际 3 2023-10-31</t>
  </si>
  <si>
    <t>CSCIF 4.75 01/03/24</t>
  </si>
  <si>
    <t>32D+60D</t>
  </si>
  <si>
    <t>0.2521</t>
  </si>
  <si>
    <t>中信建投国际 4.75 2024-01-03</t>
  </si>
  <si>
    <t>LPSAFF 6.4 10/08/24</t>
  </si>
  <si>
    <t>Guotai Junan International Holdings;Zheshang International Financial Holdings Co., Limited;Shenwan Hongyuan Securities (H.K.) Limited;Qianxing Capital Limited;Carlyon Securities Limited;Guoyuan Securities Brokerage (Hong Kong) Limited;JQ Securities (Hong Kong) Limited;Haitong International Securities Company Limited</t>
  </si>
  <si>
    <t>Carlyon Securities Limited;Guotai Junan International Holdings;Guoyuan Securities Brokerage (Hong Kong) Limited;Haitong International Securities Company Limited;Zheshang International Financial Holdings Co., Limited</t>
  </si>
  <si>
    <t>LIUPANSHUI MINSHENG INVESTMENT GROUP CO LTD</t>
  </si>
  <si>
    <t>LPSAFF</t>
  </si>
  <si>
    <t>JQ Securities (Hong Kong) Limited;Qianxing Capital Limited;Shenwan Hongyuan Securities (H.K.) Limited</t>
  </si>
  <si>
    <t>六盘水市</t>
  </si>
  <si>
    <t>贵州省</t>
  </si>
  <si>
    <t>六盘水市民生产业投资集团有限责任公司 6.4 2024-10-08</t>
  </si>
  <si>
    <t>XUCGEN 3.69 09/10/26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</si>
  <si>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Limited;CLSA Securities Limited;ABC International Holdings Limited;China Securities (International) Corporate Finance Company Limited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</si>
  <si>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Limited;ABC International Holdings Limited</t>
  </si>
  <si>
    <t>3.69%</t>
  </si>
  <si>
    <t>XUCGEN</t>
  </si>
  <si>
    <t>Fund the Group’s projects in accordance with the NDRC Certificate</t>
  </si>
  <si>
    <t>2.93Y</t>
  </si>
  <si>
    <t>CLSA Securities Limited;China Securities (International) Corporate Finance Company Limited</t>
  </si>
  <si>
    <t>许昌市</t>
  </si>
  <si>
    <t>河南省</t>
  </si>
  <si>
    <t>中国邮政储蓄银行股份有限公司许昌市分行</t>
  </si>
  <si>
    <t>3.70%(THENUMBER)</t>
  </si>
  <si>
    <t>4.0%AREA</t>
  </si>
  <si>
    <t>2.9178</t>
  </si>
  <si>
    <t>许昌市投资集团 3.69 2026-09-10</t>
  </si>
  <si>
    <t>KNMIDI 9.7 09/29/24</t>
  </si>
  <si>
    <t>AMC Wanhai Securities Ltd;CEB International Capital Corporation Limited;China Galaxy International Securities (Hong Kong) Company Limited;Shanghai Pudong Development Bank Hong Kong Branch;JQ Securities (Hong Kong) Limited;Haitong Bank, Macau Branch</t>
  </si>
  <si>
    <t>9.7%</t>
  </si>
  <si>
    <t>HONG KONG JY FLOWER LIMITED</t>
  </si>
  <si>
    <t>KNMIDI</t>
  </si>
  <si>
    <t>For refinancing existing offshore indebtedness</t>
  </si>
  <si>
    <t>362D</t>
  </si>
  <si>
    <t>贸易</t>
  </si>
  <si>
    <t>昆明市</t>
  </si>
  <si>
    <t>云南省</t>
  </si>
  <si>
    <t>1.0027</t>
  </si>
  <si>
    <t>昆明产投 9.7 2024-09-29</t>
  </si>
  <si>
    <t>BCHINA 5.25 08/27/26</t>
  </si>
  <si>
    <t>Bank of China Limited;Agricultural Bank of China/Hong Kong</t>
  </si>
  <si>
    <t>BANK OF CHINA LTD QATAR FINANCIAL CENTRE BRANCH</t>
  </si>
  <si>
    <t>BCHINA</t>
  </si>
  <si>
    <t>中央国有企业</t>
  </si>
  <si>
    <t>2.9Y</t>
  </si>
  <si>
    <t>AAA</t>
  </si>
  <si>
    <t>Agricultural Bank of China/Hong Kong;Bank of China Limited</t>
  </si>
  <si>
    <t>西城区</t>
  </si>
  <si>
    <t>2.9123</t>
  </si>
  <si>
    <t>稳定/稳定</t>
  </si>
  <si>
    <t>A1/A</t>
  </si>
  <si>
    <t>中国银行 5.25 2026-08-27</t>
  </si>
  <si>
    <t>JYSOCH 3.98 10/10/26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</si>
  <si>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Limited;Guotai Junan Securities (Hong Kong) Limited;Tensant Securities Limited;CMBC Securities Company Limited;China Securities (International) Corporate Finance Company Limited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</si>
  <si>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Limited;CMBC Securities Company Limited;Guotai Junan Securities (Hong Kong) Limited</t>
  </si>
  <si>
    <t>3.98%</t>
  </si>
  <si>
    <t>澄达国际有限公司</t>
  </si>
  <si>
    <t>JYSOCH</t>
  </si>
  <si>
    <t>To fund the Group’s project and to replenish the Group’s working capital</t>
  </si>
  <si>
    <t>点心债</t>
  </si>
  <si>
    <t>China Securities (International) Corporate Finance Company Limited;Tensant Securities Limited</t>
  </si>
  <si>
    <t>江阴市</t>
  </si>
  <si>
    <t>无锡市</t>
  </si>
  <si>
    <t>江苏省</t>
  </si>
  <si>
    <t>4.20%区域</t>
  </si>
  <si>
    <t>江阴国资控股 3.98 2026-10-10</t>
  </si>
  <si>
    <t>ESG_Indicator</t>
  </si>
  <si>
    <t>A1/A/【】</t>
  </si>
  <si>
    <t>城投(DMI)</t>
  </si>
  <si>
    <t>JBR至少4家</t>
  </si>
  <si>
    <t>有IPG</t>
  </si>
  <si>
    <t>IsBOCOM</t>
  </si>
  <si>
    <t>JGC至少3家</t>
  </si>
  <si>
    <t>1</t>
  </si>
  <si>
    <t>7.5%</t>
  </si>
  <si>
    <t>364天</t>
  </si>
  <si>
    <t>4.8%a</t>
  </si>
  <si>
    <t>6.1%a</t>
  </si>
  <si>
    <t>5.9%</t>
  </si>
  <si>
    <t>8.5%</t>
  </si>
  <si>
    <t>4%a</t>
  </si>
  <si>
    <t>2.9</t>
  </si>
  <si>
    <t>6.4%</t>
  </si>
  <si>
    <t>4.2%a</t>
  </si>
  <si>
    <t>IS_DEFAULT</t>
  </si>
  <si>
    <t>币种规模</t>
  </si>
  <si>
    <t>人民币9000万元</t>
  </si>
  <si>
    <t>1600万美元</t>
  </si>
  <si>
    <t>人民币15.6亿元</t>
  </si>
  <si>
    <t>1亿美元</t>
  </si>
  <si>
    <t>6700万美元</t>
  </si>
  <si>
    <t>人民币3亿元</t>
  </si>
  <si>
    <t>6660万美元</t>
  </si>
  <si>
    <t>人民币7.3亿元</t>
  </si>
  <si>
    <t>Y</t>
  </si>
  <si>
    <t>ESG_Source</t>
  </si>
  <si>
    <t>4.0%ARE区域</t>
  </si>
  <si>
    <t>4.75%</t>
  </si>
  <si>
    <t>0.3</t>
  </si>
  <si>
    <t>3个月</t>
  </si>
  <si>
    <t>3%</t>
  </si>
  <si>
    <t>0.1</t>
  </si>
  <si>
    <t>1个月</t>
  </si>
  <si>
    <t>卡塔尔分行</t>
  </si>
  <si>
    <t>5.25%</t>
  </si>
  <si>
    <t>DLD_BBG</t>
  </si>
  <si>
    <t>DLD_Add</t>
  </si>
  <si>
    <t>六盘水市民生产投</t>
  </si>
  <si>
    <t>许昌投资</t>
  </si>
  <si>
    <t>江阴国资</t>
  </si>
  <si>
    <t>昆明产投</t>
  </si>
  <si>
    <t>上饶城投</t>
  </si>
  <si>
    <t>西安航天高技术</t>
  </si>
  <si>
    <t>高密华荣实业</t>
  </si>
  <si>
    <t>常德城投</t>
  </si>
  <si>
    <t>成都香城投资</t>
  </si>
  <si>
    <t>债券</t>
  </si>
  <si>
    <t>常德城投(邮储银行)</t>
  </si>
  <si>
    <t>许昌投资(邮储银行)</t>
  </si>
  <si>
    <t>收窄</t>
  </si>
  <si>
    <t>浮息_SPD</t>
  </si>
  <si>
    <t>浮息_BMK</t>
  </si>
  <si>
    <t>IPT_SPD</t>
  </si>
  <si>
    <t>IPT_YIELD</t>
  </si>
  <si>
    <t>FPT1</t>
  </si>
  <si>
    <t>WPIR</t>
  </si>
  <si>
    <t>FPT2</t>
  </si>
  <si>
    <t>FPT_SPD</t>
  </si>
  <si>
    <t>FPT_SPD上限</t>
  </si>
  <si>
    <t>FPT_SPD假设窄端</t>
  </si>
  <si>
    <t>FPT_YIELD</t>
  </si>
  <si>
    <t>FPT_YIELD上限</t>
  </si>
  <si>
    <t>IPT_BMK</t>
  </si>
  <si>
    <t>FPT_BMK</t>
  </si>
  <si>
    <t>定价YIELD_Num</t>
  </si>
  <si>
    <t>FPG1</t>
  </si>
  <si>
    <t>Sector</t>
  </si>
  <si>
    <t>年</t>
  </si>
  <si>
    <t>季</t>
  </si>
  <si>
    <t>月</t>
  </si>
  <si>
    <t>年月</t>
  </si>
  <si>
    <t>是否首次发行</t>
  </si>
  <si>
    <t>美元规模区间</t>
  </si>
  <si>
    <t>年期分类</t>
  </si>
  <si>
    <t>主体评级类别</t>
  </si>
  <si>
    <t>Structure</t>
  </si>
  <si>
    <t>CNHType</t>
  </si>
  <si>
    <t>点心债清算</t>
  </si>
  <si>
    <t>期限</t>
  </si>
  <si>
    <t>币种单位</t>
  </si>
  <si>
    <t>ESG主题</t>
  </si>
  <si>
    <t>发行品种</t>
  </si>
  <si>
    <t>角色</t>
  </si>
  <si>
    <t>PROJECT_NAME</t>
  </si>
  <si>
    <t>交易简称</t>
  </si>
  <si>
    <t>COMPARER</t>
  </si>
  <si>
    <t>YYMMDD</t>
  </si>
  <si>
    <t>Q3</t>
  </si>
  <si>
    <t>09月</t>
  </si>
  <si>
    <t>39周</t>
  </si>
  <si>
    <t>23年9月</t>
  </si>
  <si>
    <t>&lt;2亿</t>
  </si>
  <si>
    <t>≤1年</t>
  </si>
  <si>
    <t>直发结构</t>
  </si>
  <si>
    <t>DimSum</t>
  </si>
  <si>
    <t>欧清/明讯</t>
  </si>
  <si>
    <t>万元</t>
  </si>
  <si>
    <t>高密华荣实业 CNH 7.5% 24'</t>
  </si>
  <si>
    <t>230928高密华荣实业</t>
  </si>
  <si>
    <t>230928</t>
  </si>
  <si>
    <t>7.100%</t>
  </si>
  <si>
    <t>1-3年</t>
  </si>
  <si>
    <t>备证结构</t>
  </si>
  <si>
    <t>3年</t>
  </si>
  <si>
    <t>万美元</t>
  </si>
  <si>
    <t>西安航天高技术SBLC USD 7.1% 26'</t>
  </si>
  <si>
    <t>230928西安航天高技术</t>
  </si>
  <si>
    <t>4.800%</t>
  </si>
  <si>
    <t>2-3亿</t>
  </si>
  <si>
    <t>CMU</t>
  </si>
  <si>
    <t>成都香城投资 CNH 4.8% 26'</t>
  </si>
  <si>
    <t>230928成都香城投资</t>
  </si>
  <si>
    <t>6.1%区域</t>
  </si>
  <si>
    <t>6.1%</t>
  </si>
  <si>
    <t>5.900%</t>
  </si>
  <si>
    <t>账簿管理人</t>
  </si>
  <si>
    <t>常德城投SBLC USD 5.9% 26'</t>
  </si>
  <si>
    <t>230928常德城投</t>
  </si>
  <si>
    <t>8.500%</t>
  </si>
  <si>
    <t>高收益级</t>
  </si>
  <si>
    <t>上饶城投 USD 8.5% 26'</t>
  </si>
  <si>
    <t>230928上饶城投</t>
  </si>
  <si>
    <t>4%区域</t>
  </si>
  <si>
    <t>4%</t>
  </si>
  <si>
    <t>3.700%</t>
  </si>
  <si>
    <t>2.9年</t>
  </si>
  <si>
    <t>许昌投资SBLC CNH 3.69% 26'</t>
  </si>
  <si>
    <t>230927许昌投资</t>
  </si>
  <si>
    <t>230927</t>
  </si>
  <si>
    <t>六盘水市民生产投 USD 6.4% 24'</t>
  </si>
  <si>
    <t>230927六盘水市民生产投</t>
  </si>
  <si>
    <t>担保结构</t>
  </si>
  <si>
    <t>1年</t>
  </si>
  <si>
    <t>昆明产投 USD 9.7% 24'</t>
  </si>
  <si>
    <t>230926昆明产投</t>
  </si>
  <si>
    <t>230926</t>
  </si>
  <si>
    <t>4.2%区域</t>
  </si>
  <si>
    <t>4.2%</t>
  </si>
  <si>
    <t>3.980%</t>
  </si>
  <si>
    <t>江阴国资 CNH 3.98% 26'</t>
  </si>
  <si>
    <t>230925江阴国资</t>
  </si>
  <si>
    <t>230925</t>
  </si>
  <si>
    <t>Sunrise III</t>
  </si>
  <si>
    <t>Baima Lake VI</t>
  </si>
  <si>
    <t>IS_EXCH_Filter</t>
  </si>
  <si>
    <t>AddMissingISIN</t>
  </si>
  <si>
    <t>AddTap</t>
  </si>
  <si>
    <t>68</t>
  </si>
  <si>
    <t>67</t>
  </si>
  <si>
    <t>DMI_NewColumn</t>
  </si>
  <si>
    <t>DMI_ChangedColumn</t>
  </si>
  <si>
    <t>【】</t>
  </si>
  <si>
    <t>DLD_Conso</t>
  </si>
  <si>
    <t>23/10/13 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</si>
</sst>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6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sz val="24"/>
      <color rgb="FF0000FF"/>
      <name val="Microsoft JhengHei UI"/>
      <family val="2"/>
    </font>
    <font>
      <sz val="16"/>
      <color rgb="FF008080"/>
      <name val="Microsoft JhengHei UI"/>
      <family val="2"/>
    </font>
    <font>
      <sz val="24"/>
      <color rgb="FF000080"/>
      <name val="Microsoft JhengHei UI"/>
      <family val="2"/>
    </font>
    <font>
      <sz val="12"/>
      <color rgb="FF888AA6"/>
      <name val="Microsoft JhengHei UI"/>
      <family val="2"/>
      <scheme val="minor"/>
    </font>
    <font>
      <b/>
      <sz val="12"/>
      <color rgb="FFC2B59B"/>
      <name val="Microsoft JhengHei UI"/>
      <family val="2"/>
      <scheme val="minor"/>
    </font>
    <font>
      <sz val="8"/>
      <color rgb="FF888AA6"/>
      <name val="Microsoft JhengHei U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0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  <xf numFmtId="0" fontId="56" fillId="17" borderId="10" applyNumberFormat="0" applyAlignment="0" applyProtection="0"/>
  </cellStyleXfs>
  <cellXfs count="148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/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6" fillId="3" borderId="0" xfId="0" applyFont="1" applyFill="1" applyAlignment="1">
      <alignment vertical="center"/>
    </xf>
    <xf numFmtId="14" fontId="0" fillId="3" borderId="0" xfId="0" applyNumberFormat="1" applyFill="1"/>
    <xf numFmtId="0" fontId="20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0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3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0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0" fillId="14" borderId="8" xfId="8" applyFont="1" applyBorder="1" applyAlignment="1" applyProtection="1">
      <alignment horizontal="center" vertical="center" wrapText="1"/>
      <protection locked="0"/>
    </xf>
    <xf numFmtId="0" fontId="29" fillId="3" borderId="0" xfId="0" applyFont="1" applyFill="1" applyAlignment="1">
      <alignment vertical="center"/>
    </xf>
    <xf numFmtId="0" fontId="29" fillId="3" borderId="0" xfId="0" applyFont="1" applyFill="1" applyAlignment="1">
      <alignment horizontal="left" vertical="center"/>
    </xf>
    <xf numFmtId="0" fontId="35" fillId="3" borderId="0" xfId="0" applyFont="1" applyFill="1" applyAlignment="1" applyProtection="1">
      <alignment horizontal="center" wrapText="1"/>
      <protection locked="0"/>
    </xf>
    <xf numFmtId="0" fontId="35" fillId="3" borderId="0" xfId="0" applyFont="1" applyFill="1" applyAlignment="1" applyProtection="1">
      <alignment horizontal="center" vertical="center"/>
      <protection locked="0"/>
    </xf>
    <xf numFmtId="0" fontId="37" fillId="3" borderId="0" xfId="0" applyFont="1" applyFill="1"/>
    <xf numFmtId="0" fontId="38" fillId="3" borderId="0" xfId="0" applyFont="1" applyFill="1"/>
    <xf numFmtId="0" fontId="39" fillId="3" borderId="0" xfId="0" applyFont="1" applyFill="1"/>
    <xf numFmtId="164" fontId="30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0" fillId="3" borderId="0" xfId="0" applyFont="1" applyFill="1" applyAlignment="1">
      <alignment horizontal="center"/>
    </xf>
    <xf numFmtId="164" fontId="0" fillId="0" borderId="0" xfId="0" applyNumberFormat="1"/>
    <xf numFmtId="167" fontId="19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39" fillId="3" borderId="0" xfId="0" applyNumberFormat="1" applyFont="1" applyFill="1"/>
    <xf numFmtId="164" fontId="40" fillId="3" borderId="0" xfId="0" applyNumberFormat="1" applyFont="1" applyFill="1" applyAlignment="1">
      <alignment horizontal="center"/>
    </xf>
    <xf numFmtId="164" fontId="38" fillId="3" borderId="0" xfId="0" applyNumberFormat="1" applyFont="1" applyFill="1"/>
    <xf numFmtId="0" fontId="41" fillId="5" borderId="2" xfId="0" applyFont="1" applyFill="1" applyBorder="1" applyAlignment="1">
      <alignment horizontal="center" vertical="center" wrapText="1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0" fontId="45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46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47" fillId="8" borderId="0" xfId="0" applyFont="1" applyFill="1"/>
    <xf numFmtId="0" fontId="2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>
      <alignment vertical="center"/>
    </xf>
    <xf numFmtId="164" fontId="29" fillId="12" borderId="0" xfId="0" applyNumberFormat="1" applyFont="1" applyFill="1" applyAlignment="1">
      <alignment vertical="center"/>
    </xf>
    <xf numFmtId="164" fontId="29" fillId="12" borderId="0" xfId="8" applyNumberFormat="1" applyFont="1" applyFill="1" applyBorder="1" applyAlignment="1" applyProtection="1">
      <alignment horizontal="center" vertical="center"/>
      <protection locked="0"/>
    </xf>
    <xf numFmtId="165" fontId="29" fillId="12" borderId="0" xfId="0" applyNumberFormat="1" applyFont="1" applyFill="1" applyAlignment="1">
      <alignment vertical="center"/>
    </xf>
    <xf numFmtId="0" fontId="29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48" fillId="3" borderId="0" xfId="0" applyFont="1" applyFill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0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4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4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left" vertical="center"/>
    </xf>
    <xf numFmtId="0" fontId="52" fillId="16" borderId="0" xfId="0" applyFont="1" applyFill="1" applyAlignment="1">
      <alignment horizontal="right" vertical="center"/>
    </xf>
    <xf numFmtId="0" fontId="20" fillId="3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53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25" fillId="14" borderId="5" xfId="7" applyAlignment="1">
      <alignment horizontal="left" vertical="center"/>
    </xf>
    <xf numFmtId="0" fontId="54" fillId="3" borderId="0" xfId="0" applyFont="1" applyFill="1" applyAlignment="1">
      <alignment horizontal="center" vertical="center"/>
    </xf>
    <xf numFmtId="0" fontId="0" fillId="0" borderId="0" xfId="1" applyFont="1" applyFill="1" applyBorder="1"/>
    <xf numFmtId="0" fontId="57" fillId="18" borderId="11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5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5" fillId="18" borderId="11" xfId="9" applyFont="1" applyFill="1" applyBorder="1" applyAlignment="1">
      <alignment horizontal="center" vertical="center"/>
    </xf>
    <xf numFmtId="0" fontId="58" fillId="3" borderId="11" xfId="9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62" fillId="3" borderId="7" xfId="0" applyFont="1" applyFill="1" applyBorder="1" applyAlignment="1">
      <alignment horizontal="left"/>
    </xf>
    <xf numFmtId="0" fontId="54" fillId="3" borderId="7" xfId="0" applyFont="1" applyFill="1" applyBorder="1" applyAlignment="1">
      <alignment vertical="center"/>
    </xf>
    <xf numFmtId="0" fontId="62" fillId="3" borderId="0" xfId="0" applyFont="1" applyFill="1" applyAlignment="1">
      <alignment horizontal="left" vertical="center" wrapText="1"/>
    </xf>
    <xf numFmtId="0" fontId="63" fillId="3" borderId="0" xfId="0" applyFont="1" applyFill="1" applyAlignment="1">
      <alignment horizontal="center" vertical="center"/>
    </xf>
    <xf numFmtId="0" fontId="62" fillId="3" borderId="7" xfId="0" applyFont="1" applyFill="1" applyBorder="1" applyAlignment="1">
      <alignment horizontal="left" vertical="center" wrapText="1"/>
    </xf>
    <xf numFmtId="0" fontId="63" fillId="3" borderId="7" xfId="0" applyFont="1" applyFill="1" applyBorder="1" applyAlignment="1">
      <alignment horizontal="center" vertical="center"/>
    </xf>
    <xf numFmtId="0" fontId="54" fillId="3" borderId="0" xfId="0" applyFont="1" applyFill="1" applyAlignment="1">
      <alignment vertical="center"/>
    </xf>
    <xf numFmtId="0" fontId="64" fillId="3" borderId="0" xfId="0" applyFont="1" applyFill="1" applyAlignment="1">
      <alignment vertical="center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12" borderId="0" xfId="0" applyFill="1" applyAlignment="1">
      <alignment horizontal="left"/>
    </xf>
  </cellXfs>
  <cellStyles count="10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8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ill>
        <patternFill>
          <bgColor rgb="FFE1E1E9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E1E1E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23" defaultTableStyle="TableStyleMedium2" defaultPivotStyle="PivotStyleLight16">
    <tableStyle name="BISL" pivot="0" count="3" xr9:uid="{00000000-0011-0000-FFFF-FFFF05000000}">
      <tableStyleElement type="wholeTable" dxfId="863"/>
      <tableStyleElement type="headerRow" dxfId="862"/>
      <tableStyleElement type="totalRow" dxfId="861"/>
    </tableStyle>
    <tableStyle name="BISL_Directory" pivot="0" count="4" xr9:uid="{CF694ADA-B24E-4A9B-A4CF-440A866B1DFE}">
      <tableStyleElement type="wholeTable" dxfId="860"/>
      <tableStyleElement type="headerRow" dxfId="859"/>
      <tableStyleElement type="firstRowStripe" dxfId="858"/>
      <tableStyleElement type="secondRowStripe" dxfId="857"/>
    </tableStyle>
    <tableStyle name="Blank" pivot="0" count="1" xr9:uid="{00000000-0011-0000-FFFF-FFFF00000000}">
      <tableStyleElement type="wholeTable" dxfId="856"/>
    </tableStyle>
    <tableStyle name="DimSum" pivot="0" count="4" xr9:uid="{C064D3B7-4B8F-409A-AB9E-51AC3AD0F8B5}">
      <tableStyleElement type="wholeTable" dxfId="855"/>
      <tableStyleElement type="headerRow" dxfId="854"/>
      <tableStyleElement type="totalRow" dxfId="853"/>
      <tableStyleElement type="secondRowStripe" dxfId="852"/>
    </tableStyle>
    <tableStyle name="ECON" pivot="0" count="2" xr9:uid="{00000000-0011-0000-FFFF-FFFF01000000}">
      <tableStyleElement type="wholeTable" dxfId="851"/>
      <tableStyleElement type="headerRow" dxfId="850"/>
    </tableStyle>
    <tableStyle name="Load Style" pivot="0" count="2" xr9:uid="{00000000-0011-0000-FFFF-FFFF0F000000}">
      <tableStyleElement type="wholeTable" dxfId="849"/>
      <tableStyleElement type="headerRow" dxfId="848"/>
    </tableStyle>
    <tableStyle name="mFTZ" pivot="0" count="4" xr9:uid="{F9D19170-5D53-4CC9-B6DA-01874D40D6CB}">
      <tableStyleElement type="wholeTable" dxfId="847"/>
      <tableStyleElement type="headerRow" dxfId="846"/>
      <tableStyleElement type="totalRow" dxfId="845"/>
      <tableStyleElement type="secondRowStripe" dxfId="844"/>
    </tableStyle>
    <tableStyle name="Named_dd" pivot="0" count="2" xr9:uid="{00000000-0011-0000-FFFF-FFFF02000000}">
      <tableStyleElement type="wholeTable" dxfId="843"/>
      <tableStyleElement type="headerRow" dxfId="842"/>
    </tableStyle>
    <tableStyle name="PRJ Style" pivot="0" count="4" xr9:uid="{00000000-0011-0000-FFFF-FFFF11000000}">
      <tableStyleElement type="wholeTable" dxfId="841"/>
      <tableStyleElement type="headerRow" dxfId="840"/>
      <tableStyleElement type="firstRowStripe" dxfId="839"/>
      <tableStyleElement type="secondRowStripe" dxfId="838"/>
    </tableStyle>
    <tableStyle name="Qry Load" pivot="0" count="3" xr9:uid="{00000000-0011-0000-FFFF-FFFF05000000}">
      <tableStyleElement type="wholeTable" dxfId="837"/>
      <tableStyleElement type="headerRow" dxfId="836"/>
      <tableStyleElement type="totalRow" dxfId="835"/>
    </tableStyle>
    <tableStyle name="Qry Load 2" pivot="0" count="3" xr9:uid="{00000000-0011-0000-FFFF-FFFF06000000}">
      <tableStyleElement type="wholeTable" dxfId="834"/>
      <tableStyleElement type="headerRow" dxfId="833"/>
      <tableStyleElement type="totalRow" dxfId="832"/>
    </tableStyle>
    <tableStyle name="Qry Load 3" pivot="0" count="3" xr9:uid="{00000000-0011-0000-FFFF-FFFF07000000}">
      <tableStyleElement type="wholeTable" dxfId="831"/>
      <tableStyleElement type="headerRow" dxfId="830"/>
      <tableStyleElement type="totalRow" dxfId="829"/>
    </tableStyle>
    <tableStyle name="Qry Load 3 2" pivot="0" count="3" xr9:uid="{39E27C42-0E7B-4337-87F7-A7AC3E9F7517}">
      <tableStyleElement type="wholeTable" dxfId="828"/>
      <tableStyleElement type="headerRow" dxfId="827"/>
      <tableStyleElement type="totalRow" dxfId="826"/>
    </tableStyle>
    <tableStyle name="Qry Load 3 3" pivot="0" count="3" xr9:uid="{00000000-0011-0000-FFFF-FFFF08000000}">
      <tableStyleElement type="wholeTable" dxfId="825"/>
      <tableStyleElement type="headerRow" dxfId="824"/>
      <tableStyleElement type="totalRow" dxfId="823"/>
    </tableStyle>
    <tableStyle name="Qry Load 4" pivot="0" count="3" xr9:uid="{00000000-0011-0000-FFFF-FFFF08000000}">
      <tableStyleElement type="wholeTable" dxfId="822"/>
      <tableStyleElement type="headerRow" dxfId="821"/>
      <tableStyleElement type="totalRow" dxfId="820"/>
    </tableStyle>
    <tableStyle name="Qry Load 5" pivot="0" count="3" xr9:uid="{00000000-0011-0000-FFFF-FFFF09000000}">
      <tableStyleElement type="wholeTable" dxfId="819"/>
      <tableStyleElement type="headerRow" dxfId="818"/>
      <tableStyleElement type="totalRow" dxfId="817"/>
    </tableStyle>
    <tableStyle name="Qry Load 6" pivot="0" count="3" xr9:uid="{8540037C-F48A-45D6-B06D-3E416FD50039}">
      <tableStyleElement type="wholeTable" dxfId="816"/>
      <tableStyleElement type="headerRow" dxfId="815"/>
      <tableStyleElement type="totalRow" dxfId="814"/>
    </tableStyle>
    <tableStyle name="Qry Source" pivot="0" count="2" xr9:uid="{00000000-0011-0000-FFFF-FFFF0A000000}">
      <tableStyleElement type="wholeTable" dxfId="813"/>
      <tableStyleElement type="headerRow" dxfId="812"/>
    </tableStyle>
    <tableStyle name="Qry Source 2" pivot="0" count="2" xr9:uid="{00000000-0011-0000-FFFF-FFFF0B000000}">
      <tableStyleElement type="wholeTable" dxfId="811"/>
      <tableStyleElement type="headerRow" dxfId="810"/>
    </tableStyle>
    <tableStyle name="Qry Source 2 2" pivot="0" count="3" xr9:uid="{00000000-0011-0000-FFFF-FFFF0C000000}">
      <tableStyleElement type="wholeTable" dxfId="809"/>
      <tableStyleElement type="headerRow" dxfId="808"/>
      <tableStyleElement type="secondRowStripe" dxfId="807"/>
    </tableStyle>
    <tableStyle name="review" pivot="0" count="3" xr9:uid="{00000000-0011-0000-FFFF-FFFF0C000000}">
      <tableStyleElement type="wholeTable" dxfId="806"/>
      <tableStyleElement type="headerRow" dxfId="805"/>
      <tableStyleElement type="totalRow" dxfId="804"/>
    </tableStyle>
    <tableStyle name="review 2" pivot="0" count="3" xr9:uid="{7E48D373-8BD3-405C-AC0B-582D578C48DF}">
      <tableStyleElement type="wholeTable" dxfId="803"/>
      <tableStyleElement type="headerRow" dxfId="802"/>
      <tableStyleElement type="totalRow" dxfId="801"/>
    </tableStyle>
    <tableStyle name="Table Style 1 2" pivot="0" count="4" xr9:uid="{00000000-0011-0000-FFFF-FFFF10000000}">
      <tableStyleElement type="wholeTable" dxfId="800"/>
      <tableStyleElement type="headerRow" dxfId="799"/>
      <tableStyleElement type="firstRowStripe" dxfId="798"/>
      <tableStyleElement type="secondRowStripe" dxfId="797"/>
    </tableStyle>
  </tableStyles>
  <colors>
    <mruColors>
      <color rgb="FF888AA6"/>
      <color rgb="FFF4EBE0"/>
      <color rgb="FF2A7968"/>
      <color rgb="FF0071BA"/>
      <color rgb="FFE1E1E9"/>
      <color rgb="FF379E4E"/>
      <color rgb="FF234473"/>
      <color rgb="FFC69E62"/>
      <color rgb="FFEDF9F4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</xdr:colOff>
      <xdr:row>9</xdr:row>
      <xdr:rowOff>313766</xdr:rowOff>
    </xdr:from>
    <xdr:to>
      <xdr:col>11</xdr:col>
      <xdr:colOff>1833283</xdr:colOff>
      <xdr:row>11</xdr:row>
      <xdr:rowOff>377554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598958" y="4852148"/>
          <a:ext cx="3204883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⚠️ Review</a:t>
          </a:r>
          <a:r>
            <a:rPr lang="en-US" altLang="zh-CN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FIMTN Classification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1600200</xdr:colOff>
          <xdr:row>3</xdr:row>
          <xdr:rowOff>66675</xdr:rowOff>
        </xdr:from>
        <xdr:to>
          <xdr:col>5</xdr:col>
          <xdr:colOff>1533525</xdr:colOff>
          <xdr:row>6</xdr:row>
          <xdr:rowOff>38100</xdr:rowOff>
        </xdr:to>
        <xdr:sp macro="" textlink="">
          <xdr:nvSpPr>
            <xdr:cNvPr id="1026" name="Button 2" descr="Refresh&#10;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FF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44824</xdr:colOff>
      <xdr:row>1</xdr:row>
      <xdr:rowOff>728381</xdr:rowOff>
    </xdr:from>
    <xdr:to>
      <xdr:col>3</xdr:col>
      <xdr:colOff>0</xdr:colOff>
      <xdr:row>2</xdr:row>
      <xdr:rowOff>336177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824" y="1546410"/>
          <a:ext cx="3451411" cy="42582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tep 1   </a:t>
          </a:r>
          <a:r>
            <a:rPr lang="en-US" sz="18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Set Parameter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320882</xdr:colOff>
      <xdr:row>3</xdr:row>
      <xdr:rowOff>0</xdr:rowOff>
    </xdr:from>
    <xdr:to>
      <xdr:col>4</xdr:col>
      <xdr:colOff>1524270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355000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1000125</xdr:colOff>
          <xdr:row>1</xdr:row>
          <xdr:rowOff>190500</xdr:rowOff>
        </xdr:from>
        <xdr:to>
          <xdr:col>15</xdr:col>
          <xdr:colOff>514350</xdr:colOff>
          <xdr:row>3</xdr:row>
          <xdr:rowOff>638175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</xdr:txBody>
        </xdr:sp>
        <xdr:clientData fPrintsWithSheet="0"/>
      </xdr:twoCellAnchor>
    </mc:Choice>
    <mc:Fallback/>
  </mc:AlternateContent>
  <xdr:oneCellAnchor>
    <xdr:from>
      <xdr:col>41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2428854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16</xdr:col>
      <xdr:colOff>18324</xdr:colOff>
      <xdr:row>3</xdr:row>
      <xdr:rowOff>0</xdr:rowOff>
    </xdr:from>
    <xdr:to>
      <xdr:col>16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4720442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3</xdr:col>
          <xdr:colOff>800100</xdr:colOff>
          <xdr:row>3</xdr:row>
          <xdr:rowOff>704850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80"/>
                  </a:solidFill>
                  <a:latin typeface="Microsoft JhengHei UI"/>
                  <a:ea typeface="Microsoft JhengHei UI"/>
                </a:rPr>
                <a:t>Click to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133350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1338280" y="0"/>
          <a:ext cx="4544784" cy="3764216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599762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11</xdr:col>
      <xdr:colOff>33615</xdr:colOff>
      <xdr:row>0</xdr:row>
      <xdr:rowOff>112061</xdr:rowOff>
    </xdr:from>
    <xdr:to>
      <xdr:col>16</xdr:col>
      <xdr:colOff>392204</xdr:colOff>
      <xdr:row>5</xdr:row>
      <xdr:rowOff>179295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33615" y="112061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13607</xdr:colOff>
      <xdr:row>0</xdr:row>
      <xdr:rowOff>231321</xdr:rowOff>
    </xdr:from>
    <xdr:to>
      <xdr:col>10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5593786" y="231321"/>
          <a:ext cx="3331070" cy="2328386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6" xr16:uid="{00000000-0016-0000-0100-000000000000}" autoFormatId="16" applyNumberFormats="0" applyBorderFormats="0" applyFontFormats="0" applyPatternFormats="0" applyAlignmentFormats="0" applyWidthHeightFormats="0">
  <queryTableRefresh nextId="716">
    <queryTableFields count="84">
      <queryTableField id="107" name="Index" tableColumnId="67"/>
      <queryTableField id="629" name="IS_FIMTN" tableColumnId="81"/>
      <queryTableField id="1" name="信用主体" tableColumnId="1"/>
      <queryTableField id="3" name="行业" tableColumnId="3"/>
      <queryTableField id="9" name="ISIN" tableColumnId="9"/>
      <queryTableField id="12" name="定价日" tableColumnId="12"/>
      <queryTableField id="27" name="货币" tableColumnId="27"/>
      <queryTableField id="10" name="主题债券" tableColumnId="10"/>
      <queryTableField id="98" name="IPT_DMI" tableColumnId="20"/>
      <queryTableField id="99" name="FPG_DMI" tableColumnId="21"/>
      <queryTableField id="36" name="联席全球协调人" tableColumnId="36"/>
      <queryTableField id="50" name="牵头经办人" tableColumnId="50"/>
      <queryTableField id="450" name="英文简称" tableColumnId="23"/>
      <queryTableField id="553" name="临时isin" tableColumnId="83"/>
      <queryTableField id="57" name="付息频率" tableColumnId="57"/>
      <queryTableField id="58" name="维好协议提供者" tableColumnId="58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39" name="债券余额" tableColumnId="39"/>
      <queryTableField id="38" name="债券最新面值" tableColumnId="38"/>
      <queryTableField id="37" name="ticker" tableColumnId="37"/>
      <queryTableField id="126" name="筹款用途" tableColumnId="76"/>
      <queryTableField id="125" name="投资者分布" tableColumnId="75"/>
      <queryTableField id="124" name="投资者类型" tableColumnId="74"/>
      <queryTableField id="123" name="投资者账户数" tableColumnId="73"/>
      <queryTableField id="11" name="评级类型" tableColumnId="11"/>
      <queryTableField id="2" name="公司类型" tableColumnId="2"/>
      <queryTableField id="122" name="剩余期限" tableColumnId="70"/>
      <queryTableField id="17" name="境内主体评级" tableColumnId="17"/>
      <queryTableField id="16" name="债项初始评级" tableColumnId="16"/>
      <queryTableField id="4" name="细分行业" tableColumnId="4"/>
      <queryTableField id="93" name="发行方式" tableColumnId="72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7" name="区县" tableColumnId="7"/>
      <queryTableField id="6" name="城市" tableColumnId="6"/>
      <queryTableField id="5" name="省份" tableColumnId="5"/>
      <queryTableField id="31" name="首日涨跌" tableColumnId="31"/>
      <queryTableField id="29" name="发行价" tableColumnId="29"/>
      <queryTableField id="25" name="偿还顺位" tableColumnId="25"/>
      <queryTableField id="24" name="SBLC提供者" tableColumnId="24"/>
      <queryTableField id="144" name="发行架构" tableColumnId="62"/>
      <queryTableField id="552" name="发行规则" tableColumnId="82"/>
      <queryTableField id="22" name="收窄幅度(bp)" tableColumnId="22"/>
      <queryTableField id="30" name="发行场所" tableColumnId="30"/>
      <queryTableField id="19" name="兑付日" tableColumnId="19"/>
      <queryTableField id="587" name="票息_DMI" tableColumnId="18"/>
      <queryTableField id="28" name="发行期限(年)" tableColumnId="28"/>
      <queryTableField id="26" name="发行规模(亿)" tableColumnId="26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91" name="DataSource" tableColumnId="88"/>
      <queryTableField id="620" name="首次违约日" tableColumnId="60"/>
      <queryTableField id="621" name="IS_EXCH" tableColumnId="61"/>
      <queryTableField id="91" name="地区" tableColumnId="71"/>
      <queryTableField id="628" name="BISL_ROLE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622" name="ESG_Indicator" tableColumnId="64"/>
      <queryTableField id="59" name="Check" tableColumnId="5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34" xr16:uid="{43D6E4C5-E72E-4A44-B952-0E0564CAAC61}" autoFormatId="16" applyNumberFormats="0" applyBorderFormats="0" applyFontFormats="0" applyPatternFormats="0" applyAlignmentFormats="0" applyWidthHeightFormats="0">
  <queryTableRefresh nextId="2">
    <queryTableFields count="1">
      <queryTableField id="1" name="DMI_NewColumn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32" xr16:uid="{20F33C39-7B40-4351-A081-E5F6FADBD527}" autoFormatId="16" applyNumberFormats="0" applyBorderFormats="0" applyFontFormats="0" applyPatternFormats="0" applyAlignmentFormats="0" applyWidthHeightFormats="0">
  <queryTableRefresh nextId="2">
    <queryTableFields count="1">
      <queryTableField id="1" name="DMI_ChangedColumn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4" xr16:uid="{00000000-0016-0000-0200-000003000000}" autoFormatId="16" applyNumberFormats="0" applyBorderFormats="0" applyFontFormats="0" applyPatternFormats="0" applyAlignmentFormats="0" applyWidthHeightFormats="0">
  <queryTableRefresh nextId="129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2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3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41" xr16:uid="{92972967-9496-427B-9BFA-83AE3DFDDFF6}" autoFormatId="16" applyNumberFormats="0" applyBorderFormats="0" applyFontFormats="0" applyPatternFormats="0" applyAlignmentFormats="0" applyWidthHeightFormats="0">
  <queryTableRefresh nextId="12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4" xr16:uid="{CCBC90C1-EC75-4CFF-AE53-0DD8206070E0}" autoFormatId="16" applyNumberFormats="0" applyBorderFormats="0" applyFontFormats="0" applyPatternFormats="0" applyAlignmentFormats="0" applyWidthHeightFormats="0">
  <queryTableRefresh nextId="105">
    <queryTableFields count="104">
      <queryTableField id="1" name="Index" tableColumnId="1"/>
      <queryTableField id="2" name="IS_FIMTN" tableColumnId="2"/>
      <queryTableField id="3" name="信用主体" tableColumnId="3"/>
      <queryTableField id="4" name="行业" tableColumnId="4"/>
      <queryTableField id="5" name="ISIN" tableColumnId="5"/>
      <queryTableField id="6" name="定价日" tableColumnId="6"/>
      <queryTableField id="7" name="货币" tableColumnId="7"/>
      <queryTableField id="8" name="ESG_Source" tableColumnId="8"/>
      <queryTableField id="9" name="IPT_DMI" tableColumnId="9"/>
      <queryTableField id="10" name="FPG_DMI" tableColumnId="10"/>
      <queryTableField id="11" name="联席全球协调人" tableColumnId="11"/>
      <queryTableField id="12" name="牵头经办人" tableColumnId="12"/>
      <queryTableField id="13" name="英文简称" tableColumnId="13"/>
      <queryTableField id="14" name="临时isin" tableColumnId="14"/>
      <queryTableField id="15" name="付息频率" tableColumnId="15"/>
      <queryTableField id="16" name="维好协议提供者" tableColumnId="16"/>
      <queryTableField id="17" name="特殊条款" tableColumnId="17"/>
      <queryTableField id="18" name="债券类型" tableColumnId="18"/>
      <queryTableField id="19" name="交易状态" tableColumnId="19"/>
      <queryTableField id="20" name="利率类型" tableColumnId="20"/>
      <queryTableField id="21" name="是否存单" tableColumnId="21"/>
      <queryTableField id="22" name="是否永续债" tableColumnId="22"/>
      <queryTableField id="23" name="联席账簿管理人" tableColumnId="23"/>
      <queryTableField id="24" name="特殊条款说明" tableColumnId="24"/>
      <queryTableField id="25" name="上市日期" tableColumnId="25"/>
      <queryTableField id="26" name="定价_DMI" tableColumnId="26"/>
      <queryTableField id="27" name="发行起始日" tableColumnId="27"/>
      <queryTableField id="28" name="担保人" tableColumnId="28"/>
      <queryTableField id="29" name="发行人" tableColumnId="29"/>
      <queryTableField id="30" name="首次付息日" tableColumnId="30"/>
      <queryTableField id="31" name="计息基准" tableColumnId="31"/>
      <queryTableField id="32" name="最新票面利率" tableColumnId="32"/>
      <queryTableField id="33" name="行权兑付日" tableColumnId="33"/>
      <queryTableField id="34" name="起息日期" tableColumnId="34"/>
      <queryTableField id="35" name="债券余额" tableColumnId="35"/>
      <queryTableField id="36" name="债券最新面值" tableColumnId="36"/>
      <queryTableField id="37" name="ticker" tableColumnId="37"/>
      <queryTableField id="38" name="筹款用途" tableColumnId="38"/>
      <queryTableField id="39" name="投资者分布" tableColumnId="39"/>
      <queryTableField id="40" name="投资者类型" tableColumnId="40"/>
      <queryTableField id="41" name="投资者账户数" tableColumnId="41"/>
      <queryTableField id="42" name="评级类型" tableColumnId="42"/>
      <queryTableField id="43" name="公司类型" tableColumnId="43"/>
      <queryTableField id="44" name="剩余期限" tableColumnId="44"/>
      <queryTableField id="45" name="境内主体评级" tableColumnId="45"/>
      <queryTableField id="46" name="债项初始评级" tableColumnId="46"/>
      <queryTableField id="47" name="细分行业" tableColumnId="47"/>
      <queryTableField id="48" name="发行方式" tableColumnId="48"/>
      <queryTableField id="49" name="基金占比" tableColumnId="49"/>
      <queryTableField id="50" name="亚洲占比" tableColumnId="50"/>
      <queryTableField id="51" name="认购倍数" tableColumnId="51"/>
      <queryTableField id="52" name="认购额(亿)" tableColumnId="52"/>
      <queryTableField id="53" name="区县" tableColumnId="53"/>
      <queryTableField id="54" name="城市" tableColumnId="54"/>
      <queryTableField id="55" name="省份" tableColumnId="55"/>
      <queryTableField id="56" name="首日涨跌" tableColumnId="56"/>
      <queryTableField id="57" name="发行价" tableColumnId="57"/>
      <queryTableField id="58" name="偿还顺位" tableColumnId="58"/>
      <queryTableField id="59" name="SBLC提供者" tableColumnId="59"/>
      <queryTableField id="60" name="发行架构" tableColumnId="60"/>
      <queryTableField id="61" name="发行规则" tableColumnId="61"/>
      <queryTableField id="62" name="收窄幅度(bp)" tableColumnId="62"/>
      <queryTableField id="63" name="发行场所" tableColumnId="63"/>
      <queryTableField id="64" name="兑付日" tableColumnId="64"/>
      <queryTableField id="65" name="票息_DMI" tableColumnId="65"/>
      <queryTableField id="66" name="发行期限(年)" tableColumnId="66"/>
      <queryTableField id="67" name="发行规模(亿)" tableColumnId="67"/>
      <queryTableField id="68" name="债项评级" tableColumnId="68"/>
      <queryTableField id="69" name="主体评级展望" tableColumnId="69"/>
      <queryTableField id="70" name="穆迪/标普" tableColumnId="70"/>
      <queryTableField id="71" name="债券简称" tableColumnId="71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7" name="注册成立地" tableColumnId="77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83" name="结构" tableColumnId="83"/>
      <queryTableField id="84" name="备证行" tableColumnId="84"/>
      <queryTableField id="85" name="上市" tableColumnId="85"/>
      <queryTableField id="86" name="通过分行" tableColumnId="86"/>
      <queryTableField id="87" name="亿美元" tableColumnId="87"/>
      <queryTableField id="88" name="亿元" tableColumnId="88"/>
      <queryTableField id="89" name="亿港币" tableColumnId="89"/>
      <queryTableField id="90" name="增发判定" tableColumnId="90"/>
      <queryTableField id="91" name="Stats" tableColumnId="91"/>
      <queryTableField id="92" name="澳分_ROLE" tableColumnId="92"/>
      <queryTableField id="93" name="港分_ROLE" tableColumnId="93"/>
      <queryTableField id="94" name="定价基准" tableColumnId="94"/>
      <queryTableField id="95" name="收窄基点" tableColumnId="95"/>
      <queryTableField id="96" name="IPG" tableColumnId="96"/>
      <queryTableField id="97" name="FPG" tableColumnId="97"/>
      <queryTableField id="98" name="定价" tableColumnId="98"/>
      <queryTableField id="99" name="票息" tableColumnId="99"/>
      <queryTableField id="100" name="年期" tableColumnId="100"/>
      <queryTableField id="101" name="期限备注" tableColumnId="101"/>
      <queryTableField id="102" name="FEATURED" tableColumnId="102"/>
      <queryTableField id="103" name="ESG" tableColumnId="103"/>
      <queryTableField id="104" name="Check" tableColumnId="10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10" xr16:uid="{F4763BC7-BA94-4A5A-9D70-FA47A8630F1D}" autoFormatId="16" applyNumberFormats="0" applyBorderFormats="0" applyFontFormats="0" applyPatternFormats="0" applyAlignmentFormats="0" applyWidthHeightFormats="0">
  <queryTableRefresh nextId="171">
    <queryTableFields count="168">
      <queryTableField id="1" name="Index" tableColumnId="1"/>
      <queryTableField id="2" name="删除及隐藏" tableColumnId="2"/>
      <queryTableField id="3" name="ISIN" tableColumnId="3"/>
      <queryTableField id="4" name="定价日" tableColumnId="4"/>
      <queryTableField id="5" name="信用主体" tableColumnId="5"/>
      <queryTableField id="6" name="发行评级" tableColumnId="6"/>
      <queryTableField id="7" name="主体评级" tableColumnId="7"/>
      <queryTableField id="8" name="结构" tableColumnId="8"/>
      <queryTableField id="9" name="备证行" tableColumnId="9"/>
      <queryTableField id="10" name="港分_ROLE" tableColumnId="10"/>
      <queryTableField id="11" name="澳分_ROLE" tableColumnId="11"/>
      <queryTableField id="12" name="ESG" tableColumnId="12"/>
      <queryTableField id="13" name="IPT_DMI" tableColumnId="13"/>
      <queryTableField id="14" name="FPG_DMI" tableColumnId="14"/>
      <queryTableField id="15" name="收窄" tableColumnId="15"/>
      <queryTableField id="16" name="定价_DMI" tableColumnId="16"/>
      <queryTableField id="17" name="增发判定" tableColumnId="17"/>
      <queryTableField id="18" name="货币" tableColumnId="18"/>
      <queryTableField id="19" name="发行规模(亿)" tableColumnId="19"/>
      <queryTableField id="20" name="年期" tableColumnId="20"/>
      <queryTableField id="21" name="FEATURED" tableColumnId="21"/>
      <queryTableField id="22" name="上市" tableColumnId="22"/>
      <queryTableField id="23" name="期限备注" tableColumnId="23"/>
      <queryTableField id="24" name="亿美元" tableColumnId="24"/>
      <queryTableField id="25" name="亿元" tableColumnId="25"/>
      <queryTableField id="26" name="亿港币" tableColumnId="26"/>
      <queryTableField id="27" name="台账序号" tableColumnId="27"/>
      <queryTableField id="28" name="Project Name" tableColumnId="28"/>
      <queryTableField id="29" name="COVERAGE" tableColumnId="29"/>
      <queryTableField id="30" name="新规角色" tableColumnId="30"/>
      <queryTableField id="31" name="PROJECT_CODE" tableColumnId="31"/>
      <queryTableField id="32" name="期数" tableColumnId="32"/>
      <queryTableField id="33" name="BISL_ROLE" tableColumnId="33"/>
      <queryTableField id="34" name="IS_LEAD" tableColumnId="34"/>
      <queryTableField id="35" name="IS_B&amp;D" tableColumnId="35"/>
      <queryTableField id="36" name="是否合名" tableColumnId="36"/>
      <queryTableField id="37" name="信用主体简称" tableColumnId="37"/>
      <queryTableField id="38" name="板块" tableColumnId="38"/>
      <queryTableField id="39" name="DEBUT_DATE" tableColumnId="39"/>
      <queryTableField id="40" name="首次违约日" tableColumnId="40"/>
      <queryTableField id="41" name="IS_DEFAULT" tableColumnId="41"/>
      <queryTableField id="42" name="IS_FIMTN" tableColumnId="42"/>
      <queryTableField id="43" name="行业" tableColumnId="43"/>
      <queryTableField id="44" name="主题债券" tableColumnId="44"/>
      <queryTableField id="45" name="联席全球协调人" tableColumnId="45"/>
      <queryTableField id="46" name="牵头经办人" tableColumnId="46"/>
      <queryTableField id="47" name="英文简称" tableColumnId="47"/>
      <queryTableField id="48" name="临时isin" tableColumnId="48"/>
      <queryTableField id="49" name="付息频率" tableColumnId="49"/>
      <queryTableField id="50" name="维好协议提供者" tableColumnId="50"/>
      <queryTableField id="51" name="特殊条款" tableColumnId="51"/>
      <queryTableField id="52" name="债券类型" tableColumnId="52"/>
      <queryTableField id="53" name="交易状态" tableColumnId="53"/>
      <queryTableField id="54" name="利率类型" tableColumnId="54"/>
      <queryTableField id="55" name="是否存单" tableColumnId="55"/>
      <queryTableField id="56" name="是否永续债" tableColumnId="56"/>
      <queryTableField id="57" name="联席账簿管理人" tableColumnId="57"/>
      <queryTableField id="58" name="特殊条款说明" tableColumnId="58"/>
      <queryTableField id="59" name="上市日期" tableColumnId="59"/>
      <queryTableField id="60" name="发行起始日" tableColumnId="60"/>
      <queryTableField id="61" name="担保人" tableColumnId="61"/>
      <queryTableField id="62" name="发行人" tableColumnId="62"/>
      <queryTableField id="63" name="首次付息日" tableColumnId="63"/>
      <queryTableField id="64" name="计息基准" tableColumnId="64"/>
      <queryTableField id="65" name="最新票面利率" tableColumnId="65"/>
      <queryTableField id="66" name="行权兑付日" tableColumnId="66"/>
      <queryTableField id="67" name="起息日期" tableColumnId="67"/>
      <queryTableField id="68" name="债券余额" tableColumnId="68"/>
      <queryTableField id="69" name="债券最新面值" tableColumnId="69"/>
      <queryTableField id="70" name="ticker" tableColumnId="70"/>
      <queryTableField id="71" name="筹款用途" tableColumnId="71"/>
      <queryTableField id="72" name="投资者分布" tableColumnId="72"/>
      <queryTableField id="73" name="投资者类型" tableColumnId="73"/>
      <queryTableField id="74" name="投资者账户数" tableColumnId="74"/>
      <queryTableField id="75" name="评级类型" tableColumnId="75"/>
      <queryTableField id="76" name="公司类型" tableColumnId="76"/>
      <queryTableField id="77" name="剩余期限" tableColumnId="77"/>
      <queryTableField id="78" name="境内主体评级" tableColumnId="78"/>
      <queryTableField id="79" name="债项初始评级" tableColumnId="79"/>
      <queryTableField id="80" name="细分行业" tableColumnId="80"/>
      <queryTableField id="81" name="发行方式" tableColumnId="81"/>
      <queryTableField id="82" name="基金占比" tableColumnId="82"/>
      <queryTableField id="83" name="亚洲占比" tableColumnId="83"/>
      <queryTableField id="84" name="认购倍数" tableColumnId="84"/>
      <queryTableField id="85" name="认购额(亿)" tableColumnId="85"/>
      <queryTableField id="86" name="区县" tableColumnId="86"/>
      <queryTableField id="87" name="城市" tableColumnId="87"/>
      <queryTableField id="88" name="省份" tableColumnId="88"/>
      <queryTableField id="89" name="首日涨跌" tableColumnId="89"/>
      <queryTableField id="90" name="发行价" tableColumnId="90"/>
      <queryTableField id="91" name="偿还顺位" tableColumnId="91"/>
      <queryTableField id="92" name="SBLC提供者" tableColumnId="92"/>
      <queryTableField id="93" name="发行架构" tableColumnId="93"/>
      <queryTableField id="94" name="发行规则" tableColumnId="94"/>
      <queryTableField id="95" name="收窄幅度(bp)" tableColumnId="95"/>
      <queryTableField id="96" name="发行场所" tableColumnId="96"/>
      <queryTableField id="97" name="兑付日" tableColumnId="97"/>
      <queryTableField id="98" name="票息_DMI" tableColumnId="98"/>
      <queryTableField id="99" name="发行期限(年)" tableColumnId="99"/>
      <queryTableField id="100" name="债项评级" tableColumnId="100"/>
      <queryTableField id="101" name="主体评级展望" tableColumnId="101"/>
      <queryTableField id="102" name="穆迪/标普" tableColumnId="102"/>
      <queryTableField id="103" name="债券简称" tableColumnId="103"/>
      <queryTableField id="104" name="DataSource" tableColumnId="104"/>
      <queryTableField id="105" name="IS_EXCH" tableColumnId="105"/>
      <queryTableField id="106" name="地区" tableColumnId="106"/>
      <queryTableField id="107" name="注册成立地" tableColumnId="107"/>
      <queryTableField id="108" name="发行人主上市地" tableColumnId="108"/>
      <queryTableField id="109" name="补充OMAS updates" tableColumnId="109"/>
      <queryTableField id="110" name="定价息差" tableColumnId="110"/>
      <queryTableField id="111" name="ESG_Indicator" tableColumnId="111"/>
      <queryTableField id="112" name="浮息_SPD" tableColumnId="112"/>
      <queryTableField id="113" name="浮息_BMK" tableColumnId="113"/>
      <queryTableField id="114" name="IPT" tableColumnId="114"/>
      <queryTableField id="115" name="IPT_SPD" tableColumnId="115"/>
      <queryTableField id="116" name="IPT_YIELD" tableColumnId="116"/>
      <queryTableField id="117" name="FPT1" tableColumnId="117"/>
      <queryTableField id="118" name="WPIR" tableColumnId="118"/>
      <queryTableField id="119" name="FPT2" tableColumnId="119"/>
      <queryTableField id="120" name="FPT_SPD" tableColumnId="120"/>
      <queryTableField id="121" name="FPT_SPD上限" tableColumnId="121"/>
      <queryTableField id="122" name="FPT_SPD假设窄端" tableColumnId="122"/>
      <queryTableField id="123" name="FPT_YIELD" tableColumnId="123"/>
      <queryTableField id="124" name="FPT_YIELD上限" tableColumnId="124"/>
      <queryTableField id="125" name="IPT_BMK" tableColumnId="125"/>
      <queryTableField id="126" name="FPT_BMK" tableColumnId="126"/>
      <queryTableField id="127" name="定价基准" tableColumnId="127"/>
      <queryTableField id="128" name="定价YIELD_Num" tableColumnId="128"/>
      <queryTableField id="129" name="收窄基点" tableColumnId="129"/>
      <queryTableField id="130" name="IPG" tableColumnId="130"/>
      <queryTableField id="131" name="FPG1" tableColumnId="131"/>
      <queryTableField id="132" name="FPG" tableColumnId="132"/>
      <queryTableField id="133" name="定价" tableColumnId="133"/>
      <queryTableField id="134" name="票息" tableColumnId="134"/>
      <queryTableField id="135" name="SHORTNAMER" tableColumnId="135"/>
      <queryTableField id="136" name="中资属性" tableColumnId="136"/>
      <queryTableField id="137" name="Sector" tableColumnId="137"/>
      <queryTableField id="138" name="ESG_Source" tableColumnId="138"/>
      <queryTableField id="139" name="通过分行" tableColumnId="139"/>
      <queryTableField id="140" name="Stats" tableColumnId="140"/>
      <queryTableField id="141" name="年" tableColumnId="141"/>
      <queryTableField id="142" name="季" tableColumnId="142"/>
      <queryTableField id="143" name="月" tableColumnId="143"/>
      <queryTableField id="144" name="周" tableColumnId="144"/>
      <queryTableField id="145" name="年月" tableColumnId="145"/>
      <queryTableField id="146" name="是否首次发行" tableColumnId="146"/>
      <queryTableField id="147" name="美元规模区间" tableColumnId="147"/>
      <queryTableField id="148" name="年期分类" tableColumnId="148"/>
      <queryTableField id="149" name="评级分类" tableColumnId="149"/>
      <queryTableField id="152" name="CNHType" tableColumnId="152"/>
      <queryTableField id="153" name="点心债清算" tableColumnId="153"/>
      <queryTableField id="150" name="主体评级类别" tableColumnId="150"/>
      <queryTableField id="151" name="Structure" tableColumnId="151"/>
      <queryTableField id="154" name="上市分类" tableColumnId="154"/>
      <queryTableField id="155" name="BOCOM_DEAL?" tableColumnId="155"/>
      <queryTableField id="156" name="期限" tableColumnId="156"/>
      <queryTableField id="157" name="币种单位" tableColumnId="157"/>
      <queryTableField id="158" name="币种规模" tableColumnId="158"/>
      <queryTableField id="159" name="ESG主题" tableColumnId="159"/>
      <queryTableField id="160" name="主题" tableColumnId="160"/>
      <queryTableField id="161" name="发行品种" tableColumnId="161"/>
      <queryTableField id="162" name="角色" tableColumnId="162"/>
      <queryTableField id="163" name="PROJECT_NAME" tableColumnId="163"/>
      <queryTableField id="164" name="信用主体(备证行)" tableColumnId="164"/>
      <queryTableField id="165" name="交易简称" tableColumnId="165"/>
      <queryTableField id="166" name="COMPARER" tableColumnId="166"/>
      <queryTableField id="167" name="YYMMDD" tableColumnId="167"/>
      <queryTableField id="168" name="Check" tableColumnId="16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0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2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3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13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5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2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5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5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5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28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6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9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1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4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3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6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2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7" xr16:uid="{B8FD89C8-856C-4BC4-965B-5913312DB0D0}" autoFormatId="16" applyNumberFormats="0" applyBorderFormats="0" applyFontFormats="0" applyPatternFormats="0" applyAlignmentFormats="0" applyWidthHeightFormats="0">
  <queryTableRefresh nextId="583">
    <queryTableFields count="74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485" name="临时isin" tableColumnId="72"/>
      <queryTableField id="58" name="付息频率" tableColumnId="58"/>
      <queryTableField id="59" name="维好协议提供者" tableColumnId="59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40" name="债券余额" tableColumnId="40"/>
      <queryTableField id="39" name="债券最新面值" tableColumnId="39"/>
      <queryTableField id="38" name="ticker" tableColumnId="38"/>
      <queryTableField id="66" name="筹款用途" tableColumnId="66"/>
      <queryTableField id="65" name="投资者分布" tableColumnId="65"/>
      <queryTableField id="64" name="投资者类型" tableColumnId="64"/>
      <queryTableField id="63" name="投资者账户数" tableColumnId="63"/>
      <queryTableField id="11" name="评级类型" tableColumnId="11"/>
      <queryTableField id="2" name="公司类型" tableColumnId="2"/>
      <queryTableField id="62" name="剩余期限" tableColumnId="62"/>
      <queryTableField id="3" name="行业" tableColumnId="3"/>
      <queryTableField id="17" name="境内主体评级" tableColumnId="17"/>
      <queryTableField id="16" name="债项初始评级" tableColumnId="16"/>
      <queryTableField id="10" name="主题债券" tableColumnId="10"/>
      <queryTableField id="4" name="细分行业" tableColumnId="4"/>
      <queryTableField id="23" name="发行方式" tableColumnId="23"/>
      <queryTableField id="37" name="联席全球协调人" tableColumnId="37"/>
      <queryTableField id="36" name="基金占比" tableColumnId="36"/>
      <queryTableField id="35" name="亚洲占比" tableColumnId="35"/>
      <queryTableField id="34" name="认购倍数" tableColumnId="34"/>
      <queryTableField id="33" name="认购额(亿)" tableColumnId="33"/>
      <queryTableField id="7" name="区县" tableColumnId="7"/>
      <queryTableField id="6" name="城市" tableColumnId="6"/>
      <queryTableField id="5" name="省份" tableColumnId="5"/>
      <queryTableField id="32" name="首日涨跌" tableColumnId="32"/>
      <queryTableField id="30" name="发行价" tableColumnId="30"/>
      <queryTableField id="26" name="偿还顺位" tableColumnId="26"/>
      <queryTableField id="25" name="SBLC提供者" tableColumnId="25"/>
      <queryTableField id="78" name="发行架构" tableColumnId="69"/>
      <queryTableField id="484" name="发行规则" tableColumnId="71"/>
      <queryTableField id="22" name="收窄幅度(bp)" tableColumnId="22"/>
      <queryTableField id="21" name="FPG_DMI" tableColumnId="21"/>
      <queryTableField id="20" name="IPT_DMI" tableColumnId="20"/>
      <queryTableField id="31" name="发行场所" tableColumnId="31"/>
      <queryTableField id="19" name="兑付日" tableColumnId="19"/>
      <queryTableField id="504" name="票息_DMI" tableColumnId="18"/>
      <queryTableField id="28" name="货币" tableColumnId="28"/>
      <queryTableField id="29" name="发行期限(年)" tableColumnId="29"/>
      <queryTableField id="27" name="发行规模(亿)" tableColumnId="27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10" name="DataSource" tableColumnId="73"/>
      <queryTableField id="579" name="首次违约日" tableColumnId="70"/>
      <queryTableField id="580" name="IS_EXCH" tableColumnId="74"/>
      <queryTableField id="60" name="地区" tableColumnId="60"/>
      <queryTableField id="61" name="Check" tableColumnId="6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0B373777-6D0E-4373-8161-40D12EDDEF4D}" autoFormatId="16" applyNumberFormats="0" applyBorderFormats="0" applyFontFormats="0" applyPatternFormats="0" applyAlignmentFormats="0" applyWidthHeightFormats="0">
  <queryTableRefresh nextId="91">
    <queryTableFields count="26"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85" name="注册成立地" tableColumnId="12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86" name="计息基准" tableColumnId="28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87" name="发行价" tableColumnId="29"/>
      <queryTableField id="29" name="发行规模(亿)" tableColumnId="24"/>
      <queryTableField id="67" name="Parent company tiker" tableColumnId="15"/>
      <queryTableField id="68" name="Parent Company 评级" tableColumnId="25"/>
      <queryTableField id="69" name="ESG indicator" tableColumnId="26"/>
      <queryTableField id="77" name="KPW 评级" tableColumnId="27"/>
      <queryTableField id="10" name="Check" tableColumnId="10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9" xr16:uid="{9A83D6E5-8028-451F-81EB-6106800FC1B7}" autoFormatId="16" applyNumberFormats="0" applyBorderFormats="0" applyFontFormats="0" applyPatternFormats="0" applyAlignmentFormats="0" applyWidthHeightFormats="0">
  <queryTableRefresh nextId="121">
    <queryTableFields count="51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8" xr16:uid="{00000000-0016-0000-0400-00000A000000}" autoFormatId="16" applyNumberFormats="0" applyBorderFormats="0" applyFontFormats="0" applyPatternFormats="0" applyAlignmentFormats="0" applyWidthHeightFormats="0">
  <queryTableRefresh nextId="122">
    <queryTableFields count="26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106" name="板块二级" tableColumnId="1"/>
      <queryTableField id="107" name="板块三级" tableColumnId="6"/>
      <queryTableField id="108" name="板块标签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9" name="YY类型" tableColumnId="20"/>
      <queryTableField id="100" name="上市类型" tableColumnId="19"/>
      <queryTableField id="110" name="Is_Issuer" tableColumnId="23"/>
      <queryTableField id="111" name="Is_SBLC" tableColumnId="24"/>
      <queryTableField id="112" name="Is_Client" tableColumnId="25"/>
      <queryTableField id="120" name="IS_DEFAULT" tableColumnId="26"/>
      <queryTableField id="102" name="Updator" tableColumnId="21"/>
      <queryTableField id="103" name="Timestamp" tableColumnId="2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7" xr16:uid="{00000000-0016-0000-0400-000008000000}" autoFormatId="16" applyNumberFormats="0" applyBorderFormats="0" applyFontFormats="0" applyPatternFormats="0" applyAlignmentFormats="0" applyWidthHeightFormats="0">
  <queryTableRefresh nextId="61">
    <queryTableFields count="20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58" name="FolderPath" tableColumnId="19"/>
      <queryTableField id="1" name="Check" tableColumnId="1"/>
      <queryTableField id="56" name="PRJ对账号" tableColumnId="17"/>
      <queryTableField id="59" name="Timestamp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_Conso" displayName="DLD_Conso" ref="J15:CO27" tableType="queryTable" totalsRowShown="0" headerRowDxfId="786" dataDxfId="785">
  <autoFilter ref="J15:CO27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</autoFilter>
  <tableColumns count="84">
    <tableColumn id="67" xr3:uid="{89571AE0-3879-457F-B318-34D498859252}" uniqueName="67" name="Index" queryTableFieldId="107" dataDxfId="784"/>
    <tableColumn id="81" xr3:uid="{FBB68DBD-A5F0-4ABA-98BE-70FB69D716D4}" uniqueName="81" name="IS_FIMTN" queryTableFieldId="629" dataDxfId="783"/>
    <tableColumn id="1" xr3:uid="{00000000-0010-0000-1400-000001000000}" uniqueName="1" name="信用主体" queryTableFieldId="1" dataDxfId="782"/>
    <tableColumn id="3" xr3:uid="{00000000-0010-0000-1400-000003000000}" uniqueName="3" name="行业" queryTableFieldId="3" dataDxfId="781"/>
    <tableColumn id="9" xr3:uid="{00000000-0010-0000-1400-000009000000}" uniqueName="9" name="ISIN" queryTableFieldId="9" dataDxfId="780"/>
    <tableColumn id="12" xr3:uid="{00000000-0010-0000-1400-00000C000000}" uniqueName="12" name="定价日" queryTableFieldId="12" dataDxfId="779"/>
    <tableColumn id="27" xr3:uid="{00000000-0010-0000-1400-00001B000000}" uniqueName="27" name="货币" queryTableFieldId="27" dataDxfId="778"/>
    <tableColumn id="10" xr3:uid="{00000000-0010-0000-1400-00000A000000}" uniqueName="10" name="主题债券" queryTableFieldId="10" dataDxfId="777"/>
    <tableColumn id="20" xr3:uid="{2E21E1F0-B3C8-4D63-81C1-4DEA5849D935}" uniqueName="20" name="IPT_DMI" queryTableFieldId="98" dataDxfId="776"/>
    <tableColumn id="21" xr3:uid="{721CAAAA-9532-4A2C-AF68-00307121AC06}" uniqueName="21" name="FPG_DMI" queryTableFieldId="99" dataDxfId="775"/>
    <tableColumn id="36" xr3:uid="{00000000-0010-0000-1400-000024000000}" uniqueName="36" name="联席全球协调人" queryTableFieldId="36" dataDxfId="774"/>
    <tableColumn id="50" xr3:uid="{00000000-0010-0000-1400-000032000000}" uniqueName="50" name="牵头经办人" queryTableFieldId="50" dataDxfId="773"/>
    <tableColumn id="23" xr3:uid="{B5A6303E-E7C0-43D0-A6BB-6FDABEE4ABD9}" uniqueName="23" name="英文简称" queryTableFieldId="450" dataDxfId="772"/>
    <tableColumn id="83" xr3:uid="{E0D8BE77-661B-4FA3-A3EB-364390317F31}" uniqueName="83" name="临时isin" queryTableFieldId="553" dataDxfId="771"/>
    <tableColumn id="57" xr3:uid="{00000000-0010-0000-1400-000039000000}" uniqueName="57" name="付息频率" queryTableFieldId="57" dataDxfId="770"/>
    <tableColumn id="58" xr3:uid="{00000000-0010-0000-1400-00003A000000}" uniqueName="58" name="维好协议提供者" queryTableFieldId="58" dataDxfId="769"/>
    <tableColumn id="56" xr3:uid="{00000000-0010-0000-1400-000038000000}" uniqueName="56" name="特殊条款" queryTableFieldId="56" dataDxfId="768"/>
    <tableColumn id="55" xr3:uid="{00000000-0010-0000-1400-000037000000}" uniqueName="55" name="债券类型" queryTableFieldId="55" dataDxfId="767"/>
    <tableColumn id="54" xr3:uid="{00000000-0010-0000-1400-000036000000}" uniqueName="54" name="交易状态" queryTableFieldId="54" dataDxfId="766"/>
    <tableColumn id="53" xr3:uid="{00000000-0010-0000-1400-000035000000}" uniqueName="53" name="利率类型" queryTableFieldId="53" dataDxfId="765"/>
    <tableColumn id="52" xr3:uid="{00000000-0010-0000-1400-000034000000}" uniqueName="52" name="是否存单" queryTableFieldId="52" dataDxfId="764"/>
    <tableColumn id="51" xr3:uid="{00000000-0010-0000-1400-000033000000}" uniqueName="51" name="是否永续债" queryTableFieldId="51" dataDxfId="763"/>
    <tableColumn id="78" xr3:uid="{A0CF3BD1-5FCF-4795-AF10-20DDD23A6110}" uniqueName="78" name="联席账簿管理人" queryTableFieldId="128" dataDxfId="762"/>
    <tableColumn id="49" xr3:uid="{00000000-0010-0000-1400-000031000000}" uniqueName="49" name="特殊条款说明" queryTableFieldId="49" dataDxfId="761"/>
    <tableColumn id="48" xr3:uid="{00000000-0010-0000-1400-000030000000}" uniqueName="48" name="上市日期" queryTableFieldId="48" dataDxfId="760"/>
    <tableColumn id="77" xr3:uid="{96AB1C8E-595F-43D9-A802-E2A6579CD92F}" uniqueName="77" name="定价_DMI" queryTableFieldId="136" dataDxfId="759"/>
    <tableColumn id="47" xr3:uid="{00000000-0010-0000-1400-00002F000000}" uniqueName="47" name="发行起始日" queryTableFieldId="47" dataDxfId="758"/>
    <tableColumn id="46" xr3:uid="{00000000-0010-0000-1400-00002E000000}" uniqueName="46" name="担保人" queryTableFieldId="46" dataDxfId="757"/>
    <tableColumn id="45" xr3:uid="{00000000-0010-0000-1400-00002D000000}" uniqueName="45" name="发行人" queryTableFieldId="45" dataDxfId="756"/>
    <tableColumn id="44" xr3:uid="{00000000-0010-0000-1400-00002C000000}" uniqueName="44" name="首次付息日" queryTableFieldId="44" dataDxfId="755"/>
    <tableColumn id="43" xr3:uid="{00000000-0010-0000-1400-00002B000000}" uniqueName="43" name="计息基准" queryTableFieldId="43" dataDxfId="754"/>
    <tableColumn id="42" xr3:uid="{00000000-0010-0000-1400-00002A000000}" uniqueName="42" name="最新票面利率" queryTableFieldId="42" dataDxfId="753"/>
    <tableColumn id="41" xr3:uid="{00000000-0010-0000-1400-000029000000}" uniqueName="41" name="行权兑付日" queryTableFieldId="41" dataDxfId="752"/>
    <tableColumn id="40" xr3:uid="{00000000-0010-0000-1400-000028000000}" uniqueName="40" name="起息日期" queryTableFieldId="40" dataDxfId="751"/>
    <tableColumn id="39" xr3:uid="{00000000-0010-0000-1400-000027000000}" uniqueName="39" name="债券余额" queryTableFieldId="39" dataDxfId="750"/>
    <tableColumn id="38" xr3:uid="{00000000-0010-0000-1400-000026000000}" uniqueName="38" name="债券最新面值" queryTableFieldId="38" dataDxfId="749"/>
    <tableColumn id="37" xr3:uid="{00000000-0010-0000-1400-000025000000}" uniqueName="37" name="ticker" queryTableFieldId="37" dataDxfId="748"/>
    <tableColumn id="76" xr3:uid="{99F5C9BF-819A-4B74-90A6-3D912D600F26}" uniqueName="76" name="筹款用途" queryTableFieldId="126" dataDxfId="747"/>
    <tableColumn id="75" xr3:uid="{8379EAC2-F6FB-4868-9327-F4926D5314B2}" uniqueName="75" name="投资者分布" queryTableFieldId="125" dataDxfId="746"/>
    <tableColumn id="74" xr3:uid="{F3AEB759-21B8-4CF1-A6A6-D6587E7B0569}" uniqueName="74" name="投资者类型" queryTableFieldId="124" dataDxfId="745"/>
    <tableColumn id="73" xr3:uid="{EC155D5D-7034-4D98-AE8E-9FD72DE0014F}" uniqueName="73" name="投资者账户数" queryTableFieldId="123" dataDxfId="744"/>
    <tableColumn id="11" xr3:uid="{00000000-0010-0000-1400-00000B000000}" uniqueName="11" name="评级类型" queryTableFieldId="11" dataDxfId="743"/>
    <tableColumn id="2" xr3:uid="{00000000-0010-0000-1400-000002000000}" uniqueName="2" name="公司类型" queryTableFieldId="2" dataDxfId="742"/>
    <tableColumn id="70" xr3:uid="{D4D745FA-E2EC-49A7-8DD6-A7E0C561075E}" uniqueName="70" name="剩余期限" queryTableFieldId="122" dataDxfId="741"/>
    <tableColumn id="17" xr3:uid="{00000000-0010-0000-1400-000011000000}" uniqueName="17" name="境内主体评级" queryTableFieldId="17" dataDxfId="740"/>
    <tableColumn id="16" xr3:uid="{00000000-0010-0000-1400-000010000000}" uniqueName="16" name="债项初始评级" queryTableFieldId="16" dataDxfId="739"/>
    <tableColumn id="4" xr3:uid="{00000000-0010-0000-1400-000004000000}" uniqueName="4" name="细分行业" queryTableFieldId="4" dataDxfId="738"/>
    <tableColumn id="72" xr3:uid="{00000000-0010-0000-1400-000048000000}" uniqueName="72" name="发行方式" queryTableFieldId="93" dataDxfId="737"/>
    <tableColumn id="35" xr3:uid="{00000000-0010-0000-1400-000023000000}" uniqueName="35" name="基金占比" queryTableFieldId="35" dataDxfId="736"/>
    <tableColumn id="34" xr3:uid="{00000000-0010-0000-1400-000022000000}" uniqueName="34" name="亚洲占比" queryTableFieldId="34" dataDxfId="735"/>
    <tableColumn id="33" xr3:uid="{00000000-0010-0000-1400-000021000000}" uniqueName="33" name="认购倍数" queryTableFieldId="33" dataDxfId="734"/>
    <tableColumn id="32" xr3:uid="{00000000-0010-0000-1400-000020000000}" uniqueName="32" name="认购额(亿)" queryTableFieldId="32" dataDxfId="733"/>
    <tableColumn id="7" xr3:uid="{00000000-0010-0000-1400-000007000000}" uniqueName="7" name="区县" queryTableFieldId="7" dataDxfId="732"/>
    <tableColumn id="6" xr3:uid="{00000000-0010-0000-1400-000006000000}" uniqueName="6" name="城市" queryTableFieldId="6" dataDxfId="731"/>
    <tableColumn id="5" xr3:uid="{00000000-0010-0000-1400-000005000000}" uniqueName="5" name="省份" queryTableFieldId="5" dataDxfId="730"/>
    <tableColumn id="31" xr3:uid="{00000000-0010-0000-1400-00001F000000}" uniqueName="31" name="首日涨跌" queryTableFieldId="31" dataDxfId="729"/>
    <tableColumn id="29" xr3:uid="{00000000-0010-0000-1400-00001D000000}" uniqueName="29" name="发行价" queryTableFieldId="29" dataDxfId="728"/>
    <tableColumn id="25" xr3:uid="{00000000-0010-0000-1400-000019000000}" uniqueName="25" name="偿还顺位" queryTableFieldId="25" dataDxfId="727"/>
    <tableColumn id="24" xr3:uid="{00000000-0010-0000-1400-000018000000}" uniqueName="24" name="SBLC提供者" queryTableFieldId="24" dataDxfId="726"/>
    <tableColumn id="62" xr3:uid="{9E4808FC-4C9C-428D-82BA-2929B856B8D6}" uniqueName="62" name="发行架构" queryTableFieldId="144" dataDxfId="725"/>
    <tableColumn id="82" xr3:uid="{8C16BF61-CC83-4336-BE5B-8B8A13B0CA9C}" uniqueName="82" name="发行规则" queryTableFieldId="552" dataDxfId="724"/>
    <tableColumn id="22" xr3:uid="{00000000-0010-0000-1400-000016000000}" uniqueName="22" name="收窄幅度(bp)" queryTableFieldId="22" dataDxfId="723"/>
    <tableColumn id="30" xr3:uid="{00000000-0010-0000-1400-00001E000000}" uniqueName="30" name="发行场所" queryTableFieldId="30" dataDxfId="722"/>
    <tableColumn id="19" xr3:uid="{00000000-0010-0000-1400-000013000000}" uniqueName="19" name="兑付日" queryTableFieldId="19" dataDxfId="721"/>
    <tableColumn id="18" xr3:uid="{AE2E760D-01E7-4A99-A03D-0E14B2E5A35B}" uniqueName="18" name="票息_DMI" queryTableFieldId="587" dataDxfId="720"/>
    <tableColumn id="28" xr3:uid="{00000000-0010-0000-1400-00001C000000}" uniqueName="28" name="发行期限(年)" queryTableFieldId="28" dataDxfId="719"/>
    <tableColumn id="26" xr3:uid="{00000000-0010-0000-1400-00001A000000}" uniqueName="26" name="发行规模(亿)" queryTableFieldId="26" dataDxfId="718"/>
    <tableColumn id="15" xr3:uid="{00000000-0010-0000-1400-00000F000000}" uniqueName="15" name="债项评级" queryTableFieldId="15" dataDxfId="717"/>
    <tableColumn id="14" xr3:uid="{00000000-0010-0000-1400-00000E000000}" uniqueName="14" name="主体评级展望" queryTableFieldId="14" dataDxfId="716"/>
    <tableColumn id="13" xr3:uid="{00000000-0010-0000-1400-00000D000000}" uniqueName="13" name="穆迪/标普" queryTableFieldId="13" dataDxfId="715"/>
    <tableColumn id="8" xr3:uid="{00000000-0010-0000-1400-000008000000}" uniqueName="8" name="债券简称" queryTableFieldId="8" dataDxfId="714"/>
    <tableColumn id="88" xr3:uid="{A85513D1-22EA-42F5-ADC2-5073B6878BBC}" uniqueName="88" name="DataSource" queryTableFieldId="591" dataDxfId="713"/>
    <tableColumn id="60" xr3:uid="{D42CB076-F4CD-492B-B69C-C447AAD8B44C}" uniqueName="60" name="首次违约日" queryTableFieldId="620" dataDxfId="712"/>
    <tableColumn id="61" xr3:uid="{7E81C1D7-7EA6-4BD6-AC66-518E7843033B}" uniqueName="61" name="IS_EXCH" queryTableFieldId="621" dataDxfId="711"/>
    <tableColumn id="71" xr3:uid="{00000000-0010-0000-1400-000047000000}" uniqueName="71" name="地区" queryTableFieldId="91" dataDxfId="710"/>
    <tableColumn id="69" xr3:uid="{5C3486A7-3354-40AB-8A31-6EF60BDA9826}" uniqueName="69" name="BISL_ROLE" queryTableFieldId="628" dataDxfId="709"/>
    <tableColumn id="79" xr3:uid="{4D5A05D7-BD47-4CF2-BA37-25E4CD582264}" uniqueName="79" name="注册成立地" queryTableFieldId="140" dataDxfId="708"/>
    <tableColumn id="80" xr3:uid="{7D0B3F21-10BB-4E32-89D1-69E4FA31A948}" uniqueName="80" name="发行人主上市地" queryTableFieldId="507" dataDxfId="707"/>
    <tableColumn id="63" xr3:uid="{222E9603-970D-4782-9F61-BA306470C980}" uniqueName="63" name="补充OMAS updates" queryTableFieldId="111" dataDxfId="706"/>
    <tableColumn id="65" xr3:uid="{80765AA5-3F0E-470B-9194-548C15E96FE2}" uniqueName="65" name="定价息差" queryTableFieldId="112" dataDxfId="705"/>
    <tableColumn id="66" xr3:uid="{835384CB-5EA1-4AA5-80C7-6E7A7E31992D}" uniqueName="66" name="发行评级" queryTableFieldId="113" dataDxfId="704"/>
    <tableColumn id="68" xr3:uid="{3FAE810C-DBB1-4EA1-887E-C959C6AEE507}" uniqueName="68" name="主体评级" queryTableFieldId="114" dataDxfId="703"/>
    <tableColumn id="64" xr3:uid="{2EF4E456-BC8A-4E0C-AFB9-AA330EE81DC0}" uniqueName="64" name="ESG_Indicator" queryTableFieldId="622" dataDxfId="702"/>
    <tableColumn id="59" xr3:uid="{00000000-0010-0000-1400-00003B000000}" uniqueName="59" name="Check" queryTableFieldId="59" dataDxfId="701"/>
  </tableColumns>
  <tableStyleInfo name="Qry Load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A3:C12" totalsRowShown="0" headerRowDxfId="700" dataDxfId="699">
  <autoFilter ref="A3:C12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698"/>
    <tableColumn id="4" xr3:uid="{01BB5857-C8A7-4203-A587-04BFC8573813}" name="Parameter" dataDxfId="697"/>
    <tableColumn id="5" xr3:uid="{D010838C-EEEF-40BF-9135-662BB9B0DB52}" name="Value" dataDxfId="696"/>
  </tableColumns>
  <tableStyleInfo name="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T15:DA16" tableType="queryTable" insertRow="1" totalsRowShown="0">
  <autoFilter ref="CT15:DA16" xr:uid="{2241697C-73A8-4C22-B4FA-5F2C3A02E1B7}"/>
  <tableColumns count="8">
    <tableColumn id="1" xr3:uid="{9DAC8948-DAFD-470D-BBBB-7438AE890060}" uniqueName="1" name="Project Name" queryTableFieldId="1" dataDxfId="695"/>
    <tableColumn id="2" xr3:uid="{E0D19AF5-9F56-420C-BE6F-5792D31C8F10}" uniqueName="2" name="ISIN" queryTableFieldId="2" dataDxfId="694"/>
    <tableColumn id="3" xr3:uid="{1B386BC7-C983-4E5C-A2D3-54DF24835F23}" uniqueName="3" name="项目名称（集团全称）" queryTableFieldId="3" dataDxfId="693"/>
    <tableColumn id="4" xr3:uid="{E1C4CAD1-CBD0-41E3-AF73-79A611F3403A}" uniqueName="4" name="台账序号" queryTableFieldId="4" dataDxfId="692"/>
    <tableColumn id="5" xr3:uid="{E978DEAB-FE96-4F72-9EEE-2D8009EF9D54}" uniqueName="5" name="担任角色" queryTableFieldId="5" dataDxfId="691"/>
    <tableColumn id="6" xr3:uid="{1BC26FCE-CF9B-4873-82CF-EC4F556D7E26}" uniqueName="6" name="新规角色" queryTableFieldId="6" dataDxfId="690"/>
    <tableColumn id="7" xr3:uid="{2C8EA1EC-5FFC-4C17-9004-497BCB6D4E2A}" uniqueName="7" name="COVERAGE" queryTableFieldId="7" dataDxfId="689"/>
    <tableColumn id="8" xr3:uid="{1BC42834-1C57-40F4-B31F-F9924832E77D}" uniqueName="8" name="项目定价日" queryTableFieldId="8" dataDxfId="688"/>
  </tableColumns>
  <tableStyleInfo name="Qry Loa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134790-3717-40BB-85C1-4F545A5822CD}" name="DMI_NewColumn" displayName="DMI_NewColumn" ref="H15:H17" tableType="queryTable" totalsRowShown="0">
  <autoFilter ref="H15:H17" xr:uid="{986C8F8A-D26E-4FF0-8FCE-51DD8C3DBC57}">
    <filterColumn colId="0" hiddenButton="1"/>
  </autoFilter>
  <tableColumns count="1">
    <tableColumn id="1" xr3:uid="{51FA600C-3001-498B-B675-E08F1D02D1AA}" uniqueName="1" name="DMI_NewColumn" queryTableFieldId="1"/>
  </tableColumns>
  <tableStyleInfo name="Qry Loa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FBB7C50-29D2-443F-AA62-710C1739A2E6}" name="DMI_ChangedColumn" displayName="DMI_ChangedColumn" ref="H23:H25" tableType="queryTable" totalsRowShown="0" dataDxfId="687">
  <autoFilter ref="H23:H25" xr:uid="{4B67918F-3C3B-4F9A-A697-A1DB99D331D6}">
    <filterColumn colId="0" hiddenButton="1"/>
  </autoFilter>
  <tableColumns count="1">
    <tableColumn id="1" xr3:uid="{A1350E74-0595-41C1-8E1D-1F86762512DC}" uniqueName="1" name="DMI_ChangedColumn" queryTableFieldId="1" dataDxfId="686"/>
  </tableColumns>
  <tableStyleInfo name="Qry Loa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I14" tableType="queryTable" totalsRowShown="0">
  <autoFilter ref="P5:AI1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684"/>
    <tableColumn id="2" xr3:uid="{00000000-0010-0000-1700-000002000000}" uniqueName="2" name="信用主体" queryTableFieldId="2" dataDxfId="683"/>
    <tableColumn id="15" xr3:uid="{E24E777A-D49C-4B3E-93AA-DFAEBA57F42B}" uniqueName="15" name="ESG" queryTableFieldId="55" dataDxfId="682"/>
    <tableColumn id="12" xr3:uid="{00000000-0010-0000-1700-00000C000000}" uniqueName="12" name="IPG" queryTableFieldId="12" dataDxfId="681"/>
    <tableColumn id="13" xr3:uid="{00000000-0010-0000-1700-00000D000000}" uniqueName="13" name="FPG" queryTableFieldId="13" dataDxfId="680"/>
    <tableColumn id="14" xr3:uid="{00000000-0010-0000-1700-00000E000000}" uniqueName="14" name="收窄基点" queryTableFieldId="14" dataDxfId="679"/>
    <tableColumn id="25" xr3:uid="{00000000-0010-0000-1700-000019000000}" uniqueName="25" name="定价" queryTableFieldId="25" dataDxfId="678"/>
    <tableColumn id="31" xr3:uid="{FFCE47EB-D5CF-4D34-81FA-065EDA65F5D5}" uniqueName="31" name="增发判定" queryTableFieldId="72" dataDxfId="677"/>
    <tableColumn id="8" xr3:uid="{00000000-0010-0000-1700-000008000000}" uniqueName="8" name="货币" queryTableFieldId="8" dataDxfId="676"/>
    <tableColumn id="9" xr3:uid="{00000000-0010-0000-1700-000009000000}" uniqueName="9" name="发行规模(亿)" queryTableFieldId="9" dataDxfId="675"/>
    <tableColumn id="5" xr3:uid="{A465A109-439B-46CC-B8D9-8536815366D7}" uniqueName="5" name="年期" queryTableFieldId="52" dataDxfId="674"/>
    <tableColumn id="11" xr3:uid="{00000000-0010-0000-1700-00000B000000}" uniqueName="11" name="票息" queryTableFieldId="11" dataDxfId="673"/>
    <tableColumn id="20" xr3:uid="{7E19D719-1D4A-42E1-9F7A-3CD7D5DA6A44}" uniqueName="20" name="FEATURED" queryTableFieldId="57" dataDxfId="672"/>
    <tableColumn id="33" xr3:uid="{F7F8C15B-103F-4121-B909-0AA998B5A268}" uniqueName="33" name="上市" queryTableFieldId="73" dataDxfId="671"/>
    <tableColumn id="34" xr3:uid="{54CE4E1B-194A-4B7A-8136-018BFA61D12B}" uniqueName="34" name="期限备注" queryTableFieldId="82" dataDxfId="670"/>
    <tableColumn id="23" xr3:uid="{00000000-0010-0000-1700-000017000000}" uniqueName="23" name="亿美元" queryTableFieldId="23" dataDxfId="669"/>
    <tableColumn id="24" xr3:uid="{00000000-0010-0000-1700-000018000000}" uniqueName="24" name="亿元" queryTableFieldId="24" dataDxfId="668"/>
    <tableColumn id="21" xr3:uid="{02205151-A1BC-4641-96CA-0A9C736A8B39}" uniqueName="21" name="亿港币" queryTableFieldId="84" dataDxfId="667"/>
    <tableColumn id="35" xr3:uid="{00000000-0010-0000-1700-000023000000}" uniqueName="35" name="ISIN" queryTableFieldId="35" dataDxfId="666"/>
    <tableColumn id="19" xr3:uid="{00000000-0010-0000-1700-000013000000}" uniqueName="19" name="Check" queryTableFieldId="49" dataDxfId="665"/>
  </tableColumns>
  <tableStyleInfo name="Qry Loa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O5:BB7" tableType="queryTable" totalsRowShown="0">
  <autoFilter ref="AO5:BB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664"/>
    <tableColumn id="2" xr3:uid="{00000000-0010-0000-1800-000002000000}" uniqueName="2" name="ISIN" queryTableFieldId="2" dataDxfId="663"/>
    <tableColumn id="3" xr3:uid="{00000000-0010-0000-1800-000003000000}" uniqueName="3" name="定价日" queryTableFieldId="3" dataDxfId="662"/>
    <tableColumn id="18" xr3:uid="{CE8319FC-590C-4EDF-A68D-FBC91063B4F2}" uniqueName="18" name="台账序号" queryTableFieldId="38" dataDxfId="661"/>
    <tableColumn id="10" xr3:uid="{00000000-0010-0000-1800-00000A000000}" uniqueName="10" name="Project Name" queryTableFieldId="22" dataDxfId="660"/>
    <tableColumn id="8" xr3:uid="{00000000-0010-0000-1800-000008000000}" uniqueName="8" name="COVERAGE" queryTableFieldId="16" dataDxfId="659"/>
    <tableColumn id="12" xr3:uid="{00000000-0010-0000-1800-00000C000000}" uniqueName="12" name="新规角色" queryTableFieldId="12" dataDxfId="658"/>
    <tableColumn id="9" xr3:uid="{00000000-0010-0000-1800-000009000000}" uniqueName="9" name="PROJECT_CODE" queryTableFieldId="17" dataDxfId="657"/>
    <tableColumn id="15" xr3:uid="{00000000-0010-0000-1800-00000F000000}" uniqueName="15" name="期数" queryTableFieldId="15" dataDxfId="656"/>
    <tableColumn id="5" xr3:uid="{00000000-0010-0000-1800-000005000000}" uniqueName="5" name="BISL_ROLE" queryTableFieldId="5" dataDxfId="655"/>
    <tableColumn id="11" xr3:uid="{00000000-0010-0000-1800-00000B000000}" uniqueName="11" name="IS_LEAD" queryTableFieldId="30" dataDxfId="654"/>
    <tableColumn id="13" xr3:uid="{00000000-0010-0000-1800-00000D000000}" uniqueName="13" name="IS_B&amp;D" queryTableFieldId="31" dataDxfId="653"/>
    <tableColumn id="14" xr3:uid="{00000000-0010-0000-1800-00000E000000}" uniqueName="14" name="是否合名" queryTableFieldId="32" dataDxfId="652"/>
  </tableColumns>
  <tableStyleInfo name="Qry Load 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H5:BK6" tableType="queryTable" insertRow="1" totalsRowShown="0">
  <autoFilter ref="BH5:BK6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14" tableType="queryTable" totalsRowShown="0">
  <autoFilter ref="B5:L14" xr:uid="{5C4B1B8C-A0D4-4D02-A871-15DC30D8DA09}"/>
  <tableColumns count="11">
    <tableColumn id="1" xr3:uid="{3E9647E3-CCA2-4EE2-BC8F-94A72BF1C6FB}" uniqueName="1" name="删除及隐藏" queryTableFieldId="1" dataDxfId="651"/>
    <tableColumn id="2" xr3:uid="{2989A5DB-032C-4A61-9F1B-232A1392CB59}" uniqueName="2" name="ISIN" queryTableFieldId="2" dataDxfId="650"/>
    <tableColumn id="3" xr3:uid="{54C99E76-3C90-4DC7-B18C-794479F768ED}" uniqueName="3" name="定价日" queryTableFieldId="3" dataDxfId="649"/>
    <tableColumn id="4" xr3:uid="{505BB7FB-E263-483A-AC0A-0AE9317B9D8F}" uniqueName="4" name="信用主体" queryTableFieldId="4" dataDxfId="648"/>
    <tableColumn id="5" xr3:uid="{315B6BA9-3BCB-45C2-9A6C-9FBD75E934D6}" uniqueName="5" name="发行评级" queryTableFieldId="5" dataDxfId="647"/>
    <tableColumn id="6" xr3:uid="{ACB704AC-62D4-40E7-A2F0-002B6341CEAF}" uniqueName="6" name="主体评级" queryTableFieldId="6" dataDxfId="646"/>
    <tableColumn id="7" xr3:uid="{D73EE109-D3A9-4E56-A56C-D8807776759C}" uniqueName="7" name="结构" queryTableFieldId="7" dataDxfId="645"/>
    <tableColumn id="8" xr3:uid="{8ABF59A6-478C-4513-AA15-48E44F9ED3B2}" uniqueName="8" name="备证行" queryTableFieldId="8" dataDxfId="644"/>
    <tableColumn id="9" xr3:uid="{0B451F54-19BB-415D-8E9F-1F0685BB9AD2}" uniqueName="9" name="港分_ROLE" queryTableFieldId="9" dataDxfId="643"/>
    <tableColumn id="10" xr3:uid="{26B4736D-076D-4E30-9954-6491DC39F40B}" uniqueName="10" name="澳分_ROLE" queryTableFieldId="10" dataDxfId="642"/>
    <tableColumn id="11" xr3:uid="{A1D5D74A-E135-4039-9984-BA315ECFEBA2}" uniqueName="11" name="Check" queryTableFieldId="11" dataDxfId="641"/>
  </tableColumns>
  <tableStyleInfo name="Qry Loa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CZ18" tableType="queryTable" totalsRowShown="0">
  <autoFilter ref="A6:CZ18" xr:uid="{CDDF5528-447C-443B-AF7C-674545284801}"/>
  <tableColumns count="104">
    <tableColumn id="1" xr3:uid="{C0844C81-13FB-48BE-BDE9-F0D29D54269E}" uniqueName="1" name="Index" queryTableFieldId="1" dataDxfId="640"/>
    <tableColumn id="2" xr3:uid="{4A568699-9719-499E-BA66-35A7C05B513F}" uniqueName="2" name="IS_FIMTN" queryTableFieldId="2" dataDxfId="639"/>
    <tableColumn id="3" xr3:uid="{AC1BC36F-CCDC-477B-832E-1E8CE6730098}" uniqueName="3" name="信用主体" queryTableFieldId="3" dataDxfId="638"/>
    <tableColumn id="4" xr3:uid="{C81EF29F-2477-4213-9BFE-D5053A1009B5}" uniqueName="4" name="行业" queryTableFieldId="4" dataDxfId="637"/>
    <tableColumn id="5" xr3:uid="{9BB249D6-B921-409C-BD25-1143AD7E4A15}" uniqueName="5" name="ISIN" queryTableFieldId="5" dataDxfId="636"/>
    <tableColumn id="6" xr3:uid="{92748992-E149-4DC2-9B29-E2EFE1DB117C}" uniqueName="6" name="定价日" queryTableFieldId="6" dataDxfId="635"/>
    <tableColumn id="7" xr3:uid="{2876D30C-814B-43A4-B8F6-8C4DA856FC56}" uniqueName="7" name="货币" queryTableFieldId="7" dataDxfId="634"/>
    <tableColumn id="8" xr3:uid="{64D6EB2D-7AC6-4160-962B-80870A88FE9C}" uniqueName="8" name="ESG_Source" queryTableFieldId="8" dataDxfId="633"/>
    <tableColumn id="9" xr3:uid="{8F4A4264-E4EB-465C-95BF-43829C64E429}" uniqueName="9" name="IPT_DMI" queryTableFieldId="9" dataDxfId="632"/>
    <tableColumn id="10" xr3:uid="{452A448D-CFA5-4DB8-AD7B-CCADF1BC6711}" uniqueName="10" name="FPG_DMI" queryTableFieldId="10" dataDxfId="631"/>
    <tableColumn id="11" xr3:uid="{CE87F2C8-60A7-4F20-A21A-839EEE9168C7}" uniqueName="11" name="联席全球协调人" queryTableFieldId="11" dataDxfId="630"/>
    <tableColumn id="12" xr3:uid="{08EB1D31-2036-4406-B445-E8F3BF86B96D}" uniqueName="12" name="牵头经办人" queryTableFieldId="12" dataDxfId="629"/>
    <tableColumn id="13" xr3:uid="{BBA949DC-8CFA-4955-8128-ADB18AEF6B87}" uniqueName="13" name="英文简称" queryTableFieldId="13" dataDxfId="628"/>
    <tableColumn id="14" xr3:uid="{FB0BA354-E5F4-40E5-99E3-C771173A10FE}" uniqueName="14" name="临时isin" queryTableFieldId="14" dataDxfId="627"/>
    <tableColumn id="15" xr3:uid="{DD880CCD-C32F-4426-8544-CD57679F31FB}" uniqueName="15" name="付息频率" queryTableFieldId="15" dataDxfId="626"/>
    <tableColumn id="16" xr3:uid="{EC267DCA-B7BB-4080-B715-A81622734B97}" uniqueName="16" name="维好协议提供者" queryTableFieldId="16" dataDxfId="625"/>
    <tableColumn id="17" xr3:uid="{4F6E8B26-AA02-4350-8D29-EE5F63183020}" uniqueName="17" name="特殊条款" queryTableFieldId="17" dataDxfId="624"/>
    <tableColumn id="18" xr3:uid="{D5F5D2FD-2D1D-4C73-9503-B08C22459B30}" uniqueName="18" name="债券类型" queryTableFieldId="18" dataDxfId="623"/>
    <tableColumn id="19" xr3:uid="{160E00C3-CA1D-4E34-AFFB-500E27DD7358}" uniqueName="19" name="交易状态" queryTableFieldId="19" dataDxfId="622"/>
    <tableColumn id="20" xr3:uid="{EB39CAED-E998-4724-A29F-9923AA8E87CD}" uniqueName="20" name="利率类型" queryTableFieldId="20" dataDxfId="621"/>
    <tableColumn id="21" xr3:uid="{5AD7D3DC-431C-4D40-A998-715A4B5D4ED3}" uniqueName="21" name="是否存单" queryTableFieldId="21" dataDxfId="620"/>
    <tableColumn id="22" xr3:uid="{FA3F4F21-7EFE-4A67-82FF-76BB902BB391}" uniqueName="22" name="是否永续债" queryTableFieldId="22" dataDxfId="619"/>
    <tableColumn id="23" xr3:uid="{53CAA8EF-4AEC-46A8-9E27-441717E56129}" uniqueName="23" name="联席账簿管理人" queryTableFieldId="23" dataDxfId="618"/>
    <tableColumn id="24" xr3:uid="{845A41CB-6954-43DF-B920-27D89360F0AC}" uniqueName="24" name="特殊条款说明" queryTableFieldId="24" dataDxfId="617"/>
    <tableColumn id="25" xr3:uid="{717F72D8-0F14-4058-A303-D5D8C035AF0D}" uniqueName="25" name="上市日期" queryTableFieldId="25" dataDxfId="616"/>
    <tableColumn id="26" xr3:uid="{2023C00C-A429-4931-BDDA-17ECE8CD2384}" uniqueName="26" name="定价_DMI" queryTableFieldId="26" dataDxfId="615"/>
    <tableColumn id="27" xr3:uid="{7BEF2D8D-31E3-42F9-B2F8-1285A8AEA53A}" uniqueName="27" name="发行起始日" queryTableFieldId="27" dataDxfId="614"/>
    <tableColumn id="28" xr3:uid="{F441BC3E-ED42-4AB1-8228-1B6924DBA6CA}" uniqueName="28" name="担保人" queryTableFieldId="28" dataDxfId="613"/>
    <tableColumn id="29" xr3:uid="{7C19D6E4-E675-4348-BF0E-C18ECC98656C}" uniqueName="29" name="发行人" queryTableFieldId="29" dataDxfId="612"/>
    <tableColumn id="30" xr3:uid="{39392E72-E631-4B30-9315-002E2790687A}" uniqueName="30" name="首次付息日" queryTableFieldId="30" dataDxfId="611"/>
    <tableColumn id="31" xr3:uid="{D3781C9C-3707-41FB-8F6D-766D1ACE952A}" uniqueName="31" name="计息基准" queryTableFieldId="31" dataDxfId="610"/>
    <tableColumn id="32" xr3:uid="{B6E85873-8F4C-4565-8097-7B038054A199}" uniqueName="32" name="最新票面利率" queryTableFieldId="32" dataDxfId="609"/>
    <tableColumn id="33" xr3:uid="{695DA9AF-3950-4624-88E4-0BD1A253DC7F}" uniqueName="33" name="行权兑付日" queryTableFieldId="33" dataDxfId="608"/>
    <tableColumn id="34" xr3:uid="{E3854E03-8195-4691-9B35-F53C79A07D5F}" uniqueName="34" name="起息日期" queryTableFieldId="34" dataDxfId="607"/>
    <tableColumn id="35" xr3:uid="{4EF15B80-BCC6-4F99-8109-08B4F9A13EB4}" uniqueName="35" name="债券余额" queryTableFieldId="35" dataDxfId="606"/>
    <tableColumn id="36" xr3:uid="{6548ED30-3A02-441C-BCC5-B75D134C2FE2}" uniqueName="36" name="债券最新面值" queryTableFieldId="36" dataDxfId="605"/>
    <tableColumn id="37" xr3:uid="{514DDF5A-DDA1-4CB3-8126-EC129D7C9ACA}" uniqueName="37" name="ticker" queryTableFieldId="37" dataDxfId="604"/>
    <tableColumn id="38" xr3:uid="{75CD578C-1F6A-49BE-A807-22D0A211955A}" uniqueName="38" name="筹款用途" queryTableFieldId="38" dataDxfId="603"/>
    <tableColumn id="39" xr3:uid="{52CCEFB4-75D0-4445-91A7-112CAC632FBE}" uniqueName="39" name="投资者分布" queryTableFieldId="39" dataDxfId="602"/>
    <tableColumn id="40" xr3:uid="{9E7A2765-F24C-4E03-9D4C-AF98B2BE6AC5}" uniqueName="40" name="投资者类型" queryTableFieldId="40" dataDxfId="601"/>
    <tableColumn id="41" xr3:uid="{8AF16E58-A015-418C-8513-49EBB27EDBF4}" uniqueName="41" name="投资者账户数" queryTableFieldId="41" dataDxfId="600"/>
    <tableColumn id="42" xr3:uid="{19823FC0-944D-47BA-8510-F821401D7848}" uniqueName="42" name="评级类型" queryTableFieldId="42" dataDxfId="599"/>
    <tableColumn id="43" xr3:uid="{1CB6CFDB-15FC-4372-91FF-32B5ACF96887}" uniqueName="43" name="公司类型" queryTableFieldId="43" dataDxfId="598"/>
    <tableColumn id="44" xr3:uid="{15AD3519-B16C-49DD-99DF-A71C1D2B3038}" uniqueName="44" name="剩余期限" queryTableFieldId="44" dataDxfId="597"/>
    <tableColumn id="45" xr3:uid="{603C7CC9-59E6-482A-A158-925ABF70B72E}" uniqueName="45" name="境内主体评级" queryTableFieldId="45" dataDxfId="596"/>
    <tableColumn id="46" xr3:uid="{22C27A75-0B9A-4C70-92F0-CB323071B28F}" uniqueName="46" name="债项初始评级" queryTableFieldId="46" dataDxfId="595"/>
    <tableColumn id="47" xr3:uid="{199FFD36-853A-43EA-B94A-48E44C24CB23}" uniqueName="47" name="细分行业" queryTableFieldId="47" dataDxfId="594"/>
    <tableColumn id="48" xr3:uid="{0E271067-DA5D-4EBA-9454-332850429252}" uniqueName="48" name="发行方式" queryTableFieldId="48" dataDxfId="593"/>
    <tableColumn id="49" xr3:uid="{7AD1ADFE-896F-47FF-A6B9-438BBA7FEC00}" uniqueName="49" name="基金占比" queryTableFieldId="49" dataDxfId="592"/>
    <tableColumn id="50" xr3:uid="{3A7E0BC9-8420-4B67-8EEF-8F0A5A3DAA50}" uniqueName="50" name="亚洲占比" queryTableFieldId="50" dataDxfId="591"/>
    <tableColumn id="51" xr3:uid="{5C000353-D0CB-4F5B-A11B-638B87E5E1B7}" uniqueName="51" name="认购倍数" queryTableFieldId="51" dataDxfId="590"/>
    <tableColumn id="52" xr3:uid="{5A03D882-1ECF-4876-A9AC-28A8D78CED8C}" uniqueName="52" name="认购额(亿)" queryTableFieldId="52" dataDxfId="589"/>
    <tableColumn id="53" xr3:uid="{70ABA819-A038-4323-839D-97C08EEF63CD}" uniqueName="53" name="区县" queryTableFieldId="53" dataDxfId="588"/>
    <tableColumn id="54" xr3:uid="{4CEE06E0-A31E-4018-BEFE-442BA305B966}" uniqueName="54" name="城市" queryTableFieldId="54" dataDxfId="587"/>
    <tableColumn id="55" xr3:uid="{76931474-83FB-4867-AF9C-D7E65B44B26F}" uniqueName="55" name="省份" queryTableFieldId="55" dataDxfId="586"/>
    <tableColumn id="56" xr3:uid="{6EE32153-3E0D-4C3C-94C7-7FE691EB6D02}" uniqueName="56" name="首日涨跌" queryTableFieldId="56" dataDxfId="585"/>
    <tableColumn id="57" xr3:uid="{A279FC67-8893-466D-A727-00889FD4AD1E}" uniqueName="57" name="发行价" queryTableFieldId="57" dataDxfId="584"/>
    <tableColumn id="58" xr3:uid="{C20545BE-F0E3-4358-96EB-833986AFB640}" uniqueName="58" name="偿还顺位" queryTableFieldId="58" dataDxfId="583"/>
    <tableColumn id="59" xr3:uid="{4D39C025-1DCB-4366-9CF7-30ADF8318EC5}" uniqueName="59" name="SBLC提供者" queryTableFieldId="59" dataDxfId="582"/>
    <tableColumn id="60" xr3:uid="{9AFC4BEF-D3CB-4B94-A996-8556C6B34025}" uniqueName="60" name="发行架构" queryTableFieldId="60" dataDxfId="581"/>
    <tableColumn id="61" xr3:uid="{00F8644A-D6DA-4985-8E6B-73B8DCB4459B}" uniqueName="61" name="发行规则" queryTableFieldId="61" dataDxfId="580"/>
    <tableColumn id="62" xr3:uid="{8B44A811-8D8C-4FBA-AEB0-B2A31EA1AD09}" uniqueName="62" name="收窄幅度(bp)" queryTableFieldId="62" dataDxfId="579"/>
    <tableColumn id="63" xr3:uid="{48856535-C351-461C-B64D-8FC779702C24}" uniqueName="63" name="发行场所" queryTableFieldId="63" dataDxfId="578"/>
    <tableColumn id="64" xr3:uid="{3A8EE787-58D6-40FA-A8E0-C1EE401DE4B9}" uniqueName="64" name="兑付日" queryTableFieldId="64" dataDxfId="577"/>
    <tableColumn id="65" xr3:uid="{09A5C30C-729A-48CC-B4EB-3B865E699265}" uniqueName="65" name="票息_DMI" queryTableFieldId="65" dataDxfId="576"/>
    <tableColumn id="66" xr3:uid="{656A4809-8342-40A9-84C6-D5F07C399DCE}" uniqueName="66" name="发行期限(年)" queryTableFieldId="66" dataDxfId="575"/>
    <tableColumn id="67" xr3:uid="{BE8D6084-916D-4133-B3A2-D2905CFDDD76}" uniqueName="67" name="发行规模(亿)" queryTableFieldId="67" dataDxfId="574"/>
    <tableColumn id="68" xr3:uid="{98BF047E-6060-4684-871F-830B4E0B249C}" uniqueName="68" name="债项评级" queryTableFieldId="68" dataDxfId="573"/>
    <tableColumn id="69" xr3:uid="{E39B5F07-4C36-4BFD-BCED-77021B12F7EC}" uniqueName="69" name="主体评级展望" queryTableFieldId="69" dataDxfId="572"/>
    <tableColumn id="70" xr3:uid="{F9720734-02A9-4BCF-90D7-93CF9F1A9A77}" uniqueName="70" name="穆迪/标普" queryTableFieldId="70" dataDxfId="571"/>
    <tableColumn id="71" xr3:uid="{904F8824-A527-4DD3-A91E-090295245807}" uniqueName="71" name="债券简称" queryTableFieldId="71" dataDxfId="570"/>
    <tableColumn id="72" xr3:uid="{36609404-44F5-4DF0-BDD0-C17E6084BB98}" uniqueName="72" name="DataSource" queryTableFieldId="72" dataDxfId="569"/>
    <tableColumn id="73" xr3:uid="{4D85F51E-D29E-4116-94CC-E00DFE58D5BF}" uniqueName="73" name="首次违约日" queryTableFieldId="73" dataDxfId="568"/>
    <tableColumn id="74" xr3:uid="{4A571569-1D0E-4C48-859E-A52D4AAE080A}" uniqueName="74" name="IS_EXCH" queryTableFieldId="74" dataDxfId="567"/>
    <tableColumn id="75" xr3:uid="{6CD67985-9A55-4359-8E30-3955714BAAE8}" uniqueName="75" name="地区" queryTableFieldId="75" dataDxfId="566"/>
    <tableColumn id="76" xr3:uid="{5B53AACC-5E76-4DB6-99B8-B2C4410F91B2}" uniqueName="76" name="BISL_ROLE" queryTableFieldId="76" dataDxfId="565"/>
    <tableColumn id="77" xr3:uid="{56E72876-2036-484B-AA92-043D4C2CD055}" uniqueName="77" name="注册成立地" queryTableFieldId="77" dataDxfId="564"/>
    <tableColumn id="78" xr3:uid="{6806FE0C-2F89-4FCB-9CD5-22A9BE33B59D}" uniqueName="78" name="发行人主上市地" queryTableFieldId="78" dataDxfId="563"/>
    <tableColumn id="79" xr3:uid="{38EED0C3-EE66-4A96-A601-0BBBDEB18E44}" uniqueName="79" name="补充OMAS updates" queryTableFieldId="79" dataDxfId="562"/>
    <tableColumn id="80" xr3:uid="{2AA2F95F-67EF-49FE-90BA-65856DA12BEA}" uniqueName="80" name="定价息差" queryTableFieldId="80" dataDxfId="561"/>
    <tableColumn id="81" xr3:uid="{E71EC63D-EBDC-4FF6-A877-995A9CD60C2B}" uniqueName="81" name="发行评级" queryTableFieldId="81" dataDxfId="560"/>
    <tableColumn id="82" xr3:uid="{98DF1031-C7F2-4850-9922-C4A7E135D979}" uniqueName="82" name="主体评级" queryTableFieldId="82" dataDxfId="559"/>
    <tableColumn id="83" xr3:uid="{2A5CE70B-57D3-4AAD-9D97-84E3D2E342CB}" uniqueName="83" name="结构" queryTableFieldId="83" dataDxfId="558"/>
    <tableColumn id="84" xr3:uid="{F6238EE2-E999-4AE5-B8FE-FF168088BDE1}" uniqueName="84" name="备证行" queryTableFieldId="84" dataDxfId="557"/>
    <tableColumn id="85" xr3:uid="{07222D66-BA37-4381-9F23-B87C506C86D7}" uniqueName="85" name="上市" queryTableFieldId="85" dataDxfId="556"/>
    <tableColumn id="86" xr3:uid="{9F0CE7F1-E4E4-4A27-B3FB-E740BE1932AB}" uniqueName="86" name="通过分行" queryTableFieldId="86" dataDxfId="555"/>
    <tableColumn id="87" xr3:uid="{E1E52557-E125-48BE-85E0-86E4AA479955}" uniqueName="87" name="亿美元" queryTableFieldId="87" dataDxfId="554"/>
    <tableColumn id="88" xr3:uid="{1154296F-F3FC-4CA0-98AF-8D22E01B8000}" uniqueName="88" name="亿元" queryTableFieldId="88" dataDxfId="553"/>
    <tableColumn id="89" xr3:uid="{EF573876-F515-4239-978A-01B791677A7F}" uniqueName="89" name="亿港币" queryTableFieldId="89" dataDxfId="552"/>
    <tableColumn id="90" xr3:uid="{51E8488C-A4C5-46E0-968E-7BAEC9AF5102}" uniqueName="90" name="增发判定" queryTableFieldId="90" dataDxfId="551"/>
    <tableColumn id="91" xr3:uid="{E281CCBC-4E73-4172-9B3E-940FB0855D6C}" uniqueName="91" name="Stats" queryTableFieldId="91" dataDxfId="550"/>
    <tableColumn id="92" xr3:uid="{A4554850-5480-4186-9DE3-8DE2D4EB8508}" uniqueName="92" name="澳分_ROLE" queryTableFieldId="92" dataDxfId="549"/>
    <tableColumn id="93" xr3:uid="{2DDB51B6-1CC9-4F1C-8FC4-133D6813C8DB}" uniqueName="93" name="港分_ROLE" queryTableFieldId="93" dataDxfId="548"/>
    <tableColumn id="94" xr3:uid="{53730C2E-59B8-4BDD-9DD2-58D88D639803}" uniqueName="94" name="定价基准" queryTableFieldId="94" dataDxfId="547"/>
    <tableColumn id="95" xr3:uid="{C50074D1-2A77-4129-95DA-E6F5C1646D8F}" uniqueName="95" name="收窄基点" queryTableFieldId="95" dataDxfId="546"/>
    <tableColumn id="96" xr3:uid="{ED22D00F-0374-4021-9E1C-9F55BB0F5DC8}" uniqueName="96" name="IPG" queryTableFieldId="96" dataDxfId="545"/>
    <tableColumn id="97" xr3:uid="{5F496631-96B8-4DC5-B5FB-DA8AE719C716}" uniqueName="97" name="FPG" queryTableFieldId="97" dataDxfId="544"/>
    <tableColumn id="98" xr3:uid="{5F4C16F3-DCCB-42C8-A380-52393FD186EF}" uniqueName="98" name="定价" queryTableFieldId="98" dataDxfId="543"/>
    <tableColumn id="99" xr3:uid="{EA26FB25-CA11-410B-B694-EFE2B2B204BF}" uniqueName="99" name="票息" queryTableFieldId="99" dataDxfId="542"/>
    <tableColumn id="100" xr3:uid="{DDE5A8BA-8BC7-4900-BD81-D30DC22E753F}" uniqueName="100" name="年期" queryTableFieldId="100" dataDxfId="541"/>
    <tableColumn id="101" xr3:uid="{964E4155-2518-4B85-89DF-A54AA3A83296}" uniqueName="101" name="期限备注" queryTableFieldId="101" dataDxfId="540"/>
    <tableColumn id="102" xr3:uid="{3041CF2D-7177-4646-A1C3-361D51B80BA4}" uniqueName="102" name="FEATURED" queryTableFieldId="102" dataDxfId="539"/>
    <tableColumn id="103" xr3:uid="{EFE8EC35-03BB-496E-A920-0B16C2309B9F}" uniqueName="103" name="ESG" queryTableFieldId="103" dataDxfId="538"/>
    <tableColumn id="104" xr3:uid="{19CE9159-6664-4EC8-A1AC-08A9A2A1392E}" uniqueName="104" name="Check" queryTableFieldId="104" dataDxfId="537"/>
  </tableColumns>
  <tableStyleInfo name="Qry Loa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530" dataDxfId="529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528"/>
    <tableColumn id="2" xr3:uid="{00000000-0010-0000-1A00-000002000000}" name="信用主体" dataDxfId="527"/>
    <tableColumn id="3" xr3:uid="{00000000-0010-0000-1A00-000003000000}" name="ESG" dataDxfId="526"/>
    <tableColumn id="4" xr3:uid="{00000000-0010-0000-1A00-000004000000}" name="IPG" dataDxfId="525"/>
    <tableColumn id="6" xr3:uid="{00000000-0010-0000-1A00-000006000000}" name="FPG" dataDxfId="524"/>
    <tableColumn id="16" xr3:uid="{00000000-0010-0000-1A00-000010000000}" name="收窄基点" dataDxfId="523"/>
    <tableColumn id="11" xr3:uid="{00000000-0010-0000-1A00-00000B000000}" name="定价" dataDxfId="522"/>
    <tableColumn id="12" xr3:uid="{00000000-0010-0000-1A00-00000C000000}" name="增发判定" dataDxfId="521"/>
    <tableColumn id="13" xr3:uid="{00000000-0010-0000-1A00-00000D000000}" name="货币" dataDxfId="520"/>
    <tableColumn id="14" xr3:uid="{00000000-0010-0000-1A00-00000E000000}" name="发行规模(亿)" dataDxfId="519"/>
    <tableColumn id="19" xr3:uid="{00000000-0010-0000-1A00-000013000000}" name="年期" dataDxfId="518"/>
    <tableColumn id="5" xr3:uid="{00000000-0010-0000-1A00-000005000000}" name="票息" dataDxfId="517"/>
    <tableColumn id="7" xr3:uid="{00000000-0010-0000-1A00-000007000000}" name="FEATURED" dataDxfId="516"/>
    <tableColumn id="8" xr3:uid="{00000000-0010-0000-1A00-000008000000}" name="上市" dataDxfId="515"/>
    <tableColumn id="9" xr3:uid="{00000000-0010-0000-1A00-000009000000}" name="期限备注" dataDxfId="514"/>
    <tableColumn id="10" xr3:uid="{00000000-0010-0000-1A00-00000A000000}" name="亿美元" dataDxfId="513"/>
    <tableColumn id="17" xr3:uid="{00000000-0010-0000-1A00-000011000000}" name="亿元" dataDxfId="512"/>
    <tableColumn id="18" xr3:uid="{00000000-0010-0000-1A00-000012000000}" name="亿港币" dataDxfId="511"/>
    <tableColumn id="15" xr3:uid="{00000000-0010-0000-1A00-00000F000000}" name="ISIN" dataDxfId="510"/>
    <tableColumn id="20" xr3:uid="{00000000-0010-0000-1A00-000014000000}" name="Check" dataDxfId="509"/>
  </tableColumns>
  <tableStyleInfo name="review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508" dataDxfId="507">
  <tableColumns count="14">
    <tableColumn id="1" xr3:uid="{00000000-0010-0000-1B00-000001000000}" name="信用主体" dataDxfId="506"/>
    <tableColumn id="2" xr3:uid="{00000000-0010-0000-1B00-000002000000}" name="Check" dataDxfId="505"/>
    <tableColumn id="3" xr3:uid="{00000000-0010-0000-1B00-000003000000}" name="ISIN" dataDxfId="504"/>
    <tableColumn id="4" xr3:uid="{00000000-0010-0000-1B00-000004000000}" name="定价日" dataDxfId="503"/>
    <tableColumn id="5" xr3:uid="{00000000-0010-0000-1B00-000005000000}" name="台账序号" dataDxfId="502"/>
    <tableColumn id="6" xr3:uid="{00000000-0010-0000-1B00-000006000000}" name="Project Name" dataDxfId="501"/>
    <tableColumn id="7" xr3:uid="{00000000-0010-0000-1B00-000007000000}" name="COVERAGE" dataDxfId="500"/>
    <tableColumn id="8" xr3:uid="{00000000-0010-0000-1B00-000008000000}" name="新规角色" dataDxfId="499"/>
    <tableColumn id="9" xr3:uid="{00000000-0010-0000-1B00-000009000000}" name="PROJECT_CODE" dataDxfId="498"/>
    <tableColumn id="10" xr3:uid="{00000000-0010-0000-1B00-00000A000000}" name="期数" dataDxfId="497"/>
    <tableColumn id="11" xr3:uid="{00000000-0010-0000-1B00-00000B000000}" name="BISL_ROLE" dataDxfId="496"/>
    <tableColumn id="12" xr3:uid="{00000000-0010-0000-1B00-00000C000000}" name="IS_LEAD" dataDxfId="495"/>
    <tableColumn id="13" xr3:uid="{00000000-0010-0000-1B00-00000D000000}" name="IS_B&amp;D" dataDxfId="494"/>
    <tableColumn id="14" xr3:uid="{00000000-0010-0000-1B00-00000E000000}" name="是否合名" dataDxfId="493"/>
  </tableColumns>
  <tableStyleInfo name="review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492" dataDxfId="491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490"/>
    <tableColumn id="2" xr3:uid="{00000000-0010-0000-1C00-000002000000}" name="SHORTNAMER" dataDxfId="489"/>
    <tableColumn id="3" xr3:uid="{00000000-0010-0000-1C00-000003000000}" name="中资属性" dataDxfId="488"/>
    <tableColumn id="4" xr3:uid="{00000000-0010-0000-1C00-000004000000}" name="板块" dataDxfId="487"/>
  </tableColumns>
  <tableStyleInfo name="review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486"/>
    <tableColumn id="4" xr3:uid="{0C203217-F646-4D3C-BCC1-CB5D146D778A}" name="信用主体" dataDxfId="485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6BF0CB98-3908-4CBD-B8A6-A828580D1F7F}" name="ReviewedConso" displayName="ReviewedConso" ref="B6:FM15" tableType="queryTable" totalsRowShown="0">
  <autoFilter ref="B6:FM15" xr:uid="{6BF0CB98-3908-4CBD-B8A6-A828580D1F7F}"/>
  <tableColumns count="168">
    <tableColumn id="1" xr3:uid="{70A1FAAA-ABA7-4D2D-9082-5EC5AD943BA8}" uniqueName="1" name="Index" queryTableFieldId="1" dataDxfId="484"/>
    <tableColumn id="2" xr3:uid="{E8C542AF-0140-4877-B9BB-B4128379AD68}" uniqueName="2" name="删除及隐藏" queryTableFieldId="2" dataDxfId="483"/>
    <tableColumn id="3" xr3:uid="{DE4402AF-7897-4918-B28C-552E5998C252}" uniqueName="3" name="ISIN" queryTableFieldId="3" dataDxfId="482"/>
    <tableColumn id="4" xr3:uid="{A0B7ACCC-DD95-41F2-9192-FEE5EF7DA343}" uniqueName="4" name="定价日" queryTableFieldId="4" dataDxfId="481"/>
    <tableColumn id="5" xr3:uid="{6AA1F5D8-8E4B-416C-B55D-D5F7A9A7E21D}" uniqueName="5" name="信用主体" queryTableFieldId="5" dataDxfId="480"/>
    <tableColumn id="6" xr3:uid="{C5CB1934-B3C8-4DDD-BBF2-E652B53107A5}" uniqueName="6" name="发行评级" queryTableFieldId="6" dataDxfId="479"/>
    <tableColumn id="7" xr3:uid="{9B79DDAB-7A7C-447F-BC42-A75865114EDD}" uniqueName="7" name="主体评级" queryTableFieldId="7" dataDxfId="478"/>
    <tableColumn id="8" xr3:uid="{EC00D458-A197-473B-9760-18E00A7F160B}" uniqueName="8" name="结构" queryTableFieldId="8" dataDxfId="477"/>
    <tableColumn id="9" xr3:uid="{088A2786-255A-4B0A-A770-661B6B7A7880}" uniqueName="9" name="备证行" queryTableFieldId="9" dataDxfId="476"/>
    <tableColumn id="10" xr3:uid="{25E99C32-BAA8-4D39-AD30-DCFE71893B65}" uniqueName="10" name="港分_ROLE" queryTableFieldId="10" dataDxfId="475"/>
    <tableColumn id="11" xr3:uid="{6BD6D191-00D6-4D36-B31B-94D3A4A2B9EF}" uniqueName="11" name="澳分_ROLE" queryTableFieldId="11" dataDxfId="474"/>
    <tableColumn id="12" xr3:uid="{52AF76CE-8C3F-4FF6-BC17-89B49204C4EF}" uniqueName="12" name="ESG" queryTableFieldId="12" dataDxfId="473"/>
    <tableColumn id="13" xr3:uid="{F2CBEABE-9077-41C7-A816-2FAD036733A1}" uniqueName="13" name="IPT_DMI" queryTableFieldId="13" dataDxfId="472"/>
    <tableColumn id="14" xr3:uid="{603991AD-9652-4799-85EA-B0E637C141DE}" uniqueName="14" name="FPG_DMI" queryTableFieldId="14" dataDxfId="471"/>
    <tableColumn id="15" xr3:uid="{749A9844-9384-4A3A-A541-87E66E484C57}" uniqueName="15" name="收窄" queryTableFieldId="15" dataDxfId="470"/>
    <tableColumn id="16" xr3:uid="{4AD869D7-36CF-4283-957B-B7D3EDAB199E}" uniqueName="16" name="定价_DMI" queryTableFieldId="16" dataDxfId="469"/>
    <tableColumn id="17" xr3:uid="{5A090201-50AC-4E9E-AF04-62E693D9E046}" uniqueName="17" name="增发判定" queryTableFieldId="17" dataDxfId="468"/>
    <tableColumn id="18" xr3:uid="{91CCB0D7-3412-4FCD-B421-92E2D1E4AB66}" uniqueName="18" name="货币" queryTableFieldId="18" dataDxfId="467"/>
    <tableColumn id="19" xr3:uid="{5F713C56-6563-4F58-95C2-ECAC69A71D90}" uniqueName="19" name="发行规模(亿)" queryTableFieldId="19" dataDxfId="466"/>
    <tableColumn id="20" xr3:uid="{92BA2866-4987-4ED2-93DC-5B44D495EEB5}" uniqueName="20" name="年期" queryTableFieldId="20" dataDxfId="465"/>
    <tableColumn id="21" xr3:uid="{19F96211-49B8-46AC-862A-30FD16CFD9EA}" uniqueName="21" name="FEATURED" queryTableFieldId="21" dataDxfId="464"/>
    <tableColumn id="22" xr3:uid="{20B42E56-FDD1-47C6-B8D4-144833846818}" uniqueName="22" name="上市" queryTableFieldId="22" dataDxfId="463"/>
    <tableColumn id="23" xr3:uid="{78037D0B-E008-46D3-9BA7-5ACA93D2C05D}" uniqueName="23" name="期限备注" queryTableFieldId="23" dataDxfId="462"/>
    <tableColumn id="24" xr3:uid="{1D884433-5A04-4FF8-BC20-A9767C9FBC74}" uniqueName="24" name="亿美元" queryTableFieldId="24" dataDxfId="461"/>
    <tableColumn id="25" xr3:uid="{C93409D3-8F71-434F-9635-97F7CCE32592}" uniqueName="25" name="亿元" queryTableFieldId="25" dataDxfId="460"/>
    <tableColumn id="26" xr3:uid="{8E80EBE7-148C-4B1C-A2C2-1610FE342EEB}" uniqueName="26" name="亿港币" queryTableFieldId="26" dataDxfId="459"/>
    <tableColumn id="27" xr3:uid="{013A2ACA-F221-4D63-B583-0D07C68BEF53}" uniqueName="27" name="台账序号" queryTableFieldId="27" dataDxfId="458"/>
    <tableColumn id="28" xr3:uid="{2F1F8591-8CDA-4FA7-A77F-4E48B5539A92}" uniqueName="28" name="Project Name" queryTableFieldId="28" dataDxfId="457"/>
    <tableColumn id="29" xr3:uid="{68195D58-6AC0-412D-AB10-03BB5996B512}" uniqueName="29" name="COVERAGE" queryTableFieldId="29" dataDxfId="456"/>
    <tableColumn id="30" xr3:uid="{7EB28499-3F6C-47AB-A664-14899BDA6914}" uniqueName="30" name="新规角色" queryTableFieldId="30" dataDxfId="455"/>
    <tableColumn id="31" xr3:uid="{97DDA5F1-FBA5-4C8A-9C94-F7EA69202C82}" uniqueName="31" name="PROJECT_CODE" queryTableFieldId="31" dataDxfId="454"/>
    <tableColumn id="32" xr3:uid="{29B32A73-9A3E-48D3-BAF3-B4CF6D54A0F2}" uniqueName="32" name="期数" queryTableFieldId="32" dataDxfId="453"/>
    <tableColumn id="33" xr3:uid="{04EA3D3A-D148-4D18-86EB-E256321CAB1C}" uniqueName="33" name="BISL_ROLE" queryTableFieldId="33" dataDxfId="452"/>
    <tableColumn id="34" xr3:uid="{56FF98B6-C356-4BED-818C-F6B5E3322C71}" uniqueName="34" name="IS_LEAD" queryTableFieldId="34" dataDxfId="451"/>
    <tableColumn id="35" xr3:uid="{3E993BB7-1611-4A98-B825-833F195E7435}" uniqueName="35" name="IS_B&amp;D" queryTableFieldId="35" dataDxfId="450"/>
    <tableColumn id="36" xr3:uid="{DFC09703-FF9E-40F9-B8E7-D9624B8E26CC}" uniqueName="36" name="是否合名" queryTableFieldId="36" dataDxfId="449"/>
    <tableColumn id="37" xr3:uid="{6B968AFF-162E-4E14-B3B4-BD51CDEE0730}" uniqueName="37" name="信用主体简称" queryTableFieldId="37" dataDxfId="448"/>
    <tableColumn id="38" xr3:uid="{42D915A8-E672-42BB-8256-64090FD8C917}" uniqueName="38" name="板块" queryTableFieldId="38" dataDxfId="447"/>
    <tableColumn id="39" xr3:uid="{AE366DB6-84B0-46CA-AD6C-076C0BE19530}" uniqueName="39" name="DEBUT_DATE" queryTableFieldId="39" dataDxfId="446"/>
    <tableColumn id="40" xr3:uid="{FFB1B03D-FF32-4637-8269-D7BE089DACE1}" uniqueName="40" name="首次违约日" queryTableFieldId="40" dataDxfId="445"/>
    <tableColumn id="41" xr3:uid="{FB8682FF-B4A1-4202-96CB-E7125A820125}" uniqueName="41" name="IS_DEFAULT" queryTableFieldId="41" dataDxfId="444"/>
    <tableColumn id="42" xr3:uid="{5DF4FA79-8ECE-4E3E-9A25-8CE93EEE9A8B}" uniqueName="42" name="IS_FIMTN" queryTableFieldId="42" dataDxfId="443"/>
    <tableColumn id="43" xr3:uid="{FD55E357-4506-4BAF-B535-BFCBD7C1DC7E}" uniqueName="43" name="行业" queryTableFieldId="43" dataDxfId="442"/>
    <tableColumn id="44" xr3:uid="{F15F1156-20BC-49E3-A57A-245B315161B6}" uniqueName="44" name="主题债券" queryTableFieldId="44" dataDxfId="441"/>
    <tableColumn id="45" xr3:uid="{7B5A087F-BB85-40EE-929B-606293A3F138}" uniqueName="45" name="联席全球协调人" queryTableFieldId="45" dataDxfId="440"/>
    <tableColumn id="46" xr3:uid="{F8C18408-BC6B-4B96-AB85-3D0822F94379}" uniqueName="46" name="牵头经办人" queryTableFieldId="46" dataDxfId="439"/>
    <tableColumn id="47" xr3:uid="{96F401F8-83AD-419F-B27B-C3365D4B0391}" uniqueName="47" name="英文简称" queryTableFieldId="47" dataDxfId="438"/>
    <tableColumn id="48" xr3:uid="{3A9A2780-F283-4B42-AEF9-64319C57ABCA}" uniqueName="48" name="临时isin" queryTableFieldId="48" dataDxfId="437"/>
    <tableColumn id="49" xr3:uid="{0B063383-060E-490E-AF98-B86362EFFDBB}" uniqueName="49" name="付息频率" queryTableFieldId="49" dataDxfId="436"/>
    <tableColumn id="50" xr3:uid="{01690DD8-48F2-4E85-A424-13305D4B53CA}" uniqueName="50" name="维好协议提供者" queryTableFieldId="50" dataDxfId="435"/>
    <tableColumn id="51" xr3:uid="{D3B0914B-DC04-4AE6-A2BB-EF7E4E83CAD1}" uniqueName="51" name="特殊条款" queryTableFieldId="51" dataDxfId="434"/>
    <tableColumn id="52" xr3:uid="{0B567291-BC5D-44F9-B7E2-44436EA6EC43}" uniqueName="52" name="债券类型" queryTableFieldId="52" dataDxfId="433"/>
    <tableColumn id="53" xr3:uid="{215B0B33-8086-4656-A8B2-62A72CC13067}" uniqueName="53" name="交易状态" queryTableFieldId="53" dataDxfId="432"/>
    <tableColumn id="54" xr3:uid="{145B3B01-10CD-4BB1-B32D-A57AE8F64FBB}" uniqueName="54" name="利率类型" queryTableFieldId="54" dataDxfId="431"/>
    <tableColumn id="55" xr3:uid="{B985F53F-1CBE-4362-9C0D-2F2D04864949}" uniqueName="55" name="是否存单" queryTableFieldId="55" dataDxfId="430"/>
    <tableColumn id="56" xr3:uid="{07B0A168-9D53-4729-922A-AF2C484B3674}" uniqueName="56" name="是否永续债" queryTableFieldId="56" dataDxfId="429"/>
    <tableColumn id="57" xr3:uid="{B53DD6F9-9115-49CC-B981-0664374D2015}" uniqueName="57" name="联席账簿管理人" queryTableFieldId="57" dataDxfId="428"/>
    <tableColumn id="58" xr3:uid="{6166E068-F7BC-4E48-B4E8-0C357BDC25E8}" uniqueName="58" name="特殊条款说明" queryTableFieldId="58" dataDxfId="427"/>
    <tableColumn id="59" xr3:uid="{488BB47C-D395-46CD-BB1F-20793ADA179D}" uniqueName="59" name="上市日期" queryTableFieldId="59" dataDxfId="426"/>
    <tableColumn id="60" xr3:uid="{73583504-ACE3-4E63-9590-6AEFE46CD5E0}" uniqueName="60" name="发行起始日" queryTableFieldId="60" dataDxfId="425"/>
    <tableColumn id="61" xr3:uid="{F6548C51-C916-42D9-B4CF-5C1ED8DC0A8B}" uniqueName="61" name="担保人" queryTableFieldId="61" dataDxfId="424"/>
    <tableColumn id="62" xr3:uid="{90A42632-C854-4488-922D-AF657109ED89}" uniqueName="62" name="发行人" queryTableFieldId="62" dataDxfId="423"/>
    <tableColumn id="63" xr3:uid="{688E4DF7-C864-4DED-827C-31828B3E0B74}" uniqueName="63" name="首次付息日" queryTableFieldId="63" dataDxfId="422"/>
    <tableColumn id="64" xr3:uid="{D415E795-F271-465A-96A4-A602BE1E8E6E}" uniqueName="64" name="计息基准" queryTableFieldId="64" dataDxfId="421"/>
    <tableColumn id="65" xr3:uid="{44D229C7-DB94-4FEC-AA2D-2F974EC5E0CF}" uniqueName="65" name="最新票面利率" queryTableFieldId="65" dataDxfId="420"/>
    <tableColumn id="66" xr3:uid="{1EB5D32F-03E6-4231-A911-874DF2CB90B5}" uniqueName="66" name="行权兑付日" queryTableFieldId="66" dataDxfId="419"/>
    <tableColumn id="67" xr3:uid="{2C57C3B8-49F4-41C3-8ECA-0F82AC91474B}" uniqueName="67" name="起息日期" queryTableFieldId="67" dataDxfId="418"/>
    <tableColumn id="68" xr3:uid="{EAE452CE-372E-4666-8E68-0CB6FAC90F85}" uniqueName="68" name="债券余额" queryTableFieldId="68" dataDxfId="417"/>
    <tableColumn id="69" xr3:uid="{40F2768B-6D10-424D-A0B1-EFB759B52B49}" uniqueName="69" name="债券最新面值" queryTableFieldId="69" dataDxfId="416"/>
    <tableColumn id="70" xr3:uid="{BB84F9DD-C8E2-421E-AEC2-6EA93EE36315}" uniqueName="70" name="ticker" queryTableFieldId="70" dataDxfId="415"/>
    <tableColumn id="71" xr3:uid="{A4A63607-90F0-4DB5-BAD0-0FA4757048FC}" uniqueName="71" name="筹款用途" queryTableFieldId="71" dataDxfId="414"/>
    <tableColumn id="72" xr3:uid="{37EEC0D7-8B10-44FD-892A-E3ABF768C780}" uniqueName="72" name="投资者分布" queryTableFieldId="72" dataDxfId="413"/>
    <tableColumn id="73" xr3:uid="{7E4B78BC-DCFC-4820-9233-B9EC8F8C788B}" uniqueName="73" name="投资者类型" queryTableFieldId="73" dataDxfId="412"/>
    <tableColumn id="74" xr3:uid="{EE2B8099-F7B6-479F-BF0B-67233DE34923}" uniqueName="74" name="投资者账户数" queryTableFieldId="74" dataDxfId="411"/>
    <tableColumn id="75" xr3:uid="{DD6B4523-DF6A-4BF6-A004-F2EF90C6B098}" uniqueName="75" name="评级类型" queryTableFieldId="75" dataDxfId="410"/>
    <tableColumn id="76" xr3:uid="{93A6C9E4-6181-42EE-80CF-9FB4A0845DA4}" uniqueName="76" name="公司类型" queryTableFieldId="76" dataDxfId="409"/>
    <tableColumn id="77" xr3:uid="{5024BBB4-BA25-4225-B1BC-9B75B9ED8A87}" uniqueName="77" name="剩余期限" queryTableFieldId="77" dataDxfId="408"/>
    <tableColumn id="78" xr3:uid="{8AC45327-9DB2-437B-B5C5-61261E664BD6}" uniqueName="78" name="境内主体评级" queryTableFieldId="78" dataDxfId="407"/>
    <tableColumn id="79" xr3:uid="{735B76E4-42C5-44BE-9E7B-F195EEE6D6F7}" uniqueName="79" name="债项初始评级" queryTableFieldId="79" dataDxfId="406"/>
    <tableColumn id="80" xr3:uid="{85CBCE15-3E6A-4716-BD45-DAF054B8B382}" uniqueName="80" name="细分行业" queryTableFieldId="80" dataDxfId="405"/>
    <tableColumn id="81" xr3:uid="{EA172A29-0718-4A5B-85A7-2FAE9954F5DC}" uniqueName="81" name="发行方式" queryTableFieldId="81" dataDxfId="404"/>
    <tableColumn id="82" xr3:uid="{82BF9F4B-0544-4229-9938-7ECA0E4CE9AD}" uniqueName="82" name="基金占比" queryTableFieldId="82" dataDxfId="403"/>
    <tableColumn id="83" xr3:uid="{57213540-16C9-4872-91CB-D78176344EA1}" uniqueName="83" name="亚洲占比" queryTableFieldId="83" dataDxfId="402"/>
    <tableColumn id="84" xr3:uid="{6F2392B9-363A-4015-BD67-3E126290672D}" uniqueName="84" name="认购倍数" queryTableFieldId="84" dataDxfId="401"/>
    <tableColumn id="85" xr3:uid="{77C9A4B7-54B5-4111-8085-88F1F9737F30}" uniqueName="85" name="认购额(亿)" queryTableFieldId="85" dataDxfId="400"/>
    <tableColumn id="86" xr3:uid="{010CE29B-7E93-44A1-A7DC-799EA9F0A5C3}" uniqueName="86" name="区县" queryTableFieldId="86" dataDxfId="399"/>
    <tableColumn id="87" xr3:uid="{F59DAE33-44EE-49AC-911C-2209C519D647}" uniqueName="87" name="城市" queryTableFieldId="87" dataDxfId="398"/>
    <tableColumn id="88" xr3:uid="{F1B6F0C8-C7F0-4251-9F3A-8AEBD8690985}" uniqueName="88" name="省份" queryTableFieldId="88" dataDxfId="397"/>
    <tableColumn id="89" xr3:uid="{1AAD7F19-57B9-4B88-AC5E-70BC4646A87E}" uniqueName="89" name="首日涨跌" queryTableFieldId="89" dataDxfId="396"/>
    <tableColumn id="90" xr3:uid="{1717D732-46C4-433D-AB05-29E7C8B4BD0B}" uniqueName="90" name="发行价" queryTableFieldId="90" dataDxfId="395"/>
    <tableColumn id="91" xr3:uid="{53B9C78A-FBF7-4478-8B47-C3A4F257A0C1}" uniqueName="91" name="偿还顺位" queryTableFieldId="91" dataDxfId="394"/>
    <tableColumn id="92" xr3:uid="{6E7ECD8A-5BC0-4309-BF90-F3797E0C7A1C}" uniqueName="92" name="SBLC提供者" queryTableFieldId="92" dataDxfId="393"/>
    <tableColumn id="93" xr3:uid="{9C3B753B-2731-4B67-8A95-6EE80AB77575}" uniqueName="93" name="发行架构" queryTableFieldId="93" dataDxfId="392"/>
    <tableColumn id="94" xr3:uid="{A3A342F4-3E3A-454F-B628-DF7FE8AAF3A0}" uniqueName="94" name="发行规则" queryTableFieldId="94" dataDxfId="391"/>
    <tableColumn id="95" xr3:uid="{3815CDF3-07CE-497A-B763-3BDF0CCBA17D}" uniqueName="95" name="收窄幅度(bp)" queryTableFieldId="95" dataDxfId="390"/>
    <tableColumn id="96" xr3:uid="{21AAED91-D5F0-4FB6-9FEE-36C4722D2929}" uniqueName="96" name="发行场所" queryTableFieldId="96" dataDxfId="389"/>
    <tableColumn id="97" xr3:uid="{7D0DAB0C-B0D0-41AA-85BD-A6AA064971DF}" uniqueName="97" name="兑付日" queryTableFieldId="97" dataDxfId="388"/>
    <tableColumn id="98" xr3:uid="{F871C86C-749C-42D8-8965-8A761F21F4F2}" uniqueName="98" name="票息_DMI" queryTableFieldId="98" dataDxfId="387"/>
    <tableColumn id="99" xr3:uid="{DBE9DCEB-868F-44D1-A6C5-544D7996D5B0}" uniqueName="99" name="发行期限(年)" queryTableFieldId="99" dataDxfId="386"/>
    <tableColumn id="100" xr3:uid="{FEC3BBEE-4D91-4E04-A30C-2707165ADBA6}" uniqueName="100" name="债项评级" queryTableFieldId="100" dataDxfId="385"/>
    <tableColumn id="101" xr3:uid="{EB06B45E-26E2-44F6-88D7-BB69A0E938C3}" uniqueName="101" name="主体评级展望" queryTableFieldId="101" dataDxfId="384"/>
    <tableColumn id="102" xr3:uid="{BED9BA66-488D-4DF5-BDA1-D7856269C5BC}" uniqueName="102" name="穆迪/标普" queryTableFieldId="102" dataDxfId="383"/>
    <tableColumn id="103" xr3:uid="{30BEE69C-109A-49FB-A618-6D914B84DE98}" uniqueName="103" name="债券简称" queryTableFieldId="103" dataDxfId="382"/>
    <tableColumn id="104" xr3:uid="{7E597764-4294-4968-AD60-42D3927DB24F}" uniqueName="104" name="DataSource" queryTableFieldId="104" dataDxfId="381"/>
    <tableColumn id="105" xr3:uid="{1E408776-D117-44C0-BE0B-3B20827D779B}" uniqueName="105" name="IS_EXCH" queryTableFieldId="105" dataDxfId="380"/>
    <tableColumn id="106" xr3:uid="{EE56A925-B3DB-416F-808A-EFF588388F52}" uniqueName="106" name="地区" queryTableFieldId="106" dataDxfId="379"/>
    <tableColumn id="107" xr3:uid="{2B747C0D-0450-40D9-8763-57F6B79D99A6}" uniqueName="107" name="注册成立地" queryTableFieldId="107" dataDxfId="378"/>
    <tableColumn id="108" xr3:uid="{A956BF49-C307-4B57-9E75-9CB5B8DC5B84}" uniqueName="108" name="发行人主上市地" queryTableFieldId="108" dataDxfId="377"/>
    <tableColumn id="109" xr3:uid="{4E304E59-35B1-4A44-AC73-402ABAA24C8E}" uniqueName="109" name="补充OMAS updates" queryTableFieldId="109" dataDxfId="376"/>
    <tableColumn id="110" xr3:uid="{4B4A51EB-ADFD-4242-BAC6-D31F764C97CD}" uniqueName="110" name="定价息差" queryTableFieldId="110" dataDxfId="375"/>
    <tableColumn id="111" xr3:uid="{A7F8D06E-40B4-4D9D-83B9-129F0CD1C512}" uniqueName="111" name="ESG_Indicator" queryTableFieldId="111" dataDxfId="374"/>
    <tableColumn id="112" xr3:uid="{806587DF-1AB5-4F32-986E-3BC5DDB5445C}" uniqueName="112" name="浮息_SPD" queryTableFieldId="112" dataDxfId="373"/>
    <tableColumn id="113" xr3:uid="{8D7FE27E-0C13-4784-948A-848525B11B72}" uniqueName="113" name="浮息_BMK" queryTableFieldId="113" dataDxfId="372"/>
    <tableColumn id="114" xr3:uid="{29750FA1-AE8B-44B7-B9D6-3E40EABDDFB9}" uniqueName="114" name="IPT" queryTableFieldId="114" dataDxfId="371"/>
    <tableColumn id="115" xr3:uid="{CA91F997-4A36-400B-B436-E7E2B260C635}" uniqueName="115" name="IPT_SPD" queryTableFieldId="115" dataDxfId="370"/>
    <tableColumn id="116" xr3:uid="{422990B6-C8DD-4180-B5A3-67EEF5E6AA88}" uniqueName="116" name="IPT_YIELD" queryTableFieldId="116" dataDxfId="369"/>
    <tableColumn id="117" xr3:uid="{30318DA0-ED96-454F-AFCD-ED2A261BF90D}" uniqueName="117" name="FPT1" queryTableFieldId="117" dataDxfId="368"/>
    <tableColumn id="118" xr3:uid="{2E7C312F-3F41-4F04-A49B-5A558314FEE2}" uniqueName="118" name="WPIR" queryTableFieldId="118" dataDxfId="367"/>
    <tableColumn id="119" xr3:uid="{EB1FA605-CF7F-4CD6-8A1D-A23609C4E3AE}" uniqueName="119" name="FPT2" queryTableFieldId="119" dataDxfId="366"/>
    <tableColumn id="120" xr3:uid="{17D5279C-9897-4B73-9EDA-ABB955F4906C}" uniqueName="120" name="FPT_SPD" queryTableFieldId="120" dataDxfId="365"/>
    <tableColumn id="121" xr3:uid="{E9BD2091-0610-4A7C-8F17-5BC7B4123571}" uniqueName="121" name="FPT_SPD上限" queryTableFieldId="121" dataDxfId="364"/>
    <tableColumn id="122" xr3:uid="{6737B7A4-4929-4A9E-A880-C1159DDEB053}" uniqueName="122" name="FPT_SPD假设窄端" queryTableFieldId="122" dataDxfId="363"/>
    <tableColumn id="123" xr3:uid="{0B247824-1F34-4C01-BF5E-E1001984F71D}" uniqueName="123" name="FPT_YIELD" queryTableFieldId="123" dataDxfId="362"/>
    <tableColumn id="124" xr3:uid="{0B4AACB2-D7E3-43BF-91B9-EAA55305DA6E}" uniqueName="124" name="FPT_YIELD上限" queryTableFieldId="124" dataDxfId="361"/>
    <tableColumn id="125" xr3:uid="{C9703356-7E98-4A8E-AA8E-5DE4CA6F7D5B}" uniqueName="125" name="IPT_BMK" queryTableFieldId="125" dataDxfId="360"/>
    <tableColumn id="126" xr3:uid="{DE5DD2CB-9892-4D9E-B092-80BFC9E8C36A}" uniqueName="126" name="FPT_BMK" queryTableFieldId="126" dataDxfId="359"/>
    <tableColumn id="127" xr3:uid="{E75546BF-89F6-4519-8E50-DCAFAA61FD9C}" uniqueName="127" name="定价基准" queryTableFieldId="127" dataDxfId="358"/>
    <tableColumn id="128" xr3:uid="{B87F1C7B-005E-448E-8EDF-3F560FD8B2F9}" uniqueName="128" name="定价YIELD_Num" queryTableFieldId="128" dataDxfId="357"/>
    <tableColumn id="129" xr3:uid="{9244D73C-0AF5-408C-BBC0-F8D98CD4B535}" uniqueName="129" name="收窄基点" queryTableFieldId="129" dataDxfId="356"/>
    <tableColumn id="130" xr3:uid="{6316F8D4-4BCA-496A-A9DB-1DAF4C41CC41}" uniqueName="130" name="IPG" queryTableFieldId="130" dataDxfId="355"/>
    <tableColumn id="131" xr3:uid="{F364DCB2-7EA9-451E-9025-16C8F36F900F}" uniqueName="131" name="FPG1" queryTableFieldId="131" dataDxfId="354"/>
    <tableColumn id="132" xr3:uid="{2DAB677A-B71A-493E-90A5-97C8C1A7FADE}" uniqueName="132" name="FPG" queryTableFieldId="132" dataDxfId="353"/>
    <tableColumn id="133" xr3:uid="{A13134A2-71BC-483F-A1F7-9347E77A8987}" uniqueName="133" name="定价" queryTableFieldId="133" dataDxfId="352"/>
    <tableColumn id="134" xr3:uid="{43FC3139-E08D-4D44-9CF8-34CAF2C09A23}" uniqueName="134" name="票息" queryTableFieldId="134" dataDxfId="351"/>
    <tableColumn id="135" xr3:uid="{17831C95-F978-47C5-85A7-DED0BF6C5080}" uniqueName="135" name="SHORTNAMER" queryTableFieldId="135" dataDxfId="350"/>
    <tableColumn id="136" xr3:uid="{EBA50763-B1B3-4137-A423-45EF24471C2B}" uniqueName="136" name="中资属性" queryTableFieldId="136" dataDxfId="349"/>
    <tableColumn id="137" xr3:uid="{91534C9D-9D46-41A4-9778-E01CA40AF851}" uniqueName="137" name="Sector" queryTableFieldId="137" dataDxfId="348"/>
    <tableColumn id="138" xr3:uid="{A2F36D18-8969-458A-8175-46DB26D6A8F1}" uniqueName="138" name="ESG_Source" queryTableFieldId="138" dataDxfId="347"/>
    <tableColumn id="139" xr3:uid="{426A1234-0BB4-4E62-8648-52174A1E977B}" uniqueName="139" name="通过分行" queryTableFieldId="139" dataDxfId="346"/>
    <tableColumn id="140" xr3:uid="{5872FF28-FC5A-48DF-90D2-96B5711D2B09}" uniqueName="140" name="Stats" queryTableFieldId="140" dataDxfId="345"/>
    <tableColumn id="141" xr3:uid="{301FA357-BDDF-45B9-9644-E2DEEA7B7197}" uniqueName="141" name="年" queryTableFieldId="141" dataDxfId="344"/>
    <tableColumn id="142" xr3:uid="{97747BC8-5111-49B0-9DFA-3D7985158944}" uniqueName="142" name="季" queryTableFieldId="142" dataDxfId="343"/>
    <tableColumn id="143" xr3:uid="{3141D1B3-A37F-46E0-A99E-8FE462D66392}" uniqueName="143" name="月" queryTableFieldId="143" dataDxfId="342"/>
    <tableColumn id="144" xr3:uid="{12980F71-FDED-474C-B9D0-BBAC7C72A869}" uniqueName="144" name="周" queryTableFieldId="144" dataDxfId="341"/>
    <tableColumn id="145" xr3:uid="{D7F176AF-745C-4C29-AB2F-23968018B9B1}" uniqueName="145" name="年月" queryTableFieldId="145" dataDxfId="340"/>
    <tableColumn id="146" xr3:uid="{7096D57F-9633-40DB-8A76-0FE35417133E}" uniqueName="146" name="是否首次发行" queryTableFieldId="146" dataDxfId="339"/>
    <tableColumn id="147" xr3:uid="{711A0171-EFAA-48DE-931D-ED48337A9D62}" uniqueName="147" name="美元规模区间" queryTableFieldId="147" dataDxfId="338"/>
    <tableColumn id="148" xr3:uid="{CE0D7FAB-32EE-4F2B-AA4E-06AE9DF11FD8}" uniqueName="148" name="年期分类" queryTableFieldId="148" dataDxfId="337"/>
    <tableColumn id="149" xr3:uid="{D3CA04D0-179B-4261-94A0-DC33DB5B5D04}" uniqueName="149" name="评级分类" queryTableFieldId="149" dataDxfId="336"/>
    <tableColumn id="152" xr3:uid="{851E237D-8237-43FF-96DD-F1C2BB39A4EB}" uniqueName="152" name="CNHType" queryTableFieldId="152" dataDxfId="335"/>
    <tableColumn id="153" xr3:uid="{647B1A41-B47D-445A-8E7A-055620A3FACE}" uniqueName="153" name="点心债清算" queryTableFieldId="153" dataDxfId="334"/>
    <tableColumn id="150" xr3:uid="{343F8BA2-8BB2-4E9F-A612-0714A8CD49D5}" uniqueName="150" name="主体评级类别" queryTableFieldId="150" dataDxfId="333"/>
    <tableColumn id="151" xr3:uid="{2F3F5F6C-86F0-411C-8B6C-E7DAD168A7D3}" uniqueName="151" name="Structure" queryTableFieldId="151" dataDxfId="332"/>
    <tableColumn id="154" xr3:uid="{61E49603-E4B0-4CDD-A9BC-3E1DDFF6FBAE}" uniqueName="154" name="上市分类" queryTableFieldId="154" dataDxfId="331"/>
    <tableColumn id="155" xr3:uid="{582AB25F-B480-45F4-8256-CF5C05086997}" uniqueName="155" name="BOCOM_DEAL?" queryTableFieldId="155" dataDxfId="330"/>
    <tableColumn id="156" xr3:uid="{6ED60927-8C58-4814-9E85-9DDCC1FCEACE}" uniqueName="156" name="期限" queryTableFieldId="156" dataDxfId="329"/>
    <tableColumn id="157" xr3:uid="{9C47A97E-9524-45B8-95D1-C828BD936C58}" uniqueName="157" name="币种单位" queryTableFieldId="157" dataDxfId="328"/>
    <tableColumn id="158" xr3:uid="{66642B6B-5018-402F-8054-3933A91F565E}" uniqueName="158" name="币种规模" queryTableFieldId="158" dataDxfId="327"/>
    <tableColumn id="159" xr3:uid="{37750B8A-33A2-4E95-BCD5-21D7E8785B47}" uniqueName="159" name="ESG主题" queryTableFieldId="159" dataDxfId="326"/>
    <tableColumn id="160" xr3:uid="{78043B70-E55E-443D-A0A4-7DDDEB2582CD}" uniqueName="160" name="主题" queryTableFieldId="160" dataDxfId="325"/>
    <tableColumn id="161" xr3:uid="{213587BE-2FAE-4D05-90A9-94C5D3443305}" uniqueName="161" name="发行品种" queryTableFieldId="161" dataDxfId="324"/>
    <tableColumn id="162" xr3:uid="{1F4BDCF4-B80D-43BF-9240-B74427D0C6C4}" uniqueName="162" name="角色" queryTableFieldId="162" dataDxfId="323"/>
    <tableColumn id="163" xr3:uid="{E7BDA5AA-89B9-41E1-8EAA-A44061B61CB3}" uniqueName="163" name="PROJECT_NAME" queryTableFieldId="163" dataDxfId="322"/>
    <tableColumn id="164" xr3:uid="{6B140D5E-E536-4F27-8A3E-361534D18B5A}" uniqueName="164" name="信用主体(备证行)" queryTableFieldId="164" dataDxfId="321"/>
    <tableColumn id="165" xr3:uid="{4750FC75-68FE-4772-99DA-A9A6678AE329}" uniqueName="165" name="交易简称" queryTableFieldId="165" dataDxfId="320"/>
    <tableColumn id="166" xr3:uid="{3DF178FD-B62F-4C18-955E-63F1E2578C70}" uniqueName="166" name="COMPARER" queryTableFieldId="166" dataDxfId="319"/>
    <tableColumn id="167" xr3:uid="{B64452BA-2DB7-4DC0-ADC2-D2EED5BECBF2}" uniqueName="167" name="YYMMDD" queryTableFieldId="167" dataDxfId="318"/>
    <tableColumn id="168" xr3:uid="{D0E21026-ACD7-4D20-8F53-332C6798940B}" uniqueName="168" name="Check" queryTableFieldId="168" dataDxfId="317"/>
  </tableColumns>
  <tableStyleInfo name="Qry Load 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9" totalsRowShown="0">
  <autoFilter ref="A8:J9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name="定价日" dataDxfId="316"/>
    <tableColumn id="2" xr3:uid="{00000000-0010-0000-2000-000002000000}" name="ISIN" dataDxfId="315"/>
    <tableColumn id="3" xr3:uid="{00000000-0010-0000-2000-000003000000}" name="债券简称"/>
    <tableColumn id="4" xr3:uid="{00000000-0010-0000-2000-000004000000}" name="年期" dataDxfId="314"/>
    <tableColumn id="5" xr3:uid="{00000000-0010-0000-2000-000005000000}" name="亿美元" dataDxfId="313"/>
    <tableColumn id="10" xr3:uid="{4DD127ED-3CFA-482D-824F-8996B3B2FF61}" name="货币"/>
    <tableColumn id="11" xr3:uid="{736609AE-728A-49BC-8EC6-3BE5EAB61E97}" name="板块"/>
    <tableColumn id="7" xr3:uid="{00000000-0010-0000-2000-000007000000}" name="评级分类"/>
    <tableColumn id="8" xr3:uid="{00000000-0010-0000-2000-000008000000}" name="品种"/>
    <tableColumn id="9" xr3:uid="{00000000-0010-0000-2000-000009000000}" name="按年"/>
  </tableColumns>
  <tableStyleInfo name="Qry Load 3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7" tableType="queryTable" totalsRowShown="0">
  <autoFilter ref="P8:AF17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312"/>
    <tableColumn id="33" xr3:uid="{00000000-0010-0000-1D00-000021000000}" uniqueName="33" name="ISIN" queryTableFieldId="33" dataDxfId="311"/>
    <tableColumn id="1" xr3:uid="{00000000-0010-0000-1D00-000001000000}" uniqueName="1" name="定价日" queryTableFieldId="1" dataDxfId="310"/>
    <tableColumn id="3" xr3:uid="{00000000-0010-0000-1D00-000003000000}" uniqueName="3" name="信用主体(备证行)" queryTableFieldId="40"/>
    <tableColumn id="7" xr3:uid="{00000000-0010-0000-1D00-000007000000}" uniqueName="7" name="发行评级" queryTableFieldId="7" dataDxfId="309"/>
    <tableColumn id="9" xr3:uid="{00000000-0010-0000-1D00-000009000000}" uniqueName="9" name="货币" queryTableFieldId="9" dataDxfId="308"/>
    <tableColumn id="10" xr3:uid="{00000000-0010-0000-1D00-00000A000000}" uniqueName="10" name="发行规模(亿)" queryTableFieldId="10" dataDxfId="307"/>
    <tableColumn id="11" xr3:uid="{00000000-0010-0000-1D00-00000B000000}" uniqueName="11" name="年期" queryTableFieldId="11" dataDxfId="306"/>
    <tableColumn id="12" xr3:uid="{00000000-0010-0000-1D00-00000C000000}" uniqueName="12" name="票息" queryTableFieldId="12" dataDxfId="305"/>
    <tableColumn id="13" xr3:uid="{00000000-0010-0000-1D00-00000D000000}" uniqueName="13" name="IPG" queryTableFieldId="13" dataDxfId="304"/>
    <tableColumn id="15" xr3:uid="{00000000-0010-0000-1D00-00000F000000}" uniqueName="15" name="收窄基点" queryTableFieldId="15"/>
    <tableColumn id="16" xr3:uid="{00000000-0010-0000-1D00-000010000000}" uniqueName="16" name="结构" queryTableFieldId="16" dataDxfId="303"/>
    <tableColumn id="17" xr3:uid="{00000000-0010-0000-1D00-000011000000}" uniqueName="17" name="主题" queryTableFieldId="17"/>
    <tableColumn id="4" xr3:uid="{FA4F2C95-A39F-499C-B714-9F3BFC490D1F}" uniqueName="4" name="板块" queryTableFieldId="113" dataDxfId="302"/>
    <tableColumn id="19" xr3:uid="{00000000-0010-0000-1D00-000013000000}" uniqueName="19" name="地区" queryTableFieldId="19" dataDxfId="301"/>
    <tableColumn id="38" xr3:uid="{00000000-0010-0000-1D00-000026000000}" uniqueName="38" name="BOCOM_DEAL?" queryTableFieldId="38" dataDxfId="300"/>
    <tableColumn id="23" xr3:uid="{00000000-0010-0000-1D00-000017000000}" uniqueName="23" name="亿美元" queryTableFieldId="52" dataDxfId="299"/>
  </tableColumns>
  <tableStyleInfo name="Qry Load 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insertRow="1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insertRow="1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298"/>
    <tableColumn id="2" xr3:uid="{47FE5343-0DFD-4CFF-B705-96BEB1393CEC}" uniqueName="2" name="上周亿美元" queryTableFieldId="2"/>
    <tableColumn id="3" xr3:uid="{53E645CE-2F6A-4C47-9C37-6B361745E8FA}" uniqueName="3" name="上周笔数" queryTableFieldId="3"/>
  </tableColumns>
  <tableStyleInfo name="Qry Load 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5" tableType="queryTable" totalsRowShown="0">
  <autoFilter ref="A6:D15" xr:uid="{808E568B-1200-457F-813E-717EE636BF7C}"/>
  <tableColumns count="4">
    <tableColumn id="1" xr3:uid="{3133AD58-D64F-445E-A0E3-8B36A2E4C89B}" uniqueName="1" name="信用主体简称" queryTableFieldId="1" dataDxfId="296"/>
    <tableColumn id="2" xr3:uid="{38E483B3-A458-4148-BCAA-8CE932CA4FBA}" uniqueName="2" name="板块" queryTableFieldId="2" dataDxfId="295"/>
    <tableColumn id="3" xr3:uid="{5E891849-9559-434F-82D1-4DE41887D454}" uniqueName="3" name="货币" queryTableFieldId="3" dataDxfId="294"/>
    <tableColumn id="4" xr3:uid="{9D21F886-4318-4A17-8974-1FEAF278DF3A}" uniqueName="4" name="Writer" queryTableFieldId="4" dataDxfId="293"/>
  </tableColumns>
  <tableStyleInfo name="Qry Load 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insertRow="1" totalsRowShown="0" headerRowDxfId="291" dataDxfId="290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name="Index"/>
    <tableColumn id="2" xr3:uid="{DC9FDCD3-4D4A-4186-A5C9-F5B48634CAC0}" name="板块"/>
    <tableColumn id="19" xr3:uid="{00000000-0010-0000-2500-000013000000}" name="货币"/>
    <tableColumn id="52" xr3:uid="{AB26975F-D9EA-48BA-ABD9-CE520C3C1B20}" name="信用主体(备证行)"/>
    <tableColumn id="8" xr3:uid="{00000000-0010-0000-2500-000008000000}" name="描述"/>
    <tableColumn id="1" xr3:uid="{AAB49F9D-B49B-4DF6-8D13-D7CB4D93209D}" name="Stats描述" dataDxfId="289"/>
  </tableColumns>
  <tableStyleInfo name="Qry Load 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otalsRowShown="0" headerRowDxfId="288" dataDxfId="287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name="Index" dataDxfId="286"/>
    <tableColumn id="2" xr3:uid="{6DD35146-7DF1-4CCE-9356-C22B108F4F39}" name="板块"/>
    <tableColumn id="3" xr3:uid="{00000000-0010-0000-2300-000003000000}" name="货币" dataDxfId="285"/>
    <tableColumn id="52" xr3:uid="{747DCABA-F2CB-44A1-BB61-12F09EA77A65}" name="信用主体(备证行)" dataDxfId="284"/>
    <tableColumn id="5" xr3:uid="{00000000-0010-0000-2300-000005000000}" name="描述" dataDxfId="283"/>
    <tableColumn id="1" xr3:uid="{DCE0C678-7429-4B20-B919-874EAF955EBE}" name="Stats描述" dataDxfId="282"/>
  </tableColumns>
  <tableStyleInfo name="Qry Load 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insertRow="1" totalsRowShown="0" headerRowDxfId="281" dataDxfId="280">
  <autoFilter ref="A20:F21" xr:uid="{00000000-0009-0000-0100-000026000000}">
    <filterColumn colId="2" hiddenButton="1"/>
  </autoFilter>
  <tableColumns count="6">
    <tableColumn id="29" xr3:uid="{4034C07A-FF50-47F9-B7CA-29546EFE076C}" name="Index"/>
    <tableColumn id="30" xr3:uid="{DBFA98CA-6E72-4D81-8440-EBA25FE54F1E}" name="板块"/>
    <tableColumn id="3" xr3:uid="{00000000-0010-0000-2400-000003000000}" name="货币"/>
    <tableColumn id="31" xr3:uid="{80C50101-917E-4DDF-9752-6B53798DF4D8}" name="信用主体(备证行)"/>
    <tableColumn id="32" xr3:uid="{32A14984-53BA-479F-95AA-96A8A4B3F8FF}" name="描述"/>
    <tableColumn id="33" xr3:uid="{CDEAB1CD-6BC5-4842-A871-EB242FD7D248}" name="Stats"/>
  </tableColumns>
  <tableStyleInfo name="Qry Load 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7" tableType="queryTable" totalsRowShown="0">
  <autoFilter ref="A12:O27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A13:O27">
    <sortCondition descending="1" ref="I12:I27"/>
  </sortState>
  <tableColumns count="15">
    <tableColumn id="1" xr3:uid="{00000000-0010-0000-2600-000001000000}" uniqueName="1" name="Date" queryTableFieldId="1" dataDxfId="279"/>
    <tableColumn id="13" xr3:uid="{00000000-0010-0000-2600-00000D000000}" uniqueName="13" name="Region" queryTableFieldId="13" dataDxfId="278"/>
    <tableColumn id="3" xr3:uid="{00000000-0010-0000-2600-000003000000}" uniqueName="3" name="Event" queryTableFieldId="3" dataDxfId="277"/>
    <tableColumn id="14" xr3:uid="{00000000-0010-0000-2600-00000E000000}" uniqueName="14" name="Period" queryTableFieldId="14" dataDxfId="276"/>
    <tableColumn id="5" xr3:uid="{00000000-0010-0000-2600-000005000000}" uniqueName="5" name="Survey" queryTableFieldId="5" dataDxfId="275"/>
    <tableColumn id="6" xr3:uid="{00000000-0010-0000-2600-000006000000}" uniqueName="6" name="Actual" queryTableFieldId="6" dataDxfId="274"/>
    <tableColumn id="7" xr3:uid="{00000000-0010-0000-2600-000007000000}" uniqueName="7" name="Prior" queryTableFieldId="7" dataDxfId="273"/>
    <tableColumn id="8" xr3:uid="{00000000-0010-0000-2600-000008000000}" uniqueName="8" name="Revised" queryTableFieldId="8" dataDxfId="272"/>
    <tableColumn id="9" xr3:uid="{00000000-0010-0000-2600-000009000000}" uniqueName="9" name="Relevance" queryTableFieldId="9" dataDxfId="271"/>
    <tableColumn id="10" xr3:uid="{00000000-0010-0000-2600-00000A000000}" uniqueName="10" name="Ticker" queryTableFieldId="10" dataDxfId="270"/>
    <tableColumn id="11" xr3:uid="{00000000-0010-0000-2600-00000B000000}" uniqueName="11" name="Time" queryTableFieldId="11" dataDxfId="269"/>
    <tableColumn id="15" xr3:uid="{00000000-0010-0000-2600-00000F000000}" uniqueName="15" name="Table" queryTableFieldId="15" dataDxfId="268"/>
    <tableColumn id="17" xr3:uid="{00000000-0010-0000-2600-000011000000}" uniqueName="17" name="区间" queryTableFieldId="22" dataDxfId="267"/>
    <tableColumn id="18" xr3:uid="{00000000-0010-0000-2600-000012000000}" uniqueName="18" name="范围" queryTableFieldId="23" dataDxfId="266"/>
    <tableColumn id="16" xr3:uid="{00000000-0010-0000-2600-000010000000}" uniqueName="16" name="上周主要经济数据" queryTableFieldId="16" dataDxfId="265"/>
  </tableColumns>
  <tableStyleInfo name="Qry Load 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264" dataDxfId="263">
  <autoFilter ref="B2:G8" xr:uid="{644E2A09-C7EB-4F82-B548-1142239A8942}"/>
  <sortState xmlns:xlrd2="http://schemas.microsoft.com/office/spreadsheetml/2017/richdata2" ref="B3:G8">
    <sortCondition ref="D2:D8"/>
  </sortState>
  <tableColumns count="6">
    <tableColumn id="6" xr3:uid="{00000000-0010-0000-2700-000006000000}" name="Index" dataDxfId="262"/>
    <tableColumn id="1" xr3:uid="{00000000-0010-0000-2700-000001000000}" name="上周主要经济数据" dataDxfId="261"/>
    <tableColumn id="2" xr3:uid="{00000000-0010-0000-2700-000002000000}" name="发布(HKT) " dataDxfId="260"/>
    <tableColumn id="3" xr3:uid="{00000000-0010-0000-2700-000003000000}" name="前值" dataDxfId="259"/>
    <tableColumn id="4" xr3:uid="{00000000-0010-0000-2700-000004000000}" name="预期" dataDxfId="258"/>
    <tableColumn id="5" xr3:uid="{00000000-0010-0000-2700-000005000000}" name="现值" dataDxfId="257"/>
  </tableColumns>
  <tableStyleInfo name="Qry Load 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3" tableType="queryTable" totalsRowShown="0" dataDxfId="256">
  <autoFilter ref="A10:O23" xr:uid="{EC380FD7-61D3-49F7-9E43-37885EA54264}"/>
  <sortState xmlns:xlrd2="http://schemas.microsoft.com/office/spreadsheetml/2017/richdata2" ref="A11:O23">
    <sortCondition descending="1" ref="I10:I23"/>
  </sortState>
  <tableColumns count="15">
    <tableColumn id="1" xr3:uid="{00000000-0010-0000-2800-000001000000}" uniqueName="1" name="Date" queryTableFieldId="1" dataDxfId="255"/>
    <tableColumn id="2" xr3:uid="{00000000-0010-0000-2800-000002000000}" uniqueName="2" name="Region" queryTableFieldId="2" dataDxfId="254"/>
    <tableColumn id="3" xr3:uid="{00000000-0010-0000-2800-000003000000}" uniqueName="3" name="Event" queryTableFieldId="3" dataDxfId="253"/>
    <tableColumn id="4" xr3:uid="{00000000-0010-0000-2800-000004000000}" uniqueName="4" name="Period" queryTableFieldId="4" dataDxfId="252"/>
    <tableColumn id="5" xr3:uid="{00000000-0010-0000-2800-000005000000}" uniqueName="5" name="Survey" queryTableFieldId="5" dataDxfId="251"/>
    <tableColumn id="6" xr3:uid="{00000000-0010-0000-2800-000006000000}" uniqueName="6" name="Actual" queryTableFieldId="6" dataDxfId="250"/>
    <tableColumn id="7" xr3:uid="{00000000-0010-0000-2800-000007000000}" uniqueName="7" name="Prior" queryTableFieldId="7" dataDxfId="249"/>
    <tableColumn id="8" xr3:uid="{00000000-0010-0000-2800-000008000000}" uniqueName="8" name="Revised" queryTableFieldId="8" dataDxfId="248"/>
    <tableColumn id="9" xr3:uid="{00000000-0010-0000-2800-000009000000}" uniqueName="9" name="Relevance" queryTableFieldId="9" dataDxfId="247"/>
    <tableColumn id="10" xr3:uid="{00000000-0010-0000-2800-00000A000000}" uniqueName="10" name="Ticker" queryTableFieldId="10" dataDxfId="246"/>
    <tableColumn id="11" xr3:uid="{00000000-0010-0000-2800-00000B000000}" uniqueName="11" name="Time" queryTableFieldId="11" dataDxfId="245"/>
    <tableColumn id="12" xr3:uid="{00000000-0010-0000-2800-00000C000000}" uniqueName="12" name="Table" queryTableFieldId="12" dataDxfId="244"/>
    <tableColumn id="14" xr3:uid="{00000000-0010-0000-2800-00000E000000}" uniqueName="14" name="区间" queryTableFieldId="14" dataDxfId="243"/>
    <tableColumn id="15" xr3:uid="{00000000-0010-0000-2800-00000F000000}" uniqueName="15" name="范围" queryTableFieldId="15" dataDxfId="242"/>
    <tableColumn id="16" xr3:uid="{00000000-0010-0000-2800-000010000000}" uniqueName="16" name="未来一周主要经济数据" queryTableFieldId="16" dataDxfId="241"/>
  </tableColumns>
  <tableStyleInfo name="Qry Load 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240" dataDxfId="239">
  <autoFilter ref="B2:F8" xr:uid="{39A1B0C9-8B1C-4C7A-AB01-A5DC6D5CE22B}"/>
  <sortState xmlns:xlrd2="http://schemas.microsoft.com/office/spreadsheetml/2017/richdata2" ref="B3:F8">
    <sortCondition ref="D2:D8"/>
  </sortState>
  <tableColumns count="5">
    <tableColumn id="6" xr3:uid="{00000000-0010-0000-2900-000006000000}" name="Index" dataDxfId="238"/>
    <tableColumn id="1" xr3:uid="{00000000-0010-0000-2900-000001000000}" name="未来一周主要经济数据" dataDxfId="237"/>
    <tableColumn id="2" xr3:uid="{00000000-0010-0000-2900-000002000000}" name="预计发布(HKT) " dataDxfId="236"/>
    <tableColumn id="3" xr3:uid="{00000000-0010-0000-2900-000003000000}" name="前值" dataDxfId="235"/>
    <tableColumn id="4" xr3:uid="{00000000-0010-0000-2900-000004000000}" name="预期" dataDxfId="234"/>
  </tableColumns>
  <tableStyleInfo name="Qry Load 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7ADECF00-A26F-4B7F-93A4-E2A2D5D0D959}" uniqueName="1" name="ISIN" queryTableFieldId="1" dataDxfId="231"/>
    <tableColumn id="2" xr3:uid="{5A227A28-586E-464F-9AB7-9CCC23E36EC8}" uniqueName="2" name="信用主体(备证行)" queryTableFieldId="2" dataDxfId="230"/>
    <tableColumn id="3" xr3:uid="{0B239332-56B8-40CA-A88B-C2D00F1EC27C}" uniqueName="3" name="定价日" queryTableFieldId="3"/>
    <tableColumn id="4" xr3:uid="{B900FAC1-E5F8-464A-98F0-33D0932C67D4}" uniqueName="4" name="发行评级" queryTableFieldId="4" dataDxfId="229"/>
    <tableColumn id="5" xr3:uid="{2124CC5C-5D3E-4A51-96CF-F221161607EE}" uniqueName="5" name="货币" queryTableFieldId="5" dataDxfId="228"/>
    <tableColumn id="6" xr3:uid="{615BFDCA-62F8-4C88-A165-3320C41472CF}" uniqueName="6" name="发行规模(亿)" queryTableFieldId="6"/>
    <tableColumn id="7" xr3:uid="{94489B69-EF55-4C00-9C68-0394414D1A96}" uniqueName="7" name="年期" queryTableFieldId="7" dataDxfId="227"/>
    <tableColumn id="8" xr3:uid="{BCFE781E-BC41-418C-AF78-D464B01EE5C3}" uniqueName="8" name="票息" queryTableFieldId="8" dataDxfId="226"/>
    <tableColumn id="9" xr3:uid="{0FFA5ACD-3877-43D2-AF99-E2D200D5CE96}" uniqueName="9" name="IPG" queryTableFieldId="9" dataDxfId="225"/>
    <tableColumn id="10" xr3:uid="{7A5C5E1E-FA1C-4357-843B-53554274E30B}" uniqueName="10" name="收窄基点" queryTableFieldId="10"/>
  </tableColumns>
  <tableStyleInfo name="Qry Load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224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223"/>
    <tableColumn id="10" xr3:uid="{C2C4EF50-FD6F-4B1E-A545-2ECC96F9A905}" name="添加增发方式" dataDxfId="222"/>
    <tableColumn id="11" xr3:uid="{79B76218-E0E4-4A89-BE76-301D01940875}" name="增发判定" dataDxfId="221"/>
    <tableColumn id="12" xr3:uid="{EDA4F6FC-E9AF-428D-8455-7CAE58E2C730}" name="增发ISIN" dataDxfId="220"/>
    <tableColumn id="2" xr3:uid="{27B5EFE8-4072-49BD-B6A9-5FF970467B1C}" name="定价日" dataDxfId="219"/>
    <tableColumn id="3" xr3:uid="{AD0350DC-2C22-4D91-9AA2-3F091B8A9FED}" name="发行规模(亿)" dataDxfId="218"/>
    <tableColumn id="4" xr3:uid="{C498A0CC-CED1-41FB-877E-641A32287CEF}" name="IPT" dataDxfId="217"/>
    <tableColumn id="5" xr3:uid="{EDF855A7-BA7A-40AF-8D1C-50F6E2692F36}" name="FPG" dataDxfId="216"/>
    <tableColumn id="6" xr3:uid="{19553095-3CC0-4C17-9C9F-D62F43223F22}" name="BOCOM_JGC" dataDxfId="215"/>
    <tableColumn id="8" xr3:uid="{2ABEAA2D-F8C8-4F6E-BB0B-5ED3A2C55235}" name="BOCOM_JBR" dataDxfId="214"/>
  </tableColumns>
  <tableStyleInfo name="review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213"/>
    <tableColumn id="24" xr3:uid="{EAD53C83-0843-49F8-80DF-27B7042770D9}" uniqueName="24" name="Column2" queryTableFieldId="2" dataDxfId="212"/>
  </tableColumns>
  <tableStyleInfo name="Qry Loa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211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210"/>
    <tableColumn id="2" xr3:uid="{D1462E68-AD85-4F5B-9217-1461281B8D2F}" name="输入主体关键字" dataDxfId="209"/>
    <tableColumn id="3" xr3:uid="{7082A380-A3A2-4FAF-A950-6756985F63E9}" name="AddToDLD" dataDxfId="208"/>
  </tableColumns>
  <tableStyleInfo name="Qry Load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2" tableType="queryTable" totalsRowShown="0">
  <autoFilter ref="H14:I22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204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33:I39" tableType="queryTable" totalsRowShown="0">
  <autoFilter ref="H33:I39" xr:uid="{FF208760-EA58-4FEC-8BFC-A2D10CC56FD3}">
    <filterColumn colId="0" hiddenButton="1"/>
  </autoFilter>
  <tableColumns count="2">
    <tableColumn id="1" xr3:uid="{E8A08C19-4FDD-411B-A6E1-3AEE07FBDDD9}" uniqueName="1" name="BISL_ROLE" queryTableFieldId="1" dataDxfId="203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202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63:I69" tableType="queryTable" totalsRowShown="0">
  <autoFilter ref="H63:I69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201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6:C105" tableType="queryTable" totalsRowShown="0">
  <autoFilter ref="C96:C105" xr:uid="{C59B98D9-DE6D-4FBE-945C-51BABF760B41}">
    <filterColumn colId="0" hiddenButton="1"/>
  </autoFilter>
  <tableColumns count="1">
    <tableColumn id="1" xr3:uid="{0B5F8960-333E-4BB5-B169-91B90A7CD709}" uniqueName="1" name="结构" queryTableFieldId="1" dataDxfId="200"/>
  </tableColumns>
  <tableStyleInfo name="Named_dd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4:I31" tableType="queryTable" totalsRowShown="0">
  <autoFilter ref="H24:I31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199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41:I52" tableType="queryTable" totalsRowShown="0">
  <autoFilter ref="H41:I52" xr:uid="{AF8038FA-F5FD-4B93-A069-021973B2B269}"/>
  <tableColumns count="2">
    <tableColumn id="1" xr3:uid="{DD06F972-EA09-468A-B735-0CEFD18E493E}" uniqueName="1" name="货币" queryTableFieldId="1" dataDxfId="198"/>
    <tableColumn id="2" xr3:uid="{6DB657FB-E1F1-4EA3-83FA-7AC2169895B1}" uniqueName="2" name="SortValue" queryTableFieldId="2" dataDxfId="197"/>
  </tableColumns>
  <tableStyleInfo name="Named_dd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4:I61" tableType="queryTable" totalsRowShown="0">
  <autoFilter ref="H54:I61" xr:uid="{6603B9A1-E294-40E5-AD4D-4E9927CD4CAF}"/>
  <tableColumns count="2">
    <tableColumn id="1" xr3:uid="{369F5811-C952-4951-A1BB-EF52B7DFEE11}" uniqueName="1" name="上市分类" queryTableFieldId="1" dataDxfId="196"/>
    <tableColumn id="2" xr3:uid="{C1D12E41-5DFD-4B2B-90E5-92838B701E0D}" uniqueName="2" name="SortValue" queryTableFieldId="2" dataDxfId="195"/>
  </tableColumns>
  <tableStyleInfo name="Named_dd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194"/>
    <tableColumn id="1" xr3:uid="{FFDAFF75-50D1-41BB-9E49-2BB8B082E04A}" name="Replace"/>
  </tableColumns>
  <tableStyleInfo name="Qry Source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4" tableType="queryTable" totalsRowShown="0">
  <autoFilter ref="C41:C94" xr:uid="{3D15E97E-A96B-46C8-8F14-CDD4B9B5EBE7}"/>
  <tableColumns count="1">
    <tableColumn id="1" xr3:uid="{31D67C13-2CDE-467D-9B70-F948A089647C}" uniqueName="1" name="备证行" queryTableFieldId="1" dataDxfId="193"/>
  </tableColumns>
  <tableStyleInfo name="Named_dd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192"/>
  </tableColumns>
  <tableStyleInfo name="Named_dd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L6:M75" tableType="queryTable" totalsRowShown="0">
  <autoFilter ref="L6:M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Q6:R10" totalsRowShown="0">
  <autoFilter ref="Q6:R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O6:O57" tableType="queryTable" totalsRowShown="0">
  <autoFilter ref="O6:O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C107:C138" tableType="queryTable" totalsRowShown="0">
  <autoFilter ref="C107:C138" xr:uid="{1DC51F1B-1F4F-4981-99A0-790DB39684D9}">
    <filterColumn colId="0" hiddenButton="1"/>
  </autoFilter>
  <tableColumns count="1">
    <tableColumn id="1" xr3:uid="{80691C07-9984-443C-A245-A32A722F8460}" uniqueName="1" name="DimMonday" queryTableFieldId="1" dataDxfId="191"/>
  </tableColumns>
  <tableStyleInfo name="Named_dd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190">
  <autoFilter ref="B3:C4" xr:uid="{24E2BF76-3300-438F-8E58-CCD22086EA5B}"/>
  <tableColumns count="2">
    <tableColumn id="2" xr3:uid="{0B4B4AD7-3A5E-433D-ACCF-42F67840B2E1}" name="输入主体关键字" dataDxfId="189"/>
    <tableColumn id="3" xr3:uid="{16B87CBB-0A54-4266-9A25-E5E43224FB20}" name="AddToDLD" dataDxfId="188"/>
  </tableColumns>
  <tableStyleInfo name="Qry Loa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187"/>
  </tableColumns>
  <tableStyleInfo name="Qry Loa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186" dataDxfId="185">
  <autoFilter ref="B24:C38" xr:uid="{388A3E41-C0C7-41AE-A48B-DD7590A31971}"/>
  <tableColumns count="2">
    <tableColumn id="1" xr3:uid="{E44BDF86-0634-4A21-B8E8-0190644A6748}" name="债券详情" dataDxfId="184"/>
    <tableColumn id="2" xr3:uid="{14940635-2BDC-46A7-B0FA-93640165F19A}" name="Input" dataDxfId="183"/>
  </tableColumns>
  <tableStyleInfo name="Qry Load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DLD_DMI" displayName="DLD_DMI" ref="A5:BV17" tableType="queryTable" totalsRowShown="0">
  <autoFilter ref="A5:BV17" xr:uid="{760A78EB-B646-4F10-831A-D22B21A96B57}">
    <filterColumn colId="0" hiddenButton="1"/>
    <filterColumn colId="1" hiddenButton="1"/>
    <filterColumn colId="2" hiddenButton="1"/>
    <filterColumn colId="3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2" hiddenButton="1"/>
    <filterColumn colId="73" hiddenButton="1"/>
  </autoFilter>
  <tableColumns count="74">
    <tableColumn id="1" xr3:uid="{65CE1E33-8359-4C0B-9221-1E30F7E1CEF4}" uniqueName="1" name="信用主体" queryTableFieldId="1" dataDxfId="182"/>
    <tableColumn id="24" xr3:uid="{A81CDE9A-F459-467A-95A6-76B9882E80D7}" uniqueName="24" name="英文简称" queryTableFieldId="384" dataDxfId="181"/>
    <tableColumn id="9" xr3:uid="{6CF5A73E-65DE-485F-A790-2A65D986DCCA}" uniqueName="9" name="ISIN" queryTableFieldId="9" dataDxfId="180"/>
    <tableColumn id="12" xr3:uid="{2FAEB098-B99A-49BC-8F9E-60BB22B8B1A8}" uniqueName="12" name="定价日" queryTableFieldId="12" dataDxfId="179"/>
    <tableColumn id="72" xr3:uid="{96F46060-893A-4B22-B404-CF1EE29A6D65}" uniqueName="72" name="临时isin" queryTableFieldId="485" dataDxfId="178"/>
    <tableColumn id="58" xr3:uid="{019381F3-72FB-4C5F-9AB8-FA53CD073BE5}" uniqueName="58" name="付息频率" queryTableFieldId="58" dataDxfId="177"/>
    <tableColumn id="59" xr3:uid="{C8D1AF04-7E6F-4D88-B06F-C8310837A162}" uniqueName="59" name="维好协议提供者" queryTableFieldId="59" dataDxfId="176"/>
    <tableColumn id="57" xr3:uid="{145EA911-7D60-43D2-854F-080D2E91B1E5}" uniqueName="57" name="特殊条款" queryTableFieldId="57" dataDxfId="175"/>
    <tableColumn id="56" xr3:uid="{6CE7EEB7-7E14-4960-892D-D2B4A752EA7F}" uniqueName="56" name="债券类型" queryTableFieldId="56" dataDxfId="174"/>
    <tableColumn id="55" xr3:uid="{40CC185A-EE88-4DE1-8A90-03B8F737740F}" uniqueName="55" name="交易状态" queryTableFieldId="55" dataDxfId="173"/>
    <tableColumn id="54" xr3:uid="{D1474CED-58C4-4A46-81D9-D99210D02234}" uniqueName="54" name="利率类型" queryTableFieldId="54" dataDxfId="172"/>
    <tableColumn id="53" xr3:uid="{74446647-F415-46DC-A41C-CE06D819E843}" uniqueName="53" name="是否存单" queryTableFieldId="53" dataDxfId="171"/>
    <tableColumn id="52" xr3:uid="{A98F2AA1-AD8E-4BE7-8B74-C3458DC2EC64}" uniqueName="52" name="是否永续债" queryTableFieldId="52" dataDxfId="170"/>
    <tableColumn id="68" xr3:uid="{DDA77D44-FA04-425D-9DA1-4DAB31A61BB6}" uniqueName="68" name="联席账簿管理人" queryTableFieldId="68" dataDxfId="169"/>
    <tableColumn id="51" xr3:uid="{E59ECFC4-F0C9-41B1-9733-1AEB70C7437B}" uniqueName="51" name="牵头经办人" queryTableFieldId="51" dataDxfId="168"/>
    <tableColumn id="50" xr3:uid="{2215B6A7-05C9-4C6B-8AE1-E60AE330BE07}" uniqueName="50" name="特殊条款说明" queryTableFieldId="50" dataDxfId="167"/>
    <tableColumn id="49" xr3:uid="{1682CF98-DB54-47C3-8A44-144BB70D0821}" uniqueName="49" name="上市日期" queryTableFieldId="49" dataDxfId="166"/>
    <tableColumn id="67" xr3:uid="{AD599695-8522-46E7-B118-DE2179D8EA71}" uniqueName="67" name="定价_DMI" queryTableFieldId="67" dataDxfId="165"/>
    <tableColumn id="48" xr3:uid="{E3D34E72-CB63-4E18-AED9-A3EC74CFDD3C}" uniqueName="48" name="发行起始日" queryTableFieldId="48" dataDxfId="164"/>
    <tableColumn id="47" xr3:uid="{17C9AFD4-5642-48EA-8D06-494AAC11A915}" uniqueName="47" name="担保人" queryTableFieldId="47" dataDxfId="163"/>
    <tableColumn id="46" xr3:uid="{20F5098B-FF11-4DA0-A626-7DF045DB0FB3}" uniqueName="46" name="发行人" queryTableFieldId="46" dataDxfId="162"/>
    <tableColumn id="45" xr3:uid="{1C61FECB-9E8B-4B0A-A577-E0EADEE6ACB0}" uniqueName="45" name="首次付息日" queryTableFieldId="45" dataDxfId="161"/>
    <tableColumn id="44" xr3:uid="{0E120977-4EC2-4818-BC4D-6CCE5264355E}" uniqueName="44" name="计息基准" queryTableFieldId="44" dataDxfId="160"/>
    <tableColumn id="43" xr3:uid="{7A00E475-6904-4819-BC88-02B7AD3D67B7}" uniqueName="43" name="最新票面利率" queryTableFieldId="43" dataDxfId="159"/>
    <tableColumn id="42" xr3:uid="{2E685F7F-FFBA-484A-A377-6390F6A585BE}" uniqueName="42" name="行权兑付日" queryTableFieldId="42" dataDxfId="158"/>
    <tableColumn id="41" xr3:uid="{4BFB0F89-8CA1-4D0F-9EB3-325F7C449AB2}" uniqueName="41" name="起息日期" queryTableFieldId="41" dataDxfId="157"/>
    <tableColumn id="40" xr3:uid="{4EE46BC2-E1CF-462A-A03E-DF0563BE31D9}" uniqueName="40" name="债券余额" queryTableFieldId="40" dataDxfId="156"/>
    <tableColumn id="39" xr3:uid="{72AA5BB3-7E54-4DE0-9CE8-13DDE5A6A94C}" uniqueName="39" name="债券最新面值" queryTableFieldId="39" dataDxfId="155"/>
    <tableColumn id="38" xr3:uid="{975ADB86-B00A-4806-9500-96E93B0E8E67}" uniqueName="38" name="ticker" queryTableFieldId="38" dataDxfId="154"/>
    <tableColumn id="66" xr3:uid="{CC4128EA-9B08-4BCD-B35C-71CF4AAFA24C}" uniqueName="66" name="筹款用途" queryTableFieldId="66" dataDxfId="153"/>
    <tableColumn id="65" xr3:uid="{E7174B24-DE40-43F6-8633-438CBA936C58}" uniqueName="65" name="投资者分布" queryTableFieldId="65" dataDxfId="152"/>
    <tableColumn id="64" xr3:uid="{EAE71064-4CB1-4B07-944E-84D6F3C49081}" uniqueName="64" name="投资者类型" queryTableFieldId="64" dataDxfId="151"/>
    <tableColumn id="63" xr3:uid="{EE264CCC-DCFC-4688-9A0B-4A404F87045B}" uniqueName="63" name="投资者账户数" queryTableFieldId="63" dataDxfId="150"/>
    <tableColumn id="11" xr3:uid="{A0E133D3-082C-430A-8830-87B8C99C392A}" uniqueName="11" name="评级类型" queryTableFieldId="11" dataDxfId="149"/>
    <tableColumn id="2" xr3:uid="{D2679A15-B28C-4B9B-90D8-85DA1F060224}" uniqueName="2" name="公司类型" queryTableFieldId="2" dataDxfId="148"/>
    <tableColumn id="62" xr3:uid="{788704BA-E54A-4436-9FC7-E5EEF473C596}" uniqueName="62" name="剩余期限" queryTableFieldId="62" dataDxfId="147"/>
    <tableColumn id="3" xr3:uid="{0D6292F2-14C6-4D00-9C2B-D4771C6FCBEB}" uniqueName="3" name="行业" queryTableFieldId="3" dataDxfId="146"/>
    <tableColumn id="17" xr3:uid="{EAB58105-9561-4364-BE64-FA9715A8F45D}" uniqueName="17" name="境内主体评级" queryTableFieldId="17" dataDxfId="145"/>
    <tableColumn id="16" xr3:uid="{31CB77BA-C75C-4904-BE05-EA3D31CB0E8E}" uniqueName="16" name="债项初始评级" queryTableFieldId="16" dataDxfId="144"/>
    <tableColumn id="10" xr3:uid="{43CE6995-65BA-4391-BADA-3C1BCBA73A55}" uniqueName="10" name="主题债券" queryTableFieldId="10" dataDxfId="143"/>
    <tableColumn id="4" xr3:uid="{F2F32A9C-87BC-497A-A806-ABCC694FD9DD}" uniqueName="4" name="细分行业" queryTableFieldId="4" dataDxfId="142"/>
    <tableColumn id="23" xr3:uid="{50116619-6391-40C5-AAE1-F0D778876139}" uniqueName="23" name="发行方式" queryTableFieldId="23" dataDxfId="141"/>
    <tableColumn id="37" xr3:uid="{678B1454-0186-4392-9084-8A4631663D07}" uniqueName="37" name="联席全球协调人" queryTableFieldId="37" dataDxfId="140"/>
    <tableColumn id="36" xr3:uid="{7E161805-3582-4E8B-AD1E-8D44C6578511}" uniqueName="36" name="基金占比" queryTableFieldId="36" dataDxfId="139"/>
    <tableColumn id="35" xr3:uid="{3B7B9C0D-05D5-4554-9DD5-4648FC9FD35A}" uniqueName="35" name="亚洲占比" queryTableFieldId="35" dataDxfId="138"/>
    <tableColumn id="34" xr3:uid="{79315342-FB4B-48FA-9D0E-BB5182F1342A}" uniqueName="34" name="认购倍数" queryTableFieldId="34" dataDxfId="137"/>
    <tableColumn id="33" xr3:uid="{072BF78A-2040-4CCF-95BA-462ACF02A26B}" uniqueName="33" name="认购额(亿)" queryTableFieldId="33" dataDxfId="136"/>
    <tableColumn id="7" xr3:uid="{015C4268-F544-4F8B-A375-27371977DA3A}" uniqueName="7" name="区县" queryTableFieldId="7" dataDxfId="135"/>
    <tableColumn id="6" xr3:uid="{851B0F66-A6A0-4EE3-AEC3-02593C4D8B13}" uniqueName="6" name="城市" queryTableFieldId="6" dataDxfId="134"/>
    <tableColumn id="5" xr3:uid="{FFD49085-9527-4367-B0C2-2E8443581C7C}" uniqueName="5" name="省份" queryTableFieldId="5" dataDxfId="133"/>
    <tableColumn id="32" xr3:uid="{A6056AD5-48AD-4001-A74C-ECA77FC26CB2}" uniqueName="32" name="首日涨跌" queryTableFieldId="32" dataDxfId="132"/>
    <tableColumn id="30" xr3:uid="{6BA1C82B-55CF-4344-AFEE-FD6746AB9A6C}" uniqueName="30" name="发行价" queryTableFieldId="30" dataDxfId="131"/>
    <tableColumn id="26" xr3:uid="{C94A4441-8480-4C30-99DA-F2FF91A5E801}" uniqueName="26" name="偿还顺位" queryTableFieldId="26" dataDxfId="130"/>
    <tableColumn id="25" xr3:uid="{89B2DB1E-4CFE-4140-9A07-0F1E43F6C9AC}" uniqueName="25" name="SBLC提供者" queryTableFieldId="25" dataDxfId="129"/>
    <tableColumn id="69" xr3:uid="{66B79F56-B661-4ED8-8D3C-3F444AAC1C7D}" uniqueName="69" name="发行架构" queryTableFieldId="78" dataDxfId="128"/>
    <tableColumn id="71" xr3:uid="{E14716B4-D6D5-436D-BD61-6C2392A1635D}" uniqueName="71" name="发行规则" queryTableFieldId="484" dataDxfId="127"/>
    <tableColumn id="22" xr3:uid="{82FAF641-AB3E-4935-B71A-3C539F35361C}" uniqueName="22" name="收窄幅度(bp)" queryTableFieldId="22" dataDxfId="126"/>
    <tableColumn id="21" xr3:uid="{536CD873-CE57-4DE2-A54F-18E33D004325}" uniqueName="21" name="FPG_DMI" queryTableFieldId="21" dataDxfId="125"/>
    <tableColumn id="20" xr3:uid="{140F0A6F-50E8-4D1A-8A9F-8D00CEE04850}" uniqueName="20" name="IPT_DMI" queryTableFieldId="20" dataDxfId="124"/>
    <tableColumn id="31" xr3:uid="{9394B226-D977-440D-BBB4-696AAAD92014}" uniqueName="31" name="发行场所" queryTableFieldId="31" dataDxfId="123"/>
    <tableColumn id="19" xr3:uid="{4C2677D7-B95D-4CBD-97D0-A324C689DECD}" uniqueName="19" name="兑付日" queryTableFieldId="19" dataDxfId="122"/>
    <tableColumn id="18" xr3:uid="{35998095-7833-40E5-863C-D415A0A936DB}" uniqueName="18" name="票息_DMI" queryTableFieldId="504" dataDxfId="121"/>
    <tableColumn id="28" xr3:uid="{E7406E52-8977-4808-A788-298B36157479}" uniqueName="28" name="货币" queryTableFieldId="28" dataDxfId="120"/>
    <tableColumn id="29" xr3:uid="{697EF4DB-C377-4637-A8D4-B512822D8F0E}" uniqueName="29" name="发行期限(年)" queryTableFieldId="29" dataDxfId="119"/>
    <tableColumn id="27" xr3:uid="{00C79F5A-7701-4B0D-8C7E-8C5F683178C5}" uniqueName="27" name="发行规模(亿)" queryTableFieldId="27" dataDxfId="118"/>
    <tableColumn id="15" xr3:uid="{32ECF4B7-EF13-4935-98C6-7E853C1916B9}" uniqueName="15" name="债项评级" queryTableFieldId="15" dataDxfId="117"/>
    <tableColumn id="14" xr3:uid="{D0CD7E0A-5738-4057-9BC0-77E832B4C25E}" uniqueName="14" name="主体评级展望" queryTableFieldId="14" dataDxfId="116"/>
    <tableColumn id="13" xr3:uid="{5E4165C1-E3B4-48D3-8D3A-10EB35D470E0}" uniqueName="13" name="穆迪/标普" queryTableFieldId="13" dataDxfId="115"/>
    <tableColumn id="8" xr3:uid="{5ABB02D5-4AA9-47AD-B0BA-BE18B2B3C4DE}" uniqueName="8" name="债券简称" queryTableFieldId="8" dataDxfId="114"/>
    <tableColumn id="73" xr3:uid="{D45A8B32-650E-4461-9DBC-CC40BC94C9C7}" uniqueName="73" name="DataSource" queryTableFieldId="510" dataDxfId="113"/>
    <tableColumn id="70" xr3:uid="{C098BFC0-DF64-48A5-9DDA-B376C2CFBD48}" uniqueName="70" name="首次违约日" queryTableFieldId="579" dataDxfId="112"/>
    <tableColumn id="74" xr3:uid="{D3AD0107-C4F3-47F5-ACE8-5088D9D8E9BE}" uniqueName="74" name="IS_EXCH" queryTableFieldId="580"/>
    <tableColumn id="60" xr3:uid="{92CFA544-119D-46AF-AD53-05E6F7709CB5}" uniqueName="60" name="地区" queryTableFieldId="60" dataDxfId="111"/>
    <tableColumn id="61" xr3:uid="{EFAB649D-F0FE-4812-A2D5-2D3BCB496CCA}" uniqueName="61" name="Check" queryTableFieldId="61" dataDxfId="110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DLD_BBG_Corp" displayName="DLD_BBG_Corp" ref="A5:Z17" tableType="queryTable" totalsRowShown="0">
  <autoFilter ref="A5:Z17" xr:uid="{FD7ECA0B-0FF6-411A-8C06-812B258A1B50}">
    <filterColumn colId="0" hiddenButton="1"/>
    <filterColumn colId="1" hiddenButton="1"/>
    <filterColumn colId="3" hiddenButton="1"/>
    <filterColumn colId="4" hiddenButton="1"/>
    <filterColumn colId="7" hiddenButton="1"/>
    <filterColumn colId="8" hiddenButton="1"/>
    <filterColumn colId="9" hiddenButton="1"/>
    <filterColumn colId="25" hiddenButton="1"/>
  </autoFilter>
  <tableColumns count="26">
    <tableColumn id="2" xr3:uid="{C3F732B3-45FA-4844-A166-E4D90A2FF4A7}" uniqueName="2" name="定价日" queryTableFieldId="2" dataDxfId="109"/>
    <tableColumn id="3" xr3:uid="{693984F3-D10B-45D9-B70A-607684C923C4}" uniqueName="3" name="ISIN" queryTableFieldId="3" dataDxfId="108"/>
    <tableColumn id="14" xr3:uid="{1FE375EE-64D4-41E4-9AB6-C8F32DFC2099}" uniqueName="14" name="信用主体" queryTableFieldId="19" dataDxfId="107"/>
    <tableColumn id="4" xr3:uid="{B82F24B2-2DE7-431E-BEF8-F7696535CFF8}" uniqueName="4" name="补充OMAS updates" queryTableFieldId="4" dataDxfId="106"/>
    <tableColumn id="5" xr3:uid="{51954C56-B4CD-447B-A9B9-324865237CD6}" uniqueName="5" name="发行评级" queryTableFieldId="5" dataDxfId="105"/>
    <tableColumn id="12" xr3:uid="{F2329A4A-604D-4BC8-B12C-E58836340D28}" uniqueName="12" name="注册成立地" queryTableFieldId="85" dataDxfId="104"/>
    <tableColumn id="13" xr3:uid="{369EC4CC-5DB7-4BCD-99FE-A3F32004470B}" uniqueName="13" name="发行人主上市地" queryTableFieldId="15" dataDxfId="103"/>
    <tableColumn id="7" xr3:uid="{A5B0308D-B1F8-4208-A561-DF94E20F0BAA}" uniqueName="7" name="主体评级" queryTableFieldId="7" dataDxfId="102"/>
    <tableColumn id="8" xr3:uid="{8DD9D5B0-06FC-4925-B90A-757DFCE21989}" uniqueName="8" name="定价息差" queryTableFieldId="8" dataDxfId="101"/>
    <tableColumn id="9" xr3:uid="{6E3DDE2C-C376-4E7A-80DB-DA717BE2BC0D}" uniqueName="9" name="浮息息差" queryTableFieldId="9" dataDxfId="100"/>
    <tableColumn id="28" xr3:uid="{229E2AA5-4D42-4F9F-A308-D88B556B1052}" uniqueName="28" name="计息基准" queryTableFieldId="86" dataDxfId="99"/>
    <tableColumn id="16" xr3:uid="{3E06751F-A27C-4B1E-BD59-92656265A7A9}" uniqueName="16" name="发行人" queryTableFieldId="21" dataDxfId="98"/>
    <tableColumn id="17" xr3:uid="{EFF30CDB-A88C-42BD-A514-B174CC57CC5D}" uniqueName="17" name="担保人" queryTableFieldId="22" dataDxfId="97"/>
    <tableColumn id="18" xr3:uid="{96D1A663-CCB3-44A9-846A-F39B3CA437D8}" uniqueName="18" name="维好协议提供者" queryTableFieldId="23" dataDxfId="96"/>
    <tableColumn id="19" xr3:uid="{87375B86-F24A-452E-B65A-E8B35EB9352A}" uniqueName="19" name="起息日期" queryTableFieldId="24" dataDxfId="95"/>
    <tableColumn id="20" xr3:uid="{8859C58B-3298-479E-A954-938769580176}" uniqueName="20" name="兑付日" queryTableFieldId="25" dataDxfId="94"/>
    <tableColumn id="21" xr3:uid="{0C5CEC34-E95E-4857-8A41-8F7F44631569}" uniqueName="21" name="行权兑付日" queryTableFieldId="26" dataDxfId="93"/>
    <tableColumn id="22" xr3:uid="{A4BE284D-5EF5-47BE-9E18-C5BC347BCC1C}" uniqueName="22" name="票息" queryTableFieldId="27" dataDxfId="92"/>
    <tableColumn id="23" xr3:uid="{B383C507-7740-4FD0-94F7-85A9318DF079}" uniqueName="23" name="货币" queryTableFieldId="28" dataDxfId="91"/>
    <tableColumn id="29" xr3:uid="{92C376F0-AEF8-4A89-8B12-4375BAD83233}" uniqueName="29" name="发行价" queryTableFieldId="87" dataDxfId="90"/>
    <tableColumn id="24" xr3:uid="{6905DCD5-D9B9-4451-9777-0DA3B8755041}" uniqueName="24" name="发行规模(亿)" queryTableFieldId="29" dataDxfId="89"/>
    <tableColumn id="15" xr3:uid="{A3009FFD-D392-4D2E-999F-4A08797D61D0}" uniqueName="15" name="Parent company tiker" queryTableFieldId="67" dataDxfId="88"/>
    <tableColumn id="25" xr3:uid="{8E0E31D6-684B-4875-B983-55FCAD60BB9C}" uniqueName="25" name="Parent Company 评级" queryTableFieldId="68" dataDxfId="87"/>
    <tableColumn id="26" xr3:uid="{B558812A-2D69-4950-8CF3-0BF0A5AF3CCD}" uniqueName="26" name="ESG indicator" queryTableFieldId="69" dataDxfId="86"/>
    <tableColumn id="27" xr3:uid="{61C4F25A-5BEB-4BCB-A630-EFF85BA3514B}" uniqueName="27" name="KPW 评级" queryTableFieldId="77" dataDxfId="85"/>
    <tableColumn id="10" xr3:uid="{FB6745CE-81E9-4406-ACE4-86067C25D3F3}" uniqueName="10" name="Check" queryTableFieldId="10" dataDxfId="84"/>
  </tableColumns>
  <tableStyleInfo name="Qry Load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Y13" tableType="queryTable" totalsRowShown="0">
  <autoFilter ref="A4:AY13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1">
    <tableColumn id="1" xr3:uid="{791E5B07-BD81-4C7D-914D-F61E0BD81704}" uniqueName="1" name="Index" queryTableFieldId="1" dataDxfId="83"/>
    <tableColumn id="50" xr3:uid="{56AFA799-4BDB-4EF4-B64C-858A5DD46BD4}" uniqueName="50" name="删除及隐藏" queryTableFieldId="70" dataDxfId="82"/>
    <tableColumn id="2" xr3:uid="{E4F1AA1A-4561-4DCC-BD36-6E0C0BF9681D}" uniqueName="2" name="信用主体" queryTableFieldId="2" dataDxfId="81"/>
    <tableColumn id="3" xr3:uid="{BCA724F0-8962-4CF8-9F27-DFAB5A7EE57F}" uniqueName="3" name="ISIN" queryTableFieldId="3" dataDxfId="80"/>
    <tableColumn id="4" xr3:uid="{7B86C8AE-E7F7-4B8E-A455-4336C7F9D6D4}" uniqueName="4" name="定价日" queryTableFieldId="4" dataDxfId="79"/>
    <tableColumn id="5" xr3:uid="{8479A384-B664-40C5-817C-35D95E248CA9}" uniqueName="5" name="发行评级" queryTableFieldId="5" dataDxfId="78"/>
    <tableColumn id="6" xr3:uid="{560F1DF2-A9DC-4732-81D4-617CC1DDABEC}" uniqueName="6" name="主体评级" queryTableFieldId="6" dataDxfId="77"/>
    <tableColumn id="7" xr3:uid="{78286578-0202-44D4-898F-7BC8053C30D1}" uniqueName="7" name="境内主体评级" queryTableFieldId="7" dataDxfId="76"/>
    <tableColumn id="8" xr3:uid="{11202A1D-7F53-4AFC-889F-FD580FC6F359}" uniqueName="8" name="货币" queryTableFieldId="8" dataDxfId="75"/>
    <tableColumn id="9" xr3:uid="{00F822E0-673A-426E-97E0-C7C03264A9B7}" uniqueName="9" name="发行规模(亿)" queryTableFieldId="9" dataDxfId="74"/>
    <tableColumn id="10" xr3:uid="{A4600EBC-E807-4C67-B01C-5CD1E3909F2C}" uniqueName="10" name="年期" queryTableFieldId="10" dataDxfId="73"/>
    <tableColumn id="11" xr3:uid="{3882855A-6F78-4733-843C-A5CCC8C71BBE}" uniqueName="11" name="票息" queryTableFieldId="11" dataDxfId="72"/>
    <tableColumn id="12" xr3:uid="{AA7813E9-B7C0-4485-97E4-3E4D3C485DA4}" uniqueName="12" name="IPG" queryTableFieldId="12" dataDxfId="71"/>
    <tableColumn id="13" xr3:uid="{6BC3F1E2-AC4E-42E4-8B1C-4FFDBF40A64D}" uniqueName="13" name="FPG" queryTableFieldId="13" dataDxfId="70"/>
    <tableColumn id="14" xr3:uid="{A56676CE-514E-4236-AF6A-12F9A2068657}" uniqueName="14" name="定价" queryTableFieldId="14" dataDxfId="69"/>
    <tableColumn id="15" xr3:uid="{8DC4F8E2-94E1-4CA7-8249-B35B934BB7A7}" uniqueName="15" name="收窄基点" queryTableFieldId="15" dataDxfId="68"/>
    <tableColumn id="16" xr3:uid="{2A30FA30-EA68-445A-B3B2-07A216AE817C}" uniqueName="16" name="定价基准" queryTableFieldId="16" dataDxfId="67"/>
    <tableColumn id="18" xr3:uid="{68B928C8-F110-4275-943D-B563184CF448}" uniqueName="18" name="发行价" queryTableFieldId="39" dataDxfId="66"/>
    <tableColumn id="17" xr3:uid="{0ACF0E03-B0D4-4057-BF46-E322F4936C17}" uniqueName="17" name="结构" queryTableFieldId="17" dataDxfId="65"/>
    <tableColumn id="19" xr3:uid="{979EE12C-AD42-4833-8A99-EC817C6F2D45}" uniqueName="19" name="上市" queryTableFieldId="19" dataDxfId="64"/>
    <tableColumn id="20" xr3:uid="{E6204F0C-29FB-48D4-9E0E-4731335D7A28}" uniqueName="20" name="港分_ROLE" queryTableFieldId="20" dataDxfId="63"/>
    <tableColumn id="21" xr3:uid="{DBF246C1-9F14-46AE-BBC3-92DB6B28A9F5}" uniqueName="21" name="澳分_ROLE" queryTableFieldId="21" dataDxfId="62"/>
    <tableColumn id="22" xr3:uid="{A427B15A-1E3B-4176-8AAF-3C66C694FA16}" uniqueName="22" name="增发判定" queryTableFieldId="22" dataDxfId="61"/>
    <tableColumn id="26" xr3:uid="{D81B8EC4-1E43-4536-91C9-D9443CB5B5E6}" uniqueName="26" name="付息频率" queryTableFieldId="40" dataDxfId="60"/>
    <tableColumn id="27" xr3:uid="{1B4F1862-A915-4343-BD42-60FE8D9C5914}" uniqueName="27" name="起息日期" queryTableFieldId="41" dataDxfId="59"/>
    <tableColumn id="39" xr3:uid="{63B90420-8840-4507-9FE7-AEEA98D3C1EA}" uniqueName="39" name="首次付息日" queryTableFieldId="42" dataDxfId="58"/>
    <tableColumn id="40" xr3:uid="{BD1F8AC9-D7AC-4D02-8E73-E640E429EA37}" uniqueName="40" name="兑付日" queryTableFieldId="43" dataDxfId="57"/>
    <tableColumn id="23" xr3:uid="{32278D46-AAFB-46AC-B876-F0B2F5B3D38C}" uniqueName="23" name="亿美元" queryTableFieldId="23" dataDxfId="56"/>
    <tableColumn id="24" xr3:uid="{1F885E33-0B82-4272-882B-8A2CC2097721}" uniqueName="24" name="亿元" queryTableFieldId="24" dataDxfId="55"/>
    <tableColumn id="25" xr3:uid="{636B29DB-50B6-49B5-9EE5-519500C5F4C5}" uniqueName="25" name="亿港币" queryTableFieldId="25" dataDxfId="54"/>
    <tableColumn id="41" xr3:uid="{88894D22-D148-449D-8AFE-C1E41A6237D0}" uniqueName="41" name="ticker" queryTableFieldId="44" dataDxfId="53"/>
    <tableColumn id="45" xr3:uid="{D35F78CD-33DF-4BE5-B09E-5792350E6F5E}" uniqueName="45" name="注册成立地" queryTableFieldId="57" dataDxfId="52"/>
    <tableColumn id="46" xr3:uid="{8292EA6A-E652-4AD6-980B-A367229A037B}" uniqueName="46" name="发行人主上市地" queryTableFieldId="59" dataDxfId="51"/>
    <tableColumn id="32" xr3:uid="{DF9610CA-17E8-4B49-910E-BA6EB58E92E6}" uniqueName="32" name="通过分行" queryTableFieldId="32"/>
    <tableColumn id="42" xr3:uid="{A2CC7DB9-0BC7-4182-BD08-B5982994B9A6}" uniqueName="42" name="发行人" queryTableFieldId="45" dataDxfId="50"/>
    <tableColumn id="43" xr3:uid="{D8401749-5222-4202-B6A6-652D8A1D8E68}" uniqueName="43" name="担保人" queryTableFieldId="46" dataDxfId="49"/>
    <tableColumn id="44" xr3:uid="{38FFC5B5-8532-438A-9D5B-F9205283973B}" uniqueName="44" name="维好协议提供者" queryTableFieldId="47" dataDxfId="48"/>
    <tableColumn id="28" xr3:uid="{636A1BFB-2DD2-4E7A-8C04-E4AD77737D6B}" uniqueName="28" name="备证行" queryTableFieldId="28" dataDxfId="47"/>
    <tableColumn id="29" xr3:uid="{22C55275-6BA9-4912-9032-F35F16DFEF5E}" uniqueName="29" name="ESG" queryTableFieldId="29" dataDxfId="46"/>
    <tableColumn id="30" xr3:uid="{E89FFB45-1C1B-48CF-9DCC-B98D4629418D}" uniqueName="30" name="FEATURED" queryTableFieldId="30" dataDxfId="45"/>
    <tableColumn id="31" xr3:uid="{C11B3DB5-9721-4EF1-B0A1-D0EB6C66C057}" uniqueName="31" name="亮点" queryTableFieldId="31"/>
    <tableColumn id="33" xr3:uid="{F3F9AA75-29DA-43EE-BB6E-5BA6DF5BB1E3}" uniqueName="33" name="期限备注" queryTableFieldId="33" dataDxfId="44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43"/>
    <tableColumn id="48" xr3:uid="{E1E50F04-1EEC-4969-9690-F77BC431406E}" uniqueName="48" name="筹款用途" queryTableFieldId="65" dataDxfId="42"/>
    <tableColumn id="49" xr3:uid="{F1995DCC-88E7-4FCF-A524-C4324C258A84}" uniqueName="49" name="发行方式" queryTableFieldId="66" dataDxfId="41"/>
    <tableColumn id="51" xr3:uid="{220C35B1-5CBF-43F8-8977-7181DB08812C}" uniqueName="51" name="DataSource" queryTableFieldId="71" dataDxfId="40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39"/>
  </tableColumns>
  <tableStyleInfo name="Qry Load 3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Z5" tableType="queryTable" insertRow="1" totalsRowShown="0">
  <autoFilter ref="A4:Z5" xr:uid="{00000000-0009-0000-0100-00001E000000}">
    <filterColumn colId="1" hiddenButton="1"/>
    <filterColumn colId="3" hiddenButton="1"/>
    <filterColumn colId="4" hiddenButton="1"/>
  </autoFilter>
  <tableColumns count="26">
    <tableColumn id="4" xr3:uid="{EFC2733F-AADA-40F5-9EA2-0CB6AE602BA4}" uniqueName="4" name="Index" queryTableFieldId="86"/>
    <tableColumn id="7" xr3:uid="{00000000-0010-0000-2100-000007000000}" uniqueName="7" name="信用主体" queryTableFieldId="7" dataDxfId="38"/>
    <tableColumn id="5" xr3:uid="{39F42849-71AA-4C63-8C36-A04353710DCF}" uniqueName="5" name="信用主体简称" queryTableFieldId="87" dataDxfId="37"/>
    <tableColumn id="2" xr3:uid="{2E2AEFE9-AB5E-4BE5-BAE0-A95DCF912FA9}" uniqueName="2" name="中资属性" queryTableFieldId="12" dataDxfId="36"/>
    <tableColumn id="3" xr3:uid="{B0A40063-19C6-436A-B9D7-8F869CBB7078}" uniqueName="3" name="板块" queryTableFieldId="22" dataDxfId="35"/>
    <tableColumn id="1" xr3:uid="{A3FE5098-5042-4CE3-8327-1B2C8275A0F3}" uniqueName="1" name="板块二级" queryTableFieldId="106" dataDxfId="34"/>
    <tableColumn id="6" xr3:uid="{A3FFB4D1-2C70-408F-B817-4A36ABB7935C}" uniqueName="6" name="板块三级" queryTableFieldId="107" dataDxfId="33"/>
    <tableColumn id="8" xr3:uid="{28912943-CC6A-41E2-8E77-E2671E611E53}" uniqueName="8" name="板块标签" queryTableFieldId="108" dataDxfId="32"/>
    <tableColumn id="9" xr3:uid="{D0913078-9B10-4118-B419-DEE5380572EF}" uniqueName="9" name="地区" queryTableFieldId="90" dataDxfId="31"/>
    <tableColumn id="10" xr3:uid="{2C667E99-43AC-4257-AA03-6FE008167845}" uniqueName="10" name="城市" queryTableFieldId="91" dataDxfId="30"/>
    <tableColumn id="11" xr3:uid="{8049C5B0-2F5F-4FE0-BB0B-535F0DB21A56}" uniqueName="11" name="区县" queryTableFieldId="92" dataDxfId="29"/>
    <tableColumn id="12" xr3:uid="{59E26CDD-A61F-43E9-BE45-154834134967}" uniqueName="12" name="平台级别" queryTableFieldId="93" dataDxfId="28"/>
    <tableColumn id="13" xr3:uid="{99AFBFFD-DFF2-4B9D-B8BE-08F529C75A5C}" uniqueName="13" name="系" queryTableFieldId="94" dataDxfId="27"/>
    <tableColumn id="14" xr3:uid="{BA4EC7FE-7EED-41E7-AF59-55FB3EC71567}" uniqueName="14" name="首次违约日" queryTableFieldId="95" dataDxfId="26"/>
    <tableColumn id="15" xr3:uid="{D671119D-96FA-4266-A8AF-F4A410D3DF80}" uniqueName="15" name="DEBUT_DATE" queryTableFieldId="96" dataDxfId="25"/>
    <tableColumn id="16" xr3:uid="{686FFAAD-3135-4373-8248-C5FA94D0AE17}" uniqueName="16" name="曾用名" queryTableFieldId="97" dataDxfId="24"/>
    <tableColumn id="17" xr3:uid="{7CA37639-B4E2-4A84-B0A8-F1AB75C57B0E}" uniqueName="17" name="主体备注" queryTableFieldId="98" dataDxfId="23"/>
    <tableColumn id="18" xr3:uid="{47015928-8DEF-4D5E-BBAE-BDD62DB3E65F}" uniqueName="18" name="行业" queryTableFieldId="99" dataDxfId="22"/>
    <tableColumn id="20" xr3:uid="{C4A9FE20-F373-4ED9-8544-AF77CC9B37FD}" uniqueName="20" name="YY类型" queryTableFieldId="109" dataDxfId="21"/>
    <tableColumn id="19" xr3:uid="{4966E71E-7EA9-4C05-9DE7-097EFDD0F254}" uniqueName="19" name="上市类型" queryTableFieldId="100" dataDxfId="20"/>
    <tableColumn id="23" xr3:uid="{53166FFB-6B7A-416F-96E8-0F4F0F14D06E}" uniqueName="23" name="IS_ISSUER" queryTableFieldId="110" dataDxfId="19"/>
    <tableColumn id="24" xr3:uid="{AB0BAD17-0A7B-43BD-9852-AD7C1AE5FB87}" uniqueName="24" name="IS_SBLC" queryTableFieldId="111" dataDxfId="18"/>
    <tableColumn id="25" xr3:uid="{0A4D22E4-BFBF-4057-8B2C-402C0B4D9CA3}" uniqueName="25" name="IS_CLIENT" queryTableFieldId="112" dataDxfId="17"/>
    <tableColumn id="26" xr3:uid="{62D2ACC7-FBC0-4ECB-85D2-5F55B1C27C3A}" uniqueName="26" name="IS_DEFAULT" queryTableFieldId="120" dataDxfId="16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T7" tableType="queryTable" totalsRowShown="0">
  <autoFilter ref="A5:T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7" hiddenButton="1"/>
  </autoFilter>
  <tableColumns count="20">
    <tableColumn id="6" xr3:uid="{3411C0CF-976A-4264-975A-7FF83ECA3A4F}" uniqueName="6" name="Index" queryTableFieldId="33" dataDxfId="15"/>
    <tableColumn id="2" xr3:uid="{00000000-0010-0000-1F00-000002000000}" uniqueName="2" name="ISIN" queryTableFieldId="2" dataDxfId="14"/>
    <tableColumn id="3" xr3:uid="{00000000-0010-0000-1F00-000003000000}" uniqueName="3" name="定价日" queryTableFieldId="3" dataDxfId="13"/>
    <tableColumn id="4" xr3:uid="{00000000-0010-0000-1F00-000004000000}" uniqueName="4" name="信用主体" queryTableFieldId="4" dataDxfId="12"/>
    <tableColumn id="5" xr3:uid="{00000000-0010-0000-1F00-000005000000}" uniqueName="5" name="BISL_ROLE" queryTableFieldId="5" dataDxfId="11"/>
    <tableColumn id="12" xr3:uid="{00000000-0010-0000-1F00-00000C000000}" uniqueName="12" name="IS_LEAD" queryTableFieldId="14" dataDxfId="10"/>
    <tableColumn id="14" xr3:uid="{00000000-0010-0000-1F00-00000E000000}" uniqueName="14" name="IS_B&amp;D" queryTableFieldId="15" dataDxfId="9"/>
    <tableColumn id="15" xr3:uid="{00000000-0010-0000-1F00-00000F000000}" uniqueName="15" name="是否合名" queryTableFieldId="16" dataDxfId="8"/>
    <tableColumn id="10" xr3:uid="{00000000-0010-0000-1F00-00000A000000}" uniqueName="10" name="新规角色" queryTableFieldId="10"/>
    <tableColumn id="11" xr3:uid="{00000000-0010-0000-1F00-00000B000000}" uniqueName="11" name="COVERAGE" queryTableFieldId="11" dataDxfId="7"/>
    <tableColumn id="8" xr3:uid="{00000000-0010-0000-1F00-000008000000}" uniqueName="8" name="PROJECT_CODE" queryTableFieldId="8" dataDxfId="6"/>
    <tableColumn id="9" xr3:uid="{00000000-0010-0000-1F00-000009000000}" uniqueName="9" name="期数" queryTableFieldId="9" dataDxfId="5"/>
    <tableColumn id="18" xr3:uid="{BD2A2563-6D0C-4C70-8C7F-DBFEB75BF9F7}" uniqueName="18" name="台账序号" queryTableFieldId="22" dataDxfId="4"/>
    <tableColumn id="7" xr3:uid="{6DE07327-A6E4-4356-AA50-0A878930CEA5}" uniqueName="7" name="多笔" queryTableFieldId="34" dataDxfId="3"/>
    <tableColumn id="13" xr3:uid="{46C7532C-3BEE-4236-939A-E9519058A4F0}" uniqueName="13" name="多币种" queryTableFieldId="35" dataDxfId="2"/>
    <tableColumn id="16" xr3:uid="{A77870FD-F6DE-4CA1-B614-9C21258B5A9A}" uniqueName="16" name="多品种" queryTableFieldId="36" dataDxfId="1"/>
    <tableColumn id="19" xr3:uid="{8A102DD9-0B8C-4F97-BA55-9B01A84C6980}" uniqueName="19" name="FolderPath" queryTableFieldId="58"/>
    <tableColumn id="1" xr3:uid="{00000000-0010-0000-1F00-000001000000}" uniqueName="1" name="Check" queryTableFieldId="1" dataDxfId="0"/>
    <tableColumn id="17" xr3:uid="{9E2825BA-C5C6-41D3-8AB9-1E787BE55C19}" uniqueName="17" name="PRJ对账号" queryTableFieldId="56"/>
    <tableColumn id="20" xr3:uid="{7B5C9B63-DFEA-440E-B1DF-2FEC37B653E1}" uniqueName="20" name="Timestamp" queryTableFieldId="5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13" Type="http://schemas.openxmlformats.org/officeDocument/2006/relationships/table" Target="../tables/table43.xml"/><Relationship Id="rId18" Type="http://schemas.openxmlformats.org/officeDocument/2006/relationships/table" Target="../tables/table48.xml"/><Relationship Id="rId26" Type="http://schemas.openxmlformats.org/officeDocument/2006/relationships/table" Target="../tables/table56.xml"/><Relationship Id="rId3" Type="http://schemas.openxmlformats.org/officeDocument/2006/relationships/table" Target="../tables/table33.xml"/><Relationship Id="rId21" Type="http://schemas.openxmlformats.org/officeDocument/2006/relationships/table" Target="../tables/table51.xml"/><Relationship Id="rId7" Type="http://schemas.openxmlformats.org/officeDocument/2006/relationships/table" Target="../tables/table37.xml"/><Relationship Id="rId12" Type="http://schemas.openxmlformats.org/officeDocument/2006/relationships/table" Target="../tables/table42.xml"/><Relationship Id="rId17" Type="http://schemas.openxmlformats.org/officeDocument/2006/relationships/table" Target="../tables/table47.xml"/><Relationship Id="rId25" Type="http://schemas.openxmlformats.org/officeDocument/2006/relationships/table" Target="../tables/table55.xml"/><Relationship Id="rId2" Type="http://schemas.openxmlformats.org/officeDocument/2006/relationships/table" Target="../tables/table32.xml"/><Relationship Id="rId16" Type="http://schemas.openxmlformats.org/officeDocument/2006/relationships/table" Target="../tables/table46.xml"/><Relationship Id="rId20" Type="http://schemas.openxmlformats.org/officeDocument/2006/relationships/table" Target="../tables/table50.xml"/><Relationship Id="rId29" Type="http://schemas.openxmlformats.org/officeDocument/2006/relationships/table" Target="../tables/table59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6.xml"/><Relationship Id="rId11" Type="http://schemas.openxmlformats.org/officeDocument/2006/relationships/table" Target="../tables/table41.xml"/><Relationship Id="rId24" Type="http://schemas.openxmlformats.org/officeDocument/2006/relationships/table" Target="../tables/table54.xml"/><Relationship Id="rId5" Type="http://schemas.openxmlformats.org/officeDocument/2006/relationships/table" Target="../tables/table35.xml"/><Relationship Id="rId15" Type="http://schemas.openxmlformats.org/officeDocument/2006/relationships/table" Target="../tables/table45.xml"/><Relationship Id="rId23" Type="http://schemas.openxmlformats.org/officeDocument/2006/relationships/table" Target="../tables/table53.xml"/><Relationship Id="rId28" Type="http://schemas.openxmlformats.org/officeDocument/2006/relationships/table" Target="../tables/table58.xml"/><Relationship Id="rId10" Type="http://schemas.openxmlformats.org/officeDocument/2006/relationships/table" Target="../tables/table40.xml"/><Relationship Id="rId19" Type="http://schemas.openxmlformats.org/officeDocument/2006/relationships/table" Target="../tables/table49.xml"/><Relationship Id="rId4" Type="http://schemas.openxmlformats.org/officeDocument/2006/relationships/table" Target="../tables/table34.xml"/><Relationship Id="rId9" Type="http://schemas.openxmlformats.org/officeDocument/2006/relationships/table" Target="../tables/table39.xml"/><Relationship Id="rId14" Type="http://schemas.openxmlformats.org/officeDocument/2006/relationships/table" Target="../tables/table44.xml"/><Relationship Id="rId22" Type="http://schemas.openxmlformats.org/officeDocument/2006/relationships/table" Target="../tables/table52.xml"/><Relationship Id="rId27" Type="http://schemas.openxmlformats.org/officeDocument/2006/relationships/table" Target="../tables/table5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B44"/>
  <sheetViews>
    <sheetView tabSelected="1" zoomScale="85" zoomScaleNormal="85" workbookViewId="0">
      <selection activeCell="B4" sqref="B4:C5"/>
    </sheetView>
  </sheetViews>
  <sheetFormatPr defaultColWidth="8.88671875" defaultRowHeight="18" customHeight="1" outlineLevelCol="1" x14ac:dyDescent="0.25"/>
  <cols>
    <col min="1" max="1" width="6.21875" style="2" customWidth="1"/>
    <col min="2" max="3" width="20" style="2" customWidth="1"/>
    <col min="4" max="4" width="11.21875" style="133" customWidth="1"/>
    <col min="5" max="5" width="17.21875" style="2" customWidth="1"/>
    <col min="6" max="6" width="12" style="2" customWidth="1"/>
    <col min="7" max="7" width="4.77734375" style="2" customWidth="1"/>
    <col min="8" max="8" width="19.44140625" style="2" bestFit="1" customWidth="1"/>
    <col min="9" max="9" width="7.88671875" style="2" customWidth="1"/>
    <col min="10" max="10" width="5.6640625" style="2" bestFit="1" customWidth="1"/>
    <col min="11" max="11" width="10.5546875" style="2" bestFit="1" customWidth="1"/>
    <col min="12" max="12" width="31.6640625" style="2" bestFit="1" customWidth="1"/>
    <col min="13" max="13" width="4.44140625" style="2" bestFit="1" customWidth="1"/>
    <col min="14" max="14" width="13.44140625" style="2" bestFit="1" customWidth="1"/>
    <col min="15" max="15" width="9.44140625" style="2" bestFit="1" customWidth="1"/>
    <col min="16" max="16" width="4.77734375" style="2" bestFit="1" customWidth="1"/>
    <col min="17" max="17" width="7.77734375" style="2" bestFit="1" customWidth="1"/>
    <col min="18" max="18" width="9.21875" style="2" bestFit="1" customWidth="1"/>
    <col min="19" max="19" width="17.33203125" style="2" bestFit="1" customWidth="1"/>
    <col min="20" max="21" width="80.88671875" style="2" hidden="1" customWidth="1" outlineLevel="1"/>
    <col min="22" max="22" width="19.77734375" style="2" hidden="1" customWidth="1" outlineLevel="1"/>
    <col min="23" max="23" width="10" style="2" hidden="1" customWidth="1" outlineLevel="1"/>
    <col min="24" max="24" width="7.77734375" style="2" hidden="1" customWidth="1" outlineLevel="1"/>
    <col min="25" max="25" width="12.77734375" style="2" hidden="1" customWidth="1" outlineLevel="1"/>
    <col min="26" max="30" width="7.77734375" style="2" hidden="1" customWidth="1" outlineLevel="1"/>
    <col min="31" max="31" width="9.44140625" style="2" hidden="1" customWidth="1" outlineLevel="1"/>
    <col min="32" max="32" width="80.88671875" style="2" hidden="1" customWidth="1" outlineLevel="1"/>
    <col min="33" max="33" width="19.109375" style="2" hidden="1" customWidth="1" outlineLevel="1"/>
    <col min="34" max="34" width="10.44140625" style="2" hidden="1" customWidth="1" outlineLevel="1"/>
    <col min="35" max="35" width="8.77734375" style="2" hidden="1" customWidth="1" outlineLevel="1"/>
    <col min="36" max="36" width="10.44140625" style="2" hidden="1" customWidth="1" outlineLevel="1"/>
    <col min="37" max="37" width="26" style="2" hidden="1" customWidth="1" outlineLevel="1"/>
    <col min="38" max="38" width="47.44140625" style="2" hidden="1" customWidth="1" outlineLevel="1"/>
    <col min="39" max="39" width="10.44140625" style="2" hidden="1" customWidth="1" outlineLevel="1"/>
    <col min="40" max="40" width="7.77734375" style="2" hidden="1" customWidth="1" outlineLevel="1"/>
    <col min="41" max="41" width="11.109375" style="2" hidden="1" customWidth="1" outlineLevel="1"/>
    <col min="42" max="42" width="9.44140625" style="2" hidden="1" customWidth="1" outlineLevel="1"/>
    <col min="43" max="43" width="10.44140625" style="2" hidden="1" customWidth="1" outlineLevel="1"/>
    <col min="44" max="44" width="7.77734375" style="2" hidden="1" customWidth="1" outlineLevel="1"/>
    <col min="45" max="45" width="11.109375" style="2" hidden="1" customWidth="1" outlineLevel="1"/>
    <col min="46" max="46" width="8.21875" style="2" hidden="1" customWidth="1" outlineLevel="1"/>
    <col min="47" max="47" width="80.88671875" style="2" hidden="1" customWidth="1" outlineLevel="1"/>
    <col min="48" max="49" width="9.44140625" style="2" hidden="1" customWidth="1" outlineLevel="1"/>
    <col min="50" max="50" width="11.109375" style="2" hidden="1" customWidth="1" outlineLevel="1"/>
    <col min="51" max="51" width="7.77734375" style="2" hidden="1" customWidth="1" outlineLevel="1"/>
    <col min="52" max="52" width="11.109375" style="2" hidden="1" customWidth="1" outlineLevel="1"/>
    <col min="53" max="53" width="8.77734375" style="2" hidden="1" customWidth="1" outlineLevel="1"/>
    <col min="54" max="55" width="11.109375" style="2" hidden="1" customWidth="1" outlineLevel="1"/>
    <col min="56" max="60" width="7.77734375" style="2" hidden="1" customWidth="1" outlineLevel="1"/>
    <col min="61" max="61" width="9" style="2" hidden="1" customWidth="1" outlineLevel="1"/>
    <col min="62" max="62" width="12.77734375" style="2" hidden="1" customWidth="1" outlineLevel="1"/>
    <col min="63" max="63" width="7.77734375" style="2" hidden="1" customWidth="1" outlineLevel="1"/>
    <col min="64" max="64" width="6.109375" style="2" hidden="1" customWidth="1" outlineLevel="1"/>
    <col min="65" max="65" width="7.77734375" style="2" hidden="1" customWidth="1" outlineLevel="1"/>
    <col min="66" max="66" width="7.109375" style="2" hidden="1" customWidth="1" outlineLevel="1"/>
    <col min="67" max="67" width="15" style="2" hidden="1" customWidth="1" outlineLevel="1"/>
    <col min="68" max="68" width="33.33203125" style="2" hidden="1" customWidth="1" outlineLevel="1"/>
    <col min="69" max="69" width="7.77734375" style="2" hidden="1" customWidth="1" outlineLevel="1"/>
    <col min="70" max="70" width="10.109375" style="2" hidden="1" customWidth="1" outlineLevel="1"/>
    <col min="71" max="71" width="11.21875" style="2" hidden="1" customWidth="1" outlineLevel="1"/>
    <col min="72" max="72" width="31.6640625" style="2" hidden="1" customWidth="1" outlineLevel="1"/>
    <col min="73" max="73" width="10.44140625" style="2" hidden="1" customWidth="1" outlineLevel="1"/>
    <col min="74" max="74" width="11.21875" style="2" hidden="1" customWidth="1" outlineLevel="1"/>
    <col min="75" max="76" width="10.5546875" style="1" hidden="1" customWidth="1" outlineLevel="1"/>
    <col min="77" max="77" width="7.77734375" style="1" hidden="1" customWidth="1" outlineLevel="1"/>
    <col min="78" max="78" width="11.109375" style="2" hidden="1" customWidth="1" outlineLevel="1"/>
    <col min="79" max="79" width="8.5546875" style="1" hidden="1" customWidth="1" outlineLevel="1"/>
    <col min="80" max="80" width="44.5546875" style="2" hidden="1" customWidth="1" outlineLevel="1"/>
    <col min="81" max="81" width="14.44140625" style="2" hidden="1" customWidth="1" outlineLevel="1"/>
    <col min="82" max="83" width="11.6640625" style="2" hidden="1" customWidth="1" outlineLevel="1"/>
    <col min="84" max="84" width="4.5546875" style="2" hidden="1" customWidth="1" outlineLevel="1"/>
    <col min="85" max="85" width="14.109375" style="2" hidden="1" customWidth="1" outlineLevel="1"/>
    <col min="86" max="86" width="9.44140625" style="1" hidden="1" customWidth="1" outlineLevel="1"/>
    <col min="87" max="87" width="14.88671875" style="1" hidden="1" customWidth="1" outlineLevel="1"/>
    <col min="88" max="88" width="17.88671875" style="1" hidden="1" customWidth="1" outlineLevel="1"/>
    <col min="89" max="89" width="7.77734375" style="1" hidden="1" customWidth="1" outlineLevel="1" collapsed="1"/>
    <col min="90" max="90" width="8.6640625" style="1" hidden="1" customWidth="1" outlineLevel="1"/>
    <col min="91" max="91" width="9.44140625" style="1" hidden="1" customWidth="1" outlineLevel="1"/>
    <col min="92" max="92" width="16.77734375" style="1" hidden="1" customWidth="1" outlineLevel="1"/>
    <col min="93" max="93" width="17.5546875" style="1" hidden="1" customWidth="1" outlineLevel="1"/>
    <col min="94" max="94" width="17.44140625" style="1" hidden="1" customWidth="1" outlineLevel="1"/>
    <col min="95" max="95" width="17.5546875" style="1" hidden="1" customWidth="1" outlineLevel="1"/>
    <col min="96" max="96" width="6.109375" style="1" bestFit="1" customWidth="1" collapsed="1"/>
    <col min="97" max="97" width="13.5546875" style="1" bestFit="1" customWidth="1"/>
    <col min="98" max="98" width="13.77734375" style="1" bestFit="1" customWidth="1"/>
    <col min="99" max="99" width="6.21875" style="1" bestFit="1" customWidth="1"/>
    <col min="100" max="100" width="19.6640625" style="1" bestFit="1" customWidth="1"/>
    <col min="101" max="103" width="9.44140625" style="2" bestFit="1" customWidth="1"/>
    <col min="104" max="104" width="11.6640625" style="2" bestFit="1" customWidth="1"/>
    <col min="105" max="105" width="11.109375" style="1" bestFit="1" customWidth="1"/>
    <col min="106" max="106" width="7.77734375" style="1" bestFit="1" customWidth="1"/>
    <col min="107" max="107" width="6" style="2" bestFit="1" customWidth="1"/>
    <col min="108" max="108" width="8.88671875" style="2" bestFit="1" customWidth="1"/>
    <col min="109" max="111" width="19.5546875" style="2" bestFit="1" customWidth="1"/>
    <col min="112" max="112" width="8.88671875" style="2" bestFit="1" customWidth="1"/>
    <col min="113" max="113" width="10.5546875" style="2" bestFit="1" customWidth="1"/>
    <col min="114" max="115" width="10.33203125" style="2" bestFit="1" customWidth="1"/>
    <col min="116" max="116" width="10.5546875" style="2" bestFit="1" customWidth="1"/>
    <col min="117" max="117" width="19.5546875" style="2" bestFit="1" customWidth="1"/>
    <col min="118" max="118" width="10.5546875" style="2" bestFit="1" customWidth="1"/>
    <col min="119" max="119" width="10.33203125" style="2" bestFit="1" customWidth="1"/>
    <col min="120" max="121" width="10.5546875" style="2" bestFit="1" customWidth="1"/>
    <col min="122" max="122" width="16.6640625" style="2" bestFit="1" customWidth="1"/>
    <col min="123" max="123" width="7.6640625" style="2" bestFit="1" customWidth="1"/>
    <col min="124" max="125" width="10.44140625" style="2" bestFit="1" customWidth="1"/>
    <col min="126" max="126" width="17.33203125" style="2" bestFit="1" customWidth="1"/>
    <col min="127" max="128" width="10.109375" style="2" bestFit="1" customWidth="1"/>
    <col min="129" max="130" width="12.44140625" style="2" bestFit="1" customWidth="1"/>
    <col min="131" max="131" width="8.6640625" style="2" bestFit="1" customWidth="1"/>
    <col min="132" max="134" width="8.6640625" style="2" customWidth="1"/>
    <col min="135" max="135" width="9.21875" style="2" customWidth="1"/>
    <col min="136" max="136" width="28.6640625" style="2" customWidth="1"/>
    <col min="137" max="137" width="9" style="2" customWidth="1"/>
    <col min="138" max="138" width="11.6640625" style="2" customWidth="1"/>
    <col min="139" max="140" width="9.21875" style="2" customWidth="1"/>
    <col min="141" max="141" width="10.44140625" style="2" customWidth="1"/>
    <col min="142" max="142" width="11.6640625" style="2" customWidth="1"/>
    <col min="143" max="143" width="9.21875" style="2" customWidth="1"/>
    <col min="144" max="144" width="10.44140625" style="2" customWidth="1"/>
    <col min="145" max="145" width="20.109375" style="2" customWidth="1"/>
    <col min="146" max="146" width="37.77734375" style="2" customWidth="1"/>
    <col min="147" max="147" width="43.21875" style="2" customWidth="1"/>
    <col min="148" max="148" width="9.21875" style="2" customWidth="1"/>
    <col min="149" max="149" width="13.77734375" style="2" customWidth="1"/>
    <col min="150" max="150" width="37.109375" style="2" customWidth="1"/>
    <col min="151" max="151" width="10.44140625" style="2" customWidth="1"/>
    <col min="152" max="157" width="9.21875" style="2" customWidth="1"/>
    <col min="158" max="158" width="12.33203125" style="2" bestFit="1" customWidth="1"/>
    <col min="159" max="159" width="11.109375" style="2" customWidth="1"/>
    <col min="160" max="160" width="11.6640625" style="2" bestFit="1" customWidth="1"/>
    <col min="161" max="161" width="11.6640625" style="2" customWidth="1"/>
    <col min="162" max="162" width="4.77734375" style="2" bestFit="1" customWidth="1"/>
    <col min="163" max="163" width="7.44140625" style="2" bestFit="1" customWidth="1"/>
    <col min="164" max="16384" width="8.88671875" style="2"/>
  </cols>
  <sheetData>
    <row r="1" spans="1:106" ht="64.5" customHeight="1" x14ac:dyDescent="0.25">
      <c r="A1" s="40" t="s">
        <v>204</v>
      </c>
      <c r="K1" s="136"/>
      <c r="BW1" s="2"/>
      <c r="BX1" s="2"/>
      <c r="BY1" s="2"/>
      <c r="CA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DA1" s="2"/>
      <c r="DB1" s="2"/>
    </row>
    <row r="2" spans="1:106" ht="64.5" customHeight="1" x14ac:dyDescent="0.25">
      <c r="A2" s="41" t="s">
        <v>108</v>
      </c>
      <c r="K2" s="136"/>
      <c r="BW2" s="2"/>
      <c r="BX2" s="2"/>
      <c r="BY2" s="2"/>
      <c r="CA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DA2" s="2"/>
      <c r="DB2" s="2"/>
    </row>
    <row r="3" spans="1:106" ht="32.25" customHeight="1" thickBot="1" x14ac:dyDescent="0.3">
      <c r="A3" s="128" t="s">
        <v>86</v>
      </c>
      <c r="B3" s="128" t="s">
        <v>505</v>
      </c>
      <c r="C3" s="128" t="s">
        <v>506</v>
      </c>
      <c r="I3" s="144"/>
      <c r="J3" s="144"/>
      <c r="K3" s="144"/>
      <c r="L3" s="46" t="s">
        <v>941</v>
      </c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  <c r="CK3" s="144"/>
      <c r="CL3" s="144"/>
      <c r="CM3" s="144"/>
      <c r="CN3" s="144"/>
      <c r="CO3" s="144"/>
      <c r="CP3" s="144"/>
      <c r="CQ3" s="144"/>
      <c r="CR3" s="144"/>
      <c r="CS3" s="144"/>
      <c r="CT3" s="46" t="s">
        <v>251</v>
      </c>
      <c r="CU3" s="46"/>
      <c r="CV3" s="144"/>
      <c r="CW3" s="144"/>
      <c r="DA3" s="2"/>
      <c r="DB3" s="2"/>
    </row>
    <row r="4" spans="1:106" ht="32.25" customHeight="1" thickTop="1" thickBot="1" x14ac:dyDescent="0.3">
      <c r="A4" s="128">
        <v>1</v>
      </c>
      <c r="B4" s="132" t="s">
        <v>336</v>
      </c>
      <c r="C4" s="134" t="s">
        <v>537</v>
      </c>
      <c r="BW4" s="2"/>
      <c r="BX4" s="2"/>
      <c r="BY4" s="2"/>
      <c r="CA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DA4" s="2"/>
      <c r="DB4" s="2"/>
    </row>
    <row r="5" spans="1:106" ht="32.25" customHeight="1" thickTop="1" thickBot="1" x14ac:dyDescent="0.3">
      <c r="A5" s="128">
        <v>2</v>
      </c>
      <c r="B5" s="132" t="s">
        <v>170</v>
      </c>
      <c r="C5" s="130" t="s">
        <v>0</v>
      </c>
      <c r="BW5" s="2"/>
      <c r="BX5" s="2"/>
      <c r="BY5" s="2"/>
      <c r="CA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DA5" s="2"/>
      <c r="DB5" s="2"/>
    </row>
    <row r="6" spans="1:106" ht="32.25" customHeight="1" thickTop="1" thickBot="1" x14ac:dyDescent="0.3">
      <c r="A6" s="128">
        <v>3</v>
      </c>
      <c r="B6" s="132" t="s">
        <v>540</v>
      </c>
      <c r="C6" s="135" t="s">
        <v>539</v>
      </c>
      <c r="BW6" s="2"/>
      <c r="BX6" s="2"/>
      <c r="BY6" s="2"/>
      <c r="CA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DA6" s="2"/>
      <c r="DB6" s="2"/>
    </row>
    <row r="7" spans="1:106" ht="32.25" customHeight="1" thickTop="1" thickBot="1" x14ac:dyDescent="0.3">
      <c r="A7" s="128">
        <v>4</v>
      </c>
      <c r="B7" s="132" t="s">
        <v>541</v>
      </c>
      <c r="C7" s="135" t="s">
        <v>539</v>
      </c>
      <c r="E7" s="137" t="s">
        <v>258</v>
      </c>
      <c r="F7" s="138"/>
      <c r="BW7" s="2"/>
      <c r="BX7" s="2"/>
      <c r="BY7" s="2"/>
      <c r="CA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DA7" s="2"/>
      <c r="DB7" s="2"/>
    </row>
    <row r="8" spans="1:106" ht="32.25" customHeight="1" thickTop="1" thickBot="1" x14ac:dyDescent="0.3">
      <c r="A8" s="128">
        <v>5</v>
      </c>
      <c r="B8" s="132" t="s">
        <v>933</v>
      </c>
      <c r="C8" s="135" t="s">
        <v>539</v>
      </c>
      <c r="E8" s="139" t="s">
        <v>252</v>
      </c>
      <c r="F8" s="140">
        <f>MAX(DLD_Conso[Index])</f>
        <v>0</v>
      </c>
      <c r="BW8" s="2"/>
      <c r="BX8" s="2"/>
      <c r="BY8" s="2"/>
      <c r="CA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131"/>
      <c r="CT8" s="2"/>
      <c r="CU8" s="2"/>
      <c r="CV8" s="2"/>
      <c r="DA8" s="2"/>
      <c r="DB8" s="2"/>
    </row>
    <row r="9" spans="1:106" ht="32.25" customHeight="1" thickTop="1" thickBot="1" x14ac:dyDescent="0.3">
      <c r="A9" s="128">
        <v>6</v>
      </c>
      <c r="B9" s="132" t="s">
        <v>538</v>
      </c>
      <c r="C9" s="135" t="s">
        <v>539</v>
      </c>
      <c r="E9" s="139" t="s">
        <v>253</v>
      </c>
      <c r="F9" s="140">
        <f>COUNTA(DLD_BBG_Corp[ISIN])</f>
        <v>12</v>
      </c>
      <c r="G9" s="61">
        <f>$F$9-F$8</f>
        <v>12</v>
      </c>
      <c r="BW9" s="2"/>
      <c r="BX9" s="2"/>
      <c r="BY9" s="2"/>
      <c r="CA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DA9" s="2"/>
      <c r="DB9" s="2"/>
    </row>
    <row r="10" spans="1:106" ht="32.25" customHeight="1" thickTop="1" thickBot="1" x14ac:dyDescent="0.3">
      <c r="A10" s="128">
        <v>7</v>
      </c>
      <c r="B10" s="132" t="s">
        <v>542</v>
      </c>
      <c r="C10" s="135" t="s">
        <v>539</v>
      </c>
      <c r="E10" s="141" t="s">
        <v>254</v>
      </c>
      <c r="F10" s="142">
        <f>MAX(DLD_QRC_23[台账序号])</f>
        <v>0</v>
      </c>
      <c r="BW10" s="2"/>
      <c r="BX10" s="2"/>
      <c r="BY10" s="2"/>
      <c r="CA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DA10" s="2"/>
      <c r="DB10" s="2"/>
    </row>
    <row r="11" spans="1:106" ht="32.25" customHeight="1" thickTop="1" thickBot="1" x14ac:dyDescent="0.3">
      <c r="A11" s="128">
        <v>8</v>
      </c>
      <c r="B11" s="132" t="s">
        <v>934</v>
      </c>
      <c r="C11" s="135" t="s">
        <v>326</v>
      </c>
      <c r="BW11" s="2"/>
      <c r="BX11" s="2"/>
      <c r="BY11" s="2"/>
      <c r="CA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DA11" s="2"/>
      <c r="DB11" s="2"/>
    </row>
    <row r="12" spans="1:106" ht="32.25" customHeight="1" thickTop="1" thickBot="1" x14ac:dyDescent="0.3">
      <c r="A12" s="128">
        <v>9</v>
      </c>
      <c r="B12" s="132" t="s">
        <v>935</v>
      </c>
      <c r="C12" s="135" t="s">
        <v>326</v>
      </c>
      <c r="CQ12" s="2"/>
      <c r="CR12" s="2"/>
      <c r="CS12" s="2"/>
      <c r="CT12" s="2"/>
      <c r="CU12" s="2"/>
      <c r="CV12" s="2"/>
      <c r="DA12" s="2"/>
      <c r="DB12" s="2"/>
    </row>
    <row r="13" spans="1:106" ht="32.25" hidden="1" customHeight="1" thickTop="1" x14ac:dyDescent="0.25">
      <c r="A13" s="128"/>
      <c r="B13" s="132"/>
      <c r="CQ13" s="2"/>
      <c r="CR13" s="2"/>
      <c r="CS13" s="2"/>
      <c r="CT13" s="2"/>
      <c r="CU13" s="2"/>
      <c r="CV13" s="2"/>
      <c r="DA13" s="2"/>
      <c r="DB13" s="2"/>
    </row>
    <row r="14" spans="1:106" ht="32.25" hidden="1" customHeight="1" x14ac:dyDescent="0.25">
      <c r="A14" s="128"/>
      <c r="B14" s="132"/>
      <c r="CS14" s="2"/>
      <c r="CT14" s="2"/>
      <c r="CU14" s="2"/>
      <c r="CV14" s="2"/>
      <c r="DA14" s="2"/>
      <c r="DB14" s="2"/>
    </row>
    <row r="15" spans="1:106" ht="19.5" thickTop="1" x14ac:dyDescent="0.25">
      <c r="G15" s="60"/>
      <c r="H15" s="32" t="s">
        <v>938</v>
      </c>
      <c r="J15" s="69" t="s">
        <v>86</v>
      </c>
      <c r="K15" s="69" t="s">
        <v>176</v>
      </c>
      <c r="L15" s="69" t="s">
        <v>94</v>
      </c>
      <c r="M15" s="69" t="s">
        <v>43</v>
      </c>
      <c r="N15" s="69" t="s">
        <v>48</v>
      </c>
      <c r="O15" s="69" t="s">
        <v>49</v>
      </c>
      <c r="P15" s="69" t="s">
        <v>64</v>
      </c>
      <c r="Q15" s="69" t="s">
        <v>96</v>
      </c>
      <c r="R15" s="69" t="s">
        <v>207</v>
      </c>
      <c r="S15" s="69" t="s">
        <v>208</v>
      </c>
      <c r="T15" s="69" t="s">
        <v>65</v>
      </c>
      <c r="U15" s="69" t="s">
        <v>75</v>
      </c>
      <c r="V15" s="69" t="s">
        <v>242</v>
      </c>
      <c r="W15" s="69" t="s">
        <v>331</v>
      </c>
      <c r="X15" s="69" t="s">
        <v>81</v>
      </c>
      <c r="Y15" s="69" t="s">
        <v>82</v>
      </c>
      <c r="Z15" s="69" t="s">
        <v>105</v>
      </c>
      <c r="AA15" s="69" t="s">
        <v>80</v>
      </c>
      <c r="AB15" s="69" t="s">
        <v>79</v>
      </c>
      <c r="AC15" s="69" t="s">
        <v>78</v>
      </c>
      <c r="AD15" s="69" t="s">
        <v>77</v>
      </c>
      <c r="AE15" s="69" t="s">
        <v>76</v>
      </c>
      <c r="AF15" s="69" t="s">
        <v>227</v>
      </c>
      <c r="AG15" s="69" t="s">
        <v>104</v>
      </c>
      <c r="AH15" s="69" t="s">
        <v>74</v>
      </c>
      <c r="AI15" s="69" t="s">
        <v>228</v>
      </c>
      <c r="AJ15" s="69" t="s">
        <v>73</v>
      </c>
      <c r="AK15" s="69" t="s">
        <v>72</v>
      </c>
      <c r="AL15" s="69" t="s">
        <v>71</v>
      </c>
      <c r="AM15" s="69" t="s">
        <v>70</v>
      </c>
      <c r="AN15" s="69" t="s">
        <v>69</v>
      </c>
      <c r="AO15" s="69" t="s">
        <v>103</v>
      </c>
      <c r="AP15" s="69" t="s">
        <v>68</v>
      </c>
      <c r="AQ15" s="69" t="s">
        <v>67</v>
      </c>
      <c r="AR15" s="69" t="s">
        <v>102</v>
      </c>
      <c r="AS15" s="69" t="s">
        <v>101</v>
      </c>
      <c r="AT15" s="69" t="s">
        <v>66</v>
      </c>
      <c r="AU15" s="69" t="s">
        <v>226</v>
      </c>
      <c r="AV15" s="69" t="s">
        <v>225</v>
      </c>
      <c r="AW15" s="69" t="s">
        <v>224</v>
      </c>
      <c r="AX15" s="69" t="s">
        <v>223</v>
      </c>
      <c r="AY15" s="69" t="s">
        <v>97</v>
      </c>
      <c r="AZ15" s="69" t="s">
        <v>42</v>
      </c>
      <c r="BA15" s="69" t="s">
        <v>222</v>
      </c>
      <c r="BB15" s="69" t="s">
        <v>51</v>
      </c>
      <c r="BC15" s="69" t="s">
        <v>177</v>
      </c>
      <c r="BD15" s="69" t="s">
        <v>44</v>
      </c>
      <c r="BE15" s="69" t="s">
        <v>200</v>
      </c>
      <c r="BF15" s="69" t="s">
        <v>63</v>
      </c>
      <c r="BG15" s="69" t="s">
        <v>62</v>
      </c>
      <c r="BH15" s="69" t="s">
        <v>61</v>
      </c>
      <c r="BI15" s="69" t="s">
        <v>132</v>
      </c>
      <c r="BJ15" s="69" t="s">
        <v>46</v>
      </c>
      <c r="BK15" s="69" t="s">
        <v>45</v>
      </c>
      <c r="BL15" s="69" t="s">
        <v>95</v>
      </c>
      <c r="BM15" s="69" t="s">
        <v>60</v>
      </c>
      <c r="BN15" s="69" t="s">
        <v>59</v>
      </c>
      <c r="BO15" s="69" t="s">
        <v>56</v>
      </c>
      <c r="BP15" s="69" t="s">
        <v>55</v>
      </c>
      <c r="BQ15" s="69" t="s">
        <v>243</v>
      </c>
      <c r="BR15" s="69" t="s">
        <v>330</v>
      </c>
      <c r="BS15" s="69" t="s">
        <v>54</v>
      </c>
      <c r="BT15" s="69" t="s">
        <v>100</v>
      </c>
      <c r="BU15" s="69" t="s">
        <v>52</v>
      </c>
      <c r="BV15" s="69" t="s">
        <v>419</v>
      </c>
      <c r="BW15" s="69" t="s">
        <v>58</v>
      </c>
      <c r="BX15" s="69" t="s">
        <v>57</v>
      </c>
      <c r="BY15" s="69" t="s">
        <v>50</v>
      </c>
      <c r="BZ15" s="69" t="s">
        <v>99</v>
      </c>
      <c r="CA15" s="69" t="s">
        <v>98</v>
      </c>
      <c r="CB15" s="69" t="s">
        <v>47</v>
      </c>
      <c r="CC15" s="69" t="s">
        <v>428</v>
      </c>
      <c r="CD15" s="69" t="s">
        <v>232</v>
      </c>
      <c r="CE15" s="69" t="s">
        <v>623</v>
      </c>
      <c r="CF15" s="69" t="s">
        <v>89</v>
      </c>
      <c r="CG15" s="69" t="s">
        <v>147</v>
      </c>
      <c r="CH15" s="69" t="s">
        <v>236</v>
      </c>
      <c r="CI15" s="69" t="s">
        <v>266</v>
      </c>
      <c r="CJ15" s="69" t="s">
        <v>145</v>
      </c>
      <c r="CK15" s="69" t="s">
        <v>119</v>
      </c>
      <c r="CL15" s="69" t="s">
        <v>135</v>
      </c>
      <c r="CM15" s="69" t="s">
        <v>178</v>
      </c>
      <c r="CN15" s="69" t="s">
        <v>785</v>
      </c>
      <c r="CO15" s="69" t="s">
        <v>140</v>
      </c>
      <c r="CS15" s="2"/>
      <c r="CT15" s="32" t="s">
        <v>189</v>
      </c>
      <c r="CU15" s="32" t="s">
        <v>48</v>
      </c>
      <c r="CV15" s="32" t="s">
        <v>248</v>
      </c>
      <c r="CW15" s="32" t="s">
        <v>205</v>
      </c>
      <c r="CX15" s="32" t="s">
        <v>249</v>
      </c>
      <c r="CY15" s="32" t="s">
        <v>172</v>
      </c>
      <c r="CZ15" s="32" t="s">
        <v>173</v>
      </c>
      <c r="DA15" s="32" t="s">
        <v>250</v>
      </c>
      <c r="DB15" s="2"/>
    </row>
    <row r="16" spans="1:106" ht="18.75" x14ac:dyDescent="0.25">
      <c r="G16" s="60"/>
      <c r="H16" t="s">
        <v>942</v>
      </c>
      <c r="J16" s="69"/>
      <c r="K16" s="147"/>
      <c r="L16" s="69"/>
      <c r="M16" s="69"/>
      <c r="N16" s="69"/>
      <c r="O16" s="145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146"/>
      <c r="AI16" s="69"/>
      <c r="AJ16" s="146"/>
      <c r="AK16" s="69"/>
      <c r="AL16" s="69"/>
      <c r="AM16" s="146"/>
      <c r="AN16" s="69"/>
      <c r="AO16" s="69"/>
      <c r="AP16" s="146"/>
      <c r="AQ16" s="146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146"/>
      <c r="BV16" s="69"/>
      <c r="BW16" s="69"/>
      <c r="BX16" s="69"/>
      <c r="BY16" s="69"/>
      <c r="BZ16" s="69"/>
      <c r="CA16" s="145"/>
      <c r="CB16" s="69"/>
      <c r="CC16" s="69"/>
      <c r="CD16" s="146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S16" s="2"/>
      <c r="CT16"/>
      <c r="CU16"/>
      <c r="CV16"/>
      <c r="CW16"/>
      <c r="CX16" s="32"/>
      <c r="CY16"/>
      <c r="CZ16"/>
      <c r="DA16"/>
      <c r="DB16" s="2"/>
    </row>
    <row r="17" spans="2:106" ht="15" x14ac:dyDescent="0.25">
      <c r="H17" t="s">
        <v>452</v>
      </c>
      <c r="J17" s="69"/>
      <c r="K17" s="147"/>
      <c r="L17" s="69"/>
      <c r="M17" s="69"/>
      <c r="N17" s="69"/>
      <c r="O17" s="145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146"/>
      <c r="AI17" s="69"/>
      <c r="AJ17" s="146"/>
      <c r="AK17" s="69"/>
      <c r="AL17" s="69"/>
      <c r="AM17" s="146"/>
      <c r="AN17" s="69"/>
      <c r="AO17" s="69"/>
      <c r="AP17" s="146"/>
      <c r="AQ17" s="146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146"/>
      <c r="BV17" s="69"/>
      <c r="BW17" s="69"/>
      <c r="BX17" s="69"/>
      <c r="BY17" s="69"/>
      <c r="BZ17" s="69"/>
      <c r="CA17" s="145"/>
      <c r="CB17" s="69"/>
      <c r="CC17" s="69"/>
      <c r="CD17" s="146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V17" s="2"/>
      <c r="CZ17" s="1"/>
      <c r="DB17" s="2"/>
    </row>
    <row r="18" spans="2:106" ht="18.75" x14ac:dyDescent="0.25">
      <c r="B18"/>
      <c r="G18" s="60"/>
      <c r="J18" s="69"/>
      <c r="K18" s="147"/>
      <c r="L18" s="69"/>
      <c r="M18" s="69"/>
      <c r="N18" s="69"/>
      <c r="O18" s="145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146"/>
      <c r="AI18" s="69"/>
      <c r="AJ18" s="146"/>
      <c r="AK18" s="69"/>
      <c r="AL18" s="69"/>
      <c r="AM18" s="146"/>
      <c r="AN18" s="69"/>
      <c r="AO18" s="69"/>
      <c r="AP18" s="146"/>
      <c r="AQ18" s="146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146"/>
      <c r="BV18" s="69"/>
      <c r="BW18" s="69"/>
      <c r="BX18" s="69"/>
      <c r="BY18" s="69"/>
      <c r="BZ18" s="69"/>
      <c r="CA18" s="145"/>
      <c r="CB18" s="69"/>
      <c r="CC18" s="69"/>
      <c r="CD18" s="146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V18" s="2"/>
      <c r="CZ18" s="1"/>
      <c r="DB18" s="2"/>
    </row>
    <row r="19" spans="2:106" ht="15.75" x14ac:dyDescent="0.25">
      <c r="E19" s="143"/>
      <c r="F19" s="143"/>
      <c r="J19" s="69"/>
      <c r="K19" s="147"/>
      <c r="L19" s="69"/>
      <c r="M19" s="69"/>
      <c r="N19" s="69"/>
      <c r="O19" s="145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146"/>
      <c r="AI19" s="69"/>
      <c r="AJ19" s="146"/>
      <c r="AK19" s="69"/>
      <c r="AL19" s="69"/>
      <c r="AM19" s="146"/>
      <c r="AN19" s="69"/>
      <c r="AO19" s="69"/>
      <c r="AP19" s="146"/>
      <c r="AQ19" s="146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146"/>
      <c r="BV19" s="69"/>
      <c r="BW19" s="69"/>
      <c r="BX19" s="69"/>
      <c r="BY19" s="69"/>
      <c r="BZ19" s="69"/>
      <c r="CA19" s="145"/>
      <c r="CB19" s="69"/>
      <c r="CC19" s="69"/>
      <c r="CD19" s="146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V19" s="2"/>
      <c r="CZ19" s="1"/>
      <c r="DB19" s="2"/>
    </row>
    <row r="20" spans="2:106" ht="15" x14ac:dyDescent="0.25">
      <c r="J20" s="69"/>
      <c r="K20" s="147"/>
      <c r="L20" s="69"/>
      <c r="M20" s="69"/>
      <c r="N20" s="69"/>
      <c r="O20" s="145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146"/>
      <c r="AI20" s="69"/>
      <c r="AJ20" s="146"/>
      <c r="AK20" s="69"/>
      <c r="AL20" s="69"/>
      <c r="AM20" s="146"/>
      <c r="AN20" s="69"/>
      <c r="AO20" s="69"/>
      <c r="AP20" s="146"/>
      <c r="AQ20" s="146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146"/>
      <c r="BV20" s="69"/>
      <c r="BW20" s="69"/>
      <c r="BX20" s="69"/>
      <c r="BY20" s="69"/>
      <c r="BZ20" s="69"/>
      <c r="CA20" s="145"/>
      <c r="CB20" s="69"/>
      <c r="CC20" s="69"/>
      <c r="CD20" s="146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V20" s="2"/>
      <c r="CZ20" s="1"/>
      <c r="DB20" s="2"/>
    </row>
    <row r="21" spans="2:106" ht="15" x14ac:dyDescent="0.25">
      <c r="J21" s="69"/>
      <c r="K21" s="147"/>
      <c r="L21" s="69"/>
      <c r="M21" s="69"/>
      <c r="N21" s="69"/>
      <c r="O21" s="145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146"/>
      <c r="AI21" s="69"/>
      <c r="AJ21" s="146"/>
      <c r="AK21" s="69"/>
      <c r="AL21" s="69"/>
      <c r="AM21" s="146"/>
      <c r="AN21" s="69"/>
      <c r="AO21" s="69"/>
      <c r="AP21" s="146"/>
      <c r="AQ21" s="146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146"/>
      <c r="BV21" s="69"/>
      <c r="BW21" s="69"/>
      <c r="BX21" s="69"/>
      <c r="BY21" s="69"/>
      <c r="BZ21" s="69"/>
      <c r="CA21" s="145"/>
      <c r="CB21" s="69"/>
      <c r="CC21" s="69"/>
      <c r="CD21" s="146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V21" s="2"/>
      <c r="CZ21" s="1"/>
      <c r="DB21" s="2"/>
    </row>
    <row r="22" spans="2:106" ht="15" x14ac:dyDescent="0.25">
      <c r="J22" s="69"/>
      <c r="K22" s="147"/>
      <c r="L22" s="69"/>
      <c r="M22" s="69"/>
      <c r="N22" s="69"/>
      <c r="O22" s="145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146"/>
      <c r="AI22" s="69"/>
      <c r="AJ22" s="146"/>
      <c r="AK22" s="69"/>
      <c r="AL22" s="69"/>
      <c r="AM22" s="146"/>
      <c r="AN22" s="69"/>
      <c r="AO22" s="69"/>
      <c r="AP22" s="146"/>
      <c r="AQ22" s="146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146"/>
      <c r="BV22" s="69"/>
      <c r="BW22" s="69"/>
      <c r="BX22" s="69"/>
      <c r="BY22" s="69"/>
      <c r="BZ22" s="69"/>
      <c r="CA22" s="145"/>
      <c r="CB22" s="69"/>
      <c r="CC22" s="69"/>
      <c r="CD22" s="146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DB22" s="2"/>
    </row>
    <row r="23" spans="2:106" ht="15.75" x14ac:dyDescent="0.25">
      <c r="D23" s="128"/>
      <c r="E23" s="128"/>
      <c r="F23" s="128"/>
      <c r="H23" s="32" t="s">
        <v>939</v>
      </c>
      <c r="J23" s="69"/>
      <c r="K23" s="147"/>
      <c r="L23" s="69"/>
      <c r="M23" s="69"/>
      <c r="N23" s="69"/>
      <c r="O23" s="145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146"/>
      <c r="AI23" s="69"/>
      <c r="AJ23" s="146"/>
      <c r="AK23" s="69"/>
      <c r="AL23" s="69"/>
      <c r="AM23" s="146"/>
      <c r="AN23" s="69"/>
      <c r="AO23" s="69"/>
      <c r="AP23" s="146"/>
      <c r="AQ23" s="146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146"/>
      <c r="BV23" s="69"/>
      <c r="BW23" s="69"/>
      <c r="BX23" s="69"/>
      <c r="BY23" s="69"/>
      <c r="BZ23" s="69"/>
      <c r="CA23" s="145"/>
      <c r="CB23" s="69"/>
      <c r="CC23" s="69"/>
      <c r="CD23" s="146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DB23" s="2"/>
    </row>
    <row r="24" spans="2:106" ht="15.75" x14ac:dyDescent="0.25">
      <c r="D24" s="128"/>
      <c r="E24" s="128"/>
      <c r="F24" s="128"/>
      <c r="H24" t="s">
        <v>942</v>
      </c>
      <c r="J24" s="69"/>
      <c r="K24" s="147"/>
      <c r="L24" s="69"/>
      <c r="M24" s="69"/>
      <c r="N24" s="69"/>
      <c r="O24" s="145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146"/>
      <c r="AI24" s="69"/>
      <c r="AJ24" s="146"/>
      <c r="AK24" s="69"/>
      <c r="AL24" s="69"/>
      <c r="AM24" s="146"/>
      <c r="AN24" s="69"/>
      <c r="AO24" s="69"/>
      <c r="AP24" s="146"/>
      <c r="AQ24" s="146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146"/>
      <c r="BV24" s="69"/>
      <c r="BW24" s="69"/>
      <c r="BX24" s="69"/>
      <c r="BY24" s="69"/>
      <c r="BZ24" s="69"/>
      <c r="CA24" s="145"/>
      <c r="CB24" s="69"/>
      <c r="CC24" s="69"/>
      <c r="CD24" s="146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</row>
    <row r="25" spans="2:106" ht="15.75" x14ac:dyDescent="0.25">
      <c r="D25" s="128"/>
      <c r="E25" s="128"/>
      <c r="F25" s="128"/>
      <c r="H25" t="s">
        <v>311</v>
      </c>
      <c r="J25" s="69"/>
      <c r="K25" s="147"/>
      <c r="L25" s="69"/>
      <c r="M25" s="69"/>
      <c r="N25" s="69"/>
      <c r="O25" s="145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146"/>
      <c r="AI25" s="69"/>
      <c r="AJ25" s="146"/>
      <c r="AK25" s="69"/>
      <c r="AL25" s="69"/>
      <c r="AM25" s="146"/>
      <c r="AN25" s="69"/>
      <c r="AO25" s="69"/>
      <c r="AP25" s="146"/>
      <c r="AQ25" s="146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146"/>
      <c r="BV25" s="69"/>
      <c r="BW25" s="69"/>
      <c r="BX25" s="69"/>
      <c r="BY25" s="69"/>
      <c r="BZ25" s="69"/>
      <c r="CA25" s="145"/>
      <c r="CB25" s="69"/>
      <c r="CC25" s="69"/>
      <c r="CD25" s="146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</row>
    <row r="26" spans="2:106" ht="15.75" x14ac:dyDescent="0.25">
      <c r="D26" s="128"/>
      <c r="E26" s="128"/>
      <c r="F26" s="128"/>
      <c r="J26" s="69"/>
      <c r="K26" s="147"/>
      <c r="L26" s="69"/>
      <c r="M26" s="69"/>
      <c r="N26" s="69"/>
      <c r="O26" s="145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146"/>
      <c r="AI26" s="69"/>
      <c r="AJ26" s="146"/>
      <c r="AK26" s="69"/>
      <c r="AL26" s="69"/>
      <c r="AM26" s="146"/>
      <c r="AN26" s="69"/>
      <c r="AO26" s="69"/>
      <c r="AP26" s="146"/>
      <c r="AQ26" s="146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146"/>
      <c r="BV26" s="69"/>
      <c r="BW26" s="69"/>
      <c r="BX26" s="69"/>
      <c r="BY26" s="69"/>
      <c r="BZ26" s="69"/>
      <c r="CA26" s="145"/>
      <c r="CB26" s="69"/>
      <c r="CC26" s="69"/>
      <c r="CD26" s="146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</row>
    <row r="27" spans="2:106" ht="15.75" x14ac:dyDescent="0.25">
      <c r="D27" s="128"/>
      <c r="E27" s="128"/>
      <c r="F27" s="128"/>
      <c r="J27" s="69"/>
      <c r="K27" s="147"/>
      <c r="L27" s="69"/>
      <c r="M27" s="69"/>
      <c r="N27" s="69"/>
      <c r="O27" s="145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146"/>
      <c r="AI27" s="69"/>
      <c r="AJ27" s="146"/>
      <c r="AK27" s="69"/>
      <c r="AL27" s="69"/>
      <c r="AM27" s="146"/>
      <c r="AN27" s="69"/>
      <c r="AO27" s="69"/>
      <c r="AP27" s="146"/>
      <c r="AQ27" s="146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146"/>
      <c r="BV27" s="69"/>
      <c r="BW27" s="69"/>
      <c r="BX27" s="69"/>
      <c r="BY27" s="69"/>
      <c r="BZ27" s="69"/>
      <c r="CA27" s="145"/>
      <c r="CB27" s="69"/>
      <c r="CC27" s="69"/>
      <c r="CD27" s="146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</row>
    <row r="28" spans="2:106" ht="19.5" customHeight="1" x14ac:dyDescent="0.25">
      <c r="D28" s="128"/>
      <c r="E28" s="128"/>
      <c r="F28" s="128"/>
    </row>
    <row r="29" spans="2:106" ht="19.5" customHeight="1" x14ac:dyDescent="0.25"/>
    <row r="30" spans="2:106" ht="19.5" customHeight="1" x14ac:dyDescent="0.25"/>
    <row r="31" spans="2:106" ht="19.5" customHeight="1" x14ac:dyDescent="0.25"/>
    <row r="32" spans="2:106" ht="19.5" customHeight="1" x14ac:dyDescent="0.25"/>
    <row r="33" ht="19.5" customHeight="1" x14ac:dyDescent="0.25"/>
    <row r="34" ht="19.5" customHeight="1" x14ac:dyDescent="0.25"/>
    <row r="35" ht="19.5" customHeight="1" x14ac:dyDescent="0.25"/>
    <row r="36" ht="19.5" customHeight="1" x14ac:dyDescent="0.25"/>
    <row r="37" ht="19.5" customHeight="1" x14ac:dyDescent="0.25"/>
    <row r="38" ht="19.5" customHeight="1" x14ac:dyDescent="0.25"/>
    <row r="39" ht="19.5" customHeight="1" x14ac:dyDescent="0.25"/>
    <row r="40" ht="19.5" customHeight="1" x14ac:dyDescent="0.25"/>
    <row r="41" ht="19.5" customHeight="1" x14ac:dyDescent="0.25"/>
    <row r="42" ht="19.5" customHeight="1" x14ac:dyDescent="0.25"/>
    <row r="43" ht="19.5" customHeight="1" x14ac:dyDescent="0.25"/>
    <row r="44" ht="19.5" customHeight="1" x14ac:dyDescent="0.25"/>
  </sheetData>
  <phoneticPr fontId="14" type="noConversion"/>
  <conditionalFormatting sqref="G9">
    <cfRule type="iconSet" priority="19">
      <iconSet showValue="0">
        <cfvo type="percent" val="0"/>
        <cfvo type="num" val="-1"/>
        <cfvo type="num" val="0"/>
      </iconSet>
    </cfRule>
  </conditionalFormatting>
  <conditionalFormatting sqref="C5">
    <cfRule type="containsText" dxfId="796" priority="12" operator="containsText" text="KT">
      <formula>NOT(ISERROR(SEARCH("KT",C5)))</formula>
    </cfRule>
    <cfRule type="containsText" dxfId="795" priority="13" operator="containsText" text="JH">
      <formula>NOT(ISERROR(SEARCH("JH",C5)))</formula>
    </cfRule>
    <cfRule type="containsText" dxfId="794" priority="14" operator="containsText" text="CL">
      <formula>NOT(ISERROR(SEARCH("CL",C5)))</formula>
    </cfRule>
    <cfRule type="containsText" dxfId="793" priority="15" operator="containsText" text="CY">
      <formula>NOT(ISERROR(SEARCH("CY",C5)))</formula>
    </cfRule>
    <cfRule type="containsText" dxfId="792" priority="16" operator="containsText" text="ES">
      <formula>NOT(ISERROR(SEARCH("ES",C5)))</formula>
    </cfRule>
  </conditionalFormatting>
  <conditionalFormatting sqref="K16:K27">
    <cfRule type="containsText" dxfId="791" priority="9" operator="containsText" text="【">
      <formula>NOT(ISERROR(SEARCH("【",K16)))</formula>
    </cfRule>
  </conditionalFormatting>
  <conditionalFormatting sqref="H16">
    <cfRule type="notContainsText" dxfId="790" priority="6" operator="notContains" text="/">
      <formula>ISERROR(SEARCH("/",H16))</formula>
    </cfRule>
  </conditionalFormatting>
  <conditionalFormatting sqref="H17">
    <cfRule type="notContainsText" dxfId="789" priority="5" operator="notContains" text="DMI">
      <formula>ISERROR(SEARCH("DMI",H17))</formula>
    </cfRule>
  </conditionalFormatting>
  <conditionalFormatting sqref="H24">
    <cfRule type="notContainsText" dxfId="788" priority="2" operator="notContains" text="/">
      <formula>ISERROR(SEARCH("/",H24))</formula>
    </cfRule>
  </conditionalFormatting>
  <conditionalFormatting sqref="H25">
    <cfRule type="notContainsText" dxfId="787" priority="1" operator="notContains" text="DMI">
      <formula>ISERROR(SEARCH("DMI",H25))</formula>
    </cfRule>
  </conditionalFormatting>
  <dataValidations count="9">
    <dataValidation type="list" allowBlank="1" showInputMessage="1" showErrorMessage="1" promptTitle="⚠️Change Updator" prompt="will wipe out  last week's results" sqref="C5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C4" xr:uid="{EB7A7B11-81D2-4F6D-96B6-417C54D1E8DB}">
      <formula1>dd_Monday</formula1>
    </dataValidation>
    <dataValidation type="list" allowBlank="1" showInputMessage="1" showErrorMessage="1" sqref="C8:C9" xr:uid="{A80797E9-1E83-4191-8030-5056F54365C4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C6" xr:uid="{DABD8501-D4B1-4495-B925-F4098D9932D3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C7" xr:uid="{09D54662-5BA4-488A-B1D2-D58E08F4086C}">
      <formula1>"ON,OFF"</formula1>
    </dataValidation>
    <dataValidation type="list" allowBlank="1" showInputMessage="1" showErrorMessage="1" promptTitle="DMI only or DMI+BBG+台账?" prompt="If set to OFF - only DMI data will be loaded" sqref="C10:C12" xr:uid="{7354D1B4-C643-4336-B89D-A74F904D673A}">
      <formula1>"ON,OFF"</formula1>
    </dataValidation>
    <dataValidation type="list" allowBlank="1" showInputMessage="1" showErrorMessage="1" promptTitle="Has DMI Missed Any ISIN?" prompt="Please spark if you notice" sqref="C11" xr:uid="{2C203DC6-7F28-47BA-9162-EB9D2EFAC4A2}">
      <formula1>"N,YES"</formula1>
    </dataValidation>
    <dataValidation type="list" allowBlank="1" showInputMessage="1" showErrorMessage="1" promptTitle="Need to add tap deal?" prompt="Please spark when needed" sqref="C12" xr:uid="{D786BBAC-8B85-4826-8AFB-917C888E43CA}">
      <formula1>"N,YES"</formula1>
    </dataValidation>
    <dataValidation type="list" allowBlank="1" showInputMessage="1" showErrorMessage="1" sqref="K16:K27" xr:uid="{DB4DAF89-C876-4A80-8B87-F3FF22B16AC6}">
      <formula1>"【Y】,Y,--"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ownload" altText="Refresh_x000a_Button">
                <anchor moveWithCells="1" sizeWithCells="1">
                  <from>
                    <xdr:col>3</xdr:col>
                    <xdr:colOff>1600200</xdr:colOff>
                    <xdr:row>3</xdr:row>
                    <xdr:rowOff>66675</xdr:rowOff>
                  </from>
                  <to>
                    <xdr:col>5</xdr:col>
                    <xdr:colOff>1533525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J73"/>
  <sheetViews>
    <sheetView zoomScale="85" zoomScaleNormal="85" workbookViewId="0">
      <selection activeCell="J3" sqref="J3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1.109375" style="3" bestFit="1" customWidth="1"/>
    <col min="3" max="3" width="13.44140625" style="3" bestFit="1" customWidth="1"/>
    <col min="4" max="4" width="9.44140625" style="3" bestFit="1" customWidth="1"/>
    <col min="5" max="5" width="31.6640625" style="3" bestFit="1" customWidth="1"/>
    <col min="6" max="6" width="9.44140625" style="3" bestFit="1" customWidth="1"/>
    <col min="7" max="7" width="9.44140625" style="3" bestFit="1" customWidth="1" outlineLevel="1"/>
    <col min="8" max="8" width="6.109375" style="3" bestFit="1" customWidth="1" outlineLevel="1"/>
    <col min="9" max="9" width="7.77734375" style="3" bestFit="1" customWidth="1" outlineLevel="1"/>
    <col min="10" max="11" width="11.109375" style="3" bestFit="1" customWidth="1" outlineLevel="1"/>
    <col min="12" max="12" width="17.5546875" style="3" bestFit="1" customWidth="1" outlineLevel="1"/>
    <col min="13" max="15" width="3.6640625" style="3" customWidth="1"/>
    <col min="16" max="16" width="9.33203125" style="3" bestFit="1" customWidth="1"/>
    <col min="17" max="17" width="31.5546875" style="3" bestFit="1" customWidth="1"/>
    <col min="18" max="18" width="4.109375" style="3" bestFit="1" customWidth="1"/>
    <col min="19" max="19" width="5.6640625" style="3" bestFit="1" customWidth="1"/>
    <col min="20" max="20" width="5.77734375" style="3" bestFit="1" customWidth="1" outlineLevel="1"/>
    <col min="21" max="21" width="7.6640625" style="3" customWidth="1" outlineLevel="1"/>
    <col min="22" max="22" width="4.33203125" style="3" customWidth="1" outlineLevel="1"/>
    <col min="23" max="23" width="7.6640625" style="3" customWidth="1" outlineLevel="1"/>
    <col min="24" max="24" width="4.6640625" style="3" bestFit="1" customWidth="1" outlineLevel="1"/>
    <col min="25" max="25" width="10.44140625" style="3" customWidth="1" outlineLevel="1"/>
    <col min="26" max="26" width="4.33203125" style="3" customWidth="1" outlineLevel="1"/>
    <col min="27" max="27" width="5.77734375" style="3" bestFit="1" customWidth="1" outlineLevel="1"/>
    <col min="28" max="28" width="9.5546875" style="3" customWidth="1" outlineLevel="1"/>
    <col min="29" max="29" width="6" style="3" bestFit="1" customWidth="1" outlineLevel="1"/>
    <col min="30" max="30" width="7.6640625" style="3" customWidth="1" outlineLevel="1"/>
    <col min="31" max="31" width="6" style="3" customWidth="1" outlineLevel="1"/>
    <col min="32" max="32" width="6" style="3" bestFit="1" customWidth="1" outlineLevel="1"/>
    <col min="33" max="33" width="7" style="3" bestFit="1" customWidth="1" outlineLevel="1"/>
    <col min="34" max="34" width="13.33203125" style="3" bestFit="1" customWidth="1" outlineLevel="1"/>
    <col min="35" max="35" width="17.44140625" style="3" bestFit="1" customWidth="1" outlineLevel="1"/>
    <col min="36" max="40" width="2" style="3" customWidth="1"/>
    <col min="41" max="41" width="29.88671875" style="3" bestFit="1" customWidth="1"/>
    <col min="42" max="42" width="17.33203125" style="3" bestFit="1" customWidth="1"/>
    <col min="43" max="43" width="13.21875" style="3" bestFit="1" customWidth="1" outlineLevel="1"/>
    <col min="44" max="44" width="9.33203125" style="3" customWidth="1" outlineLevel="1"/>
    <col min="45" max="45" width="7.6640625" style="3" customWidth="1" outlineLevel="1"/>
    <col min="46" max="46" width="12" style="3" bestFit="1" customWidth="1" outlineLevel="1"/>
    <col min="47" max="47" width="9.88671875" style="3" bestFit="1" customWidth="1" outlineLevel="1"/>
    <col min="48" max="48" width="7.6640625" style="3" customWidth="1" outlineLevel="1"/>
    <col min="49" max="49" width="13.6640625" style="3" customWidth="1" outlineLevel="1"/>
    <col min="50" max="50" width="4.33203125" style="3" customWidth="1" outlineLevel="1"/>
    <col min="51" max="51" width="9.5546875" style="3" customWidth="1" outlineLevel="1"/>
    <col min="52" max="52" width="7.6640625" style="3" customWidth="1" outlineLevel="1"/>
    <col min="53" max="53" width="7.21875" style="3" bestFit="1" customWidth="1"/>
    <col min="54" max="55" width="7.6640625" style="3" bestFit="1" customWidth="1"/>
    <col min="56" max="57" width="7.77734375" style="3" bestFit="1" customWidth="1"/>
    <col min="58" max="58" width="7.33203125" style="3" bestFit="1" customWidth="1"/>
    <col min="59" max="59" width="7.77734375" style="3" bestFit="1" customWidth="1"/>
    <col min="60" max="60" width="7.6640625" style="23" bestFit="1" customWidth="1"/>
    <col min="61" max="61" width="7.21875" style="23" bestFit="1" customWidth="1"/>
    <col min="62" max="63" width="7.6640625" style="23" bestFit="1" customWidth="1"/>
    <col min="64" max="64" width="9.21875" style="23" bestFit="1" customWidth="1"/>
    <col min="65" max="66" width="9.44140625" style="23" bestFit="1" customWidth="1"/>
    <col min="67" max="68" width="11.109375" style="23" bestFit="1" customWidth="1"/>
    <col min="69" max="69" width="9.44140625" style="23" bestFit="1" customWidth="1"/>
    <col min="70" max="70" width="9" style="23" bestFit="1" customWidth="1"/>
    <col min="71" max="72" width="9.44140625" style="23" bestFit="1" customWidth="1"/>
    <col min="73" max="73" width="9.21875" style="23" bestFit="1" customWidth="1"/>
    <col min="74" max="74" width="8.77734375" style="23" bestFit="1" customWidth="1"/>
    <col min="75" max="75" width="9.21875" style="23" bestFit="1" customWidth="1"/>
    <col min="76" max="76" width="42.77734375" style="23" bestFit="1" customWidth="1"/>
    <col min="77" max="77" width="9.21875" style="23" bestFit="1" customWidth="1"/>
    <col min="78" max="78" width="9.44140625" style="23" bestFit="1" customWidth="1"/>
    <col min="79" max="79" width="8.77734375" style="23" bestFit="1" customWidth="1"/>
    <col min="80" max="80" width="9.21875" style="23" bestFit="1" customWidth="1"/>
    <col min="81" max="81" width="15.21875" style="23" bestFit="1" customWidth="1"/>
    <col min="82" max="82" width="5.88671875" style="23" bestFit="1" customWidth="1"/>
    <col min="83" max="83" width="10.77734375" style="23" bestFit="1" customWidth="1"/>
    <col min="84" max="84" width="10.88671875" style="23" bestFit="1" customWidth="1"/>
    <col min="85" max="85" width="11.44140625" style="23" bestFit="1" customWidth="1"/>
    <col min="86" max="86" width="13.5546875" style="23" bestFit="1" customWidth="1"/>
    <col min="87" max="87" width="42.77734375" style="23" bestFit="1" customWidth="1"/>
    <col min="88" max="88" width="9.21875" style="23" bestFit="1" customWidth="1"/>
    <col min="89" max="89" width="10.88671875" style="23" bestFit="1" customWidth="1"/>
    <col min="90" max="90" width="11.44140625" style="23" bestFit="1" customWidth="1"/>
    <col min="91" max="91" width="13.5546875" style="23" bestFit="1" customWidth="1"/>
    <col min="92" max="92" width="51.44140625" style="23" bestFit="1" customWidth="1"/>
    <col min="93" max="93" width="9.21875" style="23" bestFit="1" customWidth="1"/>
    <col min="94" max="94" width="51.44140625" style="23" bestFit="1" customWidth="1"/>
    <col min="95" max="95" width="9.21875" style="23" bestFit="1" customWidth="1"/>
    <col min="96" max="96" width="11.6640625" style="23" bestFit="1" customWidth="1"/>
    <col min="97" max="97" width="15.5546875" style="23" bestFit="1" customWidth="1"/>
    <col min="98" max="98" width="9.44140625" style="23" bestFit="1" customWidth="1"/>
    <col min="99" max="99" width="11.6640625" style="23" bestFit="1" customWidth="1"/>
    <col min="100" max="100" width="15.5546875" style="23" bestFit="1" customWidth="1"/>
    <col min="101" max="101" width="9.44140625" style="23" bestFit="1" customWidth="1"/>
    <col min="102" max="102" width="15.44140625" style="23" bestFit="1" customWidth="1"/>
    <col min="103" max="103" width="6.109375" style="23" bestFit="1" customWidth="1"/>
    <col min="104" max="104" width="15.21875" style="23" bestFit="1" customWidth="1"/>
    <col min="105" max="105" width="5.88671875" style="23" bestFit="1" customWidth="1"/>
    <col min="106" max="106" width="13.109375" style="23" bestFit="1" customWidth="1"/>
    <col min="107" max="107" width="5.88671875" style="23" bestFit="1" customWidth="1"/>
    <col min="108" max="108" width="9.6640625" style="23" bestFit="1" customWidth="1"/>
    <col min="109" max="109" width="14" style="23" bestFit="1" customWidth="1"/>
    <col min="110" max="110" width="14.109375" style="23" bestFit="1" customWidth="1"/>
    <col min="111" max="111" width="13.33203125" style="23" bestFit="1" customWidth="1"/>
    <col min="112" max="113" width="8.109375" style="23" customWidth="1"/>
    <col min="114" max="114" width="8.88671875" style="23" bestFit="1" customWidth="1"/>
    <col min="115" max="135" width="8.109375" style="3" customWidth="1"/>
    <col min="136" max="139" width="9" style="3" customWidth="1"/>
    <col min="140" max="140" width="2.88671875" style="3" customWidth="1"/>
    <col min="141" max="141" width="8.109375" style="3" customWidth="1"/>
    <col min="142" max="142" width="9" style="3" customWidth="1"/>
    <col min="143" max="143" width="6.109375" style="3" bestFit="1" customWidth="1"/>
    <col min="144" max="144" width="7.77734375" style="3" bestFit="1" customWidth="1"/>
    <col min="145" max="16384" width="8.88671875" style="3"/>
  </cols>
  <sheetData>
    <row r="1" spans="1:114" s="1" customFormat="1" ht="49.5" customHeight="1" x14ac:dyDescent="0.25">
      <c r="A1" s="34" t="s">
        <v>146</v>
      </c>
      <c r="C1" s="5"/>
      <c r="E1" s="124">
        <f>COUNTA(ForReview_Issuer[#Headers])</f>
        <v>11</v>
      </c>
      <c r="F1" s="102">
        <f>IF(E1&lt;=11,1,IF(E1&gt;13,-5,0))</f>
        <v>1</v>
      </c>
      <c r="Q1" s="7"/>
      <c r="R1" s="124">
        <f>COUNTA(ForReview_wCurated[#Headers])</f>
        <v>20</v>
      </c>
      <c r="S1" s="102">
        <f>IF(R1&lt;=20,1,IF(R1&gt;22,-5,0))</f>
        <v>1</v>
      </c>
      <c r="AO1" s="124">
        <f>COUNTA(ForReview_wBOCOM[#Headers])</f>
        <v>14</v>
      </c>
      <c r="AP1" s="102">
        <f>IF(AO1&lt;=14,1,IF(AO1&gt;16,-5,0))</f>
        <v>1</v>
      </c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</row>
    <row r="2" spans="1:114" s="1" customFormat="1" ht="49.5" customHeight="1" x14ac:dyDescent="0.25"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X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</row>
    <row r="3" spans="1:114" s="1" customFormat="1" ht="49.5" customHeight="1" x14ac:dyDescent="0.25">
      <c r="I3" s="10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</row>
    <row r="4" spans="1:114" ht="61.5" customHeight="1" x14ac:dyDescent="0.25">
      <c r="P4" s="4"/>
      <c r="Q4" s="7"/>
      <c r="R4" s="7"/>
      <c r="T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4" ht="15" x14ac:dyDescent="0.25">
      <c r="B5" t="s">
        <v>441</v>
      </c>
      <c r="C5" t="s">
        <v>48</v>
      </c>
      <c r="D5" t="s">
        <v>49</v>
      </c>
      <c r="E5" t="s">
        <v>94</v>
      </c>
      <c r="F5" t="s">
        <v>135</v>
      </c>
      <c r="G5" t="s">
        <v>178</v>
      </c>
      <c r="H5" t="s">
        <v>90</v>
      </c>
      <c r="I5" t="s">
        <v>41</v>
      </c>
      <c r="J5" t="s">
        <v>187</v>
      </c>
      <c r="K5" t="s">
        <v>188</v>
      </c>
      <c r="L5" t="s">
        <v>140</v>
      </c>
      <c r="P5" t="s">
        <v>49</v>
      </c>
      <c r="Q5" t="s">
        <v>94</v>
      </c>
      <c r="R5" t="s">
        <v>139</v>
      </c>
      <c r="S5" t="s">
        <v>88</v>
      </c>
      <c r="T5" t="s">
        <v>53</v>
      </c>
      <c r="U5" t="s">
        <v>167</v>
      </c>
      <c r="V5" t="s">
        <v>152</v>
      </c>
      <c r="W5" t="s">
        <v>141</v>
      </c>
      <c r="X5" t="s">
        <v>64</v>
      </c>
      <c r="Y5" t="s">
        <v>57</v>
      </c>
      <c r="Z5" t="s">
        <v>87</v>
      </c>
      <c r="AA5" t="s">
        <v>120</v>
      </c>
      <c r="AB5" t="s">
        <v>153</v>
      </c>
      <c r="AC5" t="s">
        <v>91</v>
      </c>
      <c r="AD5" t="s">
        <v>211</v>
      </c>
      <c r="AE5" t="s">
        <v>174</v>
      </c>
      <c r="AF5" t="s">
        <v>175</v>
      </c>
      <c r="AG5" t="s">
        <v>212</v>
      </c>
      <c r="AH5" t="s">
        <v>48</v>
      </c>
      <c r="AI5" t="s">
        <v>140</v>
      </c>
      <c r="AO5" t="s">
        <v>94</v>
      </c>
      <c r="AP5" s="68" t="s">
        <v>140</v>
      </c>
      <c r="AQ5" s="68" t="s">
        <v>48</v>
      </c>
      <c r="AR5" s="68" t="s">
        <v>49</v>
      </c>
      <c r="AS5" s="69" t="s">
        <v>205</v>
      </c>
      <c r="AT5" s="69" t="s">
        <v>189</v>
      </c>
      <c r="AU5" s="69" t="s">
        <v>173</v>
      </c>
      <c r="AV5" s="68" t="s">
        <v>172</v>
      </c>
      <c r="AW5" s="69" t="s">
        <v>183</v>
      </c>
      <c r="AX5" s="69" t="s">
        <v>171</v>
      </c>
      <c r="AY5" s="68" t="s">
        <v>147</v>
      </c>
      <c r="AZ5" s="69" t="s">
        <v>201</v>
      </c>
      <c r="BA5" s="69" t="s">
        <v>202</v>
      </c>
      <c r="BB5" s="69" t="s">
        <v>203</v>
      </c>
      <c r="BH5" t="s">
        <v>94</v>
      </c>
      <c r="BI5" t="s">
        <v>179</v>
      </c>
      <c r="BJ5" t="s">
        <v>206</v>
      </c>
      <c r="BK5" t="s">
        <v>229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</row>
    <row r="6" spans="1:114" ht="15" x14ac:dyDescent="0.25">
      <c r="B6"/>
      <c r="C6"/>
      <c r="D6" s="45"/>
      <c r="E6"/>
      <c r="F6"/>
      <c r="G6"/>
      <c r="H6"/>
      <c r="I6"/>
      <c r="J6"/>
      <c r="K6"/>
      <c r="L6"/>
      <c r="P6" s="45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O6"/>
      <c r="AP6" s="69"/>
      <c r="AQ6" s="68"/>
      <c r="AR6" s="83"/>
      <c r="AS6" s="69"/>
      <c r="AT6" s="69"/>
      <c r="AU6" s="69"/>
      <c r="AV6" s="69"/>
      <c r="AW6" s="69"/>
      <c r="AX6" s="69"/>
      <c r="AY6" s="69"/>
      <c r="AZ6" s="69"/>
      <c r="BA6" s="69"/>
      <c r="BB6" s="69"/>
      <c r="BH6"/>
      <c r="BI6"/>
      <c r="BJ6"/>
      <c r="BK6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</row>
    <row r="7" spans="1:114" ht="15" x14ac:dyDescent="0.25">
      <c r="B7"/>
      <c r="C7"/>
      <c r="D7" s="45"/>
      <c r="E7"/>
      <c r="F7"/>
      <c r="G7"/>
      <c r="H7"/>
      <c r="I7"/>
      <c r="J7"/>
      <c r="K7"/>
      <c r="L7"/>
      <c r="P7" s="45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O7"/>
      <c r="AP7" s="69"/>
      <c r="AQ7" s="68"/>
      <c r="AR7" s="83"/>
      <c r="AS7" s="69"/>
      <c r="AT7" s="69"/>
      <c r="AU7" s="69"/>
      <c r="AV7" s="69"/>
      <c r="AW7" s="69"/>
      <c r="AX7" s="69"/>
      <c r="AY7" s="69"/>
      <c r="AZ7" s="69"/>
      <c r="BA7" s="69"/>
      <c r="BB7" s="69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5" x14ac:dyDescent="0.25">
      <c r="B8"/>
      <c r="C8"/>
      <c r="D8" s="45"/>
      <c r="E8"/>
      <c r="F8"/>
      <c r="G8"/>
      <c r="H8"/>
      <c r="I8"/>
      <c r="J8"/>
      <c r="K8"/>
      <c r="L8"/>
      <c r="P8" s="45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X8" s="23"/>
      <c r="AY8" s="23"/>
      <c r="AZ8" s="23"/>
      <c r="BA8" s="23"/>
      <c r="BB8" s="2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</row>
    <row r="9" spans="1:114" ht="15" x14ac:dyDescent="0.25">
      <c r="B9"/>
      <c r="C9"/>
      <c r="D9" s="45"/>
      <c r="E9"/>
      <c r="F9"/>
      <c r="G9"/>
      <c r="H9"/>
      <c r="I9"/>
      <c r="J9"/>
      <c r="K9"/>
      <c r="L9"/>
      <c r="P9" s="45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X9" s="23"/>
      <c r="AY9" s="23"/>
      <c r="AZ9" s="23"/>
      <c r="BA9" s="23"/>
      <c r="BB9" s="2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</row>
    <row r="10" spans="1:114" ht="15" x14ac:dyDescent="0.25">
      <c r="B10"/>
      <c r="C10"/>
      <c r="D10" s="45"/>
      <c r="E10"/>
      <c r="F10"/>
      <c r="G10"/>
      <c r="H10"/>
      <c r="I10"/>
      <c r="J10"/>
      <c r="K10"/>
      <c r="L10"/>
      <c r="P10" s="45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Q10" s="23"/>
      <c r="AR10" s="23"/>
      <c r="AS10" s="23"/>
      <c r="AT10" s="23"/>
      <c r="AX10" s="23"/>
      <c r="AY10" s="23"/>
      <c r="AZ10" s="23"/>
      <c r="BA10" s="23"/>
      <c r="BB10" s="2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</row>
    <row r="11" spans="1:114" ht="15" x14ac:dyDescent="0.25">
      <c r="B11"/>
      <c r="C11"/>
      <c r="D11" s="45"/>
      <c r="E11"/>
      <c r="F11"/>
      <c r="G11"/>
      <c r="H11"/>
      <c r="I11"/>
      <c r="J11"/>
      <c r="K11"/>
      <c r="L11"/>
      <c r="P11" s="45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33"/>
      <c r="BF11" s="23"/>
      <c r="BG11" s="23"/>
      <c r="BI11" s="3"/>
      <c r="BK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</row>
    <row r="12" spans="1:114" ht="15" x14ac:dyDescent="0.25">
      <c r="B12"/>
      <c r="C12"/>
      <c r="D12" s="45"/>
      <c r="E12"/>
      <c r="F12"/>
      <c r="G12"/>
      <c r="H12"/>
      <c r="I12"/>
      <c r="J12"/>
      <c r="K12"/>
      <c r="L12"/>
      <c r="P12" s="45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F12" s="23"/>
      <c r="BG12" s="23"/>
      <c r="BI12" s="3"/>
      <c r="BK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</row>
    <row r="13" spans="1:114" ht="15" x14ac:dyDescent="0.25">
      <c r="B13"/>
      <c r="C13"/>
      <c r="D13" s="45"/>
      <c r="E13"/>
      <c r="F13"/>
      <c r="G13"/>
      <c r="H13"/>
      <c r="I13"/>
      <c r="J13"/>
      <c r="K13"/>
      <c r="L13"/>
      <c r="P13" s="45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L13" s="23"/>
      <c r="AO13" s="23"/>
      <c r="AP13" s="23"/>
      <c r="AQ13" s="23"/>
      <c r="AR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I13" s="3"/>
      <c r="BJ13" s="3"/>
      <c r="BK13" s="3"/>
      <c r="BL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</row>
    <row r="14" spans="1:114" ht="15" x14ac:dyDescent="0.25">
      <c r="B14"/>
      <c r="C14"/>
      <c r="D14" s="45"/>
      <c r="E14"/>
      <c r="F14"/>
      <c r="G14"/>
      <c r="H14"/>
      <c r="I14"/>
      <c r="J14"/>
      <c r="K14"/>
      <c r="L14"/>
      <c r="P14" s="45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M14" s="23"/>
      <c r="AR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I14" s="3"/>
      <c r="BJ14" s="3"/>
      <c r="BK14" s="3"/>
      <c r="BL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</row>
    <row r="15" spans="1:114" ht="13.5" x14ac:dyDescent="0.25">
      <c r="K15" s="23"/>
      <c r="L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N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I15" s="3"/>
      <c r="BJ15" s="3"/>
      <c r="BK15" s="3"/>
      <c r="BL15" s="3"/>
      <c r="BM15" s="3"/>
      <c r="BN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</row>
    <row r="16" spans="1:114" ht="13.5" x14ac:dyDescent="0.25">
      <c r="L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L16" s="23"/>
      <c r="AN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I16" s="3"/>
      <c r="BJ16" s="3"/>
      <c r="BK16" s="3"/>
      <c r="BL16" s="3"/>
      <c r="BM16" s="3"/>
      <c r="BN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</row>
    <row r="17" spans="12:114" ht="13.5" x14ac:dyDescent="0.25">
      <c r="L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N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I17" s="3"/>
      <c r="BJ17" s="3"/>
      <c r="BK17" s="3"/>
      <c r="BL17" s="3"/>
      <c r="BM17" s="3"/>
      <c r="BN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</row>
    <row r="18" spans="12:114" ht="13.5" x14ac:dyDescent="0.25">
      <c r="L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I18" s="3"/>
      <c r="BJ18" s="3"/>
      <c r="BK18" s="3"/>
      <c r="BL18" s="3"/>
      <c r="BM18" s="3"/>
      <c r="BN18" s="3"/>
      <c r="BO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</row>
    <row r="19" spans="12:114" ht="13.5" x14ac:dyDescent="0.25"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R19" s="3"/>
      <c r="BT19" s="3"/>
      <c r="BU19" s="3"/>
      <c r="BV19" s="3"/>
      <c r="BW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</row>
    <row r="20" spans="12:114" ht="13.5" x14ac:dyDescent="0.25"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CA20" s="3"/>
      <c r="CB20" s="3"/>
      <c r="CE20" s="3"/>
      <c r="CF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</row>
    <row r="21" spans="12:114" ht="13.5" x14ac:dyDescent="0.25"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CA21" s="3"/>
      <c r="CB21" s="3"/>
      <c r="CE21" s="3"/>
      <c r="CF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</row>
    <row r="22" spans="12:114" ht="13.5" x14ac:dyDescent="0.25"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CF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</row>
    <row r="23" spans="12:114" ht="13.5" x14ac:dyDescent="0.25"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CF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</row>
    <row r="24" spans="12:114" ht="13.5" x14ac:dyDescent="0.25"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CF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</row>
    <row r="25" spans="12:114" ht="13.5" x14ac:dyDescent="0.25"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CF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</row>
    <row r="26" spans="12:114" ht="13.5" x14ac:dyDescent="0.25"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CF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</row>
    <row r="27" spans="12:114" ht="13.5" x14ac:dyDescent="0.25"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CG27" s="3"/>
      <c r="CH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</row>
    <row r="28" spans="12:114" ht="13.5" x14ac:dyDescent="0.25"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CG28" s="3"/>
      <c r="CH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</row>
    <row r="29" spans="12:114" ht="13.5" x14ac:dyDescent="0.25"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CG29" s="3"/>
      <c r="CH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</row>
    <row r="30" spans="12:114" ht="13.5" x14ac:dyDescent="0.25"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CG30" s="3"/>
      <c r="CH30" s="3"/>
      <c r="CJ30" s="3"/>
      <c r="CK30" s="3"/>
      <c r="CL30" s="3"/>
      <c r="CM30" s="3"/>
      <c r="CN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</row>
    <row r="31" spans="12:114" ht="13.5" x14ac:dyDescent="0.25"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CG31" s="3"/>
      <c r="CH31" s="3"/>
      <c r="CJ31" s="3"/>
      <c r="CK31" s="3"/>
      <c r="CL31" s="3"/>
      <c r="CM31" s="3"/>
      <c r="CN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</row>
    <row r="32" spans="12:114" ht="13.5" x14ac:dyDescent="0.25"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CG32" s="3"/>
      <c r="CH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</row>
    <row r="33" spans="13:114" ht="13.5" x14ac:dyDescent="0.25"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CG33" s="3"/>
      <c r="CH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</row>
    <row r="34" spans="13:114" ht="13.5" x14ac:dyDescent="0.25"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CH34" s="3"/>
      <c r="CI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</row>
    <row r="35" spans="13:114" ht="13.5" x14ac:dyDescent="0.25"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CH35" s="3"/>
      <c r="CI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</row>
    <row r="36" spans="13:114" ht="13.5" x14ac:dyDescent="0.25"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CH36" s="3"/>
      <c r="CI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</row>
    <row r="37" spans="13:114" ht="13.5" x14ac:dyDescent="0.25"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CH37" s="3"/>
      <c r="CI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</row>
    <row r="38" spans="13:114" ht="13.5" x14ac:dyDescent="0.25"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CH38" s="3"/>
      <c r="CI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</row>
    <row r="39" spans="13:114" ht="13.5" x14ac:dyDescent="0.25"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CH39" s="3"/>
      <c r="CI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</row>
    <row r="40" spans="13:114" ht="13.5" x14ac:dyDescent="0.25"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CH40" s="3"/>
      <c r="CI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</row>
    <row r="41" spans="13:114" ht="13.5" x14ac:dyDescent="0.25"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CH41" s="3"/>
      <c r="CI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</row>
    <row r="42" spans="13:114" ht="13.5" x14ac:dyDescent="0.25"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CH42" s="3"/>
      <c r="CI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</row>
    <row r="43" spans="13:114" ht="13.5" x14ac:dyDescent="0.25"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CH43" s="3"/>
      <c r="CI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</row>
    <row r="44" spans="13:114" ht="13.5" x14ac:dyDescent="0.25"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CH44" s="3"/>
      <c r="CI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</row>
    <row r="45" spans="13:114" ht="13.5" x14ac:dyDescent="0.25"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CH45" s="3"/>
      <c r="CI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</row>
    <row r="46" spans="13:114" ht="13.5" x14ac:dyDescent="0.25"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CH46" s="3"/>
      <c r="CI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</row>
    <row r="47" spans="13:114" ht="13.5" x14ac:dyDescent="0.25"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CH47" s="3"/>
      <c r="CI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</row>
    <row r="48" spans="13:114" ht="13.5" x14ac:dyDescent="0.25"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CH48" s="3"/>
      <c r="CI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</row>
    <row r="49" spans="13:114" ht="13.5" x14ac:dyDescent="0.25"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CH49" s="3"/>
      <c r="CI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</row>
    <row r="50" spans="13:114" ht="13.5" x14ac:dyDescent="0.25"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CH50" s="3"/>
      <c r="CI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</row>
    <row r="51" spans="13:114" ht="15.75" customHeight="1" x14ac:dyDescent="0.25"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CH51" s="3"/>
      <c r="CI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</row>
    <row r="52" spans="13:114" ht="15.75" customHeight="1" x14ac:dyDescent="0.25"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CH52" s="3"/>
      <c r="CI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</row>
    <row r="53" spans="13:114" ht="15.75" customHeight="1" x14ac:dyDescent="0.25"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CH53" s="3"/>
      <c r="CI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</row>
    <row r="54" spans="13:114" ht="15.75" customHeight="1" x14ac:dyDescent="0.25"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P54" s="23"/>
      <c r="AQ54" s="23"/>
      <c r="AR54" s="23"/>
      <c r="AS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CH54" s="3"/>
      <c r="CI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</row>
    <row r="55" spans="13:114" ht="15.75" customHeight="1" x14ac:dyDescent="0.25"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P55" s="23"/>
      <c r="AQ55" s="23"/>
      <c r="AR55" s="23"/>
      <c r="AS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CH55" s="3"/>
      <c r="CI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</row>
    <row r="56" spans="13:114" ht="15.75" customHeight="1" x14ac:dyDescent="0.25"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P56" s="23"/>
      <c r="AQ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CH56" s="3"/>
      <c r="CI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</row>
    <row r="57" spans="13:114" ht="15.75" customHeight="1" x14ac:dyDescent="0.25"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Q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CH57" s="3"/>
      <c r="CI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</row>
    <row r="58" spans="13:114" ht="15.75" customHeight="1" x14ac:dyDescent="0.25"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V58" s="23"/>
      <c r="AY58" s="23"/>
      <c r="AZ58" s="23"/>
      <c r="BA58" s="23"/>
      <c r="BB58" s="23"/>
      <c r="BC58" s="23"/>
      <c r="BD58" s="23"/>
      <c r="BE58" s="23"/>
      <c r="BF58" s="23"/>
      <c r="BG58" s="23"/>
      <c r="CH58" s="3"/>
      <c r="CI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</row>
    <row r="59" spans="13:114" ht="13.5" x14ac:dyDescent="0.25"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V59" s="23"/>
      <c r="AY59" s="23"/>
      <c r="AZ59" s="23"/>
      <c r="BA59" s="23"/>
      <c r="BB59" s="23"/>
      <c r="BC59" s="23"/>
      <c r="BD59" s="23"/>
      <c r="BE59" s="23"/>
      <c r="BF59" s="23"/>
      <c r="BG59" s="23"/>
      <c r="CH59" s="3"/>
      <c r="CI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</row>
    <row r="60" spans="13:114" ht="13.5" x14ac:dyDescent="0.25"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V60" s="23"/>
      <c r="AY60" s="23"/>
      <c r="AZ60" s="23"/>
      <c r="BA60" s="23"/>
      <c r="BB60" s="23"/>
      <c r="BC60" s="23"/>
      <c r="BD60" s="23"/>
      <c r="CH60" s="3"/>
      <c r="CI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3:114" ht="13.5" x14ac:dyDescent="0.25"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V61" s="23"/>
      <c r="AY61" s="23"/>
      <c r="BC61" s="23"/>
      <c r="BD61" s="23"/>
      <c r="CH61" s="3"/>
      <c r="CI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</row>
    <row r="62" spans="13:114" ht="13.5" x14ac:dyDescent="0.25"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V62" s="23"/>
      <c r="BC62" s="23"/>
      <c r="BD62" s="23"/>
      <c r="CH62" s="3"/>
      <c r="CI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</row>
    <row r="63" spans="13:114" ht="13.5" x14ac:dyDescent="0.25">
      <c r="M63" s="23"/>
      <c r="N63" s="23"/>
      <c r="O63" s="23"/>
      <c r="AJ63" s="23"/>
      <c r="AK63" s="23"/>
      <c r="AL63" s="23"/>
      <c r="BC63" s="23"/>
      <c r="BD63" s="23"/>
      <c r="CH63" s="3"/>
      <c r="CI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</row>
    <row r="64" spans="13:114" ht="13.5" x14ac:dyDescent="0.25">
      <c r="M64" s="23"/>
      <c r="N64" s="23"/>
      <c r="O64" s="23"/>
      <c r="AJ64" s="23"/>
      <c r="AK64" s="23"/>
      <c r="AL64" s="23"/>
      <c r="CH64" s="3"/>
      <c r="CI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</row>
    <row r="65" spans="13:114" ht="13.5" x14ac:dyDescent="0.25">
      <c r="M65" s="23"/>
      <c r="N65" s="23"/>
      <c r="O65" s="23"/>
      <c r="AJ65" s="23"/>
      <c r="AK65" s="23"/>
      <c r="AL65" s="23"/>
      <c r="CH65" s="3"/>
      <c r="CI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</row>
    <row r="66" spans="13:114" ht="13.5" x14ac:dyDescent="0.25">
      <c r="M66" s="23"/>
      <c r="N66" s="23"/>
      <c r="O66" s="23"/>
      <c r="AJ66" s="23"/>
      <c r="AK66" s="23"/>
      <c r="AL66" s="23"/>
      <c r="CH66" s="3"/>
      <c r="CI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</row>
    <row r="67" spans="13:114" ht="13.5" x14ac:dyDescent="0.25"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</row>
    <row r="68" spans="13:114" ht="13.5" x14ac:dyDescent="0.25"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</row>
    <row r="69" spans="13:114" ht="13.5" x14ac:dyDescent="0.25"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</row>
    <row r="70" spans="13:114" ht="13.5" x14ac:dyDescent="0.25"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</row>
    <row r="71" spans="13:114" ht="13.5" x14ac:dyDescent="0.25"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</row>
    <row r="72" spans="13:114" ht="13.5" x14ac:dyDescent="0.25"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</row>
    <row r="73" spans="13:114" ht="13.5" x14ac:dyDescent="0.25"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</row>
  </sheetData>
  <phoneticPr fontId="14" type="noConversion"/>
  <conditionalFormatting sqref="G3:L3">
    <cfRule type="expression" dxfId="685" priority="19">
      <formula>$G$3&lt;&gt;0</formula>
    </cfRule>
  </conditionalFormatting>
  <conditionalFormatting sqref="S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P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11</xdr:col>
                    <xdr:colOff>1000125</xdr:colOff>
                    <xdr:row>1</xdr:row>
                    <xdr:rowOff>190500</xdr:rowOff>
                  </from>
                  <to>
                    <xdr:col>15</xdr:col>
                    <xdr:colOff>514350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RefreshDLDForReview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3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CZ18"/>
  <sheetViews>
    <sheetView workbookViewId="0">
      <selection activeCell="G13" sqref="G13"/>
    </sheetView>
  </sheetViews>
  <sheetFormatPr defaultRowHeight="15" x14ac:dyDescent="0.25"/>
  <cols>
    <col min="1" max="1" width="7.33203125" style="1" bestFit="1" customWidth="1"/>
    <col min="2" max="2" width="10.5546875" style="1" bestFit="1" customWidth="1"/>
    <col min="3" max="3" width="31.5546875" style="1" bestFit="1" customWidth="1"/>
    <col min="4" max="4" width="6.109375" style="1" bestFit="1" customWidth="1"/>
    <col min="5" max="5" width="13.33203125" style="1" bestFit="1" customWidth="1"/>
    <col min="6" max="6" width="9.33203125" style="1" bestFit="1" customWidth="1"/>
    <col min="7" max="7" width="6.109375" style="1" bestFit="1" customWidth="1"/>
    <col min="8" max="8" width="12.33203125" style="1" bestFit="1" customWidth="1"/>
    <col min="9" max="9" width="11.21875" style="1" bestFit="1" customWidth="1"/>
    <col min="10" max="10" width="17.21875" style="1" bestFit="1" customWidth="1"/>
    <col min="11" max="12" width="80.88671875" style="1" bestFit="1" customWidth="1"/>
    <col min="13" max="13" width="19.6640625" style="1" bestFit="1" customWidth="1"/>
    <col min="14" max="14" width="8.77734375" style="1" bestFit="1" customWidth="1"/>
    <col min="15" max="15" width="9.44140625" style="1" bestFit="1" customWidth="1"/>
    <col min="16" max="16" width="14.44140625" style="1" bestFit="1" customWidth="1"/>
    <col min="17" max="21" width="9.44140625" style="1" bestFit="1" customWidth="1"/>
    <col min="22" max="22" width="11.109375" style="1" bestFit="1" customWidth="1"/>
    <col min="23" max="23" width="80.88671875" style="1" bestFit="1" customWidth="1"/>
    <col min="24" max="24" width="19" style="1" bestFit="1" customWidth="1"/>
    <col min="25" max="25" width="10.33203125" style="1" bestFit="1" customWidth="1"/>
    <col min="26" max="26" width="10.44140625" style="1" bestFit="1" customWidth="1"/>
    <col min="27" max="27" width="11.109375" style="1" bestFit="1" customWidth="1"/>
    <col min="28" max="28" width="25.88671875" style="1" bestFit="1" customWidth="1"/>
    <col min="29" max="29" width="47.33203125" style="1" bestFit="1" customWidth="1"/>
    <col min="30" max="30" width="11.109375" style="1" bestFit="1" customWidth="1"/>
    <col min="31" max="31" width="9.44140625" style="1" bestFit="1" customWidth="1"/>
    <col min="32" max="32" width="12.77734375" style="1" bestFit="1" customWidth="1"/>
    <col min="33" max="33" width="11.109375" style="1" bestFit="1" customWidth="1"/>
    <col min="34" max="34" width="10.33203125" style="1" bestFit="1" customWidth="1"/>
    <col min="35" max="35" width="9.44140625" style="1" bestFit="1" customWidth="1"/>
    <col min="36" max="36" width="12.77734375" style="1" bestFit="1" customWidth="1"/>
    <col min="37" max="37" width="8.109375" style="1" bestFit="1" customWidth="1"/>
    <col min="38" max="38" width="80.88671875" style="1" bestFit="1" customWidth="1"/>
    <col min="39" max="40" width="11.109375" style="1" bestFit="1" customWidth="1"/>
    <col min="41" max="41" width="12.77734375" style="1" bestFit="1" customWidth="1"/>
    <col min="42" max="42" width="9.44140625" style="1" bestFit="1" customWidth="1"/>
    <col min="43" max="43" width="11" style="1" bestFit="1" customWidth="1"/>
    <col min="44" max="44" width="9.44140625" style="1" bestFit="1" customWidth="1"/>
    <col min="45" max="46" width="12.77734375" style="1" bestFit="1" customWidth="1"/>
    <col min="47" max="51" width="9.44140625" style="1" bestFit="1" customWidth="1"/>
    <col min="52" max="52" width="10.5546875" style="1" bestFit="1" customWidth="1"/>
    <col min="53" max="53" width="12.6640625" style="1" bestFit="1" customWidth="1"/>
    <col min="54" max="54" width="7.6640625" style="1" bestFit="1" customWidth="1"/>
    <col min="55" max="55" width="6.109375" style="1" bestFit="1" customWidth="1"/>
    <col min="56" max="56" width="9.44140625" style="1" bestFit="1" customWidth="1"/>
    <col min="57" max="57" width="7.77734375" style="1" bestFit="1" customWidth="1"/>
    <col min="58" max="58" width="14.88671875" style="1" bestFit="1" customWidth="1"/>
    <col min="59" max="59" width="33.21875" style="1" bestFit="1" customWidth="1"/>
    <col min="60" max="61" width="9.44140625" style="1" bestFit="1" customWidth="1"/>
    <col min="62" max="62" width="12.77734375" style="1" bestFit="1" customWidth="1"/>
    <col min="63" max="63" width="31.5546875" style="1" bestFit="1" customWidth="1"/>
    <col min="64" max="64" width="10.33203125" style="1" bestFit="1" customWidth="1"/>
    <col min="65" max="65" width="10.44140625" style="1" bestFit="1" customWidth="1"/>
    <col min="66" max="67" width="12.21875" style="1" bestFit="1" customWidth="1"/>
    <col min="68" max="68" width="9.44140625" style="1" bestFit="1" customWidth="1"/>
    <col min="69" max="69" width="12.77734375" style="1" bestFit="1" customWidth="1"/>
    <col min="70" max="70" width="10.21875" style="1" bestFit="1" customWidth="1"/>
    <col min="71" max="71" width="44.44140625" style="1" bestFit="1" customWidth="1"/>
    <col min="72" max="72" width="12.21875" style="1" bestFit="1" customWidth="1"/>
    <col min="73" max="73" width="11.109375" style="1" bestFit="1" customWidth="1"/>
    <col min="74" max="74" width="9.5546875" style="1" bestFit="1" customWidth="1"/>
    <col min="75" max="75" width="6.109375" style="1" bestFit="1" customWidth="1"/>
    <col min="76" max="76" width="11.33203125" style="1" bestFit="1" customWidth="1"/>
    <col min="77" max="77" width="11.109375" style="1" bestFit="1" customWidth="1"/>
    <col min="78" max="78" width="14.44140625" style="1" bestFit="1" customWidth="1"/>
    <col min="79" max="79" width="18.44140625" style="1" bestFit="1" customWidth="1"/>
    <col min="80" max="82" width="9.44140625" style="1" bestFit="1" customWidth="1"/>
    <col min="83" max="83" width="6.109375" style="1" bestFit="1" customWidth="1"/>
    <col min="84" max="84" width="7.77734375" style="1" bestFit="1" customWidth="1"/>
    <col min="85" max="85" width="6.109375" style="1" bestFit="1" customWidth="1"/>
    <col min="86" max="86" width="9.44140625" style="1" bestFit="1" customWidth="1"/>
    <col min="87" max="87" width="7.77734375" style="1" bestFit="1" customWidth="1"/>
    <col min="88" max="88" width="6.109375" style="1" bestFit="1" customWidth="1"/>
    <col min="89" max="89" width="7.77734375" style="1" bestFit="1" customWidth="1"/>
    <col min="90" max="90" width="9.44140625" style="1" bestFit="1" customWidth="1"/>
    <col min="91" max="91" width="6.77734375" style="1" bestFit="1" customWidth="1"/>
    <col min="92" max="93" width="11.109375" style="1" bestFit="1" customWidth="1"/>
    <col min="94" max="95" width="9.44140625" style="1" bestFit="1" customWidth="1"/>
    <col min="96" max="96" width="5.6640625" style="1" bestFit="1" customWidth="1"/>
    <col min="97" max="97" width="5.88671875" style="1" bestFit="1" customWidth="1"/>
    <col min="98" max="100" width="6.109375" style="1" bestFit="1" customWidth="1"/>
    <col min="101" max="101" width="9.44140625" style="1" bestFit="1" customWidth="1"/>
    <col min="102" max="102" width="11.33203125" style="1" bestFit="1" customWidth="1"/>
    <col min="103" max="103" width="5.88671875" style="1" bestFit="1" customWidth="1"/>
    <col min="104" max="104" width="17.44140625" style="1" bestFit="1" customWidth="1"/>
    <col min="105" max="16384" width="8.88671875" style="1"/>
  </cols>
  <sheetData>
    <row r="1" spans="1:104" ht="46.5" x14ac:dyDescent="0.25">
      <c r="A1" s="46" t="s">
        <v>825</v>
      </c>
    </row>
    <row r="6" spans="1:104" x14ac:dyDescent="0.25">
      <c r="A6" t="s">
        <v>86</v>
      </c>
      <c r="B6" t="s">
        <v>176</v>
      </c>
      <c r="C6" t="s">
        <v>94</v>
      </c>
      <c r="D6" t="s">
        <v>43</v>
      </c>
      <c r="E6" t="s">
        <v>48</v>
      </c>
      <c r="F6" t="s">
        <v>49</v>
      </c>
      <c r="G6" t="s">
        <v>64</v>
      </c>
      <c r="H6" t="s">
        <v>814</v>
      </c>
      <c r="I6" t="s">
        <v>207</v>
      </c>
      <c r="J6" t="s">
        <v>208</v>
      </c>
      <c r="K6" t="s">
        <v>65</v>
      </c>
      <c r="L6" t="s">
        <v>75</v>
      </c>
      <c r="M6" t="s">
        <v>242</v>
      </c>
      <c r="N6" t="s">
        <v>331</v>
      </c>
      <c r="O6" t="s">
        <v>81</v>
      </c>
      <c r="P6" t="s">
        <v>82</v>
      </c>
      <c r="Q6" t="s">
        <v>105</v>
      </c>
      <c r="R6" t="s">
        <v>80</v>
      </c>
      <c r="S6" t="s">
        <v>79</v>
      </c>
      <c r="T6" t="s">
        <v>78</v>
      </c>
      <c r="U6" t="s">
        <v>77</v>
      </c>
      <c r="V6" t="s">
        <v>76</v>
      </c>
      <c r="W6" t="s">
        <v>227</v>
      </c>
      <c r="X6" t="s">
        <v>104</v>
      </c>
      <c r="Y6" t="s">
        <v>74</v>
      </c>
      <c r="Z6" t="s">
        <v>228</v>
      </c>
      <c r="AA6" t="s">
        <v>73</v>
      </c>
      <c r="AB6" t="s">
        <v>72</v>
      </c>
      <c r="AC6" t="s">
        <v>71</v>
      </c>
      <c r="AD6" t="s">
        <v>70</v>
      </c>
      <c r="AE6" t="s">
        <v>69</v>
      </c>
      <c r="AF6" t="s">
        <v>103</v>
      </c>
      <c r="AG6" t="s">
        <v>68</v>
      </c>
      <c r="AH6" t="s">
        <v>67</v>
      </c>
      <c r="AI6" t="s">
        <v>102</v>
      </c>
      <c r="AJ6" t="s">
        <v>101</v>
      </c>
      <c r="AK6" t="s">
        <v>66</v>
      </c>
      <c r="AL6" t="s">
        <v>226</v>
      </c>
      <c r="AM6" t="s">
        <v>225</v>
      </c>
      <c r="AN6" t="s">
        <v>224</v>
      </c>
      <c r="AO6" t="s">
        <v>223</v>
      </c>
      <c r="AP6" t="s">
        <v>97</v>
      </c>
      <c r="AQ6" t="s">
        <v>42</v>
      </c>
      <c r="AR6" t="s">
        <v>222</v>
      </c>
      <c r="AS6" t="s">
        <v>51</v>
      </c>
      <c r="AT6" t="s">
        <v>177</v>
      </c>
      <c r="AU6" t="s">
        <v>44</v>
      </c>
      <c r="AV6" t="s">
        <v>200</v>
      </c>
      <c r="AW6" t="s">
        <v>63</v>
      </c>
      <c r="AX6" t="s">
        <v>62</v>
      </c>
      <c r="AY6" t="s">
        <v>61</v>
      </c>
      <c r="AZ6" t="s">
        <v>132</v>
      </c>
      <c r="BA6" t="s">
        <v>46</v>
      </c>
      <c r="BB6" t="s">
        <v>45</v>
      </c>
      <c r="BC6" t="s">
        <v>95</v>
      </c>
      <c r="BD6" t="s">
        <v>60</v>
      </c>
      <c r="BE6" t="s">
        <v>59</v>
      </c>
      <c r="BF6" t="s">
        <v>56</v>
      </c>
      <c r="BG6" t="s">
        <v>55</v>
      </c>
      <c r="BH6" t="s">
        <v>243</v>
      </c>
      <c r="BI6" t="s">
        <v>330</v>
      </c>
      <c r="BJ6" t="s">
        <v>54</v>
      </c>
      <c r="BK6" t="s">
        <v>100</v>
      </c>
      <c r="BL6" t="s">
        <v>52</v>
      </c>
      <c r="BM6" t="s">
        <v>419</v>
      </c>
      <c r="BN6" t="s">
        <v>58</v>
      </c>
      <c r="BO6" t="s">
        <v>57</v>
      </c>
      <c r="BP6" t="s">
        <v>50</v>
      </c>
      <c r="BQ6" t="s">
        <v>99</v>
      </c>
      <c r="BR6" t="s">
        <v>98</v>
      </c>
      <c r="BS6" t="s">
        <v>47</v>
      </c>
      <c r="BT6" t="s">
        <v>428</v>
      </c>
      <c r="BU6" t="s">
        <v>232</v>
      </c>
      <c r="BV6" t="s">
        <v>623</v>
      </c>
      <c r="BW6" t="s">
        <v>89</v>
      </c>
      <c r="BX6" t="s">
        <v>147</v>
      </c>
      <c r="BY6" t="s">
        <v>236</v>
      </c>
      <c r="BZ6" t="s">
        <v>266</v>
      </c>
      <c r="CA6" t="s">
        <v>145</v>
      </c>
      <c r="CB6" t="s">
        <v>119</v>
      </c>
      <c r="CC6" t="s">
        <v>135</v>
      </c>
      <c r="CD6" t="s">
        <v>178</v>
      </c>
      <c r="CE6" t="s">
        <v>90</v>
      </c>
      <c r="CF6" t="s">
        <v>41</v>
      </c>
      <c r="CG6" t="s">
        <v>91</v>
      </c>
      <c r="CH6" t="s">
        <v>209</v>
      </c>
      <c r="CI6" t="s">
        <v>174</v>
      </c>
      <c r="CJ6" t="s">
        <v>175</v>
      </c>
      <c r="CK6" t="s">
        <v>212</v>
      </c>
      <c r="CL6" t="s">
        <v>141</v>
      </c>
      <c r="CM6" t="s">
        <v>309</v>
      </c>
      <c r="CN6" t="s">
        <v>188</v>
      </c>
      <c r="CO6" t="s">
        <v>187</v>
      </c>
      <c r="CP6" t="s">
        <v>169</v>
      </c>
      <c r="CQ6" t="s">
        <v>167</v>
      </c>
      <c r="CR6" t="s">
        <v>88</v>
      </c>
      <c r="CS6" t="s">
        <v>53</v>
      </c>
      <c r="CT6" t="s">
        <v>152</v>
      </c>
      <c r="CU6" t="s">
        <v>120</v>
      </c>
      <c r="CV6" t="s">
        <v>87</v>
      </c>
      <c r="CW6" t="s">
        <v>211</v>
      </c>
      <c r="CX6" t="s">
        <v>153</v>
      </c>
      <c r="CY6" t="s">
        <v>139</v>
      </c>
      <c r="CZ6" t="s">
        <v>140</v>
      </c>
    </row>
    <row r="7" spans="1:104" x14ac:dyDescent="0.25">
      <c r="A7">
        <v>12</v>
      </c>
      <c r="B7" t="s">
        <v>787</v>
      </c>
      <c r="C7" t="s">
        <v>555</v>
      </c>
      <c r="D7" t="s">
        <v>1</v>
      </c>
      <c r="E7" t="s">
        <v>554</v>
      </c>
      <c r="F7" s="45">
        <v>45197</v>
      </c>
      <c r="G7" t="s">
        <v>106</v>
      </c>
      <c r="H7" t="s">
        <v>92</v>
      </c>
      <c r="I7" t="s">
        <v>92</v>
      </c>
      <c r="J7" t="s">
        <v>92</v>
      </c>
      <c r="K7" t="s">
        <v>701</v>
      </c>
      <c r="L7" t="s">
        <v>696</v>
      </c>
      <c r="M7" t="s">
        <v>694</v>
      </c>
      <c r="N7" t="s">
        <v>92</v>
      </c>
      <c r="O7" t="s">
        <v>92</v>
      </c>
      <c r="P7" t="s">
        <v>92</v>
      </c>
      <c r="Q7" t="s">
        <v>92</v>
      </c>
      <c r="R7" t="s">
        <v>625</v>
      </c>
      <c r="S7" t="s">
        <v>626</v>
      </c>
      <c r="T7" t="s">
        <v>627</v>
      </c>
      <c r="U7" t="s">
        <v>628</v>
      </c>
      <c r="V7" t="s">
        <v>628</v>
      </c>
      <c r="W7" t="s">
        <v>695</v>
      </c>
      <c r="X7" t="s">
        <v>92</v>
      </c>
      <c r="Y7" s="45">
        <v>45209</v>
      </c>
      <c r="Z7" t="s">
        <v>92</v>
      </c>
      <c r="AA7" s="45">
        <v>45209</v>
      </c>
      <c r="AB7" t="s">
        <v>92</v>
      </c>
      <c r="AC7" t="s">
        <v>697</v>
      </c>
      <c r="AD7" s="45">
        <v>45573</v>
      </c>
      <c r="AE7" t="s">
        <v>92</v>
      </c>
      <c r="AF7">
        <v>7.5</v>
      </c>
      <c r="AG7" s="45"/>
      <c r="AH7" s="45">
        <v>45209</v>
      </c>
      <c r="AI7">
        <v>0.9</v>
      </c>
      <c r="AJ7">
        <v>10000</v>
      </c>
      <c r="AK7" t="s">
        <v>698</v>
      </c>
      <c r="AL7" t="s">
        <v>92</v>
      </c>
      <c r="AM7" t="s">
        <v>92</v>
      </c>
      <c r="AN7" t="s">
        <v>92</v>
      </c>
      <c r="AO7"/>
      <c r="AP7" t="s">
        <v>673</v>
      </c>
      <c r="AQ7" t="s">
        <v>636</v>
      </c>
      <c r="AR7" t="s">
        <v>699</v>
      </c>
      <c r="AS7" t="s">
        <v>423</v>
      </c>
      <c r="AT7" t="s">
        <v>638</v>
      </c>
      <c r="AU7" t="s">
        <v>700</v>
      </c>
      <c r="AV7" t="s">
        <v>334</v>
      </c>
      <c r="AW7"/>
      <c r="AX7"/>
      <c r="AY7"/>
      <c r="AZ7"/>
      <c r="BA7" t="s">
        <v>702</v>
      </c>
      <c r="BB7" t="s">
        <v>703</v>
      </c>
      <c r="BC7" t="s">
        <v>704</v>
      </c>
      <c r="BD7"/>
      <c r="BE7">
        <v>100</v>
      </c>
      <c r="BF7" t="s">
        <v>643</v>
      </c>
      <c r="BG7" t="s">
        <v>92</v>
      </c>
      <c r="BH7" t="s">
        <v>644</v>
      </c>
      <c r="BI7" t="s">
        <v>645</v>
      </c>
      <c r="BJ7"/>
      <c r="BK7" t="s">
        <v>110</v>
      </c>
      <c r="BL7" s="45">
        <v>45573</v>
      </c>
      <c r="BM7">
        <v>7.4999999999999997E-2</v>
      </c>
      <c r="BN7" t="s">
        <v>705</v>
      </c>
      <c r="BO7">
        <v>0.9</v>
      </c>
      <c r="BP7" t="s">
        <v>638</v>
      </c>
      <c r="BQ7" t="s">
        <v>638</v>
      </c>
      <c r="BR7" t="s">
        <v>638</v>
      </c>
      <c r="BS7" t="s">
        <v>706</v>
      </c>
      <c r="BT7" t="s">
        <v>247</v>
      </c>
      <c r="BU7" s="45"/>
      <c r="BV7" t="s">
        <v>7</v>
      </c>
      <c r="BW7" t="s">
        <v>10</v>
      </c>
      <c r="BX7" t="s">
        <v>7</v>
      </c>
      <c r="BY7" t="s">
        <v>255</v>
      </c>
      <c r="BZ7" t="s">
        <v>7</v>
      </c>
      <c r="CA7" t="s">
        <v>92</v>
      </c>
      <c r="CB7"/>
      <c r="CC7" t="s">
        <v>83</v>
      </c>
      <c r="CD7" t="s">
        <v>83</v>
      </c>
      <c r="CE7" t="s">
        <v>37</v>
      </c>
      <c r="CF7" t="s">
        <v>92</v>
      </c>
      <c r="CG7" t="s">
        <v>110</v>
      </c>
      <c r="CH7" t="s">
        <v>92</v>
      </c>
      <c r="CI7">
        <v>0.123</v>
      </c>
      <c r="CJ7">
        <v>0.9</v>
      </c>
      <c r="CK7">
        <v>0.96599999999999997</v>
      </c>
      <c r="CL7" t="s">
        <v>92</v>
      </c>
      <c r="CM7" t="s">
        <v>92</v>
      </c>
      <c r="CN7" t="s">
        <v>7</v>
      </c>
      <c r="CO7" t="s">
        <v>7</v>
      </c>
      <c r="CP7" t="s">
        <v>115</v>
      </c>
      <c r="CQ7"/>
      <c r="CR7" t="s">
        <v>92</v>
      </c>
      <c r="CS7" t="s">
        <v>92</v>
      </c>
      <c r="CT7" t="s">
        <v>92</v>
      </c>
      <c r="CU7" t="s">
        <v>793</v>
      </c>
      <c r="CV7" t="s">
        <v>792</v>
      </c>
      <c r="CW7" t="s">
        <v>794</v>
      </c>
      <c r="CX7" t="s">
        <v>7</v>
      </c>
      <c r="CY7" t="s">
        <v>92</v>
      </c>
      <c r="CZ7" t="s">
        <v>558</v>
      </c>
    </row>
    <row r="8" spans="1:104" x14ac:dyDescent="0.25">
      <c r="A8">
        <v>11</v>
      </c>
      <c r="B8" t="s">
        <v>788</v>
      </c>
      <c r="C8" t="s">
        <v>550</v>
      </c>
      <c r="D8" t="s">
        <v>1</v>
      </c>
      <c r="E8" t="s">
        <v>470</v>
      </c>
      <c r="F8" s="45">
        <v>45197</v>
      </c>
      <c r="G8" t="s">
        <v>85</v>
      </c>
      <c r="H8" t="s">
        <v>92</v>
      </c>
      <c r="I8" t="s">
        <v>92</v>
      </c>
      <c r="J8" t="s">
        <v>471</v>
      </c>
      <c r="K8" t="s">
        <v>688</v>
      </c>
      <c r="L8" t="s">
        <v>684</v>
      </c>
      <c r="M8" t="s">
        <v>682</v>
      </c>
      <c r="N8" t="s">
        <v>92</v>
      </c>
      <c r="O8" t="s">
        <v>131</v>
      </c>
      <c r="P8" t="s">
        <v>92</v>
      </c>
      <c r="Q8" t="s">
        <v>92</v>
      </c>
      <c r="R8" t="s">
        <v>625</v>
      </c>
      <c r="S8" t="s">
        <v>626</v>
      </c>
      <c r="T8" t="s">
        <v>627</v>
      </c>
      <c r="U8" t="s">
        <v>628</v>
      </c>
      <c r="V8" t="s">
        <v>628</v>
      </c>
      <c r="W8" t="s">
        <v>683</v>
      </c>
      <c r="X8" t="s">
        <v>653</v>
      </c>
      <c r="Y8" s="45">
        <v>45215</v>
      </c>
      <c r="Z8" t="s">
        <v>471</v>
      </c>
      <c r="AA8" s="45">
        <v>45215</v>
      </c>
      <c r="AB8" t="s">
        <v>92</v>
      </c>
      <c r="AC8" t="s">
        <v>550</v>
      </c>
      <c r="AD8" s="45">
        <v>45398</v>
      </c>
      <c r="AE8" t="s">
        <v>92</v>
      </c>
      <c r="AF8">
        <v>7.1</v>
      </c>
      <c r="AG8" s="45"/>
      <c r="AH8" s="45">
        <v>45215</v>
      </c>
      <c r="AI8">
        <v>1</v>
      </c>
      <c r="AJ8">
        <v>1000</v>
      </c>
      <c r="AK8" t="s">
        <v>685</v>
      </c>
      <c r="AL8" t="s">
        <v>686</v>
      </c>
      <c r="AM8" t="s">
        <v>92</v>
      </c>
      <c r="AN8" t="s">
        <v>92</v>
      </c>
      <c r="AO8"/>
      <c r="AP8" t="s">
        <v>673</v>
      </c>
      <c r="AQ8" t="s">
        <v>636</v>
      </c>
      <c r="AR8" t="s">
        <v>674</v>
      </c>
      <c r="AS8" t="s">
        <v>687</v>
      </c>
      <c r="AT8" t="s">
        <v>638</v>
      </c>
      <c r="AU8" t="s">
        <v>639</v>
      </c>
      <c r="AV8" t="s">
        <v>257</v>
      </c>
      <c r="AW8"/>
      <c r="AX8"/>
      <c r="AY8"/>
      <c r="AZ8"/>
      <c r="BA8" t="s">
        <v>689</v>
      </c>
      <c r="BB8" t="s">
        <v>690</v>
      </c>
      <c r="BC8" t="s">
        <v>691</v>
      </c>
      <c r="BD8"/>
      <c r="BE8">
        <v>100</v>
      </c>
      <c r="BF8" t="s">
        <v>643</v>
      </c>
      <c r="BG8" t="s">
        <v>692</v>
      </c>
      <c r="BH8" t="s">
        <v>662</v>
      </c>
      <c r="BI8" t="s">
        <v>645</v>
      </c>
      <c r="BJ8"/>
      <c r="BK8" t="s">
        <v>680</v>
      </c>
      <c r="BL8" s="45">
        <v>46311</v>
      </c>
      <c r="BM8">
        <v>7.0999999999999994E-2</v>
      </c>
      <c r="BN8" t="s">
        <v>648</v>
      </c>
      <c r="BO8">
        <v>0.16</v>
      </c>
      <c r="BP8" t="s">
        <v>638</v>
      </c>
      <c r="BQ8" t="s">
        <v>638</v>
      </c>
      <c r="BR8" t="s">
        <v>638</v>
      </c>
      <c r="BS8" t="s">
        <v>693</v>
      </c>
      <c r="BT8" t="s">
        <v>247</v>
      </c>
      <c r="BU8" s="45"/>
      <c r="BV8" t="s">
        <v>7</v>
      </c>
      <c r="BW8" t="s">
        <v>15</v>
      </c>
      <c r="BX8" t="s">
        <v>7</v>
      </c>
      <c r="BY8" t="s">
        <v>255</v>
      </c>
      <c r="BZ8" t="s">
        <v>7</v>
      </c>
      <c r="CA8" t="s">
        <v>92</v>
      </c>
      <c r="CB8"/>
      <c r="CC8" t="s">
        <v>83</v>
      </c>
      <c r="CD8" t="s">
        <v>83</v>
      </c>
      <c r="CE8" t="s">
        <v>112</v>
      </c>
      <c r="CF8" t="s">
        <v>368</v>
      </c>
      <c r="CG8" t="s">
        <v>256</v>
      </c>
      <c r="CH8" t="s">
        <v>92</v>
      </c>
      <c r="CI8">
        <v>0.16</v>
      </c>
      <c r="CJ8">
        <v>1.167</v>
      </c>
      <c r="CK8">
        <v>1.252</v>
      </c>
      <c r="CL8" t="s">
        <v>92</v>
      </c>
      <c r="CM8" t="s">
        <v>92</v>
      </c>
      <c r="CN8" t="s">
        <v>7</v>
      </c>
      <c r="CO8" t="s">
        <v>7</v>
      </c>
      <c r="CP8" t="s">
        <v>115</v>
      </c>
      <c r="CQ8"/>
      <c r="CR8" t="s">
        <v>92</v>
      </c>
      <c r="CS8" t="s">
        <v>471</v>
      </c>
      <c r="CT8" t="s">
        <v>92</v>
      </c>
      <c r="CU8" t="s">
        <v>471</v>
      </c>
      <c r="CV8" t="s">
        <v>151</v>
      </c>
      <c r="CW8" t="s">
        <v>92</v>
      </c>
      <c r="CX8" t="s">
        <v>7</v>
      </c>
      <c r="CY8" t="s">
        <v>92</v>
      </c>
      <c r="CZ8" t="s">
        <v>553</v>
      </c>
    </row>
    <row r="9" spans="1:104" x14ac:dyDescent="0.25">
      <c r="A9">
        <v>10</v>
      </c>
      <c r="B9" t="s">
        <v>789</v>
      </c>
      <c r="C9" t="s">
        <v>567</v>
      </c>
      <c r="D9" t="s">
        <v>1</v>
      </c>
      <c r="E9" t="s">
        <v>566</v>
      </c>
      <c r="F9" s="45">
        <v>45197</v>
      </c>
      <c r="G9" t="s">
        <v>106</v>
      </c>
      <c r="H9" t="s">
        <v>92</v>
      </c>
      <c r="I9" t="s">
        <v>679</v>
      </c>
      <c r="J9" t="s">
        <v>456</v>
      </c>
      <c r="K9" t="s">
        <v>675</v>
      </c>
      <c r="L9" t="s">
        <v>669</v>
      </c>
      <c r="M9" t="s">
        <v>666</v>
      </c>
      <c r="N9" t="s">
        <v>92</v>
      </c>
      <c r="O9" t="s">
        <v>667</v>
      </c>
      <c r="P9" t="s">
        <v>92</v>
      </c>
      <c r="Q9" t="s">
        <v>92</v>
      </c>
      <c r="R9" t="s">
        <v>625</v>
      </c>
      <c r="S9" t="s">
        <v>626</v>
      </c>
      <c r="T9" t="s">
        <v>627</v>
      </c>
      <c r="U9" t="s">
        <v>628</v>
      </c>
      <c r="V9" t="s">
        <v>628</v>
      </c>
      <c r="W9" t="s">
        <v>668</v>
      </c>
      <c r="X9" t="s">
        <v>670</v>
      </c>
      <c r="Y9" s="45">
        <v>45212</v>
      </c>
      <c r="Z9" t="s">
        <v>456</v>
      </c>
      <c r="AA9" s="45">
        <v>45212</v>
      </c>
      <c r="AB9" t="s">
        <v>92</v>
      </c>
      <c r="AC9" t="s">
        <v>567</v>
      </c>
      <c r="AD9" s="45">
        <v>45578</v>
      </c>
      <c r="AE9" t="s">
        <v>92</v>
      </c>
      <c r="AF9">
        <v>4.8</v>
      </c>
      <c r="AG9" s="45"/>
      <c r="AH9" s="45">
        <v>45212</v>
      </c>
      <c r="AI9">
        <v>15.6</v>
      </c>
      <c r="AJ9">
        <v>10000</v>
      </c>
      <c r="AK9" t="s">
        <v>671</v>
      </c>
      <c r="AL9" t="s">
        <v>672</v>
      </c>
      <c r="AM9" t="s">
        <v>92</v>
      </c>
      <c r="AN9" t="s">
        <v>92</v>
      </c>
      <c r="AO9"/>
      <c r="AP9" t="s">
        <v>673</v>
      </c>
      <c r="AQ9" t="s">
        <v>636</v>
      </c>
      <c r="AR9" t="s">
        <v>674</v>
      </c>
      <c r="AS9" t="s">
        <v>423</v>
      </c>
      <c r="AT9" t="s">
        <v>638</v>
      </c>
      <c r="AU9" t="s">
        <v>639</v>
      </c>
      <c r="AV9" t="s">
        <v>334</v>
      </c>
      <c r="AW9"/>
      <c r="AX9"/>
      <c r="AY9"/>
      <c r="AZ9"/>
      <c r="BA9" t="s">
        <v>676</v>
      </c>
      <c r="BB9" t="s">
        <v>677</v>
      </c>
      <c r="BC9" t="s">
        <v>678</v>
      </c>
      <c r="BD9"/>
      <c r="BE9">
        <v>100</v>
      </c>
      <c r="BF9" t="s">
        <v>643</v>
      </c>
      <c r="BG9" t="s">
        <v>92</v>
      </c>
      <c r="BH9" t="s">
        <v>644</v>
      </c>
      <c r="BI9" t="s">
        <v>645</v>
      </c>
      <c r="BJ9">
        <v>0</v>
      </c>
      <c r="BK9" t="s">
        <v>680</v>
      </c>
      <c r="BL9" s="45">
        <v>46308</v>
      </c>
      <c r="BM9">
        <v>4.8000000000000001E-2</v>
      </c>
      <c r="BN9" t="s">
        <v>648</v>
      </c>
      <c r="BO9">
        <v>15.6</v>
      </c>
      <c r="BP9" t="s">
        <v>638</v>
      </c>
      <c r="BQ9" t="s">
        <v>638</v>
      </c>
      <c r="BR9" t="s">
        <v>638</v>
      </c>
      <c r="BS9" t="s">
        <v>681</v>
      </c>
      <c r="BT9" t="s">
        <v>247</v>
      </c>
      <c r="BU9" s="45"/>
      <c r="BV9" t="s">
        <v>7</v>
      </c>
      <c r="BW9" t="s">
        <v>19</v>
      </c>
      <c r="BX9" t="s">
        <v>7</v>
      </c>
      <c r="BY9" t="s">
        <v>255</v>
      </c>
      <c r="BZ9" t="s">
        <v>7</v>
      </c>
      <c r="CA9" t="s">
        <v>92</v>
      </c>
      <c r="CB9"/>
      <c r="CC9" t="s">
        <v>83</v>
      </c>
      <c r="CD9" t="s">
        <v>83</v>
      </c>
      <c r="CE9" t="s">
        <v>37</v>
      </c>
      <c r="CF9" t="s">
        <v>92</v>
      </c>
      <c r="CG9" t="s">
        <v>256</v>
      </c>
      <c r="CH9" t="s">
        <v>92</v>
      </c>
      <c r="CI9">
        <v>2.137</v>
      </c>
      <c r="CJ9">
        <v>15.6</v>
      </c>
      <c r="CK9">
        <v>16.739000000000001</v>
      </c>
      <c r="CL9" t="s">
        <v>92</v>
      </c>
      <c r="CM9" t="s">
        <v>92</v>
      </c>
      <c r="CN9" t="s">
        <v>7</v>
      </c>
      <c r="CO9" t="s">
        <v>7</v>
      </c>
      <c r="CP9" t="s">
        <v>115</v>
      </c>
      <c r="CQ9">
        <v>0</v>
      </c>
      <c r="CR9" t="s">
        <v>795</v>
      </c>
      <c r="CS9" t="s">
        <v>456</v>
      </c>
      <c r="CT9" t="s">
        <v>92</v>
      </c>
      <c r="CU9" t="s">
        <v>456</v>
      </c>
      <c r="CV9" t="s">
        <v>151</v>
      </c>
      <c r="CW9" t="s">
        <v>92</v>
      </c>
      <c r="CX9" t="s">
        <v>7</v>
      </c>
      <c r="CY9" t="s">
        <v>92</v>
      </c>
      <c r="CZ9" t="s">
        <v>571</v>
      </c>
    </row>
    <row r="10" spans="1:104" x14ac:dyDescent="0.25">
      <c r="A10">
        <v>9</v>
      </c>
      <c r="B10" t="s">
        <v>790</v>
      </c>
      <c r="C10" t="s">
        <v>573</v>
      </c>
      <c r="D10" t="s">
        <v>1</v>
      </c>
      <c r="E10" t="s">
        <v>572</v>
      </c>
      <c r="F10" s="45">
        <v>45197</v>
      </c>
      <c r="G10" t="s">
        <v>85</v>
      </c>
      <c r="H10" t="s">
        <v>92</v>
      </c>
      <c r="I10" t="s">
        <v>664</v>
      </c>
      <c r="J10" t="s">
        <v>663</v>
      </c>
      <c r="K10" t="s">
        <v>658</v>
      </c>
      <c r="L10" t="s">
        <v>652</v>
      </c>
      <c r="M10" t="s">
        <v>650</v>
      </c>
      <c r="N10" t="s">
        <v>92</v>
      </c>
      <c r="O10" t="s">
        <v>131</v>
      </c>
      <c r="P10" t="s">
        <v>92</v>
      </c>
      <c r="Q10" t="s">
        <v>92</v>
      </c>
      <c r="R10" t="s">
        <v>625</v>
      </c>
      <c r="S10" t="s">
        <v>626</v>
      </c>
      <c r="T10" t="s">
        <v>627</v>
      </c>
      <c r="U10" t="s">
        <v>628</v>
      </c>
      <c r="V10" t="s">
        <v>628</v>
      </c>
      <c r="W10" t="s">
        <v>651</v>
      </c>
      <c r="X10" t="s">
        <v>653</v>
      </c>
      <c r="Y10" s="45">
        <v>45210</v>
      </c>
      <c r="Z10" t="s">
        <v>654</v>
      </c>
      <c r="AA10" s="45">
        <v>45210</v>
      </c>
      <c r="AB10" t="s">
        <v>92</v>
      </c>
      <c r="AC10" t="s">
        <v>573</v>
      </c>
      <c r="AD10" s="45">
        <v>45393</v>
      </c>
      <c r="AE10" t="s">
        <v>92</v>
      </c>
      <c r="AF10">
        <v>5.9</v>
      </c>
      <c r="AG10" s="45"/>
      <c r="AH10" s="45">
        <v>45210</v>
      </c>
      <c r="AI10">
        <v>1</v>
      </c>
      <c r="AJ10">
        <v>1000</v>
      </c>
      <c r="AK10" t="s">
        <v>655</v>
      </c>
      <c r="AL10" t="s">
        <v>656</v>
      </c>
      <c r="AM10" t="s">
        <v>92</v>
      </c>
      <c r="AN10" t="s">
        <v>92</v>
      </c>
      <c r="AO10"/>
      <c r="AP10" t="s">
        <v>657</v>
      </c>
      <c r="AQ10" t="s">
        <v>636</v>
      </c>
      <c r="AR10" t="s">
        <v>637</v>
      </c>
      <c r="AS10" t="s">
        <v>423</v>
      </c>
      <c r="AT10" t="s">
        <v>638</v>
      </c>
      <c r="AU10" t="s">
        <v>639</v>
      </c>
      <c r="AV10" t="s">
        <v>334</v>
      </c>
      <c r="AW10"/>
      <c r="AX10"/>
      <c r="AY10"/>
      <c r="AZ10"/>
      <c r="BA10" t="s">
        <v>92</v>
      </c>
      <c r="BB10" t="s">
        <v>659</v>
      </c>
      <c r="BC10" t="s">
        <v>660</v>
      </c>
      <c r="BD10"/>
      <c r="BE10">
        <v>100</v>
      </c>
      <c r="BF10" t="s">
        <v>643</v>
      </c>
      <c r="BG10" t="s">
        <v>661</v>
      </c>
      <c r="BH10" t="s">
        <v>662</v>
      </c>
      <c r="BI10" t="s">
        <v>645</v>
      </c>
      <c r="BJ10">
        <v>20</v>
      </c>
      <c r="BK10" t="s">
        <v>647</v>
      </c>
      <c r="BL10" s="45">
        <v>46306</v>
      </c>
      <c r="BM10">
        <v>5.9000000000000004E-2</v>
      </c>
      <c r="BN10" t="s">
        <v>648</v>
      </c>
      <c r="BO10">
        <v>1</v>
      </c>
      <c r="BP10" t="s">
        <v>638</v>
      </c>
      <c r="BQ10" t="s">
        <v>638</v>
      </c>
      <c r="BR10" t="s">
        <v>638</v>
      </c>
      <c r="BS10" t="s">
        <v>665</v>
      </c>
      <c r="BT10" t="s">
        <v>247</v>
      </c>
      <c r="BU10" s="45"/>
      <c r="BV10" t="s">
        <v>7</v>
      </c>
      <c r="BW10" t="s">
        <v>14</v>
      </c>
      <c r="BX10" t="s">
        <v>149</v>
      </c>
      <c r="BY10" t="s">
        <v>255</v>
      </c>
      <c r="BZ10" t="s">
        <v>7</v>
      </c>
      <c r="CA10" t="s">
        <v>92</v>
      </c>
      <c r="CB10"/>
      <c r="CC10" t="s">
        <v>83</v>
      </c>
      <c r="CD10" t="s">
        <v>574</v>
      </c>
      <c r="CE10" t="s">
        <v>112</v>
      </c>
      <c r="CF10" t="s">
        <v>341</v>
      </c>
      <c r="CG10" t="s">
        <v>268</v>
      </c>
      <c r="CH10" t="s">
        <v>92</v>
      </c>
      <c r="CI10">
        <v>1</v>
      </c>
      <c r="CJ10">
        <v>7.2939999999999996</v>
      </c>
      <c r="CK10">
        <v>7.8280000000000003</v>
      </c>
      <c r="CL10" t="s">
        <v>92</v>
      </c>
      <c r="CM10" t="s">
        <v>92</v>
      </c>
      <c r="CN10" t="s">
        <v>7</v>
      </c>
      <c r="CO10" t="s">
        <v>7</v>
      </c>
      <c r="CP10" t="s">
        <v>115</v>
      </c>
      <c r="CQ10">
        <v>20</v>
      </c>
      <c r="CR10" t="s">
        <v>796</v>
      </c>
      <c r="CS10" t="s">
        <v>797</v>
      </c>
      <c r="CT10" t="s">
        <v>92</v>
      </c>
      <c r="CU10" t="s">
        <v>797</v>
      </c>
      <c r="CV10" t="s">
        <v>151</v>
      </c>
      <c r="CW10" t="s">
        <v>92</v>
      </c>
      <c r="CX10" t="s">
        <v>7</v>
      </c>
      <c r="CY10" t="s">
        <v>92</v>
      </c>
      <c r="CZ10" t="s">
        <v>578</v>
      </c>
    </row>
    <row r="11" spans="1:104" x14ac:dyDescent="0.25">
      <c r="A11">
        <v>8</v>
      </c>
      <c r="B11" t="s">
        <v>790</v>
      </c>
      <c r="C11" t="s">
        <v>560</v>
      </c>
      <c r="D11" t="s">
        <v>1</v>
      </c>
      <c r="E11" t="s">
        <v>559</v>
      </c>
      <c r="F11" s="45">
        <v>45197</v>
      </c>
      <c r="G11" t="s">
        <v>85</v>
      </c>
      <c r="H11" t="s">
        <v>92</v>
      </c>
      <c r="I11" t="s">
        <v>92</v>
      </c>
      <c r="J11" t="s">
        <v>646</v>
      </c>
      <c r="K11" t="s">
        <v>640</v>
      </c>
      <c r="L11" t="s">
        <v>630</v>
      </c>
      <c r="M11" t="s">
        <v>624</v>
      </c>
      <c r="N11" t="s">
        <v>92</v>
      </c>
      <c r="O11" t="s">
        <v>131</v>
      </c>
      <c r="P11" t="s">
        <v>92</v>
      </c>
      <c r="Q11" t="s">
        <v>92</v>
      </c>
      <c r="R11" t="s">
        <v>625</v>
      </c>
      <c r="S11" t="s">
        <v>626</v>
      </c>
      <c r="T11" t="s">
        <v>627</v>
      </c>
      <c r="U11" t="s">
        <v>628</v>
      </c>
      <c r="V11" t="s">
        <v>628</v>
      </c>
      <c r="W11" t="s">
        <v>629</v>
      </c>
      <c r="X11" t="s">
        <v>631</v>
      </c>
      <c r="Y11" s="45">
        <v>45210</v>
      </c>
      <c r="Z11" t="s">
        <v>632</v>
      </c>
      <c r="AA11" s="45">
        <v>45210</v>
      </c>
      <c r="AB11" t="s">
        <v>92</v>
      </c>
      <c r="AC11" t="s">
        <v>560</v>
      </c>
      <c r="AD11" s="45">
        <v>45393</v>
      </c>
      <c r="AE11" t="s">
        <v>92</v>
      </c>
      <c r="AF11">
        <v>8.5</v>
      </c>
      <c r="AG11" s="45"/>
      <c r="AH11" s="45">
        <v>45210</v>
      </c>
      <c r="AI11">
        <v>0.67</v>
      </c>
      <c r="AJ11">
        <v>1000</v>
      </c>
      <c r="AK11" t="s">
        <v>633</v>
      </c>
      <c r="AL11" t="s">
        <v>634</v>
      </c>
      <c r="AM11" t="s">
        <v>92</v>
      </c>
      <c r="AN11" t="s">
        <v>92</v>
      </c>
      <c r="AO11"/>
      <c r="AP11" t="s">
        <v>635</v>
      </c>
      <c r="AQ11" t="s">
        <v>636</v>
      </c>
      <c r="AR11" t="s">
        <v>637</v>
      </c>
      <c r="AS11" t="s">
        <v>423</v>
      </c>
      <c r="AT11" t="s">
        <v>638</v>
      </c>
      <c r="AU11" t="s">
        <v>639</v>
      </c>
      <c r="AV11" t="s">
        <v>334</v>
      </c>
      <c r="AW11"/>
      <c r="AX11"/>
      <c r="AY11"/>
      <c r="AZ11"/>
      <c r="BA11" t="s">
        <v>92</v>
      </c>
      <c r="BB11" t="s">
        <v>641</v>
      </c>
      <c r="BC11" t="s">
        <v>642</v>
      </c>
      <c r="BD11"/>
      <c r="BE11">
        <v>100</v>
      </c>
      <c r="BF11" t="s">
        <v>643</v>
      </c>
      <c r="BG11" t="s">
        <v>92</v>
      </c>
      <c r="BH11" t="s">
        <v>644</v>
      </c>
      <c r="BI11" t="s">
        <v>645</v>
      </c>
      <c r="BJ11"/>
      <c r="BK11" t="s">
        <v>647</v>
      </c>
      <c r="BL11" s="45">
        <v>46306</v>
      </c>
      <c r="BM11">
        <v>8.5000000000000006E-2</v>
      </c>
      <c r="BN11" t="s">
        <v>648</v>
      </c>
      <c r="BO11">
        <v>0.67</v>
      </c>
      <c r="BP11" t="s">
        <v>638</v>
      </c>
      <c r="BQ11" t="s">
        <v>638</v>
      </c>
      <c r="BR11" t="s">
        <v>638</v>
      </c>
      <c r="BS11" t="s">
        <v>649</v>
      </c>
      <c r="BT11" t="s">
        <v>247</v>
      </c>
      <c r="BU11" s="45"/>
      <c r="BV11" t="s">
        <v>7</v>
      </c>
      <c r="BW11" t="s">
        <v>20</v>
      </c>
      <c r="BX11" t="s">
        <v>149</v>
      </c>
      <c r="BY11" t="s">
        <v>255</v>
      </c>
      <c r="BZ11" t="s">
        <v>7</v>
      </c>
      <c r="CA11" t="s">
        <v>92</v>
      </c>
      <c r="CB11"/>
      <c r="CC11" t="s">
        <v>83</v>
      </c>
      <c r="CD11" t="s">
        <v>561</v>
      </c>
      <c r="CE11" t="s">
        <v>37</v>
      </c>
      <c r="CF11" t="s">
        <v>92</v>
      </c>
      <c r="CG11" t="s">
        <v>268</v>
      </c>
      <c r="CH11" t="s">
        <v>92</v>
      </c>
      <c r="CI11">
        <v>0.67</v>
      </c>
      <c r="CJ11">
        <v>4.8869999999999996</v>
      </c>
      <c r="CK11">
        <v>5.2450000000000001</v>
      </c>
      <c r="CL11" t="s">
        <v>92</v>
      </c>
      <c r="CM11" t="s">
        <v>92</v>
      </c>
      <c r="CN11" t="s">
        <v>7</v>
      </c>
      <c r="CO11" t="s">
        <v>7</v>
      </c>
      <c r="CP11" t="s">
        <v>115</v>
      </c>
      <c r="CQ11"/>
      <c r="CR11" t="s">
        <v>92</v>
      </c>
      <c r="CS11" t="s">
        <v>798</v>
      </c>
      <c r="CT11" t="s">
        <v>92</v>
      </c>
      <c r="CU11" t="s">
        <v>798</v>
      </c>
      <c r="CV11" t="s">
        <v>151</v>
      </c>
      <c r="CW11" t="s">
        <v>92</v>
      </c>
      <c r="CX11" t="s">
        <v>7</v>
      </c>
      <c r="CY11" t="s">
        <v>92</v>
      </c>
      <c r="CZ11" t="s">
        <v>565</v>
      </c>
    </row>
    <row r="12" spans="1:104" x14ac:dyDescent="0.25">
      <c r="A12">
        <v>7</v>
      </c>
      <c r="B12" t="s">
        <v>789</v>
      </c>
      <c r="C12" t="s">
        <v>597</v>
      </c>
      <c r="D12" t="s">
        <v>1</v>
      </c>
      <c r="E12" t="s">
        <v>596</v>
      </c>
      <c r="F12" s="45">
        <v>45196</v>
      </c>
      <c r="G12" t="s">
        <v>106</v>
      </c>
      <c r="H12" t="s">
        <v>92</v>
      </c>
      <c r="I12" t="s">
        <v>815</v>
      </c>
      <c r="J12" t="s">
        <v>742</v>
      </c>
      <c r="K12" t="s">
        <v>738</v>
      </c>
      <c r="L12" t="s">
        <v>733</v>
      </c>
      <c r="M12" t="s">
        <v>731</v>
      </c>
      <c r="N12" t="s">
        <v>92</v>
      </c>
      <c r="O12" t="s">
        <v>131</v>
      </c>
      <c r="P12" t="s">
        <v>92</v>
      </c>
      <c r="Q12" t="s">
        <v>92</v>
      </c>
      <c r="R12" t="s">
        <v>625</v>
      </c>
      <c r="S12" t="s">
        <v>626</v>
      </c>
      <c r="T12" t="s">
        <v>627</v>
      </c>
      <c r="U12" t="s">
        <v>628</v>
      </c>
      <c r="V12" t="s">
        <v>628</v>
      </c>
      <c r="W12" t="s">
        <v>732</v>
      </c>
      <c r="X12" t="s">
        <v>653</v>
      </c>
      <c r="Y12" s="45">
        <v>45209</v>
      </c>
      <c r="Z12" t="s">
        <v>734</v>
      </c>
      <c r="AA12" s="45">
        <v>45209</v>
      </c>
      <c r="AB12" t="s">
        <v>92</v>
      </c>
      <c r="AC12" t="s">
        <v>597</v>
      </c>
      <c r="AD12" s="45">
        <v>45392</v>
      </c>
      <c r="AE12" t="s">
        <v>92</v>
      </c>
      <c r="AF12">
        <v>3.69</v>
      </c>
      <c r="AG12" s="45"/>
      <c r="AH12" s="45">
        <v>45209</v>
      </c>
      <c r="AI12">
        <v>3</v>
      </c>
      <c r="AJ12">
        <v>10000</v>
      </c>
      <c r="AK12" t="s">
        <v>735</v>
      </c>
      <c r="AL12" t="s">
        <v>736</v>
      </c>
      <c r="AM12" t="s">
        <v>92</v>
      </c>
      <c r="AN12" t="s">
        <v>92</v>
      </c>
      <c r="AO12"/>
      <c r="AP12" t="s">
        <v>673</v>
      </c>
      <c r="AQ12" t="s">
        <v>636</v>
      </c>
      <c r="AR12" t="s">
        <v>737</v>
      </c>
      <c r="AS12" t="s">
        <v>423</v>
      </c>
      <c r="AT12" t="s">
        <v>638</v>
      </c>
      <c r="AU12" t="s">
        <v>639</v>
      </c>
      <c r="AV12" t="s">
        <v>334</v>
      </c>
      <c r="AW12"/>
      <c r="AX12"/>
      <c r="AY12"/>
      <c r="AZ12"/>
      <c r="BA12" t="s">
        <v>92</v>
      </c>
      <c r="BB12" t="s">
        <v>739</v>
      </c>
      <c r="BC12" t="s">
        <v>740</v>
      </c>
      <c r="BD12"/>
      <c r="BE12">
        <v>99.974999999999994</v>
      </c>
      <c r="BF12" t="s">
        <v>643</v>
      </c>
      <c r="BG12" t="s">
        <v>741</v>
      </c>
      <c r="BH12" t="s">
        <v>662</v>
      </c>
      <c r="BI12" t="s">
        <v>645</v>
      </c>
      <c r="BJ12">
        <v>30</v>
      </c>
      <c r="BK12" t="s">
        <v>680</v>
      </c>
      <c r="BL12" s="45">
        <v>46275</v>
      </c>
      <c r="BM12">
        <v>3.6900000000000002E-2</v>
      </c>
      <c r="BN12" t="s">
        <v>744</v>
      </c>
      <c r="BO12">
        <v>3</v>
      </c>
      <c r="BP12" t="s">
        <v>638</v>
      </c>
      <c r="BQ12" t="s">
        <v>638</v>
      </c>
      <c r="BR12" t="s">
        <v>638</v>
      </c>
      <c r="BS12" t="s">
        <v>745</v>
      </c>
      <c r="BT12" t="s">
        <v>247</v>
      </c>
      <c r="BU12" s="45"/>
      <c r="BV12" t="s">
        <v>7</v>
      </c>
      <c r="BW12" t="s">
        <v>26</v>
      </c>
      <c r="BX12" t="s">
        <v>7</v>
      </c>
      <c r="BY12" t="s">
        <v>255</v>
      </c>
      <c r="BZ12" t="s">
        <v>7</v>
      </c>
      <c r="CA12" t="s">
        <v>92</v>
      </c>
      <c r="CB12"/>
      <c r="CC12" t="s">
        <v>83</v>
      </c>
      <c r="CD12" t="s">
        <v>83</v>
      </c>
      <c r="CE12" t="s">
        <v>112</v>
      </c>
      <c r="CF12" t="s">
        <v>341</v>
      </c>
      <c r="CG12" t="s">
        <v>256</v>
      </c>
      <c r="CH12" t="s">
        <v>92</v>
      </c>
      <c r="CI12">
        <v>0.41099999999999998</v>
      </c>
      <c r="CJ12">
        <v>3</v>
      </c>
      <c r="CK12">
        <v>3.2069999999999999</v>
      </c>
      <c r="CL12" t="s">
        <v>92</v>
      </c>
      <c r="CM12" t="s">
        <v>92</v>
      </c>
      <c r="CN12" t="s">
        <v>7</v>
      </c>
      <c r="CO12" t="s">
        <v>7</v>
      </c>
      <c r="CP12" t="s">
        <v>115</v>
      </c>
      <c r="CQ12">
        <v>30</v>
      </c>
      <c r="CR12" t="s">
        <v>799</v>
      </c>
      <c r="CS12" t="s">
        <v>485</v>
      </c>
      <c r="CT12" t="s">
        <v>92</v>
      </c>
      <c r="CU12" t="s">
        <v>734</v>
      </c>
      <c r="CV12" t="s">
        <v>800</v>
      </c>
      <c r="CW12" t="s">
        <v>92</v>
      </c>
      <c r="CX12" t="s">
        <v>7</v>
      </c>
      <c r="CY12" t="s">
        <v>92</v>
      </c>
      <c r="CZ12" t="s">
        <v>601</v>
      </c>
    </row>
    <row r="13" spans="1:104" x14ac:dyDescent="0.25">
      <c r="A13">
        <v>6</v>
      </c>
      <c r="B13" t="s">
        <v>791</v>
      </c>
      <c r="C13" t="s">
        <v>591</v>
      </c>
      <c r="D13" t="s">
        <v>1</v>
      </c>
      <c r="E13" t="s">
        <v>590</v>
      </c>
      <c r="F13" s="45">
        <v>45196</v>
      </c>
      <c r="G13" t="s">
        <v>85</v>
      </c>
      <c r="H13" t="s">
        <v>92</v>
      </c>
      <c r="I13" t="s">
        <v>92</v>
      </c>
      <c r="J13" t="s">
        <v>92</v>
      </c>
      <c r="K13" t="s">
        <v>727</v>
      </c>
      <c r="L13" t="s">
        <v>724</v>
      </c>
      <c r="M13" t="s">
        <v>722</v>
      </c>
      <c r="N13" t="s">
        <v>92</v>
      </c>
      <c r="O13" t="s">
        <v>131</v>
      </c>
      <c r="P13" t="s">
        <v>92</v>
      </c>
      <c r="Q13" t="s">
        <v>92</v>
      </c>
      <c r="R13" t="s">
        <v>625</v>
      </c>
      <c r="S13" t="s">
        <v>626</v>
      </c>
      <c r="T13" t="s">
        <v>627</v>
      </c>
      <c r="U13" t="s">
        <v>628</v>
      </c>
      <c r="V13" t="s">
        <v>628</v>
      </c>
      <c r="W13" t="s">
        <v>723</v>
      </c>
      <c r="X13" t="s">
        <v>92</v>
      </c>
      <c r="Y13" s="45">
        <v>45209</v>
      </c>
      <c r="Z13" t="s">
        <v>92</v>
      </c>
      <c r="AA13" s="45">
        <v>45209</v>
      </c>
      <c r="AB13" t="s">
        <v>92</v>
      </c>
      <c r="AC13" t="s">
        <v>725</v>
      </c>
      <c r="AD13" s="45">
        <v>45392</v>
      </c>
      <c r="AE13" t="s">
        <v>92</v>
      </c>
      <c r="AF13">
        <v>6.4</v>
      </c>
      <c r="AG13" s="45"/>
      <c r="AH13" s="45">
        <v>45209</v>
      </c>
      <c r="AI13">
        <v>1</v>
      </c>
      <c r="AJ13">
        <v>1000</v>
      </c>
      <c r="AK13" t="s">
        <v>726</v>
      </c>
      <c r="AL13" t="s">
        <v>92</v>
      </c>
      <c r="AM13" t="s">
        <v>92</v>
      </c>
      <c r="AN13" t="s">
        <v>92</v>
      </c>
      <c r="AO13"/>
      <c r="AP13" t="s">
        <v>673</v>
      </c>
      <c r="AQ13" t="s">
        <v>636</v>
      </c>
      <c r="AR13" t="s">
        <v>699</v>
      </c>
      <c r="AS13" t="s">
        <v>687</v>
      </c>
      <c r="AT13" t="s">
        <v>638</v>
      </c>
      <c r="AU13" t="s">
        <v>639</v>
      </c>
      <c r="AV13" t="s">
        <v>334</v>
      </c>
      <c r="AW13"/>
      <c r="AX13"/>
      <c r="AY13"/>
      <c r="AZ13"/>
      <c r="BA13" t="s">
        <v>92</v>
      </c>
      <c r="BB13" t="s">
        <v>728</v>
      </c>
      <c r="BC13" t="s">
        <v>729</v>
      </c>
      <c r="BD13"/>
      <c r="BE13">
        <v>100</v>
      </c>
      <c r="BF13" t="s">
        <v>643</v>
      </c>
      <c r="BG13" t="s">
        <v>92</v>
      </c>
      <c r="BH13" t="s">
        <v>644</v>
      </c>
      <c r="BI13" t="s">
        <v>645</v>
      </c>
      <c r="BJ13"/>
      <c r="BK13" t="s">
        <v>110</v>
      </c>
      <c r="BL13" s="45">
        <v>45573</v>
      </c>
      <c r="BM13">
        <v>6.4000000000000001E-2</v>
      </c>
      <c r="BN13" t="s">
        <v>705</v>
      </c>
      <c r="BO13">
        <v>1</v>
      </c>
      <c r="BP13" t="s">
        <v>638</v>
      </c>
      <c r="BQ13" t="s">
        <v>638</v>
      </c>
      <c r="BR13" t="s">
        <v>638</v>
      </c>
      <c r="BS13" t="s">
        <v>730</v>
      </c>
      <c r="BT13" t="s">
        <v>247</v>
      </c>
      <c r="BU13" s="45"/>
      <c r="BV13" t="s">
        <v>7</v>
      </c>
      <c r="BW13" t="s">
        <v>25</v>
      </c>
      <c r="BX13" t="s">
        <v>7</v>
      </c>
      <c r="BY13" t="s">
        <v>255</v>
      </c>
      <c r="BZ13" t="s">
        <v>7</v>
      </c>
      <c r="CA13" t="s">
        <v>92</v>
      </c>
      <c r="CB13"/>
      <c r="CC13" t="s">
        <v>83</v>
      </c>
      <c r="CD13" t="s">
        <v>83</v>
      </c>
      <c r="CE13" t="s">
        <v>37</v>
      </c>
      <c r="CF13" t="s">
        <v>92</v>
      </c>
      <c r="CG13" t="s">
        <v>110</v>
      </c>
      <c r="CH13" t="s">
        <v>92</v>
      </c>
      <c r="CI13">
        <v>1</v>
      </c>
      <c r="CJ13">
        <v>7.3140000000000001</v>
      </c>
      <c r="CK13">
        <v>7.8209999999999997</v>
      </c>
      <c r="CL13" t="s">
        <v>92</v>
      </c>
      <c r="CM13" t="s">
        <v>92</v>
      </c>
      <c r="CN13" t="s">
        <v>7</v>
      </c>
      <c r="CO13" t="s">
        <v>7</v>
      </c>
      <c r="CP13" t="s">
        <v>115</v>
      </c>
      <c r="CQ13"/>
      <c r="CR13" t="s">
        <v>92</v>
      </c>
      <c r="CS13" t="s">
        <v>92</v>
      </c>
      <c r="CT13" t="s">
        <v>92</v>
      </c>
      <c r="CU13" t="s">
        <v>801</v>
      </c>
      <c r="CV13" t="s">
        <v>792</v>
      </c>
      <c r="CW13" t="s">
        <v>794</v>
      </c>
      <c r="CX13" t="s">
        <v>7</v>
      </c>
      <c r="CY13" t="s">
        <v>92</v>
      </c>
      <c r="CZ13" t="s">
        <v>595</v>
      </c>
    </row>
    <row r="14" spans="1:104" x14ac:dyDescent="0.25">
      <c r="A14">
        <v>5</v>
      </c>
      <c r="B14" t="s">
        <v>813</v>
      </c>
      <c r="C14" t="s">
        <v>580</v>
      </c>
      <c r="D14" t="s">
        <v>84</v>
      </c>
      <c r="E14" t="s">
        <v>587</v>
      </c>
      <c r="F14" s="45">
        <v>45196</v>
      </c>
      <c r="G14" t="s">
        <v>109</v>
      </c>
      <c r="H14" t="s">
        <v>92</v>
      </c>
      <c r="I14" t="s">
        <v>92</v>
      </c>
      <c r="J14" t="s">
        <v>92</v>
      </c>
      <c r="K14" t="s">
        <v>709</v>
      </c>
      <c r="L14" t="s">
        <v>92</v>
      </c>
      <c r="M14" t="s">
        <v>718</v>
      </c>
      <c r="N14" t="s">
        <v>92</v>
      </c>
      <c r="O14" t="s">
        <v>92</v>
      </c>
      <c r="P14" t="s">
        <v>92</v>
      </c>
      <c r="Q14" t="s">
        <v>92</v>
      </c>
      <c r="R14" t="s">
        <v>708</v>
      </c>
      <c r="S14" t="s">
        <v>626</v>
      </c>
      <c r="T14" t="s">
        <v>627</v>
      </c>
      <c r="U14" t="s">
        <v>628</v>
      </c>
      <c r="V14" t="s">
        <v>628</v>
      </c>
      <c r="W14" t="s">
        <v>709</v>
      </c>
      <c r="X14" t="s">
        <v>92</v>
      </c>
      <c r="Y14" s="45">
        <v>45202</v>
      </c>
      <c r="Z14" t="s">
        <v>92</v>
      </c>
      <c r="AA14" s="45">
        <v>45202</v>
      </c>
      <c r="AB14" t="s">
        <v>580</v>
      </c>
      <c r="AC14" t="s">
        <v>710</v>
      </c>
      <c r="AD14" s="45">
        <v>45294</v>
      </c>
      <c r="AE14" t="s">
        <v>92</v>
      </c>
      <c r="AF14">
        <v>4.75</v>
      </c>
      <c r="AG14" s="45">
        <v>45234</v>
      </c>
      <c r="AH14" s="45">
        <v>45202</v>
      </c>
      <c r="AI14">
        <v>0.22900000000000001</v>
      </c>
      <c r="AJ14">
        <v>100000</v>
      </c>
      <c r="AK14" t="s">
        <v>711</v>
      </c>
      <c r="AL14" t="s">
        <v>92</v>
      </c>
      <c r="AM14" t="s">
        <v>92</v>
      </c>
      <c r="AN14" t="s">
        <v>92</v>
      </c>
      <c r="AO14"/>
      <c r="AP14" t="s">
        <v>673</v>
      </c>
      <c r="AQ14" t="s">
        <v>636</v>
      </c>
      <c r="AR14" t="s">
        <v>719</v>
      </c>
      <c r="AS14" t="s">
        <v>92</v>
      </c>
      <c r="AT14" t="s">
        <v>638</v>
      </c>
      <c r="AU14" t="s">
        <v>713</v>
      </c>
      <c r="AV14" t="s">
        <v>334</v>
      </c>
      <c r="AW14"/>
      <c r="AX14"/>
      <c r="AY14"/>
      <c r="AZ14"/>
      <c r="BA14" t="s">
        <v>92</v>
      </c>
      <c r="BB14" t="s">
        <v>92</v>
      </c>
      <c r="BC14" t="s">
        <v>714</v>
      </c>
      <c r="BD14"/>
      <c r="BE14">
        <v>100</v>
      </c>
      <c r="BF14" t="s">
        <v>643</v>
      </c>
      <c r="BG14" t="s">
        <v>92</v>
      </c>
      <c r="BH14" t="s">
        <v>715</v>
      </c>
      <c r="BI14" t="s">
        <v>645</v>
      </c>
      <c r="BJ14"/>
      <c r="BK14" t="s">
        <v>110</v>
      </c>
      <c r="BL14" s="45">
        <v>45294</v>
      </c>
      <c r="BM14">
        <v>4.7500000000000001E-2</v>
      </c>
      <c r="BN14" t="s">
        <v>720</v>
      </c>
      <c r="BO14">
        <v>0.22900000000000001</v>
      </c>
      <c r="BP14" t="s">
        <v>638</v>
      </c>
      <c r="BQ14" t="s">
        <v>638</v>
      </c>
      <c r="BR14" t="s">
        <v>638</v>
      </c>
      <c r="BS14" t="s">
        <v>721</v>
      </c>
      <c r="BT14" t="s">
        <v>247</v>
      </c>
      <c r="BU14" s="45"/>
      <c r="BV14" t="s">
        <v>7</v>
      </c>
      <c r="BW14" t="s">
        <v>12</v>
      </c>
      <c r="BX14" t="s">
        <v>7</v>
      </c>
      <c r="BY14" t="s">
        <v>581</v>
      </c>
      <c r="BZ14" t="s">
        <v>7</v>
      </c>
      <c r="CA14" t="s">
        <v>92</v>
      </c>
      <c r="CB14"/>
      <c r="CC14" t="s">
        <v>83</v>
      </c>
      <c r="CD14" t="s">
        <v>83</v>
      </c>
      <c r="CE14" t="s">
        <v>39</v>
      </c>
      <c r="CF14" t="s">
        <v>92</v>
      </c>
      <c r="CG14" t="s">
        <v>110</v>
      </c>
      <c r="CH14" t="s">
        <v>92</v>
      </c>
      <c r="CI14">
        <v>2.9000000000000001E-2</v>
      </c>
      <c r="CJ14">
        <v>0.214</v>
      </c>
      <c r="CK14">
        <v>0.22900000000000001</v>
      </c>
      <c r="CL14" t="s">
        <v>92</v>
      </c>
      <c r="CM14" t="s">
        <v>92</v>
      </c>
      <c r="CN14" t="s">
        <v>7</v>
      </c>
      <c r="CO14" t="s">
        <v>7</v>
      </c>
      <c r="CP14" t="s">
        <v>115</v>
      </c>
      <c r="CQ14"/>
      <c r="CR14" t="s">
        <v>92</v>
      </c>
      <c r="CS14" t="s">
        <v>92</v>
      </c>
      <c r="CT14" t="s">
        <v>92</v>
      </c>
      <c r="CU14" t="s">
        <v>816</v>
      </c>
      <c r="CV14" t="s">
        <v>817</v>
      </c>
      <c r="CW14" t="s">
        <v>818</v>
      </c>
      <c r="CX14" t="s">
        <v>7</v>
      </c>
      <c r="CY14" t="s">
        <v>92</v>
      </c>
      <c r="CZ14" t="s">
        <v>589</v>
      </c>
    </row>
    <row r="15" spans="1:104" x14ac:dyDescent="0.25">
      <c r="A15">
        <v>4</v>
      </c>
      <c r="B15" t="s">
        <v>813</v>
      </c>
      <c r="C15" t="s">
        <v>580</v>
      </c>
      <c r="D15" t="s">
        <v>84</v>
      </c>
      <c r="E15" t="s">
        <v>579</v>
      </c>
      <c r="F15" s="45">
        <v>45196</v>
      </c>
      <c r="G15" t="s">
        <v>106</v>
      </c>
      <c r="H15" t="s">
        <v>92</v>
      </c>
      <c r="I15" t="s">
        <v>92</v>
      </c>
      <c r="J15" t="s">
        <v>92</v>
      </c>
      <c r="K15" t="s">
        <v>709</v>
      </c>
      <c r="L15" t="s">
        <v>92</v>
      </c>
      <c r="M15" t="s">
        <v>707</v>
      </c>
      <c r="N15" t="s">
        <v>92</v>
      </c>
      <c r="O15" t="s">
        <v>92</v>
      </c>
      <c r="P15" t="s">
        <v>92</v>
      </c>
      <c r="Q15" t="s">
        <v>92</v>
      </c>
      <c r="R15" t="s">
        <v>708</v>
      </c>
      <c r="S15" t="s">
        <v>626</v>
      </c>
      <c r="T15" t="s">
        <v>627</v>
      </c>
      <c r="U15" t="s">
        <v>628</v>
      </c>
      <c r="V15" t="s">
        <v>628</v>
      </c>
      <c r="W15" t="s">
        <v>709</v>
      </c>
      <c r="X15" t="s">
        <v>92</v>
      </c>
      <c r="Y15" s="45">
        <v>45197</v>
      </c>
      <c r="Z15" t="s">
        <v>92</v>
      </c>
      <c r="AA15" s="45">
        <v>45197</v>
      </c>
      <c r="AB15" t="s">
        <v>580</v>
      </c>
      <c r="AC15" t="s">
        <v>710</v>
      </c>
      <c r="AD15" s="45">
        <v>45230</v>
      </c>
      <c r="AE15" t="s">
        <v>92</v>
      </c>
      <c r="AF15">
        <v>3</v>
      </c>
      <c r="AG15" s="45">
        <v>45198</v>
      </c>
      <c r="AH15" s="45">
        <v>45197</v>
      </c>
      <c r="AI15">
        <v>0.12690000000000001</v>
      </c>
      <c r="AJ15">
        <v>10</v>
      </c>
      <c r="AK15" t="s">
        <v>711</v>
      </c>
      <c r="AL15" t="s">
        <v>92</v>
      </c>
      <c r="AM15" t="s">
        <v>92</v>
      </c>
      <c r="AN15" t="s">
        <v>92</v>
      </c>
      <c r="AO15"/>
      <c r="AP15" t="s">
        <v>673</v>
      </c>
      <c r="AQ15" t="s">
        <v>636</v>
      </c>
      <c r="AR15" t="s">
        <v>712</v>
      </c>
      <c r="AS15" t="s">
        <v>92</v>
      </c>
      <c r="AT15" t="s">
        <v>638</v>
      </c>
      <c r="AU15" t="s">
        <v>713</v>
      </c>
      <c r="AV15" t="s">
        <v>334</v>
      </c>
      <c r="AW15"/>
      <c r="AX15"/>
      <c r="AY15"/>
      <c r="AZ15"/>
      <c r="BA15" t="s">
        <v>92</v>
      </c>
      <c r="BB15" t="s">
        <v>92</v>
      </c>
      <c r="BC15" t="s">
        <v>714</v>
      </c>
      <c r="BD15"/>
      <c r="BE15">
        <v>100</v>
      </c>
      <c r="BF15" t="s">
        <v>643</v>
      </c>
      <c r="BG15" t="s">
        <v>92</v>
      </c>
      <c r="BH15" t="s">
        <v>715</v>
      </c>
      <c r="BI15" t="s">
        <v>92</v>
      </c>
      <c r="BJ15"/>
      <c r="BK15" t="s">
        <v>110</v>
      </c>
      <c r="BL15" s="45">
        <v>45230</v>
      </c>
      <c r="BM15">
        <v>0.03</v>
      </c>
      <c r="BN15" t="s">
        <v>716</v>
      </c>
      <c r="BO15">
        <v>0.127</v>
      </c>
      <c r="BP15" t="s">
        <v>638</v>
      </c>
      <c r="BQ15" t="s">
        <v>638</v>
      </c>
      <c r="BR15" t="s">
        <v>638</v>
      </c>
      <c r="BS15" t="s">
        <v>717</v>
      </c>
      <c r="BT15" t="s">
        <v>247</v>
      </c>
      <c r="BU15" s="45"/>
      <c r="BV15" t="s">
        <v>7</v>
      </c>
      <c r="BW15" t="s">
        <v>12</v>
      </c>
      <c r="BX15" t="s">
        <v>7</v>
      </c>
      <c r="BY15" t="s">
        <v>581</v>
      </c>
      <c r="BZ15" t="s">
        <v>7</v>
      </c>
      <c r="CA15" t="s">
        <v>92</v>
      </c>
      <c r="CB15"/>
      <c r="CC15" t="s">
        <v>83</v>
      </c>
      <c r="CD15" t="s">
        <v>83</v>
      </c>
      <c r="CE15" t="s">
        <v>39</v>
      </c>
      <c r="CF15" t="s">
        <v>92</v>
      </c>
      <c r="CG15" t="s">
        <v>110</v>
      </c>
      <c r="CH15" t="s">
        <v>92</v>
      </c>
      <c r="CI15">
        <v>1.7000000000000001E-2</v>
      </c>
      <c r="CJ15">
        <v>0.127</v>
      </c>
      <c r="CK15">
        <v>0.13600000000000001</v>
      </c>
      <c r="CL15" t="s">
        <v>92</v>
      </c>
      <c r="CM15" t="s">
        <v>92</v>
      </c>
      <c r="CN15" t="s">
        <v>7</v>
      </c>
      <c r="CO15" t="s">
        <v>7</v>
      </c>
      <c r="CP15" t="s">
        <v>115</v>
      </c>
      <c r="CQ15"/>
      <c r="CR15" t="s">
        <v>92</v>
      </c>
      <c r="CS15" t="s">
        <v>92</v>
      </c>
      <c r="CT15" t="s">
        <v>92</v>
      </c>
      <c r="CU15" t="s">
        <v>819</v>
      </c>
      <c r="CV15" t="s">
        <v>820</v>
      </c>
      <c r="CW15" t="s">
        <v>821</v>
      </c>
      <c r="CX15" t="s">
        <v>7</v>
      </c>
      <c r="CY15" t="s">
        <v>92</v>
      </c>
      <c r="CZ15" t="s">
        <v>586</v>
      </c>
    </row>
    <row r="16" spans="1:104" x14ac:dyDescent="0.25">
      <c r="A16">
        <v>3</v>
      </c>
      <c r="B16" t="s">
        <v>791</v>
      </c>
      <c r="C16" t="s">
        <v>603</v>
      </c>
      <c r="D16" t="s">
        <v>1</v>
      </c>
      <c r="E16" t="s">
        <v>602</v>
      </c>
      <c r="F16" s="45">
        <v>45195</v>
      </c>
      <c r="G16" t="s">
        <v>85</v>
      </c>
      <c r="H16" t="s">
        <v>92</v>
      </c>
      <c r="I16" t="s">
        <v>92</v>
      </c>
      <c r="J16" t="s">
        <v>92</v>
      </c>
      <c r="K16" t="s">
        <v>747</v>
      </c>
      <c r="L16" t="s">
        <v>92</v>
      </c>
      <c r="M16" t="s">
        <v>746</v>
      </c>
      <c r="N16" t="s">
        <v>92</v>
      </c>
      <c r="O16" t="s">
        <v>131</v>
      </c>
      <c r="P16" t="s">
        <v>92</v>
      </c>
      <c r="Q16" t="s">
        <v>92</v>
      </c>
      <c r="R16" t="s">
        <v>625</v>
      </c>
      <c r="S16" t="s">
        <v>626</v>
      </c>
      <c r="T16" t="s">
        <v>627</v>
      </c>
      <c r="U16" t="s">
        <v>628</v>
      </c>
      <c r="V16" t="s">
        <v>628</v>
      </c>
      <c r="W16" t="s">
        <v>747</v>
      </c>
      <c r="X16" t="s">
        <v>631</v>
      </c>
      <c r="Y16" s="45">
        <v>45197</v>
      </c>
      <c r="Z16" t="s">
        <v>748</v>
      </c>
      <c r="AA16" s="45">
        <v>45197</v>
      </c>
      <c r="AB16" t="s">
        <v>603</v>
      </c>
      <c r="AC16" t="s">
        <v>749</v>
      </c>
      <c r="AD16" s="45">
        <v>45379</v>
      </c>
      <c r="AE16" t="s">
        <v>92</v>
      </c>
      <c r="AF16">
        <v>9.6999999999999993</v>
      </c>
      <c r="AG16" s="45"/>
      <c r="AH16" s="45">
        <v>45197</v>
      </c>
      <c r="AI16">
        <v>0.66600000000000004</v>
      </c>
      <c r="AJ16">
        <v>1000</v>
      </c>
      <c r="AK16" t="s">
        <v>750</v>
      </c>
      <c r="AL16" t="s">
        <v>751</v>
      </c>
      <c r="AM16" t="s">
        <v>92</v>
      </c>
      <c r="AN16" t="s">
        <v>92</v>
      </c>
      <c r="AO16"/>
      <c r="AP16" t="s">
        <v>673</v>
      </c>
      <c r="AQ16" t="s">
        <v>636</v>
      </c>
      <c r="AR16" t="s">
        <v>752</v>
      </c>
      <c r="AS16" t="s">
        <v>423</v>
      </c>
      <c r="AT16" t="s">
        <v>638</v>
      </c>
      <c r="AU16" t="s">
        <v>753</v>
      </c>
      <c r="AV16" t="s">
        <v>334</v>
      </c>
      <c r="AW16"/>
      <c r="AX16"/>
      <c r="AY16"/>
      <c r="AZ16"/>
      <c r="BA16" t="s">
        <v>92</v>
      </c>
      <c r="BB16" t="s">
        <v>754</v>
      </c>
      <c r="BC16" t="s">
        <v>755</v>
      </c>
      <c r="BD16"/>
      <c r="BE16">
        <v>100</v>
      </c>
      <c r="BF16" t="s">
        <v>643</v>
      </c>
      <c r="BG16" t="s">
        <v>92</v>
      </c>
      <c r="BH16" t="s">
        <v>715</v>
      </c>
      <c r="BI16" t="s">
        <v>645</v>
      </c>
      <c r="BJ16"/>
      <c r="BK16" t="s">
        <v>110</v>
      </c>
      <c r="BL16" s="45">
        <v>45564</v>
      </c>
      <c r="BM16">
        <v>9.6999999999999989E-2</v>
      </c>
      <c r="BN16" t="s">
        <v>756</v>
      </c>
      <c r="BO16">
        <v>0.66600000000000004</v>
      </c>
      <c r="BP16" t="s">
        <v>638</v>
      </c>
      <c r="BQ16" t="s">
        <v>638</v>
      </c>
      <c r="BR16" t="s">
        <v>638</v>
      </c>
      <c r="BS16" t="s">
        <v>757</v>
      </c>
      <c r="BT16" t="s">
        <v>247</v>
      </c>
      <c r="BU16" s="45"/>
      <c r="BV16" t="s">
        <v>7</v>
      </c>
      <c r="BW16" t="s">
        <v>23</v>
      </c>
      <c r="BX16" t="s">
        <v>7</v>
      </c>
      <c r="BY16" t="s">
        <v>581</v>
      </c>
      <c r="BZ16" t="s">
        <v>7</v>
      </c>
      <c r="CA16" t="s">
        <v>92</v>
      </c>
      <c r="CB16"/>
      <c r="CC16" t="s">
        <v>83</v>
      </c>
      <c r="CD16" t="s">
        <v>83</v>
      </c>
      <c r="CE16" t="s">
        <v>39</v>
      </c>
      <c r="CF16" t="s">
        <v>92</v>
      </c>
      <c r="CG16" t="s">
        <v>110</v>
      </c>
      <c r="CH16" t="s">
        <v>92</v>
      </c>
      <c r="CI16">
        <v>0.66600000000000004</v>
      </c>
      <c r="CJ16">
        <v>4.87</v>
      </c>
      <c r="CK16">
        <v>5.21</v>
      </c>
      <c r="CL16" t="s">
        <v>92</v>
      </c>
      <c r="CM16" t="s">
        <v>92</v>
      </c>
      <c r="CN16" t="s">
        <v>7</v>
      </c>
      <c r="CO16" t="s">
        <v>7</v>
      </c>
      <c r="CP16" t="s">
        <v>115</v>
      </c>
      <c r="CQ16"/>
      <c r="CR16" t="s">
        <v>92</v>
      </c>
      <c r="CS16" t="s">
        <v>92</v>
      </c>
      <c r="CT16" t="s">
        <v>92</v>
      </c>
      <c r="CU16" t="s">
        <v>748</v>
      </c>
      <c r="CV16" t="s">
        <v>792</v>
      </c>
      <c r="CW16" t="s">
        <v>92</v>
      </c>
      <c r="CX16" t="s">
        <v>7</v>
      </c>
      <c r="CY16" t="s">
        <v>92</v>
      </c>
      <c r="CZ16" t="s">
        <v>609</v>
      </c>
    </row>
    <row r="17" spans="1:104" x14ac:dyDescent="0.25">
      <c r="A17">
        <v>2</v>
      </c>
      <c r="B17" t="s">
        <v>789</v>
      </c>
      <c r="C17" t="s">
        <v>617</v>
      </c>
      <c r="D17" t="s">
        <v>1</v>
      </c>
      <c r="E17" t="s">
        <v>616</v>
      </c>
      <c r="F17" s="45">
        <v>45194</v>
      </c>
      <c r="G17" t="s">
        <v>106</v>
      </c>
      <c r="H17" t="s">
        <v>778</v>
      </c>
      <c r="I17" t="s">
        <v>783</v>
      </c>
      <c r="J17" t="s">
        <v>774</v>
      </c>
      <c r="K17" t="s">
        <v>779</v>
      </c>
      <c r="L17" t="s">
        <v>773</v>
      </c>
      <c r="M17" t="s">
        <v>771</v>
      </c>
      <c r="N17" t="s">
        <v>92</v>
      </c>
      <c r="O17" t="s">
        <v>667</v>
      </c>
      <c r="P17" t="s">
        <v>92</v>
      </c>
      <c r="Q17" t="s">
        <v>92</v>
      </c>
      <c r="R17" t="s">
        <v>625</v>
      </c>
      <c r="S17" t="s">
        <v>626</v>
      </c>
      <c r="T17" t="s">
        <v>627</v>
      </c>
      <c r="U17" t="s">
        <v>628</v>
      </c>
      <c r="V17" t="s">
        <v>628</v>
      </c>
      <c r="W17" t="s">
        <v>772</v>
      </c>
      <c r="X17" t="s">
        <v>631</v>
      </c>
      <c r="Y17" s="45">
        <v>45209</v>
      </c>
      <c r="Z17" t="s">
        <v>774</v>
      </c>
      <c r="AA17" s="45">
        <v>45209</v>
      </c>
      <c r="AB17" t="s">
        <v>617</v>
      </c>
      <c r="AC17" t="s">
        <v>775</v>
      </c>
      <c r="AD17" s="45">
        <v>45575</v>
      </c>
      <c r="AE17" t="s">
        <v>92</v>
      </c>
      <c r="AF17">
        <v>3.98</v>
      </c>
      <c r="AG17" s="45"/>
      <c r="AH17" s="45">
        <v>45209</v>
      </c>
      <c r="AI17">
        <v>7.3</v>
      </c>
      <c r="AJ17">
        <v>10000</v>
      </c>
      <c r="AK17" t="s">
        <v>776</v>
      </c>
      <c r="AL17" t="s">
        <v>777</v>
      </c>
      <c r="AM17" t="s">
        <v>92</v>
      </c>
      <c r="AN17" t="s">
        <v>92</v>
      </c>
      <c r="AO17"/>
      <c r="AP17" t="s">
        <v>657</v>
      </c>
      <c r="AQ17" t="s">
        <v>636</v>
      </c>
      <c r="AR17" t="s">
        <v>637</v>
      </c>
      <c r="AS17" t="s">
        <v>764</v>
      </c>
      <c r="AT17" t="s">
        <v>638</v>
      </c>
      <c r="AU17" t="s">
        <v>639</v>
      </c>
      <c r="AV17" t="s">
        <v>334</v>
      </c>
      <c r="AW17"/>
      <c r="AX17"/>
      <c r="AY17"/>
      <c r="AZ17"/>
      <c r="BA17" t="s">
        <v>780</v>
      </c>
      <c r="BB17" t="s">
        <v>781</v>
      </c>
      <c r="BC17" t="s">
        <v>782</v>
      </c>
      <c r="BD17"/>
      <c r="BE17">
        <v>100</v>
      </c>
      <c r="BF17" t="s">
        <v>643</v>
      </c>
      <c r="BG17" t="s">
        <v>92</v>
      </c>
      <c r="BH17" t="s">
        <v>715</v>
      </c>
      <c r="BI17" t="s">
        <v>645</v>
      </c>
      <c r="BJ17">
        <v>22</v>
      </c>
      <c r="BK17" t="s">
        <v>647</v>
      </c>
      <c r="BL17" s="45">
        <v>46305</v>
      </c>
      <c r="BM17">
        <v>3.9800000000000002E-2</v>
      </c>
      <c r="BN17" t="s">
        <v>648</v>
      </c>
      <c r="BO17">
        <v>7.3</v>
      </c>
      <c r="BP17" t="s">
        <v>638</v>
      </c>
      <c r="BQ17" t="s">
        <v>638</v>
      </c>
      <c r="BR17" t="s">
        <v>638</v>
      </c>
      <c r="BS17" t="s">
        <v>784</v>
      </c>
      <c r="BT17" t="s">
        <v>247</v>
      </c>
      <c r="BU17" s="45"/>
      <c r="BV17" t="s">
        <v>7</v>
      </c>
      <c r="BW17" t="s">
        <v>17</v>
      </c>
      <c r="BX17" t="s">
        <v>7</v>
      </c>
      <c r="BY17" t="s">
        <v>581</v>
      </c>
      <c r="BZ17" t="s">
        <v>7</v>
      </c>
      <c r="CA17" t="s">
        <v>92</v>
      </c>
      <c r="CB17"/>
      <c r="CC17" t="s">
        <v>618</v>
      </c>
      <c r="CD17" t="s">
        <v>83</v>
      </c>
      <c r="CE17" t="s">
        <v>39</v>
      </c>
      <c r="CF17" t="s">
        <v>92</v>
      </c>
      <c r="CG17" t="s">
        <v>268</v>
      </c>
      <c r="CH17" t="s">
        <v>92</v>
      </c>
      <c r="CI17">
        <v>1</v>
      </c>
      <c r="CJ17">
        <v>7.3</v>
      </c>
      <c r="CK17">
        <v>7.7960000000000003</v>
      </c>
      <c r="CL17" t="s">
        <v>92</v>
      </c>
      <c r="CM17" t="s">
        <v>92</v>
      </c>
      <c r="CN17" t="s">
        <v>7</v>
      </c>
      <c r="CO17" t="s">
        <v>7</v>
      </c>
      <c r="CP17" t="s">
        <v>115</v>
      </c>
      <c r="CQ17">
        <v>22</v>
      </c>
      <c r="CR17" t="s">
        <v>802</v>
      </c>
      <c r="CS17" t="s">
        <v>774</v>
      </c>
      <c r="CT17" t="s">
        <v>92</v>
      </c>
      <c r="CU17" t="s">
        <v>774</v>
      </c>
      <c r="CV17" t="s">
        <v>151</v>
      </c>
      <c r="CW17" t="s">
        <v>92</v>
      </c>
      <c r="CX17" t="s">
        <v>7</v>
      </c>
      <c r="CY17" t="s">
        <v>92</v>
      </c>
      <c r="CZ17" t="s">
        <v>622</v>
      </c>
    </row>
    <row r="18" spans="1:104" x14ac:dyDescent="0.25">
      <c r="A18">
        <v>1</v>
      </c>
      <c r="B18" t="s">
        <v>813</v>
      </c>
      <c r="C18" t="s">
        <v>333</v>
      </c>
      <c r="D18" t="s">
        <v>84</v>
      </c>
      <c r="E18" t="s">
        <v>610</v>
      </c>
      <c r="F18" s="45">
        <v>45194</v>
      </c>
      <c r="G18" t="s">
        <v>85</v>
      </c>
      <c r="H18" t="s">
        <v>92</v>
      </c>
      <c r="I18" t="s">
        <v>92</v>
      </c>
      <c r="J18" t="s">
        <v>92</v>
      </c>
      <c r="K18" t="s">
        <v>765</v>
      </c>
      <c r="L18" t="s">
        <v>92</v>
      </c>
      <c r="M18" t="s">
        <v>758</v>
      </c>
      <c r="N18" t="s">
        <v>92</v>
      </c>
      <c r="O18" t="s">
        <v>131</v>
      </c>
      <c r="P18" t="s">
        <v>92</v>
      </c>
      <c r="Q18" t="s">
        <v>92</v>
      </c>
      <c r="R18" t="s">
        <v>625</v>
      </c>
      <c r="S18" t="s">
        <v>626</v>
      </c>
      <c r="T18" t="s">
        <v>627</v>
      </c>
      <c r="U18" t="s">
        <v>628</v>
      </c>
      <c r="V18" t="s">
        <v>628</v>
      </c>
      <c r="W18" t="s">
        <v>759</v>
      </c>
      <c r="X18" t="s">
        <v>92</v>
      </c>
      <c r="Y18" s="45">
        <v>45197</v>
      </c>
      <c r="Z18" t="s">
        <v>92</v>
      </c>
      <c r="AA18" s="45">
        <v>45197</v>
      </c>
      <c r="AB18" t="s">
        <v>92</v>
      </c>
      <c r="AC18" t="s">
        <v>760</v>
      </c>
      <c r="AD18" s="45">
        <v>45379</v>
      </c>
      <c r="AE18" t="s">
        <v>92</v>
      </c>
      <c r="AF18">
        <v>5.25</v>
      </c>
      <c r="AG18" s="45"/>
      <c r="AH18" s="45">
        <v>45197</v>
      </c>
      <c r="AI18">
        <v>1</v>
      </c>
      <c r="AJ18">
        <v>1000</v>
      </c>
      <c r="AK18" t="s">
        <v>761</v>
      </c>
      <c r="AL18" t="s">
        <v>92</v>
      </c>
      <c r="AM18" t="s">
        <v>92</v>
      </c>
      <c r="AN18" t="s">
        <v>92</v>
      </c>
      <c r="AO18"/>
      <c r="AP18" t="s">
        <v>657</v>
      </c>
      <c r="AQ18" t="s">
        <v>762</v>
      </c>
      <c r="AR18" t="s">
        <v>763</v>
      </c>
      <c r="AS18" t="s">
        <v>764</v>
      </c>
      <c r="AT18" t="s">
        <v>638</v>
      </c>
      <c r="AU18" t="s">
        <v>459</v>
      </c>
      <c r="AV18" t="s">
        <v>334</v>
      </c>
      <c r="AW18"/>
      <c r="AX18"/>
      <c r="AY18"/>
      <c r="AZ18"/>
      <c r="BA18" t="s">
        <v>92</v>
      </c>
      <c r="BB18" t="s">
        <v>766</v>
      </c>
      <c r="BC18" t="s">
        <v>714</v>
      </c>
      <c r="BD18"/>
      <c r="BE18"/>
      <c r="BF18" t="s">
        <v>643</v>
      </c>
      <c r="BG18" t="s">
        <v>92</v>
      </c>
      <c r="BH18" t="s">
        <v>644</v>
      </c>
      <c r="BI18" t="s">
        <v>645</v>
      </c>
      <c r="BJ18"/>
      <c r="BK18" t="s">
        <v>110</v>
      </c>
      <c r="BL18" s="45">
        <v>46261</v>
      </c>
      <c r="BM18">
        <v>5.2499999999999998E-2</v>
      </c>
      <c r="BN18" t="s">
        <v>767</v>
      </c>
      <c r="BO18">
        <v>1</v>
      </c>
      <c r="BP18" t="s">
        <v>638</v>
      </c>
      <c r="BQ18" t="s">
        <v>768</v>
      </c>
      <c r="BR18" t="s">
        <v>769</v>
      </c>
      <c r="BS18" t="s">
        <v>770</v>
      </c>
      <c r="BT18" t="s">
        <v>247</v>
      </c>
      <c r="BU18" s="45"/>
      <c r="BV18" t="s">
        <v>7</v>
      </c>
      <c r="BW18" t="s">
        <v>12</v>
      </c>
      <c r="BX18" t="s">
        <v>7</v>
      </c>
      <c r="BY18" t="s">
        <v>255</v>
      </c>
      <c r="BZ18" t="s">
        <v>7</v>
      </c>
      <c r="CA18" t="s">
        <v>92</v>
      </c>
      <c r="CB18"/>
      <c r="CC18" t="s">
        <v>83</v>
      </c>
      <c r="CD18" t="s">
        <v>786</v>
      </c>
      <c r="CE18" t="s">
        <v>37</v>
      </c>
      <c r="CF18" t="s">
        <v>92</v>
      </c>
      <c r="CG18" t="s">
        <v>110</v>
      </c>
      <c r="CH18" t="s">
        <v>822</v>
      </c>
      <c r="CI18">
        <v>1</v>
      </c>
      <c r="CJ18">
        <v>7.3159999999999998</v>
      </c>
      <c r="CK18">
        <v>7.8159999999999998</v>
      </c>
      <c r="CL18" t="s">
        <v>92</v>
      </c>
      <c r="CM18" t="s">
        <v>92</v>
      </c>
      <c r="CN18" t="s">
        <v>7</v>
      </c>
      <c r="CO18" t="s">
        <v>7</v>
      </c>
      <c r="CP18" t="s">
        <v>115</v>
      </c>
      <c r="CQ18"/>
      <c r="CR18" t="s">
        <v>92</v>
      </c>
      <c r="CS18" t="s">
        <v>92</v>
      </c>
      <c r="CT18" t="s">
        <v>92</v>
      </c>
      <c r="CU18" t="s">
        <v>823</v>
      </c>
      <c r="CV18" t="s">
        <v>800</v>
      </c>
      <c r="CW18" t="s">
        <v>92</v>
      </c>
      <c r="CX18" t="s">
        <v>7</v>
      </c>
      <c r="CY18" t="s">
        <v>92</v>
      </c>
      <c r="CZ18" t="s">
        <v>615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zoomScale="70" zoomScaleNormal="70" workbookViewId="0">
      <selection activeCell="K12" sqref="K12"/>
    </sheetView>
  </sheetViews>
  <sheetFormatPr defaultColWidth="8.88671875" defaultRowHeight="20.100000000000001" customHeight="1" x14ac:dyDescent="0.25"/>
  <cols>
    <col min="1" max="1" width="12.44140625" style="25" bestFit="1" customWidth="1"/>
    <col min="2" max="2" width="13.33203125" style="25" bestFit="1" customWidth="1"/>
    <col min="3" max="3" width="15.44140625" style="25" bestFit="1" customWidth="1"/>
    <col min="4" max="4" width="35.88671875" style="25" customWidth="1"/>
    <col min="5" max="5" width="9.6640625" style="25" bestFit="1" customWidth="1"/>
    <col min="6" max="6" width="18.109375" style="25" bestFit="1" customWidth="1"/>
    <col min="7" max="7" width="8.88671875" style="25" bestFit="1" customWidth="1"/>
    <col min="8" max="8" width="9" style="25" bestFit="1" customWidth="1"/>
    <col min="9" max="10" width="9.33203125" style="25" bestFit="1" customWidth="1"/>
    <col min="11" max="11" width="19.44140625" style="25" bestFit="1" customWidth="1"/>
    <col min="12" max="15" width="2.21875" style="25" customWidth="1"/>
    <col min="16" max="16" width="17.88671875" style="25" customWidth="1"/>
    <col min="17" max="17" width="36.6640625" style="25" bestFit="1" customWidth="1"/>
    <col min="18" max="18" width="9" style="25" bestFit="1" customWidth="1"/>
    <col min="19" max="19" width="10.44140625" style="25" bestFit="1" customWidth="1"/>
    <col min="20" max="20" width="13.33203125" style="25" bestFit="1" customWidth="1"/>
    <col min="21" max="21" width="9" style="1" bestFit="1" customWidth="1"/>
    <col min="22" max="22" width="9" style="25" bestFit="1" customWidth="1"/>
    <col min="23" max="24" width="9" style="1" bestFit="1" customWidth="1"/>
    <col min="25" max="25" width="10.44140625" style="1" bestFit="1" customWidth="1"/>
    <col min="26" max="26" width="4.33203125" style="25" bestFit="1" customWidth="1"/>
    <col min="27" max="27" width="8.5546875" style="25" bestFit="1" customWidth="1"/>
    <col min="28" max="28" width="9.5546875" style="1" bestFit="1" customWidth="1"/>
    <col min="29" max="29" width="15.33203125" style="1" bestFit="1" customWidth="1"/>
    <col min="30" max="30" width="7.6640625" style="25" bestFit="1" customWidth="1"/>
    <col min="31" max="31" width="6.77734375" style="25" bestFit="1" customWidth="1"/>
    <col min="32" max="33" width="7" style="25" bestFit="1" customWidth="1"/>
    <col min="34" max="34" width="13.33203125" style="1" bestFit="1" customWidth="1"/>
    <col min="35" max="35" width="19.44140625" style="1" bestFit="1" customWidth="1"/>
    <col min="36" max="38" width="7.88671875" style="48" customWidth="1"/>
    <col min="39" max="39" width="7.88671875" style="25" customWidth="1"/>
    <col min="40" max="40" width="33.109375" style="25" customWidth="1"/>
    <col min="41" max="41" width="19.33203125" style="25" bestFit="1" customWidth="1"/>
    <col min="42" max="42" width="13.21875" style="25" bestFit="1" customWidth="1"/>
    <col min="43" max="43" width="9.33203125" style="25" bestFit="1" customWidth="1"/>
    <col min="44" max="44" width="7.6640625" style="25" bestFit="1" customWidth="1"/>
    <col min="45" max="46" width="12" style="25" bestFit="1" customWidth="1"/>
    <col min="47" max="47" width="11.5546875" style="25" bestFit="1" customWidth="1"/>
    <col min="48" max="48" width="14.44140625" style="25" customWidth="1"/>
    <col min="49" max="49" width="11.5546875" style="25" bestFit="1" customWidth="1"/>
    <col min="50" max="50" width="10.77734375" style="25" bestFit="1" customWidth="1"/>
    <col min="51" max="52" width="9.33203125" style="25" bestFit="1" customWidth="1"/>
    <col min="53" max="53" width="9.88671875" style="25" customWidth="1"/>
    <col min="54" max="56" width="4.109375" style="48" customWidth="1"/>
    <col min="57" max="57" width="4.109375" style="25" customWidth="1"/>
    <col min="58" max="58" width="36.6640625" style="25" bestFit="1" customWidth="1"/>
    <col min="59" max="59" width="15.6640625" style="25" bestFit="1" customWidth="1"/>
    <col min="60" max="60" width="10.44140625" style="25" customWidth="1"/>
    <col min="61" max="61" width="11.5546875" style="25" customWidth="1"/>
    <col min="62" max="62" width="12.44140625" style="25" bestFit="1" customWidth="1"/>
    <col min="63" max="63" width="10.77734375" style="25" bestFit="1" customWidth="1"/>
    <col min="64" max="64" width="10.33203125" style="25" bestFit="1" customWidth="1"/>
    <col min="65" max="65" width="10.77734375" style="25" bestFit="1" customWidth="1"/>
    <col min="66" max="66" width="13.109375" style="25" bestFit="1" customWidth="1"/>
    <col min="67" max="67" width="12.6640625" style="25" bestFit="1" customWidth="1"/>
    <col min="68" max="68" width="35.77734375" style="25" customWidth="1"/>
    <col min="69" max="69" width="15.6640625" style="25" customWidth="1"/>
    <col min="70" max="70" width="15.21875" style="25" customWidth="1"/>
    <col min="71" max="71" width="15.6640625" style="25" customWidth="1"/>
    <col min="72" max="73" width="15.5546875" style="25" customWidth="1"/>
    <col min="74" max="16384" width="8.88671875" style="25"/>
  </cols>
  <sheetData>
    <row r="1" spans="1:61" s="48" customFormat="1" ht="49.5" x14ac:dyDescent="0.55000000000000004">
      <c r="A1" s="47" t="s">
        <v>442</v>
      </c>
      <c r="C1" s="57" t="s">
        <v>447</v>
      </c>
      <c r="F1" s="56" t="s">
        <v>441</v>
      </c>
      <c r="G1" s="56" t="s">
        <v>90</v>
      </c>
      <c r="H1" s="56" t="s">
        <v>41</v>
      </c>
      <c r="I1" s="117" t="s">
        <v>448</v>
      </c>
      <c r="P1" s="47" t="s">
        <v>418</v>
      </c>
      <c r="Q1" s="57" t="s">
        <v>446</v>
      </c>
      <c r="R1" s="57"/>
      <c r="U1" s="56" t="s">
        <v>139</v>
      </c>
      <c r="V1" s="56" t="s">
        <v>88</v>
      </c>
      <c r="W1" s="56" t="s">
        <v>53</v>
      </c>
      <c r="Z1" s="56" t="s">
        <v>257</v>
      </c>
      <c r="AA1" s="56" t="s">
        <v>90</v>
      </c>
      <c r="AB1" s="56" t="s">
        <v>64</v>
      </c>
      <c r="AN1" s="47" t="s">
        <v>451</v>
      </c>
      <c r="AO1" s="57" t="s">
        <v>444</v>
      </c>
      <c r="AT1" s="56" t="s">
        <v>173</v>
      </c>
      <c r="AU1" s="56" t="s">
        <v>172</v>
      </c>
      <c r="AX1" s="56" t="s">
        <v>147</v>
      </c>
      <c r="AY1" s="56" t="s">
        <v>201</v>
      </c>
      <c r="AZ1" s="56" t="s">
        <v>202</v>
      </c>
      <c r="BA1" s="56" t="s">
        <v>203</v>
      </c>
      <c r="BF1" s="47" t="s">
        <v>443</v>
      </c>
      <c r="BG1" s="58" t="s">
        <v>445</v>
      </c>
      <c r="BH1" s="56" t="s">
        <v>206</v>
      </c>
      <c r="BI1" s="56" t="s">
        <v>229</v>
      </c>
    </row>
    <row r="2" spans="1:61" s="49" customFormat="1" ht="75" customHeight="1" x14ac:dyDescent="0.35">
      <c r="A2" s="118" t="s">
        <v>449</v>
      </c>
      <c r="D2" s="62"/>
      <c r="I2" s="62"/>
      <c r="J2" s="62"/>
      <c r="Q2" s="50"/>
      <c r="R2" s="62" t="s">
        <v>273</v>
      </c>
      <c r="S2" s="62" t="s">
        <v>273</v>
      </c>
      <c r="T2" s="62" t="s">
        <v>273</v>
      </c>
      <c r="U2" s="62" t="s">
        <v>273</v>
      </c>
      <c r="V2" s="62" t="s">
        <v>273</v>
      </c>
      <c r="W2" s="62" t="s">
        <v>273</v>
      </c>
      <c r="X2" s="62"/>
      <c r="Y2" s="63"/>
      <c r="Z2" s="62"/>
      <c r="AJ2" s="48"/>
      <c r="AK2" s="48"/>
      <c r="AL2" s="48"/>
      <c r="AU2" s="62"/>
      <c r="AV2" s="62"/>
      <c r="AW2" s="62"/>
      <c r="AX2" s="62"/>
      <c r="AY2" s="62"/>
      <c r="AZ2" s="62"/>
      <c r="BA2" s="62"/>
      <c r="BB2" s="48"/>
      <c r="BC2" s="48"/>
      <c r="BD2" s="48"/>
      <c r="BG2" s="62" t="s">
        <v>273</v>
      </c>
      <c r="BH2" s="62" t="s">
        <v>273</v>
      </c>
      <c r="BI2" s="62" t="s">
        <v>273</v>
      </c>
    </row>
    <row r="3" spans="1:61" s="52" customFormat="1" ht="33" customHeight="1" x14ac:dyDescent="0.25">
      <c r="A3" s="107" t="s">
        <v>441</v>
      </c>
      <c r="B3" s="51" t="s">
        <v>48</v>
      </c>
      <c r="C3" s="51" t="s">
        <v>49</v>
      </c>
      <c r="D3" s="51" t="s">
        <v>94</v>
      </c>
      <c r="E3" s="51" t="s">
        <v>135</v>
      </c>
      <c r="F3" s="51" t="s">
        <v>178</v>
      </c>
      <c r="G3" s="51" t="s">
        <v>90</v>
      </c>
      <c r="H3" s="51" t="s">
        <v>41</v>
      </c>
      <c r="I3" s="51" t="s">
        <v>187</v>
      </c>
      <c r="J3" s="51" t="s">
        <v>188</v>
      </c>
      <c r="K3" s="51" t="s">
        <v>140</v>
      </c>
      <c r="P3" s="51" t="s">
        <v>49</v>
      </c>
      <c r="Q3" s="51" t="s">
        <v>94</v>
      </c>
      <c r="R3" s="51" t="s">
        <v>139</v>
      </c>
      <c r="S3" s="51" t="s">
        <v>88</v>
      </c>
      <c r="T3" s="51" t="s">
        <v>53</v>
      </c>
      <c r="U3" s="51" t="s">
        <v>167</v>
      </c>
      <c r="V3" s="51" t="s">
        <v>152</v>
      </c>
      <c r="W3" s="51" t="s">
        <v>141</v>
      </c>
      <c r="X3" s="51" t="s">
        <v>64</v>
      </c>
      <c r="Y3" s="51" t="s">
        <v>57</v>
      </c>
      <c r="Z3" s="51" t="s">
        <v>87</v>
      </c>
      <c r="AA3" s="51" t="s">
        <v>120</v>
      </c>
      <c r="AB3" s="51" t="s">
        <v>153</v>
      </c>
      <c r="AC3" s="51" t="s">
        <v>91</v>
      </c>
      <c r="AD3" s="51" t="s">
        <v>211</v>
      </c>
      <c r="AE3" s="51" t="s">
        <v>174</v>
      </c>
      <c r="AF3" s="51" t="s">
        <v>175</v>
      </c>
      <c r="AG3" s="51" t="s">
        <v>212</v>
      </c>
      <c r="AH3" s="51" t="s">
        <v>48</v>
      </c>
      <c r="AI3" s="51" t="s">
        <v>140</v>
      </c>
      <c r="AJ3" s="48"/>
      <c r="AK3" s="48"/>
      <c r="AL3" s="48"/>
      <c r="AN3" s="51" t="s">
        <v>94</v>
      </c>
      <c r="AO3" s="51" t="s">
        <v>140</v>
      </c>
      <c r="AP3" s="51" t="s">
        <v>48</v>
      </c>
      <c r="AQ3" s="51" t="s">
        <v>49</v>
      </c>
      <c r="AR3" s="51" t="s">
        <v>205</v>
      </c>
      <c r="AS3" s="51" t="s">
        <v>189</v>
      </c>
      <c r="AT3" s="51" t="s">
        <v>173</v>
      </c>
      <c r="AU3" s="51" t="s">
        <v>172</v>
      </c>
      <c r="AV3" s="51" t="s">
        <v>183</v>
      </c>
      <c r="AW3" s="51" t="s">
        <v>171</v>
      </c>
      <c r="AX3" s="51" t="s">
        <v>147</v>
      </c>
      <c r="AY3" s="51" t="s">
        <v>201</v>
      </c>
      <c r="AZ3" s="51" t="s">
        <v>202</v>
      </c>
      <c r="BA3" s="51" t="s">
        <v>203</v>
      </c>
      <c r="BB3" s="48"/>
      <c r="BC3" s="48"/>
      <c r="BD3" s="48"/>
      <c r="BF3" s="51" t="s">
        <v>94</v>
      </c>
      <c r="BG3" s="51" t="s">
        <v>179</v>
      </c>
      <c r="BH3" s="51" t="s">
        <v>206</v>
      </c>
      <c r="BI3" s="51" t="s">
        <v>229</v>
      </c>
    </row>
    <row r="4" spans="1:61" ht="21" customHeight="1" x14ac:dyDescent="0.25">
      <c r="C4" s="115"/>
      <c r="D4" s="116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F4" s="52"/>
      <c r="BG4" s="52"/>
      <c r="BH4" s="52"/>
      <c r="BI4" s="52"/>
    </row>
    <row r="5" spans="1:61" ht="21" customHeight="1" x14ac:dyDescent="0.3">
      <c r="A5" s="44"/>
      <c r="B5" s="27"/>
      <c r="C5" s="106"/>
      <c r="D5" s="105"/>
      <c r="E5" s="27"/>
      <c r="F5" s="123"/>
      <c r="G5" s="27"/>
      <c r="H5" s="27"/>
      <c r="I5" s="27"/>
      <c r="J5" s="27"/>
      <c r="K5" s="27"/>
      <c r="P5" s="112"/>
      <c r="Q5" s="112"/>
      <c r="R5" s="53"/>
      <c r="S5" s="53"/>
      <c r="T5" s="53"/>
      <c r="U5" s="53"/>
      <c r="V5" s="53"/>
      <c r="W5" s="113"/>
      <c r="X5" s="53"/>
      <c r="Y5" s="54"/>
      <c r="Z5" s="53"/>
      <c r="AA5" s="53"/>
      <c r="AB5" s="53"/>
      <c r="AC5" s="53"/>
      <c r="AD5" s="53"/>
      <c r="AE5" s="53"/>
      <c r="AF5" s="53"/>
      <c r="AG5" s="53"/>
      <c r="AH5" s="53"/>
      <c r="AI5" s="53"/>
      <c r="AN5" s="52"/>
      <c r="AO5" s="52"/>
      <c r="AP5" s="108"/>
      <c r="AQ5" s="108"/>
      <c r="AR5" s="52"/>
      <c r="AS5" s="52"/>
      <c r="AT5" s="52"/>
      <c r="AU5" s="109"/>
      <c r="AV5" s="110"/>
      <c r="AW5" s="110"/>
      <c r="AX5" s="52"/>
      <c r="AY5" s="111"/>
      <c r="AZ5" s="109"/>
      <c r="BA5" s="109"/>
      <c r="BF5" s="52"/>
      <c r="BG5" s="52"/>
      <c r="BH5" s="52"/>
      <c r="BI5" s="52"/>
    </row>
    <row r="6" spans="1:61" ht="21" customHeight="1" x14ac:dyDescent="0.3">
      <c r="A6" s="27"/>
      <c r="B6" s="27"/>
      <c r="C6" s="106"/>
      <c r="D6" s="105"/>
      <c r="E6" s="27"/>
      <c r="F6" s="27"/>
      <c r="G6" s="27"/>
      <c r="H6" s="27"/>
      <c r="I6" s="27"/>
      <c r="J6" s="27"/>
      <c r="K6" s="27"/>
      <c r="P6" s="112"/>
      <c r="Q6" s="112"/>
      <c r="R6" s="54"/>
      <c r="S6" s="54"/>
      <c r="T6" s="53"/>
      <c r="U6" s="53"/>
      <c r="V6" s="53"/>
      <c r="W6" s="114"/>
      <c r="X6" s="53"/>
      <c r="Y6" s="54"/>
      <c r="Z6" s="53"/>
      <c r="AA6" s="53"/>
      <c r="AB6" s="53"/>
      <c r="AC6" s="53"/>
      <c r="AD6" s="53"/>
      <c r="AE6" s="53"/>
      <c r="AF6" s="53"/>
      <c r="AG6" s="53"/>
      <c r="AH6" s="53"/>
      <c r="AI6" s="53"/>
      <c r="AN6" s="52"/>
      <c r="AO6" s="52"/>
      <c r="AP6" s="108"/>
      <c r="AQ6" s="108"/>
      <c r="AR6" s="52"/>
      <c r="AS6" s="52"/>
      <c r="AT6" s="52"/>
      <c r="AU6" s="109"/>
      <c r="AV6" s="110"/>
      <c r="AW6" s="110"/>
      <c r="AX6" s="52"/>
      <c r="AY6" s="108"/>
      <c r="AZ6" s="109"/>
      <c r="BA6" s="52"/>
      <c r="BF6" s="52"/>
      <c r="BG6" s="52"/>
      <c r="BH6" s="52"/>
      <c r="BI6" s="52"/>
    </row>
    <row r="7" spans="1:61" ht="21" customHeight="1" x14ac:dyDescent="0.3">
      <c r="A7" s="27"/>
      <c r="B7" s="27"/>
      <c r="C7" s="106"/>
      <c r="D7" s="105"/>
      <c r="E7" s="123"/>
      <c r="F7" s="27"/>
      <c r="G7" s="27"/>
      <c r="H7" s="27"/>
      <c r="I7" s="27"/>
      <c r="J7" s="27"/>
      <c r="K7" s="27"/>
      <c r="P7" s="112"/>
      <c r="Q7" s="112"/>
      <c r="R7" s="53"/>
      <c r="S7" s="54"/>
      <c r="T7" s="53"/>
      <c r="U7" s="53"/>
      <c r="V7" s="53"/>
      <c r="W7" s="114"/>
      <c r="X7" s="53"/>
      <c r="Y7" s="54"/>
      <c r="Z7" s="53"/>
      <c r="AA7" s="53"/>
      <c r="AB7" s="53"/>
      <c r="AC7" s="53"/>
      <c r="AD7" s="53"/>
      <c r="AE7" s="53"/>
      <c r="AF7" s="53"/>
      <c r="AG7" s="53"/>
      <c r="AH7" s="53"/>
      <c r="AI7" s="53"/>
      <c r="AN7" s="52"/>
      <c r="AO7" s="52"/>
      <c r="AP7" s="108"/>
      <c r="AQ7" s="108"/>
      <c r="AR7" s="52"/>
      <c r="AS7" s="52"/>
      <c r="AT7" s="52"/>
      <c r="AU7" s="109"/>
      <c r="AV7" s="110"/>
      <c r="AW7" s="109"/>
      <c r="AX7" s="52"/>
      <c r="AY7" s="108"/>
      <c r="AZ7" s="109"/>
      <c r="BA7" s="109"/>
      <c r="BF7" s="52"/>
      <c r="BG7" s="52"/>
      <c r="BH7" s="52"/>
      <c r="BI7" s="52"/>
    </row>
    <row r="8" spans="1:61" ht="21" customHeight="1" x14ac:dyDescent="0.25">
      <c r="A8" s="27"/>
      <c r="B8" s="27"/>
      <c r="C8" s="106"/>
      <c r="D8" s="105"/>
      <c r="E8" s="27"/>
      <c r="F8" s="123"/>
      <c r="G8" s="27"/>
      <c r="H8" s="27"/>
      <c r="I8" s="27"/>
      <c r="J8" s="27"/>
      <c r="K8" s="27"/>
      <c r="P8" s="112"/>
      <c r="Q8" s="112"/>
      <c r="R8" s="54"/>
      <c r="S8" s="54"/>
      <c r="T8" s="53"/>
      <c r="U8" s="53"/>
      <c r="V8" s="53"/>
      <c r="W8" s="114"/>
      <c r="X8" s="53"/>
      <c r="Y8" s="54"/>
      <c r="Z8" s="53"/>
      <c r="AA8" s="53"/>
      <c r="AB8" s="53"/>
      <c r="AC8" s="53"/>
      <c r="AD8" s="53"/>
      <c r="AE8" s="53"/>
      <c r="AF8" s="53"/>
      <c r="AG8" s="53"/>
      <c r="AH8" s="53"/>
      <c r="AI8" s="53"/>
      <c r="AN8" s="52"/>
      <c r="AO8" s="52"/>
      <c r="AP8" s="108"/>
      <c r="AQ8" s="108"/>
      <c r="AR8" s="52"/>
      <c r="AS8" s="52"/>
      <c r="AT8" s="52"/>
      <c r="AU8" s="109"/>
      <c r="AV8" s="109"/>
      <c r="AW8" s="109"/>
      <c r="AX8" s="52"/>
      <c r="AY8" s="111"/>
      <c r="AZ8" s="109"/>
      <c r="BA8" s="52"/>
      <c r="BF8" s="52"/>
      <c r="BG8" s="52"/>
      <c r="BH8" s="52"/>
      <c r="BI8" s="52"/>
    </row>
    <row r="9" spans="1:61" ht="21" customHeight="1" x14ac:dyDescent="0.25">
      <c r="A9" s="27"/>
      <c r="B9" s="27"/>
      <c r="C9" s="106"/>
      <c r="D9" s="105"/>
      <c r="E9" s="27"/>
      <c r="F9" s="27"/>
      <c r="G9" s="27"/>
      <c r="H9" s="27"/>
      <c r="I9" s="27"/>
      <c r="J9" s="27"/>
      <c r="K9" s="27"/>
      <c r="P9" s="112"/>
      <c r="Q9" s="112"/>
      <c r="R9" s="54"/>
      <c r="S9" s="54"/>
      <c r="T9" s="53"/>
      <c r="U9" s="53"/>
      <c r="V9" s="53"/>
      <c r="W9" s="53"/>
      <c r="X9" s="54"/>
      <c r="Y9" s="54"/>
      <c r="Z9" s="53"/>
      <c r="AA9" s="53"/>
      <c r="AB9" s="53"/>
      <c r="AC9" s="53"/>
      <c r="AD9" s="53"/>
      <c r="AE9" s="53"/>
      <c r="AF9" s="53"/>
      <c r="AG9" s="53"/>
      <c r="AH9" s="53"/>
      <c r="AI9" s="53"/>
      <c r="AN9" s="52"/>
      <c r="AO9" s="52"/>
      <c r="AP9" s="108"/>
      <c r="AQ9" s="108"/>
      <c r="AR9" s="52"/>
      <c r="AS9" s="52"/>
      <c r="AT9" s="52"/>
      <c r="AU9" s="109"/>
      <c r="AV9" s="109"/>
      <c r="AW9" s="109"/>
      <c r="AX9" s="52"/>
      <c r="AY9" s="111"/>
      <c r="AZ9" s="109"/>
      <c r="BA9" s="52"/>
      <c r="BF9" s="52"/>
      <c r="BG9" s="52"/>
      <c r="BH9" s="52"/>
      <c r="BI9" s="52"/>
    </row>
    <row r="10" spans="1:61" ht="21" customHeight="1" x14ac:dyDescent="0.25">
      <c r="A10" s="27"/>
      <c r="B10" s="27"/>
      <c r="C10" s="106"/>
      <c r="D10" s="105"/>
      <c r="E10" s="27"/>
      <c r="F10" s="27"/>
      <c r="G10" s="27"/>
      <c r="H10" s="27"/>
      <c r="I10" s="27"/>
      <c r="J10" s="27"/>
      <c r="K10" s="27"/>
      <c r="P10" s="112"/>
      <c r="Q10" s="112"/>
      <c r="R10" s="54"/>
      <c r="S10" s="54"/>
      <c r="T10" s="53"/>
      <c r="U10" s="53"/>
      <c r="V10" s="53"/>
      <c r="W10" s="55"/>
      <c r="X10" s="53"/>
      <c r="Y10" s="54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N10" s="52"/>
      <c r="AO10" s="52"/>
      <c r="AP10" s="108"/>
      <c r="AQ10" s="108"/>
      <c r="AR10" s="52"/>
      <c r="AS10" s="52"/>
      <c r="AT10" s="52"/>
      <c r="AU10" s="109"/>
      <c r="AV10" s="52"/>
      <c r="AW10" s="52"/>
      <c r="AX10" s="52"/>
      <c r="AY10" s="111"/>
      <c r="AZ10" s="52"/>
      <c r="BA10" s="52"/>
      <c r="BF10" s="52"/>
      <c r="BG10" s="52"/>
      <c r="BH10" s="52"/>
      <c r="BI10" s="52"/>
    </row>
    <row r="11" spans="1:61" ht="21" customHeight="1" x14ac:dyDescent="0.25">
      <c r="A11" s="27"/>
      <c r="B11" s="27"/>
      <c r="C11" s="106"/>
      <c r="D11" s="105"/>
      <c r="E11" s="27"/>
      <c r="F11" s="27"/>
      <c r="G11" s="27"/>
      <c r="H11" s="27"/>
      <c r="I11" s="27"/>
      <c r="J11" s="27"/>
      <c r="K11" s="27"/>
      <c r="P11" s="112"/>
      <c r="Q11" s="112"/>
      <c r="R11" s="54"/>
      <c r="S11" s="54"/>
      <c r="T11" s="53"/>
      <c r="U11" s="53"/>
      <c r="V11" s="114"/>
      <c r="W11" s="114"/>
      <c r="X11" s="53"/>
      <c r="Y11" s="54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N11" s="52"/>
      <c r="AO11" s="52"/>
      <c r="AP11" s="108"/>
      <c r="AQ11" s="108"/>
      <c r="AR11" s="52"/>
      <c r="AS11" s="52"/>
      <c r="AT11" s="52"/>
      <c r="AU11" s="109"/>
      <c r="AV11" s="52"/>
      <c r="AW11" s="52"/>
      <c r="AX11" s="52"/>
      <c r="AY11" s="108"/>
      <c r="AZ11" s="52"/>
      <c r="BA11" s="52"/>
    </row>
    <row r="12" spans="1:61" ht="21" customHeight="1" x14ac:dyDescent="0.25">
      <c r="A12" s="27"/>
      <c r="B12" s="27"/>
      <c r="C12" s="106"/>
      <c r="D12" s="105"/>
      <c r="E12" s="27"/>
      <c r="F12" s="27"/>
      <c r="G12" s="27"/>
      <c r="H12" s="27"/>
      <c r="I12" s="27"/>
      <c r="J12" s="27"/>
      <c r="K12" s="27"/>
      <c r="P12" s="112"/>
      <c r="Q12" s="112"/>
      <c r="R12" s="53"/>
      <c r="S12" s="54"/>
      <c r="T12" s="114"/>
      <c r="U12" s="53"/>
      <c r="V12" s="53"/>
      <c r="W12" s="114"/>
      <c r="X12" s="53"/>
      <c r="Y12" s="54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N12" s="52"/>
      <c r="AO12" s="52"/>
      <c r="AP12" s="108"/>
      <c r="AQ12" s="108"/>
      <c r="AR12" s="52"/>
      <c r="AS12" s="52"/>
      <c r="AT12" s="52"/>
      <c r="AU12" s="109"/>
      <c r="AV12" s="52"/>
      <c r="AW12" s="52"/>
      <c r="AX12" s="52"/>
      <c r="AY12" s="108"/>
      <c r="AZ12" s="52"/>
      <c r="BA12" s="52"/>
    </row>
    <row r="13" spans="1:61" ht="21" customHeight="1" x14ac:dyDescent="0.25">
      <c r="A13" s="27"/>
      <c r="B13" s="27"/>
      <c r="C13" s="106"/>
      <c r="D13" s="105"/>
      <c r="E13" s="27"/>
      <c r="F13" s="27"/>
      <c r="G13" s="27"/>
      <c r="H13" s="27"/>
      <c r="I13" s="27"/>
      <c r="J13" s="27"/>
      <c r="K13" s="27"/>
      <c r="P13" s="112"/>
      <c r="Q13" s="112"/>
      <c r="R13" s="53"/>
      <c r="S13" s="53"/>
      <c r="T13" s="53"/>
      <c r="U13" s="53"/>
      <c r="V13" s="53"/>
      <c r="W13" s="113"/>
      <c r="X13" s="53"/>
      <c r="Y13" s="54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Z13" s="52"/>
      <c r="BA13" s="52"/>
    </row>
    <row r="14" spans="1:61" ht="21" customHeight="1" x14ac:dyDescent="0.25">
      <c r="A14" s="27"/>
      <c r="B14" s="27"/>
      <c r="C14" s="106"/>
      <c r="D14" s="105"/>
      <c r="E14" s="27"/>
      <c r="F14" s="27"/>
      <c r="G14" s="27"/>
      <c r="H14" s="27"/>
      <c r="I14" s="27"/>
      <c r="J14" s="27"/>
      <c r="K14" s="27"/>
      <c r="P14" s="112"/>
      <c r="Q14" s="112"/>
      <c r="R14" s="53"/>
      <c r="S14" s="53"/>
      <c r="T14" s="53"/>
      <c r="U14" s="53"/>
      <c r="V14" s="53"/>
      <c r="W14" s="53"/>
      <c r="X14" s="53"/>
      <c r="Y14" s="54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BA14" s="52"/>
    </row>
    <row r="15" spans="1:61" ht="21" customHeight="1" x14ac:dyDescent="0.25">
      <c r="A15" s="27"/>
      <c r="B15" s="27"/>
      <c r="C15" s="106"/>
      <c r="D15" s="105"/>
      <c r="E15" s="27"/>
      <c r="F15" s="27"/>
      <c r="G15" s="27"/>
      <c r="H15" s="27"/>
      <c r="I15" s="27"/>
      <c r="J15" s="27"/>
      <c r="K15" s="27"/>
      <c r="P15" s="112"/>
      <c r="Q15" s="112"/>
      <c r="R15" s="53"/>
      <c r="S15" s="53"/>
      <c r="T15" s="53"/>
      <c r="U15" s="53"/>
      <c r="V15" s="53"/>
      <c r="W15" s="114"/>
      <c r="X15" s="53"/>
      <c r="Y15" s="54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BA15" s="52"/>
    </row>
    <row r="16" spans="1:61" ht="21" customHeight="1" x14ac:dyDescent="0.25">
      <c r="A16" s="27"/>
      <c r="B16" s="27"/>
      <c r="C16" s="106"/>
      <c r="D16" s="105"/>
      <c r="E16" s="27"/>
      <c r="F16" s="27"/>
      <c r="G16" s="27"/>
      <c r="H16" s="27"/>
      <c r="I16" s="27"/>
      <c r="J16" s="27"/>
      <c r="K16" s="27"/>
      <c r="P16" s="112"/>
      <c r="Q16" s="112"/>
      <c r="R16" s="53"/>
      <c r="S16" s="53"/>
      <c r="T16" s="53"/>
      <c r="U16" s="53"/>
      <c r="V16" s="53"/>
      <c r="W16" s="53"/>
      <c r="X16" s="53"/>
      <c r="Y16" s="54"/>
      <c r="Z16" s="53"/>
      <c r="AA16" s="53"/>
      <c r="AB16" s="53"/>
      <c r="AC16" s="53"/>
      <c r="AD16" s="53"/>
      <c r="AE16" s="53"/>
      <c r="AF16" s="53"/>
      <c r="AG16" s="53"/>
      <c r="AH16" s="53"/>
      <c r="AI16" s="53"/>
    </row>
    <row r="17" spans="1:51" ht="21" customHeight="1" x14ac:dyDescent="0.25">
      <c r="A17" s="27"/>
      <c r="B17" s="27"/>
      <c r="C17" s="106"/>
      <c r="D17" s="105"/>
      <c r="E17" s="27"/>
      <c r="F17" s="27"/>
      <c r="G17" s="27"/>
      <c r="H17" s="27"/>
      <c r="I17" s="27"/>
      <c r="J17" s="27"/>
      <c r="K17" s="27"/>
      <c r="P17" s="112"/>
      <c r="Q17" s="112"/>
      <c r="R17" s="53"/>
      <c r="S17" s="53"/>
      <c r="T17" s="53"/>
      <c r="U17" s="53"/>
      <c r="V17" s="53"/>
      <c r="W17" s="53"/>
      <c r="X17" s="53"/>
      <c r="Y17" s="54"/>
      <c r="Z17" s="53"/>
      <c r="AA17" s="53"/>
      <c r="AB17" s="53"/>
      <c r="AC17" s="53"/>
      <c r="AD17" s="53"/>
      <c r="AE17" s="53"/>
      <c r="AF17" s="53"/>
      <c r="AG17" s="53"/>
      <c r="AH17" s="53"/>
      <c r="AI17" s="53"/>
    </row>
    <row r="18" spans="1:51" ht="21" customHeight="1" x14ac:dyDescent="0.25">
      <c r="A18" s="27"/>
      <c r="B18" s="27"/>
      <c r="C18" s="106"/>
      <c r="D18" s="105"/>
      <c r="E18" s="27"/>
      <c r="F18" s="27"/>
      <c r="G18" s="27"/>
      <c r="H18" s="27"/>
      <c r="I18" s="27"/>
      <c r="J18" s="27"/>
      <c r="K18" s="27"/>
      <c r="P18" s="112"/>
      <c r="Q18" s="112"/>
      <c r="R18" s="53"/>
      <c r="S18" s="53"/>
      <c r="T18" s="53"/>
      <c r="U18" s="53"/>
      <c r="V18" s="53"/>
      <c r="W18" s="53"/>
      <c r="X18" s="53"/>
      <c r="Y18" s="54"/>
      <c r="Z18" s="53"/>
      <c r="AA18" s="53"/>
      <c r="AB18" s="53"/>
      <c r="AC18" s="53"/>
      <c r="AD18" s="53"/>
      <c r="AE18" s="53"/>
      <c r="AF18" s="53"/>
      <c r="AG18" s="53"/>
      <c r="AH18" s="53"/>
      <c r="AI18" s="53"/>
    </row>
    <row r="19" spans="1:51" ht="21" customHeight="1" x14ac:dyDescent="0.25">
      <c r="A19" s="27"/>
      <c r="B19" s="27"/>
      <c r="C19" s="106"/>
      <c r="D19" s="105"/>
      <c r="E19" s="27"/>
      <c r="F19" s="27"/>
      <c r="G19" s="27"/>
      <c r="H19" s="27"/>
      <c r="I19" s="27"/>
      <c r="J19" s="27"/>
      <c r="K19" s="27"/>
      <c r="P19" s="112"/>
      <c r="Q19" s="112"/>
      <c r="R19" s="53"/>
      <c r="S19" s="53"/>
      <c r="T19" s="53"/>
      <c r="U19" s="53"/>
      <c r="V19" s="53"/>
      <c r="W19" s="53"/>
      <c r="X19" s="53"/>
      <c r="Y19" s="54"/>
      <c r="Z19" s="53"/>
      <c r="AA19" s="53"/>
      <c r="AB19" s="53"/>
      <c r="AC19" s="53"/>
      <c r="AD19" s="53"/>
      <c r="AE19" s="53"/>
      <c r="AF19" s="53"/>
      <c r="AG19" s="53"/>
      <c r="AH19" s="53"/>
      <c r="AI19" s="53"/>
    </row>
    <row r="20" spans="1:51" ht="21" customHeight="1" x14ac:dyDescent="0.25">
      <c r="A20" s="27"/>
      <c r="B20" s="27"/>
      <c r="C20" s="106"/>
      <c r="D20" s="105"/>
      <c r="E20" s="27"/>
      <c r="F20" s="27"/>
      <c r="G20" s="27"/>
      <c r="H20" s="27"/>
      <c r="I20" s="27"/>
      <c r="J20" s="27"/>
      <c r="K20" s="27"/>
      <c r="P20" s="112"/>
      <c r="Q20" s="112"/>
      <c r="R20" s="53"/>
      <c r="S20" s="53"/>
      <c r="T20" s="53"/>
      <c r="U20" s="53"/>
      <c r="V20" s="53"/>
      <c r="W20" s="53"/>
      <c r="X20" s="53"/>
      <c r="Y20" s="54"/>
      <c r="Z20" s="53"/>
      <c r="AA20" s="53"/>
      <c r="AB20" s="53"/>
      <c r="AC20" s="53"/>
      <c r="AD20" s="53"/>
      <c r="AE20" s="53"/>
      <c r="AF20" s="53"/>
      <c r="AG20" s="53"/>
      <c r="AH20" s="53"/>
      <c r="AI20" s="53"/>
    </row>
    <row r="21" spans="1:51" ht="21" customHeight="1" x14ac:dyDescent="0.25">
      <c r="A21" s="27"/>
      <c r="B21" s="27"/>
      <c r="C21" s="106"/>
      <c r="D21" s="105"/>
      <c r="E21" s="27"/>
      <c r="F21" s="27"/>
      <c r="G21" s="27"/>
      <c r="H21" s="27"/>
      <c r="I21" s="27"/>
      <c r="J21" s="27"/>
      <c r="K21" s="27"/>
      <c r="P21" s="112"/>
      <c r="Q21" s="112"/>
      <c r="R21" s="53"/>
      <c r="S21" s="53"/>
      <c r="T21" s="53"/>
      <c r="U21" s="53"/>
      <c r="V21" s="53"/>
      <c r="W21" s="53"/>
      <c r="X21" s="53"/>
      <c r="Y21" s="54"/>
      <c r="Z21" s="53"/>
      <c r="AA21" s="53"/>
      <c r="AB21" s="53"/>
      <c r="AC21" s="53"/>
      <c r="AD21" s="53"/>
      <c r="AE21" s="53"/>
      <c r="AF21" s="53"/>
      <c r="AG21" s="53"/>
      <c r="AH21" s="53"/>
      <c r="AI21" s="53"/>
    </row>
    <row r="22" spans="1:51" ht="21" customHeight="1" x14ac:dyDescent="0.25">
      <c r="A22" s="27"/>
      <c r="B22" s="27"/>
      <c r="C22" s="106"/>
      <c r="D22" s="105"/>
      <c r="E22" s="27"/>
      <c r="F22" s="27"/>
      <c r="G22" s="27"/>
      <c r="H22" s="27"/>
      <c r="I22" s="27"/>
      <c r="J22" s="27"/>
      <c r="K22" s="27"/>
      <c r="P22" s="112"/>
      <c r="Q22" s="112"/>
      <c r="R22" s="53"/>
      <c r="S22" s="53"/>
      <c r="T22" s="53"/>
      <c r="U22" s="53"/>
      <c r="V22" s="53"/>
      <c r="W22" s="53"/>
      <c r="X22" s="53"/>
      <c r="Y22" s="54"/>
      <c r="Z22" s="53"/>
      <c r="AA22" s="53"/>
      <c r="AB22" s="53"/>
      <c r="AC22" s="53"/>
      <c r="AD22" s="53"/>
      <c r="AE22" s="53"/>
      <c r="AF22" s="53"/>
      <c r="AG22" s="53"/>
      <c r="AH22" s="53"/>
      <c r="AI22" s="53"/>
    </row>
    <row r="23" spans="1:51" ht="21" customHeight="1" x14ac:dyDescent="0.25">
      <c r="A23" s="27"/>
      <c r="B23" s="27"/>
      <c r="C23" s="106"/>
      <c r="D23" s="105"/>
      <c r="E23" s="27"/>
      <c r="F23" s="27"/>
      <c r="G23" s="27"/>
      <c r="H23" s="27"/>
      <c r="I23" s="27"/>
      <c r="J23" s="27"/>
      <c r="K23" s="27"/>
      <c r="P23" s="112"/>
      <c r="Q23" s="112"/>
      <c r="R23" s="53"/>
      <c r="S23" s="53"/>
      <c r="T23" s="53"/>
      <c r="U23" s="53"/>
      <c r="V23" s="53"/>
      <c r="W23" s="53"/>
      <c r="X23" s="53"/>
      <c r="Y23" s="54"/>
      <c r="Z23" s="53"/>
      <c r="AA23" s="53"/>
      <c r="AB23" s="53"/>
      <c r="AC23" s="53"/>
      <c r="AD23" s="53"/>
      <c r="AE23" s="53"/>
      <c r="AF23" s="53"/>
      <c r="AG23" s="53"/>
      <c r="AH23" s="53"/>
      <c r="AI23" s="53"/>
    </row>
    <row r="24" spans="1:51" ht="21" customHeight="1" x14ac:dyDescent="0.25">
      <c r="A24" s="27"/>
      <c r="B24" s="27"/>
      <c r="C24" s="106"/>
      <c r="D24" s="105"/>
      <c r="E24" s="27"/>
      <c r="F24" s="27"/>
      <c r="G24" s="27"/>
      <c r="H24" s="27"/>
      <c r="I24" s="27"/>
      <c r="J24" s="27"/>
      <c r="K24" s="27"/>
      <c r="P24" s="112"/>
      <c r="Q24" s="112"/>
      <c r="R24" s="53"/>
      <c r="S24" s="53"/>
      <c r="T24" s="53"/>
      <c r="U24" s="53"/>
      <c r="V24" s="53"/>
      <c r="W24" s="53"/>
      <c r="X24" s="53"/>
      <c r="Y24" s="54"/>
      <c r="Z24" s="53"/>
      <c r="AA24" s="53"/>
      <c r="AB24" s="53"/>
      <c r="AC24" s="53"/>
      <c r="AD24" s="53"/>
      <c r="AE24" s="53"/>
      <c r="AF24" s="53"/>
      <c r="AG24" s="53"/>
      <c r="AH24" s="53"/>
      <c r="AI24" s="53"/>
    </row>
    <row r="25" spans="1:51" ht="21" customHeight="1" x14ac:dyDescent="0.25">
      <c r="A25" s="27"/>
      <c r="B25" s="27"/>
      <c r="C25" s="106"/>
      <c r="D25" s="105"/>
      <c r="E25" s="27"/>
      <c r="F25" s="27"/>
      <c r="G25" s="27"/>
      <c r="H25" s="27"/>
      <c r="I25" s="27"/>
      <c r="J25" s="27"/>
      <c r="K25" s="27"/>
      <c r="P25" s="112"/>
      <c r="Q25" s="112"/>
      <c r="R25" s="53"/>
      <c r="S25" s="53"/>
      <c r="T25" s="53"/>
      <c r="U25" s="53"/>
      <c r="V25" s="53"/>
      <c r="W25" s="53"/>
      <c r="X25" s="53"/>
      <c r="Y25" s="54"/>
      <c r="Z25" s="53"/>
      <c r="AA25" s="53"/>
      <c r="AB25" s="53"/>
      <c r="AC25" s="53"/>
      <c r="AD25" s="53"/>
      <c r="AE25" s="53"/>
      <c r="AF25" s="53"/>
      <c r="AG25" s="53"/>
      <c r="AH25" s="53"/>
      <c r="AI25" s="53"/>
    </row>
    <row r="26" spans="1:51" ht="21" customHeight="1" x14ac:dyDescent="0.25">
      <c r="A26" s="27"/>
      <c r="B26" s="27"/>
      <c r="C26" s="106"/>
      <c r="D26" s="105"/>
      <c r="E26" s="27"/>
      <c r="F26" s="27"/>
      <c r="G26" s="27"/>
      <c r="H26" s="27"/>
      <c r="I26" s="27"/>
      <c r="J26" s="27"/>
      <c r="K26" s="27"/>
      <c r="P26" s="112"/>
      <c r="Q26" s="112"/>
      <c r="R26" s="53"/>
      <c r="S26" s="53"/>
      <c r="T26" s="53"/>
      <c r="U26" s="53"/>
      <c r="V26" s="53"/>
      <c r="W26" s="53"/>
      <c r="X26" s="53"/>
      <c r="Y26" s="54"/>
      <c r="Z26" s="53"/>
      <c r="AA26" s="53"/>
      <c r="AB26" s="53"/>
      <c r="AC26" s="53"/>
      <c r="AD26" s="53"/>
      <c r="AE26" s="53"/>
      <c r="AF26" s="53"/>
      <c r="AG26" s="53"/>
      <c r="AH26" s="53"/>
      <c r="AI26" s="53"/>
    </row>
    <row r="27" spans="1:51" ht="20.100000000000001" customHeight="1" x14ac:dyDescent="0.25">
      <c r="P27" s="52"/>
      <c r="Q27" s="52"/>
      <c r="R27" s="52"/>
      <c r="S27" s="52"/>
      <c r="T27" s="52"/>
      <c r="V27" s="52"/>
      <c r="Z27" s="52"/>
      <c r="AA27" s="52"/>
      <c r="AD27" s="52"/>
      <c r="AE27" s="52"/>
      <c r="AF27" s="52"/>
      <c r="AG27" s="52"/>
    </row>
    <row r="28" spans="1:51" ht="20.100000000000001" customHeight="1" x14ac:dyDescent="0.25">
      <c r="P28" s="52"/>
      <c r="Q28" s="52"/>
      <c r="R28" s="52"/>
      <c r="S28" s="52"/>
      <c r="T28" s="52"/>
      <c r="V28" s="52"/>
      <c r="Z28" s="52"/>
      <c r="AA28" s="52"/>
      <c r="AD28" s="52"/>
      <c r="AE28" s="52"/>
      <c r="AF28" s="52"/>
      <c r="AG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</row>
    <row r="29" spans="1:51" ht="20.100000000000001" customHeight="1" x14ac:dyDescent="0.25">
      <c r="P29" s="52"/>
      <c r="Q29" s="52"/>
      <c r="R29" s="52"/>
      <c r="S29" s="52"/>
      <c r="T29" s="52"/>
      <c r="V29" s="52"/>
      <c r="Z29" s="52"/>
      <c r="AA29" s="52"/>
      <c r="AD29" s="52"/>
      <c r="AE29" s="52"/>
      <c r="AF29" s="52"/>
      <c r="AG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</row>
    <row r="30" spans="1:51" ht="20.100000000000001" customHeight="1" x14ac:dyDescent="0.25">
      <c r="P30" s="52"/>
      <c r="Q30" s="52"/>
      <c r="R30" s="52"/>
      <c r="S30" s="52"/>
      <c r="T30" s="52"/>
      <c r="V30" s="52"/>
      <c r="Z30" s="52"/>
      <c r="AA30" s="52"/>
      <c r="AD30" s="52"/>
      <c r="AE30" s="52"/>
      <c r="AF30" s="52"/>
      <c r="AG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</row>
    <row r="31" spans="1:51" ht="20.100000000000001" customHeight="1" x14ac:dyDescent="0.25">
      <c r="P31" s="52"/>
      <c r="Q31" s="52"/>
      <c r="R31" s="52"/>
      <c r="S31" s="52"/>
      <c r="T31" s="52"/>
      <c r="V31" s="52"/>
      <c r="Z31" s="52"/>
      <c r="AA31" s="52"/>
      <c r="AD31" s="52"/>
      <c r="AE31" s="52"/>
      <c r="AF31" s="52"/>
      <c r="AG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</row>
    <row r="32" spans="1:51" ht="20.100000000000001" customHeight="1" x14ac:dyDescent="0.25">
      <c r="P32" s="52"/>
      <c r="Q32" s="52"/>
      <c r="R32" s="52"/>
      <c r="S32" s="52"/>
      <c r="T32" s="52"/>
      <c r="V32" s="52"/>
      <c r="Z32" s="52"/>
      <c r="AA32" s="52"/>
      <c r="AD32" s="52"/>
      <c r="AE32" s="52"/>
      <c r="AF32" s="52"/>
      <c r="AG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</row>
    <row r="33" spans="16:51" ht="20.100000000000001" customHeight="1" x14ac:dyDescent="0.25">
      <c r="P33" s="52"/>
      <c r="Q33" s="52"/>
      <c r="R33" s="52"/>
      <c r="S33" s="52"/>
      <c r="T33" s="52"/>
      <c r="V33" s="52"/>
      <c r="Z33" s="52"/>
      <c r="AA33" s="52"/>
      <c r="AD33" s="52"/>
      <c r="AE33" s="52"/>
      <c r="AF33" s="52"/>
      <c r="AG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</row>
    <row r="34" spans="16:51" ht="20.100000000000001" customHeight="1" x14ac:dyDescent="0.25">
      <c r="P34" s="52"/>
      <c r="Q34" s="52"/>
      <c r="R34" s="52"/>
      <c r="S34" s="52"/>
      <c r="T34" s="52"/>
      <c r="V34" s="52"/>
      <c r="Z34" s="52"/>
      <c r="AA34" s="52"/>
      <c r="AD34" s="52"/>
      <c r="AE34" s="52"/>
      <c r="AF34" s="52"/>
      <c r="AG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</row>
    <row r="35" spans="16:51" ht="20.100000000000001" customHeight="1" x14ac:dyDescent="0.25">
      <c r="P35" s="53"/>
      <c r="R35" s="37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</row>
    <row r="36" spans="16:51" ht="20.100000000000001" customHeight="1" x14ac:dyDescent="0.25">
      <c r="P36" s="53"/>
      <c r="R36" s="37"/>
    </row>
    <row r="37" spans="16:51" ht="20.100000000000001" customHeight="1" x14ac:dyDescent="0.25">
      <c r="R37" s="37"/>
    </row>
    <row r="38" spans="16:51" ht="20.100000000000001" customHeight="1" x14ac:dyDescent="0.25">
      <c r="R38" s="37"/>
    </row>
    <row r="39" spans="16:51" ht="20.100000000000001" customHeight="1" x14ac:dyDescent="0.25">
      <c r="R39" s="37"/>
    </row>
    <row r="40" spans="16:51" ht="20.100000000000001" customHeight="1" x14ac:dyDescent="0.25">
      <c r="R40" s="37"/>
    </row>
    <row r="41" spans="16:51" ht="20.100000000000001" customHeight="1" x14ac:dyDescent="0.25">
      <c r="R41" s="37"/>
    </row>
    <row r="42" spans="16:51" ht="20.100000000000001" customHeight="1" x14ac:dyDescent="0.25">
      <c r="R42" s="37"/>
    </row>
    <row r="43" spans="16:51" ht="20.100000000000001" customHeight="1" x14ac:dyDescent="0.25">
      <c r="R43" s="37"/>
    </row>
    <row r="44" spans="16:51" ht="20.100000000000001" customHeight="1" x14ac:dyDescent="0.25">
      <c r="R44" s="37"/>
    </row>
    <row r="45" spans="16:51" ht="20.100000000000001" customHeight="1" x14ac:dyDescent="0.25">
      <c r="R45" s="37"/>
    </row>
    <row r="46" spans="16:51" ht="20.100000000000001" customHeight="1" x14ac:dyDescent="0.25">
      <c r="R46" s="37"/>
    </row>
    <row r="47" spans="16:51" ht="20.100000000000001" customHeight="1" x14ac:dyDescent="0.25">
      <c r="R47" s="37"/>
    </row>
    <row r="48" spans="16:51" ht="20.100000000000001" customHeight="1" x14ac:dyDescent="0.25">
      <c r="R48" s="37"/>
    </row>
    <row r="49" spans="18:18" ht="20.100000000000001" customHeight="1" x14ac:dyDescent="0.25">
      <c r="R49" s="37"/>
    </row>
    <row r="50" spans="18:18" ht="20.100000000000001" customHeight="1" x14ac:dyDescent="0.25">
      <c r="R50" s="37"/>
    </row>
    <row r="51" spans="18:18" ht="20.100000000000001" customHeight="1" x14ac:dyDescent="0.25">
      <c r="R51" s="37"/>
    </row>
    <row r="52" spans="18:18" ht="20.100000000000001" customHeight="1" x14ac:dyDescent="0.25">
      <c r="R52" s="37"/>
    </row>
  </sheetData>
  <phoneticPr fontId="14" type="noConversion"/>
  <conditionalFormatting sqref="A4:K26 P4:AI26 AN4:BA4 AN5:AR12 AT5:BA12 BF4:BI10">
    <cfRule type="containsText" dxfId="536" priority="6" operator="containsText" text="【">
      <formula>NOT(ISERROR(SEARCH("【",A4)))</formula>
    </cfRule>
  </conditionalFormatting>
  <conditionalFormatting sqref="A4:A26">
    <cfRule type="containsText" dxfId="535" priority="5" operator="containsText" text="【">
      <formula>NOT(ISERROR(SEARCH("【",A4)))</formula>
    </cfRule>
  </conditionalFormatting>
  <conditionalFormatting sqref="D4:J26 R4:W26 AT4:BA12 BG4:BI10">
    <cfRule type="notContainsBlanks" dxfId="534" priority="8">
      <formula>LEN(TRIM(D4))&gt;0</formula>
    </cfRule>
  </conditionalFormatting>
  <conditionalFormatting sqref="AS5:AS12">
    <cfRule type="containsText" dxfId="533" priority="3" operator="containsText" text="【">
      <formula>NOT(ISERROR(SEARCH("【",AS5)))</formula>
    </cfRule>
  </conditionalFormatting>
  <conditionalFormatting sqref="I1">
    <cfRule type="containsText" dxfId="532" priority="1" operator="containsText" text="【">
      <formula>NOT(ISERROR(SEARCH("【",I1)))</formula>
    </cfRule>
  </conditionalFormatting>
  <conditionalFormatting sqref="I1">
    <cfRule type="notContainsBlanks" dxfId="531" priority="2">
      <formula>LEN(TRIM(I1))&gt;0</formula>
    </cfRule>
  </conditionalFormatting>
  <dataValidations count="18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5:AT12" xr:uid="{9AD15052-9D16-43CA-833E-3464C184A18B}">
      <formula1>dd_coverage</formula1>
    </dataValidation>
    <dataValidation type="list" allowBlank="1" showInputMessage="1" showErrorMessage="1" sqref="AU1 AU5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qref="U1 R4:R26" xr:uid="{554083BD-88BD-4339-8C84-D02ACA32408B}">
      <formula1>"Green,Blue,Sustainable,SLB,--"</formula1>
    </dataValidation>
    <dataValidation type="list" allowBlank="1" showInputMessage="1" showErrorMessage="1" errorTitle="Clear Cell Value" error="If there is no need to hide or delete anymore" sqref="F1" xr:uid="{00E399D1-FBBE-4EBF-898B-16755D1B6777}">
      <formula1>"【删除】,【隐藏】"</formula1>
    </dataValidation>
    <dataValidation type="list" allowBlank="1" showInputMessage="1" showErrorMessage="1" errorTitle="Clear Cell Value" error="If there is no need to hide or delete anymore" sqref="A4:A26" xr:uid="{FE0E1AAA-A865-4409-B61F-A1E3FDFD5B3F}">
      <formula1>"【FIMTN],【删除】,【隐藏】"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/>
  <dimension ref="B6:FM15"/>
  <sheetViews>
    <sheetView zoomScale="160" zoomScaleNormal="160" workbookViewId="0">
      <selection activeCell="F12" sqref="F12"/>
    </sheetView>
  </sheetViews>
  <sheetFormatPr defaultRowHeight="15" x14ac:dyDescent="0.25"/>
  <cols>
    <col min="1" max="1" width="11.109375" style="1" bestFit="1" customWidth="1"/>
    <col min="2" max="2" width="7.109375" style="1" bestFit="1" customWidth="1"/>
    <col min="3" max="3" width="10.88671875" style="1" bestFit="1" customWidth="1"/>
    <col min="4" max="4" width="13.33203125" style="1" bestFit="1" customWidth="1"/>
    <col min="5" max="5" width="9.33203125" style="1" bestFit="1" customWidth="1"/>
    <col min="6" max="6" width="31.5546875" style="1" bestFit="1" customWidth="1"/>
    <col min="7" max="8" width="9.21875" style="1" bestFit="1" customWidth="1"/>
    <col min="9" max="9" width="5.88671875" style="1" bestFit="1" customWidth="1"/>
    <col min="10" max="10" width="7.6640625" style="1" bestFit="1" customWidth="1"/>
    <col min="11" max="12" width="10.88671875" style="1" bestFit="1" customWidth="1"/>
    <col min="13" max="13" width="5.6640625" style="1" bestFit="1" customWidth="1"/>
    <col min="14" max="14" width="9.44140625" style="1" bestFit="1" customWidth="1"/>
    <col min="15" max="15" width="10" style="1" bestFit="1" customWidth="1"/>
    <col min="16" max="16" width="5.88671875" style="1" bestFit="1" customWidth="1"/>
    <col min="17" max="17" width="10.21875" style="1" bestFit="1" customWidth="1"/>
    <col min="18" max="18" width="9.21875" style="1" bestFit="1" customWidth="1"/>
    <col min="19" max="19" width="5.88671875" style="1" bestFit="1" customWidth="1"/>
    <col min="20" max="20" width="12" style="1" bestFit="1" customWidth="1"/>
    <col min="21" max="21" width="5.88671875" style="1" bestFit="1" customWidth="1"/>
    <col min="22" max="22" width="11.109375" style="1" bestFit="1" customWidth="1"/>
    <col min="23" max="23" width="6" style="1" bestFit="1" customWidth="1"/>
    <col min="24" max="24" width="9.21875" style="1" bestFit="1" customWidth="1"/>
    <col min="25" max="25" width="7.5546875" style="1" bestFit="1" customWidth="1"/>
    <col min="26" max="26" width="6" style="1" bestFit="1" customWidth="1"/>
    <col min="27" max="27" width="7.5546875" style="1" bestFit="1" customWidth="1"/>
    <col min="28" max="28" width="9.21875" style="1" bestFit="1" customWidth="1"/>
    <col min="29" max="29" width="13.5546875" style="1" bestFit="1" customWidth="1"/>
    <col min="30" max="30" width="11.44140625" style="1" bestFit="1" customWidth="1"/>
    <col min="31" max="31" width="9.21875" style="1" bestFit="1" customWidth="1"/>
    <col min="32" max="32" width="15.21875" style="1" bestFit="1" customWidth="1"/>
    <col min="33" max="33" width="5.88671875" style="1" bestFit="1" customWidth="1"/>
    <col min="34" max="34" width="11.109375" style="1" bestFit="1" customWidth="1"/>
    <col min="35" max="35" width="9.21875" style="1" bestFit="1" customWidth="1"/>
    <col min="36" max="36" width="8.77734375" style="1" bestFit="1" customWidth="1"/>
    <col min="37" max="37" width="9.21875" style="1" bestFit="1" customWidth="1"/>
    <col min="38" max="38" width="14.44140625" style="1" bestFit="1" customWidth="1"/>
    <col min="39" max="39" width="7.6640625" style="1" bestFit="1" customWidth="1"/>
    <col min="40" max="40" width="13.33203125" style="1" bestFit="1" customWidth="1"/>
    <col min="41" max="41" width="10.88671875" style="1" bestFit="1" customWidth="1"/>
    <col min="42" max="42" width="12.33203125" style="1" bestFit="1" customWidth="1"/>
    <col min="43" max="43" width="10.33203125" style="1" bestFit="1" customWidth="1"/>
    <col min="44" max="44" width="5.88671875" style="1" bestFit="1" customWidth="1"/>
    <col min="45" max="45" width="9.21875" style="1" bestFit="1" customWidth="1"/>
    <col min="46" max="47" width="80.88671875" style="1" bestFit="1" customWidth="1"/>
    <col min="48" max="48" width="19.6640625" style="1" bestFit="1" customWidth="1"/>
    <col min="49" max="49" width="8.5546875" style="1" bestFit="1" customWidth="1"/>
    <col min="50" max="50" width="9.21875" style="1" bestFit="1" customWidth="1"/>
    <col min="51" max="51" width="14.21875" style="1" bestFit="1" customWidth="1"/>
    <col min="52" max="56" width="9.21875" style="1" bestFit="1" customWidth="1"/>
    <col min="57" max="57" width="10.88671875" style="1" bestFit="1" customWidth="1"/>
    <col min="58" max="58" width="80.88671875" style="1" bestFit="1" customWidth="1"/>
    <col min="59" max="59" width="19" style="1" bestFit="1" customWidth="1"/>
    <col min="60" max="60" width="10.33203125" style="1" bestFit="1" customWidth="1"/>
    <col min="61" max="61" width="10.88671875" style="1" bestFit="1" customWidth="1"/>
    <col min="62" max="62" width="25.88671875" style="1" bestFit="1" customWidth="1"/>
    <col min="63" max="63" width="45.44140625" style="1" bestFit="1" customWidth="1"/>
    <col min="64" max="64" width="10.88671875" style="1" bestFit="1" customWidth="1"/>
    <col min="65" max="65" width="9.21875" style="1" bestFit="1" customWidth="1"/>
    <col min="66" max="66" width="12.5546875" style="1" bestFit="1" customWidth="1"/>
    <col min="67" max="67" width="10.88671875" style="1" bestFit="1" customWidth="1"/>
    <col min="68" max="68" width="10.33203125" style="1" bestFit="1" customWidth="1"/>
    <col min="69" max="69" width="9.21875" style="1" bestFit="1" customWidth="1"/>
    <col min="70" max="70" width="12.5546875" style="1" bestFit="1" customWidth="1"/>
    <col min="71" max="71" width="8.109375" style="1" bestFit="1" customWidth="1"/>
    <col min="72" max="72" width="80.88671875" style="1" bestFit="1" customWidth="1"/>
    <col min="73" max="74" width="10.88671875" style="1" bestFit="1" customWidth="1"/>
    <col min="75" max="75" width="12.5546875" style="1" bestFit="1" customWidth="1"/>
    <col min="76" max="76" width="9.21875" style="1" bestFit="1" customWidth="1"/>
    <col min="77" max="77" width="11" style="1" bestFit="1" customWidth="1"/>
    <col min="78" max="78" width="9.21875" style="1" bestFit="1" customWidth="1"/>
    <col min="79" max="80" width="12.5546875" style="1" bestFit="1" customWidth="1"/>
    <col min="81" max="85" width="9.21875" style="1" bestFit="1" customWidth="1"/>
    <col min="86" max="86" width="10.33203125" style="1" bestFit="1" customWidth="1"/>
    <col min="87" max="87" width="12.6640625" style="1" bestFit="1" customWidth="1"/>
    <col min="88" max="88" width="7.6640625" style="1" bestFit="1" customWidth="1"/>
    <col min="89" max="89" width="6" style="1" bestFit="1" customWidth="1"/>
    <col min="90" max="90" width="9.21875" style="1" bestFit="1" customWidth="1"/>
    <col min="91" max="91" width="7.5546875" style="1" bestFit="1" customWidth="1"/>
    <col min="92" max="92" width="14.88671875" style="1" bestFit="1" customWidth="1"/>
    <col min="93" max="93" width="33.21875" style="1" bestFit="1" customWidth="1"/>
    <col min="94" max="95" width="9.21875" style="1" bestFit="1" customWidth="1"/>
    <col min="96" max="96" width="12.5546875" style="1" bestFit="1" customWidth="1"/>
    <col min="97" max="97" width="31.5546875" style="1" bestFit="1" customWidth="1"/>
    <col min="98" max="98" width="10.33203125" style="1" bestFit="1" customWidth="1"/>
    <col min="99" max="99" width="10.21875" style="1" bestFit="1" customWidth="1"/>
    <col min="100" max="100" width="12" style="1" bestFit="1" customWidth="1"/>
    <col min="101" max="101" width="9.21875" style="1" bestFit="1" customWidth="1"/>
    <col min="102" max="102" width="12.5546875" style="1" bestFit="1" customWidth="1"/>
    <col min="103" max="103" width="10" style="1" bestFit="1" customWidth="1"/>
    <col min="104" max="104" width="44.44140625" style="1" bestFit="1" customWidth="1"/>
    <col min="105" max="105" width="12" style="1" bestFit="1" customWidth="1"/>
    <col min="106" max="106" width="9.33203125" style="1" bestFit="1" customWidth="1"/>
    <col min="107" max="107" width="5.88671875" style="1" bestFit="1" customWidth="1"/>
    <col min="108" max="108" width="10.88671875" style="1" bestFit="1" customWidth="1"/>
    <col min="109" max="109" width="14.21875" style="1" bestFit="1" customWidth="1"/>
    <col min="110" max="110" width="18.21875" style="1" bestFit="1" customWidth="1"/>
    <col min="111" max="111" width="9.21875" style="1" bestFit="1" customWidth="1"/>
    <col min="112" max="112" width="13.77734375" style="1" bestFit="1" customWidth="1"/>
    <col min="113" max="113" width="10" style="1" bestFit="1" customWidth="1"/>
    <col min="114" max="114" width="10.5546875" style="1" bestFit="1" customWidth="1"/>
    <col min="115" max="115" width="5.109375" style="1" bestFit="1" customWidth="1"/>
    <col min="116" max="116" width="9.21875" style="1" bestFit="1" customWidth="1"/>
    <col min="117" max="117" width="10.5546875" style="1" bestFit="1" customWidth="1"/>
    <col min="118" max="118" width="6.44140625" style="1" bestFit="1" customWidth="1"/>
    <col min="119" max="119" width="7" style="1" bestFit="1" customWidth="1"/>
    <col min="120" max="120" width="6.44140625" style="1" bestFit="1" customWidth="1"/>
    <col min="121" max="121" width="9.5546875" style="1" bestFit="1" customWidth="1"/>
    <col min="122" max="122" width="12.88671875" style="1" bestFit="1" customWidth="1"/>
    <col min="123" max="123" width="16.33203125" style="1" bestFit="1" customWidth="1"/>
    <col min="124" max="124" width="10.88671875" style="1" bestFit="1" customWidth="1"/>
    <col min="125" max="125" width="14.21875" style="1" bestFit="1" customWidth="1"/>
    <col min="126" max="126" width="9.77734375" style="1" bestFit="1" customWidth="1"/>
    <col min="127" max="127" width="10.109375" style="1" bestFit="1" customWidth="1"/>
    <col min="128" max="128" width="9.21875" style="1" bestFit="1" customWidth="1"/>
    <col min="129" max="129" width="15.33203125" style="1" bestFit="1" customWidth="1"/>
    <col min="130" max="130" width="9.21875" style="1" bestFit="1" customWidth="1"/>
    <col min="131" max="131" width="5.6640625" style="1" bestFit="1" customWidth="1"/>
    <col min="132" max="132" width="6.77734375" style="1" bestFit="1" customWidth="1"/>
    <col min="133" max="133" width="5.77734375" style="1" bestFit="1" customWidth="1"/>
    <col min="134" max="135" width="5.88671875" style="1" bestFit="1" customWidth="1"/>
    <col min="136" max="136" width="14.6640625" style="1" bestFit="1" customWidth="1"/>
    <col min="137" max="137" width="9.21875" style="1" bestFit="1" customWidth="1"/>
    <col min="138" max="138" width="7.88671875" style="1" bestFit="1" customWidth="1"/>
    <col min="139" max="139" width="12.109375" style="1" bestFit="1" customWidth="1"/>
    <col min="140" max="140" width="9.21875" style="1" bestFit="1" customWidth="1"/>
    <col min="141" max="141" width="6.5546875" style="1" bestFit="1" customWidth="1"/>
    <col min="142" max="143" width="4.21875" style="1" bestFit="1" customWidth="1"/>
    <col min="144" max="145" width="4.6640625" style="1" bestFit="1" customWidth="1"/>
    <col min="146" max="146" width="7.33203125" style="1" bestFit="1" customWidth="1"/>
    <col min="147" max="148" width="12.5546875" style="1" bestFit="1" customWidth="1"/>
    <col min="149" max="150" width="9.21875" style="1" bestFit="1" customWidth="1"/>
    <col min="151" max="151" width="10.33203125" style="1" bestFit="1" customWidth="1"/>
    <col min="152" max="152" width="10.88671875" style="1" bestFit="1" customWidth="1"/>
    <col min="153" max="153" width="12.5546875" style="1" bestFit="1" customWidth="1"/>
    <col min="154" max="154" width="10.109375" style="1" bestFit="1" customWidth="1"/>
    <col min="155" max="155" width="9.21875" style="1" bestFit="1" customWidth="1"/>
    <col min="156" max="156" width="15.109375" style="1" bestFit="1" customWidth="1"/>
    <col min="157" max="157" width="5.88671875" style="1" bestFit="1" customWidth="1"/>
    <col min="158" max="158" width="9.21875" style="1" bestFit="1" customWidth="1"/>
    <col min="159" max="159" width="13.44140625" style="1" bestFit="1" customWidth="1"/>
    <col min="160" max="160" width="9" style="1" bestFit="1" customWidth="1"/>
    <col min="161" max="161" width="6" style="1" bestFit="1" customWidth="1"/>
    <col min="162" max="162" width="9.21875" style="1" bestFit="1" customWidth="1"/>
    <col min="163" max="163" width="9.33203125" style="1" bestFit="1" customWidth="1"/>
    <col min="164" max="164" width="15.6640625" style="1" bestFit="1" customWidth="1"/>
    <col min="165" max="165" width="20.6640625" style="1" bestFit="1" customWidth="1"/>
    <col min="166" max="166" width="28.109375" style="1" bestFit="1" customWidth="1"/>
    <col min="167" max="167" width="20.5546875" style="1" bestFit="1" customWidth="1"/>
    <col min="168" max="168" width="10.5546875" style="1" bestFit="1" customWidth="1"/>
    <col min="169" max="169" width="17.44140625" style="1" bestFit="1" customWidth="1"/>
    <col min="170" max="16384" width="8.88671875" style="1"/>
  </cols>
  <sheetData>
    <row r="6" spans="2:169" x14ac:dyDescent="0.25">
      <c r="B6" t="s">
        <v>86</v>
      </c>
      <c r="C6" t="s">
        <v>441</v>
      </c>
      <c r="D6" t="s">
        <v>48</v>
      </c>
      <c r="E6" t="s">
        <v>49</v>
      </c>
      <c r="F6" t="s">
        <v>94</v>
      </c>
      <c r="G6" t="s">
        <v>135</v>
      </c>
      <c r="H6" t="s">
        <v>178</v>
      </c>
      <c r="I6" t="s">
        <v>90</v>
      </c>
      <c r="J6" t="s">
        <v>41</v>
      </c>
      <c r="K6" t="s">
        <v>187</v>
      </c>
      <c r="L6" t="s">
        <v>188</v>
      </c>
      <c r="M6" t="s">
        <v>139</v>
      </c>
      <c r="N6" t="s">
        <v>207</v>
      </c>
      <c r="O6" t="s">
        <v>208</v>
      </c>
      <c r="P6" t="s">
        <v>838</v>
      </c>
      <c r="Q6" t="s">
        <v>228</v>
      </c>
      <c r="R6" t="s">
        <v>141</v>
      </c>
      <c r="S6" t="s">
        <v>64</v>
      </c>
      <c r="T6" t="s">
        <v>57</v>
      </c>
      <c r="U6" t="s">
        <v>87</v>
      </c>
      <c r="V6" t="s">
        <v>153</v>
      </c>
      <c r="W6" t="s">
        <v>91</v>
      </c>
      <c r="X6" t="s">
        <v>211</v>
      </c>
      <c r="Y6" t="s">
        <v>174</v>
      </c>
      <c r="Z6" t="s">
        <v>175</v>
      </c>
      <c r="AA6" t="s">
        <v>212</v>
      </c>
      <c r="AB6" t="s">
        <v>205</v>
      </c>
      <c r="AC6" t="s">
        <v>189</v>
      </c>
      <c r="AD6" t="s">
        <v>173</v>
      </c>
      <c r="AE6" t="s">
        <v>172</v>
      </c>
      <c r="AF6" t="s">
        <v>183</v>
      </c>
      <c r="AG6" t="s">
        <v>171</v>
      </c>
      <c r="AH6" t="s">
        <v>147</v>
      </c>
      <c r="AI6" t="s">
        <v>201</v>
      </c>
      <c r="AJ6" t="s">
        <v>202</v>
      </c>
      <c r="AK6" t="s">
        <v>203</v>
      </c>
      <c r="AL6" t="s">
        <v>117</v>
      </c>
      <c r="AM6" t="s">
        <v>229</v>
      </c>
      <c r="AN6" t="s">
        <v>194</v>
      </c>
      <c r="AO6" t="s">
        <v>232</v>
      </c>
      <c r="AP6" t="s">
        <v>803</v>
      </c>
      <c r="AQ6" t="s">
        <v>176</v>
      </c>
      <c r="AR6" t="s">
        <v>43</v>
      </c>
      <c r="AS6" t="s">
        <v>96</v>
      </c>
      <c r="AT6" t="s">
        <v>65</v>
      </c>
      <c r="AU6" t="s">
        <v>75</v>
      </c>
      <c r="AV6" t="s">
        <v>242</v>
      </c>
      <c r="AW6" t="s">
        <v>331</v>
      </c>
      <c r="AX6" t="s">
        <v>81</v>
      </c>
      <c r="AY6" t="s">
        <v>82</v>
      </c>
      <c r="AZ6" t="s">
        <v>105</v>
      </c>
      <c r="BA6" t="s">
        <v>80</v>
      </c>
      <c r="BB6" t="s">
        <v>79</v>
      </c>
      <c r="BC6" t="s">
        <v>78</v>
      </c>
      <c r="BD6" t="s">
        <v>77</v>
      </c>
      <c r="BE6" t="s">
        <v>76</v>
      </c>
      <c r="BF6" t="s">
        <v>227</v>
      </c>
      <c r="BG6" t="s">
        <v>104</v>
      </c>
      <c r="BH6" t="s">
        <v>74</v>
      </c>
      <c r="BI6" t="s">
        <v>73</v>
      </c>
      <c r="BJ6" t="s">
        <v>72</v>
      </c>
      <c r="BK6" t="s">
        <v>71</v>
      </c>
      <c r="BL6" t="s">
        <v>70</v>
      </c>
      <c r="BM6" t="s">
        <v>69</v>
      </c>
      <c r="BN6" t="s">
        <v>103</v>
      </c>
      <c r="BO6" t="s">
        <v>68</v>
      </c>
      <c r="BP6" t="s">
        <v>67</v>
      </c>
      <c r="BQ6" t="s">
        <v>102</v>
      </c>
      <c r="BR6" t="s">
        <v>101</v>
      </c>
      <c r="BS6" t="s">
        <v>66</v>
      </c>
      <c r="BT6" t="s">
        <v>226</v>
      </c>
      <c r="BU6" t="s">
        <v>225</v>
      </c>
      <c r="BV6" t="s">
        <v>224</v>
      </c>
      <c r="BW6" t="s">
        <v>223</v>
      </c>
      <c r="BX6" t="s">
        <v>97</v>
      </c>
      <c r="BY6" t="s">
        <v>42</v>
      </c>
      <c r="BZ6" t="s">
        <v>222</v>
      </c>
      <c r="CA6" t="s">
        <v>51</v>
      </c>
      <c r="CB6" t="s">
        <v>177</v>
      </c>
      <c r="CC6" t="s">
        <v>44</v>
      </c>
      <c r="CD6" t="s">
        <v>200</v>
      </c>
      <c r="CE6" t="s">
        <v>63</v>
      </c>
      <c r="CF6" t="s">
        <v>62</v>
      </c>
      <c r="CG6" t="s">
        <v>61</v>
      </c>
      <c r="CH6" t="s">
        <v>132</v>
      </c>
      <c r="CI6" t="s">
        <v>46</v>
      </c>
      <c r="CJ6" t="s">
        <v>45</v>
      </c>
      <c r="CK6" t="s">
        <v>95</v>
      </c>
      <c r="CL6" t="s">
        <v>60</v>
      </c>
      <c r="CM6" t="s">
        <v>59</v>
      </c>
      <c r="CN6" t="s">
        <v>56</v>
      </c>
      <c r="CO6" t="s">
        <v>55</v>
      </c>
      <c r="CP6" t="s">
        <v>243</v>
      </c>
      <c r="CQ6" t="s">
        <v>330</v>
      </c>
      <c r="CR6" t="s">
        <v>54</v>
      </c>
      <c r="CS6" t="s">
        <v>100</v>
      </c>
      <c r="CT6" t="s">
        <v>52</v>
      </c>
      <c r="CU6" t="s">
        <v>419</v>
      </c>
      <c r="CV6" t="s">
        <v>58</v>
      </c>
      <c r="CW6" t="s">
        <v>50</v>
      </c>
      <c r="CX6" t="s">
        <v>99</v>
      </c>
      <c r="CY6" t="s">
        <v>98</v>
      </c>
      <c r="CZ6" t="s">
        <v>47</v>
      </c>
      <c r="DA6" t="s">
        <v>428</v>
      </c>
      <c r="DB6" t="s">
        <v>623</v>
      </c>
      <c r="DC6" t="s">
        <v>89</v>
      </c>
      <c r="DD6" t="s">
        <v>236</v>
      </c>
      <c r="DE6" t="s">
        <v>266</v>
      </c>
      <c r="DF6" t="s">
        <v>145</v>
      </c>
      <c r="DG6" t="s">
        <v>119</v>
      </c>
      <c r="DH6" t="s">
        <v>785</v>
      </c>
      <c r="DI6" t="s">
        <v>839</v>
      </c>
      <c r="DJ6" t="s">
        <v>840</v>
      </c>
      <c r="DK6" t="s">
        <v>317</v>
      </c>
      <c r="DL6" t="s">
        <v>841</v>
      </c>
      <c r="DM6" t="s">
        <v>842</v>
      </c>
      <c r="DN6" t="s">
        <v>843</v>
      </c>
      <c r="DO6" t="s">
        <v>844</v>
      </c>
      <c r="DP6" t="s">
        <v>845</v>
      </c>
      <c r="DQ6" t="s">
        <v>846</v>
      </c>
      <c r="DR6" t="s">
        <v>847</v>
      </c>
      <c r="DS6" t="s">
        <v>848</v>
      </c>
      <c r="DT6" t="s">
        <v>849</v>
      </c>
      <c r="DU6" t="s">
        <v>850</v>
      </c>
      <c r="DV6" t="s">
        <v>851</v>
      </c>
      <c r="DW6" t="s">
        <v>852</v>
      </c>
      <c r="DX6" t="s">
        <v>169</v>
      </c>
      <c r="DY6" t="s">
        <v>853</v>
      </c>
      <c r="DZ6" t="s">
        <v>167</v>
      </c>
      <c r="EA6" t="s">
        <v>88</v>
      </c>
      <c r="EB6" t="s">
        <v>854</v>
      </c>
      <c r="EC6" t="s">
        <v>53</v>
      </c>
      <c r="ED6" t="s">
        <v>152</v>
      </c>
      <c r="EE6" t="s">
        <v>120</v>
      </c>
      <c r="EF6" t="s">
        <v>179</v>
      </c>
      <c r="EG6" t="s">
        <v>206</v>
      </c>
      <c r="EH6" t="s">
        <v>855</v>
      </c>
      <c r="EI6" t="s">
        <v>814</v>
      </c>
      <c r="EJ6" t="s">
        <v>209</v>
      </c>
      <c r="EK6" t="s">
        <v>309</v>
      </c>
      <c r="EL6" t="s">
        <v>856</v>
      </c>
      <c r="EM6" t="s">
        <v>857</v>
      </c>
      <c r="EN6" t="s">
        <v>858</v>
      </c>
      <c r="EO6" t="s">
        <v>274</v>
      </c>
      <c r="EP6" t="s">
        <v>859</v>
      </c>
      <c r="EQ6" t="s">
        <v>860</v>
      </c>
      <c r="ER6" t="s">
        <v>861</v>
      </c>
      <c r="ES6" t="s">
        <v>862</v>
      </c>
      <c r="ET6" t="s">
        <v>93</v>
      </c>
      <c r="EU6" t="s">
        <v>865</v>
      </c>
      <c r="EV6" t="s">
        <v>866</v>
      </c>
      <c r="EW6" t="s">
        <v>863</v>
      </c>
      <c r="EX6" t="s">
        <v>864</v>
      </c>
      <c r="EY6" t="s">
        <v>290</v>
      </c>
      <c r="EZ6" t="s">
        <v>148</v>
      </c>
      <c r="FA6" t="s">
        <v>867</v>
      </c>
      <c r="FB6" t="s">
        <v>868</v>
      </c>
      <c r="FC6" t="s">
        <v>804</v>
      </c>
      <c r="FD6" t="s">
        <v>869</v>
      </c>
      <c r="FE6" t="s">
        <v>36</v>
      </c>
      <c r="FF6" t="s">
        <v>870</v>
      </c>
      <c r="FG6" t="s">
        <v>871</v>
      </c>
      <c r="FH6" t="s">
        <v>872</v>
      </c>
      <c r="FI6" t="s">
        <v>166</v>
      </c>
      <c r="FJ6" t="s">
        <v>873</v>
      </c>
      <c r="FK6" t="s">
        <v>874</v>
      </c>
      <c r="FL6" t="s">
        <v>875</v>
      </c>
      <c r="FM6" t="s">
        <v>140</v>
      </c>
    </row>
    <row r="7" spans="2:169" x14ac:dyDescent="0.25">
      <c r="B7">
        <v>9</v>
      </c>
      <c r="C7" t="s">
        <v>92</v>
      </c>
      <c r="D7" t="s">
        <v>554</v>
      </c>
      <c r="E7" s="45">
        <v>45197</v>
      </c>
      <c r="F7" t="s">
        <v>555</v>
      </c>
      <c r="G7" t="s">
        <v>83</v>
      </c>
      <c r="H7" t="s">
        <v>83</v>
      </c>
      <c r="I7" t="s">
        <v>37</v>
      </c>
      <c r="J7" t="s">
        <v>7</v>
      </c>
      <c r="K7" t="s">
        <v>7</v>
      </c>
      <c r="L7" t="s">
        <v>7</v>
      </c>
      <c r="M7" t="s">
        <v>7</v>
      </c>
      <c r="N7" t="s">
        <v>92</v>
      </c>
      <c r="O7" t="s">
        <v>92</v>
      </c>
      <c r="P7"/>
      <c r="Q7" t="s">
        <v>92</v>
      </c>
      <c r="R7" t="s">
        <v>92</v>
      </c>
      <c r="S7" t="s">
        <v>106</v>
      </c>
      <c r="T7">
        <v>0.9</v>
      </c>
      <c r="U7" t="s">
        <v>792</v>
      </c>
      <c r="V7" t="s">
        <v>7</v>
      </c>
      <c r="W7" t="s">
        <v>110</v>
      </c>
      <c r="X7" t="s">
        <v>794</v>
      </c>
      <c r="Y7">
        <v>0.123</v>
      </c>
      <c r="Z7">
        <v>0.9</v>
      </c>
      <c r="AA7">
        <v>0.96599999999999997</v>
      </c>
      <c r="AB7" t="s">
        <v>92</v>
      </c>
      <c r="AC7" t="s">
        <v>92</v>
      </c>
      <c r="AD7" t="s">
        <v>92</v>
      </c>
      <c r="AE7" t="s">
        <v>92</v>
      </c>
      <c r="AF7" t="s">
        <v>92</v>
      </c>
      <c r="AG7" t="s">
        <v>92</v>
      </c>
      <c r="AH7" t="s">
        <v>7</v>
      </c>
      <c r="AI7" t="s">
        <v>7</v>
      </c>
      <c r="AJ7" t="s">
        <v>7</v>
      </c>
      <c r="AK7" t="s">
        <v>7</v>
      </c>
      <c r="AL7" t="s">
        <v>832</v>
      </c>
      <c r="AM7" t="s">
        <v>263</v>
      </c>
      <c r="AN7" s="45">
        <v>45012</v>
      </c>
      <c r="AO7" s="45"/>
      <c r="AP7" t="s">
        <v>92</v>
      </c>
      <c r="AQ7" t="s">
        <v>787</v>
      </c>
      <c r="AR7" t="s">
        <v>1</v>
      </c>
      <c r="AS7" t="s">
        <v>92</v>
      </c>
      <c r="AT7" t="s">
        <v>701</v>
      </c>
      <c r="AU7" t="s">
        <v>696</v>
      </c>
      <c r="AV7" t="s">
        <v>694</v>
      </c>
      <c r="AW7" t="s">
        <v>92</v>
      </c>
      <c r="AX7" t="s">
        <v>92</v>
      </c>
      <c r="AY7" t="s">
        <v>92</v>
      </c>
      <c r="AZ7" t="s">
        <v>92</v>
      </c>
      <c r="BA7" t="s">
        <v>625</v>
      </c>
      <c r="BB7" t="s">
        <v>626</v>
      </c>
      <c r="BC7" t="s">
        <v>627</v>
      </c>
      <c r="BD7" t="s">
        <v>628</v>
      </c>
      <c r="BE7" t="s">
        <v>628</v>
      </c>
      <c r="BF7" t="s">
        <v>695</v>
      </c>
      <c r="BG7" t="s">
        <v>92</v>
      </c>
      <c r="BH7" s="45">
        <v>45209</v>
      </c>
      <c r="BI7" s="45">
        <v>45209</v>
      </c>
      <c r="BJ7" t="s">
        <v>7</v>
      </c>
      <c r="BK7" t="s">
        <v>697</v>
      </c>
      <c r="BL7" s="45">
        <v>45573</v>
      </c>
      <c r="BM7" t="s">
        <v>92</v>
      </c>
      <c r="BN7">
        <v>7.5</v>
      </c>
      <c r="BO7" s="45"/>
      <c r="BP7" s="45">
        <v>45209</v>
      </c>
      <c r="BQ7">
        <v>0.9</v>
      </c>
      <c r="BR7">
        <v>10000</v>
      </c>
      <c r="BS7" t="s">
        <v>698</v>
      </c>
      <c r="BT7" t="s">
        <v>92</v>
      </c>
      <c r="BU7" t="s">
        <v>92</v>
      </c>
      <c r="BV7" t="s">
        <v>92</v>
      </c>
      <c r="BW7"/>
      <c r="BX7" t="s">
        <v>673</v>
      </c>
      <c r="BY7" t="s">
        <v>636</v>
      </c>
      <c r="BZ7" t="s">
        <v>699</v>
      </c>
      <c r="CA7" t="s">
        <v>423</v>
      </c>
      <c r="CB7" t="s">
        <v>638</v>
      </c>
      <c r="CC7" t="s">
        <v>700</v>
      </c>
      <c r="CD7" t="s">
        <v>334</v>
      </c>
      <c r="CE7"/>
      <c r="CF7"/>
      <c r="CG7"/>
      <c r="CH7"/>
      <c r="CI7" t="s">
        <v>702</v>
      </c>
      <c r="CJ7" t="s">
        <v>703</v>
      </c>
      <c r="CK7" t="s">
        <v>704</v>
      </c>
      <c r="CL7"/>
      <c r="CM7">
        <v>100</v>
      </c>
      <c r="CN7" t="s">
        <v>643</v>
      </c>
      <c r="CO7" t="s">
        <v>92</v>
      </c>
      <c r="CP7" t="s">
        <v>644</v>
      </c>
      <c r="CQ7" t="s">
        <v>645</v>
      </c>
      <c r="CR7"/>
      <c r="CS7" t="s">
        <v>110</v>
      </c>
      <c r="CT7" s="45">
        <v>45573</v>
      </c>
      <c r="CU7">
        <v>7.4999999999999997E-2</v>
      </c>
      <c r="CV7" t="s">
        <v>705</v>
      </c>
      <c r="CW7" t="s">
        <v>638</v>
      </c>
      <c r="CX7" t="s">
        <v>638</v>
      </c>
      <c r="CY7" t="s">
        <v>638</v>
      </c>
      <c r="CZ7" t="s">
        <v>706</v>
      </c>
      <c r="DA7" t="s">
        <v>247</v>
      </c>
      <c r="DB7" t="s">
        <v>7</v>
      </c>
      <c r="DC7" t="s">
        <v>10</v>
      </c>
      <c r="DD7" t="s">
        <v>255</v>
      </c>
      <c r="DE7" t="s">
        <v>7</v>
      </c>
      <c r="DF7" t="s">
        <v>92</v>
      </c>
      <c r="DG7"/>
      <c r="DH7"/>
      <c r="DI7" t="s">
        <v>92</v>
      </c>
      <c r="DJ7" t="s">
        <v>92</v>
      </c>
      <c r="DK7" t="s">
        <v>92</v>
      </c>
      <c r="DL7"/>
      <c r="DM7"/>
      <c r="DN7" t="s">
        <v>92</v>
      </c>
      <c r="DO7"/>
      <c r="DP7" t="s">
        <v>92</v>
      </c>
      <c r="DQ7"/>
      <c r="DR7"/>
      <c r="DS7"/>
      <c r="DT7"/>
      <c r="DU7"/>
      <c r="DV7" t="s">
        <v>92</v>
      </c>
      <c r="DW7" t="s">
        <v>92</v>
      </c>
      <c r="DX7" t="s">
        <v>115</v>
      </c>
      <c r="DY7">
        <v>7.4999999999999997E-2</v>
      </c>
      <c r="DZ7" t="s">
        <v>7</v>
      </c>
      <c r="EA7" t="s">
        <v>7</v>
      </c>
      <c r="EB7" t="s">
        <v>92</v>
      </c>
      <c r="EC7" t="s">
        <v>7</v>
      </c>
      <c r="ED7" t="s">
        <v>7</v>
      </c>
      <c r="EE7" t="s">
        <v>793</v>
      </c>
      <c r="EF7" t="s">
        <v>92</v>
      </c>
      <c r="EG7" t="s">
        <v>92</v>
      </c>
      <c r="EH7" t="s">
        <v>92</v>
      </c>
      <c r="EI7" t="s">
        <v>92</v>
      </c>
      <c r="EJ7" t="s">
        <v>92</v>
      </c>
      <c r="EK7" t="s">
        <v>92</v>
      </c>
      <c r="EL7">
        <v>23</v>
      </c>
      <c r="EM7" t="s">
        <v>876</v>
      </c>
      <c r="EN7" t="s">
        <v>877</v>
      </c>
      <c r="EO7" t="s">
        <v>878</v>
      </c>
      <c r="EP7" t="s">
        <v>879</v>
      </c>
      <c r="EQ7" t="s">
        <v>326</v>
      </c>
      <c r="ER7" t="s">
        <v>880</v>
      </c>
      <c r="ES7" t="s">
        <v>881</v>
      </c>
      <c r="ET7" t="s">
        <v>116</v>
      </c>
      <c r="EU7" t="s">
        <v>883</v>
      </c>
      <c r="EV7" t="s">
        <v>884</v>
      </c>
      <c r="EW7" t="s">
        <v>7</v>
      </c>
      <c r="EX7" t="s">
        <v>882</v>
      </c>
      <c r="EY7" t="s">
        <v>110</v>
      </c>
      <c r="EZ7" t="s">
        <v>7</v>
      </c>
      <c r="FA7" t="s">
        <v>794</v>
      </c>
      <c r="FB7" t="s">
        <v>885</v>
      </c>
      <c r="FC7" t="s">
        <v>805</v>
      </c>
      <c r="FD7" t="s">
        <v>7</v>
      </c>
      <c r="FE7" t="s">
        <v>778</v>
      </c>
      <c r="FF7" t="s">
        <v>778</v>
      </c>
      <c r="FG7" t="s">
        <v>92</v>
      </c>
      <c r="FH7" t="s">
        <v>92</v>
      </c>
      <c r="FI7" t="s">
        <v>832</v>
      </c>
      <c r="FJ7" t="s">
        <v>886</v>
      </c>
      <c r="FK7" t="s">
        <v>887</v>
      </c>
      <c r="FL7" t="s">
        <v>888</v>
      </c>
      <c r="FM7" t="s">
        <v>558</v>
      </c>
    </row>
    <row r="8" spans="2:169" x14ac:dyDescent="0.25">
      <c r="B8">
        <v>8</v>
      </c>
      <c r="C8" t="s">
        <v>92</v>
      </c>
      <c r="D8" t="s">
        <v>470</v>
      </c>
      <c r="E8" s="45">
        <v>45197</v>
      </c>
      <c r="F8" t="s">
        <v>550</v>
      </c>
      <c r="G8" t="s">
        <v>83</v>
      </c>
      <c r="H8" t="s">
        <v>83</v>
      </c>
      <c r="I8" t="s">
        <v>112</v>
      </c>
      <c r="J8" t="s">
        <v>368</v>
      </c>
      <c r="K8" t="s">
        <v>7</v>
      </c>
      <c r="L8" t="s">
        <v>7</v>
      </c>
      <c r="M8" t="s">
        <v>7</v>
      </c>
      <c r="N8" t="s">
        <v>92</v>
      </c>
      <c r="O8" t="s">
        <v>471</v>
      </c>
      <c r="P8"/>
      <c r="Q8" t="s">
        <v>92</v>
      </c>
      <c r="R8" t="s">
        <v>92</v>
      </c>
      <c r="S8" t="s">
        <v>85</v>
      </c>
      <c r="T8">
        <v>0.16</v>
      </c>
      <c r="U8" t="s">
        <v>151</v>
      </c>
      <c r="V8" t="s">
        <v>7</v>
      </c>
      <c r="W8" t="s">
        <v>256</v>
      </c>
      <c r="X8" t="s">
        <v>92</v>
      </c>
      <c r="Y8">
        <v>0.16</v>
      </c>
      <c r="Z8">
        <v>1.167</v>
      </c>
      <c r="AA8">
        <v>1.252</v>
      </c>
      <c r="AB8" t="s">
        <v>92</v>
      </c>
      <c r="AC8" t="s">
        <v>92</v>
      </c>
      <c r="AD8" t="s">
        <v>92</v>
      </c>
      <c r="AE8" t="s">
        <v>92</v>
      </c>
      <c r="AF8" t="s">
        <v>92</v>
      </c>
      <c r="AG8" t="s">
        <v>92</v>
      </c>
      <c r="AH8" t="s">
        <v>7</v>
      </c>
      <c r="AI8" t="s">
        <v>7</v>
      </c>
      <c r="AJ8" t="s">
        <v>7</v>
      </c>
      <c r="AK8" t="s">
        <v>7</v>
      </c>
      <c r="AL8" t="s">
        <v>831</v>
      </c>
      <c r="AM8" t="s">
        <v>263</v>
      </c>
      <c r="AN8" s="45">
        <v>43896</v>
      </c>
      <c r="AO8" s="45"/>
      <c r="AP8" t="s">
        <v>92</v>
      </c>
      <c r="AQ8" t="s">
        <v>788</v>
      </c>
      <c r="AR8" t="s">
        <v>1</v>
      </c>
      <c r="AS8" t="s">
        <v>92</v>
      </c>
      <c r="AT8" t="s">
        <v>688</v>
      </c>
      <c r="AU8" t="s">
        <v>684</v>
      </c>
      <c r="AV8" t="s">
        <v>682</v>
      </c>
      <c r="AW8" t="s">
        <v>92</v>
      </c>
      <c r="AX8" t="s">
        <v>131</v>
      </c>
      <c r="AY8" t="s">
        <v>92</v>
      </c>
      <c r="AZ8" t="s">
        <v>92</v>
      </c>
      <c r="BA8" t="s">
        <v>625</v>
      </c>
      <c r="BB8" t="s">
        <v>626</v>
      </c>
      <c r="BC8" t="s">
        <v>627</v>
      </c>
      <c r="BD8" t="s">
        <v>628</v>
      </c>
      <c r="BE8" t="s">
        <v>628</v>
      </c>
      <c r="BF8" t="s">
        <v>683</v>
      </c>
      <c r="BG8" t="s">
        <v>653</v>
      </c>
      <c r="BH8" s="45">
        <v>45215</v>
      </c>
      <c r="BI8" s="45">
        <v>45215</v>
      </c>
      <c r="BJ8" t="s">
        <v>7</v>
      </c>
      <c r="BK8" t="s">
        <v>550</v>
      </c>
      <c r="BL8" s="45">
        <v>45398</v>
      </c>
      <c r="BM8" t="s">
        <v>92</v>
      </c>
      <c r="BN8">
        <v>7.1</v>
      </c>
      <c r="BO8" s="45"/>
      <c r="BP8" s="45">
        <v>45215</v>
      </c>
      <c r="BQ8">
        <v>1</v>
      </c>
      <c r="BR8">
        <v>1000</v>
      </c>
      <c r="BS8" t="s">
        <v>685</v>
      </c>
      <c r="BT8" t="s">
        <v>686</v>
      </c>
      <c r="BU8" t="s">
        <v>92</v>
      </c>
      <c r="BV8" t="s">
        <v>92</v>
      </c>
      <c r="BW8"/>
      <c r="BX8" t="s">
        <v>673</v>
      </c>
      <c r="BY8" t="s">
        <v>636</v>
      </c>
      <c r="BZ8" t="s">
        <v>674</v>
      </c>
      <c r="CA8" t="s">
        <v>687</v>
      </c>
      <c r="CB8" t="s">
        <v>638</v>
      </c>
      <c r="CC8" t="s">
        <v>639</v>
      </c>
      <c r="CD8" t="s">
        <v>257</v>
      </c>
      <c r="CE8"/>
      <c r="CF8"/>
      <c r="CG8"/>
      <c r="CH8"/>
      <c r="CI8" t="s">
        <v>689</v>
      </c>
      <c r="CJ8" t="s">
        <v>690</v>
      </c>
      <c r="CK8" t="s">
        <v>691</v>
      </c>
      <c r="CL8"/>
      <c r="CM8">
        <v>100</v>
      </c>
      <c r="CN8" t="s">
        <v>643</v>
      </c>
      <c r="CO8" t="s">
        <v>692</v>
      </c>
      <c r="CP8" t="s">
        <v>662</v>
      </c>
      <c r="CQ8" t="s">
        <v>645</v>
      </c>
      <c r="CR8"/>
      <c r="CS8" t="s">
        <v>680</v>
      </c>
      <c r="CT8" s="45">
        <v>46311</v>
      </c>
      <c r="CU8">
        <v>7.0999999999999994E-2</v>
      </c>
      <c r="CV8" t="s">
        <v>648</v>
      </c>
      <c r="CW8" t="s">
        <v>638</v>
      </c>
      <c r="CX8" t="s">
        <v>638</v>
      </c>
      <c r="CY8" t="s">
        <v>638</v>
      </c>
      <c r="CZ8" t="s">
        <v>693</v>
      </c>
      <c r="DA8" t="s">
        <v>247</v>
      </c>
      <c r="DB8" t="s">
        <v>7</v>
      </c>
      <c r="DC8" t="s">
        <v>15</v>
      </c>
      <c r="DD8" t="s">
        <v>255</v>
      </c>
      <c r="DE8" t="s">
        <v>7</v>
      </c>
      <c r="DF8" t="s">
        <v>92</v>
      </c>
      <c r="DG8"/>
      <c r="DH8"/>
      <c r="DI8" t="s">
        <v>92</v>
      </c>
      <c r="DJ8" t="s">
        <v>92</v>
      </c>
      <c r="DK8" t="s">
        <v>92</v>
      </c>
      <c r="DL8"/>
      <c r="DM8"/>
      <c r="DN8" t="s">
        <v>471</v>
      </c>
      <c r="DO8"/>
      <c r="DP8" t="s">
        <v>471</v>
      </c>
      <c r="DQ8"/>
      <c r="DR8"/>
      <c r="DS8"/>
      <c r="DT8">
        <v>7.0999999999999994E-2</v>
      </c>
      <c r="DU8"/>
      <c r="DV8" t="s">
        <v>92</v>
      </c>
      <c r="DW8" t="s">
        <v>115</v>
      </c>
      <c r="DX8" t="s">
        <v>115</v>
      </c>
      <c r="DY8">
        <v>7.0999999999999994E-2</v>
      </c>
      <c r="DZ8" t="s">
        <v>7</v>
      </c>
      <c r="EA8" t="s">
        <v>7</v>
      </c>
      <c r="EB8" t="s">
        <v>889</v>
      </c>
      <c r="EC8" t="s">
        <v>471</v>
      </c>
      <c r="ED8" t="s">
        <v>7</v>
      </c>
      <c r="EE8" t="s">
        <v>471</v>
      </c>
      <c r="EF8" t="s">
        <v>92</v>
      </c>
      <c r="EG8" t="s">
        <v>92</v>
      </c>
      <c r="EH8" t="s">
        <v>92</v>
      </c>
      <c r="EI8" t="s">
        <v>92</v>
      </c>
      <c r="EJ8" t="s">
        <v>92</v>
      </c>
      <c r="EK8" t="s">
        <v>92</v>
      </c>
      <c r="EL8">
        <v>23</v>
      </c>
      <c r="EM8" t="s">
        <v>876</v>
      </c>
      <c r="EN8" t="s">
        <v>877</v>
      </c>
      <c r="EO8" t="s">
        <v>878</v>
      </c>
      <c r="EP8" t="s">
        <v>879</v>
      </c>
      <c r="EQ8" t="s">
        <v>326</v>
      </c>
      <c r="ER8" t="s">
        <v>880</v>
      </c>
      <c r="ES8" t="s">
        <v>890</v>
      </c>
      <c r="ET8" t="s">
        <v>116</v>
      </c>
      <c r="EU8" t="s">
        <v>7</v>
      </c>
      <c r="EV8" t="s">
        <v>7</v>
      </c>
      <c r="EW8" t="s">
        <v>7</v>
      </c>
      <c r="EX8" t="s">
        <v>891</v>
      </c>
      <c r="EY8" t="s">
        <v>256</v>
      </c>
      <c r="EZ8" t="s">
        <v>7</v>
      </c>
      <c r="FA8" t="s">
        <v>892</v>
      </c>
      <c r="FB8" t="s">
        <v>893</v>
      </c>
      <c r="FC8" t="s">
        <v>806</v>
      </c>
      <c r="FD8" t="s">
        <v>7</v>
      </c>
      <c r="FE8" t="s">
        <v>835</v>
      </c>
      <c r="FF8" t="s">
        <v>835</v>
      </c>
      <c r="FG8" t="s">
        <v>92</v>
      </c>
      <c r="FH8" t="s">
        <v>92</v>
      </c>
      <c r="FI8" t="s">
        <v>473</v>
      </c>
      <c r="FJ8" t="s">
        <v>894</v>
      </c>
      <c r="FK8" t="s">
        <v>895</v>
      </c>
      <c r="FL8" t="s">
        <v>888</v>
      </c>
      <c r="FM8" t="s">
        <v>553</v>
      </c>
    </row>
    <row r="9" spans="2:169" x14ac:dyDescent="0.25">
      <c r="B9">
        <v>7</v>
      </c>
      <c r="C9" t="s">
        <v>92</v>
      </c>
      <c r="D9" t="s">
        <v>566</v>
      </c>
      <c r="E9" s="45">
        <v>45197</v>
      </c>
      <c r="F9" t="s">
        <v>567</v>
      </c>
      <c r="G9" t="s">
        <v>83</v>
      </c>
      <c r="H9" t="s">
        <v>83</v>
      </c>
      <c r="I9" t="s">
        <v>37</v>
      </c>
      <c r="J9" t="s">
        <v>7</v>
      </c>
      <c r="K9" t="s">
        <v>7</v>
      </c>
      <c r="L9" t="s">
        <v>7</v>
      </c>
      <c r="M9" t="s">
        <v>7</v>
      </c>
      <c r="N9" t="s">
        <v>679</v>
      </c>
      <c r="O9" t="s">
        <v>456</v>
      </c>
      <c r="P9">
        <v>0</v>
      </c>
      <c r="Q9" t="s">
        <v>92</v>
      </c>
      <c r="R9" t="s">
        <v>92</v>
      </c>
      <c r="S9" t="s">
        <v>106</v>
      </c>
      <c r="T9">
        <v>15.6</v>
      </c>
      <c r="U9" t="s">
        <v>151</v>
      </c>
      <c r="V9" t="s">
        <v>7</v>
      </c>
      <c r="W9" t="s">
        <v>256</v>
      </c>
      <c r="X9" t="s">
        <v>92</v>
      </c>
      <c r="Y9">
        <v>2.137</v>
      </c>
      <c r="Z9">
        <v>15.6</v>
      </c>
      <c r="AA9">
        <v>16.739000000000001</v>
      </c>
      <c r="AB9" t="s">
        <v>92</v>
      </c>
      <c r="AC9" t="s">
        <v>92</v>
      </c>
      <c r="AD9" t="s">
        <v>92</v>
      </c>
      <c r="AE9" t="s">
        <v>92</v>
      </c>
      <c r="AF9" t="s">
        <v>92</v>
      </c>
      <c r="AG9" t="s">
        <v>92</v>
      </c>
      <c r="AH9" t="s">
        <v>7</v>
      </c>
      <c r="AI9" t="s">
        <v>7</v>
      </c>
      <c r="AJ9" t="s">
        <v>7</v>
      </c>
      <c r="AK9" t="s">
        <v>7</v>
      </c>
      <c r="AL9" t="s">
        <v>834</v>
      </c>
      <c r="AM9" t="s">
        <v>263</v>
      </c>
      <c r="AN9" s="45">
        <v>43763</v>
      </c>
      <c r="AO9" s="45"/>
      <c r="AP9" t="s">
        <v>92</v>
      </c>
      <c r="AQ9" t="s">
        <v>789</v>
      </c>
      <c r="AR9" t="s">
        <v>1</v>
      </c>
      <c r="AS9" t="s">
        <v>92</v>
      </c>
      <c r="AT9" t="s">
        <v>675</v>
      </c>
      <c r="AU9" t="s">
        <v>669</v>
      </c>
      <c r="AV9" t="s">
        <v>666</v>
      </c>
      <c r="AW9" t="s">
        <v>92</v>
      </c>
      <c r="AX9" t="s">
        <v>667</v>
      </c>
      <c r="AY9" t="s">
        <v>92</v>
      </c>
      <c r="AZ9" t="s">
        <v>92</v>
      </c>
      <c r="BA9" t="s">
        <v>625</v>
      </c>
      <c r="BB9" t="s">
        <v>626</v>
      </c>
      <c r="BC9" t="s">
        <v>627</v>
      </c>
      <c r="BD9" t="s">
        <v>628</v>
      </c>
      <c r="BE9" t="s">
        <v>628</v>
      </c>
      <c r="BF9" t="s">
        <v>668</v>
      </c>
      <c r="BG9" t="s">
        <v>670</v>
      </c>
      <c r="BH9" s="45">
        <v>45212</v>
      </c>
      <c r="BI9" s="45">
        <v>45212</v>
      </c>
      <c r="BJ9" t="s">
        <v>7</v>
      </c>
      <c r="BK9" t="s">
        <v>567</v>
      </c>
      <c r="BL9" s="45">
        <v>45578</v>
      </c>
      <c r="BM9" t="s">
        <v>92</v>
      </c>
      <c r="BN9">
        <v>4.8</v>
      </c>
      <c r="BO9" s="45"/>
      <c r="BP9" s="45">
        <v>45212</v>
      </c>
      <c r="BQ9">
        <v>15.6</v>
      </c>
      <c r="BR9">
        <v>10000</v>
      </c>
      <c r="BS9" t="s">
        <v>671</v>
      </c>
      <c r="BT9" t="s">
        <v>672</v>
      </c>
      <c r="BU9" t="s">
        <v>92</v>
      </c>
      <c r="BV9" t="s">
        <v>92</v>
      </c>
      <c r="BW9"/>
      <c r="BX9" t="s">
        <v>673</v>
      </c>
      <c r="BY9" t="s">
        <v>636</v>
      </c>
      <c r="BZ9" t="s">
        <v>674</v>
      </c>
      <c r="CA9" t="s">
        <v>423</v>
      </c>
      <c r="CB9" t="s">
        <v>638</v>
      </c>
      <c r="CC9" t="s">
        <v>639</v>
      </c>
      <c r="CD9" t="s">
        <v>334</v>
      </c>
      <c r="CE9"/>
      <c r="CF9"/>
      <c r="CG9"/>
      <c r="CH9"/>
      <c r="CI9" t="s">
        <v>676</v>
      </c>
      <c r="CJ9" t="s">
        <v>677</v>
      </c>
      <c r="CK9" t="s">
        <v>678</v>
      </c>
      <c r="CL9"/>
      <c r="CM9">
        <v>100</v>
      </c>
      <c r="CN9" t="s">
        <v>643</v>
      </c>
      <c r="CO9" t="s">
        <v>92</v>
      </c>
      <c r="CP9" t="s">
        <v>644</v>
      </c>
      <c r="CQ9" t="s">
        <v>645</v>
      </c>
      <c r="CR9">
        <v>0</v>
      </c>
      <c r="CS9" t="s">
        <v>680</v>
      </c>
      <c r="CT9" s="45">
        <v>46308</v>
      </c>
      <c r="CU9">
        <v>4.8000000000000001E-2</v>
      </c>
      <c r="CV9" t="s">
        <v>648</v>
      </c>
      <c r="CW9" t="s">
        <v>638</v>
      </c>
      <c r="CX9" t="s">
        <v>638</v>
      </c>
      <c r="CY9" t="s">
        <v>638</v>
      </c>
      <c r="CZ9" t="s">
        <v>681</v>
      </c>
      <c r="DA9" t="s">
        <v>247</v>
      </c>
      <c r="DB9" t="s">
        <v>7</v>
      </c>
      <c r="DC9" t="s">
        <v>19</v>
      </c>
      <c r="DD9" t="s">
        <v>255</v>
      </c>
      <c r="DE9" t="s">
        <v>7</v>
      </c>
      <c r="DF9" t="s">
        <v>92</v>
      </c>
      <c r="DG9"/>
      <c r="DH9"/>
      <c r="DI9" t="s">
        <v>92</v>
      </c>
      <c r="DJ9" t="s">
        <v>92</v>
      </c>
      <c r="DK9" t="s">
        <v>456</v>
      </c>
      <c r="DL9"/>
      <c r="DM9">
        <v>4.8000000000000001E-2</v>
      </c>
      <c r="DN9" t="s">
        <v>456</v>
      </c>
      <c r="DO9"/>
      <c r="DP9" t="s">
        <v>456</v>
      </c>
      <c r="DQ9"/>
      <c r="DR9"/>
      <c r="DS9"/>
      <c r="DT9">
        <v>4.8000000000000001E-2</v>
      </c>
      <c r="DU9"/>
      <c r="DV9" t="s">
        <v>115</v>
      </c>
      <c r="DW9" t="s">
        <v>115</v>
      </c>
      <c r="DX9" t="s">
        <v>115</v>
      </c>
      <c r="DY9">
        <v>4.8000000000000001E-2</v>
      </c>
      <c r="DZ9">
        <v>0</v>
      </c>
      <c r="EA9" t="s">
        <v>795</v>
      </c>
      <c r="EB9" t="s">
        <v>896</v>
      </c>
      <c r="EC9" t="s">
        <v>456</v>
      </c>
      <c r="ED9" t="s">
        <v>7</v>
      </c>
      <c r="EE9" t="s">
        <v>456</v>
      </c>
      <c r="EF9" t="s">
        <v>92</v>
      </c>
      <c r="EG9" t="s">
        <v>92</v>
      </c>
      <c r="EH9" t="s">
        <v>92</v>
      </c>
      <c r="EI9" t="s">
        <v>92</v>
      </c>
      <c r="EJ9" t="s">
        <v>92</v>
      </c>
      <c r="EK9" t="s">
        <v>92</v>
      </c>
      <c r="EL9">
        <v>23</v>
      </c>
      <c r="EM9" t="s">
        <v>876</v>
      </c>
      <c r="EN9" t="s">
        <v>877</v>
      </c>
      <c r="EO9" t="s">
        <v>878</v>
      </c>
      <c r="EP9" t="s">
        <v>879</v>
      </c>
      <c r="EQ9" t="s">
        <v>326</v>
      </c>
      <c r="ER9" t="s">
        <v>897</v>
      </c>
      <c r="ES9" t="s">
        <v>890</v>
      </c>
      <c r="ET9" t="s">
        <v>116</v>
      </c>
      <c r="EU9" t="s">
        <v>883</v>
      </c>
      <c r="EV9" t="s">
        <v>898</v>
      </c>
      <c r="EW9" t="s">
        <v>7</v>
      </c>
      <c r="EX9" t="s">
        <v>882</v>
      </c>
      <c r="EY9" t="s">
        <v>256</v>
      </c>
      <c r="EZ9" t="s">
        <v>7</v>
      </c>
      <c r="FA9" t="s">
        <v>892</v>
      </c>
      <c r="FB9" t="s">
        <v>175</v>
      </c>
      <c r="FC9" t="s">
        <v>807</v>
      </c>
      <c r="FD9" t="s">
        <v>7</v>
      </c>
      <c r="FE9" t="s">
        <v>778</v>
      </c>
      <c r="FF9" t="s">
        <v>778</v>
      </c>
      <c r="FG9" t="s">
        <v>92</v>
      </c>
      <c r="FH9" t="s">
        <v>92</v>
      </c>
      <c r="FI9" t="s">
        <v>834</v>
      </c>
      <c r="FJ9" t="s">
        <v>899</v>
      </c>
      <c r="FK9" t="s">
        <v>900</v>
      </c>
      <c r="FL9" t="s">
        <v>888</v>
      </c>
      <c r="FM9" t="s">
        <v>571</v>
      </c>
    </row>
    <row r="10" spans="2:169" x14ac:dyDescent="0.25">
      <c r="B10">
        <v>6</v>
      </c>
      <c r="C10" t="s">
        <v>92</v>
      </c>
      <c r="D10" t="s">
        <v>572</v>
      </c>
      <c r="E10" s="45">
        <v>45197</v>
      </c>
      <c r="F10" t="s">
        <v>573</v>
      </c>
      <c r="G10" t="s">
        <v>83</v>
      </c>
      <c r="H10" t="s">
        <v>574</v>
      </c>
      <c r="I10" t="s">
        <v>112</v>
      </c>
      <c r="J10" t="s">
        <v>341</v>
      </c>
      <c r="K10" t="s">
        <v>7</v>
      </c>
      <c r="L10" t="s">
        <v>7</v>
      </c>
      <c r="M10" t="s">
        <v>7</v>
      </c>
      <c r="N10" t="s">
        <v>901</v>
      </c>
      <c r="O10" t="s">
        <v>797</v>
      </c>
      <c r="P10">
        <v>20</v>
      </c>
      <c r="Q10" t="s">
        <v>92</v>
      </c>
      <c r="R10" t="s">
        <v>92</v>
      </c>
      <c r="S10" t="s">
        <v>85</v>
      </c>
      <c r="T10">
        <v>1</v>
      </c>
      <c r="U10" t="s">
        <v>151</v>
      </c>
      <c r="V10" t="s">
        <v>7</v>
      </c>
      <c r="W10" t="s">
        <v>268</v>
      </c>
      <c r="X10" t="s">
        <v>92</v>
      </c>
      <c r="Y10">
        <v>1</v>
      </c>
      <c r="Z10">
        <v>7.2939999999999996</v>
      </c>
      <c r="AA10">
        <v>7.8280000000000003</v>
      </c>
      <c r="AB10" t="s">
        <v>936</v>
      </c>
      <c r="AC10" t="s">
        <v>932</v>
      </c>
      <c r="AD10" t="s">
        <v>193</v>
      </c>
      <c r="AE10" t="s">
        <v>181</v>
      </c>
      <c r="AF10" t="s">
        <v>92</v>
      </c>
      <c r="AG10" t="s">
        <v>92</v>
      </c>
      <c r="AH10" t="s">
        <v>149</v>
      </c>
      <c r="AI10" t="s">
        <v>7</v>
      </c>
      <c r="AJ10" t="s">
        <v>7</v>
      </c>
      <c r="AK10" t="s">
        <v>7</v>
      </c>
      <c r="AL10" t="s">
        <v>833</v>
      </c>
      <c r="AM10" t="s">
        <v>263</v>
      </c>
      <c r="AN10" s="45">
        <v>42712</v>
      </c>
      <c r="AO10" s="45"/>
      <c r="AP10" t="s">
        <v>92</v>
      </c>
      <c r="AQ10" t="s">
        <v>790</v>
      </c>
      <c r="AR10" t="s">
        <v>1</v>
      </c>
      <c r="AS10" t="s">
        <v>92</v>
      </c>
      <c r="AT10" t="s">
        <v>658</v>
      </c>
      <c r="AU10" t="s">
        <v>652</v>
      </c>
      <c r="AV10" t="s">
        <v>650</v>
      </c>
      <c r="AW10" t="s">
        <v>92</v>
      </c>
      <c r="AX10" t="s">
        <v>131</v>
      </c>
      <c r="AY10" t="s">
        <v>92</v>
      </c>
      <c r="AZ10" t="s">
        <v>92</v>
      </c>
      <c r="BA10" t="s">
        <v>625</v>
      </c>
      <c r="BB10" t="s">
        <v>626</v>
      </c>
      <c r="BC10" t="s">
        <v>627</v>
      </c>
      <c r="BD10" t="s">
        <v>628</v>
      </c>
      <c r="BE10" t="s">
        <v>628</v>
      </c>
      <c r="BF10" t="s">
        <v>651</v>
      </c>
      <c r="BG10" t="s">
        <v>653</v>
      </c>
      <c r="BH10" s="45">
        <v>45210</v>
      </c>
      <c r="BI10" s="45">
        <v>45210</v>
      </c>
      <c r="BJ10" t="s">
        <v>7</v>
      </c>
      <c r="BK10" t="s">
        <v>573</v>
      </c>
      <c r="BL10" s="45">
        <v>45393</v>
      </c>
      <c r="BM10" t="s">
        <v>92</v>
      </c>
      <c r="BN10">
        <v>5.9</v>
      </c>
      <c r="BO10" s="45"/>
      <c r="BP10" s="45">
        <v>45210</v>
      </c>
      <c r="BQ10">
        <v>1</v>
      </c>
      <c r="BR10">
        <v>1000</v>
      </c>
      <c r="BS10" t="s">
        <v>655</v>
      </c>
      <c r="BT10" t="s">
        <v>656</v>
      </c>
      <c r="BU10" t="s">
        <v>92</v>
      </c>
      <c r="BV10" t="s">
        <v>92</v>
      </c>
      <c r="BW10"/>
      <c r="BX10" t="s">
        <v>657</v>
      </c>
      <c r="BY10" t="s">
        <v>636</v>
      </c>
      <c r="BZ10" t="s">
        <v>637</v>
      </c>
      <c r="CA10" t="s">
        <v>423</v>
      </c>
      <c r="CB10" t="s">
        <v>638</v>
      </c>
      <c r="CC10" t="s">
        <v>639</v>
      </c>
      <c r="CD10" t="s">
        <v>334</v>
      </c>
      <c r="CE10"/>
      <c r="CF10"/>
      <c r="CG10"/>
      <c r="CH10"/>
      <c r="CI10" t="s">
        <v>7</v>
      </c>
      <c r="CJ10" t="s">
        <v>659</v>
      </c>
      <c r="CK10" t="s">
        <v>660</v>
      </c>
      <c r="CL10"/>
      <c r="CM10">
        <v>100</v>
      </c>
      <c r="CN10" t="s">
        <v>643</v>
      </c>
      <c r="CO10" t="s">
        <v>661</v>
      </c>
      <c r="CP10" t="s">
        <v>662</v>
      </c>
      <c r="CQ10" t="s">
        <v>645</v>
      </c>
      <c r="CR10">
        <v>20</v>
      </c>
      <c r="CS10" t="s">
        <v>647</v>
      </c>
      <c r="CT10" s="45">
        <v>46306</v>
      </c>
      <c r="CU10">
        <v>5.9000000000000004E-2</v>
      </c>
      <c r="CV10" t="s">
        <v>648</v>
      </c>
      <c r="CW10" t="s">
        <v>638</v>
      </c>
      <c r="CX10" t="s">
        <v>638</v>
      </c>
      <c r="CY10" t="s">
        <v>638</v>
      </c>
      <c r="CZ10" t="s">
        <v>665</v>
      </c>
      <c r="DA10" t="s">
        <v>247</v>
      </c>
      <c r="DB10" t="s">
        <v>7</v>
      </c>
      <c r="DC10" t="s">
        <v>14</v>
      </c>
      <c r="DD10" t="s">
        <v>255</v>
      </c>
      <c r="DE10" t="s">
        <v>7</v>
      </c>
      <c r="DF10" t="s">
        <v>92</v>
      </c>
      <c r="DG10"/>
      <c r="DH10"/>
      <c r="DI10" t="s">
        <v>92</v>
      </c>
      <c r="DJ10" t="s">
        <v>92</v>
      </c>
      <c r="DK10" t="s">
        <v>902</v>
      </c>
      <c r="DL10"/>
      <c r="DM10">
        <v>6.0999999999999999E-2</v>
      </c>
      <c r="DN10" t="s">
        <v>797</v>
      </c>
      <c r="DO10"/>
      <c r="DP10" t="s">
        <v>797</v>
      </c>
      <c r="DQ10"/>
      <c r="DR10"/>
      <c r="DS10"/>
      <c r="DT10">
        <v>5.8999999999999997E-2</v>
      </c>
      <c r="DU10"/>
      <c r="DV10" t="s">
        <v>115</v>
      </c>
      <c r="DW10" t="s">
        <v>115</v>
      </c>
      <c r="DX10" t="s">
        <v>115</v>
      </c>
      <c r="DY10">
        <v>5.8999999999999997E-2</v>
      </c>
      <c r="DZ10">
        <v>20</v>
      </c>
      <c r="EA10" t="s">
        <v>796</v>
      </c>
      <c r="EB10" t="s">
        <v>903</v>
      </c>
      <c r="EC10" t="s">
        <v>797</v>
      </c>
      <c r="ED10" t="s">
        <v>7</v>
      </c>
      <c r="EE10" t="s">
        <v>797</v>
      </c>
      <c r="EF10" t="s">
        <v>92</v>
      </c>
      <c r="EG10" t="s">
        <v>92</v>
      </c>
      <c r="EH10" t="s">
        <v>92</v>
      </c>
      <c r="EI10" t="s">
        <v>92</v>
      </c>
      <c r="EJ10" t="s">
        <v>92</v>
      </c>
      <c r="EK10" t="s">
        <v>92</v>
      </c>
      <c r="EL10">
        <v>23</v>
      </c>
      <c r="EM10" t="s">
        <v>876</v>
      </c>
      <c r="EN10" t="s">
        <v>877</v>
      </c>
      <c r="EO10" t="s">
        <v>878</v>
      </c>
      <c r="EP10" t="s">
        <v>879</v>
      </c>
      <c r="EQ10" t="s">
        <v>326</v>
      </c>
      <c r="ER10" t="s">
        <v>880</v>
      </c>
      <c r="ES10" t="s">
        <v>890</v>
      </c>
      <c r="ET10" t="s">
        <v>116</v>
      </c>
      <c r="EU10" t="s">
        <v>7</v>
      </c>
      <c r="EV10" t="s">
        <v>7</v>
      </c>
      <c r="EW10" t="s">
        <v>657</v>
      </c>
      <c r="EX10" t="s">
        <v>891</v>
      </c>
      <c r="EY10" t="s">
        <v>268</v>
      </c>
      <c r="EZ10" t="s">
        <v>237</v>
      </c>
      <c r="FA10" t="s">
        <v>892</v>
      </c>
      <c r="FB10" t="s">
        <v>174</v>
      </c>
      <c r="FC10" t="s">
        <v>808</v>
      </c>
      <c r="FD10" t="s">
        <v>7</v>
      </c>
      <c r="FE10" t="s">
        <v>835</v>
      </c>
      <c r="FF10" t="s">
        <v>835</v>
      </c>
      <c r="FG10" t="s">
        <v>904</v>
      </c>
      <c r="FH10" t="s">
        <v>92</v>
      </c>
      <c r="FI10" t="s">
        <v>836</v>
      </c>
      <c r="FJ10" t="s">
        <v>905</v>
      </c>
      <c r="FK10" t="s">
        <v>906</v>
      </c>
      <c r="FL10" t="s">
        <v>888</v>
      </c>
      <c r="FM10" t="s">
        <v>578</v>
      </c>
    </row>
    <row r="11" spans="2:169" x14ac:dyDescent="0.25">
      <c r="B11">
        <v>5</v>
      </c>
      <c r="C11" t="s">
        <v>92</v>
      </c>
      <c r="D11" t="s">
        <v>559</v>
      </c>
      <c r="E11" s="45">
        <v>45197</v>
      </c>
      <c r="F11" t="s">
        <v>560</v>
      </c>
      <c r="G11" t="s">
        <v>83</v>
      </c>
      <c r="H11" t="s">
        <v>561</v>
      </c>
      <c r="I11" t="s">
        <v>37</v>
      </c>
      <c r="J11" t="s">
        <v>7</v>
      </c>
      <c r="K11" t="s">
        <v>7</v>
      </c>
      <c r="L11" t="s">
        <v>7</v>
      </c>
      <c r="M11" t="s">
        <v>7</v>
      </c>
      <c r="N11" t="s">
        <v>92</v>
      </c>
      <c r="O11" t="s">
        <v>798</v>
      </c>
      <c r="P11"/>
      <c r="Q11" t="s">
        <v>92</v>
      </c>
      <c r="R11" t="s">
        <v>92</v>
      </c>
      <c r="S11" t="s">
        <v>85</v>
      </c>
      <c r="T11">
        <v>0.67</v>
      </c>
      <c r="U11" t="s">
        <v>151</v>
      </c>
      <c r="V11" t="s">
        <v>7</v>
      </c>
      <c r="W11" t="s">
        <v>268</v>
      </c>
      <c r="X11" t="s">
        <v>92</v>
      </c>
      <c r="Y11">
        <v>0.67</v>
      </c>
      <c r="Z11">
        <v>4.8869999999999996</v>
      </c>
      <c r="AA11">
        <v>5.2450000000000001</v>
      </c>
      <c r="AB11" t="s">
        <v>937</v>
      </c>
      <c r="AC11" t="s">
        <v>931</v>
      </c>
      <c r="AD11" t="s">
        <v>193</v>
      </c>
      <c r="AE11" t="s">
        <v>181</v>
      </c>
      <c r="AF11" t="s">
        <v>92</v>
      </c>
      <c r="AG11" t="s">
        <v>92</v>
      </c>
      <c r="AH11" t="s">
        <v>149</v>
      </c>
      <c r="AI11" t="s">
        <v>7</v>
      </c>
      <c r="AJ11" t="s">
        <v>7</v>
      </c>
      <c r="AK11" t="s">
        <v>7</v>
      </c>
      <c r="AL11" t="s">
        <v>830</v>
      </c>
      <c r="AM11" t="s">
        <v>263</v>
      </c>
      <c r="AN11" s="45">
        <v>43088</v>
      </c>
      <c r="AO11" s="45"/>
      <c r="AP11" t="s">
        <v>92</v>
      </c>
      <c r="AQ11" t="s">
        <v>790</v>
      </c>
      <c r="AR11" t="s">
        <v>1</v>
      </c>
      <c r="AS11" t="s">
        <v>92</v>
      </c>
      <c r="AT11" t="s">
        <v>640</v>
      </c>
      <c r="AU11" t="s">
        <v>630</v>
      </c>
      <c r="AV11" t="s">
        <v>624</v>
      </c>
      <c r="AW11" t="s">
        <v>92</v>
      </c>
      <c r="AX11" t="s">
        <v>131</v>
      </c>
      <c r="AY11" t="s">
        <v>92</v>
      </c>
      <c r="AZ11" t="s">
        <v>92</v>
      </c>
      <c r="BA11" t="s">
        <v>625</v>
      </c>
      <c r="BB11" t="s">
        <v>626</v>
      </c>
      <c r="BC11" t="s">
        <v>627</v>
      </c>
      <c r="BD11" t="s">
        <v>628</v>
      </c>
      <c r="BE11" t="s">
        <v>628</v>
      </c>
      <c r="BF11" t="s">
        <v>629</v>
      </c>
      <c r="BG11" t="s">
        <v>631</v>
      </c>
      <c r="BH11" s="45">
        <v>45210</v>
      </c>
      <c r="BI11" s="45">
        <v>45210</v>
      </c>
      <c r="BJ11" t="s">
        <v>7</v>
      </c>
      <c r="BK11" t="s">
        <v>560</v>
      </c>
      <c r="BL11" s="45">
        <v>45393</v>
      </c>
      <c r="BM11" t="s">
        <v>92</v>
      </c>
      <c r="BN11">
        <v>8.5</v>
      </c>
      <c r="BO11" s="45"/>
      <c r="BP11" s="45">
        <v>45210</v>
      </c>
      <c r="BQ11">
        <v>0.67</v>
      </c>
      <c r="BR11">
        <v>1000</v>
      </c>
      <c r="BS11" t="s">
        <v>633</v>
      </c>
      <c r="BT11" t="s">
        <v>634</v>
      </c>
      <c r="BU11" t="s">
        <v>92</v>
      </c>
      <c r="BV11" t="s">
        <v>92</v>
      </c>
      <c r="BW11"/>
      <c r="BX11" t="s">
        <v>635</v>
      </c>
      <c r="BY11" t="s">
        <v>636</v>
      </c>
      <c r="BZ11" t="s">
        <v>637</v>
      </c>
      <c r="CA11" t="s">
        <v>423</v>
      </c>
      <c r="CB11" t="s">
        <v>638</v>
      </c>
      <c r="CC11" t="s">
        <v>639</v>
      </c>
      <c r="CD11" t="s">
        <v>334</v>
      </c>
      <c r="CE11"/>
      <c r="CF11"/>
      <c r="CG11"/>
      <c r="CH11"/>
      <c r="CI11" t="s">
        <v>7</v>
      </c>
      <c r="CJ11" t="s">
        <v>641</v>
      </c>
      <c r="CK11" t="s">
        <v>642</v>
      </c>
      <c r="CL11"/>
      <c r="CM11">
        <v>100</v>
      </c>
      <c r="CN11" t="s">
        <v>643</v>
      </c>
      <c r="CO11" t="s">
        <v>92</v>
      </c>
      <c r="CP11" t="s">
        <v>644</v>
      </c>
      <c r="CQ11" t="s">
        <v>645</v>
      </c>
      <c r="CR11"/>
      <c r="CS11" t="s">
        <v>647</v>
      </c>
      <c r="CT11" s="45">
        <v>46306</v>
      </c>
      <c r="CU11">
        <v>8.5000000000000006E-2</v>
      </c>
      <c r="CV11" t="s">
        <v>648</v>
      </c>
      <c r="CW11" t="s">
        <v>638</v>
      </c>
      <c r="CX11" t="s">
        <v>638</v>
      </c>
      <c r="CY11" t="s">
        <v>638</v>
      </c>
      <c r="CZ11" t="s">
        <v>649</v>
      </c>
      <c r="DA11" t="s">
        <v>247</v>
      </c>
      <c r="DB11" t="s">
        <v>7</v>
      </c>
      <c r="DC11" t="s">
        <v>20</v>
      </c>
      <c r="DD11" t="s">
        <v>255</v>
      </c>
      <c r="DE11" t="s">
        <v>7</v>
      </c>
      <c r="DF11" t="s">
        <v>92</v>
      </c>
      <c r="DG11"/>
      <c r="DH11"/>
      <c r="DI11" t="s">
        <v>92</v>
      </c>
      <c r="DJ11" t="s">
        <v>92</v>
      </c>
      <c r="DK11" t="s">
        <v>92</v>
      </c>
      <c r="DL11"/>
      <c r="DM11"/>
      <c r="DN11" t="s">
        <v>798</v>
      </c>
      <c r="DO11"/>
      <c r="DP11" t="s">
        <v>798</v>
      </c>
      <c r="DQ11"/>
      <c r="DR11"/>
      <c r="DS11"/>
      <c r="DT11">
        <v>8.5000000000000006E-2</v>
      </c>
      <c r="DU11"/>
      <c r="DV11" t="s">
        <v>92</v>
      </c>
      <c r="DW11" t="s">
        <v>115</v>
      </c>
      <c r="DX11" t="s">
        <v>115</v>
      </c>
      <c r="DY11">
        <v>8.5000000000000006E-2</v>
      </c>
      <c r="DZ11" t="s">
        <v>7</v>
      </c>
      <c r="EA11" t="s">
        <v>7</v>
      </c>
      <c r="EB11" t="s">
        <v>907</v>
      </c>
      <c r="EC11" t="s">
        <v>798</v>
      </c>
      <c r="ED11" t="s">
        <v>7</v>
      </c>
      <c r="EE11" t="s">
        <v>798</v>
      </c>
      <c r="EF11" t="s">
        <v>92</v>
      </c>
      <c r="EG11" t="s">
        <v>92</v>
      </c>
      <c r="EH11" t="s">
        <v>92</v>
      </c>
      <c r="EI11" t="s">
        <v>92</v>
      </c>
      <c r="EJ11" t="s">
        <v>92</v>
      </c>
      <c r="EK11" t="s">
        <v>92</v>
      </c>
      <c r="EL11">
        <v>23</v>
      </c>
      <c r="EM11" t="s">
        <v>876</v>
      </c>
      <c r="EN11" t="s">
        <v>877</v>
      </c>
      <c r="EO11" t="s">
        <v>878</v>
      </c>
      <c r="EP11" t="s">
        <v>879</v>
      </c>
      <c r="EQ11" t="s">
        <v>326</v>
      </c>
      <c r="ER11" t="s">
        <v>880</v>
      </c>
      <c r="ES11" t="s">
        <v>890</v>
      </c>
      <c r="ET11" t="s">
        <v>116</v>
      </c>
      <c r="EU11" t="s">
        <v>7</v>
      </c>
      <c r="EV11" t="s">
        <v>7</v>
      </c>
      <c r="EW11" t="s">
        <v>908</v>
      </c>
      <c r="EX11" t="s">
        <v>882</v>
      </c>
      <c r="EY11" t="s">
        <v>268</v>
      </c>
      <c r="EZ11" t="s">
        <v>237</v>
      </c>
      <c r="FA11" t="s">
        <v>892</v>
      </c>
      <c r="FB11" t="s">
        <v>893</v>
      </c>
      <c r="FC11" t="s">
        <v>809</v>
      </c>
      <c r="FD11" t="s">
        <v>7</v>
      </c>
      <c r="FE11" t="s">
        <v>835</v>
      </c>
      <c r="FF11" t="s">
        <v>835</v>
      </c>
      <c r="FG11" t="s">
        <v>904</v>
      </c>
      <c r="FH11" t="s">
        <v>92</v>
      </c>
      <c r="FI11" t="s">
        <v>830</v>
      </c>
      <c r="FJ11" t="s">
        <v>909</v>
      </c>
      <c r="FK11" t="s">
        <v>910</v>
      </c>
      <c r="FL11" t="s">
        <v>888</v>
      </c>
      <c r="FM11" t="s">
        <v>565</v>
      </c>
    </row>
    <row r="12" spans="2:169" x14ac:dyDescent="0.25">
      <c r="B12">
        <v>4</v>
      </c>
      <c r="C12" t="s">
        <v>92</v>
      </c>
      <c r="D12" t="s">
        <v>596</v>
      </c>
      <c r="E12" s="45">
        <v>45196</v>
      </c>
      <c r="F12" t="s">
        <v>597</v>
      </c>
      <c r="G12" t="s">
        <v>83</v>
      </c>
      <c r="H12" t="s">
        <v>83</v>
      </c>
      <c r="I12" t="s">
        <v>112</v>
      </c>
      <c r="J12" t="s">
        <v>341</v>
      </c>
      <c r="K12" t="s">
        <v>7</v>
      </c>
      <c r="L12" t="s">
        <v>7</v>
      </c>
      <c r="M12" t="s">
        <v>7</v>
      </c>
      <c r="N12" t="s">
        <v>911</v>
      </c>
      <c r="O12" t="s">
        <v>485</v>
      </c>
      <c r="P12">
        <v>30</v>
      </c>
      <c r="Q12" t="s">
        <v>92</v>
      </c>
      <c r="R12" t="s">
        <v>92</v>
      </c>
      <c r="S12" t="s">
        <v>106</v>
      </c>
      <c r="T12">
        <v>3</v>
      </c>
      <c r="U12" t="s">
        <v>800</v>
      </c>
      <c r="V12" t="s">
        <v>7</v>
      </c>
      <c r="W12" t="s">
        <v>256</v>
      </c>
      <c r="X12" t="s">
        <v>92</v>
      </c>
      <c r="Y12">
        <v>0.41099999999999998</v>
      </c>
      <c r="Z12">
        <v>3</v>
      </c>
      <c r="AA12">
        <v>3.2069999999999999</v>
      </c>
      <c r="AB12" t="s">
        <v>92</v>
      </c>
      <c r="AC12" t="s">
        <v>92</v>
      </c>
      <c r="AD12" t="s">
        <v>92</v>
      </c>
      <c r="AE12" t="s">
        <v>92</v>
      </c>
      <c r="AF12" t="s">
        <v>92</v>
      </c>
      <c r="AG12" t="s">
        <v>92</v>
      </c>
      <c r="AH12" t="s">
        <v>7</v>
      </c>
      <c r="AI12" t="s">
        <v>7</v>
      </c>
      <c r="AJ12" t="s">
        <v>7</v>
      </c>
      <c r="AK12" t="s">
        <v>7</v>
      </c>
      <c r="AL12" t="s">
        <v>827</v>
      </c>
      <c r="AM12" t="s">
        <v>263</v>
      </c>
      <c r="AN12" s="45">
        <v>44376</v>
      </c>
      <c r="AO12" s="45"/>
      <c r="AP12" t="s">
        <v>92</v>
      </c>
      <c r="AQ12" t="s">
        <v>789</v>
      </c>
      <c r="AR12" t="s">
        <v>1</v>
      </c>
      <c r="AS12" t="s">
        <v>92</v>
      </c>
      <c r="AT12" t="s">
        <v>738</v>
      </c>
      <c r="AU12" t="s">
        <v>733</v>
      </c>
      <c r="AV12" t="s">
        <v>731</v>
      </c>
      <c r="AW12" t="s">
        <v>92</v>
      </c>
      <c r="AX12" t="s">
        <v>131</v>
      </c>
      <c r="AY12" t="s">
        <v>92</v>
      </c>
      <c r="AZ12" t="s">
        <v>92</v>
      </c>
      <c r="BA12" t="s">
        <v>625</v>
      </c>
      <c r="BB12" t="s">
        <v>626</v>
      </c>
      <c r="BC12" t="s">
        <v>627</v>
      </c>
      <c r="BD12" t="s">
        <v>628</v>
      </c>
      <c r="BE12" t="s">
        <v>628</v>
      </c>
      <c r="BF12" t="s">
        <v>732</v>
      </c>
      <c r="BG12" t="s">
        <v>653</v>
      </c>
      <c r="BH12" s="45">
        <v>45209</v>
      </c>
      <c r="BI12" s="45">
        <v>45209</v>
      </c>
      <c r="BJ12" t="s">
        <v>7</v>
      </c>
      <c r="BK12" t="s">
        <v>597</v>
      </c>
      <c r="BL12" s="45">
        <v>45392</v>
      </c>
      <c r="BM12" t="s">
        <v>92</v>
      </c>
      <c r="BN12">
        <v>3.69</v>
      </c>
      <c r="BO12" s="45"/>
      <c r="BP12" s="45">
        <v>45209</v>
      </c>
      <c r="BQ12">
        <v>3</v>
      </c>
      <c r="BR12">
        <v>10000</v>
      </c>
      <c r="BS12" t="s">
        <v>735</v>
      </c>
      <c r="BT12" t="s">
        <v>736</v>
      </c>
      <c r="BU12" t="s">
        <v>92</v>
      </c>
      <c r="BV12" t="s">
        <v>92</v>
      </c>
      <c r="BW12"/>
      <c r="BX12" t="s">
        <v>673</v>
      </c>
      <c r="BY12" t="s">
        <v>636</v>
      </c>
      <c r="BZ12" t="s">
        <v>737</v>
      </c>
      <c r="CA12" t="s">
        <v>423</v>
      </c>
      <c r="CB12" t="s">
        <v>638</v>
      </c>
      <c r="CC12" t="s">
        <v>639</v>
      </c>
      <c r="CD12" t="s">
        <v>334</v>
      </c>
      <c r="CE12"/>
      <c r="CF12"/>
      <c r="CG12"/>
      <c r="CH12"/>
      <c r="CI12" t="s">
        <v>7</v>
      </c>
      <c r="CJ12" t="s">
        <v>739</v>
      </c>
      <c r="CK12" t="s">
        <v>740</v>
      </c>
      <c r="CL12"/>
      <c r="CM12">
        <v>99.974999999999994</v>
      </c>
      <c r="CN12" t="s">
        <v>643</v>
      </c>
      <c r="CO12" t="s">
        <v>741</v>
      </c>
      <c r="CP12" t="s">
        <v>662</v>
      </c>
      <c r="CQ12" t="s">
        <v>645</v>
      </c>
      <c r="CR12">
        <v>30</v>
      </c>
      <c r="CS12" t="s">
        <v>680</v>
      </c>
      <c r="CT12" s="45">
        <v>46275</v>
      </c>
      <c r="CU12">
        <v>3.6900000000000002E-2</v>
      </c>
      <c r="CV12" t="s">
        <v>744</v>
      </c>
      <c r="CW12" t="s">
        <v>638</v>
      </c>
      <c r="CX12" t="s">
        <v>638</v>
      </c>
      <c r="CY12" t="s">
        <v>638</v>
      </c>
      <c r="CZ12" t="s">
        <v>745</v>
      </c>
      <c r="DA12" t="s">
        <v>247</v>
      </c>
      <c r="DB12" t="s">
        <v>7</v>
      </c>
      <c r="DC12" t="s">
        <v>26</v>
      </c>
      <c r="DD12" t="s">
        <v>255</v>
      </c>
      <c r="DE12" t="s">
        <v>7</v>
      </c>
      <c r="DF12" t="s">
        <v>92</v>
      </c>
      <c r="DG12"/>
      <c r="DH12"/>
      <c r="DI12" t="s">
        <v>92</v>
      </c>
      <c r="DJ12" t="s">
        <v>92</v>
      </c>
      <c r="DK12" t="s">
        <v>912</v>
      </c>
      <c r="DL12"/>
      <c r="DM12">
        <v>0.04</v>
      </c>
      <c r="DN12" t="s">
        <v>485</v>
      </c>
      <c r="DO12"/>
      <c r="DP12" t="s">
        <v>485</v>
      </c>
      <c r="DQ12"/>
      <c r="DR12"/>
      <c r="DS12"/>
      <c r="DT12">
        <v>3.6999999999999998E-2</v>
      </c>
      <c r="DU12"/>
      <c r="DV12" t="s">
        <v>115</v>
      </c>
      <c r="DW12" t="s">
        <v>115</v>
      </c>
      <c r="DX12" t="s">
        <v>115</v>
      </c>
      <c r="DY12">
        <v>3.6999999999999998E-2</v>
      </c>
      <c r="DZ12">
        <v>30</v>
      </c>
      <c r="EA12" t="s">
        <v>799</v>
      </c>
      <c r="EB12" t="s">
        <v>913</v>
      </c>
      <c r="EC12" t="s">
        <v>485</v>
      </c>
      <c r="ED12" t="s">
        <v>7</v>
      </c>
      <c r="EE12" t="s">
        <v>734</v>
      </c>
      <c r="EF12" t="s">
        <v>92</v>
      </c>
      <c r="EG12" t="s">
        <v>92</v>
      </c>
      <c r="EH12" t="s">
        <v>92</v>
      </c>
      <c r="EI12" t="s">
        <v>92</v>
      </c>
      <c r="EJ12" t="s">
        <v>92</v>
      </c>
      <c r="EK12" t="s">
        <v>92</v>
      </c>
      <c r="EL12">
        <v>23</v>
      </c>
      <c r="EM12" t="s">
        <v>876</v>
      </c>
      <c r="EN12" t="s">
        <v>877</v>
      </c>
      <c r="EO12" t="s">
        <v>878</v>
      </c>
      <c r="EP12" t="s">
        <v>879</v>
      </c>
      <c r="EQ12" t="s">
        <v>326</v>
      </c>
      <c r="ER12" t="s">
        <v>880</v>
      </c>
      <c r="ES12" t="s">
        <v>890</v>
      </c>
      <c r="ET12" t="s">
        <v>116</v>
      </c>
      <c r="EU12" t="s">
        <v>883</v>
      </c>
      <c r="EV12" t="s">
        <v>884</v>
      </c>
      <c r="EW12" t="s">
        <v>7</v>
      </c>
      <c r="EX12" t="s">
        <v>891</v>
      </c>
      <c r="EY12" t="s">
        <v>256</v>
      </c>
      <c r="EZ12" t="s">
        <v>7</v>
      </c>
      <c r="FA12" t="s">
        <v>914</v>
      </c>
      <c r="FB12" t="s">
        <v>175</v>
      </c>
      <c r="FC12" t="s">
        <v>810</v>
      </c>
      <c r="FD12" t="s">
        <v>7</v>
      </c>
      <c r="FE12" t="s">
        <v>778</v>
      </c>
      <c r="FF12" t="s">
        <v>778</v>
      </c>
      <c r="FG12" t="s">
        <v>92</v>
      </c>
      <c r="FH12" t="s">
        <v>92</v>
      </c>
      <c r="FI12" t="s">
        <v>837</v>
      </c>
      <c r="FJ12" t="s">
        <v>915</v>
      </c>
      <c r="FK12" t="s">
        <v>916</v>
      </c>
      <c r="FL12" t="s">
        <v>917</v>
      </c>
      <c r="FM12" t="s">
        <v>601</v>
      </c>
    </row>
    <row r="13" spans="2:169" x14ac:dyDescent="0.25">
      <c r="B13">
        <v>3</v>
      </c>
      <c r="C13" t="s">
        <v>92</v>
      </c>
      <c r="D13" t="s">
        <v>590</v>
      </c>
      <c r="E13" s="45">
        <v>45196</v>
      </c>
      <c r="F13" t="s">
        <v>591</v>
      </c>
      <c r="G13" t="s">
        <v>83</v>
      </c>
      <c r="H13" t="s">
        <v>83</v>
      </c>
      <c r="I13" t="s">
        <v>37</v>
      </c>
      <c r="J13" t="s">
        <v>7</v>
      </c>
      <c r="K13" t="s">
        <v>7</v>
      </c>
      <c r="L13" t="s">
        <v>7</v>
      </c>
      <c r="M13" t="s">
        <v>7</v>
      </c>
      <c r="N13" t="s">
        <v>92</v>
      </c>
      <c r="O13" t="s">
        <v>92</v>
      </c>
      <c r="P13"/>
      <c r="Q13" t="s">
        <v>92</v>
      </c>
      <c r="R13" t="s">
        <v>92</v>
      </c>
      <c r="S13" t="s">
        <v>85</v>
      </c>
      <c r="T13">
        <v>1</v>
      </c>
      <c r="U13" t="s">
        <v>792</v>
      </c>
      <c r="V13" t="s">
        <v>7</v>
      </c>
      <c r="W13" t="s">
        <v>110</v>
      </c>
      <c r="X13" t="s">
        <v>794</v>
      </c>
      <c r="Y13">
        <v>1</v>
      </c>
      <c r="Z13">
        <v>7.3140000000000001</v>
      </c>
      <c r="AA13">
        <v>7.8209999999999997</v>
      </c>
      <c r="AB13" t="s">
        <v>92</v>
      </c>
      <c r="AC13" t="s">
        <v>92</v>
      </c>
      <c r="AD13" t="s">
        <v>92</v>
      </c>
      <c r="AE13" t="s">
        <v>92</v>
      </c>
      <c r="AF13" t="s">
        <v>92</v>
      </c>
      <c r="AG13" t="s">
        <v>92</v>
      </c>
      <c r="AH13" t="s">
        <v>7</v>
      </c>
      <c r="AI13" t="s">
        <v>7</v>
      </c>
      <c r="AJ13" t="s">
        <v>7</v>
      </c>
      <c r="AK13" t="s">
        <v>7</v>
      </c>
      <c r="AL13" t="s">
        <v>826</v>
      </c>
      <c r="AM13" t="s">
        <v>263</v>
      </c>
      <c r="AN13" s="45">
        <v>44844</v>
      </c>
      <c r="AO13" s="45"/>
      <c r="AP13" t="s">
        <v>92</v>
      </c>
      <c r="AQ13" t="s">
        <v>791</v>
      </c>
      <c r="AR13" t="s">
        <v>1</v>
      </c>
      <c r="AS13" t="s">
        <v>92</v>
      </c>
      <c r="AT13" t="s">
        <v>727</v>
      </c>
      <c r="AU13" t="s">
        <v>724</v>
      </c>
      <c r="AV13" t="s">
        <v>722</v>
      </c>
      <c r="AW13" t="s">
        <v>92</v>
      </c>
      <c r="AX13" t="s">
        <v>131</v>
      </c>
      <c r="AY13" t="s">
        <v>92</v>
      </c>
      <c r="AZ13" t="s">
        <v>92</v>
      </c>
      <c r="BA13" t="s">
        <v>625</v>
      </c>
      <c r="BB13" t="s">
        <v>626</v>
      </c>
      <c r="BC13" t="s">
        <v>627</v>
      </c>
      <c r="BD13" t="s">
        <v>628</v>
      </c>
      <c r="BE13" t="s">
        <v>628</v>
      </c>
      <c r="BF13" t="s">
        <v>723</v>
      </c>
      <c r="BG13" t="s">
        <v>92</v>
      </c>
      <c r="BH13" s="45">
        <v>45209</v>
      </c>
      <c r="BI13" s="45">
        <v>45209</v>
      </c>
      <c r="BJ13" t="s">
        <v>7</v>
      </c>
      <c r="BK13" t="s">
        <v>725</v>
      </c>
      <c r="BL13" s="45">
        <v>45392</v>
      </c>
      <c r="BM13" t="s">
        <v>92</v>
      </c>
      <c r="BN13">
        <v>6.4</v>
      </c>
      <c r="BO13" s="45"/>
      <c r="BP13" s="45">
        <v>45209</v>
      </c>
      <c r="BQ13">
        <v>1</v>
      </c>
      <c r="BR13">
        <v>1000</v>
      </c>
      <c r="BS13" t="s">
        <v>726</v>
      </c>
      <c r="BT13" t="s">
        <v>92</v>
      </c>
      <c r="BU13" t="s">
        <v>92</v>
      </c>
      <c r="BV13" t="s">
        <v>92</v>
      </c>
      <c r="BW13"/>
      <c r="BX13" t="s">
        <v>673</v>
      </c>
      <c r="BY13" t="s">
        <v>636</v>
      </c>
      <c r="BZ13" t="s">
        <v>699</v>
      </c>
      <c r="CA13" t="s">
        <v>687</v>
      </c>
      <c r="CB13" t="s">
        <v>638</v>
      </c>
      <c r="CC13" t="s">
        <v>639</v>
      </c>
      <c r="CD13" t="s">
        <v>334</v>
      </c>
      <c r="CE13"/>
      <c r="CF13"/>
      <c r="CG13"/>
      <c r="CH13"/>
      <c r="CI13" t="s">
        <v>7</v>
      </c>
      <c r="CJ13" t="s">
        <v>728</v>
      </c>
      <c r="CK13" t="s">
        <v>729</v>
      </c>
      <c r="CL13"/>
      <c r="CM13">
        <v>100</v>
      </c>
      <c r="CN13" t="s">
        <v>643</v>
      </c>
      <c r="CO13" t="s">
        <v>92</v>
      </c>
      <c r="CP13" t="s">
        <v>644</v>
      </c>
      <c r="CQ13" t="s">
        <v>645</v>
      </c>
      <c r="CR13"/>
      <c r="CS13" t="s">
        <v>110</v>
      </c>
      <c r="CT13" s="45">
        <v>45573</v>
      </c>
      <c r="CU13">
        <v>6.4000000000000001E-2</v>
      </c>
      <c r="CV13" t="s">
        <v>705</v>
      </c>
      <c r="CW13" t="s">
        <v>638</v>
      </c>
      <c r="CX13" t="s">
        <v>638</v>
      </c>
      <c r="CY13" t="s">
        <v>638</v>
      </c>
      <c r="CZ13" t="s">
        <v>730</v>
      </c>
      <c r="DA13" t="s">
        <v>247</v>
      </c>
      <c r="DB13" t="s">
        <v>7</v>
      </c>
      <c r="DC13" t="s">
        <v>25</v>
      </c>
      <c r="DD13" t="s">
        <v>255</v>
      </c>
      <c r="DE13" t="s">
        <v>7</v>
      </c>
      <c r="DF13" t="s">
        <v>92</v>
      </c>
      <c r="DG13"/>
      <c r="DH13"/>
      <c r="DI13" t="s">
        <v>92</v>
      </c>
      <c r="DJ13" t="s">
        <v>92</v>
      </c>
      <c r="DK13" t="s">
        <v>92</v>
      </c>
      <c r="DL13"/>
      <c r="DM13"/>
      <c r="DN13" t="s">
        <v>92</v>
      </c>
      <c r="DO13"/>
      <c r="DP13" t="s">
        <v>92</v>
      </c>
      <c r="DQ13"/>
      <c r="DR13"/>
      <c r="DS13"/>
      <c r="DT13"/>
      <c r="DU13"/>
      <c r="DV13" t="s">
        <v>92</v>
      </c>
      <c r="DW13" t="s">
        <v>92</v>
      </c>
      <c r="DX13" t="s">
        <v>115</v>
      </c>
      <c r="DY13">
        <v>6.4000000000000001E-2</v>
      </c>
      <c r="DZ13" t="s">
        <v>7</v>
      </c>
      <c r="EA13" t="s">
        <v>7</v>
      </c>
      <c r="EB13" t="s">
        <v>92</v>
      </c>
      <c r="EC13" t="s">
        <v>7</v>
      </c>
      <c r="ED13" t="s">
        <v>7</v>
      </c>
      <c r="EE13" t="s">
        <v>801</v>
      </c>
      <c r="EF13" t="s">
        <v>92</v>
      </c>
      <c r="EG13" t="s">
        <v>92</v>
      </c>
      <c r="EH13" t="s">
        <v>92</v>
      </c>
      <c r="EI13" t="s">
        <v>92</v>
      </c>
      <c r="EJ13" t="s">
        <v>92</v>
      </c>
      <c r="EK13" t="s">
        <v>92</v>
      </c>
      <c r="EL13">
        <v>23</v>
      </c>
      <c r="EM13" t="s">
        <v>876</v>
      </c>
      <c r="EN13" t="s">
        <v>877</v>
      </c>
      <c r="EO13" t="s">
        <v>878</v>
      </c>
      <c r="EP13" t="s">
        <v>879</v>
      </c>
      <c r="EQ13" t="s">
        <v>326</v>
      </c>
      <c r="ER13" t="s">
        <v>880</v>
      </c>
      <c r="ES13" t="s">
        <v>881</v>
      </c>
      <c r="ET13" t="s">
        <v>116</v>
      </c>
      <c r="EU13" t="s">
        <v>7</v>
      </c>
      <c r="EV13" t="s">
        <v>7</v>
      </c>
      <c r="EW13" t="s">
        <v>7</v>
      </c>
      <c r="EX13" t="s">
        <v>882</v>
      </c>
      <c r="EY13" t="s">
        <v>110</v>
      </c>
      <c r="EZ13" t="s">
        <v>7</v>
      </c>
      <c r="FA13" t="s">
        <v>794</v>
      </c>
      <c r="FB13" t="s">
        <v>174</v>
      </c>
      <c r="FC13" t="s">
        <v>808</v>
      </c>
      <c r="FD13" t="s">
        <v>7</v>
      </c>
      <c r="FE13" t="s">
        <v>835</v>
      </c>
      <c r="FF13" t="s">
        <v>835</v>
      </c>
      <c r="FG13" t="s">
        <v>92</v>
      </c>
      <c r="FH13" t="s">
        <v>92</v>
      </c>
      <c r="FI13" t="s">
        <v>826</v>
      </c>
      <c r="FJ13" t="s">
        <v>918</v>
      </c>
      <c r="FK13" t="s">
        <v>919</v>
      </c>
      <c r="FL13" t="s">
        <v>917</v>
      </c>
      <c r="FM13" t="s">
        <v>595</v>
      </c>
    </row>
    <row r="14" spans="2:169" x14ac:dyDescent="0.25">
      <c r="B14">
        <v>2</v>
      </c>
      <c r="C14" t="s">
        <v>92</v>
      </c>
      <c r="D14" t="s">
        <v>602</v>
      </c>
      <c r="E14" s="45">
        <v>45195</v>
      </c>
      <c r="F14" t="s">
        <v>603</v>
      </c>
      <c r="G14" t="s">
        <v>83</v>
      </c>
      <c r="H14" t="s">
        <v>83</v>
      </c>
      <c r="I14" t="s">
        <v>39</v>
      </c>
      <c r="J14" t="s">
        <v>7</v>
      </c>
      <c r="K14" t="s">
        <v>7</v>
      </c>
      <c r="L14" t="s">
        <v>7</v>
      </c>
      <c r="M14" t="s">
        <v>7</v>
      </c>
      <c r="N14" t="s">
        <v>92</v>
      </c>
      <c r="O14" t="s">
        <v>92</v>
      </c>
      <c r="P14"/>
      <c r="Q14" t="s">
        <v>92</v>
      </c>
      <c r="R14" t="s">
        <v>92</v>
      </c>
      <c r="S14" t="s">
        <v>85</v>
      </c>
      <c r="T14">
        <v>0.66600000000000004</v>
      </c>
      <c r="U14" t="s">
        <v>792</v>
      </c>
      <c r="V14" t="s">
        <v>7</v>
      </c>
      <c r="W14" t="s">
        <v>110</v>
      </c>
      <c r="X14" t="s">
        <v>92</v>
      </c>
      <c r="Y14">
        <v>0.66600000000000004</v>
      </c>
      <c r="Z14">
        <v>4.87</v>
      </c>
      <c r="AA14">
        <v>5.21</v>
      </c>
      <c r="AB14" t="s">
        <v>92</v>
      </c>
      <c r="AC14" t="s">
        <v>92</v>
      </c>
      <c r="AD14" t="s">
        <v>92</v>
      </c>
      <c r="AE14" t="s">
        <v>92</v>
      </c>
      <c r="AF14" t="s">
        <v>92</v>
      </c>
      <c r="AG14" t="s">
        <v>92</v>
      </c>
      <c r="AH14" t="s">
        <v>7</v>
      </c>
      <c r="AI14" t="s">
        <v>7</v>
      </c>
      <c r="AJ14" t="s">
        <v>7</v>
      </c>
      <c r="AK14" t="s">
        <v>7</v>
      </c>
      <c r="AL14" t="s">
        <v>829</v>
      </c>
      <c r="AM14" t="s">
        <v>263</v>
      </c>
      <c r="AN14" s="45">
        <v>43879</v>
      </c>
      <c r="AO14" s="45"/>
      <c r="AP14" t="s">
        <v>92</v>
      </c>
      <c r="AQ14" t="s">
        <v>791</v>
      </c>
      <c r="AR14" t="s">
        <v>1</v>
      </c>
      <c r="AS14" t="s">
        <v>92</v>
      </c>
      <c r="AT14" t="s">
        <v>747</v>
      </c>
      <c r="AU14" t="s">
        <v>92</v>
      </c>
      <c r="AV14" t="s">
        <v>746</v>
      </c>
      <c r="AW14" t="s">
        <v>92</v>
      </c>
      <c r="AX14" t="s">
        <v>131</v>
      </c>
      <c r="AY14" t="s">
        <v>92</v>
      </c>
      <c r="AZ14" t="s">
        <v>92</v>
      </c>
      <c r="BA14" t="s">
        <v>625</v>
      </c>
      <c r="BB14" t="s">
        <v>626</v>
      </c>
      <c r="BC14" t="s">
        <v>627</v>
      </c>
      <c r="BD14" t="s">
        <v>628</v>
      </c>
      <c r="BE14" t="s">
        <v>628</v>
      </c>
      <c r="BF14" t="s">
        <v>747</v>
      </c>
      <c r="BG14" t="s">
        <v>631</v>
      </c>
      <c r="BH14" s="45">
        <v>45197</v>
      </c>
      <c r="BI14" s="45">
        <v>45197</v>
      </c>
      <c r="BJ14" t="s">
        <v>603</v>
      </c>
      <c r="BK14" t="s">
        <v>749</v>
      </c>
      <c r="BL14" s="45">
        <v>45379</v>
      </c>
      <c r="BM14" t="s">
        <v>92</v>
      </c>
      <c r="BN14">
        <v>9.6999999999999993</v>
      </c>
      <c r="BO14" s="45"/>
      <c r="BP14" s="45">
        <v>45197</v>
      </c>
      <c r="BQ14">
        <v>0.66600000000000004</v>
      </c>
      <c r="BR14">
        <v>1000</v>
      </c>
      <c r="BS14" t="s">
        <v>750</v>
      </c>
      <c r="BT14" t="s">
        <v>751</v>
      </c>
      <c r="BU14" t="s">
        <v>92</v>
      </c>
      <c r="BV14" t="s">
        <v>92</v>
      </c>
      <c r="BW14"/>
      <c r="BX14" t="s">
        <v>673</v>
      </c>
      <c r="BY14" t="s">
        <v>636</v>
      </c>
      <c r="BZ14" t="s">
        <v>752</v>
      </c>
      <c r="CA14" t="s">
        <v>423</v>
      </c>
      <c r="CB14" t="s">
        <v>638</v>
      </c>
      <c r="CC14" t="s">
        <v>753</v>
      </c>
      <c r="CD14" t="s">
        <v>334</v>
      </c>
      <c r="CE14"/>
      <c r="CF14"/>
      <c r="CG14"/>
      <c r="CH14"/>
      <c r="CI14" t="s">
        <v>7</v>
      </c>
      <c r="CJ14" t="s">
        <v>754</v>
      </c>
      <c r="CK14" t="s">
        <v>755</v>
      </c>
      <c r="CL14"/>
      <c r="CM14">
        <v>100</v>
      </c>
      <c r="CN14" t="s">
        <v>643</v>
      </c>
      <c r="CO14" t="s">
        <v>92</v>
      </c>
      <c r="CP14" t="s">
        <v>715</v>
      </c>
      <c r="CQ14" t="s">
        <v>645</v>
      </c>
      <c r="CR14"/>
      <c r="CS14" t="s">
        <v>110</v>
      </c>
      <c r="CT14" s="45">
        <v>45564</v>
      </c>
      <c r="CU14">
        <v>9.6999999999999989E-2</v>
      </c>
      <c r="CV14" t="s">
        <v>756</v>
      </c>
      <c r="CW14" t="s">
        <v>638</v>
      </c>
      <c r="CX14" t="s">
        <v>638</v>
      </c>
      <c r="CY14" t="s">
        <v>638</v>
      </c>
      <c r="CZ14" t="s">
        <v>757</v>
      </c>
      <c r="DA14" t="s">
        <v>247</v>
      </c>
      <c r="DB14" t="s">
        <v>7</v>
      </c>
      <c r="DC14" t="s">
        <v>23</v>
      </c>
      <c r="DD14" t="s">
        <v>581</v>
      </c>
      <c r="DE14" t="s">
        <v>7</v>
      </c>
      <c r="DF14" t="s">
        <v>92</v>
      </c>
      <c r="DG14"/>
      <c r="DH14"/>
      <c r="DI14" t="s">
        <v>92</v>
      </c>
      <c r="DJ14" t="s">
        <v>92</v>
      </c>
      <c r="DK14" t="s">
        <v>92</v>
      </c>
      <c r="DL14"/>
      <c r="DM14"/>
      <c r="DN14" t="s">
        <v>92</v>
      </c>
      <c r="DO14"/>
      <c r="DP14" t="s">
        <v>92</v>
      </c>
      <c r="DQ14"/>
      <c r="DR14"/>
      <c r="DS14"/>
      <c r="DT14"/>
      <c r="DU14"/>
      <c r="DV14" t="s">
        <v>92</v>
      </c>
      <c r="DW14" t="s">
        <v>92</v>
      </c>
      <c r="DX14" t="s">
        <v>115</v>
      </c>
      <c r="DY14">
        <v>9.7000000000000003E-2</v>
      </c>
      <c r="DZ14" t="s">
        <v>7</v>
      </c>
      <c r="EA14" t="s">
        <v>7</v>
      </c>
      <c r="EB14" t="s">
        <v>92</v>
      </c>
      <c r="EC14" t="s">
        <v>7</v>
      </c>
      <c r="ED14" t="s">
        <v>7</v>
      </c>
      <c r="EE14" t="s">
        <v>748</v>
      </c>
      <c r="EF14" t="s">
        <v>92</v>
      </c>
      <c r="EG14" t="s">
        <v>92</v>
      </c>
      <c r="EH14" t="s">
        <v>92</v>
      </c>
      <c r="EI14" t="s">
        <v>92</v>
      </c>
      <c r="EJ14" t="s">
        <v>92</v>
      </c>
      <c r="EK14" t="s">
        <v>92</v>
      </c>
      <c r="EL14">
        <v>23</v>
      </c>
      <c r="EM14" t="s">
        <v>876</v>
      </c>
      <c r="EN14" t="s">
        <v>877</v>
      </c>
      <c r="EO14" t="s">
        <v>878</v>
      </c>
      <c r="EP14" t="s">
        <v>879</v>
      </c>
      <c r="EQ14" t="s">
        <v>326</v>
      </c>
      <c r="ER14" t="s">
        <v>880</v>
      </c>
      <c r="ES14" t="s">
        <v>881</v>
      </c>
      <c r="ET14" t="s">
        <v>116</v>
      </c>
      <c r="EU14" t="s">
        <v>7</v>
      </c>
      <c r="EV14" t="s">
        <v>7</v>
      </c>
      <c r="EW14" t="s">
        <v>7</v>
      </c>
      <c r="EX14" t="s">
        <v>920</v>
      </c>
      <c r="EY14" t="s">
        <v>110</v>
      </c>
      <c r="EZ14" t="s">
        <v>7</v>
      </c>
      <c r="FA14" t="s">
        <v>921</v>
      </c>
      <c r="FB14" t="s">
        <v>893</v>
      </c>
      <c r="FC14" t="s">
        <v>811</v>
      </c>
      <c r="FD14" t="s">
        <v>7</v>
      </c>
      <c r="FE14" t="s">
        <v>835</v>
      </c>
      <c r="FF14" t="s">
        <v>835</v>
      </c>
      <c r="FG14" t="s">
        <v>92</v>
      </c>
      <c r="FH14" t="s">
        <v>92</v>
      </c>
      <c r="FI14" t="s">
        <v>829</v>
      </c>
      <c r="FJ14" t="s">
        <v>922</v>
      </c>
      <c r="FK14" t="s">
        <v>923</v>
      </c>
      <c r="FL14" t="s">
        <v>924</v>
      </c>
      <c r="FM14" t="s">
        <v>609</v>
      </c>
    </row>
    <row r="15" spans="2:169" x14ac:dyDescent="0.25">
      <c r="B15">
        <v>1</v>
      </c>
      <c r="C15" t="s">
        <v>92</v>
      </c>
      <c r="D15" t="s">
        <v>616</v>
      </c>
      <c r="E15" s="45">
        <v>45194</v>
      </c>
      <c r="F15" t="s">
        <v>617</v>
      </c>
      <c r="G15" t="s">
        <v>618</v>
      </c>
      <c r="H15" t="s">
        <v>83</v>
      </c>
      <c r="I15" t="s">
        <v>39</v>
      </c>
      <c r="J15" t="s">
        <v>7</v>
      </c>
      <c r="K15" t="s">
        <v>7</v>
      </c>
      <c r="L15" t="s">
        <v>7</v>
      </c>
      <c r="M15" t="s">
        <v>7</v>
      </c>
      <c r="N15" t="s">
        <v>925</v>
      </c>
      <c r="O15" t="s">
        <v>774</v>
      </c>
      <c r="P15">
        <v>22</v>
      </c>
      <c r="Q15" t="s">
        <v>92</v>
      </c>
      <c r="R15" t="s">
        <v>92</v>
      </c>
      <c r="S15" t="s">
        <v>106</v>
      </c>
      <c r="T15">
        <v>7.3</v>
      </c>
      <c r="U15" t="s">
        <v>151</v>
      </c>
      <c r="V15" t="s">
        <v>7</v>
      </c>
      <c r="W15" t="s">
        <v>268</v>
      </c>
      <c r="X15" t="s">
        <v>92</v>
      </c>
      <c r="Y15">
        <v>1</v>
      </c>
      <c r="Z15">
        <v>7.3</v>
      </c>
      <c r="AA15">
        <v>7.7960000000000003</v>
      </c>
      <c r="AB15" t="s">
        <v>92</v>
      </c>
      <c r="AC15" t="s">
        <v>92</v>
      </c>
      <c r="AD15" t="s">
        <v>92</v>
      </c>
      <c r="AE15" t="s">
        <v>92</v>
      </c>
      <c r="AF15" t="s">
        <v>92</v>
      </c>
      <c r="AG15" t="s">
        <v>92</v>
      </c>
      <c r="AH15" t="s">
        <v>7</v>
      </c>
      <c r="AI15" t="s">
        <v>7</v>
      </c>
      <c r="AJ15" t="s">
        <v>7</v>
      </c>
      <c r="AK15" t="s">
        <v>7</v>
      </c>
      <c r="AL15" t="s">
        <v>828</v>
      </c>
      <c r="AM15" t="s">
        <v>263</v>
      </c>
      <c r="AN15" s="45">
        <v>44909</v>
      </c>
      <c r="AO15" s="45"/>
      <c r="AP15" t="s">
        <v>92</v>
      </c>
      <c r="AQ15" t="s">
        <v>789</v>
      </c>
      <c r="AR15" t="s">
        <v>1</v>
      </c>
      <c r="AS15" t="s">
        <v>778</v>
      </c>
      <c r="AT15" t="s">
        <v>779</v>
      </c>
      <c r="AU15" t="s">
        <v>773</v>
      </c>
      <c r="AV15" t="s">
        <v>771</v>
      </c>
      <c r="AW15" t="s">
        <v>92</v>
      </c>
      <c r="AX15" t="s">
        <v>667</v>
      </c>
      <c r="AY15" t="s">
        <v>92</v>
      </c>
      <c r="AZ15" t="s">
        <v>92</v>
      </c>
      <c r="BA15" t="s">
        <v>625</v>
      </c>
      <c r="BB15" t="s">
        <v>626</v>
      </c>
      <c r="BC15" t="s">
        <v>627</v>
      </c>
      <c r="BD15" t="s">
        <v>628</v>
      </c>
      <c r="BE15" t="s">
        <v>628</v>
      </c>
      <c r="BF15" t="s">
        <v>772</v>
      </c>
      <c r="BG15" t="s">
        <v>631</v>
      </c>
      <c r="BH15" s="45">
        <v>45209</v>
      </c>
      <c r="BI15" s="45">
        <v>45209</v>
      </c>
      <c r="BJ15" t="s">
        <v>617</v>
      </c>
      <c r="BK15" t="s">
        <v>775</v>
      </c>
      <c r="BL15" s="45">
        <v>45575</v>
      </c>
      <c r="BM15" t="s">
        <v>92</v>
      </c>
      <c r="BN15">
        <v>3.98</v>
      </c>
      <c r="BO15" s="45"/>
      <c r="BP15" s="45">
        <v>45209</v>
      </c>
      <c r="BQ15">
        <v>7.3</v>
      </c>
      <c r="BR15">
        <v>10000</v>
      </c>
      <c r="BS15" t="s">
        <v>776</v>
      </c>
      <c r="BT15" t="s">
        <v>777</v>
      </c>
      <c r="BU15" t="s">
        <v>92</v>
      </c>
      <c r="BV15" t="s">
        <v>92</v>
      </c>
      <c r="BW15"/>
      <c r="BX15" t="s">
        <v>657</v>
      </c>
      <c r="BY15" t="s">
        <v>636</v>
      </c>
      <c r="BZ15" t="s">
        <v>637</v>
      </c>
      <c r="CA15" t="s">
        <v>764</v>
      </c>
      <c r="CB15" t="s">
        <v>638</v>
      </c>
      <c r="CC15" t="s">
        <v>639</v>
      </c>
      <c r="CD15" t="s">
        <v>334</v>
      </c>
      <c r="CE15"/>
      <c r="CF15"/>
      <c r="CG15"/>
      <c r="CH15"/>
      <c r="CI15" t="s">
        <v>780</v>
      </c>
      <c r="CJ15" t="s">
        <v>781</v>
      </c>
      <c r="CK15" t="s">
        <v>782</v>
      </c>
      <c r="CL15"/>
      <c r="CM15">
        <v>100</v>
      </c>
      <c r="CN15" t="s">
        <v>643</v>
      </c>
      <c r="CO15" t="s">
        <v>92</v>
      </c>
      <c r="CP15" t="s">
        <v>715</v>
      </c>
      <c r="CQ15" t="s">
        <v>645</v>
      </c>
      <c r="CR15">
        <v>22</v>
      </c>
      <c r="CS15" t="s">
        <v>647</v>
      </c>
      <c r="CT15" s="45">
        <v>46305</v>
      </c>
      <c r="CU15">
        <v>3.9800000000000002E-2</v>
      </c>
      <c r="CV15" t="s">
        <v>648</v>
      </c>
      <c r="CW15" t="s">
        <v>638</v>
      </c>
      <c r="CX15" t="s">
        <v>638</v>
      </c>
      <c r="CY15" t="s">
        <v>638</v>
      </c>
      <c r="CZ15" t="s">
        <v>784</v>
      </c>
      <c r="DA15" t="s">
        <v>247</v>
      </c>
      <c r="DB15" t="s">
        <v>7</v>
      </c>
      <c r="DC15" t="s">
        <v>17</v>
      </c>
      <c r="DD15" t="s">
        <v>581</v>
      </c>
      <c r="DE15" t="s">
        <v>7</v>
      </c>
      <c r="DF15" t="s">
        <v>92</v>
      </c>
      <c r="DG15"/>
      <c r="DH15"/>
      <c r="DI15" t="s">
        <v>92</v>
      </c>
      <c r="DJ15" t="s">
        <v>92</v>
      </c>
      <c r="DK15" t="s">
        <v>926</v>
      </c>
      <c r="DL15"/>
      <c r="DM15">
        <v>4.2000000000000003E-2</v>
      </c>
      <c r="DN15" t="s">
        <v>774</v>
      </c>
      <c r="DO15"/>
      <c r="DP15" t="s">
        <v>774</v>
      </c>
      <c r="DQ15"/>
      <c r="DR15"/>
      <c r="DS15"/>
      <c r="DT15">
        <v>3.9800000000000002E-2</v>
      </c>
      <c r="DU15"/>
      <c r="DV15" t="s">
        <v>115</v>
      </c>
      <c r="DW15" t="s">
        <v>115</v>
      </c>
      <c r="DX15" t="s">
        <v>115</v>
      </c>
      <c r="DY15">
        <v>3.9800000000000002E-2</v>
      </c>
      <c r="DZ15">
        <v>22</v>
      </c>
      <c r="EA15" t="s">
        <v>802</v>
      </c>
      <c r="EB15" t="s">
        <v>927</v>
      </c>
      <c r="EC15" t="s">
        <v>774</v>
      </c>
      <c r="ED15" t="s">
        <v>7</v>
      </c>
      <c r="EE15" t="s">
        <v>774</v>
      </c>
      <c r="EF15" t="s">
        <v>92</v>
      </c>
      <c r="EG15" t="s">
        <v>92</v>
      </c>
      <c r="EH15" t="s">
        <v>92</v>
      </c>
      <c r="EI15" t="s">
        <v>778</v>
      </c>
      <c r="EJ15" t="s">
        <v>92</v>
      </c>
      <c r="EK15" t="s">
        <v>92</v>
      </c>
      <c r="EL15">
        <v>23</v>
      </c>
      <c r="EM15" t="s">
        <v>876</v>
      </c>
      <c r="EN15" t="s">
        <v>877</v>
      </c>
      <c r="EO15" t="s">
        <v>878</v>
      </c>
      <c r="EP15" t="s">
        <v>879</v>
      </c>
      <c r="EQ15" t="s">
        <v>326</v>
      </c>
      <c r="ER15" t="s">
        <v>880</v>
      </c>
      <c r="ES15" t="s">
        <v>890</v>
      </c>
      <c r="ET15" t="s">
        <v>133</v>
      </c>
      <c r="EU15" t="s">
        <v>883</v>
      </c>
      <c r="EV15" t="s">
        <v>898</v>
      </c>
      <c r="EW15" t="s">
        <v>7</v>
      </c>
      <c r="EX15" t="s">
        <v>920</v>
      </c>
      <c r="EY15" t="s">
        <v>268</v>
      </c>
      <c r="EZ15" t="s">
        <v>7</v>
      </c>
      <c r="FA15" t="s">
        <v>892</v>
      </c>
      <c r="FB15" t="s">
        <v>175</v>
      </c>
      <c r="FC15" t="s">
        <v>812</v>
      </c>
      <c r="FD15" t="s">
        <v>7</v>
      </c>
      <c r="FE15" t="s">
        <v>778</v>
      </c>
      <c r="FF15" t="s">
        <v>778</v>
      </c>
      <c r="FG15" t="s">
        <v>92</v>
      </c>
      <c r="FH15" t="s">
        <v>92</v>
      </c>
      <c r="FI15" t="s">
        <v>828</v>
      </c>
      <c r="FJ15" t="s">
        <v>928</v>
      </c>
      <c r="FK15" t="s">
        <v>929</v>
      </c>
      <c r="FL15" t="s">
        <v>930</v>
      </c>
      <c r="FM15" t="s">
        <v>622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L1" zoomScale="85" zoomScaleNormal="85" workbookViewId="0">
      <selection activeCell="P9" sqref="P9:AF17"/>
    </sheetView>
  </sheetViews>
  <sheetFormatPr defaultColWidth="8.88671875" defaultRowHeight="15" x14ac:dyDescent="0.25"/>
  <cols>
    <col min="1" max="1" width="6" style="1" hidden="1" customWidth="1"/>
    <col min="2" max="2" width="4.44140625" style="1" hidden="1" customWidth="1"/>
    <col min="3" max="3" width="7.6640625" style="1" hidden="1" customWidth="1"/>
    <col min="4" max="4" width="4.33203125" style="1" hidden="1" customWidth="1"/>
    <col min="5" max="5" width="6" style="1" hidden="1" customWidth="1"/>
    <col min="6" max="7" width="4.33203125" style="1" hidden="1" customWidth="1"/>
    <col min="8" max="8" width="7.6640625" style="1" hidden="1" customWidth="1"/>
    <col min="9" max="10" width="4.33203125" style="1" hidden="1" customWidth="1"/>
    <col min="11" max="11" width="5.88671875" style="1" hidden="1" customWidth="1"/>
    <col min="12" max="12" width="2.664062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20.6640625" style="1" bestFit="1" customWidth="1"/>
    <col min="20" max="20" width="8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5" width="5.6640625" style="1" bestFit="1" customWidth="1"/>
    <col min="26" max="26" width="7.6640625" style="1" bestFit="1" customWidth="1"/>
    <col min="27" max="27" width="4.33203125" style="1" bestFit="1" customWidth="1"/>
    <col min="28" max="28" width="6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20">
        <f>COUNTA(charts[ISIN])</f>
        <v>0</v>
      </c>
      <c r="B1" s="7" t="s">
        <v>136</v>
      </c>
      <c r="Q1" s="122">
        <f>COUNTA(Table_graph_weeklydeal[Index])</f>
        <v>0</v>
      </c>
      <c r="R1" s="121" t="s">
        <v>450</v>
      </c>
      <c r="S1" s="122">
        <f>ROUND(SUM(Table_graph_weeklydeal[亿美元]),1)</f>
        <v>0</v>
      </c>
      <c r="T1" s="121" t="s">
        <v>174</v>
      </c>
      <c r="AV1" s="4"/>
    </row>
    <row r="2" spans="1:48" ht="42" customHeight="1" x14ac:dyDescent="0.25">
      <c r="A2" s="119" t="s">
        <v>180</v>
      </c>
      <c r="Q2" s="121" t="s">
        <v>186</v>
      </c>
    </row>
    <row r="8" spans="1:48" x14ac:dyDescent="0.25">
      <c r="A8" t="s">
        <v>49</v>
      </c>
      <c r="B8" t="s">
        <v>48</v>
      </c>
      <c r="C8" t="s">
        <v>47</v>
      </c>
      <c r="D8" t="s">
        <v>87</v>
      </c>
      <c r="E8" t="s">
        <v>174</v>
      </c>
      <c r="F8" t="s">
        <v>64</v>
      </c>
      <c r="G8" t="s">
        <v>229</v>
      </c>
      <c r="H8" t="s">
        <v>93</v>
      </c>
      <c r="I8" t="s">
        <v>107</v>
      </c>
      <c r="J8" t="s">
        <v>118</v>
      </c>
      <c r="L8" t="s">
        <v>270</v>
      </c>
      <c r="M8" t="s">
        <v>271</v>
      </c>
      <c r="N8" t="s">
        <v>272</v>
      </c>
      <c r="P8" t="s">
        <v>86</v>
      </c>
      <c r="Q8" t="s">
        <v>48</v>
      </c>
      <c r="R8" t="s">
        <v>49</v>
      </c>
      <c r="S8" t="s">
        <v>166</v>
      </c>
      <c r="T8" t="s">
        <v>135</v>
      </c>
      <c r="U8" t="s">
        <v>64</v>
      </c>
      <c r="V8" t="s">
        <v>57</v>
      </c>
      <c r="W8" t="s">
        <v>87</v>
      </c>
      <c r="X8" t="s">
        <v>120</v>
      </c>
      <c r="Y8" t="s">
        <v>88</v>
      </c>
      <c r="Z8" t="s">
        <v>167</v>
      </c>
      <c r="AA8" t="s">
        <v>90</v>
      </c>
      <c r="AB8" t="s">
        <v>36</v>
      </c>
      <c r="AC8" t="s">
        <v>229</v>
      </c>
      <c r="AD8" t="s">
        <v>89</v>
      </c>
      <c r="AE8" t="s">
        <v>148</v>
      </c>
      <c r="AF8" t="s">
        <v>174</v>
      </c>
    </row>
    <row r="9" spans="1:48" x14ac:dyDescent="0.25">
      <c r="A9"/>
      <c r="B9"/>
      <c r="C9"/>
      <c r="D9"/>
      <c r="E9"/>
      <c r="F9"/>
      <c r="G9"/>
      <c r="H9"/>
      <c r="I9"/>
      <c r="J9"/>
      <c r="L9"/>
      <c r="M9"/>
      <c r="N9"/>
      <c r="P9"/>
      <c r="Q9"/>
      <c r="R9" s="45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48" x14ac:dyDescent="0.25">
      <c r="P10"/>
      <c r="Q10"/>
      <c r="R10" s="45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48" x14ac:dyDescent="0.25">
      <c r="P11"/>
      <c r="Q11"/>
      <c r="R11" s="45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48" x14ac:dyDescent="0.25">
      <c r="L12" t="s">
        <v>274</v>
      </c>
      <c r="M12" t="s">
        <v>271</v>
      </c>
      <c r="N12" t="s">
        <v>272</v>
      </c>
      <c r="P12"/>
      <c r="Q12"/>
      <c r="R12" s="45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48" x14ac:dyDescent="0.25">
      <c r="L13"/>
      <c r="M13"/>
      <c r="N13"/>
      <c r="P13"/>
      <c r="Q13"/>
      <c r="R13" s="45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48" x14ac:dyDescent="0.25">
      <c r="P14"/>
      <c r="Q14"/>
      <c r="R14" s="45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48" x14ac:dyDescent="0.25">
      <c r="P15"/>
      <c r="Q15"/>
      <c r="R15" s="4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spans="1:48" x14ac:dyDescent="0.25">
      <c r="P16"/>
      <c r="Q16"/>
      <c r="R16" s="45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6:32" x14ac:dyDescent="0.25">
      <c r="P17"/>
      <c r="Q17"/>
      <c r="R17" s="45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54" spans="15:15" x14ac:dyDescent="0.25">
      <c r="O54"/>
    </row>
  </sheetData>
  <phoneticPr fontId="14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G15"/>
  <sheetViews>
    <sheetView topLeftCell="A3" zoomScale="70" zoomScaleNormal="70" workbookViewId="0">
      <selection activeCell="D8" sqref="D8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1" t="s">
        <v>308</v>
      </c>
      <c r="B1" s="7"/>
      <c r="C1" s="7"/>
      <c r="D1" s="7"/>
      <c r="E1" s="6"/>
      <c r="F1" s="6"/>
      <c r="G1" s="6"/>
    </row>
    <row r="6" spans="1:7" x14ac:dyDescent="0.25">
      <c r="A6" t="s">
        <v>117</v>
      </c>
      <c r="B6" t="s">
        <v>229</v>
      </c>
      <c r="C6" t="s">
        <v>64</v>
      </c>
      <c r="D6" t="s">
        <v>307</v>
      </c>
    </row>
    <row r="7" spans="1:7" ht="57" customHeight="1" x14ac:dyDescent="0.25">
      <c r="A7"/>
      <c r="B7"/>
      <c r="C7"/>
      <c r="D7" s="44"/>
    </row>
    <row r="8" spans="1:7" ht="57" customHeight="1" x14ac:dyDescent="0.25">
      <c r="A8"/>
      <c r="B8"/>
      <c r="C8"/>
      <c r="D8" s="44"/>
    </row>
    <row r="9" spans="1:7" ht="57" customHeight="1" x14ac:dyDescent="0.25">
      <c r="A9"/>
      <c r="B9"/>
      <c r="C9"/>
      <c r="D9" s="44"/>
    </row>
    <row r="10" spans="1:7" ht="57" customHeight="1" x14ac:dyDescent="0.25">
      <c r="A10"/>
      <c r="B10"/>
      <c r="C10"/>
      <c r="D10" s="44"/>
    </row>
    <row r="11" spans="1:7" ht="57" customHeight="1" x14ac:dyDescent="0.25">
      <c r="A11"/>
      <c r="B11"/>
      <c r="C11"/>
      <c r="D11" s="44"/>
    </row>
    <row r="12" spans="1:7" ht="57" customHeight="1" x14ac:dyDescent="0.25">
      <c r="A12"/>
      <c r="B12"/>
      <c r="C12"/>
      <c r="D12" s="44"/>
    </row>
    <row r="13" spans="1:7" ht="57" customHeight="1" x14ac:dyDescent="0.25">
      <c r="A13"/>
      <c r="B13"/>
      <c r="C13"/>
      <c r="D13" s="44"/>
    </row>
    <row r="14" spans="1:7" x14ac:dyDescent="0.25">
      <c r="A14"/>
      <c r="B14"/>
      <c r="C14"/>
      <c r="D14" s="44"/>
    </row>
    <row r="15" spans="1:7" x14ac:dyDescent="0.25">
      <c r="A15"/>
      <c r="B15"/>
      <c r="C15"/>
      <c r="D15" s="44"/>
    </row>
  </sheetData>
  <conditionalFormatting sqref="D7:D15">
    <cfRule type="containsText" dxfId="297" priority="1" operator="containsText" text="担任">
      <formula>NOT(ISERROR(SEARCH("担任",D7)))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138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84</v>
      </c>
      <c r="E3" s="19"/>
      <c r="F3" s="19"/>
      <c r="G3" s="19"/>
    </row>
    <row r="4" spans="1:7" x14ac:dyDescent="0.25">
      <c r="A4" t="s">
        <v>86</v>
      </c>
      <c r="B4" t="s">
        <v>229</v>
      </c>
      <c r="C4" t="s">
        <v>64</v>
      </c>
      <c r="D4" t="s">
        <v>166</v>
      </c>
      <c r="E4" t="s">
        <v>137</v>
      </c>
      <c r="F4" t="s">
        <v>241</v>
      </c>
    </row>
    <row r="5" spans="1:7" x14ac:dyDescent="0.25">
      <c r="A5"/>
      <c r="B5"/>
      <c r="C5"/>
      <c r="D5"/>
      <c r="E5"/>
      <c r="F5" s="44"/>
    </row>
    <row r="8" spans="1:7" ht="46.5" x14ac:dyDescent="0.25">
      <c r="A8" s="7" t="s">
        <v>106</v>
      </c>
      <c r="E8" s="19"/>
      <c r="F8" s="19"/>
      <c r="G8" s="19"/>
    </row>
    <row r="9" spans="1:7" x14ac:dyDescent="0.25">
      <c r="A9" s="44" t="s">
        <v>86</v>
      </c>
      <c r="B9" t="s">
        <v>229</v>
      </c>
      <c r="C9" s="44" t="s">
        <v>64</v>
      </c>
      <c r="D9" s="44" t="s">
        <v>166</v>
      </c>
      <c r="E9" s="44" t="s">
        <v>137</v>
      </c>
      <c r="F9" s="44" t="s">
        <v>241</v>
      </c>
    </row>
    <row r="10" spans="1:7" x14ac:dyDescent="0.25">
      <c r="A10" s="44">
        <v>14</v>
      </c>
      <c r="B10" t="s">
        <v>263</v>
      </c>
      <c r="C10" s="44" t="s">
        <v>106</v>
      </c>
      <c r="D10" s="44" t="s">
        <v>298</v>
      </c>
      <c r="E10" s="44" t="s">
        <v>301</v>
      </c>
      <c r="F10" s="44" t="s">
        <v>7</v>
      </c>
    </row>
    <row r="11" spans="1:7" x14ac:dyDescent="0.25">
      <c r="A11" s="44">
        <v>12</v>
      </c>
      <c r="B11" t="s">
        <v>230</v>
      </c>
      <c r="C11" s="44" t="s">
        <v>106</v>
      </c>
      <c r="D11" s="44" t="s">
        <v>299</v>
      </c>
      <c r="E11" s="44" t="s">
        <v>302</v>
      </c>
      <c r="F11" s="44" t="s">
        <v>7</v>
      </c>
    </row>
    <row r="12" spans="1:7" x14ac:dyDescent="0.25">
      <c r="A12" s="44">
        <v>8</v>
      </c>
      <c r="B12" t="s">
        <v>230</v>
      </c>
      <c r="C12" s="44" t="s">
        <v>106</v>
      </c>
      <c r="D12" s="44" t="s">
        <v>300</v>
      </c>
      <c r="E12" s="44" t="s">
        <v>303</v>
      </c>
      <c r="F12" s="44" t="s">
        <v>7</v>
      </c>
    </row>
    <row r="13" spans="1:7" x14ac:dyDescent="0.25">
      <c r="A13" s="44">
        <v>7</v>
      </c>
      <c r="B13" t="s">
        <v>230</v>
      </c>
      <c r="C13" s="44" t="s">
        <v>106</v>
      </c>
      <c r="D13" s="44" t="s">
        <v>300</v>
      </c>
      <c r="E13" s="44" t="s">
        <v>304</v>
      </c>
      <c r="F13" s="44" t="s">
        <v>7</v>
      </c>
    </row>
    <row r="14" spans="1:7" x14ac:dyDescent="0.25">
      <c r="A14" s="44">
        <v>6</v>
      </c>
      <c r="B14" t="s">
        <v>230</v>
      </c>
      <c r="C14" s="44" t="s">
        <v>106</v>
      </c>
      <c r="D14" s="44" t="s">
        <v>300</v>
      </c>
      <c r="E14" s="44" t="s">
        <v>305</v>
      </c>
      <c r="F14" s="44" t="s">
        <v>7</v>
      </c>
    </row>
    <row r="15" spans="1:7" x14ac:dyDescent="0.25">
      <c r="A15" s="44">
        <v>3</v>
      </c>
      <c r="B15" t="s">
        <v>263</v>
      </c>
      <c r="C15" s="44" t="s">
        <v>106</v>
      </c>
      <c r="D15" s="44" t="s">
        <v>297</v>
      </c>
      <c r="E15" s="44" t="s">
        <v>306</v>
      </c>
      <c r="F15" s="44" t="s">
        <v>7</v>
      </c>
    </row>
    <row r="19" spans="1:6" ht="46.5" x14ac:dyDescent="0.25">
      <c r="A19" s="7" t="s">
        <v>210</v>
      </c>
    </row>
    <row r="20" spans="1:6" x14ac:dyDescent="0.25">
      <c r="A20" t="s">
        <v>86</v>
      </c>
      <c r="B20" t="s">
        <v>229</v>
      </c>
      <c r="C20" t="s">
        <v>64</v>
      </c>
      <c r="D20" t="s">
        <v>166</v>
      </c>
      <c r="E20" t="s">
        <v>137</v>
      </c>
      <c r="F20" t="s">
        <v>309</v>
      </c>
    </row>
    <row r="21" spans="1:6" x14ac:dyDescent="0.25">
      <c r="A21"/>
      <c r="B21"/>
      <c r="C21"/>
      <c r="D21"/>
      <c r="E21"/>
      <c r="F21"/>
    </row>
  </sheetData>
  <phoneticPr fontId="14" type="noConversion"/>
  <conditionalFormatting sqref="G9:G11 E4:E5 E9:E15">
    <cfRule type="containsText" dxfId="292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A13" sqref="A13:O27"/>
    </sheetView>
  </sheetViews>
  <sheetFormatPr defaultColWidth="8.88671875" defaultRowHeight="28.5" customHeight="1" x14ac:dyDescent="0.25"/>
  <cols>
    <col min="1" max="1" width="4.88671875" style="25" bestFit="1" customWidth="1"/>
    <col min="2" max="2" width="6.77734375" style="25" bestFit="1" customWidth="1"/>
    <col min="3" max="3" width="25" style="25" bestFit="1" customWidth="1"/>
    <col min="4" max="4" width="12.5546875" style="25" customWidth="1"/>
    <col min="5" max="7" width="9.33203125" style="25" bestFit="1" customWidth="1"/>
    <col min="8" max="8" width="7.33203125" style="25" bestFit="1" customWidth="1"/>
    <col min="9" max="9" width="9.21875" style="25" bestFit="1" customWidth="1"/>
    <col min="10" max="10" width="15.77734375" style="25" hidden="1" customWidth="1"/>
    <col min="11" max="11" width="10.6640625" style="25" hidden="1" customWidth="1"/>
    <col min="12" max="12" width="7.21875" style="25" hidden="1" customWidth="1"/>
    <col min="13" max="13" width="6" style="25" hidden="1" customWidth="1"/>
    <col min="14" max="14" width="11" style="25" hidden="1" customWidth="1"/>
    <col min="15" max="15" width="28.44140625" style="25" bestFit="1" customWidth="1" collapsed="1"/>
    <col min="16" max="16" width="15.5546875" style="25" bestFit="1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thickBot="1" x14ac:dyDescent="0.3">
      <c r="A1" s="31" t="s">
        <v>121</v>
      </c>
      <c r="I1" s="59" t="s">
        <v>154</v>
      </c>
    </row>
    <row r="2" spans="1:22" ht="17.25" thickTop="1" thickBot="1" x14ac:dyDescent="0.3">
      <c r="B2" s="26" t="s">
        <v>86</v>
      </c>
      <c r="C2" s="26" t="s">
        <v>154</v>
      </c>
      <c r="D2" s="26" t="s">
        <v>155</v>
      </c>
      <c r="E2" s="26" t="s">
        <v>156</v>
      </c>
      <c r="F2" s="26" t="s">
        <v>157</v>
      </c>
      <c r="G2" s="26" t="s">
        <v>158</v>
      </c>
      <c r="P2" s="132" t="s">
        <v>543</v>
      </c>
      <c r="Q2" s="135">
        <v>60</v>
      </c>
    </row>
    <row r="3" spans="1:22" ht="17.25" thickTop="1" thickBot="1" x14ac:dyDescent="0.3">
      <c r="B3" s="26"/>
      <c r="C3" s="27"/>
      <c r="D3" s="38"/>
      <c r="E3" s="29"/>
      <c r="F3" s="29"/>
      <c r="G3" s="29"/>
      <c r="P3" s="132" t="s">
        <v>544</v>
      </c>
      <c r="Q3" s="135">
        <v>20</v>
      </c>
    </row>
    <row r="4" spans="1:22" ht="15.75" thickTop="1" x14ac:dyDescent="0.25">
      <c r="B4" s="26"/>
      <c r="C4" s="27"/>
      <c r="D4" s="38"/>
      <c r="E4" s="29"/>
      <c r="F4" s="29"/>
      <c r="G4" s="29"/>
    </row>
    <row r="5" spans="1:22" ht="15" x14ac:dyDescent="0.25">
      <c r="B5" s="26"/>
      <c r="C5" s="27"/>
      <c r="D5" s="38"/>
      <c r="E5" s="29"/>
      <c r="F5" s="29"/>
      <c r="G5" s="29"/>
    </row>
    <row r="6" spans="1:22" ht="15" x14ac:dyDescent="0.25">
      <c r="B6" s="26"/>
      <c r="C6" s="27"/>
      <c r="D6" s="38"/>
      <c r="E6" s="29"/>
      <c r="F6" s="29"/>
      <c r="G6" s="29"/>
    </row>
    <row r="7" spans="1:22" ht="15" x14ac:dyDescent="0.25">
      <c r="B7" s="26"/>
      <c r="C7" s="27"/>
      <c r="D7" s="38"/>
      <c r="E7" s="29"/>
      <c r="F7" s="29"/>
      <c r="G7" s="29"/>
    </row>
    <row r="8" spans="1:22" ht="15" x14ac:dyDescent="0.25">
      <c r="B8" s="26"/>
      <c r="C8" s="27"/>
      <c r="D8" s="38"/>
      <c r="E8" s="29"/>
      <c r="F8" s="29"/>
      <c r="G8" s="29"/>
    </row>
    <row r="9" spans="1:22" ht="15" x14ac:dyDescent="0.25">
      <c r="Q9" s="28"/>
      <c r="R9" s="28"/>
      <c r="S9" s="28"/>
      <c r="T9" s="28"/>
      <c r="U9" s="28"/>
      <c r="V9" s="28"/>
    </row>
    <row r="10" spans="1:22" ht="15" x14ac:dyDescent="0.25">
      <c r="Q10" s="28"/>
      <c r="R10" s="28"/>
      <c r="S10" s="28"/>
      <c r="T10" s="28"/>
      <c r="U10" s="28"/>
      <c r="V10" s="28"/>
    </row>
    <row r="11" spans="1:22" ht="15" x14ac:dyDescent="0.25">
      <c r="Q11" s="28"/>
      <c r="R11" s="28"/>
      <c r="S11" s="28"/>
      <c r="T11" s="28"/>
      <c r="U11" s="28"/>
      <c r="V11" s="28"/>
    </row>
    <row r="12" spans="1:22" ht="15" x14ac:dyDescent="0.25">
      <c r="A12" s="26" t="s">
        <v>122</v>
      </c>
      <c r="B12" s="27" t="s">
        <v>159</v>
      </c>
      <c r="C12" s="27" t="s">
        <v>123</v>
      </c>
      <c r="D12" s="27" t="s">
        <v>160</v>
      </c>
      <c r="E12" s="27" t="s">
        <v>124</v>
      </c>
      <c r="F12" s="27" t="s">
        <v>125</v>
      </c>
      <c r="G12" s="27" t="s">
        <v>126</v>
      </c>
      <c r="H12" s="27" t="s">
        <v>127</v>
      </c>
      <c r="I12" s="27" t="s">
        <v>128</v>
      </c>
      <c r="J12" s="27" t="s">
        <v>129</v>
      </c>
      <c r="K12" s="27" t="s">
        <v>130</v>
      </c>
      <c r="L12" s="27" t="s">
        <v>161</v>
      </c>
      <c r="M12" s="27" t="s">
        <v>163</v>
      </c>
      <c r="N12" s="27" t="s">
        <v>164</v>
      </c>
      <c r="O12" s="27" t="s">
        <v>154</v>
      </c>
      <c r="Q12" s="28"/>
      <c r="R12" s="28"/>
      <c r="S12" s="28"/>
      <c r="T12" s="28"/>
      <c r="U12" s="28"/>
      <c r="V12" s="28"/>
    </row>
    <row r="13" spans="1:22" ht="15" x14ac:dyDescent="0.25">
      <c r="A13" s="125"/>
      <c r="B13" s="27"/>
      <c r="C13" s="27"/>
      <c r="D13" s="27"/>
      <c r="E13" s="27"/>
      <c r="F13" s="27"/>
      <c r="G13" s="27"/>
      <c r="H13" s="27"/>
      <c r="I13" s="27"/>
      <c r="J13" s="27"/>
      <c r="K13" s="126"/>
      <c r="L13" s="27"/>
      <c r="M13" s="27"/>
      <c r="N13" s="27"/>
      <c r="O13" s="27"/>
      <c r="Q13" s="28"/>
      <c r="R13" s="28"/>
      <c r="S13" s="28"/>
      <c r="T13" s="28"/>
      <c r="U13" s="28"/>
      <c r="V13" s="28"/>
    </row>
    <row r="14" spans="1:22" ht="15" x14ac:dyDescent="0.25">
      <c r="A14" s="125"/>
      <c r="B14" s="27"/>
      <c r="C14" s="27"/>
      <c r="D14" s="27"/>
      <c r="E14" s="27"/>
      <c r="F14" s="27"/>
      <c r="G14" s="27"/>
      <c r="H14" s="27"/>
      <c r="I14" s="27"/>
      <c r="J14" s="27"/>
      <c r="K14" s="126"/>
      <c r="L14" s="27"/>
      <c r="M14" s="27"/>
      <c r="N14" s="27"/>
      <c r="O14" s="27"/>
      <c r="Q14" s="28"/>
      <c r="R14" s="28"/>
      <c r="S14" s="28"/>
      <c r="T14" s="28"/>
      <c r="U14" s="28"/>
      <c r="V14" s="28"/>
    </row>
    <row r="15" spans="1:22" ht="15" x14ac:dyDescent="0.25">
      <c r="A15" s="125"/>
      <c r="B15" s="27"/>
      <c r="C15" s="27"/>
      <c r="D15" s="27"/>
      <c r="E15" s="27"/>
      <c r="F15" s="27"/>
      <c r="G15" s="27"/>
      <c r="H15" s="27"/>
      <c r="I15" s="27"/>
      <c r="J15" s="27"/>
      <c r="K15" s="126"/>
      <c r="L15" s="27"/>
      <c r="M15" s="27"/>
      <c r="N15" s="27"/>
      <c r="O15" s="27"/>
      <c r="Q15" s="28"/>
      <c r="R15" s="28"/>
      <c r="S15" s="28"/>
      <c r="T15" s="28"/>
      <c r="U15" s="28"/>
      <c r="V15" s="28"/>
    </row>
    <row r="16" spans="1:22" ht="15" x14ac:dyDescent="0.25">
      <c r="A16" s="125"/>
      <c r="B16" s="27"/>
      <c r="C16" s="27"/>
      <c r="D16" s="27"/>
      <c r="E16" s="27"/>
      <c r="F16" s="27"/>
      <c r="G16" s="27"/>
      <c r="H16" s="27"/>
      <c r="I16" s="27"/>
      <c r="J16" s="27"/>
      <c r="K16" s="126"/>
      <c r="L16" s="27"/>
      <c r="M16" s="27"/>
      <c r="N16" s="27"/>
      <c r="O16" s="27"/>
      <c r="Q16" s="28"/>
      <c r="R16" s="28"/>
      <c r="S16" s="28"/>
      <c r="T16" s="28"/>
      <c r="U16" s="28"/>
      <c r="V16" s="28"/>
    </row>
    <row r="17" spans="1:22" ht="15" x14ac:dyDescent="0.25">
      <c r="A17" s="125"/>
      <c r="B17" s="27"/>
      <c r="C17" s="27"/>
      <c r="D17" s="27"/>
      <c r="E17" s="27"/>
      <c r="F17" s="27"/>
      <c r="G17" s="27"/>
      <c r="H17" s="27"/>
      <c r="I17" s="27"/>
      <c r="J17" s="27"/>
      <c r="K17" s="126"/>
      <c r="L17" s="27"/>
      <c r="M17" s="27"/>
      <c r="N17" s="27"/>
      <c r="O17" s="27"/>
      <c r="Q17" s="28"/>
      <c r="R17" s="28"/>
      <c r="S17" s="28"/>
      <c r="T17" s="28"/>
      <c r="U17" s="28"/>
      <c r="V17" s="28"/>
    </row>
    <row r="18" spans="1:22" ht="15" x14ac:dyDescent="0.25">
      <c r="A18" s="125"/>
      <c r="B18" s="27"/>
      <c r="C18" s="27"/>
      <c r="D18" s="27"/>
      <c r="E18" s="27"/>
      <c r="F18" s="27"/>
      <c r="G18" s="27"/>
      <c r="H18" s="27"/>
      <c r="I18" s="27"/>
      <c r="J18" s="27"/>
      <c r="K18" s="126"/>
      <c r="L18" s="27"/>
      <c r="M18" s="27"/>
      <c r="N18" s="27"/>
      <c r="O18" s="27"/>
    </row>
    <row r="19" spans="1:22" ht="15" x14ac:dyDescent="0.25">
      <c r="A19" s="125"/>
      <c r="B19" s="27"/>
      <c r="C19" s="27"/>
      <c r="D19" s="27"/>
      <c r="E19" s="27"/>
      <c r="F19" s="27"/>
      <c r="G19" s="27"/>
      <c r="H19" s="27"/>
      <c r="I19" s="27"/>
      <c r="J19" s="27"/>
      <c r="K19" s="126"/>
      <c r="L19" s="27"/>
      <c r="M19" s="27"/>
      <c r="N19" s="27"/>
      <c r="O19" s="27"/>
      <c r="Q19" s="28"/>
      <c r="R19" s="28"/>
      <c r="S19" s="28"/>
      <c r="T19" s="28"/>
      <c r="U19" s="28"/>
      <c r="V19" s="28"/>
    </row>
    <row r="20" spans="1:22" ht="15" x14ac:dyDescent="0.25">
      <c r="A20" s="125"/>
      <c r="B20" s="27"/>
      <c r="C20" s="27"/>
      <c r="D20" s="27"/>
      <c r="E20" s="27"/>
      <c r="F20" s="27"/>
      <c r="G20" s="27"/>
      <c r="H20" s="27"/>
      <c r="I20" s="27"/>
      <c r="J20" s="27"/>
      <c r="K20" s="126"/>
      <c r="L20" s="27"/>
      <c r="M20" s="27"/>
      <c r="N20" s="27"/>
      <c r="O20" s="27"/>
      <c r="V20" s="28"/>
    </row>
    <row r="21" spans="1:22" ht="15" x14ac:dyDescent="0.25">
      <c r="A21" s="125"/>
      <c r="B21" s="27"/>
      <c r="C21" s="27"/>
      <c r="D21" s="27"/>
      <c r="E21" s="27"/>
      <c r="F21" s="27"/>
      <c r="G21" s="27"/>
      <c r="H21" s="27"/>
      <c r="I21" s="27"/>
      <c r="J21" s="27"/>
      <c r="K21" s="126"/>
      <c r="L21" s="27"/>
      <c r="M21" s="27"/>
      <c r="N21" s="27"/>
      <c r="O21" s="27"/>
      <c r="V21" s="28"/>
    </row>
    <row r="22" spans="1:22" ht="15" x14ac:dyDescent="0.25">
      <c r="A22" s="125"/>
      <c r="B22" s="27"/>
      <c r="C22" s="27"/>
      <c r="D22" s="27"/>
      <c r="E22" s="27"/>
      <c r="F22" s="27"/>
      <c r="G22" s="27"/>
      <c r="H22" s="27"/>
      <c r="I22" s="27"/>
      <c r="J22" s="27"/>
      <c r="K22" s="126"/>
      <c r="L22" s="27"/>
      <c r="M22" s="27"/>
      <c r="N22" s="27"/>
      <c r="O22" s="27"/>
      <c r="V22" s="28"/>
    </row>
    <row r="23" spans="1:22" ht="15" x14ac:dyDescent="0.25">
      <c r="A23" s="125"/>
      <c r="B23" s="27"/>
      <c r="C23" s="27"/>
      <c r="D23" s="27"/>
      <c r="E23" s="27"/>
      <c r="F23" s="27"/>
      <c r="G23" s="27"/>
      <c r="H23" s="27"/>
      <c r="I23" s="27"/>
      <c r="J23" s="27"/>
      <c r="K23" s="126"/>
      <c r="L23" s="27"/>
      <c r="M23" s="27"/>
      <c r="N23" s="27"/>
      <c r="O23" s="27"/>
      <c r="V23" s="28"/>
    </row>
    <row r="24" spans="1:22" ht="15" x14ac:dyDescent="0.25">
      <c r="A24" s="125"/>
      <c r="B24" s="27"/>
      <c r="C24" s="27"/>
      <c r="D24" s="27"/>
      <c r="E24" s="27"/>
      <c r="F24" s="27"/>
      <c r="G24" s="27"/>
      <c r="H24" s="27"/>
      <c r="I24" s="27"/>
      <c r="J24" s="27"/>
      <c r="K24" s="126"/>
      <c r="L24" s="27"/>
      <c r="M24" s="27"/>
      <c r="N24" s="27"/>
      <c r="O24" s="27"/>
      <c r="V24" s="28"/>
    </row>
    <row r="25" spans="1:22" ht="15" x14ac:dyDescent="0.25">
      <c r="A25" s="125"/>
      <c r="B25" s="27"/>
      <c r="C25" s="27"/>
      <c r="D25" s="27"/>
      <c r="E25" s="27"/>
      <c r="F25" s="27"/>
      <c r="G25" s="27"/>
      <c r="H25" s="27"/>
      <c r="I25" s="27"/>
      <c r="J25" s="27"/>
      <c r="K25" s="126"/>
      <c r="L25" s="27"/>
      <c r="M25" s="27"/>
      <c r="N25" s="27"/>
      <c r="O25" s="27"/>
      <c r="V25" s="28"/>
    </row>
    <row r="26" spans="1:22" ht="15" x14ac:dyDescent="0.25">
      <c r="A26" s="125"/>
      <c r="B26" s="27"/>
      <c r="C26" s="27"/>
      <c r="D26" s="27"/>
      <c r="E26" s="27"/>
      <c r="F26" s="27"/>
      <c r="G26" s="27"/>
      <c r="H26" s="27"/>
      <c r="I26" s="27"/>
      <c r="J26" s="27"/>
      <c r="K26" s="126"/>
      <c r="L26" s="27"/>
      <c r="M26" s="27"/>
      <c r="N26" s="27"/>
      <c r="O26" s="27"/>
      <c r="V26" s="28"/>
    </row>
    <row r="27" spans="1:22" ht="15" x14ac:dyDescent="0.25">
      <c r="A27" s="125"/>
      <c r="B27" s="27"/>
      <c r="C27" s="27"/>
      <c r="D27" s="27"/>
      <c r="E27" s="27"/>
      <c r="F27" s="27"/>
      <c r="G27" s="27"/>
      <c r="H27" s="27"/>
      <c r="I27" s="27"/>
      <c r="J27" s="27"/>
      <c r="K27" s="126"/>
      <c r="L27" s="27"/>
      <c r="M27" s="27"/>
      <c r="N27" s="27"/>
      <c r="O27" s="27"/>
      <c r="V27" s="28"/>
    </row>
    <row r="28" spans="1:22" ht="15" x14ac:dyDescent="0.25"/>
    <row r="29" spans="1:22" ht="15" x14ac:dyDescent="0.25"/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4" type="noConversion"/>
  <conditionalFormatting sqref="I13:I27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3">
    <dataValidation type="list" allowBlank="1" showInputMessage="1" sqref="I1" xr:uid="{247CD28C-E434-4B8B-BA8E-BA3C6FA30DA7}">
      <formula1>dd_econ</formula1>
    </dataValidation>
    <dataValidation type="custom" allowBlank="1" showInputMessage="1" showErrorMessage="1" errorTitle="Out of range" error="US_addon + RlvLvl cannot exceed 90" promptTitle="US ECON EVENT" prompt="Additonal relevance level required for US ECON events - on top of ECON Relevance Level" sqref="Q3" xr:uid="{93C724B3-802C-4674-A197-5BFAC6756A04}">
      <formula1>Q2+Q3&lt;90</formula1>
    </dataValidation>
    <dataValidation type="whole" errorStyle="warning" allowBlank="1" showInputMessage="1" showErrorMessage="1" errorTitle="Out of range" error="50~90 only" promptTitle="ECON Event Relevance Level" prompt="Thredshold level to be relevant to include in weekly update" sqref="Q2" xr:uid="{3640EC5F-CBD1-4A2F-AA0A-9A27B47DA365}">
      <formula1>50</formula1>
      <formula2>90</formula2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7"/>
  <sheetViews>
    <sheetView zoomScale="85" zoomScaleNormal="85" workbookViewId="0">
      <selection activeCell="A11" sqref="A11:O23"/>
    </sheetView>
  </sheetViews>
  <sheetFormatPr defaultColWidth="8.88671875" defaultRowHeight="15" x14ac:dyDescent="0.25"/>
  <cols>
    <col min="1" max="1" width="10.44140625" style="25" bestFit="1" customWidth="1"/>
    <col min="2" max="2" width="8.5546875" style="25" bestFit="1" customWidth="1"/>
    <col min="3" max="3" width="25.109375" style="25" bestFit="1" customWidth="1"/>
    <col min="4" max="4" width="12.33203125" style="25" customWidth="1"/>
    <col min="5" max="5" width="8.33203125" style="25" bestFit="1" customWidth="1"/>
    <col min="6" max="6" width="8" style="25" bestFit="1" customWidth="1"/>
    <col min="7" max="7" width="7.44140625" style="25" bestFit="1" customWidth="1"/>
    <col min="8" max="8" width="9.109375" style="25" bestFit="1" customWidth="1"/>
    <col min="9" max="9" width="11" style="25" bestFit="1" customWidth="1" collapsed="1"/>
    <col min="10" max="10" width="15.5546875" style="25" bestFit="1" customWidth="1"/>
    <col min="11" max="11" width="10.77734375" style="25" bestFit="1" customWidth="1"/>
    <col min="12" max="12" width="7.33203125" style="25" bestFit="1" customWidth="1"/>
    <col min="13" max="13" width="6.109375" style="25" bestFit="1" customWidth="1"/>
    <col min="14" max="14" width="7.77734375" style="25" bestFit="1" customWidth="1"/>
    <col min="15" max="15" width="28.5546875" style="25" bestFit="1" customWidth="1" collapsed="1"/>
    <col min="16" max="16" width="6.5546875" style="25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x14ac:dyDescent="0.25">
      <c r="A1" s="24" t="s">
        <v>162</v>
      </c>
      <c r="H1" s="59" t="s">
        <v>165</v>
      </c>
    </row>
    <row r="2" spans="1:22" x14ac:dyDescent="0.25">
      <c r="B2" s="26" t="s">
        <v>86</v>
      </c>
      <c r="C2" s="26" t="s">
        <v>165</v>
      </c>
      <c r="D2" s="26" t="s">
        <v>168</v>
      </c>
      <c r="E2" s="26" t="s">
        <v>156</v>
      </c>
      <c r="F2" s="26" t="s">
        <v>157</v>
      </c>
      <c r="V2" s="28"/>
    </row>
    <row r="3" spans="1:22" x14ac:dyDescent="0.25">
      <c r="B3" s="26"/>
      <c r="D3" s="39"/>
      <c r="E3" s="30"/>
      <c r="F3" s="30"/>
      <c r="V3" s="33"/>
    </row>
    <row r="4" spans="1:22" x14ac:dyDescent="0.25">
      <c r="B4" s="26"/>
      <c r="D4" s="39"/>
      <c r="E4" s="30"/>
      <c r="F4" s="30"/>
      <c r="V4" s="33"/>
    </row>
    <row r="5" spans="1:22" x14ac:dyDescent="0.25">
      <c r="B5" s="26"/>
      <c r="D5" s="39"/>
      <c r="E5" s="30"/>
      <c r="F5" s="30"/>
      <c r="V5" s="33"/>
    </row>
    <row r="6" spans="1:22" x14ac:dyDescent="0.25">
      <c r="B6" s="26"/>
      <c r="D6" s="39"/>
      <c r="E6" s="30"/>
      <c r="F6" s="30"/>
      <c r="V6" s="33"/>
    </row>
    <row r="7" spans="1:22" x14ac:dyDescent="0.25">
      <c r="B7" s="26"/>
      <c r="D7" s="39"/>
      <c r="E7" s="30"/>
      <c r="F7" s="30"/>
      <c r="V7" s="33"/>
    </row>
    <row r="8" spans="1:22" x14ac:dyDescent="0.25">
      <c r="B8" s="26"/>
      <c r="D8" s="39"/>
      <c r="E8" s="30"/>
      <c r="F8" s="30"/>
      <c r="V8" s="33"/>
    </row>
    <row r="9" spans="1:22" x14ac:dyDescent="0.25">
      <c r="Q9" s="28"/>
      <c r="R9" s="28"/>
      <c r="S9" s="28"/>
      <c r="T9" s="28"/>
      <c r="U9" s="28"/>
      <c r="V9" s="28"/>
    </row>
    <row r="10" spans="1:22" x14ac:dyDescent="0.25">
      <c r="A10" s="27" t="s">
        <v>122</v>
      </c>
      <c r="B10" s="27" t="s">
        <v>159</v>
      </c>
      <c r="C10" s="27" t="s">
        <v>123</v>
      </c>
      <c r="D10" s="27" t="s">
        <v>160</v>
      </c>
      <c r="E10" s="27" t="s">
        <v>124</v>
      </c>
      <c r="F10" s="27" t="s">
        <v>125</v>
      </c>
      <c r="G10" s="27" t="s">
        <v>126</v>
      </c>
      <c r="H10" s="27" t="s">
        <v>127</v>
      </c>
      <c r="I10" s="27" t="s">
        <v>128</v>
      </c>
      <c r="J10" s="27" t="s">
        <v>129</v>
      </c>
      <c r="K10" s="27" t="s">
        <v>130</v>
      </c>
      <c r="L10" s="27" t="s">
        <v>161</v>
      </c>
      <c r="M10" s="27" t="s">
        <v>163</v>
      </c>
      <c r="N10" s="27" t="s">
        <v>164</v>
      </c>
      <c r="O10" s="27" t="s">
        <v>165</v>
      </c>
      <c r="Q10" s="28"/>
      <c r="R10" s="28"/>
      <c r="S10" s="28"/>
      <c r="T10" s="28"/>
      <c r="U10" s="28"/>
      <c r="V10" s="28"/>
    </row>
    <row r="11" spans="1:22" x14ac:dyDescent="0.25">
      <c r="A11" s="37"/>
      <c r="K11" s="35"/>
      <c r="Q11" s="28"/>
      <c r="R11" s="28"/>
      <c r="S11" s="28"/>
      <c r="T11" s="28"/>
      <c r="U11" s="28"/>
      <c r="V11" s="28"/>
    </row>
    <row r="12" spans="1:22" x14ac:dyDescent="0.25">
      <c r="A12" s="37"/>
      <c r="K12" s="35"/>
      <c r="Q12" s="28"/>
      <c r="R12" s="28"/>
      <c r="S12" s="28"/>
      <c r="T12" s="28"/>
      <c r="U12" s="28"/>
      <c r="V12" s="28"/>
    </row>
    <row r="13" spans="1:22" x14ac:dyDescent="0.25">
      <c r="A13" s="37"/>
      <c r="K13" s="35"/>
      <c r="Q13" s="28"/>
      <c r="R13" s="28"/>
      <c r="S13" s="28"/>
      <c r="T13" s="28"/>
      <c r="U13" s="28"/>
      <c r="V13" s="28"/>
    </row>
    <row r="14" spans="1:22" x14ac:dyDescent="0.25">
      <c r="A14" s="37"/>
      <c r="K14" s="35"/>
      <c r="Q14" s="28"/>
      <c r="R14" s="28"/>
      <c r="S14" s="28"/>
      <c r="T14" s="28"/>
      <c r="U14" s="28"/>
      <c r="V14" s="28"/>
    </row>
    <row r="15" spans="1:22" x14ac:dyDescent="0.25">
      <c r="A15" s="37"/>
      <c r="K15" s="35"/>
      <c r="Q15" s="28"/>
      <c r="R15" s="28"/>
      <c r="S15" s="28"/>
      <c r="T15" s="28"/>
      <c r="U15" s="28"/>
      <c r="V15" s="28"/>
    </row>
    <row r="16" spans="1:22" x14ac:dyDescent="0.25">
      <c r="A16" s="37"/>
      <c r="K16" s="35"/>
      <c r="Q16" s="28"/>
      <c r="R16" s="28"/>
      <c r="S16" s="28"/>
      <c r="T16" s="28"/>
      <c r="U16" s="28"/>
      <c r="V16" s="28"/>
    </row>
    <row r="17" spans="1:22" x14ac:dyDescent="0.25">
      <c r="A17" s="37"/>
      <c r="K17" s="35"/>
      <c r="Q17" s="28"/>
      <c r="R17" s="28"/>
      <c r="S17" s="28"/>
      <c r="T17" s="28"/>
      <c r="U17" s="28"/>
      <c r="V17" s="28"/>
    </row>
    <row r="18" spans="1:22" x14ac:dyDescent="0.25">
      <c r="A18" s="37"/>
      <c r="K18" s="35"/>
    </row>
    <row r="19" spans="1:22" x14ac:dyDescent="0.25">
      <c r="A19" s="37"/>
      <c r="K19" s="35"/>
      <c r="Q19" s="28"/>
      <c r="R19" s="28"/>
      <c r="S19" s="28"/>
      <c r="T19" s="28"/>
      <c r="U19" s="28"/>
      <c r="V19" s="28"/>
    </row>
    <row r="20" spans="1:22" x14ac:dyDescent="0.25">
      <c r="A20" s="37"/>
      <c r="K20" s="35"/>
      <c r="V20" s="28"/>
    </row>
    <row r="21" spans="1:22" x14ac:dyDescent="0.25">
      <c r="A21" s="37"/>
      <c r="K21" s="35"/>
      <c r="V21" s="28"/>
    </row>
    <row r="22" spans="1:22" x14ac:dyDescent="0.25">
      <c r="A22" s="37"/>
      <c r="K22" s="35"/>
      <c r="V22" s="28"/>
    </row>
    <row r="23" spans="1:22" x14ac:dyDescent="0.25">
      <c r="A23" s="37"/>
      <c r="K23" s="35"/>
      <c r="V23" s="28"/>
    </row>
    <row r="24" spans="1:22" x14ac:dyDescent="0.25">
      <c r="Q24" s="28"/>
      <c r="R24" s="28"/>
      <c r="S24" s="28"/>
      <c r="T24" s="28"/>
      <c r="U24" s="28"/>
      <c r="V24" s="28"/>
    </row>
    <row r="25" spans="1:22" x14ac:dyDescent="0.25">
      <c r="A25" s="37"/>
      <c r="K25" s="35"/>
      <c r="Q25" s="28"/>
      <c r="R25" s="28"/>
      <c r="S25" s="36"/>
      <c r="T25" s="33"/>
      <c r="U25" s="33"/>
      <c r="V25" s="28"/>
    </row>
    <row r="26" spans="1:22" x14ac:dyDescent="0.25">
      <c r="A26" s="37"/>
      <c r="K26" s="35"/>
      <c r="Q26" s="28"/>
      <c r="R26" s="28"/>
      <c r="S26" s="36"/>
      <c r="T26" s="33"/>
      <c r="U26" s="33"/>
      <c r="V26" s="28"/>
    </row>
    <row r="27" spans="1:22" x14ac:dyDescent="0.25">
      <c r="A27" s="37"/>
      <c r="K27" s="35"/>
      <c r="Q27" s="28"/>
      <c r="R27" s="28"/>
      <c r="S27" s="36"/>
      <c r="T27" s="33"/>
      <c r="U27" s="33"/>
      <c r="V27" s="28"/>
    </row>
    <row r="28" spans="1:22" x14ac:dyDescent="0.25">
      <c r="A28" s="37"/>
      <c r="K28" s="35"/>
      <c r="Q28" s="28"/>
      <c r="R28" s="28"/>
      <c r="S28" s="36"/>
      <c r="T28" s="33"/>
      <c r="U28" s="33"/>
    </row>
    <row r="29" spans="1:22" x14ac:dyDescent="0.25">
      <c r="A29" s="37"/>
      <c r="K29" s="35"/>
      <c r="Q29" s="28"/>
      <c r="R29" s="28"/>
      <c r="S29" s="36"/>
      <c r="T29" s="33"/>
      <c r="U29" s="33"/>
    </row>
    <row r="30" spans="1:22" x14ac:dyDescent="0.25">
      <c r="A30" s="37"/>
      <c r="K30" s="35"/>
      <c r="Q30" s="28"/>
      <c r="R30" s="28"/>
      <c r="S30" s="36"/>
      <c r="T30" s="33"/>
      <c r="U30" s="33"/>
    </row>
    <row r="31" spans="1:22" x14ac:dyDescent="0.25">
      <c r="A31" s="37"/>
      <c r="K31" s="35"/>
    </row>
    <row r="32" spans="1:22" x14ac:dyDescent="0.25">
      <c r="A32" s="37"/>
      <c r="K32" s="35"/>
    </row>
    <row r="33" spans="1:11" x14ac:dyDescent="0.25">
      <c r="A33" s="37"/>
      <c r="K33" s="35"/>
    </row>
    <row r="34" spans="1:11" x14ac:dyDescent="0.25">
      <c r="A34" s="37"/>
      <c r="K34" s="35"/>
    </row>
    <row r="35" spans="1:11" x14ac:dyDescent="0.25">
      <c r="A35" s="37"/>
      <c r="K35" s="35"/>
    </row>
    <row r="36" spans="1:11" x14ac:dyDescent="0.25">
      <c r="A36" s="37"/>
      <c r="K36" s="35"/>
    </row>
    <row r="37" spans="1:11" x14ac:dyDescent="0.25">
      <c r="A37" s="37"/>
      <c r="K37" s="35"/>
    </row>
  </sheetData>
  <phoneticPr fontId="33" type="noConversion"/>
  <conditionalFormatting sqref="I25:I37 I11:I23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I25:I37 I11:I23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zoomScale="85" zoomScaleNormal="85" workbookViewId="0">
      <selection activeCell="F5" sqref="F5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73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67">
        <v>45167</v>
      </c>
      <c r="H1" s="64"/>
      <c r="I1" s="56" t="s">
        <v>317</v>
      </c>
      <c r="J1" s="56" t="s">
        <v>53</v>
      </c>
      <c r="K1" s="56" t="s">
        <v>65</v>
      </c>
      <c r="L1" s="56" t="s">
        <v>75</v>
      </c>
    </row>
    <row r="2" spans="1:125" ht="36" x14ac:dyDescent="0.55000000000000004">
      <c r="A2" s="81" t="s">
        <v>328</v>
      </c>
      <c r="D2" s="74"/>
      <c r="E2" s="66"/>
      <c r="F2" s="66"/>
      <c r="M2" s="66"/>
      <c r="N2" s="64"/>
      <c r="O2" s="64"/>
      <c r="P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</row>
    <row r="4" spans="1:125" ht="27.75" customHeight="1" x14ac:dyDescent="0.45">
      <c r="B4" s="78" t="s">
        <v>327</v>
      </c>
      <c r="D4" s="74"/>
      <c r="E4" s="66"/>
      <c r="F4" s="66"/>
      <c r="G4" s="66"/>
      <c r="H4" s="66"/>
      <c r="I4" s="66"/>
      <c r="J4" s="66"/>
      <c r="K4" s="66"/>
      <c r="L4" s="66"/>
      <c r="M4" s="66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</row>
    <row r="5" spans="1:125" ht="27.75" customHeight="1" x14ac:dyDescent="0.45">
      <c r="B5" s="77" t="s">
        <v>319</v>
      </c>
      <c r="C5" s="77" t="s">
        <v>320</v>
      </c>
      <c r="D5" s="77" t="s">
        <v>325</v>
      </c>
      <c r="E5" s="66"/>
      <c r="F5" s="66"/>
      <c r="G5" s="66"/>
      <c r="H5" s="66"/>
      <c r="I5" s="66"/>
      <c r="J5" s="66"/>
      <c r="K5" s="66"/>
      <c r="L5" s="66"/>
      <c r="M5" s="66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</row>
    <row r="6" spans="1:125" ht="27.75" customHeight="1" x14ac:dyDescent="0.45">
      <c r="B6" s="72"/>
      <c r="C6" s="72" t="s">
        <v>459</v>
      </c>
      <c r="D6" s="72" t="s">
        <v>326</v>
      </c>
      <c r="E6" s="66"/>
      <c r="F6" s="66"/>
      <c r="G6" s="66"/>
      <c r="H6" s="66"/>
      <c r="I6" s="66"/>
      <c r="J6" s="66"/>
      <c r="K6" s="66"/>
      <c r="L6" s="66"/>
      <c r="M6" s="66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</row>
    <row r="8" spans="1:125" ht="27.75" customHeight="1" x14ac:dyDescent="0.45">
      <c r="B8" s="80" t="s">
        <v>323</v>
      </c>
      <c r="C8" s="70"/>
      <c r="D8" s="75"/>
      <c r="E8" s="70"/>
      <c r="F8" s="70"/>
      <c r="G8" s="70"/>
      <c r="H8" s="70"/>
      <c r="I8" s="70"/>
      <c r="J8" s="70"/>
      <c r="K8" s="70"/>
      <c r="L8" s="70"/>
      <c r="M8" s="70"/>
      <c r="N8" s="70"/>
      <c r="O8" s="64"/>
      <c r="P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</row>
    <row r="9" spans="1:125" x14ac:dyDescent="0.25">
      <c r="B9" t="s">
        <v>48</v>
      </c>
      <c r="C9" t="s">
        <v>166</v>
      </c>
      <c r="D9" s="71" t="s">
        <v>49</v>
      </c>
      <c r="E9" t="s">
        <v>135</v>
      </c>
      <c r="F9" t="s">
        <v>64</v>
      </c>
      <c r="G9" t="s">
        <v>57</v>
      </c>
      <c r="H9" t="s">
        <v>87</v>
      </c>
      <c r="I9" t="s">
        <v>120</v>
      </c>
      <c r="J9" t="s">
        <v>88</v>
      </c>
      <c r="K9" t="s">
        <v>167</v>
      </c>
    </row>
    <row r="10" spans="1:125" x14ac:dyDescent="0.25">
      <c r="B10" t="s">
        <v>470</v>
      </c>
      <c r="C10" t="s">
        <v>473</v>
      </c>
      <c r="D10" s="71">
        <v>45191</v>
      </c>
      <c r="E10" t="s">
        <v>83</v>
      </c>
      <c r="F10" t="s">
        <v>85</v>
      </c>
      <c r="G10">
        <v>1</v>
      </c>
      <c r="H10" t="s">
        <v>151</v>
      </c>
      <c r="I10" t="s">
        <v>471</v>
      </c>
      <c r="J10" t="s">
        <v>7</v>
      </c>
      <c r="K10" t="s">
        <v>7</v>
      </c>
    </row>
    <row r="11" spans="1:125" x14ac:dyDescent="0.25">
      <c r="B11" t="s">
        <v>461</v>
      </c>
      <c r="C11" t="s">
        <v>474</v>
      </c>
      <c r="D11">
        <v>45190</v>
      </c>
      <c r="E11" t="s">
        <v>83</v>
      </c>
      <c r="F11" t="s">
        <v>106</v>
      </c>
      <c r="G11">
        <v>10.65</v>
      </c>
      <c r="H11" t="s">
        <v>151</v>
      </c>
      <c r="I11" t="s">
        <v>463</v>
      </c>
      <c r="J11" t="s">
        <v>7</v>
      </c>
      <c r="K11" t="s">
        <v>7</v>
      </c>
    </row>
    <row r="12" spans="1:125" x14ac:dyDescent="0.25">
      <c r="B12" t="s">
        <v>462</v>
      </c>
      <c r="C12" t="s">
        <v>468</v>
      </c>
      <c r="D12">
        <v>45189</v>
      </c>
      <c r="E12" t="s">
        <v>472</v>
      </c>
      <c r="F12" t="s">
        <v>106</v>
      </c>
      <c r="G12">
        <v>18.600000000000001</v>
      </c>
      <c r="H12" t="s">
        <v>151</v>
      </c>
      <c r="I12" t="s">
        <v>467</v>
      </c>
      <c r="J12" t="s">
        <v>466</v>
      </c>
      <c r="K12">
        <v>10</v>
      </c>
    </row>
    <row r="13" spans="1:125" x14ac:dyDescent="0.25">
      <c r="B13" t="s">
        <v>460</v>
      </c>
      <c r="C13" t="s">
        <v>469</v>
      </c>
      <c r="D13">
        <v>45189</v>
      </c>
      <c r="E13" t="s">
        <v>83</v>
      </c>
      <c r="F13" t="s">
        <v>106</v>
      </c>
      <c r="G13">
        <v>7.3</v>
      </c>
      <c r="H13" t="s">
        <v>151</v>
      </c>
      <c r="I13" t="s">
        <v>464</v>
      </c>
      <c r="J13" t="s">
        <v>465</v>
      </c>
      <c r="K13">
        <v>6</v>
      </c>
    </row>
    <row r="14" spans="1:125" s="60" customFormat="1" ht="35.25" customHeight="1" x14ac:dyDescent="0.25">
      <c r="B14" t="s">
        <v>454</v>
      </c>
      <c r="C14" t="s">
        <v>455</v>
      </c>
      <c r="D14">
        <v>45183</v>
      </c>
      <c r="E14" t="s">
        <v>83</v>
      </c>
      <c r="F14" t="s">
        <v>106</v>
      </c>
      <c r="G14">
        <v>2.6</v>
      </c>
      <c r="H14" t="s">
        <v>151</v>
      </c>
      <c r="I14" t="s">
        <v>456</v>
      </c>
      <c r="J14" t="s">
        <v>7</v>
      </c>
      <c r="K14" t="s">
        <v>7</v>
      </c>
    </row>
    <row r="15" spans="1:125" ht="27.75" x14ac:dyDescent="0.45">
      <c r="B15" t="s">
        <v>475</v>
      </c>
      <c r="C15" t="s">
        <v>481</v>
      </c>
      <c r="D15">
        <v>45182</v>
      </c>
      <c r="E15" t="s">
        <v>83</v>
      </c>
      <c r="F15" t="s">
        <v>267</v>
      </c>
      <c r="G15">
        <v>76</v>
      </c>
      <c r="H15" t="s">
        <v>151</v>
      </c>
      <c r="I15" t="s">
        <v>482</v>
      </c>
      <c r="J15" t="s">
        <v>483</v>
      </c>
      <c r="K15">
        <v>0</v>
      </c>
      <c r="L15" s="65"/>
      <c r="M15" s="65"/>
    </row>
    <row r="16" spans="1:125" x14ac:dyDescent="0.25">
      <c r="B16" t="s">
        <v>477</v>
      </c>
      <c r="C16" t="s">
        <v>484</v>
      </c>
      <c r="D16">
        <v>45182</v>
      </c>
      <c r="E16" t="s">
        <v>83</v>
      </c>
      <c r="F16" t="s">
        <v>106</v>
      </c>
      <c r="G16">
        <v>5.8</v>
      </c>
      <c r="H16" t="s">
        <v>151</v>
      </c>
      <c r="I16" t="s">
        <v>485</v>
      </c>
      <c r="J16" t="s">
        <v>486</v>
      </c>
      <c r="K16">
        <v>0</v>
      </c>
    </row>
    <row r="17" spans="2:13" x14ac:dyDescent="0.25">
      <c r="B17" t="s">
        <v>476</v>
      </c>
      <c r="C17" t="s">
        <v>487</v>
      </c>
      <c r="D17">
        <v>45182</v>
      </c>
      <c r="E17" t="s">
        <v>458</v>
      </c>
      <c r="F17" t="s">
        <v>85</v>
      </c>
      <c r="G17">
        <v>5.5</v>
      </c>
      <c r="H17" t="s">
        <v>151</v>
      </c>
      <c r="I17" t="s">
        <v>488</v>
      </c>
      <c r="J17" t="s">
        <v>489</v>
      </c>
      <c r="K17">
        <v>47</v>
      </c>
    </row>
    <row r="18" spans="2:13" x14ac:dyDescent="0.25">
      <c r="B18" t="s">
        <v>478</v>
      </c>
      <c r="C18" t="s">
        <v>490</v>
      </c>
      <c r="D18">
        <v>45180</v>
      </c>
      <c r="E18" t="s">
        <v>479</v>
      </c>
      <c r="F18" t="s">
        <v>85</v>
      </c>
      <c r="G18">
        <v>5</v>
      </c>
      <c r="H18" t="s">
        <v>151</v>
      </c>
      <c r="I18" t="s">
        <v>491</v>
      </c>
      <c r="J18" t="s">
        <v>492</v>
      </c>
      <c r="K18">
        <v>45</v>
      </c>
    </row>
    <row r="19" spans="2:13" ht="27.75" x14ac:dyDescent="0.45">
      <c r="B19" t="s">
        <v>480</v>
      </c>
      <c r="C19" t="s">
        <v>493</v>
      </c>
      <c r="D19">
        <v>45180</v>
      </c>
      <c r="E19" t="s">
        <v>479</v>
      </c>
      <c r="F19" t="s">
        <v>106</v>
      </c>
      <c r="G19">
        <v>20</v>
      </c>
      <c r="H19" t="s">
        <v>151</v>
      </c>
      <c r="I19" t="s">
        <v>494</v>
      </c>
      <c r="J19" t="s">
        <v>495</v>
      </c>
      <c r="K19">
        <v>32</v>
      </c>
      <c r="L19" s="66"/>
      <c r="M19" s="66"/>
    </row>
    <row r="21" spans="2:13" ht="27.75" x14ac:dyDescent="0.45">
      <c r="B21" s="79" t="s">
        <v>322</v>
      </c>
      <c r="C21" s="65"/>
      <c r="D21" s="76"/>
      <c r="E21" s="65"/>
      <c r="F21" s="65"/>
      <c r="G21" s="65"/>
      <c r="H21" s="65"/>
      <c r="I21" s="65"/>
      <c r="J21" s="65"/>
      <c r="K21" s="65"/>
    </row>
    <row r="22" spans="2:13" x14ac:dyDescent="0.25">
      <c r="B22" t="s">
        <v>315</v>
      </c>
      <c r="C22" t="s">
        <v>313</v>
      </c>
      <c r="D22" s="71" t="s">
        <v>141</v>
      </c>
      <c r="E22" t="s">
        <v>316</v>
      </c>
      <c r="F22" t="s">
        <v>49</v>
      </c>
      <c r="G22" t="s">
        <v>57</v>
      </c>
      <c r="H22" t="s">
        <v>317</v>
      </c>
      <c r="I22" t="s">
        <v>53</v>
      </c>
      <c r="J22" t="s">
        <v>408</v>
      </c>
      <c r="K22" t="s">
        <v>409</v>
      </c>
    </row>
    <row r="23" spans="2:13" ht="18.75" x14ac:dyDescent="0.25">
      <c r="B23" s="94" t="s">
        <v>420</v>
      </c>
      <c r="C23" s="94" t="s">
        <v>314</v>
      </c>
      <c r="D23" s="95" t="s">
        <v>257</v>
      </c>
      <c r="E23" s="94"/>
      <c r="F23" s="96">
        <v>45177</v>
      </c>
      <c r="G23" s="94">
        <v>1.22</v>
      </c>
      <c r="H23" s="94" t="s">
        <v>296</v>
      </c>
      <c r="I23" s="97">
        <v>6.2E-2</v>
      </c>
      <c r="J23" s="98" t="s">
        <v>239</v>
      </c>
      <c r="K23" s="98" t="s">
        <v>401</v>
      </c>
    </row>
    <row r="25" spans="2:13" ht="27.75" x14ac:dyDescent="0.45">
      <c r="B25" s="80" t="s">
        <v>324</v>
      </c>
      <c r="C25" s="66"/>
      <c r="D25" s="74"/>
      <c r="E25" s="66"/>
      <c r="F25" s="80" t="s">
        <v>329</v>
      </c>
      <c r="G25" s="66"/>
      <c r="H25" s="66"/>
      <c r="I25" s="66"/>
      <c r="J25" s="66"/>
      <c r="K25" s="66"/>
    </row>
    <row r="26" spans="2:13" x14ac:dyDescent="0.25">
      <c r="B26" t="s">
        <v>310</v>
      </c>
      <c r="C26" t="s">
        <v>312</v>
      </c>
    </row>
    <row r="27" spans="2:13" x14ac:dyDescent="0.25">
      <c r="B27" t="s">
        <v>315</v>
      </c>
      <c r="C27" s="44" t="s">
        <v>420</v>
      </c>
    </row>
    <row r="28" spans="2:13" x14ac:dyDescent="0.25">
      <c r="B28" t="s">
        <v>428</v>
      </c>
      <c r="C28" s="44" t="s">
        <v>314</v>
      </c>
    </row>
    <row r="29" spans="2:13" x14ac:dyDescent="0.25">
      <c r="B29" t="s">
        <v>141</v>
      </c>
      <c r="C29" s="44" t="s">
        <v>257</v>
      </c>
    </row>
    <row r="30" spans="2:13" x14ac:dyDescent="0.25">
      <c r="B30" t="s">
        <v>49</v>
      </c>
      <c r="C30" s="44">
        <v>45177</v>
      </c>
    </row>
    <row r="31" spans="2:13" x14ac:dyDescent="0.25">
      <c r="B31" t="s">
        <v>57</v>
      </c>
      <c r="C31" s="44">
        <v>1.22</v>
      </c>
    </row>
    <row r="32" spans="2:13" x14ac:dyDescent="0.25">
      <c r="B32" t="s">
        <v>317</v>
      </c>
      <c r="C32" s="44" t="s">
        <v>293</v>
      </c>
    </row>
    <row r="33" spans="2:3" x14ac:dyDescent="0.25">
      <c r="B33" t="s">
        <v>53</v>
      </c>
      <c r="C33" s="44" t="s">
        <v>321</v>
      </c>
    </row>
    <row r="34" spans="2:3" x14ac:dyDescent="0.25">
      <c r="B34" t="s">
        <v>65</v>
      </c>
      <c r="C34" s="44" t="s">
        <v>399</v>
      </c>
    </row>
    <row r="35" spans="2:3" x14ac:dyDescent="0.25">
      <c r="B35" t="s">
        <v>75</v>
      </c>
      <c r="C35" s="44" t="s">
        <v>403</v>
      </c>
    </row>
    <row r="36" spans="2:3" x14ac:dyDescent="0.25">
      <c r="B36" t="s">
        <v>94</v>
      </c>
      <c r="C36" s="44" t="s">
        <v>422</v>
      </c>
    </row>
    <row r="37" spans="2:3" x14ac:dyDescent="0.25">
      <c r="B37" t="s">
        <v>48</v>
      </c>
      <c r="C37" s="44" t="s">
        <v>420</v>
      </c>
    </row>
    <row r="38" spans="2:3" x14ac:dyDescent="0.25">
      <c r="B38" t="s">
        <v>245</v>
      </c>
      <c r="C38" s="44" t="s">
        <v>83</v>
      </c>
    </row>
    <row r="39" spans="2:3" x14ac:dyDescent="0.25">
      <c r="B39" t="s">
        <v>246</v>
      </c>
      <c r="C39" s="44" t="s">
        <v>83</v>
      </c>
    </row>
    <row r="40" spans="2:3" x14ac:dyDescent="0.25">
      <c r="B40" t="s">
        <v>51</v>
      </c>
      <c r="C40" s="44" t="s">
        <v>423</v>
      </c>
    </row>
    <row r="41" spans="2:3" x14ac:dyDescent="0.25">
      <c r="B41" t="s">
        <v>64</v>
      </c>
      <c r="C41" s="44" t="s">
        <v>85</v>
      </c>
    </row>
    <row r="42" spans="2:3" x14ac:dyDescent="0.25">
      <c r="B42" t="s">
        <v>87</v>
      </c>
      <c r="C42" s="44" t="s">
        <v>151</v>
      </c>
    </row>
    <row r="43" spans="2:3" x14ac:dyDescent="0.25">
      <c r="B43" t="s">
        <v>169</v>
      </c>
      <c r="C43" s="44" t="s">
        <v>115</v>
      </c>
    </row>
    <row r="44" spans="2:3" x14ac:dyDescent="0.25">
      <c r="B44" t="s">
        <v>90</v>
      </c>
      <c r="C44" s="44" t="s">
        <v>37</v>
      </c>
    </row>
    <row r="45" spans="2:3" x14ac:dyDescent="0.25">
      <c r="B45" t="s">
        <v>91</v>
      </c>
      <c r="C45" s="44" t="s">
        <v>268</v>
      </c>
    </row>
    <row r="46" spans="2:3" x14ac:dyDescent="0.25">
      <c r="B46" t="s">
        <v>81</v>
      </c>
      <c r="C46" s="44" t="s">
        <v>131</v>
      </c>
    </row>
    <row r="47" spans="2:3" x14ac:dyDescent="0.25">
      <c r="B47" t="s">
        <v>67</v>
      </c>
      <c r="C47" s="44">
        <v>44811</v>
      </c>
    </row>
    <row r="48" spans="2:3" x14ac:dyDescent="0.25">
      <c r="B48" t="s">
        <v>70</v>
      </c>
      <c r="C48" s="44">
        <v>44992</v>
      </c>
    </row>
    <row r="49" spans="2:3" x14ac:dyDescent="0.25">
      <c r="B49" t="s">
        <v>52</v>
      </c>
      <c r="C49" s="44">
        <v>45907</v>
      </c>
    </row>
    <row r="50" spans="2:3" x14ac:dyDescent="0.25">
      <c r="B50" t="s">
        <v>174</v>
      </c>
      <c r="C50" s="44">
        <v>2</v>
      </c>
    </row>
    <row r="51" spans="2:3" x14ac:dyDescent="0.25">
      <c r="B51" t="s">
        <v>175</v>
      </c>
      <c r="C51" s="44">
        <v>13.8</v>
      </c>
    </row>
    <row r="52" spans="2:3" x14ac:dyDescent="0.25">
      <c r="B52" t="s">
        <v>212</v>
      </c>
      <c r="C52" s="44">
        <v>15.7</v>
      </c>
    </row>
    <row r="53" spans="2:3" x14ac:dyDescent="0.25">
      <c r="B53" t="s">
        <v>66</v>
      </c>
      <c r="C53" s="44" t="s">
        <v>424</v>
      </c>
    </row>
    <row r="54" spans="2:3" x14ac:dyDescent="0.25">
      <c r="B54" t="s">
        <v>236</v>
      </c>
      <c r="C54" s="44" t="s">
        <v>255</v>
      </c>
    </row>
    <row r="55" spans="2:3" ht="45" x14ac:dyDescent="0.25">
      <c r="B55" t="s">
        <v>71</v>
      </c>
      <c r="C55" s="44" t="s">
        <v>425</v>
      </c>
    </row>
    <row r="56" spans="2:3" x14ac:dyDescent="0.25">
      <c r="B56" t="s">
        <v>226</v>
      </c>
      <c r="C56" s="44" t="s">
        <v>427</v>
      </c>
    </row>
    <row r="57" spans="2:3" x14ac:dyDescent="0.25">
      <c r="B57" t="s">
        <v>200</v>
      </c>
      <c r="C57" s="44" t="s">
        <v>334</v>
      </c>
    </row>
    <row r="58" spans="2:3" x14ac:dyDescent="0.25">
      <c r="B58" t="s">
        <v>140</v>
      </c>
      <c r="C58" s="44" t="s">
        <v>426</v>
      </c>
    </row>
    <row r="59" spans="2:3" x14ac:dyDescent="0.25">
      <c r="B59" t="s">
        <v>166</v>
      </c>
      <c r="C59" s="44" t="s">
        <v>421</v>
      </c>
    </row>
  </sheetData>
  <phoneticPr fontId="14" type="noConversion"/>
  <conditionalFormatting sqref="B10:J19">
    <cfRule type="expression" dxfId="233" priority="1">
      <formula>ISNUMBER(FIND(#REF!,"【"))</formula>
    </cfRule>
  </conditionalFormatting>
  <conditionalFormatting sqref="K10:K19">
    <cfRule type="expression" dxfId="232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249977111117893"/>
  </sheetPr>
  <dimension ref="A1:R138"/>
  <sheetViews>
    <sheetView topLeftCell="A108" zoomScale="115" zoomScaleNormal="115" workbookViewId="0"/>
  </sheetViews>
  <sheetFormatPr defaultColWidth="8.21875" defaultRowHeight="18" customHeight="1" outlineLevelRow="1" outlineLevelCol="1" x14ac:dyDescent="0.25"/>
  <cols>
    <col min="1" max="1" width="4.5546875" style="17" customWidth="1" outlineLevel="1"/>
    <col min="2" max="2" width="8.109375" style="16" bestFit="1" customWidth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5546875" style="10" bestFit="1" customWidth="1"/>
    <col min="10" max="10" width="10.44140625" style="10" bestFit="1" customWidth="1"/>
    <col min="11" max="11" width="7.44140625" style="10" bestFit="1" customWidth="1"/>
    <col min="12" max="12" width="12.6640625" style="10" bestFit="1" customWidth="1"/>
    <col min="13" max="13" width="16.109375" style="10" bestFit="1" customWidth="1"/>
    <col min="14" max="14" width="13.109375" style="10" bestFit="1" customWidth="1"/>
    <col min="15" max="15" width="18.109375" style="10" bestFit="1" customWidth="1"/>
    <col min="16" max="16" width="12.77734375" style="10" bestFit="1" customWidth="1"/>
    <col min="17" max="17" width="12.77734375" style="10" customWidth="1"/>
    <col min="18" max="18" width="13.44140625" style="10" bestFit="1" customWidth="1"/>
    <col min="19" max="19" width="13.44140625" style="10" customWidth="1"/>
    <col min="20" max="20" width="10.88671875" style="10" bestFit="1" customWidth="1"/>
    <col min="21" max="21" width="10.6640625" style="10" bestFit="1" customWidth="1"/>
    <col min="22" max="22" width="7.88671875" style="10" bestFit="1" customWidth="1"/>
    <col min="23" max="23" width="7.5546875" style="10" bestFit="1" customWidth="1"/>
    <col min="24" max="24" width="20.44140625" style="10" bestFit="1" customWidth="1"/>
    <col min="25" max="25" width="11.88671875" style="10" bestFit="1" customWidth="1"/>
    <col min="26" max="26" width="10.6640625" style="10" bestFit="1" customWidth="1"/>
    <col min="27" max="27" width="8.88671875" style="10" bestFit="1" customWidth="1"/>
    <col min="28" max="28" width="7.109375" style="10" bestFit="1" customWidth="1"/>
    <col min="29" max="29" width="7.88671875" style="10" bestFit="1" customWidth="1"/>
    <col min="30" max="30" width="23.109375" style="10" bestFit="1" customWidth="1"/>
    <col min="31" max="31" width="7.21875" style="10" bestFit="1" customWidth="1"/>
    <col min="32" max="32" width="15.5546875" style="10" bestFit="1" customWidth="1"/>
    <col min="33" max="33" width="15.5546875" style="10" customWidth="1"/>
    <col min="34" max="34" width="8.109375" style="10" bestFit="1" customWidth="1"/>
    <col min="35" max="35" width="9" style="10" bestFit="1" customWidth="1"/>
    <col min="36" max="36" width="7.109375" style="10" bestFit="1" customWidth="1"/>
    <col min="37" max="37" width="10.6640625" style="10" bestFit="1" customWidth="1"/>
    <col min="38" max="38" width="7.109375" style="10" bestFit="1" customWidth="1"/>
    <col min="39" max="39" width="15.21875" style="10" bestFit="1" customWidth="1"/>
    <col min="40" max="40" width="7.109375" style="10" bestFit="1" customWidth="1"/>
    <col min="41" max="41" width="5.77734375" style="10" bestFit="1" customWidth="1"/>
    <col min="42" max="42" width="7.109375" style="10" bestFit="1" customWidth="1"/>
    <col min="43" max="16384" width="8.21875" style="10"/>
  </cols>
  <sheetData>
    <row r="1" spans="1:18" ht="18" customHeight="1" outlineLevel="1" x14ac:dyDescent="0.25">
      <c r="A1" s="127" t="str">
        <f ca="1" xml:space="preserve"> IF(ISNUMBER(FIND("ktkt",CELL("filename"))),"Remote",IF(ISNUMBER(FIND("http",CELL("filename"))),"Remote","Global"))</f>
        <v>Remote</v>
      </c>
      <c r="B1" s="127" t="str">
        <f ca="1">CELL("filename")</f>
        <v>https://d.docs.live.net/6feab00a3385f653/EXE Team/DataHub/SharedM/[2.Dynamic List Generator.xlsm]DOWNLOAD</v>
      </c>
      <c r="C1" s="10"/>
    </row>
    <row r="2" spans="1:18" ht="18" customHeight="1" x14ac:dyDescent="0.25">
      <c r="B2" s="10"/>
      <c r="C2" s="10"/>
    </row>
    <row r="3" spans="1:18" ht="18" customHeight="1" x14ac:dyDescent="0.25">
      <c r="B3" s="10"/>
      <c r="C3" s="10"/>
    </row>
    <row r="4" spans="1:18" ht="18" customHeight="1" x14ac:dyDescent="0.25">
      <c r="B4" s="10"/>
      <c r="C4" s="84" t="s">
        <v>406</v>
      </c>
      <c r="E4" s="84" t="s">
        <v>407</v>
      </c>
      <c r="F4" s="84"/>
      <c r="H4" s="84" t="s">
        <v>394</v>
      </c>
      <c r="L4" s="84" t="s">
        <v>432</v>
      </c>
      <c r="O4" s="84" t="s">
        <v>433</v>
      </c>
      <c r="P4" s="84"/>
      <c r="Q4" s="84" t="s">
        <v>430</v>
      </c>
    </row>
    <row r="5" spans="1:18" ht="18" customHeight="1" x14ac:dyDescent="0.25">
      <c r="A5" s="8"/>
      <c r="C5" s="16"/>
      <c r="D5" s="17"/>
      <c r="H5" s="17"/>
    </row>
    <row r="6" spans="1:18" ht="15" x14ac:dyDescent="0.25">
      <c r="C6" s="82" t="s">
        <v>89</v>
      </c>
      <c r="D6" s="16"/>
      <c r="E6" s="86" t="s">
        <v>404</v>
      </c>
      <c r="F6" s="32" t="s">
        <v>405</v>
      </c>
      <c r="H6" s="32" t="s">
        <v>170</v>
      </c>
      <c r="I6" t="s">
        <v>275</v>
      </c>
      <c r="L6" t="s">
        <v>434</v>
      </c>
      <c r="M6" t="s">
        <v>435</v>
      </c>
      <c r="N6" s="1"/>
      <c r="O6" s="32" t="s">
        <v>431</v>
      </c>
      <c r="P6" s="104"/>
      <c r="Q6" s="32" t="s">
        <v>429</v>
      </c>
      <c r="R6" s="32" t="s">
        <v>310</v>
      </c>
    </row>
    <row r="7" spans="1:18" ht="15" x14ac:dyDescent="0.25">
      <c r="A7" s="9"/>
      <c r="C7" s="82" t="s">
        <v>12</v>
      </c>
      <c r="D7" s="16"/>
      <c r="E7" s="86" t="s">
        <v>237</v>
      </c>
      <c r="F7" s="32" t="s">
        <v>398</v>
      </c>
      <c r="H7" s="32" t="s">
        <v>0</v>
      </c>
      <c r="I7" t="s">
        <v>283</v>
      </c>
      <c r="L7" t="s">
        <v>94</v>
      </c>
      <c r="M7" t="s">
        <v>436</v>
      </c>
      <c r="N7" s="1"/>
      <c r="O7" t="s">
        <v>86</v>
      </c>
      <c r="P7" s="1"/>
      <c r="Q7" t="s">
        <v>120</v>
      </c>
      <c r="R7" t="str">
        <f>DMIRenamed[[#This Row],[DMIRenamed]]&amp;"_DMI"</f>
        <v>票息_DMI</v>
      </c>
    </row>
    <row r="8" spans="1:18" ht="15" x14ac:dyDescent="0.25">
      <c r="C8" s="82" t="s">
        <v>28</v>
      </c>
      <c r="D8" s="16"/>
      <c r="E8" s="86" t="s">
        <v>238</v>
      </c>
      <c r="F8" s="32" t="s">
        <v>400</v>
      </c>
      <c r="H8" s="32" t="s">
        <v>4</v>
      </c>
      <c r="I8" t="s">
        <v>276</v>
      </c>
      <c r="L8" t="s">
        <v>242</v>
      </c>
      <c r="M8" t="s">
        <v>440</v>
      </c>
      <c r="N8" s="1"/>
      <c r="O8" t="s">
        <v>441</v>
      </c>
      <c r="P8" s="1"/>
      <c r="Q8" t="s">
        <v>317</v>
      </c>
      <c r="R8" t="str">
        <f>DMIRenamed[[#This Row],[DMIRenamed]]&amp;"_DMI"</f>
        <v>IPT_DMI</v>
      </c>
    </row>
    <row r="9" spans="1:18" ht="15" x14ac:dyDescent="0.25">
      <c r="A9" s="14"/>
      <c r="C9" s="82" t="s">
        <v>33</v>
      </c>
      <c r="D9" s="16"/>
      <c r="E9" s="86" t="s">
        <v>239</v>
      </c>
      <c r="F9" s="32" t="s">
        <v>399</v>
      </c>
      <c r="H9" s="32" t="s">
        <v>5</v>
      </c>
      <c r="I9" t="s">
        <v>277</v>
      </c>
      <c r="L9" t="s">
        <v>48</v>
      </c>
      <c r="M9" t="s">
        <v>436</v>
      </c>
      <c r="N9" s="1"/>
      <c r="O9" t="s">
        <v>94</v>
      </c>
      <c r="P9" s="1"/>
      <c r="Q9" t="s">
        <v>53</v>
      </c>
      <c r="R9" t="str">
        <f>DMIRenamed[[#This Row],[DMIRenamed]]&amp;"_DMI"</f>
        <v>FPG_DMI</v>
      </c>
    </row>
    <row r="10" spans="1:18" ht="15" x14ac:dyDescent="0.25">
      <c r="C10" s="82" t="s">
        <v>29</v>
      </c>
      <c r="D10" s="16"/>
      <c r="E10" s="86" t="s">
        <v>401</v>
      </c>
      <c r="F10" s="85"/>
      <c r="H10" s="32" t="s">
        <v>6</v>
      </c>
      <c r="I10" t="s">
        <v>278</v>
      </c>
      <c r="L10" t="s">
        <v>49</v>
      </c>
      <c r="M10" t="s">
        <v>436</v>
      </c>
      <c r="N10" s="1"/>
      <c r="O10" t="s">
        <v>48</v>
      </c>
      <c r="P10" s="1"/>
      <c r="Q10" t="s">
        <v>152</v>
      </c>
      <c r="R10" t="str">
        <f>DMIRenamed[[#This Row],[DMIRenamed]]&amp;"_DMI"</f>
        <v>定价_DMI</v>
      </c>
    </row>
    <row r="11" spans="1:18" ht="15" x14ac:dyDescent="0.25">
      <c r="A11" s="11"/>
      <c r="C11" s="82" t="s">
        <v>34</v>
      </c>
      <c r="E11" s="86" t="s">
        <v>402</v>
      </c>
      <c r="F11" s="32"/>
      <c r="H11" s="32" t="s">
        <v>235</v>
      </c>
      <c r="I11" t="s">
        <v>279</v>
      </c>
      <c r="L11" t="s">
        <v>331</v>
      </c>
      <c r="M11" t="s">
        <v>438</v>
      </c>
      <c r="N11" s="1"/>
      <c r="O11" t="s">
        <v>49</v>
      </c>
      <c r="P11" s="1"/>
    </row>
    <row r="12" spans="1:18" ht="15" x14ac:dyDescent="0.25">
      <c r="C12" s="82" t="s">
        <v>9</v>
      </c>
      <c r="E12" s="92" t="s">
        <v>7</v>
      </c>
      <c r="F12" s="92" t="s">
        <v>7</v>
      </c>
      <c r="L12" t="s">
        <v>81</v>
      </c>
      <c r="M12" t="s">
        <v>436</v>
      </c>
      <c r="N12" s="1"/>
      <c r="O12" t="s">
        <v>135</v>
      </c>
      <c r="P12" s="1"/>
    </row>
    <row r="13" spans="1:18" ht="15" x14ac:dyDescent="0.25">
      <c r="A13" s="12"/>
      <c r="C13" s="82" t="s">
        <v>30</v>
      </c>
      <c r="F13" s="87"/>
      <c r="L13" t="s">
        <v>82</v>
      </c>
      <c r="M13" t="s">
        <v>436</v>
      </c>
      <c r="N13" s="1"/>
      <c r="O13" t="s">
        <v>178</v>
      </c>
      <c r="P13" s="1"/>
    </row>
    <row r="14" spans="1:18" ht="15" x14ac:dyDescent="0.25">
      <c r="C14" s="82" t="s">
        <v>32</v>
      </c>
      <c r="E14" s="42" t="s">
        <v>93</v>
      </c>
      <c r="F14" s="87"/>
      <c r="H14" s="32" t="s">
        <v>206</v>
      </c>
      <c r="I14" t="s">
        <v>281</v>
      </c>
      <c r="L14" t="s">
        <v>105</v>
      </c>
      <c r="M14" t="s">
        <v>440</v>
      </c>
      <c r="N14" s="1"/>
      <c r="O14" t="s">
        <v>51</v>
      </c>
      <c r="P14" s="1"/>
    </row>
    <row r="15" spans="1:18" ht="15" x14ac:dyDescent="0.25">
      <c r="A15" s="15"/>
      <c r="C15" s="82" t="s">
        <v>13</v>
      </c>
      <c r="E15" s="42" t="s">
        <v>133</v>
      </c>
      <c r="F15" s="88"/>
      <c r="H15" s="32" t="s">
        <v>7</v>
      </c>
      <c r="I15"/>
      <c r="L15" t="s">
        <v>80</v>
      </c>
      <c r="M15" t="s">
        <v>439</v>
      </c>
      <c r="N15" s="1"/>
      <c r="O15" t="s">
        <v>64</v>
      </c>
      <c r="P15" s="1"/>
    </row>
    <row r="16" spans="1:18" ht="15" x14ac:dyDescent="0.25">
      <c r="C16" s="82" t="s">
        <v>17</v>
      </c>
      <c r="E16" s="42" t="s">
        <v>134</v>
      </c>
      <c r="F16" s="88"/>
      <c r="H16" s="32" t="s">
        <v>940</v>
      </c>
      <c r="I16"/>
      <c r="L16" t="s">
        <v>79</v>
      </c>
      <c r="M16" t="s">
        <v>440</v>
      </c>
      <c r="N16" s="1"/>
      <c r="O16" t="s">
        <v>57</v>
      </c>
      <c r="P16" s="1"/>
    </row>
    <row r="17" spans="1:16" ht="15" x14ac:dyDescent="0.25">
      <c r="A17" s="13"/>
      <c r="C17" s="82" t="s">
        <v>8</v>
      </c>
      <c r="E17" s="42" t="s">
        <v>116</v>
      </c>
      <c r="F17" s="87"/>
      <c r="H17" s="32" t="s">
        <v>195</v>
      </c>
      <c r="I17">
        <v>1</v>
      </c>
      <c r="L17" t="s">
        <v>78</v>
      </c>
      <c r="M17" t="s">
        <v>439</v>
      </c>
      <c r="N17" s="1"/>
      <c r="O17" t="s">
        <v>87</v>
      </c>
      <c r="P17" s="1"/>
    </row>
    <row r="18" spans="1:16" ht="15" x14ac:dyDescent="0.25">
      <c r="C18" s="82" t="s">
        <v>22</v>
      </c>
      <c r="F18" s="87"/>
      <c r="H18" s="32" t="s">
        <v>196</v>
      </c>
      <c r="I18">
        <v>2</v>
      </c>
      <c r="L18" t="s">
        <v>77</v>
      </c>
      <c r="M18" t="s">
        <v>440</v>
      </c>
      <c r="N18" s="1"/>
      <c r="O18" t="s">
        <v>120</v>
      </c>
      <c r="P18" s="1"/>
    </row>
    <row r="19" spans="1:16" ht="15" x14ac:dyDescent="0.25">
      <c r="A19" s="14"/>
      <c r="C19" s="82" t="s">
        <v>16</v>
      </c>
      <c r="E19" s="43" t="s">
        <v>43</v>
      </c>
      <c r="H19" s="32" t="s">
        <v>197</v>
      </c>
      <c r="I19">
        <v>3</v>
      </c>
      <c r="L19" t="s">
        <v>76</v>
      </c>
      <c r="M19" t="s">
        <v>439</v>
      </c>
      <c r="N19" s="1"/>
      <c r="O19" t="s">
        <v>88</v>
      </c>
      <c r="P19" s="1"/>
    </row>
    <row r="20" spans="1:16" ht="15" x14ac:dyDescent="0.25">
      <c r="C20" s="82" t="s">
        <v>20</v>
      </c>
      <c r="E20" s="43" t="s">
        <v>1</v>
      </c>
      <c r="F20" s="89"/>
      <c r="H20" s="32" t="s">
        <v>198</v>
      </c>
      <c r="I20">
        <v>4</v>
      </c>
      <c r="L20" t="s">
        <v>227</v>
      </c>
      <c r="M20" t="s">
        <v>439</v>
      </c>
      <c r="N20" s="1"/>
      <c r="O20" t="s">
        <v>53</v>
      </c>
      <c r="P20" s="1"/>
    </row>
    <row r="21" spans="1:16" ht="15" x14ac:dyDescent="0.25">
      <c r="A21" s="32" t="s">
        <v>310</v>
      </c>
      <c r="C21" s="82" t="s">
        <v>10</v>
      </c>
      <c r="E21" s="43" t="s">
        <v>84</v>
      </c>
      <c r="F21" s="89"/>
      <c r="H21" s="32" t="s">
        <v>2</v>
      </c>
      <c r="I21">
        <v>5</v>
      </c>
      <c r="L21" t="s">
        <v>75</v>
      </c>
      <c r="M21" t="s">
        <v>439</v>
      </c>
      <c r="N21" s="1"/>
      <c r="O21" t="s">
        <v>152</v>
      </c>
      <c r="P21" s="1"/>
    </row>
    <row r="22" spans="1:16" ht="15" x14ac:dyDescent="0.25">
      <c r="A22" s="32"/>
      <c r="C22" s="82" t="s">
        <v>26</v>
      </c>
      <c r="E22" s="82" t="s">
        <v>392</v>
      </c>
      <c r="F22" s="89"/>
      <c r="H22" s="32" t="s">
        <v>199</v>
      </c>
      <c r="I22">
        <v>6</v>
      </c>
      <c r="L22" t="s">
        <v>104</v>
      </c>
      <c r="M22" t="s">
        <v>439</v>
      </c>
      <c r="N22" s="1"/>
      <c r="O22" t="s">
        <v>167</v>
      </c>
      <c r="P22" s="1"/>
    </row>
    <row r="23" spans="1:16" ht="15" x14ac:dyDescent="0.25">
      <c r="A23" s="131"/>
      <c r="C23" s="82" t="s">
        <v>21</v>
      </c>
      <c r="E23" s="82" t="s">
        <v>393</v>
      </c>
      <c r="F23" s="89"/>
      <c r="L23" t="s">
        <v>74</v>
      </c>
      <c r="M23" t="s">
        <v>440</v>
      </c>
      <c r="N23" s="1"/>
      <c r="O23" t="s">
        <v>169</v>
      </c>
      <c r="P23" s="1"/>
    </row>
    <row r="24" spans="1:16" ht="15" x14ac:dyDescent="0.25">
      <c r="A24" s="32" t="s">
        <v>310</v>
      </c>
      <c r="C24" s="82" t="s">
        <v>14</v>
      </c>
      <c r="D24" s="16"/>
      <c r="E24" s="43" t="s">
        <v>2</v>
      </c>
      <c r="F24" s="89"/>
      <c r="H24" s="32" t="s">
        <v>229</v>
      </c>
      <c r="I24" t="s">
        <v>281</v>
      </c>
      <c r="L24" t="s">
        <v>152</v>
      </c>
      <c r="M24" t="s">
        <v>437</v>
      </c>
      <c r="N24" s="1"/>
      <c r="O24" t="s">
        <v>59</v>
      </c>
      <c r="P24" s="1"/>
    </row>
    <row r="25" spans="1:16" ht="15" x14ac:dyDescent="0.25">
      <c r="A25" s="32"/>
      <c r="C25" s="82" t="s">
        <v>18</v>
      </c>
      <c r="D25" s="16"/>
      <c r="E25" s="43" t="s">
        <v>3</v>
      </c>
      <c r="H25" s="32" t="s">
        <v>7</v>
      </c>
      <c r="I25"/>
      <c r="L25" t="s">
        <v>73</v>
      </c>
      <c r="M25" t="s">
        <v>440</v>
      </c>
      <c r="N25" s="1"/>
      <c r="O25" t="s">
        <v>90</v>
      </c>
      <c r="P25" s="1"/>
    </row>
    <row r="26" spans="1:16" ht="15" x14ac:dyDescent="0.25">
      <c r="A26" s="131"/>
      <c r="C26" s="82" t="s">
        <v>24</v>
      </c>
      <c r="D26" s="16"/>
      <c r="F26" s="89"/>
      <c r="H26" s="32" t="s">
        <v>940</v>
      </c>
      <c r="I26"/>
      <c r="L26" t="s">
        <v>72</v>
      </c>
      <c r="M26" t="s">
        <v>436</v>
      </c>
      <c r="N26" s="1"/>
      <c r="O26" t="s">
        <v>91</v>
      </c>
      <c r="P26" s="1"/>
    </row>
    <row r="27" spans="1:16" ht="15" x14ac:dyDescent="0.25">
      <c r="A27" s="32" t="s">
        <v>310</v>
      </c>
      <c r="C27" s="82" t="s">
        <v>27</v>
      </c>
      <c r="D27" s="16"/>
      <c r="E27" s="32" t="s">
        <v>96</v>
      </c>
      <c r="F27" s="89"/>
      <c r="H27" s="32" t="s">
        <v>230</v>
      </c>
      <c r="I27">
        <v>1</v>
      </c>
      <c r="L27" t="s">
        <v>71</v>
      </c>
      <c r="M27" t="s">
        <v>436</v>
      </c>
      <c r="N27" s="1"/>
      <c r="O27" t="s">
        <v>187</v>
      </c>
      <c r="P27" s="1"/>
    </row>
    <row r="28" spans="1:16" ht="15" x14ac:dyDescent="0.25">
      <c r="A28" s="32"/>
      <c r="C28" s="82" t="s">
        <v>11</v>
      </c>
      <c r="D28" s="16"/>
      <c r="E28" s="32" t="s">
        <v>318</v>
      </c>
      <c r="F28" s="89"/>
      <c r="H28" s="32" t="s">
        <v>262</v>
      </c>
      <c r="I28">
        <v>2</v>
      </c>
      <c r="L28" t="s">
        <v>70</v>
      </c>
      <c r="M28" t="s">
        <v>436</v>
      </c>
      <c r="N28" s="1"/>
      <c r="O28" t="s">
        <v>188</v>
      </c>
      <c r="P28" s="1"/>
    </row>
    <row r="29" spans="1:16" ht="15" x14ac:dyDescent="0.25">
      <c r="A29" s="131"/>
      <c r="C29" s="82" t="s">
        <v>19</v>
      </c>
      <c r="D29" s="16"/>
      <c r="E29" s="32" t="s">
        <v>395</v>
      </c>
      <c r="F29" s="89"/>
      <c r="H29" s="32" t="s">
        <v>263</v>
      </c>
      <c r="I29">
        <v>3</v>
      </c>
      <c r="L29" t="s">
        <v>69</v>
      </c>
      <c r="M29" t="s">
        <v>439</v>
      </c>
      <c r="N29" s="1"/>
      <c r="O29" t="s">
        <v>141</v>
      </c>
      <c r="P29" s="1"/>
    </row>
    <row r="30" spans="1:16" ht="15" x14ac:dyDescent="0.25">
      <c r="A30" s="32" t="s">
        <v>310</v>
      </c>
      <c r="C30" s="82" t="s">
        <v>25</v>
      </c>
      <c r="D30" s="16"/>
      <c r="E30" s="32" t="s">
        <v>396</v>
      </c>
      <c r="F30" s="90"/>
      <c r="H30" s="32" t="s">
        <v>264</v>
      </c>
      <c r="I30">
        <v>4</v>
      </c>
      <c r="L30" t="s">
        <v>47</v>
      </c>
      <c r="M30" t="s">
        <v>439</v>
      </c>
      <c r="N30" s="1"/>
      <c r="O30" t="s">
        <v>81</v>
      </c>
      <c r="P30" s="1"/>
    </row>
    <row r="31" spans="1:16" ht="15" x14ac:dyDescent="0.25">
      <c r="A31" s="32"/>
      <c r="C31" s="82" t="s">
        <v>23</v>
      </c>
      <c r="D31" s="16"/>
      <c r="E31" s="32" t="s">
        <v>397</v>
      </c>
      <c r="H31" s="32" t="s">
        <v>265</v>
      </c>
      <c r="I31">
        <v>5</v>
      </c>
      <c r="L31" t="s">
        <v>103</v>
      </c>
      <c r="M31" t="s">
        <v>440</v>
      </c>
      <c r="N31" s="1"/>
      <c r="O31" t="s">
        <v>67</v>
      </c>
      <c r="P31" s="1"/>
    </row>
    <row r="32" spans="1:16" ht="15" x14ac:dyDescent="0.25">
      <c r="A32" s="131"/>
      <c r="C32" s="82" t="s">
        <v>143</v>
      </c>
      <c r="D32" s="16"/>
      <c r="H32" s="22"/>
      <c r="I32" s="22"/>
      <c r="L32" t="s">
        <v>68</v>
      </c>
      <c r="M32" t="s">
        <v>439</v>
      </c>
      <c r="N32" s="1"/>
      <c r="O32" t="s">
        <v>70</v>
      </c>
      <c r="P32" s="1"/>
    </row>
    <row r="33" spans="1:16" ht="15" x14ac:dyDescent="0.25">
      <c r="A33" s="32" t="s">
        <v>310</v>
      </c>
      <c r="C33" s="82" t="s">
        <v>15</v>
      </c>
      <c r="D33" s="16"/>
      <c r="E33" s="32" t="s">
        <v>173</v>
      </c>
      <c r="H33" s="32" t="s">
        <v>147</v>
      </c>
      <c r="I33" t="s">
        <v>281</v>
      </c>
      <c r="L33" t="s">
        <v>67</v>
      </c>
      <c r="M33" t="s">
        <v>436</v>
      </c>
      <c r="N33" s="1"/>
      <c r="O33" t="s">
        <v>52</v>
      </c>
      <c r="P33" s="1"/>
    </row>
    <row r="34" spans="1:16" ht="15" x14ac:dyDescent="0.25">
      <c r="A34" s="32"/>
      <c r="C34" s="82" t="s">
        <v>35</v>
      </c>
      <c r="D34" s="16"/>
      <c r="E34" s="32" t="s">
        <v>182</v>
      </c>
      <c r="H34" s="32" t="s">
        <v>213</v>
      </c>
      <c r="I34">
        <v>1</v>
      </c>
      <c r="L34" t="s">
        <v>102</v>
      </c>
      <c r="M34" t="s">
        <v>440</v>
      </c>
      <c r="N34" s="1"/>
      <c r="O34" t="s">
        <v>174</v>
      </c>
      <c r="P34" s="1"/>
    </row>
    <row r="35" spans="1:16" ht="15" x14ac:dyDescent="0.25">
      <c r="A35" s="131"/>
      <c r="C35" s="82" t="s">
        <v>142</v>
      </c>
      <c r="D35" s="16"/>
      <c r="E35" s="32" t="s">
        <v>185</v>
      </c>
      <c r="H35" s="32" t="s">
        <v>150</v>
      </c>
      <c r="I35">
        <v>2</v>
      </c>
      <c r="L35" t="s">
        <v>101</v>
      </c>
      <c r="M35" t="s">
        <v>440</v>
      </c>
      <c r="N35" s="1"/>
      <c r="O35" t="s">
        <v>175</v>
      </c>
      <c r="P35" s="1"/>
    </row>
    <row r="36" spans="1:16" ht="15" x14ac:dyDescent="0.25">
      <c r="A36" s="32" t="s">
        <v>310</v>
      </c>
      <c r="C36" s="82" t="s">
        <v>31</v>
      </c>
      <c r="D36" s="16"/>
      <c r="E36" s="32" t="s">
        <v>193</v>
      </c>
      <c r="H36" s="32" t="s">
        <v>149</v>
      </c>
      <c r="I36">
        <v>3</v>
      </c>
      <c r="L36" t="s">
        <v>66</v>
      </c>
      <c r="M36" t="s">
        <v>436</v>
      </c>
      <c r="N36" s="1"/>
      <c r="O36" t="s">
        <v>212</v>
      </c>
      <c r="P36" s="1"/>
    </row>
    <row r="37" spans="1:16" ht="15" x14ac:dyDescent="0.25">
      <c r="A37" s="32"/>
      <c r="C37" s="82" t="s">
        <v>144</v>
      </c>
      <c r="D37" s="16"/>
      <c r="E37" s="85" t="s">
        <v>7</v>
      </c>
      <c r="H37" s="32" t="s">
        <v>214</v>
      </c>
      <c r="I37">
        <v>4</v>
      </c>
      <c r="L37" t="s">
        <v>226</v>
      </c>
      <c r="M37" t="s">
        <v>436</v>
      </c>
      <c r="N37" s="1"/>
      <c r="O37" t="s">
        <v>66</v>
      </c>
      <c r="P37" s="1"/>
    </row>
    <row r="38" spans="1:16" ht="15" x14ac:dyDescent="0.25">
      <c r="A38" s="131"/>
      <c r="C38" s="82" t="s">
        <v>390</v>
      </c>
      <c r="D38" s="16"/>
      <c r="H38" s="32" t="s">
        <v>191</v>
      </c>
      <c r="I38">
        <v>5</v>
      </c>
      <c r="L38" t="s">
        <v>225</v>
      </c>
      <c r="M38" t="s">
        <v>439</v>
      </c>
      <c r="N38" s="1"/>
      <c r="O38" t="s">
        <v>236</v>
      </c>
      <c r="P38" s="1"/>
    </row>
    <row r="39" spans="1:16" ht="15" x14ac:dyDescent="0.25">
      <c r="A39" s="32" t="s">
        <v>310</v>
      </c>
      <c r="C39" s="82" t="s">
        <v>391</v>
      </c>
      <c r="D39" s="16"/>
      <c r="H39" s="32" t="s">
        <v>190</v>
      </c>
      <c r="I39">
        <v>6</v>
      </c>
      <c r="L39" t="s">
        <v>224</v>
      </c>
      <c r="M39" t="s">
        <v>439</v>
      </c>
      <c r="N39" s="1"/>
      <c r="O39" t="s">
        <v>266</v>
      </c>
      <c r="P39" s="1"/>
    </row>
    <row r="40" spans="1:16" ht="15" x14ac:dyDescent="0.25">
      <c r="A40" s="32"/>
      <c r="D40" s="16"/>
      <c r="L40" t="s">
        <v>223</v>
      </c>
      <c r="M40" t="s">
        <v>439</v>
      </c>
      <c r="N40" s="1"/>
      <c r="O40" t="s">
        <v>209</v>
      </c>
      <c r="P40" s="1"/>
    </row>
    <row r="41" spans="1:16" ht="15" x14ac:dyDescent="0.25">
      <c r="A41" s="131"/>
      <c r="C41" s="82" t="s">
        <v>41</v>
      </c>
      <c r="D41" s="16"/>
      <c r="H41" s="32" t="s">
        <v>64</v>
      </c>
      <c r="I41" s="32" t="s">
        <v>281</v>
      </c>
      <c r="L41" t="s">
        <v>97</v>
      </c>
      <c r="M41" t="s">
        <v>440</v>
      </c>
      <c r="N41" s="1"/>
      <c r="O41" t="s">
        <v>71</v>
      </c>
      <c r="P41" s="1"/>
    </row>
    <row r="42" spans="1:16" ht="15" x14ac:dyDescent="0.25">
      <c r="A42" s="32" t="s">
        <v>310</v>
      </c>
      <c r="C42" s="82" t="s">
        <v>41</v>
      </c>
      <c r="D42" s="16"/>
      <c r="H42" s="32" t="s">
        <v>85</v>
      </c>
      <c r="I42">
        <v>1</v>
      </c>
      <c r="L42" t="s">
        <v>42</v>
      </c>
      <c r="M42" t="s">
        <v>436</v>
      </c>
      <c r="N42" s="1"/>
      <c r="O42" t="s">
        <v>72</v>
      </c>
      <c r="P42" s="1"/>
    </row>
    <row r="43" spans="1:16" ht="15" x14ac:dyDescent="0.25">
      <c r="A43" s="32"/>
      <c r="C43" s="82" t="s">
        <v>364</v>
      </c>
      <c r="D43" s="16"/>
      <c r="H43" s="32" t="s">
        <v>106</v>
      </c>
      <c r="I43">
        <v>2</v>
      </c>
      <c r="L43" t="s">
        <v>222</v>
      </c>
      <c r="M43" t="s">
        <v>440</v>
      </c>
      <c r="N43" s="1"/>
      <c r="O43" t="s">
        <v>82</v>
      </c>
      <c r="P43" s="1"/>
    </row>
    <row r="44" spans="1:16" ht="15" x14ac:dyDescent="0.25">
      <c r="A44" s="131"/>
      <c r="C44" s="82" t="s">
        <v>337</v>
      </c>
      <c r="D44" s="16"/>
      <c r="H44" s="32" t="s">
        <v>109</v>
      </c>
      <c r="I44">
        <v>3</v>
      </c>
      <c r="L44" t="s">
        <v>43</v>
      </c>
      <c r="M44" t="s">
        <v>436</v>
      </c>
      <c r="N44" s="1"/>
      <c r="O44" t="s">
        <v>41</v>
      </c>
      <c r="P44" s="1"/>
    </row>
    <row r="45" spans="1:16" ht="15" x14ac:dyDescent="0.25">
      <c r="A45" s="32" t="s">
        <v>310</v>
      </c>
      <c r="C45" s="82" t="s">
        <v>338</v>
      </c>
      <c r="D45" s="16"/>
      <c r="H45" s="32" t="s">
        <v>111</v>
      </c>
      <c r="I45">
        <v>4</v>
      </c>
      <c r="L45" t="s">
        <v>51</v>
      </c>
      <c r="M45" t="s">
        <v>436</v>
      </c>
      <c r="N45" s="1"/>
      <c r="O45" t="s">
        <v>139</v>
      </c>
      <c r="P45" s="1"/>
    </row>
    <row r="46" spans="1:16" ht="15" x14ac:dyDescent="0.25">
      <c r="A46" s="32"/>
      <c r="C46" s="82" t="s">
        <v>339</v>
      </c>
      <c r="D46" s="16"/>
      <c r="H46" s="32" t="s">
        <v>267</v>
      </c>
      <c r="I46">
        <v>5</v>
      </c>
      <c r="L46" t="s">
        <v>177</v>
      </c>
      <c r="M46" t="s">
        <v>440</v>
      </c>
      <c r="N46" s="1"/>
      <c r="O46" t="s">
        <v>153</v>
      </c>
      <c r="P46" s="1"/>
    </row>
    <row r="47" spans="1:16" ht="15" x14ac:dyDescent="0.25">
      <c r="C47" s="82" t="s">
        <v>335</v>
      </c>
      <c r="D47" s="16"/>
      <c r="H47" s="32" t="s">
        <v>284</v>
      </c>
      <c r="I47">
        <v>6</v>
      </c>
      <c r="L47" t="s">
        <v>96</v>
      </c>
      <c r="M47" t="s">
        <v>439</v>
      </c>
      <c r="N47" s="1"/>
      <c r="O47" t="s">
        <v>218</v>
      </c>
      <c r="P47" s="1"/>
    </row>
    <row r="48" spans="1:16" ht="15" x14ac:dyDescent="0.25">
      <c r="C48" s="82" t="s">
        <v>340</v>
      </c>
      <c r="D48" s="16"/>
      <c r="H48" s="32" t="s">
        <v>285</v>
      </c>
      <c r="I48">
        <v>7</v>
      </c>
      <c r="L48" t="s">
        <v>44</v>
      </c>
      <c r="M48" t="s">
        <v>436</v>
      </c>
      <c r="N48" s="1"/>
      <c r="O48" t="s">
        <v>211</v>
      </c>
      <c r="P48" s="1"/>
    </row>
    <row r="49" spans="3:16" ht="15" x14ac:dyDescent="0.25">
      <c r="C49" s="82" t="s">
        <v>341</v>
      </c>
      <c r="D49" s="16"/>
      <c r="H49" s="32" t="s">
        <v>286</v>
      </c>
      <c r="I49">
        <v>8</v>
      </c>
      <c r="L49" t="s">
        <v>200</v>
      </c>
      <c r="M49" t="s">
        <v>436</v>
      </c>
      <c r="N49" s="1"/>
      <c r="O49" t="s">
        <v>219</v>
      </c>
      <c r="P49" s="1"/>
    </row>
    <row r="50" spans="3:16" ht="15" x14ac:dyDescent="0.25">
      <c r="C50" s="82" t="s">
        <v>342</v>
      </c>
      <c r="D50" s="16"/>
      <c r="H50" s="32" t="s">
        <v>287</v>
      </c>
      <c r="I50">
        <v>9</v>
      </c>
      <c r="L50" t="s">
        <v>98</v>
      </c>
      <c r="M50" t="s">
        <v>439</v>
      </c>
      <c r="N50" s="1"/>
      <c r="O50" t="s">
        <v>220</v>
      </c>
      <c r="P50" s="1"/>
    </row>
    <row r="51" spans="3:16" ht="15" x14ac:dyDescent="0.25">
      <c r="C51" s="82" t="s">
        <v>343</v>
      </c>
      <c r="D51" s="16"/>
      <c r="H51" s="32" t="s">
        <v>288</v>
      </c>
      <c r="I51">
        <v>10</v>
      </c>
      <c r="L51" t="s">
        <v>65</v>
      </c>
      <c r="M51" t="s">
        <v>439</v>
      </c>
      <c r="N51" s="1"/>
      <c r="O51" t="s">
        <v>309</v>
      </c>
      <c r="P51" s="1"/>
    </row>
    <row r="52" spans="3:16" ht="15" x14ac:dyDescent="0.25">
      <c r="C52" s="82" t="s">
        <v>344</v>
      </c>
      <c r="D52" s="16"/>
      <c r="H52" s="32" t="s">
        <v>289</v>
      </c>
      <c r="I52">
        <v>11</v>
      </c>
      <c r="L52" t="s">
        <v>63</v>
      </c>
      <c r="M52" t="s">
        <v>439</v>
      </c>
      <c r="N52" s="1"/>
      <c r="O52" t="s">
        <v>226</v>
      </c>
      <c r="P52" s="1"/>
    </row>
    <row r="53" spans="3:16" ht="15" x14ac:dyDescent="0.25">
      <c r="C53" s="82" t="s">
        <v>345</v>
      </c>
      <c r="D53" s="16"/>
      <c r="L53" t="s">
        <v>62</v>
      </c>
      <c r="M53" t="s">
        <v>439</v>
      </c>
      <c r="N53" s="1"/>
      <c r="O53" t="s">
        <v>200</v>
      </c>
      <c r="P53" s="1"/>
    </row>
    <row r="54" spans="3:16" ht="15" x14ac:dyDescent="0.25">
      <c r="C54" s="82" t="s">
        <v>346</v>
      </c>
      <c r="D54" s="16"/>
      <c r="H54" s="32" t="s">
        <v>290</v>
      </c>
      <c r="I54" s="32" t="s">
        <v>281</v>
      </c>
      <c r="L54" t="s">
        <v>61</v>
      </c>
      <c r="M54" t="s">
        <v>439</v>
      </c>
      <c r="N54" s="1"/>
      <c r="O54" t="s">
        <v>428</v>
      </c>
      <c r="P54" s="1"/>
    </row>
    <row r="55" spans="3:16" ht="15" x14ac:dyDescent="0.25">
      <c r="C55" s="82" t="s">
        <v>347</v>
      </c>
      <c r="D55" s="16"/>
      <c r="H55" s="32" t="s">
        <v>268</v>
      </c>
      <c r="I55">
        <v>1</v>
      </c>
      <c r="L55" t="s">
        <v>132</v>
      </c>
      <c r="M55" t="s">
        <v>439</v>
      </c>
      <c r="N55" s="1"/>
      <c r="O55" t="s">
        <v>170</v>
      </c>
      <c r="P55" s="1"/>
    </row>
    <row r="56" spans="3:16" ht="15" x14ac:dyDescent="0.25">
      <c r="C56" s="82" t="s">
        <v>348</v>
      </c>
      <c r="D56" s="16"/>
      <c r="H56" s="32" t="s">
        <v>291</v>
      </c>
      <c r="I56">
        <v>2</v>
      </c>
      <c r="L56" t="s">
        <v>46</v>
      </c>
      <c r="M56" t="s">
        <v>436</v>
      </c>
      <c r="N56" s="1"/>
      <c r="O56" t="s">
        <v>221</v>
      </c>
    </row>
    <row r="57" spans="3:16" ht="15" x14ac:dyDescent="0.25">
      <c r="C57" s="82" t="s">
        <v>269</v>
      </c>
      <c r="D57" s="16"/>
      <c r="H57" s="32" t="s">
        <v>256</v>
      </c>
      <c r="I57">
        <v>3</v>
      </c>
      <c r="L57" t="s">
        <v>45</v>
      </c>
      <c r="M57" t="s">
        <v>436</v>
      </c>
      <c r="N57" s="1"/>
      <c r="O57" t="s">
        <v>140</v>
      </c>
    </row>
    <row r="58" spans="3:16" ht="15" x14ac:dyDescent="0.25">
      <c r="C58" s="82" t="s">
        <v>349</v>
      </c>
      <c r="D58" s="16"/>
      <c r="H58" s="32" t="s">
        <v>2</v>
      </c>
      <c r="I58">
        <v>4</v>
      </c>
      <c r="L58" t="s">
        <v>95</v>
      </c>
      <c r="M58" t="s">
        <v>439</v>
      </c>
      <c r="N58" s="1"/>
    </row>
    <row r="59" spans="3:16" ht="15" x14ac:dyDescent="0.25">
      <c r="C59" s="82" t="s">
        <v>350</v>
      </c>
      <c r="D59" s="16"/>
      <c r="H59" s="32" t="s">
        <v>292</v>
      </c>
      <c r="I59">
        <v>5</v>
      </c>
      <c r="L59" t="s">
        <v>60</v>
      </c>
      <c r="M59" t="s">
        <v>440</v>
      </c>
      <c r="N59" s="1"/>
    </row>
    <row r="60" spans="3:16" ht="15" x14ac:dyDescent="0.25">
      <c r="C60" s="82" t="s">
        <v>351</v>
      </c>
      <c r="D60" s="16"/>
      <c r="H60" s="32" t="s">
        <v>110</v>
      </c>
      <c r="I60">
        <v>6</v>
      </c>
      <c r="L60" t="s">
        <v>59</v>
      </c>
      <c r="M60" t="s">
        <v>436</v>
      </c>
      <c r="N60" s="1"/>
    </row>
    <row r="61" spans="3:16" ht="15" x14ac:dyDescent="0.25">
      <c r="C61" s="82" t="s">
        <v>352</v>
      </c>
      <c r="D61" s="16"/>
      <c r="H61" s="32" t="s">
        <v>7</v>
      </c>
      <c r="I61">
        <v>7</v>
      </c>
      <c r="L61" t="s">
        <v>56</v>
      </c>
      <c r="M61" t="s">
        <v>439</v>
      </c>
      <c r="N61" s="1"/>
    </row>
    <row r="62" spans="3:16" ht="15" x14ac:dyDescent="0.25">
      <c r="C62" s="82" t="s">
        <v>353</v>
      </c>
      <c r="D62" s="16"/>
      <c r="L62" t="s">
        <v>55</v>
      </c>
      <c r="M62" t="s">
        <v>439</v>
      </c>
      <c r="N62" s="1"/>
    </row>
    <row r="63" spans="3:16" ht="15" x14ac:dyDescent="0.25">
      <c r="C63" s="82" t="s">
        <v>354</v>
      </c>
      <c r="D63" s="16"/>
      <c r="H63" s="32" t="s">
        <v>172</v>
      </c>
      <c r="I63" t="s">
        <v>281</v>
      </c>
      <c r="L63" t="s">
        <v>243</v>
      </c>
      <c r="M63" t="s">
        <v>439</v>
      </c>
      <c r="N63" s="1"/>
    </row>
    <row r="64" spans="3:16" ht="15" x14ac:dyDescent="0.25">
      <c r="C64" s="82" t="s">
        <v>355</v>
      </c>
      <c r="D64" s="16"/>
      <c r="H64" s="32" t="s">
        <v>184</v>
      </c>
      <c r="I64">
        <v>1</v>
      </c>
      <c r="L64" t="s">
        <v>330</v>
      </c>
      <c r="M64" t="s">
        <v>439</v>
      </c>
      <c r="N64" s="1"/>
    </row>
    <row r="65" spans="3:16" ht="15" x14ac:dyDescent="0.25">
      <c r="C65" s="82" t="s">
        <v>356</v>
      </c>
      <c r="D65" s="16"/>
      <c r="H65" s="32" t="s">
        <v>181</v>
      </c>
      <c r="I65">
        <v>2</v>
      </c>
      <c r="L65" t="s">
        <v>54</v>
      </c>
      <c r="M65" t="s">
        <v>440</v>
      </c>
      <c r="N65" s="1"/>
    </row>
    <row r="66" spans="3:16" ht="15" x14ac:dyDescent="0.25">
      <c r="C66" s="82" t="s">
        <v>357</v>
      </c>
      <c r="D66" s="16"/>
      <c r="H66" s="32" t="s">
        <v>260</v>
      </c>
      <c r="I66">
        <v>3</v>
      </c>
      <c r="L66" t="s">
        <v>53</v>
      </c>
      <c r="M66" t="s">
        <v>437</v>
      </c>
      <c r="N66" s="1"/>
    </row>
    <row r="67" spans="3:16" ht="15" x14ac:dyDescent="0.25">
      <c r="C67" s="82" t="s">
        <v>358</v>
      </c>
      <c r="D67" s="16"/>
      <c r="H67" s="32" t="s">
        <v>259</v>
      </c>
      <c r="I67">
        <v>4</v>
      </c>
      <c r="L67" t="s">
        <v>317</v>
      </c>
      <c r="M67" t="s">
        <v>437</v>
      </c>
      <c r="N67" s="1"/>
    </row>
    <row r="68" spans="3:16" ht="15" x14ac:dyDescent="0.25">
      <c r="C68" s="82" t="s">
        <v>332</v>
      </c>
      <c r="D68" s="16"/>
      <c r="H68" s="32" t="s">
        <v>192</v>
      </c>
      <c r="I68">
        <v>5</v>
      </c>
      <c r="L68" t="s">
        <v>100</v>
      </c>
      <c r="M68" t="s">
        <v>439</v>
      </c>
      <c r="N68" s="1"/>
    </row>
    <row r="69" spans="3:16" ht="15" x14ac:dyDescent="0.25">
      <c r="C69" s="82" t="s">
        <v>294</v>
      </c>
      <c r="D69" s="16"/>
      <c r="H69" s="32" t="s">
        <v>199</v>
      </c>
      <c r="I69">
        <v>6</v>
      </c>
      <c r="L69" t="s">
        <v>52</v>
      </c>
      <c r="M69" t="s">
        <v>436</v>
      </c>
      <c r="N69" s="1"/>
    </row>
    <row r="70" spans="3:16" ht="15" x14ac:dyDescent="0.25">
      <c r="C70" s="82" t="s">
        <v>359</v>
      </c>
      <c r="D70" s="16"/>
      <c r="L70" t="s">
        <v>99</v>
      </c>
      <c r="M70" t="s">
        <v>440</v>
      </c>
      <c r="N70" s="1"/>
    </row>
    <row r="71" spans="3:16" ht="15" x14ac:dyDescent="0.25">
      <c r="C71" s="82" t="s">
        <v>360</v>
      </c>
      <c r="D71" s="16"/>
      <c r="L71" t="s">
        <v>120</v>
      </c>
      <c r="M71" t="s">
        <v>437</v>
      </c>
      <c r="N71" s="1"/>
    </row>
    <row r="72" spans="3:16" ht="15" x14ac:dyDescent="0.25">
      <c r="C72" s="82" t="s">
        <v>361</v>
      </c>
      <c r="D72" s="16"/>
      <c r="L72" t="s">
        <v>64</v>
      </c>
      <c r="M72" t="s">
        <v>436</v>
      </c>
      <c r="N72" s="1"/>
    </row>
    <row r="73" spans="3:16" ht="15" x14ac:dyDescent="0.25">
      <c r="C73" s="82" t="s">
        <v>362</v>
      </c>
      <c r="D73" s="16"/>
      <c r="L73" t="s">
        <v>58</v>
      </c>
      <c r="M73" t="s">
        <v>439</v>
      </c>
      <c r="N73" s="1"/>
    </row>
    <row r="74" spans="3:16" ht="15" x14ac:dyDescent="0.25">
      <c r="C74" s="82" t="s">
        <v>363</v>
      </c>
      <c r="D74" s="16"/>
      <c r="L74" t="s">
        <v>57</v>
      </c>
      <c r="M74" t="s">
        <v>436</v>
      </c>
      <c r="N74" s="1"/>
    </row>
    <row r="75" spans="3:16" ht="15" x14ac:dyDescent="0.25">
      <c r="C75" s="82" t="s">
        <v>504</v>
      </c>
      <c r="D75" s="16"/>
      <c r="L75" t="s">
        <v>50</v>
      </c>
      <c r="M75" t="s">
        <v>439</v>
      </c>
      <c r="N75" s="1"/>
    </row>
    <row r="76" spans="3:16" ht="15" x14ac:dyDescent="0.25">
      <c r="C76" s="82" t="s">
        <v>365</v>
      </c>
      <c r="D76" s="16"/>
      <c r="H76" s="17"/>
      <c r="P76" s="1"/>
    </row>
    <row r="77" spans="3:16" ht="15" x14ac:dyDescent="0.25">
      <c r="C77" s="82" t="s">
        <v>366</v>
      </c>
      <c r="D77" s="16"/>
      <c r="H77" s="17"/>
      <c r="P77" s="1"/>
    </row>
    <row r="78" spans="3:16" ht="15" x14ac:dyDescent="0.25">
      <c r="C78" s="82" t="s">
        <v>367</v>
      </c>
      <c r="D78" s="16"/>
      <c r="H78" s="17"/>
      <c r="P78" s="1"/>
    </row>
    <row r="79" spans="3:16" ht="15" x14ac:dyDescent="0.25">
      <c r="C79" s="82" t="s">
        <v>368</v>
      </c>
      <c r="D79" s="16"/>
      <c r="H79" s="17"/>
      <c r="P79" s="1"/>
    </row>
    <row r="80" spans="3:16" ht="15" x14ac:dyDescent="0.25">
      <c r="C80" s="82" t="s">
        <v>369</v>
      </c>
      <c r="D80" s="16"/>
      <c r="H80" s="17"/>
      <c r="P80" s="1"/>
    </row>
    <row r="81" spans="3:16" ht="15" x14ac:dyDescent="0.25">
      <c r="C81" s="82" t="s">
        <v>370</v>
      </c>
      <c r="D81" s="16"/>
      <c r="H81" s="17"/>
      <c r="P81" s="1"/>
    </row>
    <row r="82" spans="3:16" ht="15" x14ac:dyDescent="0.25">
      <c r="C82" s="82" t="s">
        <v>371</v>
      </c>
      <c r="D82" s="16"/>
      <c r="H82" s="17"/>
      <c r="P82" s="1"/>
    </row>
    <row r="83" spans="3:16" ht="15" x14ac:dyDescent="0.25">
      <c r="C83" s="82" t="s">
        <v>372</v>
      </c>
      <c r="D83" s="16"/>
      <c r="H83" s="17"/>
      <c r="P83" s="1"/>
    </row>
    <row r="84" spans="3:16" ht="15" x14ac:dyDescent="0.25">
      <c r="C84" s="82" t="s">
        <v>373</v>
      </c>
      <c r="D84" s="16"/>
      <c r="H84" s="17"/>
      <c r="P84" s="1"/>
    </row>
    <row r="85" spans="3:16" ht="15" x14ac:dyDescent="0.25">
      <c r="C85" s="82" t="s">
        <v>374</v>
      </c>
      <c r="D85" s="16"/>
      <c r="H85" s="17"/>
      <c r="P85" s="1"/>
    </row>
    <row r="86" spans="3:16" ht="15" x14ac:dyDescent="0.25">
      <c r="C86" s="82" t="s">
        <v>375</v>
      </c>
      <c r="D86" s="16"/>
      <c r="H86" s="17"/>
      <c r="P86" s="1"/>
    </row>
    <row r="87" spans="3:16" ht="15" x14ac:dyDescent="0.25">
      <c r="C87" s="82" t="s">
        <v>376</v>
      </c>
      <c r="D87" s="16"/>
      <c r="H87" s="17"/>
      <c r="P87" s="1"/>
    </row>
    <row r="88" spans="3:16" ht="15" x14ac:dyDescent="0.25">
      <c r="C88" s="82" t="s">
        <v>377</v>
      </c>
      <c r="D88" s="16"/>
      <c r="H88" s="17"/>
      <c r="P88" s="1"/>
    </row>
    <row r="89" spans="3:16" ht="15" x14ac:dyDescent="0.25">
      <c r="C89" s="82" t="s">
        <v>378</v>
      </c>
      <c r="D89" s="16"/>
      <c r="H89" s="17"/>
      <c r="P89" s="1"/>
    </row>
    <row r="90" spans="3:16" ht="15" x14ac:dyDescent="0.25">
      <c r="C90" s="82" t="s">
        <v>379</v>
      </c>
      <c r="D90" s="16"/>
      <c r="H90" s="17"/>
      <c r="P90" s="1"/>
    </row>
    <row r="91" spans="3:16" ht="15" x14ac:dyDescent="0.25">
      <c r="C91" s="82" t="s">
        <v>380</v>
      </c>
      <c r="D91" s="16"/>
      <c r="H91" s="17"/>
      <c r="P91" s="1"/>
    </row>
    <row r="92" spans="3:16" ht="15" x14ac:dyDescent="0.25">
      <c r="C92" s="82" t="s">
        <v>381</v>
      </c>
      <c r="D92" s="16"/>
      <c r="H92" s="17"/>
      <c r="P92" s="1"/>
    </row>
    <row r="93" spans="3:16" ht="15" x14ac:dyDescent="0.25">
      <c r="C93" s="82" t="s">
        <v>382</v>
      </c>
      <c r="D93" s="16"/>
      <c r="H93" s="17"/>
      <c r="P93" s="1"/>
    </row>
    <row r="94" spans="3:16" ht="15" x14ac:dyDescent="0.25">
      <c r="C94" s="82" t="s">
        <v>383</v>
      </c>
      <c r="D94" s="16"/>
      <c r="H94" s="17"/>
      <c r="P94" s="1"/>
    </row>
    <row r="95" spans="3:16" ht="15" x14ac:dyDescent="0.25">
      <c r="D95" s="16"/>
      <c r="H95" s="17"/>
      <c r="P95" s="1"/>
    </row>
    <row r="96" spans="3:16" ht="15" x14ac:dyDescent="0.25">
      <c r="C96" s="32" t="s">
        <v>90</v>
      </c>
      <c r="D96" s="16"/>
      <c r="H96" s="17"/>
      <c r="P96" s="1"/>
    </row>
    <row r="97" spans="3:16" ht="15" x14ac:dyDescent="0.25">
      <c r="C97" s="32" t="s">
        <v>112</v>
      </c>
      <c r="D97" s="16"/>
      <c r="H97" s="17"/>
      <c r="P97" s="1"/>
    </row>
    <row r="98" spans="3:16" ht="15" x14ac:dyDescent="0.25">
      <c r="C98" s="32" t="s">
        <v>113</v>
      </c>
      <c r="D98" s="16"/>
      <c r="H98" s="17"/>
      <c r="P98" s="1"/>
    </row>
    <row r="99" spans="3:16" ht="15" x14ac:dyDescent="0.25">
      <c r="C99" s="32" t="s">
        <v>295</v>
      </c>
      <c r="D99" s="16"/>
      <c r="H99" s="17"/>
      <c r="P99" s="1"/>
    </row>
    <row r="100" spans="3:16" ht="15" x14ac:dyDescent="0.25">
      <c r="C100" s="32" t="s">
        <v>114</v>
      </c>
      <c r="D100" s="16"/>
      <c r="H100" s="17"/>
      <c r="P100" s="1"/>
    </row>
    <row r="101" spans="3:16" ht="15" x14ac:dyDescent="0.25">
      <c r="C101" s="32" t="s">
        <v>39</v>
      </c>
      <c r="D101" s="16"/>
      <c r="H101" s="17"/>
      <c r="P101" s="1"/>
    </row>
    <row r="102" spans="3:16" ht="15" x14ac:dyDescent="0.25">
      <c r="C102" s="32" t="s">
        <v>37</v>
      </c>
      <c r="D102" s="16"/>
      <c r="H102" s="17"/>
      <c r="P102" s="1"/>
    </row>
    <row r="103" spans="3:16" ht="15" x14ac:dyDescent="0.25">
      <c r="C103" s="32" t="s">
        <v>261</v>
      </c>
      <c r="D103" s="16"/>
      <c r="H103" s="17"/>
      <c r="P103" s="1"/>
    </row>
    <row r="104" spans="3:16" ht="15" x14ac:dyDescent="0.25">
      <c r="C104" s="32" t="s">
        <v>40</v>
      </c>
      <c r="D104" s="16"/>
      <c r="H104" s="17"/>
      <c r="P104" s="1"/>
    </row>
    <row r="105" spans="3:16" ht="15" x14ac:dyDescent="0.25">
      <c r="C105" s="32" t="s">
        <v>38</v>
      </c>
      <c r="D105" s="16"/>
      <c r="H105" s="17"/>
      <c r="P105" s="1"/>
    </row>
    <row r="106" spans="3:16" ht="15" x14ac:dyDescent="0.25">
      <c r="C106" s="10"/>
      <c r="D106" s="16"/>
      <c r="H106" s="17"/>
      <c r="P106" s="1"/>
    </row>
    <row r="107" spans="3:16" ht="15" x14ac:dyDescent="0.25">
      <c r="C107" s="82" t="s">
        <v>507</v>
      </c>
      <c r="D107" s="16"/>
      <c r="H107" s="17"/>
      <c r="P107" s="1"/>
    </row>
    <row r="108" spans="3:16" ht="15" x14ac:dyDescent="0.25">
      <c r="C108" t="s">
        <v>508</v>
      </c>
      <c r="D108" s="16"/>
      <c r="H108" s="17"/>
      <c r="P108" s="1"/>
    </row>
    <row r="109" spans="3:16" ht="15" x14ac:dyDescent="0.25">
      <c r="C109" t="s">
        <v>509</v>
      </c>
      <c r="D109" s="16"/>
      <c r="H109" s="17"/>
      <c r="P109" s="1"/>
    </row>
    <row r="110" spans="3:16" ht="15" x14ac:dyDescent="0.25">
      <c r="C110" t="s">
        <v>510</v>
      </c>
      <c r="D110" s="16"/>
      <c r="H110" s="17"/>
      <c r="P110" s="1"/>
    </row>
    <row r="111" spans="3:16" ht="15" x14ac:dyDescent="0.25">
      <c r="C111" t="s">
        <v>511</v>
      </c>
      <c r="D111" s="16"/>
      <c r="H111" s="17"/>
      <c r="P111" s="1"/>
    </row>
    <row r="112" spans="3:16" ht="15" x14ac:dyDescent="0.25">
      <c r="C112" t="s">
        <v>512</v>
      </c>
      <c r="D112" s="16"/>
      <c r="H112" s="17"/>
      <c r="P112" s="1"/>
    </row>
    <row r="113" spans="3:16" ht="15" x14ac:dyDescent="0.25">
      <c r="C113" t="s">
        <v>513</v>
      </c>
      <c r="D113" s="16"/>
      <c r="H113" s="17"/>
      <c r="P113" s="1"/>
    </row>
    <row r="114" spans="3:16" ht="15" x14ac:dyDescent="0.25">
      <c r="C114" t="s">
        <v>514</v>
      </c>
      <c r="D114" s="16"/>
      <c r="H114" s="17"/>
      <c r="P114" s="1"/>
    </row>
    <row r="115" spans="3:16" ht="15" x14ac:dyDescent="0.25">
      <c r="C115" t="s">
        <v>515</v>
      </c>
      <c r="D115" s="16"/>
      <c r="H115" s="17"/>
      <c r="P115" s="1"/>
    </row>
    <row r="116" spans="3:16" ht="15" x14ac:dyDescent="0.25">
      <c r="C116" t="s">
        <v>516</v>
      </c>
      <c r="D116" s="16"/>
      <c r="H116" s="17"/>
      <c r="P116" s="1"/>
    </row>
    <row r="117" spans="3:16" ht="15" x14ac:dyDescent="0.25">
      <c r="C117" t="s">
        <v>517</v>
      </c>
      <c r="D117" s="16"/>
      <c r="H117" s="17"/>
      <c r="P117" s="1"/>
    </row>
    <row r="118" spans="3:16" ht="15" x14ac:dyDescent="0.25">
      <c r="C118" t="s">
        <v>518</v>
      </c>
      <c r="D118" s="16"/>
      <c r="H118" s="17"/>
      <c r="P118" s="1"/>
    </row>
    <row r="119" spans="3:16" ht="15" x14ac:dyDescent="0.25">
      <c r="C119" t="s">
        <v>519</v>
      </c>
      <c r="D119" s="16"/>
      <c r="H119" s="17"/>
      <c r="P119" s="1"/>
    </row>
    <row r="120" spans="3:16" ht="15" x14ac:dyDescent="0.25">
      <c r="C120" t="s">
        <v>520</v>
      </c>
      <c r="H120" s="17"/>
      <c r="P120" s="1"/>
    </row>
    <row r="121" spans="3:16" ht="15" x14ac:dyDescent="0.25">
      <c r="C121" t="s">
        <v>521</v>
      </c>
      <c r="H121" s="17"/>
      <c r="P121" s="1"/>
    </row>
    <row r="122" spans="3:16" ht="15" x14ac:dyDescent="0.25">
      <c r="C122" t="s">
        <v>522</v>
      </c>
      <c r="H122" s="17"/>
      <c r="P122" s="1"/>
    </row>
    <row r="123" spans="3:16" ht="15" x14ac:dyDescent="0.25">
      <c r="C123" t="s">
        <v>523</v>
      </c>
      <c r="H123" s="17"/>
      <c r="P123" s="1"/>
    </row>
    <row r="124" spans="3:16" ht="15" x14ac:dyDescent="0.25">
      <c r="C124" t="s">
        <v>524</v>
      </c>
      <c r="H124" s="17"/>
      <c r="P124" s="1"/>
    </row>
    <row r="125" spans="3:16" ht="15" x14ac:dyDescent="0.25">
      <c r="C125" t="s">
        <v>525</v>
      </c>
      <c r="H125" s="17"/>
    </row>
    <row r="126" spans="3:16" ht="15" x14ac:dyDescent="0.25">
      <c r="C126" t="s">
        <v>526</v>
      </c>
      <c r="H126" s="17"/>
    </row>
    <row r="127" spans="3:16" ht="15" x14ac:dyDescent="0.25">
      <c r="C127" t="s">
        <v>527</v>
      </c>
      <c r="D127" s="16"/>
      <c r="H127" s="17"/>
    </row>
    <row r="128" spans="3:16" ht="15" x14ac:dyDescent="0.25">
      <c r="C128" t="s">
        <v>528</v>
      </c>
      <c r="D128" s="16"/>
      <c r="H128" s="17"/>
    </row>
    <row r="129" spans="3:8" ht="15" x14ac:dyDescent="0.25">
      <c r="C129" t="s">
        <v>529</v>
      </c>
      <c r="H129" s="17"/>
    </row>
    <row r="130" spans="3:8" ht="15" x14ac:dyDescent="0.25">
      <c r="C130" t="s">
        <v>530</v>
      </c>
      <c r="H130" s="17"/>
    </row>
    <row r="131" spans="3:8" ht="15" x14ac:dyDescent="0.25">
      <c r="C131" t="s">
        <v>531</v>
      </c>
      <c r="H131" s="17"/>
    </row>
    <row r="132" spans="3:8" ht="15" x14ac:dyDescent="0.25">
      <c r="C132" t="s">
        <v>532</v>
      </c>
      <c r="H132" s="17"/>
    </row>
    <row r="133" spans="3:8" ht="15" x14ac:dyDescent="0.25">
      <c r="C133" t="s">
        <v>533</v>
      </c>
    </row>
    <row r="134" spans="3:8" ht="15" x14ac:dyDescent="0.25">
      <c r="C134" t="s">
        <v>534</v>
      </c>
    </row>
    <row r="135" spans="3:8" ht="15" x14ac:dyDescent="0.25">
      <c r="C135" t="s">
        <v>535</v>
      </c>
    </row>
    <row r="136" spans="3:8" ht="15" x14ac:dyDescent="0.25">
      <c r="C136" t="s">
        <v>536</v>
      </c>
    </row>
    <row r="137" spans="3:8" ht="15" x14ac:dyDescent="0.25">
      <c r="C137" t="s">
        <v>537</v>
      </c>
    </row>
    <row r="138" spans="3:8" ht="18" customHeight="1" x14ac:dyDescent="0.25">
      <c r="C138" t="s">
        <v>549</v>
      </c>
    </row>
  </sheetData>
  <phoneticPr fontId="14" type="noConversion"/>
  <conditionalFormatting sqref="M7:M75">
    <cfRule type="containsText" dxfId="207" priority="1" operator="containsText" text="Reference">
      <formula>NOT(ISERROR(SEARCH("Reference",M7)))</formula>
    </cfRule>
    <cfRule type="containsText" dxfId="206" priority="2" operator="containsText" text="原始录入">
      <formula>NOT(ISERROR(SEARCH("原始录入",M7)))</formula>
    </cfRule>
    <cfRule type="containsText" dxfId="205" priority="3" operator="containsText" text="未">
      <formula>NOT(ISERROR(SEARCH("未",M7)))</formula>
    </cfRule>
  </conditionalFormatting>
  <pageMargins left="0.7" right="0.7" top="0.75" bottom="0.75" header="0.3" footer="0.3"/>
  <pageSetup orientation="portrait" r:id="rId1"/>
  <tableParts count="2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56" t="s">
        <v>41</v>
      </c>
      <c r="H1" s="56" t="s">
        <v>96</v>
      </c>
      <c r="I1" s="101" t="s">
        <v>243</v>
      </c>
    </row>
    <row r="2" spans="1:9" ht="36" x14ac:dyDescent="0.55000000000000004">
      <c r="A2" s="81" t="s">
        <v>384</v>
      </c>
      <c r="E2" s="1" t="s">
        <v>388</v>
      </c>
    </row>
    <row r="3" spans="1:9" ht="15.75" x14ac:dyDescent="0.25">
      <c r="B3" s="77" t="s">
        <v>320</v>
      </c>
      <c r="C3" s="77" t="s">
        <v>325</v>
      </c>
    </row>
    <row r="4" spans="1:9" x14ac:dyDescent="0.25">
      <c r="B4" s="72" t="s">
        <v>410</v>
      </c>
      <c r="C4" s="72" t="s">
        <v>326</v>
      </c>
    </row>
    <row r="6" spans="1:9" x14ac:dyDescent="0.25">
      <c r="B6" t="s">
        <v>94</v>
      </c>
    </row>
    <row r="7" spans="1:9" x14ac:dyDescent="0.25">
      <c r="B7" t="s">
        <v>333</v>
      </c>
    </row>
    <row r="8" spans="1:9" x14ac:dyDescent="0.25">
      <c r="B8" t="s">
        <v>412</v>
      </c>
    </row>
    <row r="9" spans="1:9" x14ac:dyDescent="0.25">
      <c r="B9" t="s">
        <v>457</v>
      </c>
    </row>
    <row r="10" spans="1:9" x14ac:dyDescent="0.25">
      <c r="B10" t="s">
        <v>417</v>
      </c>
    </row>
    <row r="11" spans="1:9" x14ac:dyDescent="0.25">
      <c r="B11" t="s">
        <v>548</v>
      </c>
    </row>
    <row r="12" spans="1:9" x14ac:dyDescent="0.25">
      <c r="B12" t="s">
        <v>411</v>
      </c>
    </row>
    <row r="13" spans="1:9" x14ac:dyDescent="0.25">
      <c r="B13" t="s">
        <v>414</v>
      </c>
    </row>
    <row r="14" spans="1:9" x14ac:dyDescent="0.25">
      <c r="B14" t="s">
        <v>413</v>
      </c>
    </row>
    <row r="15" spans="1:9" x14ac:dyDescent="0.25">
      <c r="B15" t="s">
        <v>415</v>
      </c>
    </row>
    <row r="16" spans="1:9" x14ac:dyDescent="0.25">
      <c r="B16" t="s">
        <v>416</v>
      </c>
    </row>
    <row r="20" spans="2:12" x14ac:dyDescent="0.25">
      <c r="K20" t="s">
        <v>404</v>
      </c>
      <c r="L20" t="s">
        <v>405</v>
      </c>
    </row>
    <row r="21" spans="2:12" x14ac:dyDescent="0.25">
      <c r="K21" t="s">
        <v>385</v>
      </c>
      <c r="L21" s="93" t="s">
        <v>67</v>
      </c>
    </row>
    <row r="22" spans="2:12" x14ac:dyDescent="0.25">
      <c r="K22" t="s">
        <v>386</v>
      </c>
      <c r="L22" s="93" t="s">
        <v>52</v>
      </c>
    </row>
    <row r="23" spans="2:12" x14ac:dyDescent="0.25">
      <c r="K23" t="s">
        <v>408</v>
      </c>
      <c r="L23" t="s">
        <v>65</v>
      </c>
    </row>
    <row r="24" spans="2:12" ht="17.25" customHeight="1" x14ac:dyDescent="0.25">
      <c r="B24" s="1" t="s">
        <v>418</v>
      </c>
      <c r="C24" s="1" t="s">
        <v>387</v>
      </c>
      <c r="K24" t="s">
        <v>409</v>
      </c>
      <c r="L24" t="s">
        <v>75</v>
      </c>
    </row>
    <row r="25" spans="2:12" ht="17.25" customHeight="1" x14ac:dyDescent="0.25">
      <c r="B25" s="91" t="s">
        <v>48</v>
      </c>
      <c r="C25" s="99"/>
      <c r="K25" t="s">
        <v>135</v>
      </c>
      <c r="L25" t="s">
        <v>245</v>
      </c>
    </row>
    <row r="26" spans="2:12" ht="17.25" customHeight="1" x14ac:dyDescent="0.25">
      <c r="B26" s="91" t="s">
        <v>49</v>
      </c>
      <c r="C26" s="99"/>
      <c r="K26" t="s">
        <v>178</v>
      </c>
      <c r="L26" t="s">
        <v>246</v>
      </c>
    </row>
    <row r="27" spans="2:12" ht="17.25" customHeight="1" x14ac:dyDescent="0.25">
      <c r="B27" s="91" t="s">
        <v>58</v>
      </c>
      <c r="C27" s="99"/>
      <c r="K27" t="s">
        <v>120</v>
      </c>
      <c r="L27" t="s">
        <v>419</v>
      </c>
    </row>
    <row r="28" spans="2:12" ht="17.25" customHeight="1" x14ac:dyDescent="0.25">
      <c r="B28" s="91" t="s">
        <v>243</v>
      </c>
      <c r="C28" s="99"/>
    </row>
    <row r="29" spans="2:12" ht="17.25" customHeight="1" x14ac:dyDescent="0.25">
      <c r="B29" s="91" t="s">
        <v>55</v>
      </c>
      <c r="C29" s="99"/>
    </row>
    <row r="30" spans="2:12" ht="17.25" customHeight="1" x14ac:dyDescent="0.25">
      <c r="B30" s="91" t="s">
        <v>408</v>
      </c>
      <c r="C30" s="99" t="s">
        <v>237</v>
      </c>
    </row>
    <row r="31" spans="2:12" ht="17.25" customHeight="1" x14ac:dyDescent="0.25">
      <c r="B31" s="91" t="s">
        <v>409</v>
      </c>
      <c r="C31" s="99" t="s">
        <v>401</v>
      </c>
    </row>
    <row r="32" spans="2:12" ht="17.25" customHeight="1" x14ac:dyDescent="0.25">
      <c r="B32" s="91" t="s">
        <v>135</v>
      </c>
      <c r="C32" s="99"/>
    </row>
    <row r="33" spans="2:3" ht="17.25" customHeight="1" x14ac:dyDescent="0.25">
      <c r="B33" s="91" t="s">
        <v>96</v>
      </c>
      <c r="C33" s="99"/>
    </row>
    <row r="34" spans="2:3" ht="17.25" customHeight="1" x14ac:dyDescent="0.25">
      <c r="B34" s="91" t="s">
        <v>120</v>
      </c>
      <c r="C34" s="100">
        <v>3.2000000000000001E-2</v>
      </c>
    </row>
    <row r="35" spans="2:3" ht="17.25" customHeight="1" x14ac:dyDescent="0.25">
      <c r="B35" s="91" t="s">
        <v>64</v>
      </c>
      <c r="C35" s="99" t="s">
        <v>85</v>
      </c>
    </row>
    <row r="36" spans="2:3" ht="17.25" customHeight="1" x14ac:dyDescent="0.25">
      <c r="B36" s="91" t="s">
        <v>57</v>
      </c>
      <c r="C36" s="99">
        <v>2</v>
      </c>
    </row>
    <row r="37" spans="2:3" ht="17.25" customHeight="1" x14ac:dyDescent="0.25">
      <c r="B37" s="91" t="s">
        <v>317</v>
      </c>
      <c r="C37" s="99" t="s">
        <v>389</v>
      </c>
    </row>
    <row r="38" spans="2:3" ht="17.25" customHeight="1" x14ac:dyDescent="0.25">
      <c r="B38" s="91" t="s">
        <v>53</v>
      </c>
      <c r="C38" s="100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V17"/>
  <sheetViews>
    <sheetView topLeftCell="A4" workbookViewId="0">
      <selection activeCell="D6" sqref="D6"/>
    </sheetView>
  </sheetViews>
  <sheetFormatPr defaultRowHeight="15" x14ac:dyDescent="0.25"/>
  <cols>
    <col min="1" max="1" width="31.5546875" style="1" bestFit="1" customWidth="1"/>
    <col min="2" max="2" width="19.6640625" style="1" bestFit="1" customWidth="1"/>
    <col min="3" max="3" width="13.33203125" style="1" bestFit="1" customWidth="1"/>
    <col min="4" max="4" width="9.33203125" style="1" bestFit="1" customWidth="1"/>
    <col min="5" max="5" width="8.77734375" style="1" bestFit="1" customWidth="1"/>
    <col min="6" max="6" width="9.44140625" style="1" bestFit="1" customWidth="1"/>
    <col min="7" max="7" width="14.44140625" style="1" bestFit="1" customWidth="1"/>
    <col min="8" max="12" width="9.44140625" style="1" bestFit="1" customWidth="1"/>
    <col min="13" max="13" width="11.109375" style="1" bestFit="1" customWidth="1"/>
    <col min="14" max="15" width="80.88671875" style="1" bestFit="1" customWidth="1"/>
    <col min="16" max="16" width="19" style="1" bestFit="1" customWidth="1"/>
    <col min="17" max="17" width="10.33203125" style="1" bestFit="1" customWidth="1"/>
    <col min="18" max="18" width="10.44140625" style="1" bestFit="1" customWidth="1"/>
    <col min="19" max="19" width="11.109375" style="1" bestFit="1" customWidth="1"/>
    <col min="20" max="20" width="25.88671875" style="1" bestFit="1" customWidth="1"/>
    <col min="21" max="21" width="47.33203125" style="1" bestFit="1" customWidth="1"/>
    <col min="22" max="22" width="11.109375" style="1" bestFit="1" customWidth="1"/>
    <col min="23" max="23" width="9.44140625" style="1" bestFit="1" customWidth="1"/>
    <col min="24" max="24" width="12.77734375" style="1" bestFit="1" customWidth="1"/>
    <col min="25" max="25" width="11.109375" style="1" bestFit="1" customWidth="1"/>
    <col min="26" max="26" width="10.33203125" style="1" bestFit="1" customWidth="1"/>
    <col min="27" max="27" width="9.44140625" style="1" bestFit="1" customWidth="1"/>
    <col min="28" max="28" width="12.77734375" style="1" bestFit="1" customWidth="1"/>
    <col min="29" max="29" width="8.109375" style="1" bestFit="1" customWidth="1"/>
    <col min="30" max="30" width="80.88671875" style="1" bestFit="1" customWidth="1"/>
    <col min="31" max="32" width="11.109375" style="1" bestFit="1" customWidth="1"/>
    <col min="33" max="33" width="12.77734375" style="1" bestFit="1" customWidth="1"/>
    <col min="34" max="34" width="9.44140625" style="1" bestFit="1" customWidth="1"/>
    <col min="35" max="35" width="11" style="1" bestFit="1" customWidth="1"/>
    <col min="36" max="36" width="9.44140625" style="1" bestFit="1" customWidth="1"/>
    <col min="37" max="37" width="6.109375" style="1" bestFit="1" customWidth="1"/>
    <col min="38" max="39" width="12.77734375" style="1" bestFit="1" customWidth="1"/>
    <col min="40" max="42" width="9.44140625" style="1" bestFit="1" customWidth="1"/>
    <col min="43" max="43" width="80.88671875" style="1" bestFit="1" customWidth="1"/>
    <col min="44" max="46" width="9.44140625" style="1" bestFit="1" customWidth="1"/>
    <col min="47" max="47" width="10.5546875" style="1" bestFit="1" customWidth="1"/>
    <col min="48" max="48" width="12.6640625" style="1" bestFit="1" customWidth="1"/>
    <col min="49" max="49" width="7.6640625" style="1" bestFit="1" customWidth="1"/>
    <col min="50" max="50" width="6.109375" style="1" bestFit="1" customWidth="1"/>
    <col min="51" max="51" width="9.44140625" style="1" bestFit="1" customWidth="1"/>
    <col min="52" max="52" width="7.77734375" style="1" bestFit="1" customWidth="1"/>
    <col min="53" max="53" width="14.88671875" style="1" bestFit="1" customWidth="1"/>
    <col min="54" max="54" width="33.21875" style="1" bestFit="1" customWidth="1"/>
    <col min="55" max="56" width="9.44140625" style="1" bestFit="1" customWidth="1"/>
    <col min="57" max="57" width="12.77734375" style="1" bestFit="1" customWidth="1"/>
    <col min="58" max="58" width="17.21875" style="1" bestFit="1" customWidth="1"/>
    <col min="59" max="59" width="9.6640625" style="1" bestFit="1" customWidth="1"/>
    <col min="60" max="60" width="31.5546875" style="1" bestFit="1" customWidth="1"/>
    <col min="61" max="61" width="10.33203125" style="1" bestFit="1" customWidth="1"/>
    <col min="62" max="62" width="10.44140625" style="1" bestFit="1" customWidth="1"/>
    <col min="63" max="63" width="6.109375" style="1" bestFit="1" customWidth="1"/>
    <col min="64" max="65" width="12.21875" style="1" bestFit="1" customWidth="1"/>
    <col min="66" max="66" width="9.44140625" style="1" bestFit="1" customWidth="1"/>
    <col min="67" max="67" width="12.77734375" style="1" bestFit="1" customWidth="1"/>
    <col min="68" max="68" width="10.21875" style="1" bestFit="1" customWidth="1"/>
    <col min="69" max="69" width="44.44140625" style="1" bestFit="1" customWidth="1"/>
    <col min="70" max="70" width="12.21875" style="1" bestFit="1" customWidth="1"/>
    <col min="71" max="71" width="11.109375" style="1" bestFit="1" customWidth="1"/>
    <col min="72" max="72" width="9.5546875" style="1" bestFit="1" customWidth="1"/>
    <col min="73" max="73" width="6.109375" style="1" bestFit="1" customWidth="1"/>
    <col min="74" max="74" width="17.44140625" style="1" bestFit="1" customWidth="1"/>
    <col min="75" max="75" width="7.6640625" style="1" bestFit="1" customWidth="1"/>
    <col min="76" max="76" width="19.44140625" style="1" bestFit="1" customWidth="1"/>
    <col min="77" max="78" width="20.21875" style="1" bestFit="1" customWidth="1"/>
    <col min="79" max="83" width="19.33203125" style="1" bestFit="1" customWidth="1"/>
    <col min="84" max="84" width="6.109375" style="1" bestFit="1" customWidth="1"/>
    <col min="85" max="85" width="19.44140625" style="1" bestFit="1" customWidth="1"/>
    <col min="86" max="16384" width="8.88671875" style="1"/>
  </cols>
  <sheetData>
    <row r="1" spans="1:74" ht="67.5" customHeight="1" x14ac:dyDescent="0.25">
      <c r="A1" s="5" t="s">
        <v>247</v>
      </c>
    </row>
    <row r="5" spans="1:74" x14ac:dyDescent="0.25">
      <c r="A5" t="s">
        <v>94</v>
      </c>
      <c r="B5" t="s">
        <v>242</v>
      </c>
      <c r="C5" t="s">
        <v>48</v>
      </c>
      <c r="D5" t="s">
        <v>49</v>
      </c>
      <c r="E5" t="s">
        <v>331</v>
      </c>
      <c r="F5" t="s">
        <v>81</v>
      </c>
      <c r="G5" t="s">
        <v>82</v>
      </c>
      <c r="H5" t="s">
        <v>105</v>
      </c>
      <c r="I5" t="s">
        <v>80</v>
      </c>
      <c r="J5" t="s">
        <v>79</v>
      </c>
      <c r="K5" t="s">
        <v>78</v>
      </c>
      <c r="L5" t="s">
        <v>77</v>
      </c>
      <c r="M5" t="s">
        <v>76</v>
      </c>
      <c r="N5" t="s">
        <v>227</v>
      </c>
      <c r="O5" t="s">
        <v>75</v>
      </c>
      <c r="P5" t="s">
        <v>104</v>
      </c>
      <c r="Q5" t="s">
        <v>74</v>
      </c>
      <c r="R5" t="s">
        <v>228</v>
      </c>
      <c r="S5" t="s">
        <v>73</v>
      </c>
      <c r="T5" t="s">
        <v>72</v>
      </c>
      <c r="U5" t="s">
        <v>71</v>
      </c>
      <c r="V5" t="s">
        <v>70</v>
      </c>
      <c r="W5" t="s">
        <v>69</v>
      </c>
      <c r="X5" t="s">
        <v>103</v>
      </c>
      <c r="Y5" t="s">
        <v>68</v>
      </c>
      <c r="Z5" t="s">
        <v>67</v>
      </c>
      <c r="AA5" t="s">
        <v>102</v>
      </c>
      <c r="AB5" t="s">
        <v>101</v>
      </c>
      <c r="AC5" t="s">
        <v>66</v>
      </c>
      <c r="AD5" t="s">
        <v>226</v>
      </c>
      <c r="AE5" t="s">
        <v>225</v>
      </c>
      <c r="AF5" t="s">
        <v>224</v>
      </c>
      <c r="AG5" t="s">
        <v>223</v>
      </c>
      <c r="AH5" t="s">
        <v>97</v>
      </c>
      <c r="AI5" t="s">
        <v>42</v>
      </c>
      <c r="AJ5" t="s">
        <v>222</v>
      </c>
      <c r="AK5" t="s">
        <v>43</v>
      </c>
      <c r="AL5" t="s">
        <v>51</v>
      </c>
      <c r="AM5" t="s">
        <v>177</v>
      </c>
      <c r="AN5" t="s">
        <v>96</v>
      </c>
      <c r="AO5" t="s">
        <v>44</v>
      </c>
      <c r="AP5" t="s">
        <v>200</v>
      </c>
      <c r="AQ5" t="s">
        <v>65</v>
      </c>
      <c r="AR5" t="s">
        <v>63</v>
      </c>
      <c r="AS5" t="s">
        <v>62</v>
      </c>
      <c r="AT5" t="s">
        <v>61</v>
      </c>
      <c r="AU5" t="s">
        <v>132</v>
      </c>
      <c r="AV5" t="s">
        <v>46</v>
      </c>
      <c r="AW5" t="s">
        <v>45</v>
      </c>
      <c r="AX5" t="s">
        <v>95</v>
      </c>
      <c r="AY5" t="s">
        <v>60</v>
      </c>
      <c r="AZ5" t="s">
        <v>59</v>
      </c>
      <c r="BA5" t="s">
        <v>56</v>
      </c>
      <c r="BB5" t="s">
        <v>55</v>
      </c>
      <c r="BC5" t="s">
        <v>243</v>
      </c>
      <c r="BD5" t="s">
        <v>330</v>
      </c>
      <c r="BE5" t="s">
        <v>54</v>
      </c>
      <c r="BF5" t="s">
        <v>208</v>
      </c>
      <c r="BG5" t="s">
        <v>207</v>
      </c>
      <c r="BH5" t="s">
        <v>100</v>
      </c>
      <c r="BI5" t="s">
        <v>52</v>
      </c>
      <c r="BJ5" t="s">
        <v>419</v>
      </c>
      <c r="BK5" t="s">
        <v>64</v>
      </c>
      <c r="BL5" t="s">
        <v>58</v>
      </c>
      <c r="BM5" t="s">
        <v>57</v>
      </c>
      <c r="BN5" t="s">
        <v>50</v>
      </c>
      <c r="BO5" t="s">
        <v>99</v>
      </c>
      <c r="BP5" t="s">
        <v>98</v>
      </c>
      <c r="BQ5" t="s">
        <v>47</v>
      </c>
      <c r="BR5" t="s">
        <v>428</v>
      </c>
      <c r="BS5" t="s">
        <v>232</v>
      </c>
      <c r="BT5" t="s">
        <v>623</v>
      </c>
      <c r="BU5" t="s">
        <v>89</v>
      </c>
      <c r="BV5" t="s">
        <v>140</v>
      </c>
    </row>
    <row r="6" spans="1:74" x14ac:dyDescent="0.25">
      <c r="A6" t="s">
        <v>560</v>
      </c>
      <c r="B6" t="s">
        <v>624</v>
      </c>
      <c r="C6" t="s">
        <v>559</v>
      </c>
      <c r="D6" s="45">
        <v>45197</v>
      </c>
      <c r="E6" t="s">
        <v>92</v>
      </c>
      <c r="F6" t="s">
        <v>131</v>
      </c>
      <c r="G6" t="s">
        <v>92</v>
      </c>
      <c r="H6" t="s">
        <v>92</v>
      </c>
      <c r="I6" t="s">
        <v>625</v>
      </c>
      <c r="J6" t="s">
        <v>626</v>
      </c>
      <c r="K6" t="s">
        <v>627</v>
      </c>
      <c r="L6" t="s">
        <v>628</v>
      </c>
      <c r="M6" t="s">
        <v>628</v>
      </c>
      <c r="N6" t="s">
        <v>629</v>
      </c>
      <c r="O6" t="s">
        <v>630</v>
      </c>
      <c r="P6" t="s">
        <v>631</v>
      </c>
      <c r="Q6" s="45">
        <v>45210</v>
      </c>
      <c r="R6" t="s">
        <v>632</v>
      </c>
      <c r="S6" s="45">
        <v>45210</v>
      </c>
      <c r="T6" t="s">
        <v>92</v>
      </c>
      <c r="U6" t="s">
        <v>560</v>
      </c>
      <c r="V6" s="45">
        <v>45393</v>
      </c>
      <c r="W6" t="s">
        <v>92</v>
      </c>
      <c r="X6">
        <v>8.5</v>
      </c>
      <c r="Y6" s="45"/>
      <c r="Z6" s="45">
        <v>45210</v>
      </c>
      <c r="AA6">
        <v>0.67</v>
      </c>
      <c r="AB6">
        <v>1000</v>
      </c>
      <c r="AC6" t="s">
        <v>633</v>
      </c>
      <c r="AD6" t="s">
        <v>634</v>
      </c>
      <c r="AE6" t="s">
        <v>92</v>
      </c>
      <c r="AF6" t="s">
        <v>92</v>
      </c>
      <c r="AG6"/>
      <c r="AH6" t="s">
        <v>635</v>
      </c>
      <c r="AI6" t="s">
        <v>636</v>
      </c>
      <c r="AJ6" t="s">
        <v>637</v>
      </c>
      <c r="AK6" t="s">
        <v>1</v>
      </c>
      <c r="AL6" t="s">
        <v>423</v>
      </c>
      <c r="AM6" t="s">
        <v>638</v>
      </c>
      <c r="AN6" t="s">
        <v>92</v>
      </c>
      <c r="AO6" t="s">
        <v>639</v>
      </c>
      <c r="AP6" t="s">
        <v>334</v>
      </c>
      <c r="AQ6" t="s">
        <v>640</v>
      </c>
      <c r="AR6"/>
      <c r="AS6"/>
      <c r="AT6"/>
      <c r="AU6"/>
      <c r="AV6" t="s">
        <v>92</v>
      </c>
      <c r="AW6" t="s">
        <v>641</v>
      </c>
      <c r="AX6" t="s">
        <v>642</v>
      </c>
      <c r="AY6"/>
      <c r="AZ6">
        <v>100</v>
      </c>
      <c r="BA6" t="s">
        <v>643</v>
      </c>
      <c r="BB6" t="s">
        <v>92</v>
      </c>
      <c r="BC6" t="s">
        <v>644</v>
      </c>
      <c r="BD6" t="s">
        <v>645</v>
      </c>
      <c r="BE6"/>
      <c r="BF6" t="s">
        <v>646</v>
      </c>
      <c r="BG6" t="s">
        <v>92</v>
      </c>
      <c r="BH6" t="s">
        <v>647</v>
      </c>
      <c r="BI6" s="45">
        <v>46306</v>
      </c>
      <c r="BJ6">
        <v>8.5</v>
      </c>
      <c r="BK6" t="s">
        <v>85</v>
      </c>
      <c r="BL6" t="s">
        <v>648</v>
      </c>
      <c r="BM6">
        <v>0.67</v>
      </c>
      <c r="BN6" t="s">
        <v>638</v>
      </c>
      <c r="BO6" t="s">
        <v>638</v>
      </c>
      <c r="BP6" t="s">
        <v>638</v>
      </c>
      <c r="BQ6" t="s">
        <v>649</v>
      </c>
      <c r="BR6" t="s">
        <v>247</v>
      </c>
      <c r="BS6" s="45"/>
      <c r="BT6" t="s">
        <v>7</v>
      </c>
      <c r="BU6" t="s">
        <v>20</v>
      </c>
      <c r="BV6" t="s">
        <v>565</v>
      </c>
    </row>
    <row r="7" spans="1:74" x14ac:dyDescent="0.25">
      <c r="A7" t="s">
        <v>573</v>
      </c>
      <c r="B7" t="s">
        <v>650</v>
      </c>
      <c r="C7" t="s">
        <v>572</v>
      </c>
      <c r="D7" s="45">
        <v>45197</v>
      </c>
      <c r="E7" t="s">
        <v>92</v>
      </c>
      <c r="F7" t="s">
        <v>131</v>
      </c>
      <c r="G7" t="s">
        <v>92</v>
      </c>
      <c r="H7" t="s">
        <v>92</v>
      </c>
      <c r="I7" t="s">
        <v>625</v>
      </c>
      <c r="J7" t="s">
        <v>626</v>
      </c>
      <c r="K7" t="s">
        <v>627</v>
      </c>
      <c r="L7" t="s">
        <v>628</v>
      </c>
      <c r="M7" t="s">
        <v>628</v>
      </c>
      <c r="N7" t="s">
        <v>651</v>
      </c>
      <c r="O7" t="s">
        <v>652</v>
      </c>
      <c r="P7" t="s">
        <v>653</v>
      </c>
      <c r="Q7" s="45">
        <v>45210</v>
      </c>
      <c r="R7" t="s">
        <v>654</v>
      </c>
      <c r="S7" s="45">
        <v>45210</v>
      </c>
      <c r="T7" t="s">
        <v>92</v>
      </c>
      <c r="U7" t="s">
        <v>573</v>
      </c>
      <c r="V7" s="45">
        <v>45393</v>
      </c>
      <c r="W7" t="s">
        <v>92</v>
      </c>
      <c r="X7">
        <v>5.9</v>
      </c>
      <c r="Y7" s="45"/>
      <c r="Z7" s="45">
        <v>45210</v>
      </c>
      <c r="AA7">
        <v>1</v>
      </c>
      <c r="AB7">
        <v>1000</v>
      </c>
      <c r="AC7" t="s">
        <v>655</v>
      </c>
      <c r="AD7" t="s">
        <v>656</v>
      </c>
      <c r="AE7" t="s">
        <v>92</v>
      </c>
      <c r="AF7" t="s">
        <v>92</v>
      </c>
      <c r="AG7"/>
      <c r="AH7" t="s">
        <v>657</v>
      </c>
      <c r="AI7" t="s">
        <v>636</v>
      </c>
      <c r="AJ7" t="s">
        <v>637</v>
      </c>
      <c r="AK7" t="s">
        <v>1</v>
      </c>
      <c r="AL7" t="s">
        <v>423</v>
      </c>
      <c r="AM7" t="s">
        <v>638</v>
      </c>
      <c r="AN7" t="s">
        <v>92</v>
      </c>
      <c r="AO7" t="s">
        <v>639</v>
      </c>
      <c r="AP7" t="s">
        <v>334</v>
      </c>
      <c r="AQ7" t="s">
        <v>658</v>
      </c>
      <c r="AR7"/>
      <c r="AS7"/>
      <c r="AT7"/>
      <c r="AU7"/>
      <c r="AV7" t="s">
        <v>92</v>
      </c>
      <c r="AW7" t="s">
        <v>659</v>
      </c>
      <c r="AX7" t="s">
        <v>660</v>
      </c>
      <c r="AY7"/>
      <c r="AZ7">
        <v>100</v>
      </c>
      <c r="BA7" t="s">
        <v>643</v>
      </c>
      <c r="BB7" t="s">
        <v>661</v>
      </c>
      <c r="BC7" t="s">
        <v>662</v>
      </c>
      <c r="BD7" t="s">
        <v>645</v>
      </c>
      <c r="BE7">
        <v>20</v>
      </c>
      <c r="BF7" t="s">
        <v>663</v>
      </c>
      <c r="BG7" t="s">
        <v>664</v>
      </c>
      <c r="BH7" t="s">
        <v>647</v>
      </c>
      <c r="BI7" s="45">
        <v>46306</v>
      </c>
      <c r="BJ7">
        <v>5.9</v>
      </c>
      <c r="BK7" t="s">
        <v>85</v>
      </c>
      <c r="BL7" t="s">
        <v>648</v>
      </c>
      <c r="BM7">
        <v>1</v>
      </c>
      <c r="BN7" t="s">
        <v>638</v>
      </c>
      <c r="BO7" t="s">
        <v>638</v>
      </c>
      <c r="BP7" t="s">
        <v>638</v>
      </c>
      <c r="BQ7" t="s">
        <v>665</v>
      </c>
      <c r="BR7" t="s">
        <v>247</v>
      </c>
      <c r="BS7" s="45"/>
      <c r="BT7" t="s">
        <v>7</v>
      </c>
      <c r="BU7" t="s">
        <v>14</v>
      </c>
      <c r="BV7" t="s">
        <v>578</v>
      </c>
    </row>
    <row r="8" spans="1:74" x14ac:dyDescent="0.25">
      <c r="A8" t="s">
        <v>567</v>
      </c>
      <c r="B8" t="s">
        <v>666</v>
      </c>
      <c r="C8" t="s">
        <v>566</v>
      </c>
      <c r="D8" s="45">
        <v>45197</v>
      </c>
      <c r="E8" t="s">
        <v>92</v>
      </c>
      <c r="F8" t="s">
        <v>667</v>
      </c>
      <c r="G8" t="s">
        <v>92</v>
      </c>
      <c r="H8" t="s">
        <v>92</v>
      </c>
      <c r="I8" t="s">
        <v>625</v>
      </c>
      <c r="J8" t="s">
        <v>626</v>
      </c>
      <c r="K8" t="s">
        <v>627</v>
      </c>
      <c r="L8" t="s">
        <v>628</v>
      </c>
      <c r="M8" t="s">
        <v>628</v>
      </c>
      <c r="N8" t="s">
        <v>668</v>
      </c>
      <c r="O8" t="s">
        <v>669</v>
      </c>
      <c r="P8" t="s">
        <v>670</v>
      </c>
      <c r="Q8" s="45">
        <v>45212</v>
      </c>
      <c r="R8" t="s">
        <v>456</v>
      </c>
      <c r="S8" s="45">
        <v>45212</v>
      </c>
      <c r="T8" t="s">
        <v>92</v>
      </c>
      <c r="U8" t="s">
        <v>567</v>
      </c>
      <c r="V8" s="45">
        <v>45578</v>
      </c>
      <c r="W8" t="s">
        <v>92</v>
      </c>
      <c r="X8">
        <v>4.8</v>
      </c>
      <c r="Y8" s="45"/>
      <c r="Z8" s="45">
        <v>45212</v>
      </c>
      <c r="AA8">
        <v>15.6</v>
      </c>
      <c r="AB8">
        <v>10000</v>
      </c>
      <c r="AC8" t="s">
        <v>671</v>
      </c>
      <c r="AD8" t="s">
        <v>672</v>
      </c>
      <c r="AE8" t="s">
        <v>92</v>
      </c>
      <c r="AF8" t="s">
        <v>92</v>
      </c>
      <c r="AG8"/>
      <c r="AH8" t="s">
        <v>673</v>
      </c>
      <c r="AI8" t="s">
        <v>636</v>
      </c>
      <c r="AJ8" t="s">
        <v>674</v>
      </c>
      <c r="AK8" t="s">
        <v>1</v>
      </c>
      <c r="AL8" t="s">
        <v>423</v>
      </c>
      <c r="AM8" t="s">
        <v>638</v>
      </c>
      <c r="AN8" t="s">
        <v>92</v>
      </c>
      <c r="AO8" t="s">
        <v>639</v>
      </c>
      <c r="AP8" t="s">
        <v>334</v>
      </c>
      <c r="AQ8" t="s">
        <v>675</v>
      </c>
      <c r="AR8"/>
      <c r="AS8"/>
      <c r="AT8"/>
      <c r="AU8"/>
      <c r="AV8" t="s">
        <v>676</v>
      </c>
      <c r="AW8" t="s">
        <v>677</v>
      </c>
      <c r="AX8" t="s">
        <v>678</v>
      </c>
      <c r="AY8"/>
      <c r="AZ8">
        <v>100</v>
      </c>
      <c r="BA8" t="s">
        <v>643</v>
      </c>
      <c r="BB8" t="s">
        <v>92</v>
      </c>
      <c r="BC8" t="s">
        <v>644</v>
      </c>
      <c r="BD8" t="s">
        <v>645</v>
      </c>
      <c r="BE8">
        <v>0</v>
      </c>
      <c r="BF8" t="s">
        <v>456</v>
      </c>
      <c r="BG8" t="s">
        <v>679</v>
      </c>
      <c r="BH8" t="s">
        <v>680</v>
      </c>
      <c r="BI8" s="45">
        <v>46308</v>
      </c>
      <c r="BJ8">
        <v>4.8</v>
      </c>
      <c r="BK8" t="s">
        <v>106</v>
      </c>
      <c r="BL8" t="s">
        <v>648</v>
      </c>
      <c r="BM8">
        <v>15.6</v>
      </c>
      <c r="BN8" t="s">
        <v>638</v>
      </c>
      <c r="BO8" t="s">
        <v>638</v>
      </c>
      <c r="BP8" t="s">
        <v>638</v>
      </c>
      <c r="BQ8" t="s">
        <v>681</v>
      </c>
      <c r="BR8" t="s">
        <v>247</v>
      </c>
      <c r="BS8" s="45"/>
      <c r="BT8" t="s">
        <v>7</v>
      </c>
      <c r="BU8" t="s">
        <v>19</v>
      </c>
      <c r="BV8" t="s">
        <v>571</v>
      </c>
    </row>
    <row r="9" spans="1:74" x14ac:dyDescent="0.25">
      <c r="A9" t="s">
        <v>550</v>
      </c>
      <c r="B9" t="s">
        <v>682</v>
      </c>
      <c r="C9" t="s">
        <v>470</v>
      </c>
      <c r="D9" s="45">
        <v>45197</v>
      </c>
      <c r="E9" t="s">
        <v>92</v>
      </c>
      <c r="F9" t="s">
        <v>131</v>
      </c>
      <c r="G9" t="s">
        <v>92</v>
      </c>
      <c r="H9" t="s">
        <v>92</v>
      </c>
      <c r="I9" t="s">
        <v>625</v>
      </c>
      <c r="J9" t="s">
        <v>626</v>
      </c>
      <c r="K9" t="s">
        <v>627</v>
      </c>
      <c r="L9" t="s">
        <v>628</v>
      </c>
      <c r="M9" t="s">
        <v>628</v>
      </c>
      <c r="N9" t="s">
        <v>683</v>
      </c>
      <c r="O9" t="s">
        <v>684</v>
      </c>
      <c r="P9" t="s">
        <v>653</v>
      </c>
      <c r="Q9" s="45">
        <v>45215</v>
      </c>
      <c r="R9" t="s">
        <v>471</v>
      </c>
      <c r="S9" s="45">
        <v>45215</v>
      </c>
      <c r="T9" t="s">
        <v>92</v>
      </c>
      <c r="U9" t="s">
        <v>550</v>
      </c>
      <c r="V9" s="45">
        <v>45398</v>
      </c>
      <c r="W9" t="s">
        <v>92</v>
      </c>
      <c r="X9">
        <v>7.1</v>
      </c>
      <c r="Y9" s="45"/>
      <c r="Z9" s="45">
        <v>45215</v>
      </c>
      <c r="AA9">
        <v>1</v>
      </c>
      <c r="AB9">
        <v>1000</v>
      </c>
      <c r="AC9" t="s">
        <v>685</v>
      </c>
      <c r="AD9" t="s">
        <v>686</v>
      </c>
      <c r="AE9" t="s">
        <v>92</v>
      </c>
      <c r="AF9" t="s">
        <v>92</v>
      </c>
      <c r="AG9"/>
      <c r="AH9" t="s">
        <v>673</v>
      </c>
      <c r="AI9" t="s">
        <v>636</v>
      </c>
      <c r="AJ9" t="s">
        <v>674</v>
      </c>
      <c r="AK9" t="s">
        <v>1</v>
      </c>
      <c r="AL9" t="s">
        <v>687</v>
      </c>
      <c r="AM9" t="s">
        <v>638</v>
      </c>
      <c r="AN9" t="s">
        <v>92</v>
      </c>
      <c r="AO9" t="s">
        <v>639</v>
      </c>
      <c r="AP9" t="s">
        <v>257</v>
      </c>
      <c r="AQ9" t="s">
        <v>688</v>
      </c>
      <c r="AR9"/>
      <c r="AS9"/>
      <c r="AT9"/>
      <c r="AU9"/>
      <c r="AV9" t="s">
        <v>689</v>
      </c>
      <c r="AW9" t="s">
        <v>690</v>
      </c>
      <c r="AX9" t="s">
        <v>691</v>
      </c>
      <c r="AY9"/>
      <c r="AZ9">
        <v>100</v>
      </c>
      <c r="BA9" t="s">
        <v>643</v>
      </c>
      <c r="BB9" t="s">
        <v>692</v>
      </c>
      <c r="BC9" t="s">
        <v>662</v>
      </c>
      <c r="BD9" t="s">
        <v>645</v>
      </c>
      <c r="BE9"/>
      <c r="BF9" t="s">
        <v>471</v>
      </c>
      <c r="BG9" t="s">
        <v>92</v>
      </c>
      <c r="BH9" t="s">
        <v>680</v>
      </c>
      <c r="BI9" s="45">
        <v>46311</v>
      </c>
      <c r="BJ9">
        <v>7.1</v>
      </c>
      <c r="BK9" t="s">
        <v>85</v>
      </c>
      <c r="BL9" t="s">
        <v>648</v>
      </c>
      <c r="BM9">
        <v>0.16</v>
      </c>
      <c r="BN9" t="s">
        <v>638</v>
      </c>
      <c r="BO9" t="s">
        <v>638</v>
      </c>
      <c r="BP9" t="s">
        <v>638</v>
      </c>
      <c r="BQ9" t="s">
        <v>693</v>
      </c>
      <c r="BR9" t="s">
        <v>247</v>
      </c>
      <c r="BS9" s="45"/>
      <c r="BT9" t="s">
        <v>7</v>
      </c>
      <c r="BU9" t="s">
        <v>15</v>
      </c>
      <c r="BV9" t="s">
        <v>553</v>
      </c>
    </row>
    <row r="10" spans="1:74" x14ac:dyDescent="0.25">
      <c r="A10" t="s">
        <v>555</v>
      </c>
      <c r="B10" t="s">
        <v>694</v>
      </c>
      <c r="C10" t="s">
        <v>554</v>
      </c>
      <c r="D10" s="45">
        <v>45197</v>
      </c>
      <c r="E10" t="s">
        <v>92</v>
      </c>
      <c r="F10" t="s">
        <v>92</v>
      </c>
      <c r="G10" t="s">
        <v>92</v>
      </c>
      <c r="H10" t="s">
        <v>92</v>
      </c>
      <c r="I10" t="s">
        <v>625</v>
      </c>
      <c r="J10" t="s">
        <v>626</v>
      </c>
      <c r="K10" t="s">
        <v>627</v>
      </c>
      <c r="L10" t="s">
        <v>628</v>
      </c>
      <c r="M10" t="s">
        <v>628</v>
      </c>
      <c r="N10" t="s">
        <v>695</v>
      </c>
      <c r="O10" t="s">
        <v>696</v>
      </c>
      <c r="P10" t="s">
        <v>92</v>
      </c>
      <c r="Q10" s="45">
        <v>45209</v>
      </c>
      <c r="R10" t="s">
        <v>92</v>
      </c>
      <c r="S10" s="45">
        <v>45209</v>
      </c>
      <c r="T10" t="s">
        <v>92</v>
      </c>
      <c r="U10" t="s">
        <v>697</v>
      </c>
      <c r="V10" s="45">
        <v>45573</v>
      </c>
      <c r="W10" t="s">
        <v>92</v>
      </c>
      <c r="X10">
        <v>7.5</v>
      </c>
      <c r="Y10" s="45"/>
      <c r="Z10" s="45">
        <v>45209</v>
      </c>
      <c r="AA10">
        <v>0.9</v>
      </c>
      <c r="AB10">
        <v>10000</v>
      </c>
      <c r="AC10" t="s">
        <v>698</v>
      </c>
      <c r="AD10" t="s">
        <v>92</v>
      </c>
      <c r="AE10" t="s">
        <v>92</v>
      </c>
      <c r="AF10" t="s">
        <v>92</v>
      </c>
      <c r="AG10"/>
      <c r="AH10" t="s">
        <v>673</v>
      </c>
      <c r="AI10" t="s">
        <v>636</v>
      </c>
      <c r="AJ10" t="s">
        <v>699</v>
      </c>
      <c r="AK10" t="s">
        <v>1</v>
      </c>
      <c r="AL10" t="s">
        <v>423</v>
      </c>
      <c r="AM10" t="s">
        <v>638</v>
      </c>
      <c r="AN10" t="s">
        <v>92</v>
      </c>
      <c r="AO10" t="s">
        <v>700</v>
      </c>
      <c r="AP10" t="s">
        <v>334</v>
      </c>
      <c r="AQ10" t="s">
        <v>701</v>
      </c>
      <c r="AR10"/>
      <c r="AS10"/>
      <c r="AT10"/>
      <c r="AU10"/>
      <c r="AV10" t="s">
        <v>702</v>
      </c>
      <c r="AW10" t="s">
        <v>703</v>
      </c>
      <c r="AX10" t="s">
        <v>704</v>
      </c>
      <c r="AY10"/>
      <c r="AZ10">
        <v>100</v>
      </c>
      <c r="BA10" t="s">
        <v>643</v>
      </c>
      <c r="BB10" t="s">
        <v>92</v>
      </c>
      <c r="BC10" t="s">
        <v>644</v>
      </c>
      <c r="BD10" t="s">
        <v>645</v>
      </c>
      <c r="BE10"/>
      <c r="BF10" t="s">
        <v>92</v>
      </c>
      <c r="BG10" t="s">
        <v>92</v>
      </c>
      <c r="BH10" t="s">
        <v>110</v>
      </c>
      <c r="BI10" s="45">
        <v>45573</v>
      </c>
      <c r="BJ10">
        <v>7.5</v>
      </c>
      <c r="BK10" t="s">
        <v>106</v>
      </c>
      <c r="BL10" t="s">
        <v>705</v>
      </c>
      <c r="BM10">
        <v>0.9</v>
      </c>
      <c r="BN10" t="s">
        <v>638</v>
      </c>
      <c r="BO10" t="s">
        <v>638</v>
      </c>
      <c r="BP10" t="s">
        <v>638</v>
      </c>
      <c r="BQ10" t="s">
        <v>706</v>
      </c>
      <c r="BR10" t="s">
        <v>247</v>
      </c>
      <c r="BS10" s="45"/>
      <c r="BT10" t="s">
        <v>7</v>
      </c>
      <c r="BU10" t="s">
        <v>10</v>
      </c>
      <c r="BV10" t="s">
        <v>558</v>
      </c>
    </row>
    <row r="11" spans="1:74" x14ac:dyDescent="0.25">
      <c r="A11" t="s">
        <v>580</v>
      </c>
      <c r="B11" t="s">
        <v>707</v>
      </c>
      <c r="C11" t="s">
        <v>579</v>
      </c>
      <c r="D11" s="45">
        <v>45196</v>
      </c>
      <c r="E11" t="s">
        <v>92</v>
      </c>
      <c r="F11" t="s">
        <v>92</v>
      </c>
      <c r="G11" t="s">
        <v>92</v>
      </c>
      <c r="H11" t="s">
        <v>92</v>
      </c>
      <c r="I11" t="s">
        <v>708</v>
      </c>
      <c r="J11" t="s">
        <v>626</v>
      </c>
      <c r="K11" t="s">
        <v>627</v>
      </c>
      <c r="L11" t="s">
        <v>628</v>
      </c>
      <c r="M11" t="s">
        <v>628</v>
      </c>
      <c r="N11" t="s">
        <v>709</v>
      </c>
      <c r="O11" t="s">
        <v>92</v>
      </c>
      <c r="P11" t="s">
        <v>92</v>
      </c>
      <c r="Q11" s="45">
        <v>45197</v>
      </c>
      <c r="R11" t="s">
        <v>92</v>
      </c>
      <c r="S11" s="45">
        <v>45197</v>
      </c>
      <c r="T11" t="s">
        <v>580</v>
      </c>
      <c r="U11" t="s">
        <v>710</v>
      </c>
      <c r="V11" s="45">
        <v>45230</v>
      </c>
      <c r="W11" t="s">
        <v>92</v>
      </c>
      <c r="X11">
        <v>3</v>
      </c>
      <c r="Y11" s="45">
        <v>45198</v>
      </c>
      <c r="Z11" s="45">
        <v>45197</v>
      </c>
      <c r="AA11">
        <v>0.12690000000000001</v>
      </c>
      <c r="AB11">
        <v>10</v>
      </c>
      <c r="AC11" t="s">
        <v>711</v>
      </c>
      <c r="AD11" t="s">
        <v>92</v>
      </c>
      <c r="AE11" t="s">
        <v>92</v>
      </c>
      <c r="AF11" t="s">
        <v>92</v>
      </c>
      <c r="AG11"/>
      <c r="AH11" t="s">
        <v>673</v>
      </c>
      <c r="AI11" t="s">
        <v>636</v>
      </c>
      <c r="AJ11" t="s">
        <v>712</v>
      </c>
      <c r="AK11" t="s">
        <v>84</v>
      </c>
      <c r="AL11" t="s">
        <v>92</v>
      </c>
      <c r="AM11" t="s">
        <v>638</v>
      </c>
      <c r="AN11" t="s">
        <v>92</v>
      </c>
      <c r="AO11" t="s">
        <v>713</v>
      </c>
      <c r="AP11" t="s">
        <v>334</v>
      </c>
      <c r="AQ11" t="s">
        <v>709</v>
      </c>
      <c r="AR11"/>
      <c r="AS11"/>
      <c r="AT11"/>
      <c r="AU11"/>
      <c r="AV11" t="s">
        <v>92</v>
      </c>
      <c r="AW11" t="s">
        <v>92</v>
      </c>
      <c r="AX11" t="s">
        <v>714</v>
      </c>
      <c r="AY11"/>
      <c r="AZ11">
        <v>100</v>
      </c>
      <c r="BA11" t="s">
        <v>643</v>
      </c>
      <c r="BB11" t="s">
        <v>92</v>
      </c>
      <c r="BC11" t="s">
        <v>715</v>
      </c>
      <c r="BD11" t="s">
        <v>92</v>
      </c>
      <c r="BE11"/>
      <c r="BF11" t="s">
        <v>92</v>
      </c>
      <c r="BG11" t="s">
        <v>92</v>
      </c>
      <c r="BH11" t="s">
        <v>110</v>
      </c>
      <c r="BI11" s="45">
        <v>45230</v>
      </c>
      <c r="BJ11">
        <v>3</v>
      </c>
      <c r="BK11" t="s">
        <v>106</v>
      </c>
      <c r="BL11" t="s">
        <v>716</v>
      </c>
      <c r="BM11">
        <v>0.127</v>
      </c>
      <c r="BN11" t="s">
        <v>638</v>
      </c>
      <c r="BO11" t="s">
        <v>638</v>
      </c>
      <c r="BP11" t="s">
        <v>638</v>
      </c>
      <c r="BQ11" t="s">
        <v>717</v>
      </c>
      <c r="BR11" t="s">
        <v>247</v>
      </c>
      <c r="BS11" s="45"/>
      <c r="BT11" t="s">
        <v>7</v>
      </c>
      <c r="BU11" t="s">
        <v>12</v>
      </c>
      <c r="BV11" t="s">
        <v>586</v>
      </c>
    </row>
    <row r="12" spans="1:74" x14ac:dyDescent="0.25">
      <c r="A12" t="s">
        <v>580</v>
      </c>
      <c r="B12" t="s">
        <v>718</v>
      </c>
      <c r="C12" t="s">
        <v>587</v>
      </c>
      <c r="D12" s="45">
        <v>45196</v>
      </c>
      <c r="E12" t="s">
        <v>92</v>
      </c>
      <c r="F12" t="s">
        <v>92</v>
      </c>
      <c r="G12" t="s">
        <v>92</v>
      </c>
      <c r="H12" t="s">
        <v>92</v>
      </c>
      <c r="I12" t="s">
        <v>708</v>
      </c>
      <c r="J12" t="s">
        <v>626</v>
      </c>
      <c r="K12" t="s">
        <v>627</v>
      </c>
      <c r="L12" t="s">
        <v>628</v>
      </c>
      <c r="M12" t="s">
        <v>628</v>
      </c>
      <c r="N12" t="s">
        <v>709</v>
      </c>
      <c r="O12" t="s">
        <v>92</v>
      </c>
      <c r="P12" t="s">
        <v>92</v>
      </c>
      <c r="Q12" s="45">
        <v>45202</v>
      </c>
      <c r="R12" t="s">
        <v>92</v>
      </c>
      <c r="S12" s="45">
        <v>45202</v>
      </c>
      <c r="T12" t="s">
        <v>580</v>
      </c>
      <c r="U12" t="s">
        <v>710</v>
      </c>
      <c r="V12" s="45">
        <v>45294</v>
      </c>
      <c r="W12" t="s">
        <v>92</v>
      </c>
      <c r="X12">
        <v>4.75</v>
      </c>
      <c r="Y12" s="45">
        <v>45234</v>
      </c>
      <c r="Z12" s="45">
        <v>45202</v>
      </c>
      <c r="AA12">
        <v>0.22900000000000001</v>
      </c>
      <c r="AB12">
        <v>100000</v>
      </c>
      <c r="AC12" t="s">
        <v>711</v>
      </c>
      <c r="AD12" t="s">
        <v>92</v>
      </c>
      <c r="AE12" t="s">
        <v>92</v>
      </c>
      <c r="AF12" t="s">
        <v>92</v>
      </c>
      <c r="AG12"/>
      <c r="AH12" t="s">
        <v>673</v>
      </c>
      <c r="AI12" t="s">
        <v>636</v>
      </c>
      <c r="AJ12" t="s">
        <v>719</v>
      </c>
      <c r="AK12" t="s">
        <v>84</v>
      </c>
      <c r="AL12" t="s">
        <v>92</v>
      </c>
      <c r="AM12" t="s">
        <v>638</v>
      </c>
      <c r="AN12" t="s">
        <v>92</v>
      </c>
      <c r="AO12" t="s">
        <v>713</v>
      </c>
      <c r="AP12" t="s">
        <v>334</v>
      </c>
      <c r="AQ12" t="s">
        <v>709</v>
      </c>
      <c r="AR12"/>
      <c r="AS12"/>
      <c r="AT12"/>
      <c r="AU12"/>
      <c r="AV12" t="s">
        <v>92</v>
      </c>
      <c r="AW12" t="s">
        <v>92</v>
      </c>
      <c r="AX12" t="s">
        <v>714</v>
      </c>
      <c r="AY12"/>
      <c r="AZ12">
        <v>100</v>
      </c>
      <c r="BA12" t="s">
        <v>643</v>
      </c>
      <c r="BB12" t="s">
        <v>92</v>
      </c>
      <c r="BC12" t="s">
        <v>715</v>
      </c>
      <c r="BD12" t="s">
        <v>645</v>
      </c>
      <c r="BE12"/>
      <c r="BF12" t="s">
        <v>92</v>
      </c>
      <c r="BG12" t="s">
        <v>92</v>
      </c>
      <c r="BH12" t="s">
        <v>110</v>
      </c>
      <c r="BI12" s="45">
        <v>45294</v>
      </c>
      <c r="BJ12">
        <v>4.75</v>
      </c>
      <c r="BK12" t="s">
        <v>109</v>
      </c>
      <c r="BL12" t="s">
        <v>720</v>
      </c>
      <c r="BM12">
        <v>0.22900000000000001</v>
      </c>
      <c r="BN12" t="s">
        <v>638</v>
      </c>
      <c r="BO12" t="s">
        <v>638</v>
      </c>
      <c r="BP12" t="s">
        <v>638</v>
      </c>
      <c r="BQ12" t="s">
        <v>721</v>
      </c>
      <c r="BR12" t="s">
        <v>247</v>
      </c>
      <c r="BS12" s="45"/>
      <c r="BT12" t="s">
        <v>7</v>
      </c>
      <c r="BU12" t="s">
        <v>12</v>
      </c>
      <c r="BV12" t="s">
        <v>589</v>
      </c>
    </row>
    <row r="13" spans="1:74" x14ac:dyDescent="0.25">
      <c r="A13" t="s">
        <v>591</v>
      </c>
      <c r="B13" t="s">
        <v>722</v>
      </c>
      <c r="C13" t="s">
        <v>590</v>
      </c>
      <c r="D13" s="45">
        <v>45196</v>
      </c>
      <c r="E13" t="s">
        <v>92</v>
      </c>
      <c r="F13" t="s">
        <v>131</v>
      </c>
      <c r="G13" t="s">
        <v>92</v>
      </c>
      <c r="H13" t="s">
        <v>92</v>
      </c>
      <c r="I13" t="s">
        <v>625</v>
      </c>
      <c r="J13" t="s">
        <v>626</v>
      </c>
      <c r="K13" t="s">
        <v>627</v>
      </c>
      <c r="L13" t="s">
        <v>628</v>
      </c>
      <c r="M13" t="s">
        <v>628</v>
      </c>
      <c r="N13" t="s">
        <v>723</v>
      </c>
      <c r="O13" t="s">
        <v>724</v>
      </c>
      <c r="P13" t="s">
        <v>92</v>
      </c>
      <c r="Q13" s="45">
        <v>45209</v>
      </c>
      <c r="R13" t="s">
        <v>92</v>
      </c>
      <c r="S13" s="45">
        <v>45209</v>
      </c>
      <c r="T13" t="s">
        <v>92</v>
      </c>
      <c r="U13" t="s">
        <v>725</v>
      </c>
      <c r="V13" s="45">
        <v>45392</v>
      </c>
      <c r="W13" t="s">
        <v>92</v>
      </c>
      <c r="X13">
        <v>6.4</v>
      </c>
      <c r="Y13" s="45"/>
      <c r="Z13" s="45">
        <v>45209</v>
      </c>
      <c r="AA13">
        <v>1</v>
      </c>
      <c r="AB13">
        <v>1000</v>
      </c>
      <c r="AC13" t="s">
        <v>726</v>
      </c>
      <c r="AD13" t="s">
        <v>92</v>
      </c>
      <c r="AE13" t="s">
        <v>92</v>
      </c>
      <c r="AF13" t="s">
        <v>92</v>
      </c>
      <c r="AG13"/>
      <c r="AH13" t="s">
        <v>673</v>
      </c>
      <c r="AI13" t="s">
        <v>636</v>
      </c>
      <c r="AJ13" t="s">
        <v>699</v>
      </c>
      <c r="AK13" t="s">
        <v>1</v>
      </c>
      <c r="AL13" t="s">
        <v>687</v>
      </c>
      <c r="AM13" t="s">
        <v>638</v>
      </c>
      <c r="AN13" t="s">
        <v>92</v>
      </c>
      <c r="AO13" t="s">
        <v>639</v>
      </c>
      <c r="AP13" t="s">
        <v>334</v>
      </c>
      <c r="AQ13" t="s">
        <v>727</v>
      </c>
      <c r="AR13"/>
      <c r="AS13"/>
      <c r="AT13"/>
      <c r="AU13"/>
      <c r="AV13" t="s">
        <v>92</v>
      </c>
      <c r="AW13" t="s">
        <v>728</v>
      </c>
      <c r="AX13" t="s">
        <v>729</v>
      </c>
      <c r="AY13"/>
      <c r="AZ13">
        <v>100</v>
      </c>
      <c r="BA13" t="s">
        <v>643</v>
      </c>
      <c r="BB13" t="s">
        <v>92</v>
      </c>
      <c r="BC13" t="s">
        <v>644</v>
      </c>
      <c r="BD13" t="s">
        <v>645</v>
      </c>
      <c r="BE13"/>
      <c r="BF13" t="s">
        <v>92</v>
      </c>
      <c r="BG13" t="s">
        <v>92</v>
      </c>
      <c r="BH13" t="s">
        <v>110</v>
      </c>
      <c r="BI13" s="45">
        <v>45573</v>
      </c>
      <c r="BJ13">
        <v>6.4</v>
      </c>
      <c r="BK13" t="s">
        <v>85</v>
      </c>
      <c r="BL13" t="s">
        <v>705</v>
      </c>
      <c r="BM13">
        <v>1</v>
      </c>
      <c r="BN13" t="s">
        <v>638</v>
      </c>
      <c r="BO13" t="s">
        <v>638</v>
      </c>
      <c r="BP13" t="s">
        <v>638</v>
      </c>
      <c r="BQ13" t="s">
        <v>730</v>
      </c>
      <c r="BR13" t="s">
        <v>247</v>
      </c>
      <c r="BS13" s="45"/>
      <c r="BT13" t="s">
        <v>7</v>
      </c>
      <c r="BU13" t="s">
        <v>25</v>
      </c>
      <c r="BV13" t="s">
        <v>595</v>
      </c>
    </row>
    <row r="14" spans="1:74" x14ac:dyDescent="0.25">
      <c r="A14" t="s">
        <v>597</v>
      </c>
      <c r="B14" t="s">
        <v>731</v>
      </c>
      <c r="C14" t="s">
        <v>596</v>
      </c>
      <c r="D14" s="45">
        <v>45196</v>
      </c>
      <c r="E14" t="s">
        <v>92</v>
      </c>
      <c r="F14" t="s">
        <v>131</v>
      </c>
      <c r="G14" t="s">
        <v>92</v>
      </c>
      <c r="H14" t="s">
        <v>92</v>
      </c>
      <c r="I14" t="s">
        <v>625</v>
      </c>
      <c r="J14" t="s">
        <v>626</v>
      </c>
      <c r="K14" t="s">
        <v>627</v>
      </c>
      <c r="L14" t="s">
        <v>628</v>
      </c>
      <c r="M14" t="s">
        <v>628</v>
      </c>
      <c r="N14" t="s">
        <v>732</v>
      </c>
      <c r="O14" t="s">
        <v>733</v>
      </c>
      <c r="P14" t="s">
        <v>653</v>
      </c>
      <c r="Q14" s="45">
        <v>45209</v>
      </c>
      <c r="R14" t="s">
        <v>734</v>
      </c>
      <c r="S14" s="45">
        <v>45209</v>
      </c>
      <c r="T14" t="s">
        <v>92</v>
      </c>
      <c r="U14" t="s">
        <v>597</v>
      </c>
      <c r="V14" s="45">
        <v>45392</v>
      </c>
      <c r="W14" t="s">
        <v>92</v>
      </c>
      <c r="X14">
        <v>3.69</v>
      </c>
      <c r="Y14" s="45"/>
      <c r="Z14" s="45">
        <v>45209</v>
      </c>
      <c r="AA14">
        <v>3</v>
      </c>
      <c r="AB14">
        <v>10000</v>
      </c>
      <c r="AC14" t="s">
        <v>735</v>
      </c>
      <c r="AD14" t="s">
        <v>736</v>
      </c>
      <c r="AE14" t="s">
        <v>92</v>
      </c>
      <c r="AF14" t="s">
        <v>92</v>
      </c>
      <c r="AG14"/>
      <c r="AH14" t="s">
        <v>673</v>
      </c>
      <c r="AI14" t="s">
        <v>636</v>
      </c>
      <c r="AJ14" t="s">
        <v>737</v>
      </c>
      <c r="AK14" t="s">
        <v>1</v>
      </c>
      <c r="AL14" t="s">
        <v>423</v>
      </c>
      <c r="AM14" t="s">
        <v>638</v>
      </c>
      <c r="AN14" t="s">
        <v>92</v>
      </c>
      <c r="AO14" t="s">
        <v>639</v>
      </c>
      <c r="AP14" t="s">
        <v>334</v>
      </c>
      <c r="AQ14" t="s">
        <v>738</v>
      </c>
      <c r="AR14"/>
      <c r="AS14"/>
      <c r="AT14"/>
      <c r="AU14"/>
      <c r="AV14" t="s">
        <v>92</v>
      </c>
      <c r="AW14" t="s">
        <v>739</v>
      </c>
      <c r="AX14" t="s">
        <v>740</v>
      </c>
      <c r="AY14"/>
      <c r="AZ14">
        <v>99.974999999999994</v>
      </c>
      <c r="BA14" t="s">
        <v>643</v>
      </c>
      <c r="BB14" t="s">
        <v>741</v>
      </c>
      <c r="BC14" t="s">
        <v>662</v>
      </c>
      <c r="BD14" t="s">
        <v>645</v>
      </c>
      <c r="BE14">
        <v>30</v>
      </c>
      <c r="BF14" t="s">
        <v>742</v>
      </c>
      <c r="BG14" t="s">
        <v>743</v>
      </c>
      <c r="BH14" t="s">
        <v>680</v>
      </c>
      <c r="BI14" s="45">
        <v>46275</v>
      </c>
      <c r="BJ14">
        <v>3.69</v>
      </c>
      <c r="BK14" t="s">
        <v>106</v>
      </c>
      <c r="BL14" t="s">
        <v>744</v>
      </c>
      <c r="BM14">
        <v>3</v>
      </c>
      <c r="BN14" t="s">
        <v>638</v>
      </c>
      <c r="BO14" t="s">
        <v>638</v>
      </c>
      <c r="BP14" t="s">
        <v>638</v>
      </c>
      <c r="BQ14" t="s">
        <v>745</v>
      </c>
      <c r="BR14" t="s">
        <v>247</v>
      </c>
      <c r="BS14" s="45"/>
      <c r="BT14" t="s">
        <v>7</v>
      </c>
      <c r="BU14" t="s">
        <v>26</v>
      </c>
      <c r="BV14" t="s">
        <v>601</v>
      </c>
    </row>
    <row r="15" spans="1:74" x14ac:dyDescent="0.25">
      <c r="A15" t="s">
        <v>603</v>
      </c>
      <c r="B15" t="s">
        <v>746</v>
      </c>
      <c r="C15" t="s">
        <v>602</v>
      </c>
      <c r="D15" s="45">
        <v>45195</v>
      </c>
      <c r="E15" t="s">
        <v>92</v>
      </c>
      <c r="F15" t="s">
        <v>131</v>
      </c>
      <c r="G15" t="s">
        <v>92</v>
      </c>
      <c r="H15" t="s">
        <v>92</v>
      </c>
      <c r="I15" t="s">
        <v>625</v>
      </c>
      <c r="J15" t="s">
        <v>626</v>
      </c>
      <c r="K15" t="s">
        <v>627</v>
      </c>
      <c r="L15" t="s">
        <v>628</v>
      </c>
      <c r="M15" t="s">
        <v>628</v>
      </c>
      <c r="N15" t="s">
        <v>747</v>
      </c>
      <c r="O15" t="s">
        <v>92</v>
      </c>
      <c r="P15" t="s">
        <v>631</v>
      </c>
      <c r="Q15" s="45">
        <v>45197</v>
      </c>
      <c r="R15" t="s">
        <v>748</v>
      </c>
      <c r="S15" s="45">
        <v>45197</v>
      </c>
      <c r="T15" t="s">
        <v>603</v>
      </c>
      <c r="U15" t="s">
        <v>749</v>
      </c>
      <c r="V15" s="45">
        <v>45379</v>
      </c>
      <c r="W15" t="s">
        <v>92</v>
      </c>
      <c r="X15">
        <v>9.6999999999999993</v>
      </c>
      <c r="Y15" s="45"/>
      <c r="Z15" s="45">
        <v>45197</v>
      </c>
      <c r="AA15">
        <v>0.66600000000000004</v>
      </c>
      <c r="AB15">
        <v>1000</v>
      </c>
      <c r="AC15" t="s">
        <v>750</v>
      </c>
      <c r="AD15" t="s">
        <v>751</v>
      </c>
      <c r="AE15" t="s">
        <v>92</v>
      </c>
      <c r="AF15" t="s">
        <v>92</v>
      </c>
      <c r="AG15"/>
      <c r="AH15" t="s">
        <v>673</v>
      </c>
      <c r="AI15" t="s">
        <v>636</v>
      </c>
      <c r="AJ15" t="s">
        <v>752</v>
      </c>
      <c r="AK15" t="s">
        <v>1</v>
      </c>
      <c r="AL15" t="s">
        <v>423</v>
      </c>
      <c r="AM15" t="s">
        <v>638</v>
      </c>
      <c r="AN15" t="s">
        <v>92</v>
      </c>
      <c r="AO15" t="s">
        <v>753</v>
      </c>
      <c r="AP15" t="s">
        <v>334</v>
      </c>
      <c r="AQ15" t="s">
        <v>747</v>
      </c>
      <c r="AR15"/>
      <c r="AS15"/>
      <c r="AT15"/>
      <c r="AU15"/>
      <c r="AV15" t="s">
        <v>92</v>
      </c>
      <c r="AW15" t="s">
        <v>754</v>
      </c>
      <c r="AX15" t="s">
        <v>755</v>
      </c>
      <c r="AY15"/>
      <c r="AZ15">
        <v>100</v>
      </c>
      <c r="BA15" t="s">
        <v>643</v>
      </c>
      <c r="BB15" t="s">
        <v>92</v>
      </c>
      <c r="BC15" t="s">
        <v>715</v>
      </c>
      <c r="BD15" t="s">
        <v>645</v>
      </c>
      <c r="BE15"/>
      <c r="BF15" t="s">
        <v>92</v>
      </c>
      <c r="BG15" t="s">
        <v>92</v>
      </c>
      <c r="BH15" t="s">
        <v>110</v>
      </c>
      <c r="BI15" s="45">
        <v>45564</v>
      </c>
      <c r="BJ15">
        <v>9.6999999999999993</v>
      </c>
      <c r="BK15" t="s">
        <v>85</v>
      </c>
      <c r="BL15" t="s">
        <v>756</v>
      </c>
      <c r="BM15">
        <v>0.66600000000000004</v>
      </c>
      <c r="BN15" t="s">
        <v>638</v>
      </c>
      <c r="BO15" t="s">
        <v>638</v>
      </c>
      <c r="BP15" t="s">
        <v>638</v>
      </c>
      <c r="BQ15" t="s">
        <v>757</v>
      </c>
      <c r="BR15" t="s">
        <v>247</v>
      </c>
      <c r="BS15" s="45"/>
      <c r="BT15" t="s">
        <v>7</v>
      </c>
      <c r="BU15" t="s">
        <v>23</v>
      </c>
      <c r="BV15" t="s">
        <v>609</v>
      </c>
    </row>
    <row r="16" spans="1:74" x14ac:dyDescent="0.25">
      <c r="A16" t="s">
        <v>333</v>
      </c>
      <c r="B16" t="s">
        <v>758</v>
      </c>
      <c r="C16" t="s">
        <v>610</v>
      </c>
      <c r="D16" s="45">
        <v>45194</v>
      </c>
      <c r="E16" t="s">
        <v>92</v>
      </c>
      <c r="F16" t="s">
        <v>131</v>
      </c>
      <c r="G16" t="s">
        <v>92</v>
      </c>
      <c r="H16" t="s">
        <v>92</v>
      </c>
      <c r="I16" t="s">
        <v>625</v>
      </c>
      <c r="J16" t="s">
        <v>626</v>
      </c>
      <c r="K16" t="s">
        <v>627</v>
      </c>
      <c r="L16" t="s">
        <v>628</v>
      </c>
      <c r="M16" t="s">
        <v>628</v>
      </c>
      <c r="N16" t="s">
        <v>759</v>
      </c>
      <c r="O16" t="s">
        <v>92</v>
      </c>
      <c r="P16" t="s">
        <v>92</v>
      </c>
      <c r="Q16" s="45">
        <v>45197</v>
      </c>
      <c r="R16" t="s">
        <v>92</v>
      </c>
      <c r="S16" s="45">
        <v>45197</v>
      </c>
      <c r="T16" t="s">
        <v>92</v>
      </c>
      <c r="U16" t="s">
        <v>760</v>
      </c>
      <c r="V16" s="45">
        <v>45379</v>
      </c>
      <c r="W16" t="s">
        <v>92</v>
      </c>
      <c r="X16">
        <v>5.25</v>
      </c>
      <c r="Y16" s="45"/>
      <c r="Z16" s="45">
        <v>45197</v>
      </c>
      <c r="AA16">
        <v>1</v>
      </c>
      <c r="AB16">
        <v>1000</v>
      </c>
      <c r="AC16" t="s">
        <v>761</v>
      </c>
      <c r="AD16" t="s">
        <v>92</v>
      </c>
      <c r="AE16" t="s">
        <v>92</v>
      </c>
      <c r="AF16" t="s">
        <v>92</v>
      </c>
      <c r="AG16"/>
      <c r="AH16" t="s">
        <v>657</v>
      </c>
      <c r="AI16" t="s">
        <v>762</v>
      </c>
      <c r="AJ16" t="s">
        <v>763</v>
      </c>
      <c r="AK16" t="s">
        <v>84</v>
      </c>
      <c r="AL16" t="s">
        <v>764</v>
      </c>
      <c r="AM16" t="s">
        <v>638</v>
      </c>
      <c r="AN16" t="s">
        <v>92</v>
      </c>
      <c r="AO16" t="s">
        <v>459</v>
      </c>
      <c r="AP16" t="s">
        <v>334</v>
      </c>
      <c r="AQ16" t="s">
        <v>765</v>
      </c>
      <c r="AR16"/>
      <c r="AS16"/>
      <c r="AT16"/>
      <c r="AU16"/>
      <c r="AV16" t="s">
        <v>92</v>
      </c>
      <c r="AW16" t="s">
        <v>766</v>
      </c>
      <c r="AX16" t="s">
        <v>714</v>
      </c>
      <c r="AY16"/>
      <c r="AZ16"/>
      <c r="BA16" t="s">
        <v>643</v>
      </c>
      <c r="BB16" t="s">
        <v>92</v>
      </c>
      <c r="BC16" t="s">
        <v>644</v>
      </c>
      <c r="BD16" t="s">
        <v>645</v>
      </c>
      <c r="BE16"/>
      <c r="BF16" t="s">
        <v>92</v>
      </c>
      <c r="BG16" t="s">
        <v>92</v>
      </c>
      <c r="BH16" t="s">
        <v>110</v>
      </c>
      <c r="BI16" s="45">
        <v>46261</v>
      </c>
      <c r="BJ16">
        <v>5.25</v>
      </c>
      <c r="BK16" t="s">
        <v>85</v>
      </c>
      <c r="BL16" t="s">
        <v>767</v>
      </c>
      <c r="BM16">
        <v>1</v>
      </c>
      <c r="BN16" t="s">
        <v>638</v>
      </c>
      <c r="BO16" t="s">
        <v>768</v>
      </c>
      <c r="BP16" t="s">
        <v>769</v>
      </c>
      <c r="BQ16" t="s">
        <v>770</v>
      </c>
      <c r="BR16" t="s">
        <v>247</v>
      </c>
      <c r="BS16" s="45"/>
      <c r="BT16" t="s">
        <v>7</v>
      </c>
      <c r="BU16" t="s">
        <v>12</v>
      </c>
      <c r="BV16" t="s">
        <v>615</v>
      </c>
    </row>
    <row r="17" spans="1:74" x14ac:dyDescent="0.25">
      <c r="A17" t="s">
        <v>617</v>
      </c>
      <c r="B17" t="s">
        <v>771</v>
      </c>
      <c r="C17" t="s">
        <v>616</v>
      </c>
      <c r="D17" s="45">
        <v>45194</v>
      </c>
      <c r="E17" t="s">
        <v>92</v>
      </c>
      <c r="F17" t="s">
        <v>667</v>
      </c>
      <c r="G17" t="s">
        <v>92</v>
      </c>
      <c r="H17" t="s">
        <v>92</v>
      </c>
      <c r="I17" t="s">
        <v>625</v>
      </c>
      <c r="J17" t="s">
        <v>626</v>
      </c>
      <c r="K17" t="s">
        <v>627</v>
      </c>
      <c r="L17" t="s">
        <v>628</v>
      </c>
      <c r="M17" t="s">
        <v>628</v>
      </c>
      <c r="N17" t="s">
        <v>772</v>
      </c>
      <c r="O17" t="s">
        <v>773</v>
      </c>
      <c r="P17" t="s">
        <v>631</v>
      </c>
      <c r="Q17" s="45">
        <v>45209</v>
      </c>
      <c r="R17" t="s">
        <v>774</v>
      </c>
      <c r="S17" s="45">
        <v>45209</v>
      </c>
      <c r="T17" t="s">
        <v>617</v>
      </c>
      <c r="U17" t="s">
        <v>775</v>
      </c>
      <c r="V17" s="45">
        <v>45575</v>
      </c>
      <c r="W17" t="s">
        <v>92</v>
      </c>
      <c r="X17">
        <v>3.98</v>
      </c>
      <c r="Y17" s="45"/>
      <c r="Z17" s="45">
        <v>45209</v>
      </c>
      <c r="AA17">
        <v>7.3</v>
      </c>
      <c r="AB17">
        <v>10000</v>
      </c>
      <c r="AC17" t="s">
        <v>776</v>
      </c>
      <c r="AD17" t="s">
        <v>777</v>
      </c>
      <c r="AE17" t="s">
        <v>92</v>
      </c>
      <c r="AF17" t="s">
        <v>92</v>
      </c>
      <c r="AG17"/>
      <c r="AH17" t="s">
        <v>657</v>
      </c>
      <c r="AI17" t="s">
        <v>636</v>
      </c>
      <c r="AJ17" t="s">
        <v>637</v>
      </c>
      <c r="AK17" t="s">
        <v>1</v>
      </c>
      <c r="AL17" t="s">
        <v>764</v>
      </c>
      <c r="AM17" t="s">
        <v>638</v>
      </c>
      <c r="AN17" t="s">
        <v>778</v>
      </c>
      <c r="AO17" t="s">
        <v>639</v>
      </c>
      <c r="AP17" t="s">
        <v>334</v>
      </c>
      <c r="AQ17" t="s">
        <v>779</v>
      </c>
      <c r="AR17"/>
      <c r="AS17"/>
      <c r="AT17"/>
      <c r="AU17"/>
      <c r="AV17" t="s">
        <v>780</v>
      </c>
      <c r="AW17" t="s">
        <v>781</v>
      </c>
      <c r="AX17" t="s">
        <v>782</v>
      </c>
      <c r="AY17"/>
      <c r="AZ17">
        <v>100</v>
      </c>
      <c r="BA17" t="s">
        <v>643</v>
      </c>
      <c r="BB17" t="s">
        <v>92</v>
      </c>
      <c r="BC17" t="s">
        <v>715</v>
      </c>
      <c r="BD17" t="s">
        <v>645</v>
      </c>
      <c r="BE17">
        <v>22</v>
      </c>
      <c r="BF17" t="s">
        <v>774</v>
      </c>
      <c r="BG17" t="s">
        <v>783</v>
      </c>
      <c r="BH17" t="s">
        <v>647</v>
      </c>
      <c r="BI17" s="45">
        <v>46305</v>
      </c>
      <c r="BJ17">
        <v>3.98</v>
      </c>
      <c r="BK17" t="s">
        <v>106</v>
      </c>
      <c r="BL17" t="s">
        <v>648</v>
      </c>
      <c r="BM17">
        <v>7.3</v>
      </c>
      <c r="BN17" t="s">
        <v>638</v>
      </c>
      <c r="BO17" t="s">
        <v>638</v>
      </c>
      <c r="BP17" t="s">
        <v>638</v>
      </c>
      <c r="BQ17" t="s">
        <v>784</v>
      </c>
      <c r="BR17" t="s">
        <v>247</v>
      </c>
      <c r="BS17" s="45"/>
      <c r="BT17" t="s">
        <v>7</v>
      </c>
      <c r="BU17" t="s">
        <v>17</v>
      </c>
      <c r="BV17" t="s">
        <v>622</v>
      </c>
    </row>
  </sheetData>
  <phoneticPr fontId="33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Z17"/>
  <sheetViews>
    <sheetView workbookViewId="0">
      <selection activeCell="A7" sqref="A7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31.5546875" style="1" bestFit="1" customWidth="1"/>
    <col min="4" max="4" width="18.44140625" style="1" bestFit="1" customWidth="1"/>
    <col min="5" max="5" width="9.44140625" style="1" bestFit="1" customWidth="1"/>
    <col min="6" max="6" width="11.109375" style="1" bestFit="1" customWidth="1"/>
    <col min="7" max="7" width="14.44140625" style="1" bestFit="1" customWidth="1"/>
    <col min="8" max="11" width="9.44140625" style="1" bestFit="1" customWidth="1"/>
    <col min="12" max="12" width="33.6640625" style="1" bestFit="1" customWidth="1"/>
    <col min="13" max="13" width="52.33203125" style="1" bestFit="1" customWidth="1"/>
    <col min="14" max="14" width="14.44140625" style="1" bestFit="1" customWidth="1"/>
    <col min="15" max="16" width="10.33203125" style="1" bestFit="1" customWidth="1"/>
    <col min="17" max="17" width="11.109375" style="1" bestFit="1" customWidth="1"/>
    <col min="18" max="18" width="18.5546875" style="1" bestFit="1" customWidth="1"/>
    <col min="19" max="19" width="6.109375" style="1" bestFit="1" customWidth="1"/>
    <col min="20" max="20" width="7.77734375" style="1" bestFit="1" customWidth="1"/>
    <col min="21" max="21" width="12.21875" style="1" bestFit="1" customWidth="1"/>
    <col min="22" max="22" width="20.21875" style="1" bestFit="1" customWidth="1"/>
    <col min="23" max="23" width="20.109375" style="1" bestFit="1" customWidth="1"/>
    <col min="24" max="24" width="13.5546875" style="1" bestFit="1" customWidth="1"/>
    <col min="25" max="25" width="10.44140625" style="1" bestFit="1" customWidth="1"/>
    <col min="26" max="26" width="17.44140625" style="1" bestFit="1" customWidth="1"/>
    <col min="27" max="27" width="13.33203125" style="1" bestFit="1" customWidth="1"/>
    <col min="28" max="28" width="10.21875" style="1" bestFit="1" customWidth="1"/>
    <col min="29" max="29" width="7.44140625" style="1" bestFit="1" customWidth="1"/>
    <col min="30" max="30" width="13.5546875" style="1" bestFit="1" customWidth="1"/>
    <col min="31" max="31" width="10.44140625" style="1" bestFit="1" customWidth="1"/>
    <col min="32" max="32" width="7.6640625" style="1" bestFit="1" customWidth="1"/>
    <col min="33" max="33" width="20.44140625" style="1" bestFit="1" customWidth="1"/>
    <col min="34" max="34" width="7.6640625" style="1" bestFit="1" customWidth="1"/>
    <col min="35" max="35" width="19.44140625" style="1" bestFit="1" customWidth="1"/>
    <col min="36" max="36" width="12.6640625" style="1" bestFit="1" customWidth="1"/>
    <col min="37" max="37" width="13.33203125" style="1" bestFit="1" customWidth="1"/>
    <col min="38" max="38" width="20.109375" style="1" bestFit="1" customWidth="1"/>
    <col min="39" max="39" width="20.21875" style="1" bestFit="1" customWidth="1"/>
    <col min="40" max="40" width="12.77734375" style="1" bestFit="1" customWidth="1"/>
    <col min="41" max="41" width="11.44140625" style="1" bestFit="1" customWidth="1"/>
    <col min="42" max="42" width="14.33203125" style="1" bestFit="1" customWidth="1"/>
    <col min="43" max="43" width="12.6640625" style="1" bestFit="1" customWidth="1"/>
    <col min="44" max="44" width="20.109375" style="1" bestFit="1" customWidth="1"/>
    <col min="45" max="45" width="21" style="1" bestFit="1" customWidth="1"/>
    <col min="46" max="46" width="12.21875" style="1" bestFit="1" customWidth="1"/>
    <col min="47" max="47" width="9.5546875" style="1" bestFit="1" customWidth="1"/>
    <col min="48" max="48" width="11.6640625" style="1" bestFit="1" customWidth="1"/>
    <col min="49" max="49" width="21" style="1" customWidth="1"/>
    <col min="50" max="50" width="11.6640625" style="1" customWidth="1"/>
    <col min="51" max="16384" width="8.88671875" style="1"/>
  </cols>
  <sheetData>
    <row r="1" spans="1:26" ht="67.5" customHeight="1" x14ac:dyDescent="0.25">
      <c r="A1" s="46" t="s">
        <v>824</v>
      </c>
    </row>
    <row r="5" spans="1:26" x14ac:dyDescent="0.25">
      <c r="A5" t="s">
        <v>49</v>
      </c>
      <c r="B5" t="s">
        <v>48</v>
      </c>
      <c r="C5" t="s">
        <v>94</v>
      </c>
      <c r="D5" t="s">
        <v>145</v>
      </c>
      <c r="E5" t="s">
        <v>135</v>
      </c>
      <c r="F5" t="s">
        <v>236</v>
      </c>
      <c r="G5" t="s">
        <v>266</v>
      </c>
      <c r="H5" t="s">
        <v>178</v>
      </c>
      <c r="I5" t="s">
        <v>119</v>
      </c>
      <c r="J5" t="s">
        <v>244</v>
      </c>
      <c r="K5" t="s">
        <v>69</v>
      </c>
      <c r="L5" t="s">
        <v>71</v>
      </c>
      <c r="M5" t="s">
        <v>72</v>
      </c>
      <c r="N5" t="s">
        <v>82</v>
      </c>
      <c r="O5" t="s">
        <v>67</v>
      </c>
      <c r="P5" t="s">
        <v>52</v>
      </c>
      <c r="Q5" t="s">
        <v>68</v>
      </c>
      <c r="R5" t="s">
        <v>120</v>
      </c>
      <c r="S5" t="s">
        <v>64</v>
      </c>
      <c r="T5" t="s">
        <v>59</v>
      </c>
      <c r="U5" t="s">
        <v>57</v>
      </c>
      <c r="V5" t="s">
        <v>500</v>
      </c>
      <c r="W5" t="s">
        <v>501</v>
      </c>
      <c r="X5" s="129" t="s">
        <v>502</v>
      </c>
      <c r="Y5" t="s">
        <v>503</v>
      </c>
      <c r="Z5" t="s">
        <v>140</v>
      </c>
    </row>
    <row r="6" spans="1:26" x14ac:dyDescent="0.25">
      <c r="A6" s="45">
        <v>45197</v>
      </c>
      <c r="B6" t="s">
        <v>470</v>
      </c>
      <c r="C6" t="s">
        <v>550</v>
      </c>
      <c r="D6" s="44" t="s">
        <v>92</v>
      </c>
      <c r="E6" t="s">
        <v>83</v>
      </c>
      <c r="F6" t="s">
        <v>255</v>
      </c>
      <c r="G6" t="s">
        <v>7</v>
      </c>
      <c r="H6" t="s">
        <v>83</v>
      </c>
      <c r="I6"/>
      <c r="J6"/>
      <c r="K6" t="s">
        <v>92</v>
      </c>
      <c r="L6" t="s">
        <v>551</v>
      </c>
      <c r="M6" t="s">
        <v>7</v>
      </c>
      <c r="N6" t="s">
        <v>92</v>
      </c>
      <c r="O6" s="45">
        <v>45215</v>
      </c>
      <c r="P6" s="45">
        <v>46311</v>
      </c>
      <c r="Q6" s="45"/>
      <c r="R6" t="s">
        <v>552</v>
      </c>
      <c r="S6" t="s">
        <v>85</v>
      </c>
      <c r="T6">
        <v>100</v>
      </c>
      <c r="U6">
        <v>1</v>
      </c>
      <c r="V6" t="s">
        <v>92</v>
      </c>
      <c r="W6" t="s">
        <v>92</v>
      </c>
      <c r="X6" t="s">
        <v>92</v>
      </c>
      <c r="Y6" t="s">
        <v>83</v>
      </c>
      <c r="Z6" t="s">
        <v>553</v>
      </c>
    </row>
    <row r="7" spans="1:26" x14ac:dyDescent="0.25">
      <c r="A7" s="45">
        <v>45197</v>
      </c>
      <c r="B7" t="s">
        <v>554</v>
      </c>
      <c r="C7" t="s">
        <v>555</v>
      </c>
      <c r="D7" t="s">
        <v>92</v>
      </c>
      <c r="E7" t="s">
        <v>83</v>
      </c>
      <c r="F7" t="s">
        <v>255</v>
      </c>
      <c r="G7" t="s">
        <v>7</v>
      </c>
      <c r="H7" t="s">
        <v>83</v>
      </c>
      <c r="I7"/>
      <c r="J7"/>
      <c r="K7" t="s">
        <v>92</v>
      </c>
      <c r="L7" t="s">
        <v>556</v>
      </c>
      <c r="M7" t="s">
        <v>7</v>
      </c>
      <c r="N7" t="s">
        <v>92</v>
      </c>
      <c r="O7" s="45">
        <v>45209</v>
      </c>
      <c r="P7" s="45">
        <v>45573</v>
      </c>
      <c r="Q7" s="45"/>
      <c r="R7" t="s">
        <v>557</v>
      </c>
      <c r="S7" t="s">
        <v>106</v>
      </c>
      <c r="T7">
        <v>100</v>
      </c>
      <c r="U7">
        <v>0.9</v>
      </c>
      <c r="V7" t="s">
        <v>92</v>
      </c>
      <c r="W7" t="s">
        <v>92</v>
      </c>
      <c r="X7" t="s">
        <v>92</v>
      </c>
      <c r="Y7" t="s">
        <v>83</v>
      </c>
      <c r="Z7" t="s">
        <v>558</v>
      </c>
    </row>
    <row r="8" spans="1:26" x14ac:dyDescent="0.25">
      <c r="A8" s="45">
        <v>45197</v>
      </c>
      <c r="B8" t="s">
        <v>559</v>
      </c>
      <c r="C8" t="s">
        <v>560</v>
      </c>
      <c r="D8" t="s">
        <v>92</v>
      </c>
      <c r="E8" t="s">
        <v>83</v>
      </c>
      <c r="F8" t="s">
        <v>255</v>
      </c>
      <c r="G8" t="s">
        <v>7</v>
      </c>
      <c r="H8" t="s">
        <v>561</v>
      </c>
      <c r="I8"/>
      <c r="J8"/>
      <c r="K8" t="s">
        <v>92</v>
      </c>
      <c r="L8" t="s">
        <v>562</v>
      </c>
      <c r="M8" t="s">
        <v>7</v>
      </c>
      <c r="N8" t="s">
        <v>92</v>
      </c>
      <c r="O8" s="45">
        <v>45210</v>
      </c>
      <c r="P8" s="45">
        <v>46306</v>
      </c>
      <c r="Q8" s="45"/>
      <c r="R8" t="s">
        <v>563</v>
      </c>
      <c r="S8" t="s">
        <v>85</v>
      </c>
      <c r="T8">
        <v>100</v>
      </c>
      <c r="U8">
        <v>0.67</v>
      </c>
      <c r="V8" t="s">
        <v>564</v>
      </c>
      <c r="W8" t="s">
        <v>561</v>
      </c>
      <c r="X8" t="s">
        <v>92</v>
      </c>
      <c r="Y8" t="s">
        <v>83</v>
      </c>
      <c r="Z8" t="s">
        <v>565</v>
      </c>
    </row>
    <row r="9" spans="1:26" x14ac:dyDescent="0.25">
      <c r="A9" s="45">
        <v>45197</v>
      </c>
      <c r="B9" t="s">
        <v>566</v>
      </c>
      <c r="C9" t="s">
        <v>567</v>
      </c>
      <c r="D9" t="s">
        <v>92</v>
      </c>
      <c r="E9" t="s">
        <v>83</v>
      </c>
      <c r="F9" t="s">
        <v>255</v>
      </c>
      <c r="G9" t="s">
        <v>7</v>
      </c>
      <c r="H9" t="s">
        <v>83</v>
      </c>
      <c r="I9"/>
      <c r="J9"/>
      <c r="K9" t="s">
        <v>92</v>
      </c>
      <c r="L9" t="s">
        <v>568</v>
      </c>
      <c r="M9" t="s">
        <v>7</v>
      </c>
      <c r="N9" t="s">
        <v>92</v>
      </c>
      <c r="O9" s="45">
        <v>45212</v>
      </c>
      <c r="P9" s="45">
        <v>46308</v>
      </c>
      <c r="Q9" s="45"/>
      <c r="R9" t="s">
        <v>569</v>
      </c>
      <c r="S9" t="s">
        <v>106</v>
      </c>
      <c r="T9">
        <v>100</v>
      </c>
      <c r="U9">
        <v>15.6</v>
      </c>
      <c r="V9" t="s">
        <v>570</v>
      </c>
      <c r="W9" t="s">
        <v>83</v>
      </c>
      <c r="X9" t="s">
        <v>92</v>
      </c>
      <c r="Y9" t="s">
        <v>83</v>
      </c>
      <c r="Z9" t="s">
        <v>571</v>
      </c>
    </row>
    <row r="10" spans="1:26" x14ac:dyDescent="0.25">
      <c r="A10" s="45">
        <v>45197</v>
      </c>
      <c r="B10" t="s">
        <v>572</v>
      </c>
      <c r="C10" t="s">
        <v>573</v>
      </c>
      <c r="D10" t="s">
        <v>92</v>
      </c>
      <c r="E10" t="s">
        <v>83</v>
      </c>
      <c r="F10" t="s">
        <v>255</v>
      </c>
      <c r="G10" t="s">
        <v>7</v>
      </c>
      <c r="H10" t="s">
        <v>574</v>
      </c>
      <c r="I10"/>
      <c r="J10"/>
      <c r="K10" t="s">
        <v>92</v>
      </c>
      <c r="L10" t="s">
        <v>575</v>
      </c>
      <c r="M10" t="s">
        <v>7</v>
      </c>
      <c r="N10" t="s">
        <v>92</v>
      </c>
      <c r="O10" s="45">
        <v>45210</v>
      </c>
      <c r="P10" s="45">
        <v>46306</v>
      </c>
      <c r="Q10" s="45"/>
      <c r="R10" t="s">
        <v>576</v>
      </c>
      <c r="S10" t="s">
        <v>85</v>
      </c>
      <c r="T10">
        <v>100</v>
      </c>
      <c r="U10">
        <v>1</v>
      </c>
      <c r="V10" t="s">
        <v>577</v>
      </c>
      <c r="W10" t="s">
        <v>574</v>
      </c>
      <c r="X10" t="s">
        <v>92</v>
      </c>
      <c r="Y10" t="s">
        <v>83</v>
      </c>
      <c r="Z10" t="s">
        <v>578</v>
      </c>
    </row>
    <row r="11" spans="1:26" x14ac:dyDescent="0.25">
      <c r="A11" s="45">
        <v>45196</v>
      </c>
      <c r="B11" t="s">
        <v>579</v>
      </c>
      <c r="C11" t="s">
        <v>580</v>
      </c>
      <c r="D11" t="s">
        <v>92</v>
      </c>
      <c r="E11" t="s">
        <v>83</v>
      </c>
      <c r="F11" t="s">
        <v>581</v>
      </c>
      <c r="G11" t="s">
        <v>7</v>
      </c>
      <c r="H11" t="s">
        <v>83</v>
      </c>
      <c r="I11"/>
      <c r="J11"/>
      <c r="K11" t="s">
        <v>92</v>
      </c>
      <c r="L11" t="s">
        <v>582</v>
      </c>
      <c r="M11" t="s">
        <v>583</v>
      </c>
      <c r="N11" t="s">
        <v>92</v>
      </c>
      <c r="O11" s="45">
        <v>45197</v>
      </c>
      <c r="P11" s="45">
        <v>45230</v>
      </c>
      <c r="Q11" s="45"/>
      <c r="R11" t="s">
        <v>151</v>
      </c>
      <c r="S11" t="s">
        <v>106</v>
      </c>
      <c r="T11">
        <v>100</v>
      </c>
      <c r="U11">
        <v>0.127</v>
      </c>
      <c r="V11" t="s">
        <v>584</v>
      </c>
      <c r="W11" t="s">
        <v>585</v>
      </c>
      <c r="X11" t="s">
        <v>92</v>
      </c>
      <c r="Y11" t="s">
        <v>83</v>
      </c>
      <c r="Z11" t="s">
        <v>586</v>
      </c>
    </row>
    <row r="12" spans="1:26" x14ac:dyDescent="0.25">
      <c r="A12" s="45">
        <v>45196</v>
      </c>
      <c r="B12" t="s">
        <v>587</v>
      </c>
      <c r="C12" t="s">
        <v>580</v>
      </c>
      <c r="D12" t="s">
        <v>92</v>
      </c>
      <c r="E12" t="s">
        <v>83</v>
      </c>
      <c r="F12" t="s">
        <v>581</v>
      </c>
      <c r="G12" t="s">
        <v>7</v>
      </c>
      <c r="H12" t="s">
        <v>83</v>
      </c>
      <c r="I12"/>
      <c r="J12"/>
      <c r="K12" t="s">
        <v>92</v>
      </c>
      <c r="L12" t="s">
        <v>582</v>
      </c>
      <c r="M12" t="s">
        <v>583</v>
      </c>
      <c r="N12" t="s">
        <v>92</v>
      </c>
      <c r="O12" s="45">
        <v>45202</v>
      </c>
      <c r="P12" s="45">
        <v>45294</v>
      </c>
      <c r="Q12" s="45"/>
      <c r="R12" t="s">
        <v>588</v>
      </c>
      <c r="S12" t="s">
        <v>109</v>
      </c>
      <c r="T12">
        <v>100</v>
      </c>
      <c r="U12">
        <v>0.22900000000000001</v>
      </c>
      <c r="V12" t="s">
        <v>584</v>
      </c>
      <c r="W12" t="s">
        <v>585</v>
      </c>
      <c r="X12" t="s">
        <v>92</v>
      </c>
      <c r="Y12" t="s">
        <v>83</v>
      </c>
      <c r="Z12" t="s">
        <v>589</v>
      </c>
    </row>
    <row r="13" spans="1:26" x14ac:dyDescent="0.25">
      <c r="A13" s="45">
        <v>45196</v>
      </c>
      <c r="B13" t="s">
        <v>590</v>
      </c>
      <c r="C13" t="s">
        <v>591</v>
      </c>
      <c r="D13" t="s">
        <v>92</v>
      </c>
      <c r="E13" t="s">
        <v>83</v>
      </c>
      <c r="F13" t="s">
        <v>255</v>
      </c>
      <c r="G13" t="s">
        <v>7</v>
      </c>
      <c r="H13" t="s">
        <v>83</v>
      </c>
      <c r="I13"/>
      <c r="J13"/>
      <c r="K13" t="s">
        <v>92</v>
      </c>
      <c r="L13" t="s">
        <v>592</v>
      </c>
      <c r="M13" t="s">
        <v>7</v>
      </c>
      <c r="N13" t="s">
        <v>92</v>
      </c>
      <c r="O13" s="45">
        <v>45209</v>
      </c>
      <c r="P13" s="45">
        <v>45573</v>
      </c>
      <c r="Q13" s="45"/>
      <c r="R13" t="s">
        <v>593</v>
      </c>
      <c r="S13" t="s">
        <v>85</v>
      </c>
      <c r="T13">
        <v>100</v>
      </c>
      <c r="U13">
        <v>1</v>
      </c>
      <c r="V13" t="s">
        <v>594</v>
      </c>
      <c r="W13" t="s">
        <v>83</v>
      </c>
      <c r="X13" t="s">
        <v>92</v>
      </c>
      <c r="Y13" t="s">
        <v>83</v>
      </c>
      <c r="Z13" t="s">
        <v>595</v>
      </c>
    </row>
    <row r="14" spans="1:26" x14ac:dyDescent="0.25">
      <c r="A14" s="45">
        <v>45196</v>
      </c>
      <c r="B14" t="s">
        <v>596</v>
      </c>
      <c r="C14" t="s">
        <v>597</v>
      </c>
      <c r="D14" t="s">
        <v>92</v>
      </c>
      <c r="E14" t="s">
        <v>83</v>
      </c>
      <c r="F14" t="s">
        <v>255</v>
      </c>
      <c r="G14" t="s">
        <v>7</v>
      </c>
      <c r="H14" t="s">
        <v>83</v>
      </c>
      <c r="I14"/>
      <c r="J14"/>
      <c r="K14" t="s">
        <v>92</v>
      </c>
      <c r="L14" t="s">
        <v>598</v>
      </c>
      <c r="M14" t="s">
        <v>7</v>
      </c>
      <c r="N14" t="s">
        <v>92</v>
      </c>
      <c r="O14" s="45">
        <v>45209</v>
      </c>
      <c r="P14" s="45">
        <v>46275</v>
      </c>
      <c r="Q14" s="45"/>
      <c r="R14" t="s">
        <v>599</v>
      </c>
      <c r="S14" t="s">
        <v>106</v>
      </c>
      <c r="T14">
        <v>99.975000000000009</v>
      </c>
      <c r="U14">
        <v>3</v>
      </c>
      <c r="V14" t="s">
        <v>600</v>
      </c>
      <c r="W14" t="s">
        <v>83</v>
      </c>
      <c r="X14" t="s">
        <v>92</v>
      </c>
      <c r="Y14" t="s">
        <v>83</v>
      </c>
      <c r="Z14" t="s">
        <v>601</v>
      </c>
    </row>
    <row r="15" spans="1:26" x14ac:dyDescent="0.25">
      <c r="A15" s="45">
        <v>45195</v>
      </c>
      <c r="B15" t="s">
        <v>602</v>
      </c>
      <c r="C15" t="s">
        <v>603</v>
      </c>
      <c r="D15" t="s">
        <v>92</v>
      </c>
      <c r="E15" t="s">
        <v>83</v>
      </c>
      <c r="F15" t="s">
        <v>581</v>
      </c>
      <c r="G15" t="s">
        <v>7</v>
      </c>
      <c r="H15" t="s">
        <v>83</v>
      </c>
      <c r="I15"/>
      <c r="J15"/>
      <c r="K15" t="s">
        <v>92</v>
      </c>
      <c r="L15" t="s">
        <v>604</v>
      </c>
      <c r="M15" t="s">
        <v>605</v>
      </c>
      <c r="N15" t="s">
        <v>92</v>
      </c>
      <c r="O15" s="45">
        <v>45197</v>
      </c>
      <c r="P15" s="45">
        <v>45564</v>
      </c>
      <c r="Q15" s="45"/>
      <c r="R15" t="s">
        <v>606</v>
      </c>
      <c r="S15" t="s">
        <v>85</v>
      </c>
      <c r="T15">
        <v>100</v>
      </c>
      <c r="U15">
        <v>0.66600000000000004</v>
      </c>
      <c r="V15" t="s">
        <v>607</v>
      </c>
      <c r="W15" t="s">
        <v>608</v>
      </c>
      <c r="X15" t="s">
        <v>92</v>
      </c>
      <c r="Y15" t="s">
        <v>83</v>
      </c>
      <c r="Z15" t="s">
        <v>609</v>
      </c>
    </row>
    <row r="16" spans="1:26" x14ac:dyDescent="0.25">
      <c r="A16" s="45">
        <v>45194</v>
      </c>
      <c r="B16" t="s">
        <v>610</v>
      </c>
      <c r="C16" t="s">
        <v>333</v>
      </c>
      <c r="D16" t="s">
        <v>92</v>
      </c>
      <c r="E16" t="s">
        <v>83</v>
      </c>
      <c r="F16" t="s">
        <v>255</v>
      </c>
      <c r="G16" t="s">
        <v>7</v>
      </c>
      <c r="H16" t="s">
        <v>83</v>
      </c>
      <c r="I16"/>
      <c r="J16"/>
      <c r="K16" t="s">
        <v>92</v>
      </c>
      <c r="L16" t="s">
        <v>611</v>
      </c>
      <c r="M16" t="s">
        <v>7</v>
      </c>
      <c r="N16" t="s">
        <v>92</v>
      </c>
      <c r="O16" s="45">
        <v>45197</v>
      </c>
      <c r="P16" s="45">
        <v>46261</v>
      </c>
      <c r="Q16" s="45"/>
      <c r="R16" t="s">
        <v>612</v>
      </c>
      <c r="S16" t="s">
        <v>85</v>
      </c>
      <c r="T16">
        <v>100</v>
      </c>
      <c r="U16">
        <v>1</v>
      </c>
      <c r="V16" t="s">
        <v>613</v>
      </c>
      <c r="W16" t="s">
        <v>614</v>
      </c>
      <c r="X16" t="s">
        <v>92</v>
      </c>
      <c r="Y16" t="s">
        <v>83</v>
      </c>
      <c r="Z16" t="s">
        <v>615</v>
      </c>
    </row>
    <row r="17" spans="1:26" x14ac:dyDescent="0.25">
      <c r="A17" s="45">
        <v>45194</v>
      </c>
      <c r="B17" t="s">
        <v>616</v>
      </c>
      <c r="C17" t="s">
        <v>617</v>
      </c>
      <c r="D17" s="44" t="s">
        <v>92</v>
      </c>
      <c r="E17" t="s">
        <v>618</v>
      </c>
      <c r="F17" t="s">
        <v>581</v>
      </c>
      <c r="G17" t="s">
        <v>7</v>
      </c>
      <c r="H17" t="s">
        <v>83</v>
      </c>
      <c r="I17"/>
      <c r="J17"/>
      <c r="K17" t="s">
        <v>92</v>
      </c>
      <c r="L17" t="s">
        <v>619</v>
      </c>
      <c r="M17" t="s">
        <v>620</v>
      </c>
      <c r="N17" t="s">
        <v>92</v>
      </c>
      <c r="O17" s="45">
        <v>45209</v>
      </c>
      <c r="P17" s="45">
        <v>46305</v>
      </c>
      <c r="Q17" s="45"/>
      <c r="R17" t="s">
        <v>621</v>
      </c>
      <c r="S17" t="s">
        <v>106</v>
      </c>
      <c r="T17">
        <v>100</v>
      </c>
      <c r="U17">
        <v>7.3</v>
      </c>
      <c r="V17" t="s">
        <v>92</v>
      </c>
      <c r="W17" t="s">
        <v>92</v>
      </c>
      <c r="X17" t="s">
        <v>92</v>
      </c>
      <c r="Y17" t="s">
        <v>83</v>
      </c>
      <c r="Z17" t="s">
        <v>622</v>
      </c>
    </row>
  </sheetData>
  <phoneticPr fontId="33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L14"/>
  <sheetViews>
    <sheetView topLeftCell="AQ1" workbookViewId="0">
      <selection activeCell="AW7" sqref="AW7"/>
    </sheetView>
  </sheetViews>
  <sheetFormatPr defaultRowHeight="15" x14ac:dyDescent="0.25"/>
  <cols>
    <col min="1" max="1" width="7.109375" style="1" bestFit="1" customWidth="1"/>
    <col min="2" max="2" width="10.88671875" style="1" bestFit="1" customWidth="1"/>
    <col min="3" max="3" width="31.5546875" style="1" bestFit="1" customWidth="1"/>
    <col min="4" max="4" width="13.33203125" style="1" bestFit="1" customWidth="1"/>
    <col min="5" max="5" width="9.33203125" style="1" bestFit="1" customWidth="1"/>
    <col min="6" max="7" width="9.21875" style="1" bestFit="1" customWidth="1"/>
    <col min="8" max="8" width="12.5546875" style="1" bestFit="1" customWidth="1"/>
    <col min="9" max="9" width="5.88671875" style="1" bestFit="1" customWidth="1"/>
    <col min="10" max="10" width="12" style="1" bestFit="1" customWidth="1"/>
    <col min="11" max="12" width="5.88671875" style="1" bestFit="1" customWidth="1"/>
    <col min="13" max="13" width="5.6640625" style="1" bestFit="1" customWidth="1"/>
    <col min="14" max="14" width="5.77734375" style="1" bestFit="1" customWidth="1"/>
    <col min="15" max="15" width="5.88671875" style="1" bestFit="1" customWidth="1"/>
    <col min="16" max="17" width="9.21875" style="1" bestFit="1" customWidth="1"/>
    <col min="18" max="18" width="7.5546875" style="1" bestFit="1" customWidth="1"/>
    <col min="19" max="19" width="5.88671875" style="1" bestFit="1" customWidth="1"/>
    <col min="20" max="20" width="6" style="1" bestFit="1" customWidth="1"/>
    <col min="21" max="22" width="10.88671875" style="1" bestFit="1" customWidth="1"/>
    <col min="23" max="24" width="9.21875" style="1" bestFit="1" customWidth="1"/>
    <col min="25" max="25" width="10.33203125" style="1" bestFit="1" customWidth="1"/>
    <col min="26" max="26" width="10.88671875" style="1" bestFit="1" customWidth="1"/>
    <col min="27" max="27" width="10.33203125" style="1" bestFit="1" customWidth="1"/>
    <col min="28" max="28" width="7.5546875" style="1" bestFit="1" customWidth="1"/>
    <col min="29" max="29" width="6" style="1" bestFit="1" customWidth="1"/>
    <col min="30" max="30" width="7.5546875" style="1" bestFit="1" customWidth="1"/>
    <col min="31" max="31" width="8.109375" style="1" bestFit="1" customWidth="1"/>
    <col min="32" max="32" width="10.88671875" style="1" bestFit="1" customWidth="1"/>
    <col min="33" max="33" width="14.21875" style="1" bestFit="1" customWidth="1"/>
    <col min="34" max="34" width="9.21875" style="1" bestFit="1" customWidth="1"/>
    <col min="35" max="35" width="45.44140625" style="1" bestFit="1" customWidth="1"/>
    <col min="36" max="36" width="25.88671875" style="1" bestFit="1" customWidth="1"/>
    <col min="37" max="37" width="14.21875" style="1" bestFit="1" customWidth="1"/>
    <col min="38" max="38" width="7.6640625" style="1" bestFit="1" customWidth="1"/>
    <col min="39" max="39" width="5.6640625" style="1" bestFit="1" customWidth="1"/>
    <col min="40" max="40" width="11.109375" style="1" bestFit="1" customWidth="1"/>
    <col min="41" max="41" width="5.88671875" style="1" bestFit="1" customWidth="1"/>
    <col min="42" max="42" width="9.21875" style="1" bestFit="1" customWidth="1"/>
    <col min="43" max="43" width="10" style="1" bestFit="1" customWidth="1"/>
    <col min="44" max="44" width="12.44140625" style="1" bestFit="1" customWidth="1"/>
    <col min="45" max="45" width="6.5546875" style="1" bestFit="1" customWidth="1"/>
    <col min="46" max="46" width="80.88671875" style="1" bestFit="1" customWidth="1"/>
    <col min="47" max="47" width="9.2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17.44140625" style="1" bestFit="1" customWidth="1"/>
    <col min="52" max="52" width="20.109375" style="1" customWidth="1"/>
    <col min="53" max="53" width="11.5546875" style="1" bestFit="1" customWidth="1"/>
    <col min="54" max="55" width="17.33203125" style="1" bestFit="1" customWidth="1"/>
    <col min="56" max="56" width="9.21875" style="1" bestFit="1" customWidth="1"/>
    <col min="57" max="57" width="15.21875" style="1" bestFit="1" customWidth="1"/>
    <col min="58" max="58" width="13.44140625" style="1" bestFit="1" customWidth="1"/>
    <col min="59" max="59" width="11.109375" style="1" bestFit="1" customWidth="1"/>
    <col min="60" max="61" width="10.88671875" style="1" bestFit="1" customWidth="1"/>
    <col min="62" max="62" width="9.21875" style="1" bestFit="1" customWidth="1"/>
    <col min="63" max="63" width="8.77734375" style="1" bestFit="1" customWidth="1"/>
    <col min="64" max="64" width="9.21875" style="1" bestFit="1" customWidth="1"/>
    <col min="65" max="65" width="14.6640625" style="1" bestFit="1" customWidth="1"/>
    <col min="66" max="66" width="9.21875" style="1" bestFit="1" customWidth="1"/>
    <col min="67" max="67" width="8.5546875" style="1" bestFit="1" customWidth="1"/>
    <col min="68" max="68" width="9.33203125" style="1" bestFit="1" customWidth="1"/>
    <col min="69" max="69" width="9.21875" style="1" bestFit="1" customWidth="1"/>
    <col min="70" max="70" width="10.109375" style="1" bestFit="1" customWidth="1"/>
    <col min="71" max="71" width="10.33203125" style="1" bestFit="1" customWidth="1"/>
    <col min="72" max="72" width="15.109375" style="1" bestFit="1" customWidth="1"/>
    <col min="73" max="73" width="10.33203125" style="1" bestFit="1" customWidth="1"/>
    <col min="74" max="74" width="5.88671875" style="1" bestFit="1" customWidth="1"/>
    <col min="75" max="75" width="9.21875" style="1" bestFit="1" customWidth="1"/>
    <col min="76" max="76" width="10.33203125" style="1" bestFit="1" customWidth="1"/>
    <col min="77" max="77" width="14.44140625" style="1" bestFit="1" customWidth="1"/>
    <col min="78" max="78" width="16.109375" style="1" bestFit="1" customWidth="1"/>
    <col min="79" max="79" width="20.6640625" style="1" bestFit="1" customWidth="1"/>
    <col min="80" max="80" width="18.88671875" style="1" bestFit="1" customWidth="1"/>
    <col min="81" max="81" width="27.109375" style="1" bestFit="1" customWidth="1"/>
    <col min="82" max="16384" width="8.88671875" style="1"/>
  </cols>
  <sheetData>
    <row r="1" spans="1:64" ht="39.75" customHeight="1" x14ac:dyDescent="0.25"/>
    <row r="2" spans="1:64" ht="39.75" customHeight="1" x14ac:dyDescent="0.25"/>
    <row r="3" spans="1:64" ht="39.75" customHeight="1" x14ac:dyDescent="0.25"/>
    <row r="4" spans="1:64" x14ac:dyDescent="0.25">
      <c r="A4" t="s">
        <v>86</v>
      </c>
      <c r="B4" t="s">
        <v>441</v>
      </c>
      <c r="C4" t="s">
        <v>94</v>
      </c>
      <c r="D4" t="s">
        <v>48</v>
      </c>
      <c r="E4" t="s">
        <v>49</v>
      </c>
      <c r="F4" t="s">
        <v>135</v>
      </c>
      <c r="G4" t="s">
        <v>178</v>
      </c>
      <c r="H4" t="s">
        <v>51</v>
      </c>
      <c r="I4" t="s">
        <v>64</v>
      </c>
      <c r="J4" t="s">
        <v>57</v>
      </c>
      <c r="K4" t="s">
        <v>87</v>
      </c>
      <c r="L4" t="s">
        <v>120</v>
      </c>
      <c r="M4" t="s">
        <v>88</v>
      </c>
      <c r="N4" t="s">
        <v>53</v>
      </c>
      <c r="O4" t="s">
        <v>152</v>
      </c>
      <c r="P4" t="s">
        <v>167</v>
      </c>
      <c r="Q4" t="s">
        <v>169</v>
      </c>
      <c r="R4" t="s">
        <v>59</v>
      </c>
      <c r="S4" t="s">
        <v>90</v>
      </c>
      <c r="T4" t="s">
        <v>91</v>
      </c>
      <c r="U4" t="s">
        <v>187</v>
      </c>
      <c r="V4" t="s">
        <v>188</v>
      </c>
      <c r="W4" t="s">
        <v>141</v>
      </c>
      <c r="X4" t="s">
        <v>81</v>
      </c>
      <c r="Y4" t="s">
        <v>67</v>
      </c>
      <c r="Z4" t="s">
        <v>70</v>
      </c>
      <c r="AA4" t="s">
        <v>52</v>
      </c>
      <c r="AB4" t="s">
        <v>174</v>
      </c>
      <c r="AC4" t="s">
        <v>175</v>
      </c>
      <c r="AD4" t="s">
        <v>212</v>
      </c>
      <c r="AE4" t="s">
        <v>66</v>
      </c>
      <c r="AF4" t="s">
        <v>236</v>
      </c>
      <c r="AG4" t="s">
        <v>266</v>
      </c>
      <c r="AH4" t="s">
        <v>209</v>
      </c>
      <c r="AI4" t="s">
        <v>71</v>
      </c>
      <c r="AJ4" t="s">
        <v>72</v>
      </c>
      <c r="AK4" t="s">
        <v>82</v>
      </c>
      <c r="AL4" t="s">
        <v>41</v>
      </c>
      <c r="AM4" t="s">
        <v>139</v>
      </c>
      <c r="AN4" t="s">
        <v>153</v>
      </c>
      <c r="AO4" t="s">
        <v>218</v>
      </c>
      <c r="AP4" t="s">
        <v>211</v>
      </c>
      <c r="AQ4" t="s">
        <v>219</v>
      </c>
      <c r="AR4" t="s">
        <v>220</v>
      </c>
      <c r="AS4" t="s">
        <v>309</v>
      </c>
      <c r="AT4" t="s">
        <v>226</v>
      </c>
      <c r="AU4" t="s">
        <v>200</v>
      </c>
      <c r="AV4" t="s">
        <v>428</v>
      </c>
      <c r="AW4" t="s">
        <v>170</v>
      </c>
      <c r="AX4" t="s">
        <v>221</v>
      </c>
      <c r="AY4" t="s">
        <v>140</v>
      </c>
    </row>
    <row r="5" spans="1:64" x14ac:dyDescent="0.25">
      <c r="A5">
        <v>9</v>
      </c>
      <c r="B5" t="s">
        <v>92</v>
      </c>
      <c r="C5" t="s">
        <v>555</v>
      </c>
      <c r="D5" t="s">
        <v>554</v>
      </c>
      <c r="E5" s="45">
        <v>45197</v>
      </c>
      <c r="F5" t="s">
        <v>83</v>
      </c>
      <c r="G5" t="s">
        <v>83</v>
      </c>
      <c r="H5" t="s">
        <v>423</v>
      </c>
      <c r="I5" t="s">
        <v>106</v>
      </c>
      <c r="J5">
        <v>0.9</v>
      </c>
      <c r="K5" t="s">
        <v>792</v>
      </c>
      <c r="L5" t="s">
        <v>793</v>
      </c>
      <c r="M5" t="s">
        <v>7</v>
      </c>
      <c r="N5" t="s">
        <v>7</v>
      </c>
      <c r="O5" t="s">
        <v>7</v>
      </c>
      <c r="P5" t="s">
        <v>7</v>
      </c>
      <c r="Q5" t="s">
        <v>115</v>
      </c>
      <c r="R5">
        <v>100</v>
      </c>
      <c r="S5" t="s">
        <v>37</v>
      </c>
      <c r="T5" t="s">
        <v>110</v>
      </c>
      <c r="U5" t="s">
        <v>7</v>
      </c>
      <c r="V5" t="s">
        <v>7</v>
      </c>
      <c r="W5" t="s">
        <v>92</v>
      </c>
      <c r="X5" t="s">
        <v>92</v>
      </c>
      <c r="Y5" s="45">
        <v>45209</v>
      </c>
      <c r="Z5" s="45">
        <v>45573</v>
      </c>
      <c r="AA5" s="45">
        <v>45573</v>
      </c>
      <c r="AB5">
        <v>0.123</v>
      </c>
      <c r="AC5">
        <v>0.9</v>
      </c>
      <c r="AD5">
        <v>0.96599999999999997</v>
      </c>
      <c r="AE5" t="s">
        <v>698</v>
      </c>
      <c r="AF5" t="s">
        <v>255</v>
      </c>
      <c r="AG5" t="s">
        <v>7</v>
      </c>
      <c r="AH5" t="s">
        <v>92</v>
      </c>
      <c r="AI5" t="s">
        <v>697</v>
      </c>
      <c r="AJ5" t="s">
        <v>7</v>
      </c>
      <c r="AK5" t="s">
        <v>92</v>
      </c>
      <c r="AL5" t="s">
        <v>7</v>
      </c>
      <c r="AM5" t="s">
        <v>7</v>
      </c>
      <c r="AN5" t="s">
        <v>7</v>
      </c>
      <c r="AO5"/>
      <c r="AP5" t="s">
        <v>794</v>
      </c>
      <c r="AQ5"/>
      <c r="AR5"/>
      <c r="AS5" t="s">
        <v>92</v>
      </c>
      <c r="AT5" t="s">
        <v>92</v>
      </c>
      <c r="AU5" t="s">
        <v>334</v>
      </c>
      <c r="AV5" t="s">
        <v>247</v>
      </c>
      <c r="AW5"/>
      <c r="AX5"/>
      <c r="AY5" t="s">
        <v>558</v>
      </c>
      <c r="BL5" s="20"/>
    </row>
    <row r="6" spans="1:64" x14ac:dyDescent="0.25">
      <c r="A6">
        <v>8</v>
      </c>
      <c r="B6" t="s">
        <v>92</v>
      </c>
      <c r="C6" t="s">
        <v>550</v>
      </c>
      <c r="D6" t="s">
        <v>470</v>
      </c>
      <c r="E6" s="45">
        <v>45197</v>
      </c>
      <c r="F6" t="s">
        <v>83</v>
      </c>
      <c r="G6" t="s">
        <v>83</v>
      </c>
      <c r="H6" t="s">
        <v>687</v>
      </c>
      <c r="I6" t="s">
        <v>85</v>
      </c>
      <c r="J6">
        <v>0.16</v>
      </c>
      <c r="K6" t="s">
        <v>151</v>
      </c>
      <c r="L6" t="s">
        <v>471</v>
      </c>
      <c r="M6" t="s">
        <v>7</v>
      </c>
      <c r="N6" t="s">
        <v>471</v>
      </c>
      <c r="O6" t="s">
        <v>7</v>
      </c>
      <c r="P6" t="s">
        <v>7</v>
      </c>
      <c r="Q6" t="s">
        <v>115</v>
      </c>
      <c r="R6">
        <v>100</v>
      </c>
      <c r="S6" t="s">
        <v>112</v>
      </c>
      <c r="T6" t="s">
        <v>256</v>
      </c>
      <c r="U6" t="s">
        <v>7</v>
      </c>
      <c r="V6" t="s">
        <v>7</v>
      </c>
      <c r="W6" t="s">
        <v>92</v>
      </c>
      <c r="X6" t="s">
        <v>131</v>
      </c>
      <c r="Y6" s="45">
        <v>45215</v>
      </c>
      <c r="Z6" s="45">
        <v>45398</v>
      </c>
      <c r="AA6" s="45">
        <v>46311</v>
      </c>
      <c r="AB6">
        <v>0.16</v>
      </c>
      <c r="AC6">
        <v>1.167</v>
      </c>
      <c r="AD6">
        <v>1.252</v>
      </c>
      <c r="AE6" t="s">
        <v>685</v>
      </c>
      <c r="AF6" t="s">
        <v>255</v>
      </c>
      <c r="AG6" t="s">
        <v>7</v>
      </c>
      <c r="AH6" t="s">
        <v>92</v>
      </c>
      <c r="AI6" t="s">
        <v>550</v>
      </c>
      <c r="AJ6" t="s">
        <v>7</v>
      </c>
      <c r="AK6" t="s">
        <v>92</v>
      </c>
      <c r="AL6" t="s">
        <v>368</v>
      </c>
      <c r="AM6" t="s">
        <v>7</v>
      </c>
      <c r="AN6" t="s">
        <v>7</v>
      </c>
      <c r="AO6"/>
      <c r="AP6" t="s">
        <v>92</v>
      </c>
      <c r="AQ6"/>
      <c r="AR6"/>
      <c r="AS6" t="s">
        <v>92</v>
      </c>
      <c r="AT6" t="s">
        <v>686</v>
      </c>
      <c r="AU6" t="s">
        <v>257</v>
      </c>
      <c r="AV6" t="s">
        <v>247</v>
      </c>
      <c r="AW6"/>
      <c r="AX6"/>
      <c r="AY6" t="s">
        <v>553</v>
      </c>
      <c r="BL6" s="20"/>
    </row>
    <row r="7" spans="1:64" x14ac:dyDescent="0.25">
      <c r="A7">
        <v>7</v>
      </c>
      <c r="B7" t="s">
        <v>92</v>
      </c>
      <c r="C7" t="s">
        <v>567</v>
      </c>
      <c r="D7" t="s">
        <v>566</v>
      </c>
      <c r="E7" s="45">
        <v>45197</v>
      </c>
      <c r="F7" t="s">
        <v>83</v>
      </c>
      <c r="G7" t="s">
        <v>83</v>
      </c>
      <c r="H7" t="s">
        <v>423</v>
      </c>
      <c r="I7" t="s">
        <v>106</v>
      </c>
      <c r="J7">
        <v>15.6</v>
      </c>
      <c r="K7" t="s">
        <v>151</v>
      </c>
      <c r="L7" t="s">
        <v>456</v>
      </c>
      <c r="M7" t="s">
        <v>795</v>
      </c>
      <c r="N7" t="s">
        <v>456</v>
      </c>
      <c r="O7" t="s">
        <v>7</v>
      </c>
      <c r="P7">
        <v>0</v>
      </c>
      <c r="Q7" t="s">
        <v>115</v>
      </c>
      <c r="R7">
        <v>100</v>
      </c>
      <c r="S7" t="s">
        <v>37</v>
      </c>
      <c r="T7" t="s">
        <v>256</v>
      </c>
      <c r="U7" t="s">
        <v>7</v>
      </c>
      <c r="V7" t="s">
        <v>7</v>
      </c>
      <c r="W7" t="s">
        <v>92</v>
      </c>
      <c r="X7" t="s">
        <v>667</v>
      </c>
      <c r="Y7" s="45">
        <v>45212</v>
      </c>
      <c r="Z7" s="45">
        <v>45578</v>
      </c>
      <c r="AA7" s="45">
        <v>46308</v>
      </c>
      <c r="AB7">
        <v>2.137</v>
      </c>
      <c r="AC7">
        <v>15.6</v>
      </c>
      <c r="AD7">
        <v>16.739000000000001</v>
      </c>
      <c r="AE7" t="s">
        <v>671</v>
      </c>
      <c r="AF7" t="s">
        <v>255</v>
      </c>
      <c r="AG7" t="s">
        <v>7</v>
      </c>
      <c r="AH7" t="s">
        <v>92</v>
      </c>
      <c r="AI7" t="s">
        <v>567</v>
      </c>
      <c r="AJ7" t="s">
        <v>7</v>
      </c>
      <c r="AK7" t="s">
        <v>92</v>
      </c>
      <c r="AL7" t="s">
        <v>7</v>
      </c>
      <c r="AM7" t="s">
        <v>7</v>
      </c>
      <c r="AN7" t="s">
        <v>7</v>
      </c>
      <c r="AO7"/>
      <c r="AP7" t="s">
        <v>92</v>
      </c>
      <c r="AQ7"/>
      <c r="AR7"/>
      <c r="AS7" t="s">
        <v>92</v>
      </c>
      <c r="AT7" t="s">
        <v>672</v>
      </c>
      <c r="AU7" t="s">
        <v>334</v>
      </c>
      <c r="AV7" t="s">
        <v>247</v>
      </c>
      <c r="AW7"/>
      <c r="AX7"/>
      <c r="AY7" t="s">
        <v>571</v>
      </c>
      <c r="BL7" s="20"/>
    </row>
    <row r="8" spans="1:64" x14ac:dyDescent="0.25">
      <c r="A8">
        <v>6</v>
      </c>
      <c r="B8" t="s">
        <v>92</v>
      </c>
      <c r="C8" t="s">
        <v>573</v>
      </c>
      <c r="D8" t="s">
        <v>572</v>
      </c>
      <c r="E8" s="45">
        <v>45197</v>
      </c>
      <c r="F8" t="s">
        <v>83</v>
      </c>
      <c r="G8" t="s">
        <v>574</v>
      </c>
      <c r="H8" t="s">
        <v>423</v>
      </c>
      <c r="I8" t="s">
        <v>85</v>
      </c>
      <c r="J8">
        <v>1</v>
      </c>
      <c r="K8" t="s">
        <v>151</v>
      </c>
      <c r="L8" t="s">
        <v>797</v>
      </c>
      <c r="M8" t="s">
        <v>796</v>
      </c>
      <c r="N8" t="s">
        <v>797</v>
      </c>
      <c r="O8" t="s">
        <v>7</v>
      </c>
      <c r="P8">
        <v>20</v>
      </c>
      <c r="Q8" t="s">
        <v>115</v>
      </c>
      <c r="R8">
        <v>100</v>
      </c>
      <c r="S8" t="s">
        <v>112</v>
      </c>
      <c r="T8" t="s">
        <v>268</v>
      </c>
      <c r="U8" t="s">
        <v>7</v>
      </c>
      <c r="V8" t="s">
        <v>7</v>
      </c>
      <c r="W8" t="s">
        <v>92</v>
      </c>
      <c r="X8" t="s">
        <v>131</v>
      </c>
      <c r="Y8" s="45">
        <v>45210</v>
      </c>
      <c r="Z8" s="45">
        <v>45393</v>
      </c>
      <c r="AA8" s="45">
        <v>46306</v>
      </c>
      <c r="AB8">
        <v>1</v>
      </c>
      <c r="AC8">
        <v>7.2939999999999996</v>
      </c>
      <c r="AD8">
        <v>7.8280000000000003</v>
      </c>
      <c r="AE8" t="s">
        <v>655</v>
      </c>
      <c r="AF8" t="s">
        <v>255</v>
      </c>
      <c r="AG8" t="s">
        <v>7</v>
      </c>
      <c r="AH8" t="s">
        <v>92</v>
      </c>
      <c r="AI8" t="s">
        <v>573</v>
      </c>
      <c r="AJ8" t="s">
        <v>7</v>
      </c>
      <c r="AK8" t="s">
        <v>92</v>
      </c>
      <c r="AL8" t="s">
        <v>341</v>
      </c>
      <c r="AM8" t="s">
        <v>7</v>
      </c>
      <c r="AN8" t="s">
        <v>7</v>
      </c>
      <c r="AO8"/>
      <c r="AP8" t="s">
        <v>92</v>
      </c>
      <c r="AQ8"/>
      <c r="AR8"/>
      <c r="AS8" t="s">
        <v>92</v>
      </c>
      <c r="AT8" t="s">
        <v>656</v>
      </c>
      <c r="AU8" t="s">
        <v>334</v>
      </c>
      <c r="AV8" t="s">
        <v>247</v>
      </c>
      <c r="AW8"/>
      <c r="AX8"/>
      <c r="AY8" t="s">
        <v>578</v>
      </c>
      <c r="BL8" s="20"/>
    </row>
    <row r="9" spans="1:64" x14ac:dyDescent="0.25">
      <c r="A9">
        <v>5</v>
      </c>
      <c r="B9" t="s">
        <v>92</v>
      </c>
      <c r="C9" t="s">
        <v>560</v>
      </c>
      <c r="D9" t="s">
        <v>559</v>
      </c>
      <c r="E9" s="45">
        <v>45197</v>
      </c>
      <c r="F9" t="s">
        <v>83</v>
      </c>
      <c r="G9" t="s">
        <v>561</v>
      </c>
      <c r="H9" t="s">
        <v>423</v>
      </c>
      <c r="I9" t="s">
        <v>85</v>
      </c>
      <c r="J9">
        <v>0.67</v>
      </c>
      <c r="K9" t="s">
        <v>151</v>
      </c>
      <c r="L9" t="s">
        <v>798</v>
      </c>
      <c r="M9" t="s">
        <v>7</v>
      </c>
      <c r="N9" t="s">
        <v>798</v>
      </c>
      <c r="O9" t="s">
        <v>7</v>
      </c>
      <c r="P9" t="s">
        <v>7</v>
      </c>
      <c r="Q9" t="s">
        <v>115</v>
      </c>
      <c r="R9">
        <v>100</v>
      </c>
      <c r="S9" t="s">
        <v>37</v>
      </c>
      <c r="T9" t="s">
        <v>268</v>
      </c>
      <c r="U9" t="s">
        <v>7</v>
      </c>
      <c r="V9" t="s">
        <v>7</v>
      </c>
      <c r="W9" t="s">
        <v>92</v>
      </c>
      <c r="X9" t="s">
        <v>131</v>
      </c>
      <c r="Y9" s="45">
        <v>45210</v>
      </c>
      <c r="Z9" s="45">
        <v>45393</v>
      </c>
      <c r="AA9" s="45">
        <v>46306</v>
      </c>
      <c r="AB9">
        <v>0.67</v>
      </c>
      <c r="AC9">
        <v>4.8869999999999996</v>
      </c>
      <c r="AD9">
        <v>5.2450000000000001</v>
      </c>
      <c r="AE9" t="s">
        <v>633</v>
      </c>
      <c r="AF9" t="s">
        <v>255</v>
      </c>
      <c r="AG9" t="s">
        <v>7</v>
      </c>
      <c r="AH9" t="s">
        <v>92</v>
      </c>
      <c r="AI9" t="s">
        <v>560</v>
      </c>
      <c r="AJ9" t="s">
        <v>7</v>
      </c>
      <c r="AK9" t="s">
        <v>92</v>
      </c>
      <c r="AL9" t="s">
        <v>7</v>
      </c>
      <c r="AM9" t="s">
        <v>7</v>
      </c>
      <c r="AN9" t="s">
        <v>7</v>
      </c>
      <c r="AO9"/>
      <c r="AP9" t="s">
        <v>92</v>
      </c>
      <c r="AQ9"/>
      <c r="AR9"/>
      <c r="AS9" t="s">
        <v>92</v>
      </c>
      <c r="AT9" t="s">
        <v>634</v>
      </c>
      <c r="AU9" t="s">
        <v>334</v>
      </c>
      <c r="AV9" t="s">
        <v>247</v>
      </c>
      <c r="AW9"/>
      <c r="AX9"/>
      <c r="AY9" t="s">
        <v>565</v>
      </c>
      <c r="BL9" s="20"/>
    </row>
    <row r="10" spans="1:64" x14ac:dyDescent="0.25">
      <c r="A10">
        <v>4</v>
      </c>
      <c r="B10" t="s">
        <v>92</v>
      </c>
      <c r="C10" t="s">
        <v>597</v>
      </c>
      <c r="D10" t="s">
        <v>596</v>
      </c>
      <c r="E10" s="45">
        <v>45196</v>
      </c>
      <c r="F10" t="s">
        <v>83</v>
      </c>
      <c r="G10" t="s">
        <v>83</v>
      </c>
      <c r="H10" t="s">
        <v>423</v>
      </c>
      <c r="I10" t="s">
        <v>106</v>
      </c>
      <c r="J10">
        <v>3</v>
      </c>
      <c r="K10" t="s">
        <v>800</v>
      </c>
      <c r="L10" t="s">
        <v>734</v>
      </c>
      <c r="M10" t="s">
        <v>799</v>
      </c>
      <c r="N10" t="s">
        <v>485</v>
      </c>
      <c r="O10" t="s">
        <v>7</v>
      </c>
      <c r="P10">
        <v>30</v>
      </c>
      <c r="Q10" t="s">
        <v>115</v>
      </c>
      <c r="R10">
        <v>99.974999999999994</v>
      </c>
      <c r="S10" t="s">
        <v>112</v>
      </c>
      <c r="T10" t="s">
        <v>256</v>
      </c>
      <c r="U10" t="s">
        <v>7</v>
      </c>
      <c r="V10" t="s">
        <v>7</v>
      </c>
      <c r="W10" t="s">
        <v>92</v>
      </c>
      <c r="X10" t="s">
        <v>131</v>
      </c>
      <c r="Y10" s="45">
        <v>45209</v>
      </c>
      <c r="Z10" s="45">
        <v>45392</v>
      </c>
      <c r="AA10" s="45">
        <v>46275</v>
      </c>
      <c r="AB10">
        <v>0.41099999999999998</v>
      </c>
      <c r="AC10">
        <v>3</v>
      </c>
      <c r="AD10">
        <v>3.2069999999999999</v>
      </c>
      <c r="AE10" t="s">
        <v>735</v>
      </c>
      <c r="AF10" t="s">
        <v>255</v>
      </c>
      <c r="AG10" t="s">
        <v>7</v>
      </c>
      <c r="AH10" t="s">
        <v>92</v>
      </c>
      <c r="AI10" t="s">
        <v>597</v>
      </c>
      <c r="AJ10" t="s">
        <v>7</v>
      </c>
      <c r="AK10" t="s">
        <v>92</v>
      </c>
      <c r="AL10" t="s">
        <v>341</v>
      </c>
      <c r="AM10" t="s">
        <v>7</v>
      </c>
      <c r="AN10" t="s">
        <v>7</v>
      </c>
      <c r="AO10"/>
      <c r="AP10" t="s">
        <v>92</v>
      </c>
      <c r="AQ10"/>
      <c r="AR10"/>
      <c r="AS10" t="s">
        <v>92</v>
      </c>
      <c r="AT10" t="s">
        <v>736</v>
      </c>
      <c r="AU10" t="s">
        <v>334</v>
      </c>
      <c r="AV10" t="s">
        <v>247</v>
      </c>
      <c r="AW10"/>
      <c r="AX10"/>
      <c r="AY10" t="s">
        <v>601</v>
      </c>
      <c r="BL10" s="20"/>
    </row>
    <row r="11" spans="1:64" x14ac:dyDescent="0.25">
      <c r="A11">
        <v>3</v>
      </c>
      <c r="B11" t="s">
        <v>92</v>
      </c>
      <c r="C11" t="s">
        <v>591</v>
      </c>
      <c r="D11" t="s">
        <v>590</v>
      </c>
      <c r="E11" s="45">
        <v>45196</v>
      </c>
      <c r="F11" t="s">
        <v>83</v>
      </c>
      <c r="G11" t="s">
        <v>83</v>
      </c>
      <c r="H11" t="s">
        <v>687</v>
      </c>
      <c r="I11" t="s">
        <v>85</v>
      </c>
      <c r="J11">
        <v>1</v>
      </c>
      <c r="K11" t="s">
        <v>792</v>
      </c>
      <c r="L11" t="s">
        <v>801</v>
      </c>
      <c r="M11" t="s">
        <v>7</v>
      </c>
      <c r="N11" t="s">
        <v>7</v>
      </c>
      <c r="O11" t="s">
        <v>7</v>
      </c>
      <c r="P11" t="s">
        <v>7</v>
      </c>
      <c r="Q11" t="s">
        <v>115</v>
      </c>
      <c r="R11">
        <v>100</v>
      </c>
      <c r="S11" t="s">
        <v>37</v>
      </c>
      <c r="T11" t="s">
        <v>110</v>
      </c>
      <c r="U11" t="s">
        <v>7</v>
      </c>
      <c r="V11" t="s">
        <v>7</v>
      </c>
      <c r="W11" t="s">
        <v>92</v>
      </c>
      <c r="X11" t="s">
        <v>131</v>
      </c>
      <c r="Y11" s="45">
        <v>45209</v>
      </c>
      <c r="Z11" s="45">
        <v>45392</v>
      </c>
      <c r="AA11" s="45">
        <v>45573</v>
      </c>
      <c r="AB11">
        <v>1</v>
      </c>
      <c r="AC11">
        <v>7.3140000000000001</v>
      </c>
      <c r="AD11">
        <v>7.8209999999999997</v>
      </c>
      <c r="AE11" t="s">
        <v>726</v>
      </c>
      <c r="AF11" t="s">
        <v>255</v>
      </c>
      <c r="AG11" t="s">
        <v>7</v>
      </c>
      <c r="AH11" t="s">
        <v>92</v>
      </c>
      <c r="AI11" t="s">
        <v>725</v>
      </c>
      <c r="AJ11" t="s">
        <v>7</v>
      </c>
      <c r="AK11" t="s">
        <v>92</v>
      </c>
      <c r="AL11" t="s">
        <v>7</v>
      </c>
      <c r="AM11" t="s">
        <v>7</v>
      </c>
      <c r="AN11" t="s">
        <v>7</v>
      </c>
      <c r="AO11"/>
      <c r="AP11" t="s">
        <v>794</v>
      </c>
      <c r="AQ11"/>
      <c r="AR11"/>
      <c r="AS11" t="s">
        <v>92</v>
      </c>
      <c r="AT11" t="s">
        <v>92</v>
      </c>
      <c r="AU11" t="s">
        <v>334</v>
      </c>
      <c r="AV11" t="s">
        <v>247</v>
      </c>
      <c r="AW11"/>
      <c r="AX11"/>
      <c r="AY11" t="s">
        <v>595</v>
      </c>
      <c r="BL11" s="20"/>
    </row>
    <row r="12" spans="1:64" x14ac:dyDescent="0.25">
      <c r="A12">
        <v>2</v>
      </c>
      <c r="B12" t="s">
        <v>92</v>
      </c>
      <c r="C12" t="s">
        <v>603</v>
      </c>
      <c r="D12" t="s">
        <v>602</v>
      </c>
      <c r="E12" s="45">
        <v>45195</v>
      </c>
      <c r="F12" t="s">
        <v>83</v>
      </c>
      <c r="G12" t="s">
        <v>83</v>
      </c>
      <c r="H12" t="s">
        <v>423</v>
      </c>
      <c r="I12" t="s">
        <v>85</v>
      </c>
      <c r="J12">
        <v>0.66600000000000004</v>
      </c>
      <c r="K12" t="s">
        <v>792</v>
      </c>
      <c r="L12" t="s">
        <v>748</v>
      </c>
      <c r="M12" t="s">
        <v>7</v>
      </c>
      <c r="N12" t="s">
        <v>7</v>
      </c>
      <c r="O12" t="s">
        <v>7</v>
      </c>
      <c r="P12" t="s">
        <v>7</v>
      </c>
      <c r="Q12" t="s">
        <v>115</v>
      </c>
      <c r="R12">
        <v>100</v>
      </c>
      <c r="S12" t="s">
        <v>39</v>
      </c>
      <c r="T12" t="s">
        <v>110</v>
      </c>
      <c r="U12" t="s">
        <v>7</v>
      </c>
      <c r="V12" t="s">
        <v>7</v>
      </c>
      <c r="W12" t="s">
        <v>92</v>
      </c>
      <c r="X12" t="s">
        <v>131</v>
      </c>
      <c r="Y12" s="45">
        <v>45197</v>
      </c>
      <c r="Z12" s="45">
        <v>45379</v>
      </c>
      <c r="AA12" s="45">
        <v>45564</v>
      </c>
      <c r="AB12">
        <v>0.66600000000000004</v>
      </c>
      <c r="AC12">
        <v>4.87</v>
      </c>
      <c r="AD12">
        <v>5.21</v>
      </c>
      <c r="AE12" t="s">
        <v>750</v>
      </c>
      <c r="AF12" t="s">
        <v>581</v>
      </c>
      <c r="AG12" t="s">
        <v>7</v>
      </c>
      <c r="AH12" t="s">
        <v>92</v>
      </c>
      <c r="AI12" t="s">
        <v>749</v>
      </c>
      <c r="AJ12" t="s">
        <v>603</v>
      </c>
      <c r="AK12" t="s">
        <v>92</v>
      </c>
      <c r="AL12" t="s">
        <v>7</v>
      </c>
      <c r="AM12" t="s">
        <v>7</v>
      </c>
      <c r="AN12" t="s">
        <v>7</v>
      </c>
      <c r="AO12"/>
      <c r="AP12" t="s">
        <v>92</v>
      </c>
      <c r="AQ12"/>
      <c r="AR12"/>
      <c r="AS12" t="s">
        <v>92</v>
      </c>
      <c r="AT12" t="s">
        <v>751</v>
      </c>
      <c r="AU12" t="s">
        <v>334</v>
      </c>
      <c r="AV12" t="s">
        <v>247</v>
      </c>
      <c r="AW12"/>
      <c r="AX12"/>
      <c r="AY12" t="s">
        <v>609</v>
      </c>
      <c r="BL12" s="20"/>
    </row>
    <row r="13" spans="1:64" x14ac:dyDescent="0.25">
      <c r="A13">
        <v>1</v>
      </c>
      <c r="B13" t="s">
        <v>92</v>
      </c>
      <c r="C13" t="s">
        <v>617</v>
      </c>
      <c r="D13" t="s">
        <v>616</v>
      </c>
      <c r="E13" s="45">
        <v>45194</v>
      </c>
      <c r="F13" t="s">
        <v>618</v>
      </c>
      <c r="G13" t="s">
        <v>83</v>
      </c>
      <c r="H13" t="s">
        <v>764</v>
      </c>
      <c r="I13" t="s">
        <v>106</v>
      </c>
      <c r="J13">
        <v>7.3</v>
      </c>
      <c r="K13" t="s">
        <v>151</v>
      </c>
      <c r="L13" t="s">
        <v>774</v>
      </c>
      <c r="M13" t="s">
        <v>802</v>
      </c>
      <c r="N13" t="s">
        <v>774</v>
      </c>
      <c r="O13" t="s">
        <v>7</v>
      </c>
      <c r="P13">
        <v>22</v>
      </c>
      <c r="Q13" t="s">
        <v>115</v>
      </c>
      <c r="R13">
        <v>100</v>
      </c>
      <c r="S13" t="s">
        <v>39</v>
      </c>
      <c r="T13" t="s">
        <v>268</v>
      </c>
      <c r="U13" t="s">
        <v>7</v>
      </c>
      <c r="V13" t="s">
        <v>7</v>
      </c>
      <c r="W13" t="s">
        <v>92</v>
      </c>
      <c r="X13" t="s">
        <v>667</v>
      </c>
      <c r="Y13" s="45">
        <v>45209</v>
      </c>
      <c r="Z13" s="45">
        <v>45575</v>
      </c>
      <c r="AA13" s="45">
        <v>46305</v>
      </c>
      <c r="AB13">
        <v>1</v>
      </c>
      <c r="AC13">
        <v>7.3</v>
      </c>
      <c r="AD13">
        <v>7.7960000000000003</v>
      </c>
      <c r="AE13" t="s">
        <v>776</v>
      </c>
      <c r="AF13" t="s">
        <v>581</v>
      </c>
      <c r="AG13" t="s">
        <v>7</v>
      </c>
      <c r="AH13" t="s">
        <v>92</v>
      </c>
      <c r="AI13" t="s">
        <v>775</v>
      </c>
      <c r="AJ13" t="s">
        <v>617</v>
      </c>
      <c r="AK13" t="s">
        <v>92</v>
      </c>
      <c r="AL13" t="s">
        <v>7</v>
      </c>
      <c r="AM13" t="s">
        <v>7</v>
      </c>
      <c r="AN13" t="s">
        <v>7</v>
      </c>
      <c r="AO13"/>
      <c r="AP13" t="s">
        <v>92</v>
      </c>
      <c r="AQ13"/>
      <c r="AR13"/>
      <c r="AS13" t="s">
        <v>92</v>
      </c>
      <c r="AT13" t="s">
        <v>777</v>
      </c>
      <c r="AU13" t="s">
        <v>334</v>
      </c>
      <c r="AV13" t="s">
        <v>247</v>
      </c>
      <c r="AW13"/>
      <c r="AX13"/>
      <c r="AY13" t="s">
        <v>622</v>
      </c>
      <c r="BL13" s="20"/>
    </row>
    <row r="14" spans="1:64" x14ac:dyDescent="0.25">
      <c r="BL14" s="20"/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Z5"/>
  <sheetViews>
    <sheetView topLeftCell="C1" workbookViewId="0">
      <selection activeCell="Q21" sqref="Q21"/>
    </sheetView>
  </sheetViews>
  <sheetFormatPr defaultRowHeight="15" x14ac:dyDescent="0.25"/>
  <cols>
    <col min="1" max="1" width="7.109375" style="1" bestFit="1" customWidth="1"/>
    <col min="2" max="2" width="9.21875" style="1" bestFit="1" customWidth="1"/>
    <col min="3" max="3" width="12.5546875" style="1" bestFit="1" customWidth="1"/>
    <col min="4" max="4" width="9.21875" style="1" bestFit="1" customWidth="1"/>
    <col min="5" max="5" width="5.88671875" style="1" bestFit="1" customWidth="1"/>
    <col min="6" max="8" width="9.21875" style="1" bestFit="1" customWidth="1"/>
    <col min="9" max="11" width="5.88671875" style="1" bestFit="1" customWidth="1"/>
    <col min="12" max="12" width="9.21875" style="1" bestFit="1" customWidth="1"/>
    <col min="13" max="13" width="4.21875" style="1" bestFit="1" customWidth="1"/>
    <col min="14" max="14" width="10.88671875" style="1" bestFit="1" customWidth="1"/>
    <col min="15" max="15" width="13.33203125" style="1" bestFit="1" customWidth="1"/>
    <col min="16" max="16" width="7.5546875" style="1" bestFit="1" customWidth="1"/>
    <col min="17" max="17" width="9.21875" style="1" bestFit="1" customWidth="1"/>
    <col min="18" max="18" width="5.88671875" style="1" bestFit="1" customWidth="1"/>
    <col min="19" max="19" width="7.88671875" style="1" bestFit="1" customWidth="1"/>
    <col min="20" max="20" width="9.21875" style="1" bestFit="1" customWidth="1"/>
    <col min="21" max="21" width="10.6640625" style="1" bestFit="1" customWidth="1"/>
    <col min="22" max="22" width="9" style="1" bestFit="1" customWidth="1"/>
    <col min="23" max="23" width="10.6640625" style="1" bestFit="1" customWidth="1"/>
    <col min="24" max="24" width="12.33203125" style="1" bestFit="1" customWidth="1"/>
    <col min="25" max="25" width="9.33203125" style="1" bestFit="1" customWidth="1"/>
    <col min="26" max="26" width="11.5546875" style="1" bestFit="1" customWidth="1"/>
    <col min="27" max="27" width="11" style="1" bestFit="1" customWidth="1"/>
    <col min="28" max="28" width="9.33203125" style="1" bestFit="1" customWidth="1"/>
    <col min="29" max="29" width="11.5546875" style="1" bestFit="1" customWidth="1"/>
    <col min="30" max="30" width="5.88671875" style="1" bestFit="1" customWidth="1"/>
    <col min="31" max="31" width="9.21875" style="1" customWidth="1"/>
    <col min="32" max="32" width="5.88671875" style="1" bestFit="1" customWidth="1"/>
    <col min="33" max="34" width="9.21875" style="1" customWidth="1"/>
    <col min="35" max="37" width="5.88671875" style="1" bestFit="1" customWidth="1"/>
    <col min="38" max="38" width="9.21875" style="1" customWidth="1"/>
    <col min="39" max="39" width="4.21875" style="1" bestFit="1" customWidth="1"/>
    <col min="40" max="40" width="10.88671875" style="1" bestFit="1" customWidth="1"/>
    <col min="41" max="41" width="13.33203125" style="1" bestFit="1" customWidth="1"/>
    <col min="42" max="42" width="7.5546875" style="1" bestFit="1" customWidth="1"/>
    <col min="43" max="43" width="9.21875" style="1" customWidth="1"/>
    <col min="44" max="44" width="5.88671875" style="1" bestFit="1" customWidth="1"/>
    <col min="45" max="46" width="9.21875" style="1" customWidth="1"/>
    <col min="47" max="47" width="9.33203125" style="1" bestFit="1" customWidth="1"/>
    <col min="48" max="48" width="11.5546875" style="1" bestFit="1" customWidth="1"/>
    <col min="49" max="49" width="5.88671875" style="1" bestFit="1" customWidth="1"/>
    <col min="50" max="50" width="9.21875" style="1" bestFit="1" customWidth="1"/>
    <col min="51" max="51" width="7.6640625" style="1" bestFit="1" customWidth="1"/>
    <col min="52" max="53" width="9.21875" style="1" bestFit="1" customWidth="1"/>
    <col min="54" max="56" width="5.88671875" style="1" bestFit="1" customWidth="1"/>
    <col min="57" max="57" width="9.21875" style="1" bestFit="1" customWidth="1"/>
    <col min="58" max="58" width="4.21875" style="1" bestFit="1" customWidth="1"/>
    <col min="59" max="59" width="10.88671875" style="1" bestFit="1" customWidth="1"/>
    <col min="60" max="60" width="13.33203125" style="1" bestFit="1" customWidth="1"/>
    <col min="61" max="61" width="7.5546875" style="1" bestFit="1" customWidth="1"/>
    <col min="62" max="62" width="9.21875" style="1" bestFit="1" customWidth="1"/>
    <col min="63" max="63" width="5.88671875" style="1" bestFit="1" customWidth="1"/>
    <col min="64" max="65" width="9.21875" style="1" bestFit="1" customWidth="1"/>
    <col min="66" max="66" width="9.33203125" style="1" bestFit="1" customWidth="1"/>
    <col min="67" max="67" width="11.5546875" style="1" bestFit="1" customWidth="1"/>
    <col min="68" max="68" width="11.77734375" style="1" bestFit="1" customWidth="1"/>
    <col min="69" max="69" width="5.88671875" style="1" bestFit="1" customWidth="1"/>
    <col min="70" max="71" width="8.33203125" style="1" bestFit="1" customWidth="1"/>
    <col min="72" max="16384" width="8.88671875" style="1"/>
  </cols>
  <sheetData>
    <row r="1" spans="1:26" ht="43.5" customHeight="1" x14ac:dyDescent="0.25"/>
    <row r="2" spans="1:26" ht="43.5" customHeight="1" x14ac:dyDescent="0.25"/>
    <row r="3" spans="1:26" ht="43.5" customHeight="1" x14ac:dyDescent="0.25"/>
    <row r="4" spans="1:26" x14ac:dyDescent="0.25">
      <c r="A4" t="s">
        <v>86</v>
      </c>
      <c r="B4" t="s">
        <v>94</v>
      </c>
      <c r="C4" t="s">
        <v>117</v>
      </c>
      <c r="D4" t="s">
        <v>206</v>
      </c>
      <c r="E4" t="s">
        <v>229</v>
      </c>
      <c r="F4" t="s">
        <v>496</v>
      </c>
      <c r="G4" t="s">
        <v>497</v>
      </c>
      <c r="H4" t="s">
        <v>498</v>
      </c>
      <c r="I4" t="s">
        <v>89</v>
      </c>
      <c r="J4" t="s">
        <v>45</v>
      </c>
      <c r="K4" t="s">
        <v>46</v>
      </c>
      <c r="L4" t="s">
        <v>231</v>
      </c>
      <c r="M4" t="s">
        <v>240</v>
      </c>
      <c r="N4" t="s">
        <v>232</v>
      </c>
      <c r="O4" t="s">
        <v>194</v>
      </c>
      <c r="P4" t="s">
        <v>233</v>
      </c>
      <c r="Q4" t="s">
        <v>234</v>
      </c>
      <c r="R4" t="s">
        <v>43</v>
      </c>
      <c r="S4" t="s">
        <v>499</v>
      </c>
      <c r="T4" t="s">
        <v>282</v>
      </c>
      <c r="U4" t="s">
        <v>545</v>
      </c>
      <c r="V4" t="s">
        <v>546</v>
      </c>
      <c r="W4" t="s">
        <v>547</v>
      </c>
      <c r="X4" t="s">
        <v>803</v>
      </c>
      <c r="Y4" t="s">
        <v>170</v>
      </c>
      <c r="Z4" t="s">
        <v>221</v>
      </c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</sheetData>
  <phoneticPr fontId="3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T7"/>
  <sheetViews>
    <sheetView workbookViewId="0">
      <selection activeCell="I8" sqref="I8"/>
    </sheetView>
  </sheetViews>
  <sheetFormatPr defaultRowHeight="15" x14ac:dyDescent="0.25"/>
  <cols>
    <col min="1" max="1" width="7.109375" style="1" bestFit="1" customWidth="1"/>
    <col min="2" max="2" width="13.21875" style="1" bestFit="1" customWidth="1"/>
    <col min="3" max="3" width="9.33203125" style="1" bestFit="1" customWidth="1"/>
    <col min="4" max="4" width="29.8867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1.33203125" style="1" bestFit="1" customWidth="1"/>
    <col min="18" max="18" width="17.33203125" style="1" bestFit="1" customWidth="1"/>
    <col min="19" max="19" width="10.33203125" style="1" bestFit="1" customWidth="1"/>
    <col min="20" max="20" width="11.5546875" style="1" bestFit="1" customWidth="1"/>
    <col min="21" max="21" width="11.33203125" style="1" bestFit="1" customWidth="1"/>
    <col min="22" max="22" width="10.33203125" style="1" bestFit="1" customWidth="1"/>
    <col min="23" max="23" width="11.109375" style="1" bestFit="1" customWidth="1"/>
    <col min="24" max="24" width="8.77734375" style="1" bestFit="1" customWidth="1"/>
    <col min="25" max="25" width="9.21875" style="1" bestFit="1" customWidth="1"/>
    <col min="26" max="16384" width="8.88671875" style="1"/>
  </cols>
  <sheetData>
    <row r="5" spans="1:20" x14ac:dyDescent="0.25">
      <c r="A5" t="s">
        <v>86</v>
      </c>
      <c r="B5" t="s">
        <v>48</v>
      </c>
      <c r="C5" t="s">
        <v>49</v>
      </c>
      <c r="D5" t="s">
        <v>94</v>
      </c>
      <c r="E5" t="s">
        <v>147</v>
      </c>
      <c r="F5" t="s">
        <v>201</v>
      </c>
      <c r="G5" t="s">
        <v>202</v>
      </c>
      <c r="H5" t="s">
        <v>203</v>
      </c>
      <c r="I5" t="s">
        <v>172</v>
      </c>
      <c r="J5" t="s">
        <v>173</v>
      </c>
      <c r="K5" t="s">
        <v>183</v>
      </c>
      <c r="L5" t="s">
        <v>171</v>
      </c>
      <c r="M5" t="s">
        <v>205</v>
      </c>
      <c r="N5" t="s">
        <v>215</v>
      </c>
      <c r="O5" t="s">
        <v>216</v>
      </c>
      <c r="P5" t="s">
        <v>217</v>
      </c>
      <c r="Q5" t="s">
        <v>453</v>
      </c>
      <c r="R5" t="s">
        <v>140</v>
      </c>
      <c r="S5" t="s">
        <v>280</v>
      </c>
      <c r="T5" t="s">
        <v>221</v>
      </c>
    </row>
    <row r="6" spans="1:20" x14ac:dyDescent="0.25">
      <c r="A6">
        <v>6</v>
      </c>
      <c r="B6" t="s">
        <v>572</v>
      </c>
      <c r="C6" s="45">
        <v>45197</v>
      </c>
      <c r="D6" t="s">
        <v>573</v>
      </c>
      <c r="E6" t="s">
        <v>149</v>
      </c>
      <c r="F6" t="s">
        <v>7</v>
      </c>
      <c r="G6" t="s">
        <v>7</v>
      </c>
      <c r="H6" t="s">
        <v>7</v>
      </c>
      <c r="I6" t="s">
        <v>181</v>
      </c>
      <c r="J6" t="s">
        <v>193</v>
      </c>
      <c r="K6" t="s">
        <v>92</v>
      </c>
      <c r="L6" t="s">
        <v>92</v>
      </c>
      <c r="M6" t="s">
        <v>936</v>
      </c>
      <c r="N6">
        <v>1</v>
      </c>
      <c r="O6">
        <v>1</v>
      </c>
      <c r="P6">
        <v>1</v>
      </c>
      <c r="Q6"/>
      <c r="R6" t="s">
        <v>578</v>
      </c>
      <c r="S6"/>
      <c r="T6"/>
    </row>
    <row r="7" spans="1:20" x14ac:dyDescent="0.25">
      <c r="A7">
        <v>5</v>
      </c>
      <c r="B7" t="s">
        <v>559</v>
      </c>
      <c r="C7" s="45">
        <v>45197</v>
      </c>
      <c r="D7" t="s">
        <v>560</v>
      </c>
      <c r="E7" t="s">
        <v>149</v>
      </c>
      <c r="F7" t="s">
        <v>7</v>
      </c>
      <c r="G7" t="s">
        <v>7</v>
      </c>
      <c r="H7" t="s">
        <v>7</v>
      </c>
      <c r="I7" t="s">
        <v>181</v>
      </c>
      <c r="J7" t="s">
        <v>193</v>
      </c>
      <c r="K7" t="s">
        <v>92</v>
      </c>
      <c r="L7" t="s">
        <v>92</v>
      </c>
      <c r="M7" t="s">
        <v>937</v>
      </c>
      <c r="N7">
        <v>1</v>
      </c>
      <c r="O7">
        <v>1</v>
      </c>
      <c r="P7">
        <v>1</v>
      </c>
      <c r="Q7"/>
      <c r="R7" t="s">
        <v>565</v>
      </c>
      <c r="S7"/>
      <c r="T7"/>
    </row>
  </sheetData>
  <phoneticPr fontId="3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34</vt:i4>
      </vt:variant>
    </vt:vector>
  </HeadingPairs>
  <TitlesOfParts>
    <vt:vector size="52" baseType="lpstr">
      <vt:lpstr>DOWNLOAD</vt:lpstr>
      <vt:lpstr>load</vt:lpstr>
      <vt:lpstr>DLD_Add</vt:lpstr>
      <vt:lpstr>REVIEW_LIST</vt:lpstr>
      <vt:lpstr>ToDM</vt:lpstr>
      <vt:lpstr>Charts</vt:lpstr>
      <vt:lpstr>NWriter</vt:lpstr>
      <vt:lpstr>WRITER</vt:lpstr>
      <vt:lpstr>ECON</vt:lpstr>
      <vt:lpstr>FUTURE</vt:lpstr>
      <vt:lpstr>AddTap</vt:lpstr>
      <vt:lpstr>MDM</vt:lpstr>
      <vt:lpstr>WIP AddNew</vt:lpstr>
      <vt:lpstr>wDMI</vt:lpstr>
      <vt:lpstr>BBG</vt:lpstr>
      <vt:lpstr>wCurated</vt:lpstr>
      <vt:lpstr>wCredit</vt:lpstr>
      <vt:lpstr>wBISL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GPS_FileName</vt:lpstr>
      <vt:lpstr>IS_EXCH_FILTER</vt:lpstr>
      <vt:lpstr>Monday</vt:lpstr>
      <vt:lpstr>MultiSource</vt:lpstr>
      <vt:lpstr>Name</vt:lpstr>
      <vt:lpstr>UpdatorWeekly</vt:lpstr>
      <vt:lpstr>WeeklyFilter</vt:lpstr>
      <vt:lpstr>澳门Filter</vt:lpstr>
      <vt:lpstr>香港Filter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 T</cp:lastModifiedBy>
  <cp:lastPrinted>2023-09-19T03:58:50Z</cp:lastPrinted>
  <dcterms:created xsi:type="dcterms:W3CDTF">2023-03-10T12:57:22Z</dcterms:created>
  <dcterms:modified xsi:type="dcterms:W3CDTF">2023-10-12T23:38:29Z</dcterms:modified>
</cp:coreProperties>
</file>