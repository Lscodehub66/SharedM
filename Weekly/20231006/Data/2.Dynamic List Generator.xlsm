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tables/table24.xml" ContentType="application/vnd.openxmlformats-officedocument.spreadsheetml.table+xml"/>
  <Override PartName="/xl/queryTables/queryTable17.xml" ContentType="application/vnd.openxmlformats-officedocument.spreadsheetml.queryTable+xml"/>
  <Override PartName="/xl/comments1.xml" ContentType="application/vnd.openxmlformats-officedocument.spreadsheetml.comments+xml"/>
  <Override PartName="/xl/tables/table25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6.xml" ContentType="application/vnd.openxmlformats-officedocument.spreadsheetml.table+xml"/>
  <Override PartName="/xl/queryTables/queryTable18.xml" ContentType="application/vnd.openxmlformats-officedocument.spreadsheetml.queryTable+xml"/>
  <Override PartName="/xl/tables/table27.xml" ContentType="application/vnd.openxmlformats-officedocument.spreadsheetml.table+xml"/>
  <Override PartName="/xl/queryTables/queryTable19.xml" ContentType="application/vnd.openxmlformats-officedocument.spreadsheetml.queryTable+xml"/>
  <Override PartName="/xl/tables/table28.xml" ContentType="application/vnd.openxmlformats-officedocument.spreadsheetml.table+xml"/>
  <Override PartName="/xl/queryTables/queryTable20.xml" ContentType="application/vnd.openxmlformats-officedocument.spreadsheetml.queryTable+xml"/>
  <Override PartName="/xl/tables/table29.xml" ContentType="application/vnd.openxmlformats-officedocument.spreadsheetml.table+xml"/>
  <Override PartName="/xl/queryTables/queryTable21.xml" ContentType="application/vnd.openxmlformats-officedocument.spreadsheetml.queryTable+xml"/>
  <Override PartName="/xl/tables/table30.xml" ContentType="application/vnd.openxmlformats-officedocument.spreadsheetml.table+xml"/>
  <Override PartName="/xl/queryTables/queryTable22.xml" ContentType="application/vnd.openxmlformats-officedocument.spreadsheetml.queryTable+xml"/>
  <Override PartName="/xl/tables/table31.xml" ContentType="application/vnd.openxmlformats-officedocument.spreadsheetml.table+xml"/>
  <Override PartName="/xl/queryTables/queryTable23.xml" ContentType="application/vnd.openxmlformats-officedocument.spreadsheetml.queryTable+xml"/>
  <Override PartName="/xl/tables/table32.xml" ContentType="application/vnd.openxmlformats-officedocument.spreadsheetml.table+xml"/>
  <Override PartName="/xl/queryTables/queryTable24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37.xml" ContentType="application/vnd.openxmlformats-officedocument.spreadsheetml.table+xml"/>
  <Override PartName="/xl/queryTables/queryTable25.xml" ContentType="application/vnd.openxmlformats-officedocument.spreadsheetml.queryTable+xml"/>
  <Override PartName="/xl/tables/table38.xml" ContentType="application/vnd.openxmlformats-officedocument.spreadsheetml.table+xml"/>
  <Override PartName="/xl/queryTables/queryTable26.xml" ContentType="application/vnd.openxmlformats-officedocument.spreadsheetml.queryTable+xml"/>
  <Override PartName="/xl/tables/table39.xml" ContentType="application/vnd.openxmlformats-officedocument.spreadsheetml.table+xml"/>
  <Override PartName="/xl/queryTables/queryTable27.xml" ContentType="application/vnd.openxmlformats-officedocument.spreadsheetml.queryTable+xml"/>
  <Override PartName="/xl/tables/table40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5.xml" ContentType="application/vnd.openxmlformats-officedocument.drawing+xml"/>
  <Override PartName="/xl/tables/table41.xml" ContentType="application/vnd.openxmlformats-officedocument.spreadsheetml.table+xml"/>
  <Override PartName="/xl/queryTables/queryTable29.xml" ContentType="application/vnd.openxmlformats-officedocument.spreadsheetml.queryTable+xml"/>
  <Override PartName="/xl/drawings/drawing6.xml" ContentType="application/vnd.openxmlformats-officedocument.drawing+xml"/>
  <Override PartName="/xl/tables/table42.xml" ContentType="application/vnd.openxmlformats-officedocument.spreadsheetml.table+xml"/>
  <Override PartName="/xl/queryTables/queryTable30.xml" ContentType="application/vnd.openxmlformats-officedocument.spreadsheetml.queryTable+xml"/>
  <Override PartName="/xl/tables/table43.xml" ContentType="application/vnd.openxmlformats-officedocument.spreadsheetml.table+xml"/>
  <Override PartName="/xl/queryTables/queryTable31.xml" ContentType="application/vnd.openxmlformats-officedocument.spreadsheetml.queryTable+xml"/>
  <Override PartName="/xl/tables/table44.xml" ContentType="application/vnd.openxmlformats-officedocument.spreadsheetml.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tables/table45.xml" ContentType="application/vnd.openxmlformats-officedocument.spreadsheetml.table+xml"/>
  <Override PartName="/xl/queryTables/queryTable33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queryTables/queryTable34.xml" ContentType="application/vnd.openxmlformats-officedocument.spreadsheetml.queryTable+xml"/>
  <Override PartName="/xl/tables/table48.xml" ContentType="application/vnd.openxmlformats-officedocument.spreadsheetml.table+xml"/>
  <Override PartName="/xl/drawings/drawing7.xml" ContentType="application/vnd.openxmlformats-officedocument.drawing+xml"/>
  <Override PartName="/xl/tables/table49.xml" ContentType="application/vnd.openxmlformats-officedocument.spreadsheetml.table+xml"/>
  <Override PartName="/xl/queryTables/queryTable35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36.xml" ContentType="application/vnd.openxmlformats-officedocument.spreadsheetml.query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queryTables/queryTable37.xml" ContentType="application/vnd.openxmlformats-officedocument.spreadsheetml.query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38.xml" ContentType="application/vnd.openxmlformats-officedocument.spreadsheetml.queryTable+xml"/>
  <Override PartName="/xl/tables/table58.xml" ContentType="application/vnd.openxmlformats-officedocument.spreadsheetml.table+xml"/>
  <Override PartName="/xl/queryTables/queryTable39.xml" ContentType="application/vnd.openxmlformats-officedocument.spreadsheetml.queryTable+xml"/>
  <Override PartName="/xl/tables/table59.xml" ContentType="application/vnd.openxmlformats-officedocument.spreadsheetml.table+xml"/>
  <Override PartName="/xl/queryTables/queryTable40.xml" ContentType="application/vnd.openxmlformats-officedocument.spreadsheetml.queryTable+xml"/>
  <Override PartName="/xl/tables/table60.xml" ContentType="application/vnd.openxmlformats-officedocument.spreadsheetml.table+xml"/>
  <Override PartName="/xl/queryTables/queryTable41.xml" ContentType="application/vnd.openxmlformats-officedocument.spreadsheetml.queryTable+xml"/>
  <Override PartName="/xl/drawings/drawing8.xml" ContentType="application/vnd.openxmlformats-officedocument.drawing+xml"/>
  <Override PartName="/xl/tables/table61.xml" ContentType="application/vnd.openxmlformats-officedocument.spreadsheetml.table+xml"/>
  <Override PartName="/xl/queryTables/queryTable42.xml" ContentType="application/vnd.openxmlformats-officedocument.spreadsheetml.queryTable+xml"/>
  <Override PartName="/xl/drawings/drawing9.xml" ContentType="application/vnd.openxmlformats-officedocument.drawing+xml"/>
  <Override PartName="/xl/tables/table62.xml" ContentType="application/vnd.openxmlformats-officedocument.spreadsheetml.table+xml"/>
  <Override PartName="/xl/queryTables/queryTable43.xml" ContentType="application/vnd.openxmlformats-officedocument.spreadsheetml.queryTable+xml"/>
  <Override PartName="/xl/tables/table63.xml" ContentType="application/vnd.openxmlformats-officedocument.spreadsheetml.table+xml"/>
  <Override PartName="/xl/queryTables/queryTable4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1009\Data\"/>
    </mc:Choice>
  </mc:AlternateContent>
  <xr:revisionPtr revIDLastSave="0" documentId="13_ncr:1_{923D91EE-180F-4FF4-BDD8-8274C72103A3}" xr6:coauthVersionLast="36" xr6:coauthVersionMax="47" xr10:uidLastSave="{00000000-0000-0000-0000-000000000000}"/>
  <bookViews>
    <workbookView xWindow="0" yWindow="0" windowWidth="28800" windowHeight="11850" tabRatio="594" activeTab="5" xr2:uid="{00000000-000D-0000-FFFF-FFFF00000000}"/>
  </bookViews>
  <sheets>
    <sheet name="MDM" sheetId="27" r:id="rId1"/>
    <sheet name="DOWNLOAD" sheetId="1" r:id="rId2"/>
    <sheet name="Dimtbl" sheetId="55" state="hidden" r:id="rId3"/>
    <sheet name="load" sheetId="23" r:id="rId4"/>
    <sheet name="REVIEW_LIST" sheetId="33" r:id="rId5"/>
    <sheet name="Charts" sheetId="40" r:id="rId6"/>
    <sheet name="NWriter" sheetId="52" r:id="rId7"/>
    <sheet name="WRITER" sheetId="39" state="hidden" r:id="rId8"/>
    <sheet name="ECON" sheetId="30" r:id="rId9"/>
    <sheet name="FUTURE" sheetId="41" r:id="rId10"/>
    <sheet name="AddTap" sheetId="53" r:id="rId11"/>
    <sheet name="WIP AddNew" sheetId="54" state="hidden" r:id="rId12"/>
    <sheet name="FIMTN" sheetId="43" state="hidden" r:id="rId13"/>
    <sheet name="wDMI" sheetId="42" state="hidden" r:id="rId14"/>
    <sheet name="BBG" sheetId="49" state="hidden" r:id="rId15"/>
    <sheet name="台账" sheetId="51" state="hidden" r:id="rId16"/>
    <sheet name="wCurated" sheetId="48" state="hidden" r:id="rId17"/>
    <sheet name="wCredit" sheetId="46" state="hidden" r:id="rId18"/>
    <sheet name="wBISL" sheetId="47" state="hidden" r:id="rId19"/>
  </sheets>
  <definedNames>
    <definedName name="_xlnm._FilterDatabase" localSheetId="12" hidden="1">FIMTN!#REF!</definedName>
    <definedName name="_xlnm._FilterDatabase" localSheetId="0" hidden="1">MDM!#REF!</definedName>
    <definedName name="_xlnm.Criteria" localSheetId="0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10" hidden="1">AddTap!$B$9:$K$19</definedName>
    <definedName name="ExternalData_1" localSheetId="14" hidden="1">BBG!$A$5:$Z$17</definedName>
    <definedName name="ExternalData_1" localSheetId="8" hidden="1">ECON!$A$12:$O$32</definedName>
    <definedName name="ExternalData_1" localSheetId="12" hidden="1">FIMTN!$A$5:$J$7</definedName>
    <definedName name="ExternalData_1" localSheetId="0" hidden="1">MDM!$H$22:$I$27</definedName>
    <definedName name="ExternalData_1" localSheetId="16" hidden="1">wCurated!$A$4:$AY$13</definedName>
    <definedName name="ExternalData_1" localSheetId="11" hidden="1">'WIP AddNew'!$B$6:$B$16</definedName>
    <definedName name="ExternalData_10" localSheetId="5" hidden="1">Charts!$L$12:$N$13</definedName>
    <definedName name="ExternalData_10" localSheetId="0" hidden="1">MDM!$C$41:$C$93</definedName>
    <definedName name="ExternalData_11" localSheetId="1" hidden="1">DOWNLOAD!#REF!</definedName>
    <definedName name="ExternalData_11" localSheetId="0" hidden="1">MDM!$C$6:$C$39</definedName>
    <definedName name="ExternalData_11" localSheetId="7" hidden="1">WRITER!$A$9:$F$15</definedName>
    <definedName name="ExternalData_12" localSheetId="0" hidden="1">MDM!$L$6:$M$75</definedName>
    <definedName name="ExternalData_12" localSheetId="7" hidden="1">WRITER!$A$20:$F$21</definedName>
    <definedName name="ExternalData_13" localSheetId="0" hidden="1">MDM!$O$6:$O$57</definedName>
    <definedName name="ExternalData_13" localSheetId="6" hidden="1">NWriter!$A$6:$D$15</definedName>
    <definedName name="ExternalData_14" localSheetId="0" hidden="1">MDM!$C$106:$C$136</definedName>
    <definedName name="ExternalData_15" localSheetId="1" hidden="1">DOWNLOAD!$N$10:$CZ$19</definedName>
    <definedName name="ExternalData_16" localSheetId="13" hidden="1">wDMI!$A$5:$BU$17</definedName>
    <definedName name="ExternalData_18" localSheetId="1" hidden="1">DOWNLOAD!#REF!</definedName>
    <definedName name="ExternalData_19" localSheetId="1" hidden="1">DOWNLOAD!#REF!</definedName>
    <definedName name="ExternalData_19" localSheetId="3" hidden="1">load!$S$5:$AL$14</definedName>
    <definedName name="ExternalData_2" localSheetId="10" hidden="1">AddTap!$B$26:$C$59</definedName>
    <definedName name="ExternalData_2" localSheetId="9" hidden="1">FUTURE!$A$10:$O$25</definedName>
    <definedName name="ExternalData_2" localSheetId="3" hidden="1">load!$AR$5:$BE$7</definedName>
    <definedName name="ExternalData_2" localSheetId="0" hidden="1">MDM!$H$14:$I$20</definedName>
    <definedName name="ExternalData_2" localSheetId="15" hidden="1">台账!$A$5:$H$84</definedName>
    <definedName name="ExternalData_20" localSheetId="1" hidden="1">DOWNLOAD!$A$16:$A$18</definedName>
    <definedName name="ExternalData_21" localSheetId="1" hidden="1">DOWNLOAD!$A$20:$A$22</definedName>
    <definedName name="ExternalData_21" localSheetId="3" hidden="1">load!$AR$11:$AU$14</definedName>
    <definedName name="ExternalData_22" localSheetId="1" hidden="1">DOWNLOAD!$A$10:$B$14</definedName>
    <definedName name="ExternalData_22" localSheetId="3" hidden="1">load!$C$5:$C$19</definedName>
    <definedName name="ExternalData_23" localSheetId="3" hidden="1">load!$B$5:$B$16</definedName>
    <definedName name="ExternalData_24" localSheetId="3" hidden="1">load!$E$5:$O$14</definedName>
    <definedName name="ExternalData_3" localSheetId="3" hidden="1">load!$A$5:$A$25</definedName>
    <definedName name="ExternalData_3" localSheetId="0" hidden="1">MDM!$H$29:$I$35</definedName>
    <definedName name="ExternalData_4" localSheetId="5" hidden="1">Charts!$P$8:$AF$17</definedName>
    <definedName name="ExternalData_5" localSheetId="0" hidden="1">MDM!$H$6:$I$11</definedName>
    <definedName name="ExternalData_5" localSheetId="16" hidden="1">wCurated!$A$4:$BR$14</definedName>
    <definedName name="ExternalData_6" localSheetId="0" hidden="1">MDM!$H$59:$I$65</definedName>
    <definedName name="ExternalData_6" localSheetId="18" hidden="1">wBISL!$A$5:$T$7</definedName>
    <definedName name="ExternalData_7" localSheetId="0" hidden="1">MDM!$C$95:$C$104</definedName>
    <definedName name="ExternalData_8" localSheetId="5" hidden="1">Charts!$A$8:$J$19</definedName>
    <definedName name="ExternalData_8" localSheetId="0" hidden="1">MDM!$H$37:$I$48</definedName>
    <definedName name="ExternalData_8" localSheetId="7" hidden="1">WRITER!$A$4:$F$5</definedName>
    <definedName name="ExternalData_9" localSheetId="5" hidden="1">Charts!$L$8:$N$9</definedName>
    <definedName name="ExternalData_9" localSheetId="0" hidden="1">MDM!$H$50:$I$57</definedName>
    <definedName name="ExternalData_9" localSheetId="17" hidden="1">wCredit!$A$4:$Y$7</definedName>
    <definedName name="GPS">MDM!$A$1</definedName>
    <definedName name="GPS_FileName">MDM!$B$1</definedName>
    <definedName name="input_data">#REF!</definedName>
    <definedName name="Monday">Dimtbl!$D$4</definedName>
    <definedName name="Name">load!$W$4</definedName>
    <definedName name="UpdatorWeekly">Dimtbl!$D$3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5" l="1"/>
  <c r="B7" i="55"/>
  <c r="B6" i="55"/>
  <c r="B5" i="55"/>
  <c r="B4" i="55"/>
  <c r="B1" i="27" l="1"/>
  <c r="A1" i="27" l="1"/>
  <c r="U1" i="23" l="1"/>
  <c r="V1" i="23" s="1"/>
  <c r="S1" i="40"/>
  <c r="Q1" i="40"/>
  <c r="AR1" i="23"/>
  <c r="AS1" i="23" s="1"/>
  <c r="H1" i="23"/>
  <c r="I1" i="23" s="1"/>
  <c r="R7" i="27"/>
  <c r="R8" i="27"/>
  <c r="R9" i="27"/>
  <c r="R10" i="27"/>
  <c r="B4" i="1"/>
  <c r="B6" i="1"/>
  <c r="B5" i="1"/>
  <c r="C5" i="1" l="1"/>
  <c r="W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Q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H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U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6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6" background="1" saveData="1">
    <dbPr connection="Provider=Microsoft.Mashup.OleDb.1;Data Source=$Workbook$;Location=ColNow_mCurated;Extended Properties=&quot;&quot;" command="SELECT * FROM [ColNow_mCurated]"/>
  </connection>
  <connection id="14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5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6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7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8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9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20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2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3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4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5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6" xr16:uid="{CCF5AEA9-4876-4713-9EE0-D7F0D0E127ED}" keepAlive="1" name="Query - DLD_SourcePQ" description="Connection to the 'DLD_SourcePQ' query in the workbook." type="5" refreshedVersion="0" background="1" saveData="1">
    <dbPr connection="Provider=Microsoft.Mashup.OleDb.1;Data Source=$Workbook$;Location=DLD_SourcePQ;Extended Properties=&quot;&quot;" command="SELECT * FROM [DLD_SourcePQ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30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1" xr16:uid="{00000000-0015-0000-FFFF-FFFF08000000}" keepAlive="1" name="Query - DMICredit" description="Connection to the 'DMICredit' query in the workbook." type="5" refreshedVersion="0" background="1">
    <dbPr connection="Provider=Microsoft.Mashup.OleDb.1;Data Source=$Workbook$;Location=DMICredit;Extended Properties=&quot;&quot;" command="SELECT * FROM [DMICredit]"/>
  </connection>
  <connection id="32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57EAE1B6-0C3E-40E4-8919-C36E35185C69}" keepAlive="1" name="Query - DMImissing" description="Connection to the 'DMImissing' query in the workbook." type="5" refreshedVersion="0" background="1">
    <dbPr connection="Provider=Microsoft.Mashup.OleDb.1;Data Source=$Workbook$;Location=DMImissing;Extended Properties=&quot;&quot;" command="SELECT * FROM [DMImissing]"/>
  </connection>
  <connection id="34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5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8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</connection>
  <connection id="42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6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7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8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9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0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1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2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3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4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5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9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60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2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3" xr16:uid="{00000000-0015-0000-FFFF-FFFF15000000}" keepAlive="1" name="Query - fxGetBranch" description="Connection to the 'fxGetBranch' query in the workbook." type="5" refreshedVersion="0" background="1">
    <dbPr connection="Provider=Microsoft.Mashup.OleDb.1;Data Source=$Workbook$;Location=fxGetBranch;Extended Properties=&quot;&quot;" command="SELECT * FROM [fxGetBranch]"/>
  </connection>
  <connection id="64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5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6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7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8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9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0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1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2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3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4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5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6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7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8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9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0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1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2" xr16:uid="{B4AB1D6B-DCBA-4ED7-BB15-FB63BD8D4A62}" keepAlive="1" name="Query - fxtblNList" description="Connection to the 'fxtblNList' query in the workbook." type="5" refreshedVersion="0" background="1">
    <dbPr connection="Provider=Microsoft.Mashup.OleDb.1;Data Source=$Workbook$;Location=fxtblNList;Extended Properties=&quot;&quot;" command="SELECT * FROM [fxtblNList]"/>
  </connection>
  <connection id="83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4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5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6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7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88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9" xr16:uid="{8913E89A-CCE7-436D-94F0-17CBC7FCA9F5}" keepAlive="1" name="Query - headers_BOCOM" description="Connection to the 'headers_BOCOM' query in the workbook." type="5" refreshedVersion="6" background="1" saveData="1">
    <dbPr connection="Provider=Microsoft.Mashup.OleDb.1;Data Source=$Workbook$;Location=headers_BOCOM;Extended Properties=&quot;&quot;" command="SELECT * FROM [headers_BOCOM]"/>
    <extLst>
      <ext xmlns:x15="http://schemas.microsoft.com/office/spreadsheetml/2010/11/main" uri="{DE250136-89BD-433C-8126-D09CA5730AF9}">
        <x15:connection id="" excludeFromRefreshAll="1"/>
      </ext>
    </extLst>
  </connection>
  <connection id="90" xr16:uid="{00000000-0015-0000-FFFF-FFFF28000000}" keepAlive="1" name="Query - headers_Curated" description="Connection to the 'headers_Curated' query in the workbook." type="5" refreshedVersion="6" background="1" saveData="1">
    <dbPr connection="Provider=Microsoft.Mashup.OleDb.1;Data Source=$Workbook$;Location=headers_Curated;Extended Properties=&quot;&quot;" command="SELECT * FROM [headers_Curated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E97FCDE8-419B-46A1-A443-F6567C7F2666}" keepAlive="1" name="Query - headers_Issuer" description="Connection to the 'headers_Issuer' query in the workbook." type="5" refreshedVersion="6" background="1" saveData="1">
    <dbPr connection="Provider=Microsoft.Mashup.OleDb.1;Data Source=$Workbook$;Location=headers_Issuer;Extended Properties=&quot;&quot;" command="SELECT * FROM [headers_Issuer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3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6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7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8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9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100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1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2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3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104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5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6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07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08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9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0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11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2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3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4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5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6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7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18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9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20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23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4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5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6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7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8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9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30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31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32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33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34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35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6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37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  <connection id="138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<sst xmlns="http://schemas.openxmlformats.org/spreadsheetml/2006/main" count="4713" uniqueCount="1163">
  <si>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</si>
  <si>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</si>
  <si>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</si>
  <si>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</si>
  <si>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</si>
  <si>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</si>
  <si>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</si>
  <si>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</si>
  <si>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</si>
  <si>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</si>
  <si>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</si>
  <si>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</si>
  <si>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</si>
  <si>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</si>
  <si>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</si>
  <si>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</si>
  <si>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</si>
  <si>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</si>
  <si>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</si>
  <si>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</si>
  <si>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</si>
  <si>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</si>
  <si>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</si>
  <si>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</si>
  <si>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</si>
  <si>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</si>
  <si>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</si>
  <si>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</si>
  <si>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</si>
  <si>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</si>
  <si>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</si>
  <si>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</si>
  <si>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</si>
  <si>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</si>
  <si>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</si>
  <si>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</si>
  <si>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</si>
  <si>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</si>
  <si>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</si>
  <si>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</si>
  <si>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</si>
  <si>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</si>
  <si>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</si>
  <si>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</si>
  <si>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</si>
  <si>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</si>
  <si>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</si>
  <si>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</si>
  <si>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</si>
  <si>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</si>
  <si>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</si>
  <si>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</si>
  <si>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</si>
  <si>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</si>
  <si>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</si>
  <si>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</si>
  <si>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</si>
  <si>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</si>
  <si>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</si>
  <si>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</si>
  <si>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</si>
  <si>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</si>
  <si>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</si>
  <si>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</si>
  <si>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</si>
  <si>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</si>
  <si>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</si>
  <si>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</si>
  <si>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</si>
  <si>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</si>
  <si>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</si>
  <si>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</si>
  <si>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</si>
  <si>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</si>
  <si>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</si>
  <si>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</si>
  <si>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</si>
  <si>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</si>
  <si>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</si>
  <si>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</si>
  <si>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</si>
  <si>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</si>
  <si>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</si>
  <si>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</si>
  <si>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</si>
  <si>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</si>
  <si>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</si>
  <si>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</si>
  <si>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</si>
  <si>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</si>
  <si>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</si>
  <si>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</si>
  <si>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</si>
  <si>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</si>
  <si>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</si>
  <si>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</si>
  <si>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</si>
  <si>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</si>
  <si>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</si>
  <si>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</si>
  <si>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</si>
  <si>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</si>
  <si>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</si>
  <si>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</si>
  <si>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</si>
  <si>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</si>
  <si>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</si>
  <si>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</si>
  <si>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</si>
  <si>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</si>
  <si>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</si>
  <si>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</si>
  <si>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</si>
  <si>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</si>
  <si>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</si>
  <si>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</si>
  <si>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</si>
  <si>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</si>
  <si>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</si>
  <si>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</si>
  <si>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</si>
  <si>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</si>
  <si>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</si>
  <si>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</si>
  <si>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</si>
  <si>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</si>
  <si>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</si>
  <si>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</si>
  <si>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</si>
  <si>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</si>
  <si>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</si>
  <si>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地方国有企业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</si>
  <si>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</si>
  <si>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</si>
  <si>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</si>
  <si>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</si>
  <si>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</si>
  <si>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</si>
  <si>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</si>
  <si>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</si>
  <si>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</si>
  <si>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</si>
  <si>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</si>
  <si>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</si>
  <si>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</si>
  <si>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</si>
  <si>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</si>
  <si>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</si>
  <si>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</si>
  <si>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</si>
  <si>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</si>
  <si>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</si>
  <si>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</si>
  <si>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</si>
  <si>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</si>
  <si>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</si>
  <si>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</si>
  <si>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</si>
  <si>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</si>
  <si>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</si>
  <si>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</si>
  <si>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</si>
  <si>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</si>
  <si>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</si>
  <si>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</si>
  <si>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</si>
  <si>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</si>
  <si>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</si>
  <si>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</si>
  <si>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</si>
  <si>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</si>
  <si>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</si>
  <si>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</si>
  <si>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</si>
  <si>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</si>
  <si>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</si>
  <si>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</si>
  <si>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</si>
  <si>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</si>
  <si>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</si>
  <si>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</si>
  <si>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</si>
  <si>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</si>
  <si>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</si>
  <si>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</si>
  <si>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</si>
  <si>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</si>
  <si>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</si>
  <si>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</si>
  <si>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</si>
  <si>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</si>
  <si>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</si>
  <si>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</si>
  <si>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</si>
  <si>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</si>
  <si>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</si>
  <si>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</si>
  <si>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</si>
  <si>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</si>
  <si>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</si>
  <si>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</si>
  <si>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</si>
  <si>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</si>
  <si>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</si>
  <si>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</si>
  <si>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</si>
  <si>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</si>
  <si>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</si>
  <si>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</si>
  <si>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</si>
  <si>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</si>
  <si>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</si>
  <si>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</si>
  <si>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</si>
  <si>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</si>
  <si>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</si>
  <si>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</si>
  <si>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</si>
  <si>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</si>
  <si>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</si>
  <si>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</si>
  <si>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</si>
  <si>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</si>
  <si>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</si>
  <si>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</si>
  <si>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</si>
  <si>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</si>
  <si>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</si>
  <si>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</si>
  <si>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</si>
  <si>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</si>
  <si>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</si>
  <si>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</si>
  <si>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</si>
  <si>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</si>
  <si>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</si>
  <si>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CY</t>
  </si>
  <si>
    <t>注册成立地</t>
  </si>
  <si>
    <t>BISL</t>
  </si>
  <si>
    <t>港分</t>
  </si>
  <si>
    <t>澳分</t>
  </si>
  <si>
    <t>FI MTN</t>
  </si>
  <si>
    <t>系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</si>
  <si>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</si>
  <si>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</si>
  <si>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</si>
  <si>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</si>
  <si>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</si>
  <si>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</si>
  <si>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</si>
  <si>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</si>
  <si>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</si>
  <si>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</si>
  <si>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</si>
  <si>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</si>
  <si>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</si>
  <si>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</si>
  <si>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</si>
  <si>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</si>
  <si>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</si>
  <si>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</si>
  <si>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DMI列名更改</t>
  </si>
  <si>
    <t>DMI新增列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</si>
  <si>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</si>
  <si>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</si>
  <si>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</si>
  <si>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</si>
  <si>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</si>
  <si>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</si>
  <si>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</si>
  <si>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</si>
  <si>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</si>
  <si>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</si>
  <si>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</si>
  <si>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</si>
  <si>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</si>
  <si>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</si>
  <si>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</si>
  <si>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</si>
  <si>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</si>
  <si>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</si>
  <si>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</si>
  <si>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</si>
  <si>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</si>
  <si>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</si>
  <si>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</si>
  <si>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</si>
  <si>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</si>
  <si>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</si>
  <si>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</si>
  <si>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</si>
  <si>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</si>
  <si>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</si>
  <si>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</si>
  <si>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</si>
  <si>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</si>
  <si>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</si>
  <si>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</si>
  <si>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</si>
  <si>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</si>
  <si>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</si>
  <si>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</si>
  <si>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</si>
  <si>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</si>
  <si>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</si>
  <si>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</si>
  <si>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</si>
  <si>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</si>
  <si>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</si>
  <si>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</si>
  <si>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</si>
  <si>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</si>
  <si>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</si>
  <si>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</si>
  <si>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</si>
  <si>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</si>
  <si>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</si>
  <si>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</si>
  <si>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</si>
  <si>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</si>
  <si>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</si>
  <si>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</si>
  <si>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</si>
  <si>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</si>
  <si>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</si>
  <si>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</si>
  <si>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</si>
  <si>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</si>
  <si>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</si>
  <si>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</si>
  <si>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</si>
  <si>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</si>
  <si>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</si>
  <si>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</si>
  <si>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</si>
  <si>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</si>
  <si>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</si>
  <si>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</si>
  <si>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</si>
  <si>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</si>
  <si>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</si>
  <si>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</si>
  <si>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</si>
  <si>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</si>
  <si>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</si>
  <si>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</si>
  <si>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</si>
  <si>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</si>
  <si>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</si>
  <si>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</si>
  <si>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</si>
  <si>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</si>
  <si>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</si>
  <si>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</si>
  <si>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</si>
  <si>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</si>
  <si>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</si>
  <si>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</si>
  <si>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</si>
  <si>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</si>
  <si>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</si>
  <si>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</si>
  <si>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</si>
  <si>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</si>
  <si>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</si>
  <si>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</si>
  <si>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</si>
  <si>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</si>
  <si>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</si>
  <si>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</si>
  <si>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</si>
  <si>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</si>
  <si>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</si>
  <si>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</si>
  <si>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</si>
  <si>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</si>
  <si>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</si>
  <si>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</si>
  <si>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</si>
  <si>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</si>
  <si>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</si>
  <si>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</si>
  <si>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</si>
  <si>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</si>
  <si>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</si>
  <si>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</si>
  <si>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</si>
  <si>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</si>
  <si>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</si>
  <si>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</si>
  <si>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</si>
  <si>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</si>
  <si>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</si>
  <si>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</si>
  <si>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</si>
  <si>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</si>
  <si>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</si>
  <si>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</si>
  <si>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</si>
  <si>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</si>
  <si>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</si>
  <si>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</si>
  <si>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</si>
  <si>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</si>
  <si>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</si>
  <si>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</si>
  <si>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</si>
  <si>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</si>
  <si>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</si>
  <si>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</si>
  <si>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</si>
  <si>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</si>
  <si>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</si>
  <si>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</si>
  <si>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</si>
  <si>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</si>
  <si>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</si>
  <si>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</si>
  <si>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</si>
  <si>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</si>
  <si>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</si>
  <si>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</si>
  <si>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</si>
  <si>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</si>
  <si>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</si>
  <si>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</si>
  <si>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</si>
  <si>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BBGcorp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</si>
  <si>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</si>
  <si>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</si>
  <si>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</si>
  <si>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</si>
  <si>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</si>
  <si>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</si>
  <si>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</si>
  <si>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</si>
  <si>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</si>
  <si>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</si>
  <si>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</si>
  <si>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</si>
  <si>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</si>
  <si>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</si>
  <si>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</si>
  <si>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</si>
  <si>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</si>
  <si>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</si>
  <si>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</si>
  <si>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</si>
  <si>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</si>
  <si>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</si>
  <si>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headers_Issuer</t>
  </si>
  <si>
    <t>删除及隐藏</t>
  </si>
  <si>
    <t>headers_Curated</t>
  </si>
  <si>
    <t>headers_BOCOM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</si>
  <si>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</si>
  <si>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</si>
  <si>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</si>
  <si>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</si>
  <si>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</si>
  <si>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</si>
  <si>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</si>
  <si>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</si>
  <si>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</si>
  <si>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</si>
  <si>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</si>
  <si>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</si>
  <si>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7.5%</t>
  </si>
  <si>
    <t>HK0000954344</t>
  </si>
  <si>
    <t>枣庄高新(恒丰银行)</t>
  </si>
  <si>
    <t>4.8%</t>
  </si>
  <si>
    <t>【】</t>
  </si>
  <si>
    <t>HK</t>
  </si>
  <si>
    <t>中国光大银行股份有限公司</t>
  </si>
  <si>
    <t>--/BBB+/--</t>
  </si>
  <si>
    <t>7.5</t>
  </si>
  <si>
    <t>银行</t>
  </si>
  <si>
    <t>贸易</t>
  </si>
  <si>
    <t>1</t>
  </si>
  <si>
    <t>364天</t>
  </si>
  <si>
    <t>will wipe out  last week's results</t>
  </si>
  <si>
    <t xml:space="preserve">⚠️ Change Updator </t>
  </si>
  <si>
    <t>HK0000954286</t>
  </si>
  <si>
    <t>HK0000942661</t>
  </si>
  <si>
    <t>HK0000954021</t>
  </si>
  <si>
    <t>--/--/BBB-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</si>
  <si>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</si>
  <si>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</si>
  <si>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</si>
  <si>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</si>
  <si>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</si>
  <si>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</si>
  <si>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</si>
  <si>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</si>
  <si>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西安航天高技术产业发展集团有限公司</t>
  </si>
  <si>
    <t>7.1%</t>
  </si>
  <si>
    <t>--/--/A+</t>
  </si>
  <si>
    <t>西安航天高技术(长安银行)</t>
  </si>
  <si>
    <t>陕西沣西发展(西安银行)</t>
  </si>
  <si>
    <t>4.8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</si>
  <si>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</si>
  <si>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</si>
  <si>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</si>
  <si>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</si>
  <si>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</si>
  <si>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</si>
  <si>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</si>
  <si>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</si>
  <si>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</si>
  <si>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</si>
  <si>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</si>
  <si>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</si>
  <si>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</si>
  <si>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</si>
  <si>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</si>
  <si>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</si>
  <si>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</si>
  <si>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</si>
  <si>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</si>
  <si>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</si>
  <si>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</si>
  <si>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板块二级</t>
  </si>
  <si>
    <t>板块三级</t>
  </si>
  <si>
    <t>板块标签</t>
  </si>
  <si>
    <t>YY类型</t>
  </si>
  <si>
    <t>Sunrise III</t>
  </si>
  <si>
    <t>XS2671498447</t>
  </si>
  <si>
    <t>上饶城市建设投资开发集团有限公司</t>
  </si>
  <si>
    <t>Baima Lake VI</t>
  </si>
  <si>
    <t>XS2681919762</t>
  </si>
  <si>
    <t>常德市城市建设投资集团有限公司</t>
  </si>
  <si>
    <t>Parent company tiker</t>
  </si>
  <si>
    <t>Parent Company 评级</t>
  </si>
  <si>
    <t>ESG indicator</t>
  </si>
  <si>
    <t>KPW 评级</t>
  </si>
  <si>
    <t>XI'AN AEROSPACE HIGH-TECH INDU</t>
  </si>
  <si>
    <t>7.1</t>
  </si>
  <si>
    <t>230928XS2649030330</t>
  </si>
  <si>
    <t>XS2694370227</t>
  </si>
  <si>
    <t>高密华荣实业发展有限公司</t>
  </si>
  <si>
    <t>GAOMI HUARONG INDUSTRIAL DEVEL</t>
  </si>
  <si>
    <t>230928XS2694370227</t>
  </si>
  <si>
    <t>上饶市城市建设投资开发集团有限公司</t>
  </si>
  <si>
    <t>--/--/BB+</t>
  </si>
  <si>
    <t>SHANGRAO CITY CONSTRUCTION INV</t>
  </si>
  <si>
    <t>8.5</t>
  </si>
  <si>
    <t>0791831D CH</t>
  </si>
  <si>
    <t>230928XS2671498447</t>
  </si>
  <si>
    <t>HK0000957982</t>
  </si>
  <si>
    <t>成都香城投资集团有限公司</t>
  </si>
  <si>
    <t>CHENGDU XIANGCHENG INVESTMENT</t>
  </si>
  <si>
    <t>1762135D CH</t>
  </si>
  <si>
    <t>230928HK0000957982</t>
  </si>
  <si>
    <t>CHANGDE URBAN CONSTRUCTION AND</t>
  </si>
  <si>
    <t>5.9</t>
  </si>
  <si>
    <t>CDCJIZ CH</t>
  </si>
  <si>
    <t>230928XS2681919762</t>
  </si>
  <si>
    <t>XS2697201155</t>
  </si>
  <si>
    <t>六盘水市民生产业投资集团有限责任公司</t>
  </si>
  <si>
    <t>LIUPANSHUI MINSHENG INVESTMENT</t>
  </si>
  <si>
    <t>6.4</t>
  </si>
  <si>
    <t>1370877D CH</t>
  </si>
  <si>
    <t>230927XS2697201155</t>
  </si>
  <si>
    <t>XS2697690332</t>
  </si>
  <si>
    <t>许昌市投资集团有限公司</t>
  </si>
  <si>
    <t>XUCHANG GENERAL INVESTMENT CO</t>
  </si>
  <si>
    <t>3.69</t>
  </si>
  <si>
    <t>0794811D CH</t>
  </si>
  <si>
    <t>230927XS2697690332</t>
  </si>
  <si>
    <t>XS2695373451</t>
  </si>
  <si>
    <t>昆明产业开发投资有限责任公司</t>
  </si>
  <si>
    <t>HONG KONG JY FLOWER LTD</t>
  </si>
  <si>
    <t>KUNMING INDUSTRIAL DEVELOPMENT &amp; INVESTMENT CO LTD</t>
  </si>
  <si>
    <t>9.6999999999999993</t>
  </si>
  <si>
    <t>0795500D CH</t>
  </si>
  <si>
    <t>--/--/WD</t>
  </si>
  <si>
    <t>230926XS2695373451</t>
  </si>
  <si>
    <t>SHARAO 8.5 10/11/26</t>
  </si>
  <si>
    <t>普通债</t>
  </si>
  <si>
    <t>未到期</t>
  </si>
  <si>
    <t>固定利率</t>
  </si>
  <si>
    <t>否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</si>
  <si>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</si>
  <si>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</si>
  <si>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控制权变更回售@101%</t>
  </si>
  <si>
    <t>8.50%</t>
  </si>
  <si>
    <t>SHARAO</t>
  </si>
  <si>
    <t>Repayment of existing medium to long term offshore indebtedness which will become due within one year.</t>
  </si>
  <si>
    <t>高收益</t>
  </si>
  <si>
    <t>3.02Y</t>
  </si>
  <si>
    <t>--/--</t>
  </si>
  <si>
    <t>基础建设</t>
  </si>
  <si>
    <t>China CITIC Bank International Limited;GF Securities (Hong Kong) Brokerage Limited;CLSA Securities Limited</t>
  </si>
  <si>
    <t>上饶市</t>
  </si>
  <si>
    <t>江西省</t>
  </si>
  <si>
    <t>Senior Unsecured</t>
  </si>
  <si>
    <t>直接发行</t>
  </si>
  <si>
    <t>RegS</t>
  </si>
  <si>
    <t>8.50%(#)</t>
  </si>
  <si>
    <t>香港交易所</t>
  </si>
  <si>
    <t>3.0000</t>
  </si>
  <si>
    <t>上饶城投 8.5 2026-10-11</t>
  </si>
  <si>
    <t>CHADEC 5.9 10/11/26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</si>
  <si>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</si>
  <si>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</si>
  <si>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控制权变更回售@100%</t>
  </si>
  <si>
    <t>5.90%</t>
  </si>
  <si>
    <t>CHADEC</t>
  </si>
  <si>
    <t>Repayment of the Issuer's medium to long term offshore debts due within one year</t>
  </si>
  <si>
    <t>投资级</t>
  </si>
  <si>
    <t>Bank of China Limited;China CITIC Bank International Limited;Guotai Junan International;ABC International Holdings Limited</t>
  </si>
  <si>
    <t>常德市</t>
  </si>
  <si>
    <t>湖南省</t>
  </si>
  <si>
    <t>中国邮政储蓄银行股份有限公司常德分行</t>
  </si>
  <si>
    <t>SBLC</t>
  </si>
  <si>
    <t>5.90%(#)</t>
  </si>
  <si>
    <t>6.10%区域</t>
  </si>
  <si>
    <t>常德市城市建设投资集团有限公司 5.9 2026-10-11</t>
  </si>
  <si>
    <t>CDXCIG 4.8 10/13/26</t>
  </si>
  <si>
    <t>Y1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</si>
  <si>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</si>
  <si>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</si>
  <si>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控制权变更回售@101</t>
  </si>
  <si>
    <t>CDXCIG</t>
  </si>
  <si>
    <t>Refinancing of the medium to long-term offshore bonds due within one year of the date of the NDRC Certificate</t>
  </si>
  <si>
    <t>无评级</t>
  </si>
  <si>
    <t>3.03Y</t>
  </si>
  <si>
    <t>Essence International Securities (Hong Kong) Limited;Haitong Bank, Macau Branch</t>
  </si>
  <si>
    <t>新都区</t>
  </si>
  <si>
    <t>成都市</t>
  </si>
  <si>
    <t>四川省</t>
  </si>
  <si>
    <t>4.8%区域</t>
  </si>
  <si>
    <t>中华（澳门）金融资产交易股份有限公司</t>
  </si>
  <si>
    <t>香城投资 4.8 2026-10-13</t>
  </si>
  <si>
    <t>XIANST 7.1 10/16/26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</si>
  <si>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</si>
  <si>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</si>
  <si>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XIANST</t>
  </si>
  <si>
    <t>For repayment of existing offshore indebtedness</t>
  </si>
  <si>
    <t>AA</t>
  </si>
  <si>
    <t>Fosun International Securities Limited</t>
  </si>
  <si>
    <t>陕西航天经开区</t>
  </si>
  <si>
    <t>西安市</t>
  </si>
  <si>
    <t>陕西省</t>
  </si>
  <si>
    <t>长安银行股份有限公司</t>
  </si>
  <si>
    <t>西安航天高技术产业 7.1 2026-10-16</t>
  </si>
  <si>
    <t>GMHRSY 7.5 10/08/24</t>
  </si>
  <si>
    <t>Zhonghui International Securities Limited;China Galaxy International Securities (Hong Kong) Company Limited;Excellent Tide Securities Limited;Haitong International Securities Company Limited</t>
  </si>
  <si>
    <t>Excellent Tide Securities Limited;Zhonghui International Securities Limited</t>
  </si>
  <si>
    <t>GAOMI HUARONG INDUSTRIAL DEVELOPMENT CO LTD</t>
  </si>
  <si>
    <t>GMHRSY</t>
  </si>
  <si>
    <t>1.01Y</t>
  </si>
  <si>
    <t>综合</t>
  </si>
  <si>
    <t>China Galaxy International Securities (Hong Kong) Company Limited;Haitong International Securities Company Limited</t>
  </si>
  <si>
    <t>潍坊市</t>
  </si>
  <si>
    <t>山东省</t>
  </si>
  <si>
    <t>0.9945</t>
  </si>
  <si>
    <t>高密华荣实业发展有限公司 7.5 2024-10-08</t>
  </si>
  <si>
    <t>LPSAFF 6.4 10/08/24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</si>
  <si>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</si>
  <si>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Carlyon Securities Limited;Guotai Junan International Holdings;Guoyuan Securities Brokerage (Hong Kong) Limited;Haitong International Securities Company Limited;Zheshang International Financial Holdings Co., Limited</t>
  </si>
  <si>
    <t>LIUPANSHUI MINSHENG INVESTMENT GROUP CO LTD</t>
  </si>
  <si>
    <t>LPSAFF</t>
  </si>
  <si>
    <t>JQ Securities (Hong Kong) Limited;Qianxing Capital Limited;Shenwan Hongyuan Securities (H.K.) Limited</t>
  </si>
  <si>
    <t>六盘水市</t>
  </si>
  <si>
    <t>贵州省</t>
  </si>
  <si>
    <t>六盘水市民生产业投资集团有限责任公司 6.4 2024-10-08</t>
  </si>
  <si>
    <t>XUCGEN 3.69 09/10/26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</si>
  <si>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</si>
  <si>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</si>
  <si>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3.69%</t>
  </si>
  <si>
    <t>XUCGEN</t>
  </si>
  <si>
    <t>Fund the Group’s projects in accordance with the NDRC Certificate</t>
  </si>
  <si>
    <t>2.93Y</t>
  </si>
  <si>
    <t>CLSA Securities Limited;China Securities (International) Corporate Finance Company Limited</t>
  </si>
  <si>
    <t>许昌市</t>
  </si>
  <si>
    <t>河南省</t>
  </si>
  <si>
    <t>中国邮政储蓄银行股份有限公司许昌市分行</t>
  </si>
  <si>
    <t>3.70%(THENUMBER)</t>
  </si>
  <si>
    <t>4.0%AREA</t>
  </si>
  <si>
    <t>2.9178</t>
  </si>
  <si>
    <t>许昌市投资集团 3.69 2026-09-10</t>
  </si>
  <si>
    <t>KNMIDI 9.7 09/29/24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</si>
  <si>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</si>
  <si>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9.7%</t>
  </si>
  <si>
    <t>HONG KONG JY FLOWER LIMITED</t>
  </si>
  <si>
    <t>KNMIDI</t>
  </si>
  <si>
    <t>For refinancing existing offshore indebtedness</t>
  </si>
  <si>
    <t>362D</t>
  </si>
  <si>
    <t>昆明市</t>
  </si>
  <si>
    <t>云南省</t>
  </si>
  <si>
    <t>担保发行</t>
  </si>
  <si>
    <t>1.0027</t>
  </si>
  <si>
    <t>昆明产投 9.7 2024-09-29</t>
  </si>
  <si>
    <t>上饶城投</t>
  </si>
  <si>
    <t>香城投</t>
  </si>
  <si>
    <t>许昌投资</t>
  </si>
  <si>
    <t>西安航天高技术</t>
  </si>
  <si>
    <t>六盘水市民生产投</t>
  </si>
  <si>
    <t>高密华荣实业</t>
  </si>
  <si>
    <t>常德城投</t>
  </si>
  <si>
    <t>昆明产投</t>
  </si>
  <si>
    <t>6.1%a</t>
  </si>
  <si>
    <t>5.9%</t>
  </si>
  <si>
    <t>4.8%a</t>
  </si>
  <si>
    <t>8.5%</t>
  </si>
  <si>
    <t>4%a</t>
  </si>
  <si>
    <t>2.9</t>
  </si>
  <si>
    <t>6.4%</t>
  </si>
  <si>
    <t>67</t>
  </si>
  <si>
    <t>68</t>
  </si>
  <si>
    <t>湖南银行</t>
  </si>
  <si>
    <t>CH</t>
  </si>
  <si>
    <t>制造业采购经理指数</t>
  </si>
  <si>
    <t>SEP</t>
  </si>
  <si>
    <t>CPMINDX Index</t>
  </si>
  <si>
    <t>九月</t>
  </si>
  <si>
    <t>中国九月</t>
  </si>
  <si>
    <t>中国九月制造业采购经理指数</t>
  </si>
  <si>
    <t>财新中国PMI制造业</t>
  </si>
  <si>
    <t>MPMICNMA Index</t>
  </si>
  <si>
    <t>九月财新中国PMI制造业</t>
  </si>
  <si>
    <t>非制造业采购经理指数</t>
  </si>
  <si>
    <t>CPMINMAN Index</t>
  </si>
  <si>
    <t>中国九月非制造业采购经理指数</t>
  </si>
  <si>
    <t>财新中国PMI服务业</t>
  </si>
  <si>
    <t>MPMICNSA Index</t>
  </si>
  <si>
    <t>九月财新中国PMI服务业</t>
  </si>
  <si>
    <t>财新中国PMI综合</t>
  </si>
  <si>
    <t>MPMICNCA Index</t>
  </si>
  <si>
    <t>九月财新中国PMI综合</t>
  </si>
  <si>
    <t>EC</t>
  </si>
  <si>
    <t>CPI 月环比</t>
  </si>
  <si>
    <t>SEP P</t>
  </si>
  <si>
    <t>ECCPEMUM Index</t>
  </si>
  <si>
    <t>欧元区九月</t>
  </si>
  <si>
    <t>欧元区九月CPI 月环比</t>
  </si>
  <si>
    <t>M3货币供应同比</t>
  </si>
  <si>
    <t>AUG</t>
  </si>
  <si>
    <t>ECMAM3YY Index</t>
  </si>
  <si>
    <t>八月</t>
  </si>
  <si>
    <t>欧元区八月</t>
  </si>
  <si>
    <t>欧元区八月M3货币供应同比</t>
  </si>
  <si>
    <t>CPI预计同比</t>
  </si>
  <si>
    <t>ECCPEST Index</t>
  </si>
  <si>
    <t>欧元区九月CPI预计同比</t>
  </si>
  <si>
    <t>核心CPI同比</t>
  </si>
  <si>
    <t>CPEXEMUY Index</t>
  </si>
  <si>
    <t>欧元区九月核心CPI同比</t>
  </si>
  <si>
    <t>消费者信心指数</t>
  </si>
  <si>
    <t>SEP F</t>
  </si>
  <si>
    <t>EUCCEMU Index</t>
  </si>
  <si>
    <t>欧元区九月消费者信心指数</t>
  </si>
  <si>
    <t>US</t>
  </si>
  <si>
    <t>周度首次申领失业救济人数</t>
  </si>
  <si>
    <t>9/1/2023</t>
  </si>
  <si>
    <t>215k</t>
  </si>
  <si>
    <t>204k</t>
  </si>
  <si>
    <t>201k</t>
  </si>
  <si>
    <t>202k</t>
  </si>
  <si>
    <t>INJCJC Index</t>
  </si>
  <si>
    <t>美国</t>
  </si>
  <si>
    <t>美国周度首次申领失业救济人数</t>
  </si>
  <si>
    <t>GDP环比折合年率</t>
  </si>
  <si>
    <t>2Q T</t>
  </si>
  <si>
    <t>GDP CQOQ Index</t>
  </si>
  <si>
    <t>二季度</t>
  </si>
  <si>
    <t>美国二季度</t>
  </si>
  <si>
    <t>美国二季度GDP环比折合年率</t>
  </si>
  <si>
    <t>密歇根大学消费者信心指数</t>
  </si>
  <si>
    <t>CONSSENT Index</t>
  </si>
  <si>
    <t>美国九月</t>
  </si>
  <si>
    <t>美国九月密歇根大学消费者信心指数</t>
  </si>
  <si>
    <t>耐用品订单环比</t>
  </si>
  <si>
    <t>AUG P</t>
  </si>
  <si>
    <t>DGNOCHNG Index</t>
  </si>
  <si>
    <t>美国八月</t>
  </si>
  <si>
    <t>美国八月耐用品订单环比</t>
  </si>
  <si>
    <t>世界大型企业研究会消费者信心指数</t>
  </si>
  <si>
    <t>CONCCONF Index</t>
  </si>
  <si>
    <t>美国九月世界大型企业研究会消费者信心指数</t>
  </si>
  <si>
    <t>周度MBA抵押贷款申请指数环比</t>
  </si>
  <si>
    <t>9/1/2022</t>
  </si>
  <si>
    <t>MBAVCHNG Index</t>
  </si>
  <si>
    <t>美国周度MBA抵押贷款申请指数环比</t>
  </si>
  <si>
    <t>新建住宅销量年率</t>
  </si>
  <si>
    <t>698k</t>
  </si>
  <si>
    <t>675k</t>
  </si>
  <si>
    <t>714k</t>
  </si>
  <si>
    <t>739k</t>
  </si>
  <si>
    <t>NHSLTOT Index</t>
  </si>
  <si>
    <t>美国八月新建住宅销量年率</t>
  </si>
  <si>
    <t>个人收入环比</t>
  </si>
  <si>
    <t>PITLCHNG Index</t>
  </si>
  <si>
    <t>美国八月个人收入环比</t>
  </si>
  <si>
    <t>个人支出环比</t>
  </si>
  <si>
    <t>PCE CRCH Index</t>
  </si>
  <si>
    <t>美国八月个人支出环比</t>
  </si>
  <si>
    <t>MNI芝加哥PMI</t>
  </si>
  <si>
    <t>CHPMINDX Index</t>
  </si>
  <si>
    <t>美国九月MNI芝加哥PMI</t>
  </si>
  <si>
    <t>外汇储备</t>
  </si>
  <si>
    <t>$3130.00b</t>
  </si>
  <si>
    <t>$3160.10b</t>
  </si>
  <si>
    <t>CNGFOREX Index</t>
  </si>
  <si>
    <t>中国九月外汇储备</t>
  </si>
  <si>
    <t>HCOB欧元区制造业PMI</t>
  </si>
  <si>
    <t>MPMIEZMA Index</t>
  </si>
  <si>
    <t>九月HCOB欧元区制造业PMI</t>
  </si>
  <si>
    <t>HCOB欧元区综合PMI</t>
  </si>
  <si>
    <t>MPMIEZCA Index</t>
  </si>
  <si>
    <t>九月HCOB欧元区综合PMI</t>
  </si>
  <si>
    <t>HCOB欧元区服务业PMI</t>
  </si>
  <si>
    <t>MPMIEZSA Index</t>
  </si>
  <si>
    <t>九月HCOB欧元区服务业PMI</t>
  </si>
  <si>
    <t>失业率</t>
  </si>
  <si>
    <t>UMRTEMU Index</t>
  </si>
  <si>
    <t>欧元区八月失业率</t>
  </si>
  <si>
    <t>非农就业人数增减</t>
  </si>
  <si>
    <t>170k</t>
  </si>
  <si>
    <t>187k</t>
  </si>
  <si>
    <t>NFP TCH Index</t>
  </si>
  <si>
    <t>美国九月非农就业人数增减</t>
  </si>
  <si>
    <t>9/1/1930</t>
  </si>
  <si>
    <t>210k</t>
  </si>
  <si>
    <t>ISM制造业指数</t>
  </si>
  <si>
    <t>NAPMPMI Index</t>
  </si>
  <si>
    <t>美国九月ISM制造业指数</t>
  </si>
  <si>
    <t>AUG F</t>
  </si>
  <si>
    <t>9/1/2029</t>
  </si>
  <si>
    <t>ADP就业变动指数</t>
  </si>
  <si>
    <t>150k</t>
  </si>
  <si>
    <t>177k</t>
  </si>
  <si>
    <t>ADP CHNG Index</t>
  </si>
  <si>
    <t>美国九月ADP就业变动指数</t>
  </si>
  <si>
    <t>标普全球-美国制造业PMI</t>
  </si>
  <si>
    <t>MPMIUSMA Index</t>
  </si>
  <si>
    <t>九月标普全球-美国制造业PMI</t>
  </si>
  <si>
    <t>USURTOT Index</t>
  </si>
  <si>
    <t>美国九月失业率</t>
  </si>
  <si>
    <t>工厂订单</t>
  </si>
  <si>
    <t>TMNOCHNG Index</t>
  </si>
  <si>
    <t>美国八月工厂订单</t>
  </si>
  <si>
    <t>贸易余额</t>
  </si>
  <si>
    <t>-$59.9b</t>
  </si>
  <si>
    <t>-$65.0b</t>
  </si>
  <si>
    <t>USTBTOT Index</t>
  </si>
  <si>
    <t>美国八月贸易余额</t>
  </si>
  <si>
    <t>9月25日一周Charts</t>
  </si>
  <si>
    <t>9月25日一周一级市场总结</t>
  </si>
  <si>
    <t>23/10/3 10:00</t>
  </si>
  <si>
    <t>Sunrise</t>
  </si>
  <si>
    <t>III</t>
  </si>
  <si>
    <t>Baima Lake</t>
  </si>
  <si>
    <t>Pine</t>
  </si>
  <si>
    <t>HK0000898319</t>
  </si>
  <si>
    <t>中国民生银行股份有限公司香港分行</t>
  </si>
  <si>
    <t>Polaris</t>
  </si>
  <si>
    <t>G238027</t>
  </si>
  <si>
    <t>远东国际融资租赁有限公司</t>
  </si>
  <si>
    <t>Chenfan II Tap</t>
  </si>
  <si>
    <t>XS2576128727</t>
  </si>
  <si>
    <t>厦门象屿集团有限公司</t>
  </si>
  <si>
    <t>Inkcity III</t>
  </si>
  <si>
    <t>G238032</t>
  </si>
  <si>
    <t>青岛市即墨区城市开发投资有限公司</t>
  </si>
  <si>
    <t>Spring Radiance IV</t>
  </si>
  <si>
    <t>G238025</t>
  </si>
  <si>
    <t>绍兴市上虞区国有资本投资运营有限公司</t>
  </si>
  <si>
    <t>TianmuMountain II</t>
  </si>
  <si>
    <t>XS2540489338</t>
  </si>
  <si>
    <t>湖州经开投资发展集团有限公司</t>
  </si>
  <si>
    <t>Turquoise</t>
  </si>
  <si>
    <t>G238030</t>
  </si>
  <si>
    <t>淮北市公用事业资产运营有限公司</t>
  </si>
  <si>
    <t>Sunrise II</t>
  </si>
  <si>
    <t>XS2589270953</t>
  </si>
  <si>
    <t>赣州城市投资控股集团有限责任公司</t>
  </si>
  <si>
    <t>Golden III</t>
  </si>
  <si>
    <t>XS2584378025</t>
  </si>
  <si>
    <t>交通银行股份有限公司香港分行</t>
  </si>
  <si>
    <t>Sunshine</t>
  </si>
  <si>
    <t>XS2526839092</t>
  </si>
  <si>
    <t>中国光大银行股份有限公司香港分行</t>
  </si>
  <si>
    <t>Horizon II Pt 2</t>
  </si>
  <si>
    <t>XS2587421681</t>
  </si>
  <si>
    <t>南洋商业银行有限公司</t>
  </si>
  <si>
    <t>Sail (CQ)</t>
  </si>
  <si>
    <t>G238024</t>
  </si>
  <si>
    <t>重庆市涪陵实业发展集团有限公司</t>
  </si>
  <si>
    <t>Haining III</t>
  </si>
  <si>
    <t>G238039</t>
  </si>
  <si>
    <t>海宁市城市发展投资集团有限公司</t>
  </si>
  <si>
    <t>Jincheng III</t>
  </si>
  <si>
    <t>XS2573678435</t>
  </si>
  <si>
    <t>福建省晋江城市建设投资开发集团有限责任公司</t>
  </si>
  <si>
    <t>Drogo Plus</t>
  </si>
  <si>
    <t>G238046</t>
  </si>
  <si>
    <t>郴州市产业投资集团有限公司</t>
  </si>
  <si>
    <t>Green II</t>
  </si>
  <si>
    <t>G238047</t>
  </si>
  <si>
    <t>桂林经开投资控股有限责任公司</t>
  </si>
  <si>
    <t>Futuretown II</t>
  </si>
  <si>
    <t>G238070</t>
  </si>
  <si>
    <t>绍兴市上虞杭州湾经开区控股集团有限公司</t>
  </si>
  <si>
    <t>Blue Ocean</t>
  </si>
  <si>
    <t>G238008</t>
  </si>
  <si>
    <t>青岛西海岸新区海洋控股集团有限公司</t>
  </si>
  <si>
    <t>Soar</t>
  </si>
  <si>
    <t>G238052</t>
  </si>
  <si>
    <t>青岛西海岸新区融合控股集团有限公司</t>
  </si>
  <si>
    <t>Laputa III</t>
  </si>
  <si>
    <t>XS2599011116</t>
  </si>
  <si>
    <t>成都空港城市发展集团有限公司</t>
  </si>
  <si>
    <t>Get IV</t>
  </si>
  <si>
    <t>G238096</t>
  </si>
  <si>
    <t>广州开发区控股集团有限公司</t>
  </si>
  <si>
    <t>SR IV</t>
  </si>
  <si>
    <t>XS2597408512</t>
  </si>
  <si>
    <t>上饶投资控股集团有限公司</t>
  </si>
  <si>
    <t>Consonance</t>
  </si>
  <si>
    <t>G2380100</t>
  </si>
  <si>
    <t>南宁五象新区建设投资有限责任公司</t>
  </si>
  <si>
    <t>Soar II</t>
  </si>
  <si>
    <t>G238098</t>
  </si>
  <si>
    <t>Spring Radiance V</t>
  </si>
  <si>
    <t>G238077</t>
  </si>
  <si>
    <t>Polaris II</t>
  </si>
  <si>
    <t>G238084</t>
  </si>
  <si>
    <t>Sail</t>
  </si>
  <si>
    <t>G2380106</t>
  </si>
  <si>
    <t>青岛城市建设投资（集团）有限责任公司</t>
  </si>
  <si>
    <t>CX III</t>
  </si>
  <si>
    <t>HK0000921038</t>
  </si>
  <si>
    <t>中信建投证券股份有限公司</t>
  </si>
  <si>
    <t>HK0000921020</t>
  </si>
  <si>
    <t>Bund</t>
  </si>
  <si>
    <t>HK0000921111</t>
  </si>
  <si>
    <t>海通证券股份有限公司</t>
  </si>
  <si>
    <t>Hare</t>
  </si>
  <si>
    <t>G2380130</t>
  </si>
  <si>
    <t>中国信达（香港）控股有限公司</t>
  </si>
  <si>
    <t>Oasis</t>
  </si>
  <si>
    <t>HK0000929262</t>
  </si>
  <si>
    <t>中国建设银行股份有限公司伦敦分行</t>
  </si>
  <si>
    <t>XS2623522930</t>
  </si>
  <si>
    <t>中国建设银行股份有限公司悉尼分行</t>
  </si>
  <si>
    <t>Innovation</t>
  </si>
  <si>
    <t>G2380140</t>
  </si>
  <si>
    <t>昆山国创投资集团有限公司</t>
  </si>
  <si>
    <t>Shangcheng II</t>
  </si>
  <si>
    <t>XS2618570068</t>
  </si>
  <si>
    <t>杭州上城区城市建设投资集团有限公司</t>
  </si>
  <si>
    <t>Arcadia (SBLC)</t>
  </si>
  <si>
    <t>G2380105</t>
  </si>
  <si>
    <t>伊犁哈萨克自治州财通国有资产经营有限责任公司</t>
  </si>
  <si>
    <t>Consonance II</t>
  </si>
  <si>
    <t>G2380152</t>
  </si>
  <si>
    <t>Tongriver</t>
  </si>
  <si>
    <t>G2380160</t>
  </si>
  <si>
    <t>桐庐新城发展投资有限公司</t>
  </si>
  <si>
    <t>Jincheng IV</t>
  </si>
  <si>
    <t>XS2634238526</t>
  </si>
  <si>
    <t>Jincheng IV Tap</t>
  </si>
  <si>
    <t>Green</t>
  </si>
  <si>
    <t>XS2623993974</t>
  </si>
  <si>
    <t>义乌市国有资本运营有限公司</t>
  </si>
  <si>
    <t>CMB Leasing PP</t>
  </si>
  <si>
    <t>XS2641625137</t>
  </si>
  <si>
    <t>招银金融租赁有限公司</t>
  </si>
  <si>
    <t>N.A.</t>
  </si>
  <si>
    <t>Lotus IV</t>
  </si>
  <si>
    <t>XS2639510341</t>
  </si>
  <si>
    <t>澳门国际银行股份有限公司</t>
  </si>
  <si>
    <t>Grand</t>
  </si>
  <si>
    <t>XS2644758133</t>
  </si>
  <si>
    <t>重庆市赤甲旅游文化创意开发集团有限责任公司</t>
  </si>
  <si>
    <t>River</t>
  </si>
  <si>
    <t>HK0000939428</t>
  </si>
  <si>
    <t>中信证券国际有限公司</t>
  </si>
  <si>
    <t>Shangcheng II Tap</t>
  </si>
  <si>
    <t>I 2023 MTN</t>
  </si>
  <si>
    <t>XS2648007495</t>
  </si>
  <si>
    <t>TH</t>
  </si>
  <si>
    <t>XS2648499007</t>
  </si>
  <si>
    <t>无锡市太湖新城资产经营管理有限公司</t>
  </si>
  <si>
    <t>Hakka II</t>
  </si>
  <si>
    <t>XS2652417788</t>
  </si>
  <si>
    <t>赣州旅游投资集团有限公司</t>
  </si>
  <si>
    <t>Turbo</t>
  </si>
  <si>
    <t>XS2662422802</t>
  </si>
  <si>
    <t>Wutong V</t>
  </si>
  <si>
    <t>XS2663498314</t>
  </si>
  <si>
    <t>华泰证券股份有限公司</t>
  </si>
  <si>
    <t>Grace</t>
  </si>
  <si>
    <t>XS2656498313</t>
  </si>
  <si>
    <t>宜宾丝丽雅集团有限公司</t>
  </si>
  <si>
    <t>Kapok</t>
  </si>
  <si>
    <t>XS2665495391</t>
  </si>
  <si>
    <t>攀枝花城建交通（集团）有限公司</t>
  </si>
  <si>
    <t>Yimeng III</t>
  </si>
  <si>
    <t>XS2658712752</t>
  </si>
  <si>
    <t>临沂城市建设投资集团有限公司</t>
  </si>
  <si>
    <t>Qianjiang IV</t>
  </si>
  <si>
    <t>XS2661086483</t>
  </si>
  <si>
    <t>杭州上城区城市建设综合开发有限公司</t>
  </si>
  <si>
    <t>Nengda II</t>
  </si>
  <si>
    <t>XS2668376747</t>
  </si>
  <si>
    <t>无锡能达热电有限公司</t>
  </si>
  <si>
    <t>Beryl</t>
  </si>
  <si>
    <t>XS2673392796</t>
  </si>
  <si>
    <t xml:space="preserve">交通银行股份有限公司香港分行 </t>
  </si>
  <si>
    <t>Coastline 02</t>
  </si>
  <si>
    <t>XS2671493562</t>
  </si>
  <si>
    <t>海盐县国有资产经营有限公司</t>
  </si>
  <si>
    <t>Ubertech III</t>
  </si>
  <si>
    <t>HK0000946829</t>
  </si>
  <si>
    <t>乌鲁木齐高新投资发展集团有限公司</t>
  </si>
  <si>
    <t>Frame</t>
  </si>
  <si>
    <t>中国银行股份有限公司迪拜分行</t>
  </si>
  <si>
    <t>HZJT</t>
  </si>
  <si>
    <t>HK0000947231</t>
  </si>
  <si>
    <t>杭州市金融投资集团有限公司</t>
  </si>
  <si>
    <t>中国光大银行股份有限公司悉尼分行</t>
  </si>
  <si>
    <t>ABCHK CD</t>
  </si>
  <si>
    <t>XS2690707497</t>
  </si>
  <si>
    <t>中国农业银行股份有限公司香港分行</t>
  </si>
  <si>
    <t>Qixin</t>
  </si>
  <si>
    <t>淄博市财金控股集团有限公司</t>
  </si>
  <si>
    <t>Camphor Tree</t>
  </si>
  <si>
    <t>江苏平陵建设投资集团有限公司</t>
  </si>
  <si>
    <t>Qilin</t>
  </si>
  <si>
    <t>XS2664783565</t>
  </si>
  <si>
    <t>徐州经济技术开发区国有资产经营有限责任公司</t>
  </si>
  <si>
    <t>XS2699002882</t>
  </si>
  <si>
    <t>中信建投(国际)金融控股有限公司</t>
  </si>
  <si>
    <t>CHINA SECURITIES INTERNATIONAL</t>
  </si>
  <si>
    <t>CHINA SECURITIES INTERNATIONAL FINANCE HOLDING CO LTD</t>
  </si>
  <si>
    <t>6066 HK</t>
  </si>
  <si>
    <t>--/BBB+/BBB+</t>
  </si>
  <si>
    <t>230927XS2699002882</t>
  </si>
  <si>
    <t>XS2699400771</t>
  </si>
  <si>
    <t>4.75</t>
  </si>
  <si>
    <t>230927XS2699400771</t>
  </si>
  <si>
    <t>XS2697456817</t>
  </si>
  <si>
    <t>BANK OF CHINA LTD QATAR FINANC</t>
  </si>
  <si>
    <t>5.25</t>
  </si>
  <si>
    <t>3988 HK</t>
  </si>
  <si>
    <t>--/A/A</t>
  </si>
  <si>
    <t>230925XS2697456817</t>
  </si>
  <si>
    <t>HK0000957776</t>
  </si>
  <si>
    <t>江阴国有资本控股(集团)有限公司</t>
  </si>
  <si>
    <t>--/--/BBB</t>
  </si>
  <si>
    <t>CHENGDA INTERNATIONAL CO LTD</t>
  </si>
  <si>
    <t>JIANGYIN STATE OWNED CAPITAL HOLDING GROUP CO LTD</t>
  </si>
  <si>
    <t>3.98</t>
  </si>
  <si>
    <t>230925HK0000957776</t>
  </si>
  <si>
    <t>高密市</t>
  </si>
  <si>
    <t>CSCIF 3 10/31/23</t>
  </si>
  <si>
    <t>可回售债</t>
  </si>
  <si>
    <t>China Securities (International) Brokerage Company Limited</t>
  </si>
  <si>
    <t>CHINA SECURITIES INTERNATIONAL INVESTMENT CO LTD</t>
  </si>
  <si>
    <t>CSCIF</t>
  </si>
  <si>
    <t>28D</t>
  </si>
  <si>
    <t>多元金融</t>
  </si>
  <si>
    <t>北京市</t>
  </si>
  <si>
    <t>0.0904</t>
  </si>
  <si>
    <t>中信建投国际 3 2023-10-31</t>
  </si>
  <si>
    <t>CSCIF 4.75 01/03/24</t>
  </si>
  <si>
    <t>32D+60D</t>
  </si>
  <si>
    <t>0.2521</t>
  </si>
  <si>
    <t>中信建投国际 4.75 2024-01-03</t>
  </si>
  <si>
    <t>BCHINA 5.25 08/27/26</t>
  </si>
  <si>
    <t>Bank of China Limited;Agricultural Bank of China/Hong Kong</t>
  </si>
  <si>
    <t>BANK OF CHINA LTD QATAR FINANCIAL CENTRE BRANCH</t>
  </si>
  <si>
    <t>BCHINA</t>
  </si>
  <si>
    <t>中央国有企业</t>
  </si>
  <si>
    <t>2.9Y</t>
  </si>
  <si>
    <t>AAA</t>
  </si>
  <si>
    <t>Agricultural Bank of China/Hong Kong;Bank of China Limited</t>
  </si>
  <si>
    <t>西城区</t>
  </si>
  <si>
    <t>2.9123</t>
  </si>
  <si>
    <t>稳定/稳定</t>
  </si>
  <si>
    <t>A1/A</t>
  </si>
  <si>
    <t>中国银行 5.25 2026-08-27</t>
  </si>
  <si>
    <t>JYSOCH 3.98 10/10/26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</si>
  <si>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</si>
  <si>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</si>
  <si>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3.98%</t>
  </si>
  <si>
    <t>澄达国际有限公司</t>
  </si>
  <si>
    <t>JYSOCH</t>
  </si>
  <si>
    <t>To fund the Group’s project and to replenish the Group’s working capital</t>
  </si>
  <si>
    <t>点心债</t>
  </si>
  <si>
    <t>China Securities (International) Corporate Finance Company Limited;Tensant Securities Limited</t>
  </si>
  <si>
    <t>江阴市</t>
  </si>
  <si>
    <t>无锡市</t>
  </si>
  <si>
    <t>江苏省</t>
  </si>
  <si>
    <t>4.20%区域</t>
  </si>
  <si>
    <t>江阴国资控股 3.98 2026-10-10</t>
  </si>
  <si>
    <t>≤1年</t>
  </si>
  <si>
    <t>美元债</t>
  </si>
  <si>
    <t>1-3年</t>
  </si>
  <si>
    <t>江阴国资</t>
  </si>
  <si>
    <t>4.2%a</t>
  </si>
  <si>
    <t>常德城投(邮储银行)</t>
  </si>
  <si>
    <t>许昌投资(邮储银行)</t>
  </si>
  <si>
    <t>周三，六盘水市民生产投定价1亿美元364天高级债，价格6.4%</t>
  </si>
  <si>
    <t>周三，许昌投资定价人民币3亿元2.9年期点心债，邮储银行提供备证，价格3.69%，较IPG收窄30个基点</t>
  </si>
  <si>
    <t>周一，江阴国资（--/--/BBB）定价人民币7.3亿元3年期点心债（--/--/BBB），价格3.98%，较IPG收窄22个基点</t>
  </si>
  <si>
    <t>周二，昆明产投定价6660万美元1年期高级债，价格9.7%</t>
  </si>
  <si>
    <t>周四，上饶城投（--/--/BB+）定价6700万美元3年期高级债，价格8.5%，交银国际担任账簿管理人</t>
  </si>
  <si>
    <t>周四，西安航天高技术定价1600万美元3年期信用增强债券，长安银行提供备证，价格7.1%</t>
  </si>
  <si>
    <t>周四，高密华荣实业定价人民币9000万元364天点心债，价格7.5%</t>
  </si>
  <si>
    <t>成都香城投资</t>
  </si>
  <si>
    <t>周四，成都香城投资定价人民币15.6亿元3年期点心债，价格4.8%，较IPG未有收窄</t>
  </si>
  <si>
    <t>周四，常德城投（--/--/BBB-）定价1亿美元3年期信用增强债券（--/--/A+），邮储银行提供备证，价格5.9%，较IPG收窄20个基点，交银国际担任账簿管理人</t>
  </si>
  <si>
    <t>Parameter</t>
  </si>
  <si>
    <t>Value</t>
  </si>
  <si>
    <t>DimMonday</t>
  </si>
  <si>
    <t>2023/03/20</t>
  </si>
  <si>
    <t>2023/03/27</t>
  </si>
  <si>
    <t>2023/04/03</t>
  </si>
  <si>
    <t>2023/04/10</t>
  </si>
  <si>
    <t>2023/04/17</t>
  </si>
  <si>
    <t>2023/04/24</t>
  </si>
  <si>
    <t>2023/05/01</t>
  </si>
  <si>
    <t>2023/05/08</t>
  </si>
  <si>
    <t>2023/05/15</t>
  </si>
  <si>
    <t>2023/05/22</t>
  </si>
  <si>
    <t>2023/05/29</t>
  </si>
  <si>
    <t>2023/06/05</t>
  </si>
  <si>
    <t>2023/06/12</t>
  </si>
  <si>
    <t>2023/06/19</t>
  </si>
  <si>
    <t>2023/06/26</t>
  </si>
  <si>
    <t>2023/07/03</t>
  </si>
  <si>
    <t>2023/07/10</t>
  </si>
  <si>
    <t>2023/07/17</t>
  </si>
  <si>
    <t>2023/07/24</t>
  </si>
  <si>
    <t>2023/07/31</t>
  </si>
  <si>
    <t>2023/08/07</t>
  </si>
  <si>
    <t>2023/08/14</t>
  </si>
  <si>
    <t>2023/08/21</t>
  </si>
  <si>
    <t>2023/08/28</t>
  </si>
  <si>
    <t>2023/09/04</t>
  </si>
  <si>
    <t>2023/09/11</t>
  </si>
  <si>
    <t>2023/09/18</t>
  </si>
  <si>
    <t>2023/09/25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</si>
  <si>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</si>
  <si>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</si>
  <si>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</si>
  <si>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</si>
  <si>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</si>
  <si>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</si>
  <si>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</si>
  <si>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Result</t>
  </si>
  <si>
    <t>Prefix</t>
  </si>
  <si>
    <t>AddTap?</t>
  </si>
  <si>
    <t>AddDMIMissingISIN?</t>
  </si>
  <si>
    <t>Dummy</t>
  </si>
  <si>
    <t>ECON_RlvLvl</t>
  </si>
  <si>
    <t>ECON_US_addon</t>
  </si>
  <si>
    <t>IS_ISSUER</t>
  </si>
  <si>
    <t>IS_SBLC</t>
  </si>
  <si>
    <t>IS_CLIENT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</si>
</sst>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[$-409]yy/mm/dd\ h:mm\ AM/PM;@"/>
    <numFmt numFmtId="170" formatCode="yyyy\-mm\-dd;@"/>
  </numFmts>
  <fonts count="61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16"/>
      <color rgb="FF008080"/>
      <name val="Microsoft JhengHei UI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14548173467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</cellStyleXfs>
  <cellXfs count="168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5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2" fillId="4" borderId="2" xfId="0" applyFont="1" applyFill="1" applyBorder="1" applyAlignment="1">
      <alignment horizontal="center" vertical="center" wrapText="1"/>
    </xf>
    <xf numFmtId="0" fontId="30" fillId="3" borderId="7" xfId="0" applyFont="1" applyFill="1" applyBorder="1" applyAlignment="1">
      <alignment vertical="center"/>
    </xf>
    <xf numFmtId="0" fontId="33" fillId="3" borderId="0" xfId="0" applyFont="1" applyFill="1" applyAlignment="1">
      <alignment horizontal="center" vertical="center"/>
    </xf>
    <xf numFmtId="0" fontId="33" fillId="3" borderId="7" xfId="0" applyFont="1" applyFill="1" applyBorder="1" applyAlignment="1">
      <alignment horizontal="center" vertical="center"/>
    </xf>
    <xf numFmtId="0" fontId="23" fillId="3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4" fillId="3" borderId="0" xfId="0" applyFont="1" applyFill="1"/>
    <xf numFmtId="0" fontId="35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5" fillId="14" borderId="8" xfId="8" applyFont="1" applyBorder="1" applyAlignment="1" applyProtection="1">
      <alignment horizontal="center" vertical="center" wrapText="1"/>
      <protection locked="0"/>
    </xf>
    <xf numFmtId="0" fontId="30" fillId="3" borderId="0" xfId="0" applyFont="1" applyFill="1" applyAlignment="1">
      <alignment vertical="center"/>
    </xf>
    <xf numFmtId="0" fontId="30" fillId="3" borderId="0" xfId="0" applyFont="1" applyFill="1" applyAlignment="1">
      <alignment horizontal="left" vertical="center"/>
    </xf>
    <xf numFmtId="0" fontId="31" fillId="3" borderId="7" xfId="0" applyFont="1" applyFill="1" applyBorder="1" applyAlignment="1">
      <alignment horizontal="right"/>
    </xf>
    <xf numFmtId="0" fontId="31" fillId="3" borderId="0" xfId="0" applyFont="1" applyFill="1" applyAlignment="1">
      <alignment horizontal="right" vertical="center" wrapText="1"/>
    </xf>
    <xf numFmtId="0" fontId="31" fillId="3" borderId="7" xfId="0" applyFont="1" applyFill="1" applyBorder="1" applyAlignment="1">
      <alignment horizontal="right" vertical="center" wrapText="1"/>
    </xf>
    <xf numFmtId="0" fontId="40" fillId="3" borderId="0" xfId="0" applyFont="1" applyFill="1" applyAlignment="1" applyProtection="1">
      <alignment horizontal="center" wrapText="1"/>
      <protection locked="0"/>
    </xf>
    <xf numFmtId="0" fontId="40" fillId="3" borderId="0" xfId="0" applyFont="1" applyFill="1" applyAlignment="1" applyProtection="1">
      <alignment horizontal="center" vertical="center"/>
      <protection locked="0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164" fontId="35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5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4" fillId="3" borderId="0" xfId="0" applyNumberFormat="1" applyFont="1" applyFill="1"/>
    <xf numFmtId="164" fontId="45" fillId="3" borderId="0" xfId="0" applyNumberFormat="1" applyFont="1" applyFill="1" applyAlignment="1">
      <alignment horizontal="center"/>
    </xf>
    <xf numFmtId="164" fontId="43" fillId="3" borderId="0" xfId="0" applyNumberFormat="1" applyFont="1" applyFill="1"/>
    <xf numFmtId="0" fontId="46" fillId="5" borderId="2" xfId="0" applyFont="1" applyFill="1" applyBorder="1" applyAlignment="1">
      <alignment horizontal="center" vertical="center" wrapText="1"/>
    </xf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51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52" fillId="8" borderId="0" xfId="0" applyFont="1" applyFill="1"/>
    <xf numFmtId="0" fontId="1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Alignment="1">
      <alignment vertical="center"/>
    </xf>
    <xf numFmtId="164" fontId="30" fillId="12" borderId="0" xfId="0" applyNumberFormat="1" applyFont="1" applyFill="1" applyAlignment="1">
      <alignment vertical="center"/>
    </xf>
    <xf numFmtId="164" fontId="30" fillId="12" borderId="0" xfId="8" applyNumberFormat="1" applyFont="1" applyFill="1" applyBorder="1" applyAlignment="1" applyProtection="1">
      <alignment horizontal="center" vertical="center"/>
      <protection locked="0"/>
    </xf>
    <xf numFmtId="165" fontId="30" fillId="12" borderId="0" xfId="0" applyNumberFormat="1" applyFont="1" applyFill="1" applyAlignment="1">
      <alignment vertical="center"/>
    </xf>
    <xf numFmtId="0" fontId="30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53" fillId="3" borderId="0" xfId="0" applyFont="1" applyFill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10" xfId="0" applyFill="1" applyBorder="1"/>
    <xf numFmtId="0" fontId="0" fillId="3" borderId="11" xfId="0" applyFill="1" applyBorder="1"/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5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169" fontId="0" fillId="0" borderId="0" xfId="0" applyNumberFormat="1"/>
    <xf numFmtId="170" fontId="0" fillId="0" borderId="0" xfId="0" applyNumberFormat="1"/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ill="1" applyBorder="1" applyAlignment="1">
      <alignment wrapText="1"/>
    </xf>
    <xf numFmtId="0" fontId="10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left" vertical="center"/>
    </xf>
    <xf numFmtId="0" fontId="57" fillId="16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9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60" fillId="3" borderId="0" xfId="0" applyFont="1" applyFill="1" applyAlignment="1">
      <alignment vertical="top"/>
    </xf>
    <xf numFmtId="0" fontId="0" fillId="0" borderId="0" xfId="0" applyNumberFormat="1"/>
    <xf numFmtId="0" fontId="60" fillId="3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Protection="1">
      <protection locked="0"/>
    </xf>
    <xf numFmtId="0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0" fontId="0" fillId="0" borderId="0" xfId="0" applyNumberFormat="1" applyFont="1" applyFill="1"/>
    <xf numFmtId="14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wrapText="1"/>
    </xf>
    <xf numFmtId="14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25" fillId="14" borderId="5" xfId="7" applyAlignment="1">
      <alignment horizontal="left" vertical="center"/>
    </xf>
    <xf numFmtId="0" fontId="0" fillId="0" borderId="0" xfId="0" applyNumberFormat="1" applyFill="1" applyAlignment="1">
      <alignment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60" fillId="3" borderId="0" xfId="0" applyFont="1" applyFill="1" applyAlignment="1">
      <alignment vertical="center"/>
    </xf>
    <xf numFmtId="0" fontId="60" fillId="3" borderId="0" xfId="0" applyFont="1" applyFill="1" applyAlignment="1">
      <alignment vertical="center" wrapText="1"/>
    </xf>
    <xf numFmtId="0" fontId="60" fillId="3" borderId="0" xfId="0" applyFont="1" applyFill="1" applyAlignment="1">
      <alignment horizontal="center" vertical="center"/>
    </xf>
    <xf numFmtId="170" fontId="60" fillId="3" borderId="0" xfId="0" applyNumberFormat="1" applyFont="1" applyFill="1" applyAlignment="1">
      <alignment horizontal="center" vertical="center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09"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9" formatCode="[$-409]yy/mm/dd\ 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4EBE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71" formatCode="d/m/yyyy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71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508"/>
    </tableStyle>
    <tableStyle name="ECON" pivot="0" count="2" xr9:uid="{00000000-0011-0000-FFFF-FFFF01000000}">
      <tableStyleElement type="wholeTable" dxfId="507"/>
      <tableStyleElement type="headerRow" dxfId="506"/>
    </tableStyle>
    <tableStyle name="Named_dd" pivot="0" count="2" xr9:uid="{00000000-0011-0000-FFFF-FFFF02000000}">
      <tableStyleElement type="wholeTable" dxfId="505"/>
      <tableStyleElement type="headerRow" dxfId="504"/>
    </tableStyle>
    <tableStyle name="Qry Load" pivot="0" count="3" xr9:uid="{00000000-0011-0000-FFFF-FFFF05000000}">
      <tableStyleElement type="wholeTable" dxfId="503"/>
      <tableStyleElement type="headerRow" dxfId="502"/>
      <tableStyleElement type="totalRow" dxfId="501"/>
    </tableStyle>
    <tableStyle name="Qry Load 2" pivot="0" count="3" xr9:uid="{00000000-0011-0000-FFFF-FFFF06000000}">
      <tableStyleElement type="wholeTable" dxfId="500"/>
      <tableStyleElement type="headerRow" dxfId="499"/>
      <tableStyleElement type="totalRow" dxfId="498"/>
    </tableStyle>
    <tableStyle name="Qry Load 3" pivot="0" count="3" xr9:uid="{00000000-0011-0000-FFFF-FFFF07000000}">
      <tableStyleElement type="wholeTable" dxfId="497"/>
      <tableStyleElement type="headerRow" dxfId="496"/>
      <tableStyleElement type="totalRow" dxfId="495"/>
    </tableStyle>
    <tableStyle name="Qry Load 3 2" pivot="0" count="3" xr9:uid="{39E27C42-0E7B-4337-87F7-A7AC3E9F7517}">
      <tableStyleElement type="wholeTable" dxfId="494"/>
      <tableStyleElement type="headerRow" dxfId="493"/>
      <tableStyleElement type="totalRow" dxfId="492"/>
    </tableStyle>
    <tableStyle name="Qry Load 4" pivot="0" count="3" xr9:uid="{00000000-0011-0000-FFFF-FFFF08000000}">
      <tableStyleElement type="wholeTable" dxfId="491"/>
      <tableStyleElement type="headerRow" dxfId="490"/>
      <tableStyleElement type="totalRow" dxfId="489"/>
    </tableStyle>
    <tableStyle name="Qry Load 5" pivot="0" count="3" xr9:uid="{00000000-0011-0000-FFFF-FFFF09000000}">
      <tableStyleElement type="wholeTable" dxfId="488"/>
      <tableStyleElement type="headerRow" dxfId="487"/>
      <tableStyleElement type="totalRow" dxfId="486"/>
    </tableStyle>
    <tableStyle name="Qry Load 6" pivot="0" count="3" xr9:uid="{8540037C-F48A-45D6-B06D-3E416FD50039}">
      <tableStyleElement type="wholeTable" dxfId="485"/>
      <tableStyleElement type="headerRow" dxfId="484"/>
      <tableStyleElement type="totalRow" dxfId="483"/>
    </tableStyle>
    <tableStyle name="Qry Source" pivot="0" count="2" xr9:uid="{00000000-0011-0000-FFFF-FFFF0A000000}">
      <tableStyleElement type="wholeTable" dxfId="482"/>
      <tableStyleElement type="headerRow" dxfId="481"/>
    </tableStyle>
    <tableStyle name="Qry Source 2" pivot="0" count="2" xr9:uid="{00000000-0011-0000-FFFF-FFFF0B000000}">
      <tableStyleElement type="wholeTable" dxfId="480"/>
      <tableStyleElement type="headerRow" dxfId="479"/>
    </tableStyle>
    <tableStyle name="review" pivot="0" count="3" xr9:uid="{00000000-0011-0000-FFFF-FFFF0C000000}">
      <tableStyleElement type="wholeTable" dxfId="478"/>
      <tableStyleElement type="headerRow" dxfId="477"/>
      <tableStyleElement type="totalRow" dxfId="476"/>
    </tableStyle>
    <tableStyle name="review 2" pivot="0" count="3" xr9:uid="{7E48D373-8BD3-405C-AC0B-582D578C48DF}">
      <tableStyleElement type="wholeTable" dxfId="475"/>
      <tableStyleElement type="headerRow" dxfId="474"/>
      <tableStyleElement type="totalRow" dxfId="473"/>
    </tableStyle>
  </tableStyles>
  <colors>
    <mruColors>
      <color rgb="FF0071BA"/>
      <color rgb="FFE1E1E9"/>
      <color rgb="FF379E4E"/>
      <color rgb="FF888AA6"/>
      <color rgb="FF234473"/>
      <color rgb="FFC69E62"/>
      <color rgb="FF2A7968"/>
      <color rgb="FFF4EBE0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22972</xdr:colOff>
      <xdr:row>0</xdr:row>
      <xdr:rowOff>89646</xdr:rowOff>
    </xdr:from>
    <xdr:to>
      <xdr:col>5</xdr:col>
      <xdr:colOff>571500</xdr:colOff>
      <xdr:row>2</xdr:row>
      <xdr:rowOff>44824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43325" y="89646"/>
          <a:ext cx="3730999" cy="1636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u="sng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Weekly Steps </a:t>
          </a:r>
          <a:r>
            <a:rPr lang="en-US" sz="16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⚡ </a:t>
          </a:r>
          <a:endParaRPr lang="en-US" sz="1600" u="sng">
            <a:solidFill>
              <a:srgbClr val="888AA6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rgbClr val="888AA6"/>
              </a:solidFill>
              <a:effectLst/>
            </a:rPr>
            <a:t>【1】</a:t>
          </a:r>
          <a:r>
            <a:rPr lang="en-US" altLang="zh-CN" sz="1600" baseline="0">
              <a:solidFill>
                <a:srgbClr val="888AA6"/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rgbClr val="888AA6"/>
              </a:solidFill>
              <a:effectLst/>
            </a:rPr>
            <a:t>Refresh</a:t>
          </a:r>
          <a:r>
            <a:rPr lang="en-US" altLang="zh-CN" sz="1600">
              <a:solidFill>
                <a:srgbClr val="888AA6"/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rgbClr val="888AA6"/>
              </a:solidFill>
              <a:effectLst/>
            </a:rPr>
            <a:t>A</a:t>
          </a:r>
          <a:r>
            <a:rPr lang="en-US" altLang="zh-CN" sz="1600">
              <a:solidFill>
                <a:srgbClr val="888AA6"/>
              </a:solidFill>
              <a:effectLst/>
            </a:rPr>
            <a:t>utocopy &amp; Review</a:t>
          </a:r>
          <a:endParaRPr lang="en-US" sz="1600">
            <a:solidFill>
              <a:srgbClr val="888AA6"/>
            </a:solidFill>
            <a:effectLst/>
          </a:endParaRPr>
        </a:p>
      </xdr:txBody>
    </xdr:sp>
    <xdr:clientData fPrintsWithSheet="0"/>
  </xdr:twoCellAnchor>
  <xdr:twoCellAnchor editAs="oneCell">
    <xdr:from>
      <xdr:col>3</xdr:col>
      <xdr:colOff>11206</xdr:colOff>
      <xdr:row>2</xdr:row>
      <xdr:rowOff>134472</xdr:rowOff>
    </xdr:from>
    <xdr:to>
      <xdr:col>5</xdr:col>
      <xdr:colOff>560295</xdr:colOff>
      <xdr:row>7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31559" y="1815354"/>
          <a:ext cx="3731560" cy="1479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一般少于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3min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，超时请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Cancel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重来</a:t>
          </a:r>
          <a:endParaRPr lang="en-US" sz="1200" i="1">
            <a:solidFill>
              <a:srgbClr val="379E4E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300296</xdr:rowOff>
    </xdr:from>
    <xdr:to>
      <xdr:col>1</xdr:col>
      <xdr:colOff>739744</xdr:colOff>
      <xdr:row>3</xdr:row>
      <xdr:rowOff>693996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1555355"/>
          <a:ext cx="0" cy="1021229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</xdr:col>
      <xdr:colOff>7118</xdr:colOff>
      <xdr:row>3</xdr:row>
      <xdr:rowOff>0</xdr:rowOff>
    </xdr:from>
    <xdr:to>
      <xdr:col>6</xdr:col>
      <xdr:colOff>56300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959618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2</xdr:row>
          <xdr:rowOff>619125</xdr:rowOff>
        </xdr:from>
        <xdr:to>
          <xdr:col>7</xdr:col>
          <xdr:colOff>1952624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6075119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19</xdr:col>
      <xdr:colOff>18324</xdr:colOff>
      <xdr:row>3</xdr:row>
      <xdr:rowOff>0</xdr:rowOff>
    </xdr:from>
    <xdr:to>
      <xdr:col>19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187412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16</xdr:col>
      <xdr:colOff>22411</xdr:colOff>
      <xdr:row>0</xdr:row>
      <xdr:rowOff>56030</xdr:rowOff>
    </xdr:from>
    <xdr:to>
      <xdr:col>19</xdr:col>
      <xdr:colOff>2005854</xdr:colOff>
      <xdr:row>2</xdr:row>
      <xdr:rowOff>515470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6140823" y="56030"/>
          <a:ext cx="3406590" cy="1714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本页请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133350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61338280" y="0"/>
          <a:ext cx="4544784" cy="3764216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4265086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10</xdr:col>
      <xdr:colOff>470647</xdr:colOff>
      <xdr:row>0</xdr:row>
      <xdr:rowOff>33619</xdr:rowOff>
    </xdr:from>
    <xdr:to>
      <xdr:col>14</xdr:col>
      <xdr:colOff>0</xdr:colOff>
      <xdr:row>5</xdr:row>
      <xdr:rowOff>100853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10062882" y="33619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</xdr:colOff>
      <xdr:row>0</xdr:row>
      <xdr:rowOff>231321</xdr:rowOff>
    </xdr:from>
    <xdr:to>
      <xdr:col>10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5593786" y="231321"/>
          <a:ext cx="3331070" cy="2328386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7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3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32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6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33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7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6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31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30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3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5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7" xr16:uid="{00000000-0016-0000-0100-000000000000}" autoFormatId="16" applyNumberFormats="0" applyBorderFormats="0" applyFontFormats="0" applyPatternFormats="0" applyAlignmentFormats="0" applyWidthHeightFormats="0">
  <queryTableRefresh nextId="620">
    <queryTableFields count="91">
      <queryTableField id="107" name="Index" tableColumnId="67"/>
      <queryTableField id="1" name="信用主体" tableColumnId="1"/>
      <queryTableField id="9" name="ISIN" tableColumnId="9"/>
      <queryTableField id="12" name="定价日" tableColumnId="12"/>
      <queryTableField id="13" name="穆迪/标普" tableColumnId="13"/>
      <queryTableField id="15" name="债项评级" tableColumnId="15"/>
      <queryTableField id="114" name="主体评级" tableColumnId="68"/>
      <queryTableField id="113" name="发行评级" tableColumnId="66"/>
      <queryTableField id="450" name="英文简称" tableColumnId="23"/>
      <queryTableField id="8" name="债券简称" tableColumnId="8"/>
      <queryTableField id="14" name="主体评级展望" tableColumnId="14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53" name="临时isin" tableColumnId="83"/>
      <queryTableField id="616" name="BISL_ROLE" tableColumnId="90"/>
      <queryTableField id="591" name="DataSource" tableColumnId="88"/>
      <queryTableField id="91" name="地区" tableColumnId="71"/>
      <queryTableField id="618" name="通过分行" tableColumnId="91"/>
      <queryTableField id="614" name="增发判定" tableColumnId="89"/>
      <queryTableField id="550" name="违约日期" tableColumnId="81"/>
      <queryTableField id="576" name="信用主体简称" tableColumnId="85"/>
      <queryTableField id="577" name="板块" tableColumnId="86"/>
      <queryTableField id="589" name="DEBUT_DATE" tableColumnId="87"/>
      <queryTableField id="140" name="注册成立地" tableColumnId="79"/>
      <queryTableField id="507" name="发行人主上市地" tableColumnId="80"/>
      <queryTableField id="100" name="亿美元" tableColumnId="60"/>
      <queryTableField id="105" name="亿元" tableColumnId="64"/>
      <queryTableField id="120" name="亿港币" tableColumnId="69"/>
      <queryTableField id="109" name="IS_FIMTN" tableColumnId="61"/>
      <queryTableField id="574" name="Stats" tableColumnId="84"/>
      <queryTableField id="111" name="补充OMAS updates" tableColumnId="63"/>
      <queryTableField id="112" name="定价息差" tableColumnId="65"/>
      <queryTableField id="59" name="Check" tableColumnId="59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5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6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7" xr16:uid="{0900184B-E3DC-44B7-A956-4A2B0963C2CD}" autoFormatId="16" applyNumberFormats="0" applyBorderFormats="0" applyFontFormats="0" applyPatternFormats="0" applyAlignmentFormats="0" applyWidthHeightFormats="0">
  <queryTableRefresh nextId="7">
    <queryTableFields count="2">
      <queryTableField id="5" name="Column1" tableColumnId="1"/>
      <queryTableField id="6" name="Column2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0" xr16:uid="{00000000-0016-0000-0200-000002000000}" autoFormatId="16" applyNumberFormats="0" applyBorderFormats="0" applyFontFormats="0" applyPatternFormats="0" applyAlignmentFormats="0" applyWidthHeightFormats="0">
  <queryTableRefresh nextId="3">
    <queryTableFields count="1">
      <queryTableField id="2" name="headers_Curated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4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2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3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89" xr16:uid="{03D4F002-6226-4B61-B570-76DCF9165D62}" autoFormatId="16" applyNumberFormats="0" applyBorderFormats="0" applyFontFormats="0" applyPatternFormats="0" applyAlignmentFormats="0" applyWidthHeightFormats="0">
  <queryTableRefresh nextId="3">
    <queryTableFields count="1">
      <queryTableField id="2" name="headers_BOCOM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1" xr16:uid="{AF480407-3CD6-4BC2-9A62-689788C26B00}" autoFormatId="16" applyNumberFormats="0" applyBorderFormats="0" applyFontFormats="0" applyPatternFormats="0" applyAlignmentFormats="0" applyWidthHeightFormats="0">
  <queryTableRefresh nextId="2">
    <queryTableFields count="1">
      <queryTableField id="1" name="headers_Issu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41" xr16:uid="{C7D04BB6-CEF5-43ED-8A9E-B94932397EA8}" autoFormatId="16" applyNumberFormats="0" applyBorderFormats="0" applyFontFormats="0" applyPatternFormats="0" applyAlignmentFormats="0" applyWidthHeightFormats="0">
  <queryTableRefresh nextId="23">
    <queryTableFields count="11">
      <queryTableField id="20" name="删除及隐藏" tableColumnId="15"/>
      <queryTableField id="1" name="ISIN" tableColumnId="1"/>
      <queryTableField id="2" name="定价日" tableColumnId="2"/>
      <queryTableField id="3" name="信用主体" tableColumnId="3"/>
      <queryTableField id="12" name="发行评级" tableColumnId="12"/>
      <queryTableField id="13" name="主体评级" tableColumnId="13"/>
      <queryTableField id="5" name="结构" tableColumnId="5"/>
      <queryTableField id="4" name="备证行" tableColumnId="4"/>
      <queryTableField id="10" name="港分_ROLE" tableColumnId="10"/>
      <queryTableField id="11" name="澳分_ROLE" tableColumnId="11"/>
      <queryTableField id="14" name="Check" tableColumnId="14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8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3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4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10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2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1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23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5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8" xr16:uid="{B8FD89C8-856C-4BC4-965B-5913312DB0D0}" autoFormatId="16" applyNumberFormats="0" applyBorderFormats="0" applyFontFormats="0" applyPatternFormats="0" applyAlignmentFormats="0" applyWidthHeightFormats="0">
  <queryTableRefresh nextId="579">
    <queryTableFields count="73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485" name="临时isin" tableColumnId="72"/>
      <queryTableField id="58" name="付息频率" tableColumnId="58"/>
      <queryTableField id="59" name="维好协议提供者" tableColumnId="59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40" name="债券余额" tableColumnId="40"/>
      <queryTableField id="39" name="债券最新面值" tableColumnId="39"/>
      <queryTableField id="38" name="ticker" tableColumnId="38"/>
      <queryTableField id="66" name="筹款用途" tableColumnId="66"/>
      <queryTableField id="65" name="投资者分布" tableColumnId="65"/>
      <queryTableField id="64" name="投资者类型" tableColumnId="64"/>
      <queryTableField id="63" name="投资者账户数" tableColumnId="63"/>
      <queryTableField id="11" name="评级类型" tableColumnId="11"/>
      <queryTableField id="2" name="公司类型" tableColumnId="2"/>
      <queryTableField id="62" name="剩余期限" tableColumnId="62"/>
      <queryTableField id="3" name="行业" tableColumnId="3"/>
      <queryTableField id="17" name="境内主体评级" tableColumnId="17"/>
      <queryTableField id="16" name="债项初始评级" tableColumnId="16"/>
      <queryTableField id="10" name="主题债券" tableColumnId="10"/>
      <queryTableField id="4" name="细分行业" tableColumnId="4"/>
      <queryTableField id="23" name="发行方式" tableColumnId="23"/>
      <queryTableField id="37" name="联席全球协调人" tableColumnId="37"/>
      <queryTableField id="36" name="基金占比" tableColumnId="36"/>
      <queryTableField id="35" name="亚洲占比" tableColumnId="35"/>
      <queryTableField id="34" name="认购倍数" tableColumnId="34"/>
      <queryTableField id="33" name="认购额(亿)" tableColumnId="33"/>
      <queryTableField id="7" name="区县" tableColumnId="7"/>
      <queryTableField id="6" name="城市" tableColumnId="6"/>
      <queryTableField id="5" name="省份" tableColumnId="5"/>
      <queryTableField id="32" name="首日涨跌" tableColumnId="32"/>
      <queryTableField id="30" name="发行价" tableColumnId="30"/>
      <queryTableField id="26" name="偿还顺位" tableColumnId="26"/>
      <queryTableField id="25" name="SBLC提供者" tableColumnId="25"/>
      <queryTableField id="78" name="发行架构" tableColumnId="69"/>
      <queryTableField id="484" name="发行规则" tableColumnId="71"/>
      <queryTableField id="22" name="收窄幅度(bp)" tableColumnId="22"/>
      <queryTableField id="21" name="FPG_DMI" tableColumnId="21"/>
      <queryTableField id="20" name="IPT_DMI" tableColumnId="20"/>
      <queryTableField id="31" name="发行场所" tableColumnId="31"/>
      <queryTableField id="19" name="兑付日" tableColumnId="19"/>
      <queryTableField id="504" name="票息_DMI" tableColumnId="18"/>
      <queryTableField id="28" name="货币" tableColumnId="28"/>
      <queryTableField id="29" name="发行期限(年)" tableColumnId="29"/>
      <queryTableField id="27" name="发行规模(亿)" tableColumnId="27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10" name="DataSource" tableColumnId="73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B373777-6D0E-4373-8161-40D12EDDEF4D}" autoFormatId="16" applyNumberFormats="0" applyBorderFormats="0" applyFontFormats="0" applyPatternFormats="0" applyAlignmentFormats="0" applyWidthHeightFormats="0">
  <queryTableRefresh nextId="75">
    <queryTableFields count="26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47" name="注册成立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43" name="计息基准" tableColumnId="11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44" name="发行价" tableColumnId="12"/>
      <queryTableField id="29" name="发行规模(亿)" tableColumnId="24"/>
      <queryTableField id="67" name="Parent company tiker" tableColumnId="15"/>
      <queryTableField id="68" name="Parent Company 评级" tableColumnId="25"/>
      <queryTableField id="69" name="ESG indicator" tableColumnId="26"/>
      <queryTableField id="70" name="KPW 评级" tableColumnId="27"/>
      <queryTableField id="10" name="Check" tableColumnId="10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9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7" xr16:uid="{9A83D6E5-8028-451F-81EB-6106800FC1B7}" autoFormatId="16" applyNumberFormats="0" applyBorderFormats="0" applyFontFormats="0" applyPatternFormats="0" applyAlignmentFormats="0" applyWidthHeightFormats="0">
  <queryTableRefresh nextId="121">
    <queryTableFields count="51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6" xr16:uid="{00000000-0016-0000-0400-00000A000000}" autoFormatId="16" applyNumberFormats="0" applyBorderFormats="0" applyFontFormats="0" applyPatternFormats="0" applyAlignmentFormats="0" applyWidthHeightFormats="0">
  <queryTableRefresh nextId="120">
    <queryTableFields count="25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106" name="板块二级" tableColumnId="1"/>
      <queryTableField id="107" name="板块三级" tableColumnId="6"/>
      <queryTableField id="108" name="板块标签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9" name="YY类型" tableColumnId="20"/>
      <queryTableField id="100" name="上市类型" tableColumnId="19"/>
      <queryTableField id="110" name="Is_Issuer" tableColumnId="23"/>
      <queryTableField id="111" name="Is_SBLC" tableColumnId="24"/>
      <queryTableField id="112" name="Is_Client" tableColumnId="25"/>
      <queryTableField id="102" name="Updator" tableColumnId="21"/>
      <queryTableField id="103" name="Timestamp" tableColumnId="22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5" xr16:uid="{00000000-0016-0000-0400-000008000000}" autoFormatId="16" applyNumberFormats="0" applyBorderFormats="0" applyFontFormats="0" applyPatternFormats="0" applyAlignmentFormats="0" applyWidthHeightFormats="0">
  <queryTableRefresh nextId="61">
    <queryTableFields count="20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1" name="Check" tableColumnId="1"/>
      <queryTableField id="56" name="PRJ对账号" tableColumnId="17"/>
      <queryTableField id="59" name="Timestamp" tableColumnId="2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48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49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50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51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5:C104" tableType="queryTable" totalsRowShown="0">
  <autoFilter ref="C95:C104" xr:uid="{C59B98D9-DE6D-4FBE-945C-51BABF760B41}">
    <filterColumn colId="0" hiddenButton="1"/>
  </autoFilter>
  <tableColumns count="1">
    <tableColumn id="1" xr3:uid="{0B5F8960-333E-4BB5-B169-91B90A7CD709}" uniqueName="1" name="结构" queryTableFieldId="1" dataDxfId="52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58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57"/>
    <tableColumn id="2" xr3:uid="{6DB657FB-E1F1-4EA3-83FA-7AC2169895B1}" uniqueName="2" name="SortValue" queryTableFieldId="2" dataDxfId="472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54"/>
    <tableColumn id="2" xr3:uid="{C1D12E41-5DFD-4B2B-90E5-92838B701E0D}" uniqueName="2" name="SortValue" queryTableFieldId="2" dataDxfId="471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470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3" tableType="queryTable" totalsRowShown="0">
  <autoFilter ref="C41:C93" xr:uid="{3D15E97E-A96B-46C8-8F14-CDD4B9B5EBE7}"/>
  <tableColumns count="1">
    <tableColumn id="1" xr3:uid="{31D67C13-2CDE-467D-9B70-F948A089647C}" uniqueName="1" name="备证行" queryTableFieldId="1" dataDxfId="55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56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7" tableType="queryTable" totalsRowShown="0">
  <autoFilter ref="O6:O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C106:C136" tableType="queryTable" totalsRowShown="0">
  <autoFilter ref="C106:C136" xr:uid="{1DC51F1B-1F4F-4981-99A0-790DB39684D9}">
    <filterColumn colId="0" hiddenButton="1"/>
  </autoFilter>
  <tableColumns count="1">
    <tableColumn id="1" xr3:uid="{80691C07-9984-443C-A245-A32A722F8460}" uniqueName="1" name="DimMonday" queryTableFieldId="1" dataDxfId="76"/>
  </tableColumns>
  <tableStyleInfo name="Named_dd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469" dataDxfId="468">
  <autoFilter ref="K1:K2" xr:uid="{00000000-0009-0000-0100-00001C000000}">
    <filterColumn colId="0" hiddenButton="1"/>
  </autoFilter>
  <tableColumns count="1">
    <tableColumn id="1" xr3:uid="{00000000-0010-0000-1200-000001000000}" name="Updator" dataDxfId="467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N10:CZ19" tableType="queryTable" totalsRowShown="0">
  <autoFilter ref="N10:CZ19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4" hiddenButton="1"/>
    <filterColumn colId="81" hiddenButton="1"/>
    <filterColumn colId="83" hiddenButton="1"/>
    <filterColumn colId="84" hiddenButton="1"/>
    <filterColumn colId="85" hiddenButton="1"/>
    <filterColumn colId="86" hiddenButton="1"/>
    <filterColumn colId="88" hiddenButton="1"/>
    <filterColumn colId="89" hiddenButton="1"/>
    <filterColumn colId="90" hiddenButton="1"/>
  </autoFilter>
  <tableColumns count="91">
    <tableColumn id="67" xr3:uid="{89571AE0-3879-457F-B318-34D498859252}" uniqueName="67" name="Index" queryTableFieldId="107" dataDxfId="466"/>
    <tableColumn id="1" xr3:uid="{00000000-0010-0000-1400-000001000000}" uniqueName="1" name="信用主体" queryTableFieldId="1" dataDxfId="465"/>
    <tableColumn id="9" xr3:uid="{00000000-0010-0000-1400-000009000000}" uniqueName="9" name="ISIN" queryTableFieldId="9" dataDxfId="464"/>
    <tableColumn id="12" xr3:uid="{00000000-0010-0000-1400-00000C000000}" uniqueName="12" name="定价日" queryTableFieldId="12" dataDxfId="463"/>
    <tableColumn id="13" xr3:uid="{00000000-0010-0000-1400-00000D000000}" uniqueName="13" name="穆迪/标普" queryTableFieldId="13" dataDxfId="462"/>
    <tableColumn id="15" xr3:uid="{00000000-0010-0000-1400-00000F000000}" uniqueName="15" name="债项评级" queryTableFieldId="15" dataDxfId="461"/>
    <tableColumn id="68" xr3:uid="{3FAE810C-DBB1-4EA1-887E-C959C6AEE507}" uniqueName="68" name="主体评级" queryTableFieldId="114" dataDxfId="460"/>
    <tableColumn id="66" xr3:uid="{835384CB-5EA1-4AA5-80C7-6E7A7E31992D}" uniqueName="66" name="发行评级" queryTableFieldId="113" dataDxfId="459"/>
    <tableColumn id="23" xr3:uid="{B5A6303E-E7C0-43D0-A6BB-6FDABEE4ABD9}" uniqueName="23" name="英文简称" queryTableFieldId="450" dataDxfId="458"/>
    <tableColumn id="8" xr3:uid="{00000000-0010-0000-1400-000008000000}" uniqueName="8" name="债券简称" queryTableFieldId="8" dataDxfId="457"/>
    <tableColumn id="14" xr3:uid="{00000000-0010-0000-1400-00000E000000}" uniqueName="14" name="主体评级展望" queryTableFieldId="14" dataDxfId="456"/>
    <tableColumn id="26" xr3:uid="{00000000-0010-0000-1400-00001A000000}" uniqueName="26" name="发行规模(亿)" queryTableFieldId="26" dataDxfId="455"/>
    <tableColumn id="27" xr3:uid="{00000000-0010-0000-1400-00001B000000}" uniqueName="27" name="货币" queryTableFieldId="27" dataDxfId="454"/>
    <tableColumn id="28" xr3:uid="{00000000-0010-0000-1400-00001C000000}" uniqueName="28" name="发行期限(年)" queryTableFieldId="28" dataDxfId="453"/>
    <tableColumn id="18" xr3:uid="{AE2E760D-01E7-4A99-A03D-0E14B2E5A35B}" uniqueName="18" name="票息_DMI" queryTableFieldId="587" dataDxfId="452"/>
    <tableColumn id="19" xr3:uid="{00000000-0010-0000-1400-000013000000}" uniqueName="19" name="兑付日" queryTableFieldId="19" dataDxfId="451"/>
    <tableColumn id="30" xr3:uid="{00000000-0010-0000-1400-00001E000000}" uniqueName="30" name="发行场所" queryTableFieldId="30" dataDxfId="450"/>
    <tableColumn id="20" xr3:uid="{2E21E1F0-B3C8-4D63-81C1-4DEA5849D935}" uniqueName="20" name="IPT_DMI" queryTableFieldId="98" dataDxfId="449"/>
    <tableColumn id="21" xr3:uid="{721CAAAA-9532-4A2C-AF68-00307121AC06}" uniqueName="21" name="FPG_DMI" queryTableFieldId="99" dataDxfId="448"/>
    <tableColumn id="22" xr3:uid="{00000000-0010-0000-1400-000016000000}" uniqueName="22" name="收窄幅度(bp)" queryTableFieldId="22" dataDxfId="447"/>
    <tableColumn id="82" xr3:uid="{8C16BF61-CC83-4336-BE5B-8B8A13B0CA9C}" uniqueName="82" name="发行规则" queryTableFieldId="552" dataDxfId="446"/>
    <tableColumn id="62" xr3:uid="{9E4808FC-4C9C-428D-82BA-2929B856B8D6}" uniqueName="62" name="发行架构" queryTableFieldId="144" dataDxfId="445"/>
    <tableColumn id="24" xr3:uid="{00000000-0010-0000-1400-000018000000}" uniqueName="24" name="SBLC提供者" queryTableFieldId="24" dataDxfId="444"/>
    <tableColumn id="25" xr3:uid="{00000000-0010-0000-1400-000019000000}" uniqueName="25" name="偿还顺位" queryTableFieldId="25" dataDxfId="443"/>
    <tableColumn id="29" xr3:uid="{00000000-0010-0000-1400-00001D000000}" uniqueName="29" name="发行价" queryTableFieldId="29" dataDxfId="442"/>
    <tableColumn id="31" xr3:uid="{00000000-0010-0000-1400-00001F000000}" uniqueName="31" name="首日涨跌" queryTableFieldId="31" dataDxfId="441"/>
    <tableColumn id="5" xr3:uid="{00000000-0010-0000-1400-000005000000}" uniqueName="5" name="省份" queryTableFieldId="5" dataDxfId="440"/>
    <tableColumn id="6" xr3:uid="{00000000-0010-0000-1400-000006000000}" uniqueName="6" name="城市" queryTableFieldId="6" dataDxfId="439"/>
    <tableColumn id="7" xr3:uid="{00000000-0010-0000-1400-000007000000}" uniqueName="7" name="区县" queryTableFieldId="7" dataDxfId="438"/>
    <tableColumn id="32" xr3:uid="{00000000-0010-0000-1400-000020000000}" uniqueName="32" name="认购额(亿)" queryTableFieldId="32" dataDxfId="437"/>
    <tableColumn id="33" xr3:uid="{00000000-0010-0000-1400-000021000000}" uniqueName="33" name="认购倍数" queryTableFieldId="33" dataDxfId="436"/>
    <tableColumn id="34" xr3:uid="{00000000-0010-0000-1400-000022000000}" uniqueName="34" name="亚洲占比" queryTableFieldId="34" dataDxfId="435"/>
    <tableColumn id="35" xr3:uid="{00000000-0010-0000-1400-000023000000}" uniqueName="35" name="基金占比" queryTableFieldId="35" dataDxfId="434"/>
    <tableColumn id="36" xr3:uid="{00000000-0010-0000-1400-000024000000}" uniqueName="36" name="联席全球协调人" queryTableFieldId="36" dataDxfId="433"/>
    <tableColumn id="72" xr3:uid="{00000000-0010-0000-1400-000048000000}" uniqueName="72" name="发行方式" queryTableFieldId="93" dataDxfId="432"/>
    <tableColumn id="4" xr3:uid="{00000000-0010-0000-1400-000004000000}" uniqueName="4" name="细分行业" queryTableFieldId="4" dataDxfId="431"/>
    <tableColumn id="10" xr3:uid="{00000000-0010-0000-1400-00000A000000}" uniqueName="10" name="主题债券" queryTableFieldId="10" dataDxfId="430"/>
    <tableColumn id="16" xr3:uid="{00000000-0010-0000-1400-000010000000}" uniqueName="16" name="债项初始评级" queryTableFieldId="16" dataDxfId="429"/>
    <tableColumn id="17" xr3:uid="{00000000-0010-0000-1400-000011000000}" uniqueName="17" name="境内主体评级" queryTableFieldId="17" dataDxfId="428"/>
    <tableColumn id="3" xr3:uid="{00000000-0010-0000-1400-000003000000}" uniqueName="3" name="行业" queryTableFieldId="3" dataDxfId="427"/>
    <tableColumn id="70" xr3:uid="{D4D745FA-E2EC-49A7-8DD6-A7E0C561075E}" uniqueName="70" name="剩余期限" queryTableFieldId="122" dataDxfId="426"/>
    <tableColumn id="2" xr3:uid="{00000000-0010-0000-1400-000002000000}" uniqueName="2" name="公司类型" queryTableFieldId="2" dataDxfId="425"/>
    <tableColumn id="11" xr3:uid="{00000000-0010-0000-1400-00000B000000}" uniqueName="11" name="评级类型" queryTableFieldId="11" dataDxfId="424"/>
    <tableColumn id="73" xr3:uid="{EC155D5D-7034-4D98-AE8E-9FD72DE0014F}" uniqueName="73" name="投资者账户数" queryTableFieldId="123" dataDxfId="423"/>
    <tableColumn id="74" xr3:uid="{F3AEB759-21B8-4CF1-A6A6-D6587E7B0569}" uniqueName="74" name="投资者类型" queryTableFieldId="124" dataDxfId="422"/>
    <tableColumn id="75" xr3:uid="{8379EAC2-F6FB-4868-9327-F4926D5314B2}" uniqueName="75" name="投资者分布" queryTableFieldId="125" dataDxfId="421"/>
    <tableColumn id="76" xr3:uid="{99F5C9BF-819A-4B74-90A6-3D912D600F26}" uniqueName="76" name="筹款用途" queryTableFieldId="126" dataDxfId="420"/>
    <tableColumn id="37" xr3:uid="{00000000-0010-0000-1400-000025000000}" uniqueName="37" name="ticker" queryTableFieldId="37" dataDxfId="419"/>
    <tableColumn id="38" xr3:uid="{00000000-0010-0000-1400-000026000000}" uniqueName="38" name="债券最新面值" queryTableFieldId="38" dataDxfId="418"/>
    <tableColumn id="39" xr3:uid="{00000000-0010-0000-1400-000027000000}" uniqueName="39" name="债券余额" queryTableFieldId="39" dataDxfId="417"/>
    <tableColumn id="40" xr3:uid="{00000000-0010-0000-1400-000028000000}" uniqueName="40" name="起息日期" queryTableFieldId="40" dataDxfId="416"/>
    <tableColumn id="41" xr3:uid="{00000000-0010-0000-1400-000029000000}" uniqueName="41" name="行权兑付日" queryTableFieldId="41" dataDxfId="415"/>
    <tableColumn id="43" xr3:uid="{00000000-0010-0000-1400-00002B000000}" uniqueName="43" name="计息基准" queryTableFieldId="43" dataDxfId="414"/>
    <tableColumn id="42" xr3:uid="{00000000-0010-0000-1400-00002A000000}" uniqueName="42" name="最新票面利率" queryTableFieldId="42" dataDxfId="413"/>
    <tableColumn id="44" xr3:uid="{00000000-0010-0000-1400-00002C000000}" uniqueName="44" name="首次付息日" queryTableFieldId="44" dataDxfId="412"/>
    <tableColumn id="45" xr3:uid="{00000000-0010-0000-1400-00002D000000}" uniqueName="45" name="发行人" queryTableFieldId="45" dataDxfId="411"/>
    <tableColumn id="47" xr3:uid="{00000000-0010-0000-1400-00002F000000}" uniqueName="47" name="发行起始日" queryTableFieldId="47" dataDxfId="410"/>
    <tableColumn id="77" xr3:uid="{96AB1C8E-595F-43D9-A802-E2A6579CD92F}" uniqueName="77" name="定价_DMI" queryTableFieldId="136" dataDxfId="409"/>
    <tableColumn id="46" xr3:uid="{00000000-0010-0000-1400-00002E000000}" uniqueName="46" name="担保人" queryTableFieldId="46" dataDxfId="408"/>
    <tableColumn id="48" xr3:uid="{00000000-0010-0000-1400-000030000000}" uniqueName="48" name="上市日期" queryTableFieldId="48" dataDxfId="407"/>
    <tableColumn id="49" xr3:uid="{00000000-0010-0000-1400-000031000000}" uniqueName="49" name="特殊条款说明" queryTableFieldId="49" dataDxfId="406"/>
    <tableColumn id="50" xr3:uid="{00000000-0010-0000-1400-000032000000}" uniqueName="50" name="牵头经办人" queryTableFieldId="50" dataDxfId="405"/>
    <tableColumn id="78" xr3:uid="{A0CF3BD1-5FCF-4795-AF10-20DDD23A6110}" uniqueName="78" name="联席账簿管理人" queryTableFieldId="128" dataDxfId="404"/>
    <tableColumn id="51" xr3:uid="{00000000-0010-0000-1400-000033000000}" uniqueName="51" name="是否永续债" queryTableFieldId="51" dataDxfId="403"/>
    <tableColumn id="52" xr3:uid="{00000000-0010-0000-1400-000034000000}" uniqueName="52" name="是否存单" queryTableFieldId="52" dataDxfId="402"/>
    <tableColumn id="53" xr3:uid="{00000000-0010-0000-1400-000035000000}" uniqueName="53" name="利率类型" queryTableFieldId="53" dataDxfId="401"/>
    <tableColumn id="54" xr3:uid="{00000000-0010-0000-1400-000036000000}" uniqueName="54" name="交易状态" queryTableFieldId="54" dataDxfId="400"/>
    <tableColumn id="55" xr3:uid="{00000000-0010-0000-1400-000037000000}" uniqueName="55" name="债券类型" queryTableFieldId="55" dataDxfId="399"/>
    <tableColumn id="56" xr3:uid="{00000000-0010-0000-1400-000038000000}" uniqueName="56" name="特殊条款" queryTableFieldId="56" dataDxfId="398"/>
    <tableColumn id="57" xr3:uid="{00000000-0010-0000-1400-000039000000}" uniqueName="57" name="付息频率" queryTableFieldId="57" dataDxfId="397"/>
    <tableColumn id="58" xr3:uid="{00000000-0010-0000-1400-00003A000000}" uniqueName="58" name="维好协议提供者" queryTableFieldId="58" dataDxfId="396"/>
    <tableColumn id="83" xr3:uid="{E0D8BE77-661B-4FA3-A3EB-364390317F31}" uniqueName="83" name="临时isin" queryTableFieldId="553" dataDxfId="395"/>
    <tableColumn id="90" xr3:uid="{7F696835-EE38-431A-A283-647A07ECC4C3}" uniqueName="90" name="BISL_ROLE" queryTableFieldId="616" dataDxfId="394"/>
    <tableColumn id="88" xr3:uid="{A85513D1-22EA-42F5-ADC2-5073B6878BBC}" uniqueName="88" name="DataSource" queryTableFieldId="591" dataDxfId="393"/>
    <tableColumn id="71" xr3:uid="{00000000-0010-0000-1400-000047000000}" uniqueName="71" name="地区" queryTableFieldId="91" dataDxfId="392"/>
    <tableColumn id="91" xr3:uid="{86C64630-FF6E-43F3-BDE4-846881E2BC9C}" uniqueName="91" name="通过分行" queryTableFieldId="618" dataDxfId="391"/>
    <tableColumn id="89" xr3:uid="{2863D817-E5A8-41B1-9015-FAD5D513678E}" uniqueName="89" name="增发判定" queryTableFieldId="614" dataDxfId="390"/>
    <tableColumn id="81" xr3:uid="{9A692B81-7755-46AF-B5A0-027C8CDE2E57}" uniqueName="81" name="违约日期" queryTableFieldId="550" dataDxfId="389"/>
    <tableColumn id="85" xr3:uid="{95E17553-A5B1-47F2-B9DA-EE0FC32D5766}" uniqueName="85" name="信用主体简称" queryTableFieldId="576" dataDxfId="388"/>
    <tableColumn id="86" xr3:uid="{F79DD9BB-65C7-4397-82CC-EFE1C4785655}" uniqueName="86" name="板块" queryTableFieldId="577" dataDxfId="387"/>
    <tableColumn id="87" xr3:uid="{4D250DE6-0573-4A49-8EF3-9356EAB28656}" uniqueName="87" name="DEBUT_DATE" queryTableFieldId="589" dataDxfId="386"/>
    <tableColumn id="79" xr3:uid="{4D5A05D7-BD47-4CF2-BA37-25E4CD582264}" uniqueName="79" name="注册成立地" queryTableFieldId="140" dataDxfId="385"/>
    <tableColumn id="80" xr3:uid="{7D0B3F21-10BB-4E32-89D1-69E4FA31A948}" uniqueName="80" name="发行人主上市地" queryTableFieldId="507" dataDxfId="384"/>
    <tableColumn id="60" xr3:uid="{FFDB6495-96BB-4A1F-8A95-F7E651B4C829}" uniqueName="60" name="亿美元" queryTableFieldId="100" dataDxfId="383"/>
    <tableColumn id="64" xr3:uid="{8A4D7B30-87EA-4608-AF0A-57BD31C54E25}" uniqueName="64" name="亿元" queryTableFieldId="105" dataDxfId="382"/>
    <tableColumn id="69" xr3:uid="{CF2B540E-0281-473E-8195-E64D9272102B}" uniqueName="69" name="亿港币" queryTableFieldId="120" dataDxfId="381"/>
    <tableColumn id="61" xr3:uid="{C8615552-A40D-44A0-968D-B22B635B4874}" uniqueName="61" name="IS_FIMTN" queryTableFieldId="109" dataDxfId="380"/>
    <tableColumn id="84" xr3:uid="{0F0FD982-24BE-47E3-AB97-24573D35A9F5}" uniqueName="84" name="Stats" queryTableFieldId="574" dataDxfId="379"/>
    <tableColumn id="63" xr3:uid="{222E9603-970D-4782-9F61-BA306470C980}" uniqueName="63" name="补充OMAS updates" queryTableFieldId="111" dataDxfId="378"/>
    <tableColumn id="65" xr3:uid="{80765AA5-3F0E-470B-9194-548C15E96FE2}" uniqueName="65" name="定价息差" queryTableFieldId="112" dataDxfId="377"/>
    <tableColumn id="59" xr3:uid="{00000000-0010-0000-1400-00003B000000}" uniqueName="59" name="Check" queryTableFieldId="59" dataDxfId="376"/>
  </tableColumns>
  <tableStyleInfo name="Qry Load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20:A22" tableType="queryTable" totalsRowShown="0">
  <autoFilter ref="A20:A22" xr:uid="{01B45695-E23F-4488-86FF-EB9FF19D0D29}">
    <filterColumn colId="0" hiddenButton="1"/>
  </autoFilter>
  <tableColumns count="1">
    <tableColumn id="2" xr3:uid="{DFAF3CC5-F455-4853-8EC1-D311FB3CA37A}" uniqueName="2" name="DMI列名更改" queryTableFieldId="2" dataDxfId="375"/>
  </tableColumns>
  <tableStyleInfo name="Qry Load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6:A18" tableType="queryTable" totalsRowShown="0">
  <autoFilter ref="A16:A18" xr:uid="{CC4E3B3E-DF33-41C3-95A7-8A54E29E2305}">
    <filterColumn colId="0" hiddenButton="1"/>
  </autoFilter>
  <tableColumns count="1">
    <tableColumn id="2" xr3:uid="{E47B8A04-A7A3-447E-9A93-6C98C57C7BFA}" uniqueName="2" name="DMI新增列" queryTableFieldId="2" dataDxfId="374"/>
  </tableColumns>
  <tableStyleInfo name="Qry Load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4" tableType="queryTable" totalsRowShown="0">
  <autoFilter ref="A10:B14" xr:uid="{0820282B-C3EB-444E-9D93-FACE953083CE}">
    <filterColumn colId="0" hiddenButton="1"/>
    <filterColumn colId="1" hiddenButton="1"/>
  </autoFilter>
  <tableColumns count="2">
    <tableColumn id="1" xr3:uid="{7D3F7F2E-FC88-4EA9-AF19-6CEF263390BF}" uniqueName="1" name="Column1" queryTableFieldId="5" dataDxfId="373"/>
    <tableColumn id="2" xr3:uid="{138B49F4-9952-459B-814F-11AD4D62172B}" uniqueName="2" name="Column2" queryTableFieldId="6" dataDxfId="53"/>
  </tableColumns>
  <tableStyleInfo name="Qry Load 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Table33" displayName="Table33" ref="A2:D23" totalsRowShown="0" headerRowDxfId="372" dataDxfId="371">
  <autoFilter ref="A2:D23" xr:uid="{0886B0FE-C80C-4F28-89AD-E6CF9C299703}"/>
  <tableColumns count="4">
    <tableColumn id="2" xr3:uid="{0BEB5287-564E-45AE-9EBD-C320699C4532}" name="Index" dataDxfId="370"/>
    <tableColumn id="3" xr3:uid="{52AE733A-BCDA-4F84-A536-F1DD8DF2C0A2}" name="Result" dataDxfId="369"/>
    <tableColumn id="4" xr3:uid="{01BB5857-C8A7-4203-A587-04BFC8573813}" name="Parameter" dataDxfId="368"/>
    <tableColumn id="5" xr3:uid="{D010838C-EEEF-40BF-9135-662BB9B0DB52}" name="Value" dataDxfId="367"/>
  </tableColumns>
  <tableStyleInfo name="Blank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Curated" displayName="headers_Curated" ref="A5:A25" tableType="queryTable" totalsRowShown="0">
  <autoFilter ref="A5:A25" xr:uid="{00000000-0009-0000-0100-000028000000}"/>
  <tableColumns count="1">
    <tableColumn id="1" xr3:uid="{174EE17E-5D50-49B8-B7C8-24257CE45476}" uniqueName="1" name="headers_Curated" queryTableFieldId="2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S5:AL14" tableType="queryTable" totalsRowShown="0">
  <autoFilter ref="S5:AL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366"/>
    <tableColumn id="2" xr3:uid="{00000000-0010-0000-1700-000002000000}" uniqueName="2" name="信用主体" queryTableFieldId="2" dataDxfId="365"/>
    <tableColumn id="15" xr3:uid="{E24E777A-D49C-4B3E-93AA-DFAEBA57F42B}" uniqueName="15" name="ESG" queryTableFieldId="55" dataDxfId="364"/>
    <tableColumn id="12" xr3:uid="{00000000-0010-0000-1700-00000C000000}" uniqueName="12" name="IPG" queryTableFieldId="12" dataDxfId="363"/>
    <tableColumn id="13" xr3:uid="{00000000-0010-0000-1700-00000D000000}" uniqueName="13" name="FPG" queryTableFieldId="13" dataDxfId="362"/>
    <tableColumn id="14" xr3:uid="{00000000-0010-0000-1700-00000E000000}" uniqueName="14" name="收窄基点" queryTableFieldId="14" dataDxfId="361"/>
    <tableColumn id="25" xr3:uid="{00000000-0010-0000-1700-000019000000}" uniqueName="25" name="定价" queryTableFieldId="25" dataDxfId="360"/>
    <tableColumn id="31" xr3:uid="{FFCE47EB-D5CF-4D34-81FA-065EDA65F5D5}" uniqueName="31" name="增发判定" queryTableFieldId="72" dataDxfId="359"/>
    <tableColumn id="8" xr3:uid="{00000000-0010-0000-1700-000008000000}" uniqueName="8" name="货币" queryTableFieldId="8" dataDxfId="358"/>
    <tableColumn id="9" xr3:uid="{00000000-0010-0000-1700-000009000000}" uniqueName="9" name="发行规模(亿)" queryTableFieldId="9" dataDxfId="357"/>
    <tableColumn id="5" xr3:uid="{A465A109-439B-46CC-B8D9-8536815366D7}" uniqueName="5" name="年期" queryTableFieldId="52" dataDxfId="356"/>
    <tableColumn id="11" xr3:uid="{00000000-0010-0000-1700-00000B000000}" uniqueName="11" name="票息" queryTableFieldId="11" dataDxfId="355"/>
    <tableColumn id="20" xr3:uid="{7E19D719-1D4A-42E1-9F7A-3CD7D5DA6A44}" uniqueName="20" name="FEATURED" queryTableFieldId="57" dataDxfId="354"/>
    <tableColumn id="33" xr3:uid="{F7F8C15B-103F-4121-B909-0AA998B5A268}" uniqueName="33" name="上市" queryTableFieldId="73" dataDxfId="353"/>
    <tableColumn id="34" xr3:uid="{54CE4E1B-194A-4B7A-8136-018BFA61D12B}" uniqueName="34" name="期限备注" queryTableFieldId="82" dataDxfId="352"/>
    <tableColumn id="23" xr3:uid="{00000000-0010-0000-1700-000017000000}" uniqueName="23" name="亿美元" queryTableFieldId="23" dataDxfId="351"/>
    <tableColumn id="24" xr3:uid="{00000000-0010-0000-1700-000018000000}" uniqueName="24" name="亿元" queryTableFieldId="24" dataDxfId="350"/>
    <tableColumn id="21" xr3:uid="{02205151-A1BC-4641-96CA-0A9C736A8B39}" uniqueName="21" name="亿港币" queryTableFieldId="84" dataDxfId="349"/>
    <tableColumn id="35" xr3:uid="{00000000-0010-0000-1700-000023000000}" uniqueName="35" name="ISIN" queryTableFieldId="35" dataDxfId="348"/>
    <tableColumn id="19" xr3:uid="{00000000-0010-0000-1700-000013000000}" uniqueName="19" name="Check" queryTableFieldId="49" dataDxfId="347"/>
  </tableColumns>
  <tableStyleInfo name="Qry Load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R5:BE7" tableType="queryTable" totalsRowShown="0">
  <autoFilter ref="AR5:BE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346"/>
    <tableColumn id="2" xr3:uid="{00000000-0010-0000-1800-000002000000}" uniqueName="2" name="ISIN" queryTableFieldId="2" dataDxfId="345"/>
    <tableColumn id="3" xr3:uid="{00000000-0010-0000-1800-000003000000}" uniqueName="3" name="定价日" queryTableFieldId="3" dataDxfId="344"/>
    <tableColumn id="18" xr3:uid="{CE8319FC-590C-4EDF-A68D-FBC91063B4F2}" uniqueName="18" name="台账序号" queryTableFieldId="38" dataDxfId="343"/>
    <tableColumn id="10" xr3:uid="{00000000-0010-0000-1800-00000A000000}" uniqueName="10" name="Project Name" queryTableFieldId="22" dataDxfId="342"/>
    <tableColumn id="8" xr3:uid="{00000000-0010-0000-1800-000008000000}" uniqueName="8" name="COVERAGE" queryTableFieldId="16" dataDxfId="341"/>
    <tableColumn id="12" xr3:uid="{00000000-0010-0000-1800-00000C000000}" uniqueName="12" name="新规角色" queryTableFieldId="12" dataDxfId="340"/>
    <tableColumn id="9" xr3:uid="{00000000-0010-0000-1800-000009000000}" uniqueName="9" name="PROJECT_CODE" queryTableFieldId="17" dataDxfId="339"/>
    <tableColumn id="15" xr3:uid="{00000000-0010-0000-1800-00000F000000}" uniqueName="15" name="期数" queryTableFieldId="15" dataDxfId="338"/>
    <tableColumn id="5" xr3:uid="{00000000-0010-0000-1800-000005000000}" uniqueName="5" name="BISL_ROLE" queryTableFieldId="5" dataDxfId="337"/>
    <tableColumn id="11" xr3:uid="{00000000-0010-0000-1800-00000B000000}" uniqueName="11" name="IS_LEAD" queryTableFieldId="30" dataDxfId="336"/>
    <tableColumn id="13" xr3:uid="{00000000-0010-0000-1800-00000D000000}" uniqueName="13" name="IS_B&amp;D" queryTableFieldId="31" dataDxfId="335"/>
    <tableColumn id="14" xr3:uid="{00000000-0010-0000-1800-00000E000000}" uniqueName="14" name="是否合名" queryTableFieldId="32" dataDxfId="334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R11:AU14" tableType="queryTable" totalsRowShown="0">
  <autoFilter ref="AR11:AU14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6CCFE2C-8D37-4289-B0A6-5D11A030F5A4}" name="headers_BOCOM" displayName="headers_BOCOM" ref="C5:C19" tableType="queryTable" totalsRowShown="0">
  <autoFilter ref="C5:C19" xr:uid="{B6CCFE2C-8D37-4289-B0A6-5D11A030F5A4}"/>
  <tableColumns count="1">
    <tableColumn id="1" xr3:uid="{0999779C-4DED-46B7-AD60-4677DC2F5325}" uniqueName="1" name="headers_BOCOM" queryTableFieldId="2"/>
  </tableColumns>
  <tableStyleInfo name="Qry Source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A4664E00-7824-4E38-BECA-4C1F971C81AB}" name="headers_Issuer" displayName="headers_Issuer" ref="B5:B16" tableType="queryTable" totalsRowShown="0">
  <autoFilter ref="B5:B16" xr:uid="{A4664E00-7824-4E38-BECA-4C1F971C81AB}">
    <filterColumn colId="0" hiddenButton="1"/>
  </autoFilter>
  <tableColumns count="1">
    <tableColumn id="1" xr3:uid="{F52BE084-9BDA-4E5F-BA90-2C3EC414D211}" uniqueName="1" name="headers_Issuer" queryTableFieldId="1" dataDxfId="333"/>
  </tableColumns>
  <tableStyleInfo name="Qry Source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08AC99E-9D85-40A8-B69C-18DF34FA2CB9}" name="ForReview_Issuer" displayName="ForReview_Issuer" ref="E5:O14" tableType="queryTable" totalsRowShown="0">
  <autoFilter ref="E5:O14" xr:uid="{E08AC99E-9D85-40A8-B69C-18DF34FA2CB9}"/>
  <tableColumns count="11">
    <tableColumn id="15" xr3:uid="{310DD8FA-019E-471D-A6C2-33190693E7AB}" uniqueName="15" name="删除及隐藏" queryTableFieldId="20" dataDxfId="34"/>
    <tableColumn id="1" xr3:uid="{4CAAB213-A5BF-422F-B6AF-3B594EB1C872}" uniqueName="1" name="ISIN" queryTableFieldId="1" dataDxfId="33"/>
    <tableColumn id="2" xr3:uid="{ECFCF490-6D05-417B-B004-635CEFE3638A}" uniqueName="2" name="定价日" queryTableFieldId="2" dataDxfId="32"/>
    <tableColumn id="3" xr3:uid="{334D16D1-0C1B-4E66-944C-92E929211566}" uniqueName="3" name="信用主体" queryTableFieldId="3" dataDxfId="31"/>
    <tableColumn id="12" xr3:uid="{D5AF083B-2DBE-4813-9839-0678D7B4A2AE}" uniqueName="12" name="发行评级" queryTableFieldId="12" dataDxfId="30"/>
    <tableColumn id="13" xr3:uid="{8D717083-7664-43FE-B75D-25CF673B6C4F}" uniqueName="13" name="主体评级" queryTableFieldId="13" dataDxfId="29"/>
    <tableColumn id="5" xr3:uid="{DA0DC512-E441-4A7D-A03D-26D21A40DDC8}" uniqueName="5" name="结构" queryTableFieldId="5" dataDxfId="28"/>
    <tableColumn id="4" xr3:uid="{9BCDB2D2-5250-483E-BBD3-71688F9A057A}" uniqueName="4" name="备证行" queryTableFieldId="4" dataDxfId="27"/>
    <tableColumn id="10" xr3:uid="{1ED45D6F-10C1-4C84-82DC-5A0C18EACE01}" uniqueName="10" name="港分_ROLE" queryTableFieldId="10" dataDxfId="26"/>
    <tableColumn id="11" xr3:uid="{AF670E09-5B00-45D6-926C-EA8233698623}" uniqueName="11" name="澳分_ROLE" queryTableFieldId="11" dataDxfId="25"/>
    <tableColumn id="14" xr3:uid="{6C693FDE-83D3-4FA5-A040-89A6FF4B8B11}" uniqueName="14" name="Check" queryTableFieldId="14" dataDxfId="24"/>
  </tableColumns>
  <tableStyleInfo name="Qry Loa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332" dataDxfId="331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330"/>
    <tableColumn id="2" xr3:uid="{00000000-0010-0000-1A00-000002000000}" name="信用主体" dataDxfId="329"/>
    <tableColumn id="3" xr3:uid="{00000000-0010-0000-1A00-000003000000}" name="ESG" dataDxfId="328"/>
    <tableColumn id="4" xr3:uid="{00000000-0010-0000-1A00-000004000000}" name="IPG" dataDxfId="327"/>
    <tableColumn id="6" xr3:uid="{00000000-0010-0000-1A00-000006000000}" name="FPG" dataDxfId="326"/>
    <tableColumn id="16" xr3:uid="{00000000-0010-0000-1A00-000010000000}" name="收窄基点" dataDxfId="325"/>
    <tableColumn id="11" xr3:uid="{00000000-0010-0000-1A00-00000B000000}" name="定价" dataDxfId="324"/>
    <tableColumn id="12" xr3:uid="{00000000-0010-0000-1A00-00000C000000}" name="增发判定" dataDxfId="323"/>
    <tableColumn id="13" xr3:uid="{00000000-0010-0000-1A00-00000D000000}" name="货币" dataDxfId="322"/>
    <tableColumn id="14" xr3:uid="{00000000-0010-0000-1A00-00000E000000}" name="发行规模(亿)" dataDxfId="321"/>
    <tableColumn id="19" xr3:uid="{00000000-0010-0000-1A00-000013000000}" name="年期" dataDxfId="320"/>
    <tableColumn id="5" xr3:uid="{00000000-0010-0000-1A00-000005000000}" name="票息" dataDxfId="319"/>
    <tableColumn id="7" xr3:uid="{00000000-0010-0000-1A00-000007000000}" name="FEATURED" dataDxfId="318"/>
    <tableColumn id="8" xr3:uid="{00000000-0010-0000-1A00-000008000000}" name="上市" dataDxfId="317"/>
    <tableColumn id="9" xr3:uid="{00000000-0010-0000-1A00-000009000000}" name="期限备注" dataDxfId="316"/>
    <tableColumn id="10" xr3:uid="{00000000-0010-0000-1A00-00000A000000}" name="亿美元" dataDxfId="315"/>
    <tableColumn id="17" xr3:uid="{00000000-0010-0000-1A00-000011000000}" name="亿元" dataDxfId="314"/>
    <tableColumn id="18" xr3:uid="{00000000-0010-0000-1A00-000012000000}" name="亿港币" dataDxfId="313"/>
    <tableColumn id="15" xr3:uid="{00000000-0010-0000-1A00-00000F000000}" name="ISIN" dataDxfId="312"/>
    <tableColumn id="20" xr3:uid="{00000000-0010-0000-1A00-000014000000}" name="Check" dataDxfId="311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310" dataDxfId="309">
  <tableColumns count="14">
    <tableColumn id="1" xr3:uid="{00000000-0010-0000-1B00-000001000000}" name="信用主体" dataDxfId="308"/>
    <tableColumn id="2" xr3:uid="{00000000-0010-0000-1B00-000002000000}" name="Check" dataDxfId="307"/>
    <tableColumn id="3" xr3:uid="{00000000-0010-0000-1B00-000003000000}" name="ISIN" dataDxfId="306"/>
    <tableColumn id="4" xr3:uid="{00000000-0010-0000-1B00-000004000000}" name="定价日" dataDxfId="305"/>
    <tableColumn id="5" xr3:uid="{00000000-0010-0000-1B00-000005000000}" name="台账序号" dataDxfId="304"/>
    <tableColumn id="6" xr3:uid="{00000000-0010-0000-1B00-000006000000}" name="Project Name" dataDxfId="303"/>
    <tableColumn id="7" xr3:uid="{00000000-0010-0000-1B00-000007000000}" name="COVERAGE" dataDxfId="302"/>
    <tableColumn id="8" xr3:uid="{00000000-0010-0000-1B00-000008000000}" name="新规角色" dataDxfId="301"/>
    <tableColumn id="9" xr3:uid="{00000000-0010-0000-1B00-000009000000}" name="PROJECT_CODE" dataDxfId="300"/>
    <tableColumn id="10" xr3:uid="{00000000-0010-0000-1B00-00000A000000}" name="期数" dataDxfId="299"/>
    <tableColumn id="11" xr3:uid="{00000000-0010-0000-1B00-00000B000000}" name="BISL_ROLE" dataDxfId="298"/>
    <tableColumn id="12" xr3:uid="{00000000-0010-0000-1B00-00000C000000}" name="IS_LEAD" dataDxfId="297"/>
    <tableColumn id="13" xr3:uid="{00000000-0010-0000-1B00-00000D000000}" name="IS_B&amp;D" dataDxfId="296"/>
    <tableColumn id="14" xr3:uid="{00000000-0010-0000-1B00-00000E000000}" name="是否合名" dataDxfId="295"/>
  </tableColumns>
  <tableStyleInfo name="review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294" dataDxfId="293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292"/>
    <tableColumn id="2" xr3:uid="{00000000-0010-0000-1C00-000002000000}" name="SHORTNAMER" dataDxfId="291"/>
    <tableColumn id="3" xr3:uid="{00000000-0010-0000-1C00-000003000000}" name="中资属性" dataDxfId="290"/>
    <tableColumn id="4" xr3:uid="{00000000-0010-0000-1C00-000004000000}" name="板块" dataDxfId="289"/>
  </tableColumns>
  <tableStyleInfo name="review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288"/>
    <tableColumn id="4" xr3:uid="{0C203217-F646-4D3C-BCC1-CB5D146D778A}" name="信用主体" dataDxfId="287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19" tableType="queryTable" totalsRowShown="0">
  <autoFilter ref="A8:J1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17"/>
    <tableColumn id="2" xr3:uid="{00000000-0010-0000-2000-000002000000}" uniqueName="2" name="ISIN" queryTableFieldId="2" dataDxfId="16"/>
    <tableColumn id="3" xr3:uid="{00000000-0010-0000-2000-000003000000}" uniqueName="3" name="债券简称" queryTableFieldId="3"/>
    <tableColumn id="4" xr3:uid="{00000000-0010-0000-2000-000004000000}" uniqueName="4" name="年期" queryTableFieldId="4" dataDxfId="15"/>
    <tableColumn id="5" xr3:uid="{00000000-0010-0000-2000-000005000000}" uniqueName="5" name="亿美元" queryTableFieldId="5" dataDxfId="14"/>
    <tableColumn id="10" xr3:uid="{4DD127ED-3CFA-482D-824F-8996B3B2FF61}" uniqueName="10" name="货币" queryTableFieldId="10"/>
    <tableColumn id="11" xr3:uid="{736609AE-728A-49BC-8EC6-3BE5EAB61E97}" uniqueName="11" name="板块" queryTableFieldId="12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 3 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7" tableType="queryTable" totalsRowShown="0">
  <autoFilter ref="P8:AF1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23"/>
    <tableColumn id="33" xr3:uid="{00000000-0010-0000-1D00-000021000000}" uniqueName="33" name="ISIN" queryTableFieldId="33" dataDxfId="22"/>
    <tableColumn id="1" xr3:uid="{00000000-0010-0000-1D00-000001000000}" uniqueName="1" name="定价日" queryTableFieldId="1" dataDxfId="21"/>
    <tableColumn id="3" xr3:uid="{00000000-0010-0000-1D00-000003000000}" uniqueName="3" name="信用主体(备证行)" queryTableFieldId="40"/>
    <tableColumn id="7" xr3:uid="{00000000-0010-0000-1D00-000007000000}" uniqueName="7" name="发行评级" queryTableFieldId="7"/>
    <tableColumn id="9" xr3:uid="{00000000-0010-0000-1D00-000009000000}" uniqueName="9" name="货币" queryTableFieldId="9"/>
    <tableColumn id="10" xr3:uid="{00000000-0010-0000-1D00-00000A000000}" uniqueName="10" name="发行规模(亿)" queryTableFieldId="10" dataDxfId="20"/>
    <tableColumn id="11" xr3:uid="{00000000-0010-0000-1D00-00000B000000}" uniqueName="11" name="年期" queryTableFieldId="11"/>
    <tableColumn id="12" xr3:uid="{00000000-0010-0000-1D00-00000C000000}" uniqueName="12" name="票息" queryTableFieldId="12"/>
    <tableColumn id="13" xr3:uid="{00000000-0010-0000-1D00-00000D000000}" uniqueName="13" name="IPG" queryTableFieldId="13"/>
    <tableColumn id="15" xr3:uid="{00000000-0010-0000-1D00-00000F000000}" uniqueName="15" name="收窄基点" queryTableFieldId="15" dataDxfId="19"/>
    <tableColumn id="16" xr3:uid="{00000000-0010-0000-1D00-000010000000}" uniqueName="16" name="结构" queryTableFieldId="16"/>
    <tableColumn id="17" xr3:uid="{00000000-0010-0000-1D00-000011000000}" uniqueName="17" name="主题" queryTableFieldId="17"/>
    <tableColumn id="4" xr3:uid="{FA4F2C95-A39F-499C-B714-9F3BFC490D1F}" uniqueName="4" name="板块" queryTableFieldId="113"/>
    <tableColumn id="19" xr3:uid="{00000000-0010-0000-1D00-000013000000}" uniqueName="19" name="地区" queryTableFieldId="19"/>
    <tableColumn id="38" xr3:uid="{00000000-0010-0000-1D00-000026000000}" uniqueName="38" name="BOCOM_DEAL?" queryTableFieldId="38"/>
    <tableColumn id="23" xr3:uid="{00000000-0010-0000-1D00-000017000000}" uniqueName="23" name="亿美元" queryTableFieldId="52" dataDxfId="18"/>
  </tableColumns>
  <tableStyleInfo name="Qry Load 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86"/>
    <tableColumn id="2" xr3:uid="{47FE5343-0DFD-4CFF-B705-96BEB1393CEC}" uniqueName="2" name="上周亿美元" queryTableFieldId="2" dataDxfId="285"/>
    <tableColumn id="3" xr3:uid="{53E645CE-2F6A-4C47-9C37-6B361745E8FA}" uniqueName="3" name="上周笔数" queryTableFieldId="3" dataDxfId="284"/>
  </tableColumns>
  <tableStyleInfo name="Qry Load 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5" tableType="queryTable" totalsRowShown="0">
  <autoFilter ref="A6:D15" xr:uid="{808E568B-1200-457F-813E-717EE636BF7C}"/>
  <tableColumns count="4">
    <tableColumn id="1" xr3:uid="{3133AD58-D64F-445E-A0E3-8B36A2E4C89B}" uniqueName="1" name="信用主体简称" queryTableFieldId="1"/>
    <tableColumn id="2" xr3:uid="{38E483B3-A458-4148-BCAA-8CE932CA4FBA}" uniqueName="2" name="板块" queryTableFieldId="2" dataDxfId="3"/>
    <tableColumn id="3" xr3:uid="{5E891849-9559-434F-82D1-4DE41887D454}" uniqueName="3" name="货币" queryTableFieldId="3" dataDxfId="2"/>
    <tableColumn id="4" xr3:uid="{9D21F886-4318-4A17-8974-1FEAF278DF3A}" uniqueName="4" name="Writer" queryTableFieldId="4" dataDxfId="1"/>
  </tableColumns>
  <tableStyleInfo name="Qry Load 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283" dataDxfId="282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281"/>
  </tableColumns>
  <tableStyleInfo name="Qry Load 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280" dataDxfId="279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278"/>
    <tableColumn id="2" xr3:uid="{6DD35146-7DF1-4CCE-9356-C22B108F4F39}" uniqueName="2" name="板块" queryTableFieldId="214"/>
    <tableColumn id="3" xr3:uid="{00000000-0010-0000-2300-000003000000}" uniqueName="3" name="货币" queryTableFieldId="3" dataDxfId="277"/>
    <tableColumn id="52" xr3:uid="{747DCABA-F2CB-44A1-BB61-12F09EA77A65}" uniqueName="52" name="信用主体(备证行)" queryTableFieldId="74" dataDxfId="276"/>
    <tableColumn id="5" xr3:uid="{00000000-0010-0000-2300-000005000000}" uniqueName="5" name="描述" queryTableFieldId="5" dataDxfId="275"/>
    <tableColumn id="1" xr3:uid="{DCE0C678-7429-4B20-B919-874EAF955EBE}" uniqueName="1" name="Stats描述" queryTableFieldId="213" dataDxfId="274"/>
  </tableColumns>
  <tableStyleInfo name="Qry Load 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273" dataDxfId="272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2" tableType="queryTable" totalsRowShown="0">
  <autoFilter ref="A12:O32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32">
    <sortCondition descending="1" ref="I12:I32"/>
  </sortState>
  <tableColumns count="15">
    <tableColumn id="1" xr3:uid="{00000000-0010-0000-2600-000001000000}" uniqueName="1" name="Date" queryTableFieldId="1" dataDxfId="271"/>
    <tableColumn id="13" xr3:uid="{00000000-0010-0000-2600-00000D000000}" uniqueName="13" name="Region" queryTableFieldId="13" dataDxfId="270"/>
    <tableColumn id="3" xr3:uid="{00000000-0010-0000-2600-000003000000}" uniqueName="3" name="Event" queryTableFieldId="3" dataDxfId="269"/>
    <tableColumn id="14" xr3:uid="{00000000-0010-0000-2600-00000E000000}" uniqueName="14" name="Period" queryTableFieldId="14" dataDxfId="268"/>
    <tableColumn id="5" xr3:uid="{00000000-0010-0000-2600-000005000000}" uniqueName="5" name="Survey" queryTableFieldId="5" dataDxfId="267"/>
    <tableColumn id="6" xr3:uid="{00000000-0010-0000-2600-000006000000}" uniqueName="6" name="Actual" queryTableFieldId="6" dataDxfId="266"/>
    <tableColumn id="7" xr3:uid="{00000000-0010-0000-2600-000007000000}" uniqueName="7" name="Prior" queryTableFieldId="7" dataDxfId="265"/>
    <tableColumn id="8" xr3:uid="{00000000-0010-0000-2600-000008000000}" uniqueName="8" name="Revised" queryTableFieldId="8" dataDxfId="264"/>
    <tableColumn id="9" xr3:uid="{00000000-0010-0000-2600-000009000000}" uniqueName="9" name="Relevance" queryTableFieldId="9" dataDxfId="263"/>
    <tableColumn id="10" xr3:uid="{00000000-0010-0000-2600-00000A000000}" uniqueName="10" name="Ticker" queryTableFieldId="10" dataDxfId="262"/>
    <tableColumn id="11" xr3:uid="{00000000-0010-0000-2600-00000B000000}" uniqueName="11" name="Time" queryTableFieldId="11" dataDxfId="261"/>
    <tableColumn id="15" xr3:uid="{00000000-0010-0000-2600-00000F000000}" uniqueName="15" name="Table" queryTableFieldId="15" dataDxfId="260"/>
    <tableColumn id="17" xr3:uid="{00000000-0010-0000-2600-000011000000}" uniqueName="17" name="区间" queryTableFieldId="22" dataDxfId="259"/>
    <tableColumn id="18" xr3:uid="{00000000-0010-0000-2600-000012000000}" uniqueName="18" name="范围" queryTableFieldId="23" dataDxfId="258"/>
    <tableColumn id="16" xr3:uid="{00000000-0010-0000-2600-000010000000}" uniqueName="16" name="上周主要经济数据" queryTableFieldId="16" dataDxfId="257"/>
  </tableColumns>
  <tableStyleInfo name="Qry Load 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256" dataDxfId="255">
  <autoFilter ref="B2:G8" xr:uid="{644E2A09-C7EB-4F82-B548-1142239A8942}"/>
  <sortState ref="B3:G8">
    <sortCondition ref="D2:D8"/>
  </sortState>
  <tableColumns count="6">
    <tableColumn id="6" xr3:uid="{00000000-0010-0000-2700-000006000000}" name="Index" dataDxfId="254"/>
    <tableColumn id="1" xr3:uid="{00000000-0010-0000-2700-000001000000}" name="上周主要经济数据" dataDxfId="253"/>
    <tableColumn id="2" xr3:uid="{00000000-0010-0000-2700-000002000000}" name="发布(HKT) " dataDxfId="252"/>
    <tableColumn id="3" xr3:uid="{00000000-0010-0000-2700-000003000000}" name="前值" dataDxfId="251"/>
    <tableColumn id="4" xr3:uid="{00000000-0010-0000-2700-000004000000}" name="预期" dataDxfId="250"/>
    <tableColumn id="5" xr3:uid="{00000000-0010-0000-2700-000005000000}" name="现值" dataDxfId="249"/>
  </tableColumns>
  <tableStyleInfo name="Qry Load 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5" tableType="queryTable" totalsRowShown="0" dataDxfId="248">
  <autoFilter ref="A10:O25" xr:uid="{EC380FD7-61D3-49F7-9E43-37885EA54264}"/>
  <sortState ref="A11:O25">
    <sortCondition descending="1" ref="I10:I25"/>
  </sortState>
  <tableColumns count="15">
    <tableColumn id="1" xr3:uid="{00000000-0010-0000-2800-000001000000}" uniqueName="1" name="Date" queryTableFieldId="1" dataDxfId="247"/>
    <tableColumn id="2" xr3:uid="{00000000-0010-0000-2800-000002000000}" uniqueName="2" name="Region" queryTableFieldId="2" dataDxfId="246"/>
    <tableColumn id="3" xr3:uid="{00000000-0010-0000-2800-000003000000}" uniqueName="3" name="Event" queryTableFieldId="3" dataDxfId="245"/>
    <tableColumn id="4" xr3:uid="{00000000-0010-0000-2800-000004000000}" uniqueName="4" name="Period" queryTableFieldId="4" dataDxfId="244"/>
    <tableColumn id="5" xr3:uid="{00000000-0010-0000-2800-000005000000}" uniqueName="5" name="Survey" queryTableFieldId="5" dataDxfId="243"/>
    <tableColumn id="6" xr3:uid="{00000000-0010-0000-2800-000006000000}" uniqueName="6" name="Actual" queryTableFieldId="6" dataDxfId="242"/>
    <tableColumn id="7" xr3:uid="{00000000-0010-0000-2800-000007000000}" uniqueName="7" name="Prior" queryTableFieldId="7" dataDxfId="241"/>
    <tableColumn id="8" xr3:uid="{00000000-0010-0000-2800-000008000000}" uniqueName="8" name="Revised" queryTableFieldId="8" dataDxfId="240"/>
    <tableColumn id="9" xr3:uid="{00000000-0010-0000-2800-000009000000}" uniqueName="9" name="Relevance" queryTableFieldId="9" dataDxfId="239"/>
    <tableColumn id="10" xr3:uid="{00000000-0010-0000-2800-00000A000000}" uniqueName="10" name="Ticker" queryTableFieldId="10" dataDxfId="238"/>
    <tableColumn id="11" xr3:uid="{00000000-0010-0000-2800-00000B000000}" uniqueName="11" name="Time" queryTableFieldId="11" dataDxfId="237"/>
    <tableColumn id="12" xr3:uid="{00000000-0010-0000-2800-00000C000000}" uniqueName="12" name="Table" queryTableFieldId="12" dataDxfId="236"/>
    <tableColumn id="14" xr3:uid="{00000000-0010-0000-2800-00000E000000}" uniqueName="14" name="区间" queryTableFieldId="14" dataDxfId="235"/>
    <tableColumn id="15" xr3:uid="{00000000-0010-0000-2800-00000F000000}" uniqueName="15" name="范围" queryTableFieldId="15" dataDxfId="234"/>
    <tableColumn id="16" xr3:uid="{00000000-0010-0000-2800-000010000000}" uniqueName="16" name="未来一周主要经济数据" queryTableFieldId="16" dataDxfId="233"/>
  </tableColumns>
  <tableStyleInfo name="Qry Load 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232" dataDxfId="231">
  <autoFilter ref="B2:F8" xr:uid="{39A1B0C9-8B1C-4C7A-AB01-A5DC6D5CE22B}"/>
  <sortState ref="B3:F8">
    <sortCondition ref="D2:D8"/>
  </sortState>
  <tableColumns count="5">
    <tableColumn id="6" xr3:uid="{00000000-0010-0000-2900-000006000000}" name="Index" dataDxfId="230"/>
    <tableColumn id="1" xr3:uid="{00000000-0010-0000-2900-000001000000}" name="未来一周主要经济数据" dataDxfId="229"/>
    <tableColumn id="2" xr3:uid="{00000000-0010-0000-2900-000002000000}" name="预计发布(HKT) " dataDxfId="228"/>
    <tableColumn id="3" xr3:uid="{00000000-0010-0000-2900-000003000000}" name="前值" dataDxfId="227"/>
    <tableColumn id="4" xr3:uid="{00000000-0010-0000-2900-000004000000}" name="预期" dataDxfId="226"/>
  </tableColumns>
  <tableStyleInfo name="Qry Load 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225"/>
    <tableColumn id="2" xr3:uid="{5A227A28-586E-464F-9AB7-9CCC23E36EC8}" uniqueName="2" name="信用主体(备证行)" queryTableFieldId="2" dataDxfId="224"/>
    <tableColumn id="3" xr3:uid="{0B239332-56B8-40CA-A88B-C2D00F1EC27C}" uniqueName="3" name="定价日" queryTableFieldId="3"/>
    <tableColumn id="4" xr3:uid="{B900FAC1-E5F8-464A-98F0-33D0932C67D4}" uniqueName="4" name="发行评级" queryTableFieldId="4" dataDxfId="223"/>
    <tableColumn id="5" xr3:uid="{2124CC5C-5D3E-4A51-96CF-F221161607EE}" uniqueName="5" name="货币" queryTableFieldId="5" dataDxfId="222"/>
    <tableColumn id="6" xr3:uid="{615BFDCA-62F8-4C88-A165-3320C41472CF}" uniqueName="6" name="发行规模(亿)" queryTableFieldId="6"/>
    <tableColumn id="7" xr3:uid="{94489B69-EF55-4C00-9C68-0394414D1A96}" uniqueName="7" name="年期" queryTableFieldId="7" dataDxfId="221"/>
    <tableColumn id="8" xr3:uid="{BCFE781E-BC41-418C-AF78-D464B01EE5C3}" uniqueName="8" name="票息" queryTableFieldId="8" dataDxfId="220"/>
    <tableColumn id="9" xr3:uid="{0FFA5ACD-3877-43D2-AF99-E2D200D5CE96}" uniqueName="9" name="IPG" queryTableFieldId="9" dataDxfId="219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218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217"/>
    <tableColumn id="10" xr3:uid="{C2C4EF50-FD6F-4B1E-A545-2ECC96F9A905}" name="添加增发方式" dataDxfId="216"/>
    <tableColumn id="11" xr3:uid="{79B76218-E0E4-4A89-BE76-301D01940875}" name="增发判定" dataDxfId="215"/>
    <tableColumn id="12" xr3:uid="{EDA4F6FC-E9AF-428D-8455-7CAE58E2C730}" name="增发ISIN" dataDxfId="214"/>
    <tableColumn id="2" xr3:uid="{27B5EFE8-4072-49BD-B6A9-5FF970467B1C}" name="定价日" dataDxfId="213"/>
    <tableColumn id="3" xr3:uid="{AD0350DC-2C22-4D91-9AA2-3F091B8A9FED}" name="发行规模(亿)" dataDxfId="212"/>
    <tableColumn id="4" xr3:uid="{C498A0CC-CED1-41FB-877E-641A32287CEF}" name="IPT" dataDxfId="211"/>
    <tableColumn id="5" xr3:uid="{EDF855A7-BA7A-40AF-8D1C-50F6E2692F36}" name="FPG" dataDxfId="210"/>
    <tableColumn id="6" xr3:uid="{19553095-3CC0-4C17-9C9F-D62F43223F22}" name="BOCOM_JGC" dataDxfId="209"/>
    <tableColumn id="8" xr3:uid="{2ABEAA2D-F8C8-4F6E-BB0B-5ED3A2C55235}" name="BOCOM_JBR" dataDxfId="208"/>
  </tableColumns>
  <tableStyleInfo name="review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207"/>
    <tableColumn id="24" xr3:uid="{EAD53C83-0843-49F8-80DF-27B7042770D9}" uniqueName="24" name="Column2" queryTableFieldId="2" dataDxfId="206"/>
  </tableColumns>
  <tableStyleInfo name="Qry Load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205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204"/>
    <tableColumn id="2" xr3:uid="{D1462E68-AD85-4F5B-9217-1461281B8D2F}" name="输入主体关键字" dataDxfId="203"/>
    <tableColumn id="3" xr3:uid="{7082A380-A3A2-4FAF-A950-6756985F63E9}" name="AddToDLD" dataDxfId="202"/>
  </tableColumns>
  <tableStyleInfo name="Qry Load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201">
  <autoFilter ref="B3:C4" xr:uid="{24E2BF76-3300-438F-8E58-CCD22086EA5B}"/>
  <tableColumns count="2">
    <tableColumn id="2" xr3:uid="{0B4B4AD7-3A5E-433D-ACCF-42F67840B2E1}" name="输入主体关键字" dataDxfId="200"/>
    <tableColumn id="3" xr3:uid="{16B87CBB-0A54-4266-9A25-E5E43224FB20}" name="AddToDLD" dataDxfId="199"/>
  </tableColumns>
  <tableStyleInfo name="Qry Loa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198"/>
  </tableColumns>
  <tableStyleInfo name="Qry Loa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197" dataDxfId="196">
  <autoFilter ref="B24:C38" xr:uid="{388A3E41-C0C7-41AE-A48B-DD7590A31971}"/>
  <tableColumns count="2">
    <tableColumn id="1" xr3:uid="{E44BDF86-0634-4A21-B8E8-0190644A6748}" name="债券详情" dataDxfId="195"/>
    <tableColumn id="2" xr3:uid="{14940635-2BDC-46A7-B0FA-93640165F19A}" name="Input" dataDxfId="194"/>
  </tableColumns>
  <tableStyleInfo name="Qry Loa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7" tableType="queryTable" totalsRowShown="0">
  <autoFilter ref="A5:J7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193"/>
    <tableColumn id="3" xr3:uid="{A4050823-CF41-4CB7-9327-CCA27CCCD0E4}" uniqueName="3" name="ISIN" queryTableFieldId="3"/>
    <tableColumn id="4" xr3:uid="{9D24D768-6BC8-4791-8E2E-C86E5BF82512}" uniqueName="4" name="债券简称" queryTableFieldId="4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U17" tableType="queryTable" totalsRowShown="0">
  <autoFilter ref="A5:BU17" xr:uid="{760A78EB-B646-4F10-831A-D22B21A96B57}">
    <filterColumn colId="0" hiddenButton="1"/>
    <filterColumn colId="1" hiddenButton="1"/>
    <filterColumn colId="2" hiddenButton="1"/>
    <filterColumn colId="3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0" hiddenButton="1"/>
    <filterColumn colId="72" hiddenButton="1"/>
  </autoFilter>
  <tableColumns count="73">
    <tableColumn id="1" xr3:uid="{65CE1E33-8359-4C0B-9221-1E30F7E1CEF4}" uniqueName="1" name="信用主体" queryTableFieldId="1" dataDxfId="192"/>
    <tableColumn id="24" xr3:uid="{A81CDE9A-F459-467A-95A6-76B9882E80D7}" uniqueName="24" name="英文简称" queryTableFieldId="384" dataDxfId="191"/>
    <tableColumn id="9" xr3:uid="{6CF5A73E-65DE-485F-A790-2A65D986DCCA}" uniqueName="9" name="ISIN" queryTableFieldId="9" dataDxfId="190"/>
    <tableColumn id="12" xr3:uid="{2FAEB098-B99A-49BC-8F9E-60BB22B8B1A8}" uniqueName="12" name="定价日" queryTableFieldId="12" dataDxfId="189"/>
    <tableColumn id="72" xr3:uid="{96F46060-893A-4B22-B404-CF1EE29A6D65}" uniqueName="72" name="临时isin" queryTableFieldId="485" dataDxfId="188"/>
    <tableColumn id="58" xr3:uid="{019381F3-72FB-4C5F-9AB8-FA53CD073BE5}" uniqueName="58" name="付息频率" queryTableFieldId="58" dataDxfId="187"/>
    <tableColumn id="59" xr3:uid="{C8D1AF04-7E6F-4D88-B06F-C8310837A162}" uniqueName="59" name="维好协议提供者" queryTableFieldId="59" dataDxfId="186"/>
    <tableColumn id="57" xr3:uid="{145EA911-7D60-43D2-854F-080D2E91B1E5}" uniqueName="57" name="特殊条款" queryTableFieldId="57" dataDxfId="185"/>
    <tableColumn id="56" xr3:uid="{6CE7EEB7-7E14-4960-892D-D2B4A752EA7F}" uniqueName="56" name="债券类型" queryTableFieldId="56" dataDxfId="184"/>
    <tableColumn id="55" xr3:uid="{40CC185A-EE88-4DE1-8A90-03B8F737740F}" uniqueName="55" name="交易状态" queryTableFieldId="55" dataDxfId="183"/>
    <tableColumn id="54" xr3:uid="{D1474CED-58C4-4A46-81D9-D99210D02234}" uniqueName="54" name="利率类型" queryTableFieldId="54" dataDxfId="182"/>
    <tableColumn id="53" xr3:uid="{74446647-F415-46DC-A41C-CE06D819E843}" uniqueName="53" name="是否存单" queryTableFieldId="53" dataDxfId="181"/>
    <tableColumn id="52" xr3:uid="{A98F2AA1-AD8E-4BE7-8B74-C3458DC2EC64}" uniqueName="52" name="是否永续债" queryTableFieldId="52" dataDxfId="180"/>
    <tableColumn id="68" xr3:uid="{DDA77D44-FA04-425D-9DA1-4DAB31A61BB6}" uniqueName="68" name="联席账簿管理人" queryTableFieldId="68" dataDxfId="179"/>
    <tableColumn id="51" xr3:uid="{E59ECFC4-F0C9-41B1-9733-1AEB70C7437B}" uniqueName="51" name="牵头经办人" queryTableFieldId="51" dataDxfId="178"/>
    <tableColumn id="50" xr3:uid="{2215B6A7-05C9-4C6B-8AE1-E60AE330BE07}" uniqueName="50" name="特殊条款说明" queryTableFieldId="50" dataDxfId="177"/>
    <tableColumn id="49" xr3:uid="{1682CF98-DB54-47C3-8A44-144BB70D0821}" uniqueName="49" name="上市日期" queryTableFieldId="49" dataDxfId="176"/>
    <tableColumn id="67" xr3:uid="{AD599695-8522-46E7-B118-DE2179D8EA71}" uniqueName="67" name="定价_DMI" queryTableFieldId="67" dataDxfId="175"/>
    <tableColumn id="48" xr3:uid="{E3D34E72-CB63-4E18-AED9-A3EC74CFDD3C}" uniqueName="48" name="发行起始日" queryTableFieldId="48" dataDxfId="174"/>
    <tableColumn id="47" xr3:uid="{17C9AFD4-5642-48EA-8D06-494AAC11A915}" uniqueName="47" name="担保人" queryTableFieldId="47" dataDxfId="173"/>
    <tableColumn id="46" xr3:uid="{20F5098B-FF11-4DA0-A626-7DF045DB0FB3}" uniqueName="46" name="发行人" queryTableFieldId="46" dataDxfId="172"/>
    <tableColumn id="45" xr3:uid="{1C61FECB-9E8B-4B0A-A577-E0EADEE6ACB0}" uniqueName="45" name="首次付息日" queryTableFieldId="45" dataDxfId="171"/>
    <tableColumn id="44" xr3:uid="{0E120977-4EC2-4818-BC4D-6CCE5264355E}" uniqueName="44" name="计息基准" queryTableFieldId="44" dataDxfId="170"/>
    <tableColumn id="43" xr3:uid="{7A00E475-6904-4819-BC88-02B7AD3D67B7}" uniqueName="43" name="最新票面利率" queryTableFieldId="43" dataDxfId="169"/>
    <tableColumn id="42" xr3:uid="{2E685F7F-FFBA-484A-A377-6390F6A585BE}" uniqueName="42" name="行权兑付日" queryTableFieldId="42" dataDxfId="168"/>
    <tableColumn id="41" xr3:uid="{4BFB0F89-8CA1-4D0F-9EB3-325F7C449AB2}" uniqueName="41" name="起息日期" queryTableFieldId="41" dataDxfId="167"/>
    <tableColumn id="40" xr3:uid="{4EE46BC2-E1CF-462A-A03E-DF0563BE31D9}" uniqueName="40" name="债券余额" queryTableFieldId="40" dataDxfId="166"/>
    <tableColumn id="39" xr3:uid="{72AA5BB3-7E54-4DE0-9CE8-13DDE5A6A94C}" uniqueName="39" name="债券最新面值" queryTableFieldId="39" dataDxfId="165"/>
    <tableColumn id="38" xr3:uid="{975ADB86-B00A-4806-9500-96E93B0E8E67}" uniqueName="38" name="ticker" queryTableFieldId="38" dataDxfId="164"/>
    <tableColumn id="66" xr3:uid="{CC4128EA-9B08-4BCD-B35C-71CF4AAFA24C}" uniqueName="66" name="筹款用途" queryTableFieldId="66" dataDxfId="163"/>
    <tableColumn id="65" xr3:uid="{E7174B24-DE40-43F6-8633-438CBA936C58}" uniqueName="65" name="投资者分布" queryTableFieldId="65" dataDxfId="162"/>
    <tableColumn id="64" xr3:uid="{EAE71064-4CB1-4B07-944E-84D6F3C49081}" uniqueName="64" name="投资者类型" queryTableFieldId="64" dataDxfId="161"/>
    <tableColumn id="63" xr3:uid="{EE264CCC-DCFC-4688-9A0B-4A404F87045B}" uniqueName="63" name="投资者账户数" queryTableFieldId="63" dataDxfId="160"/>
    <tableColumn id="11" xr3:uid="{A0E133D3-082C-430A-8830-87B8C99C392A}" uniqueName="11" name="评级类型" queryTableFieldId="11" dataDxfId="159"/>
    <tableColumn id="2" xr3:uid="{D2679A15-B28C-4B9B-90D8-85DA1F060224}" uniqueName="2" name="公司类型" queryTableFieldId="2" dataDxfId="158"/>
    <tableColumn id="62" xr3:uid="{788704BA-E54A-4436-9FC7-E5EEF473C596}" uniqueName="62" name="剩余期限" queryTableFieldId="62" dataDxfId="157"/>
    <tableColumn id="3" xr3:uid="{0D6292F2-14C6-4D00-9C2B-D4771C6FCBEB}" uniqueName="3" name="行业" queryTableFieldId="3" dataDxfId="156"/>
    <tableColumn id="17" xr3:uid="{EAB58105-9561-4364-BE64-FA9715A8F45D}" uniqueName="17" name="境内主体评级" queryTableFieldId="17" dataDxfId="155"/>
    <tableColumn id="16" xr3:uid="{31CB77BA-C75C-4904-BE05-EA3D31CB0E8E}" uniqueName="16" name="债项初始评级" queryTableFieldId="16" dataDxfId="154"/>
    <tableColumn id="10" xr3:uid="{43CE6995-65BA-4391-BADA-3C1BCBA73A55}" uniqueName="10" name="主题债券" queryTableFieldId="10" dataDxfId="153"/>
    <tableColumn id="4" xr3:uid="{F2F32A9C-87BC-497A-A806-ABCC694FD9DD}" uniqueName="4" name="细分行业" queryTableFieldId="4" dataDxfId="152"/>
    <tableColumn id="23" xr3:uid="{50116619-6391-40C5-AAE1-F0D778876139}" uniqueName="23" name="发行方式" queryTableFieldId="23" dataDxfId="151"/>
    <tableColumn id="37" xr3:uid="{678B1454-0186-4392-9084-8A4631663D07}" uniqueName="37" name="联席全球协调人" queryTableFieldId="37" dataDxfId="150"/>
    <tableColumn id="36" xr3:uid="{7E161805-3582-4E8B-AD1E-8D44C6578511}" uniqueName="36" name="基金占比" queryTableFieldId="36" dataDxfId="149"/>
    <tableColumn id="35" xr3:uid="{3B7B9C0D-05D5-4554-9DD5-4648FC9FD35A}" uniqueName="35" name="亚洲占比" queryTableFieldId="35" dataDxfId="148"/>
    <tableColumn id="34" xr3:uid="{79315342-FB4B-48FA-9D0E-BB5182F1342A}" uniqueName="34" name="认购倍数" queryTableFieldId="34" dataDxfId="147"/>
    <tableColumn id="33" xr3:uid="{072BF78A-2040-4CCF-95BA-462ACF02A26B}" uniqueName="33" name="认购额(亿)" queryTableFieldId="33" dataDxfId="146"/>
    <tableColumn id="7" xr3:uid="{015C4268-F544-4F8B-A375-27371977DA3A}" uniqueName="7" name="区县" queryTableFieldId="7" dataDxfId="145"/>
    <tableColumn id="6" xr3:uid="{851B0F66-A6A0-4EE3-AEC3-02593C4D8B13}" uniqueName="6" name="城市" queryTableFieldId="6" dataDxfId="144"/>
    <tableColumn id="5" xr3:uid="{FFD49085-9527-4367-B0C2-2E8443581C7C}" uniqueName="5" name="省份" queryTableFieldId="5" dataDxfId="143"/>
    <tableColumn id="32" xr3:uid="{A6056AD5-48AD-4001-A74C-ECA77FC26CB2}" uniqueName="32" name="首日涨跌" queryTableFieldId="32" dataDxfId="142"/>
    <tableColumn id="30" xr3:uid="{6BA1C82B-55CF-4344-AFEE-FD6746AB9A6C}" uniqueName="30" name="发行价" queryTableFieldId="30" dataDxfId="141"/>
    <tableColumn id="26" xr3:uid="{C94A4441-8480-4C30-99DA-F2FF91A5E801}" uniqueName="26" name="偿还顺位" queryTableFieldId="26" dataDxfId="140"/>
    <tableColumn id="25" xr3:uid="{89B2DB1E-4CFE-4140-9A07-0F1E43F6C9AC}" uniqueName="25" name="SBLC提供者" queryTableFieldId="25" dataDxfId="139"/>
    <tableColumn id="69" xr3:uid="{66B79F56-B661-4ED8-8D3C-3F444AAC1C7D}" uniqueName="69" name="发行架构" queryTableFieldId="78" dataDxfId="138"/>
    <tableColumn id="71" xr3:uid="{E14716B4-D6D5-436D-BD61-6C2392A1635D}" uniqueName="71" name="发行规则" queryTableFieldId="484" dataDxfId="137"/>
    <tableColumn id="22" xr3:uid="{82FAF641-AB3E-4935-B71A-3C539F35361C}" uniqueName="22" name="收窄幅度(bp)" queryTableFieldId="22" dataDxfId="136"/>
    <tableColumn id="21" xr3:uid="{536CD873-CE57-4DE2-A54F-18E33D004325}" uniqueName="21" name="FPG_DMI" queryTableFieldId="21" dataDxfId="135"/>
    <tableColumn id="20" xr3:uid="{140F0A6F-50E8-4D1A-8A9F-8D00CEE04850}" uniqueName="20" name="IPT_DMI" queryTableFieldId="20" dataDxfId="134"/>
    <tableColumn id="31" xr3:uid="{9394B226-D977-440D-BBB4-696AAAD92014}" uniqueName="31" name="发行场所" queryTableFieldId="31" dataDxfId="133"/>
    <tableColumn id="19" xr3:uid="{4C2677D7-B95D-4CBD-97D0-A324C689DECD}" uniqueName="19" name="兑付日" queryTableFieldId="19" dataDxfId="132"/>
    <tableColumn id="18" xr3:uid="{35998095-7833-40E5-863C-D415A0A936DB}" uniqueName="18" name="票息_DMI" queryTableFieldId="504" dataDxfId="131"/>
    <tableColumn id="28" xr3:uid="{E7406E52-8977-4808-A788-298B36157479}" uniqueName="28" name="货币" queryTableFieldId="28" dataDxfId="130"/>
    <tableColumn id="29" xr3:uid="{697EF4DB-C377-4637-A8D4-B512822D8F0E}" uniqueName="29" name="发行期限(年)" queryTableFieldId="29" dataDxfId="129"/>
    <tableColumn id="27" xr3:uid="{00C79F5A-7701-4B0D-8C7E-8C5F683178C5}" uniqueName="27" name="发行规模(亿)" queryTableFieldId="27" dataDxfId="128"/>
    <tableColumn id="15" xr3:uid="{32ECF4B7-EF13-4935-98C6-7E853C1916B9}" uniqueName="15" name="债项评级" queryTableFieldId="15" dataDxfId="127"/>
    <tableColumn id="14" xr3:uid="{D0CD7E0A-5738-4057-9BC0-77E832B4C25E}" uniqueName="14" name="主体评级展望" queryTableFieldId="14" dataDxfId="126"/>
    <tableColumn id="13" xr3:uid="{5E4165C1-E3B4-48D3-8D3A-10EB35D470E0}" uniqueName="13" name="穆迪/标普" queryTableFieldId="13" dataDxfId="125"/>
    <tableColumn id="8" xr3:uid="{5ABB02D5-4AA9-47AD-B0BA-BE18B2B3C4DE}" uniqueName="8" name="债券简称" queryTableFieldId="8" dataDxfId="124"/>
    <tableColumn id="73" xr3:uid="{D45A8B32-650E-4461-9DBC-CC40BC94C9C7}" uniqueName="73" name="DataSource" queryTableFieldId="510" dataDxfId="123"/>
    <tableColumn id="60" xr3:uid="{92CFA544-119D-46AF-AD53-05E6F7709CB5}" uniqueName="60" name="地区" queryTableFieldId="60" dataDxfId="122"/>
    <tableColumn id="70" xr3:uid="{FDFE2857-9DAD-4B41-AF70-A4DBA7B07557}" uniqueName="70" name="违约日期" queryTableFieldId="482" dataDxfId="121"/>
    <tableColumn id="61" xr3:uid="{EFAB649D-F0FE-4812-A2D5-2D3BCB496CCA}" uniqueName="61" name="Check" queryTableFieldId="61" dataDxfId="120"/>
  </tableColumns>
  <tableStyleInfo name="review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Z17" tableType="queryTable" totalsRowShown="0">
  <autoFilter ref="A5:Z17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9" hiddenButton="1"/>
    <filterColumn colId="25" hiddenButton="1"/>
  </autoFilter>
  <tableColumns count="26">
    <tableColumn id="2" xr3:uid="{C3F732B3-45FA-4844-A166-E4D90A2FF4A7}" uniqueName="2" name="定价日" queryTableFieldId="2" dataDxfId="119"/>
    <tableColumn id="3" xr3:uid="{693984F3-D10B-45D9-B70A-607684C923C4}" uniqueName="3" name="ISIN" queryTableFieldId="3" dataDxfId="118"/>
    <tableColumn id="14" xr3:uid="{1FE375EE-64D4-41E4-9AB6-C8F32DFC2099}" uniqueName="14" name="信用主体" queryTableFieldId="19" dataDxfId="117"/>
    <tableColumn id="4" xr3:uid="{B82F24B2-2DE7-431E-BEF8-F7696535CFF8}" uniqueName="4" name="补充OMAS updates" queryTableFieldId="4" dataDxfId="116"/>
    <tableColumn id="5" xr3:uid="{51954C56-B4CD-447B-A9B9-324865237CD6}" uniqueName="5" name="发行评级" queryTableFieldId="5" dataDxfId="115"/>
    <tableColumn id="6" xr3:uid="{F3B3399A-2327-479E-AE8C-3E6E4743B816}" uniqueName="6" name="注册成立地" queryTableFieldId="47" dataDxfId="114"/>
    <tableColumn id="13" xr3:uid="{369EC4CC-5DB7-4BCD-99FE-A3F32004470B}" uniqueName="13" name="发行人主上市地" queryTableFieldId="15" dataDxfId="113"/>
    <tableColumn id="7" xr3:uid="{A5B0308D-B1F8-4208-A561-DF94E20F0BAA}" uniqueName="7" name="主体评级" queryTableFieldId="7" dataDxfId="112"/>
    <tableColumn id="8" xr3:uid="{8DD9D5B0-06FC-4925-B90A-757DFCE21989}" uniqueName="8" name="定价息差" queryTableFieldId="8" dataDxfId="111"/>
    <tableColumn id="9" xr3:uid="{6E3DDE2C-C376-4E7A-80DB-DA717BE2BC0D}" uniqueName="9" name="浮息息差" queryTableFieldId="9" dataDxfId="110"/>
    <tableColumn id="11" xr3:uid="{CD0F207D-A77A-41A9-A460-AA965E39B103}" uniqueName="11" name="计息基准" queryTableFieldId="43" dataDxfId="109"/>
    <tableColumn id="16" xr3:uid="{3E06751F-A27C-4B1E-BD59-92656265A7A9}" uniqueName="16" name="发行人" queryTableFieldId="21" dataDxfId="108"/>
    <tableColumn id="17" xr3:uid="{EFF30CDB-A88C-42BD-A514-B174CC57CC5D}" uniqueName="17" name="担保人" queryTableFieldId="22" dataDxfId="107"/>
    <tableColumn id="18" xr3:uid="{96D1A663-CCB3-44A9-846A-F39B3CA437D8}" uniqueName="18" name="维好协议提供者" queryTableFieldId="23" dataDxfId="106"/>
    <tableColumn id="19" xr3:uid="{87375B86-F24A-452E-B65A-E8B35EB9352A}" uniqueName="19" name="起息日期" queryTableFieldId="24" dataDxfId="105"/>
    <tableColumn id="20" xr3:uid="{8859C58B-3298-479E-A954-938769580176}" uniqueName="20" name="兑付日" queryTableFieldId="25" dataDxfId="104"/>
    <tableColumn id="21" xr3:uid="{0C5CEC34-E95E-4857-8A41-8F7F44631569}" uniqueName="21" name="行权兑付日" queryTableFieldId="26" dataDxfId="103"/>
    <tableColumn id="22" xr3:uid="{A4BE284D-5EF5-47BE-9E18-C5BC347BCC1C}" uniqueName="22" name="票息" queryTableFieldId="27" dataDxfId="102"/>
    <tableColumn id="23" xr3:uid="{B383C507-7740-4FD0-94F7-85A9318DF079}" uniqueName="23" name="货币" queryTableFieldId="28" dataDxfId="101"/>
    <tableColumn id="12" xr3:uid="{C7D9CBDA-E35B-4CC8-9FC8-C46FCB1F0E78}" uniqueName="12" name="发行价" queryTableFieldId="44" dataDxfId="100"/>
    <tableColumn id="24" xr3:uid="{6905DCD5-D9B9-4451-9777-0DA3B8755041}" uniqueName="24" name="发行规模(亿)" queryTableFieldId="29" dataDxfId="99"/>
    <tableColumn id="15" xr3:uid="{A3009FFD-D392-4D2E-999F-4A08797D61D0}" uniqueName="15" name="Parent company tiker" queryTableFieldId="67" dataDxfId="98"/>
    <tableColumn id="25" xr3:uid="{8E0E31D6-684B-4875-B983-55FCAD60BB9C}" uniqueName="25" name="Parent Company 评级" queryTableFieldId="68" dataDxfId="97"/>
    <tableColumn id="26" xr3:uid="{B558812A-2D69-4950-8CF3-0BF0A5AF3CCD}" uniqueName="26" name="ESG indicator" queryTableFieldId="69" dataDxfId="96"/>
    <tableColumn id="27" xr3:uid="{F19F81BA-560D-4692-B47F-594F854C66E2}" uniqueName="27" name="KPW 评级" queryTableFieldId="70" dataDxfId="95"/>
    <tableColumn id="10" xr3:uid="{FB6745CE-81E9-4406-ACE4-86067C25D3F3}" uniqueName="10" name="Check" queryTableFieldId="10" dataDxfId="94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84" tableType="queryTable" totalsRowShown="0">
  <autoFilter ref="A5:H84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3" tableType="queryTable" totalsRowShown="0">
  <autoFilter ref="A4:AY13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 dataDxfId="47"/>
    <tableColumn id="50" xr3:uid="{56AFA799-4BDB-4EF4-B64C-858A5DD46BD4}" uniqueName="50" name="删除及隐藏" queryTableFieldId="70"/>
    <tableColumn id="2" xr3:uid="{E4F1AA1A-4561-4DCC-BD36-6E0C0BF9681D}" uniqueName="2" name="信用主体" queryTableFieldId="2"/>
    <tableColumn id="3" xr3:uid="{BCA724F0-8962-4CF8-9F27-DFAB5A7EE57F}" uniqueName="3" name="ISIN" queryTableFieldId="3" dataDxfId="46"/>
    <tableColumn id="4" xr3:uid="{7B86C8AE-E7F7-4B8E-A455-4336C7F9D6D4}" uniqueName="4" name="定价日" queryTableFieldId="4" dataDxfId="45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 dataDxfId="44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 dataDxfId="43"/>
    <tableColumn id="16" xr3:uid="{2A30FA30-EA68-445A-B3B2-07A216AE817C}" uniqueName="16" name="定价基准" queryTableFieldId="16"/>
    <tableColumn id="18" xr3:uid="{68B928C8-F110-4275-943D-B563184CF448}" uniqueName="18" name="发行价" queryTableFieldId="39" dataDxfId="42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 dataDxfId="41"/>
    <tableColumn id="39" xr3:uid="{63B90420-8840-4507-9FE7-AEEA98D3C1EA}" uniqueName="39" name="首次付息日" queryTableFieldId="42" dataDxfId="40"/>
    <tableColumn id="40" xr3:uid="{BD1F8AC9-D7AC-4D02-8E73-E640E429EA37}" uniqueName="40" name="兑付日" queryTableFieldId="43" dataDxfId="39"/>
    <tableColumn id="23" xr3:uid="{32278D46-AAFB-46AC-B876-F0B2F5B3D38C}" uniqueName="23" name="亿美元" queryTableFieldId="23" dataDxfId="38"/>
    <tableColumn id="24" xr3:uid="{1F885E33-0B82-4272-882B-8A2CC2097721}" uniqueName="24" name="亿元" queryTableFieldId="24" dataDxfId="37"/>
    <tableColumn id="25" xr3:uid="{636B29DB-50B6-49B5-9EE5-519500C5F4C5}" uniqueName="25" name="亿港币" queryTableFieldId="25" dataDxfId="36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6" xr3:uid="{8292EA6A-E652-4AD6-980B-A367229A037B}" uniqueName="46" name="发行人主上市地" queryTableFieldId="59"/>
    <tableColumn id="32" xr3:uid="{DF9610CA-17E8-4B49-910E-BA6EB58E92E6}" uniqueName="32" name="通过分行" queryTableFieldId="32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/>
    <tableColumn id="48" xr3:uid="{E1E50F04-1EEC-4969-9690-F77BC431406E}" uniqueName="48" name="筹款用途" queryTableFieldId="65"/>
    <tableColumn id="49" xr3:uid="{F1995DCC-88E7-4FCF-A524-C4324C258A84}" uniqueName="49" name="发行方式" queryTableFieldId="66"/>
    <tableColumn id="51" xr3:uid="{220C35B1-5CBF-43F8-8977-7181DB08812C}" uniqueName="51" name="DataSource" queryTableFieldId="7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35"/>
  </tableColumns>
  <tableStyleInfo name="Qry Load 3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Y7" tableType="queryTable" totalsRowShown="0">
  <autoFilter ref="A4:Y7" xr:uid="{00000000-0009-0000-0100-00001E000000}">
    <filterColumn colId="1" hiddenButton="1"/>
    <filterColumn colId="3" hiddenButton="1"/>
    <filterColumn colId="4" hiddenButton="1"/>
  </autoFilter>
  <tableColumns count="25">
    <tableColumn id="4" xr3:uid="{EFC2733F-AADA-40F5-9EA2-0CB6AE602BA4}" uniqueName="4" name="Index" queryTableFieldId="86"/>
    <tableColumn id="7" xr3:uid="{00000000-0010-0000-2100-000007000000}" uniqueName="7" name="信用主体" queryTableFieldId="7" dataDxfId="93"/>
    <tableColumn id="5" xr3:uid="{39F42849-71AA-4C63-8C36-A04353710DCF}" uniqueName="5" name="信用主体简称" queryTableFieldId="87" dataDxfId="92"/>
    <tableColumn id="2" xr3:uid="{2E2AEFE9-AB5E-4BE5-BAE0-A95DCF912FA9}" uniqueName="2" name="中资属性" queryTableFieldId="12" dataDxfId="91"/>
    <tableColumn id="3" xr3:uid="{B0A40063-19C6-436A-B9D7-8F869CBB7078}" uniqueName="3" name="板块" queryTableFieldId="22"/>
    <tableColumn id="1" xr3:uid="{A3FE5098-5042-4CE3-8327-1B2C8275A0F3}" uniqueName="1" name="板块二级" queryTableFieldId="106" dataDxfId="13"/>
    <tableColumn id="6" xr3:uid="{A3FFB4D1-2C70-408F-B817-4A36ABB7935C}" uniqueName="6" name="板块三级" queryTableFieldId="107" dataDxfId="12"/>
    <tableColumn id="8" xr3:uid="{28912943-CC6A-41E2-8E77-E2671E611E53}" uniqueName="8" name="板块标签" queryTableFieldId="108" dataDxfId="11"/>
    <tableColumn id="9" xr3:uid="{D0913078-9B10-4118-B419-DEE5380572EF}" uniqueName="9" name="地区" queryTableFieldId="90" dataDxfId="90"/>
    <tableColumn id="10" xr3:uid="{2C667E99-43AC-4257-AA03-6FE008167845}" uniqueName="10" name="城市" queryTableFieldId="91" dataDxfId="89"/>
    <tableColumn id="11" xr3:uid="{8049C5B0-2F5F-4FE0-BB0B-535F0DB21A56}" uniqueName="11" name="区县" queryTableFieldId="92" dataDxfId="88"/>
    <tableColumn id="12" xr3:uid="{59E26CDD-A61F-43E9-BE45-154834134967}" uniqueName="12" name="平台级别" queryTableFieldId="93" dataDxfId="87"/>
    <tableColumn id="13" xr3:uid="{99AFBFFD-DFF2-4B9D-B8BE-08F529C75A5C}" uniqueName="13" name="系" queryTableFieldId="94" dataDxfId="86"/>
    <tableColumn id="14" xr3:uid="{BA4EC7FE-7EED-41E7-AF59-55FB3EC71567}" uniqueName="14" name="首次违约日" queryTableFieldId="95" dataDxfId="10"/>
    <tableColumn id="15" xr3:uid="{D671119D-96FA-4266-A8AF-F4A410D3DF80}" uniqueName="15" name="DEBUT_DATE" queryTableFieldId="96" dataDxfId="9"/>
    <tableColumn id="16" xr3:uid="{686FFAAD-3135-4373-8248-C5FA94D0AE17}" uniqueName="16" name="曾用名" queryTableFieldId="97" dataDxfId="8"/>
    <tableColumn id="17" xr3:uid="{7CA37639-B4E2-4A84-B0A8-F1AB75C57B0E}" uniqueName="17" name="主体备注" queryTableFieldId="98" dataDxfId="85"/>
    <tableColumn id="18" xr3:uid="{47015928-8DEF-4D5E-BBAE-BDD62DB3E65F}" uniqueName="18" name="行业" queryTableFieldId="99" dataDxfId="84"/>
    <tableColumn id="20" xr3:uid="{C4A9FE20-F373-4ED9-8544-AF77CC9B37FD}" uniqueName="20" name="YY类型" queryTableFieldId="109" dataDxfId="7"/>
    <tableColumn id="19" xr3:uid="{4966E71E-7EA9-4C05-9DE7-097EFDD0F254}" uniqueName="19" name="上市类型" queryTableFieldId="100" dataDxfId="83"/>
    <tableColumn id="23" xr3:uid="{53166FFB-6B7A-416F-96E8-0F4F0F14D06E}" uniqueName="23" name="IS_ISSUER" queryTableFieldId="110" dataDxfId="6"/>
    <tableColumn id="24" xr3:uid="{AB0BAD17-0A7B-43BD-9852-AD7C1AE5FB87}" uniqueName="24" name="IS_SBLC" queryTableFieldId="111" dataDxfId="5"/>
    <tableColumn id="25" xr3:uid="{0A4D22E4-BFBF-4057-8B2C-402C0B4D9CA3}" uniqueName="25" name="IS_CLIENT" queryTableFieldId="112" dataDxfId="4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review 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T7" tableType="queryTable" totalsRowShown="0">
  <autoFilter ref="A5:T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7" hiddenButton="1"/>
  </autoFilter>
  <tableColumns count="20">
    <tableColumn id="6" xr3:uid="{3411C0CF-976A-4264-975A-7FF83ECA3A4F}" uniqueName="6" name="Index" queryTableFieldId="33" dataDxfId="82"/>
    <tableColumn id="2" xr3:uid="{00000000-0010-0000-1F00-000002000000}" uniqueName="2" name="ISIN" queryTableFieldId="2" dataDxfId="81"/>
    <tableColumn id="3" xr3:uid="{00000000-0010-0000-1F00-000003000000}" uniqueName="3" name="定价日" queryTableFieldId="3" dataDxfId="0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 dataDxfId="80"/>
    <tableColumn id="13" xr3:uid="{46C7532C-3BEE-4236-939A-E9519058A4F0}" uniqueName="13" name="多币种" queryTableFieldId="35" dataDxfId="79"/>
    <tableColumn id="16" xr3:uid="{A77870FD-F6DE-4CA1-B614-9C21258B5A9A}" uniqueName="16" name="多品种" queryTableFieldId="36" dataDxfId="78"/>
    <tableColumn id="19" xr3:uid="{8A102DD9-0B8C-4F97-BA55-9B01A84C6980}" uniqueName="19" name="FolderPath" queryTableFieldId="58"/>
    <tableColumn id="1" xr3:uid="{00000000-0010-0000-1F00-000001000000}" uniqueName="1" name="Check" queryTableFieldId="1" dataDxfId="77"/>
    <tableColumn id="17" xr3:uid="{9E2825BA-C5C6-41D3-8AB9-1E787BE55C19}" uniqueName="17" name="PRJ对账号" queryTableFieldId="56"/>
    <tableColumn id="20" xr3:uid="{7B5C9B63-DFEA-440E-B1DF-2FEC37B653E1}" uniqueName="20" name="Timestamp" queryTableFieldId="5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8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0" Type="http://schemas.openxmlformats.org/officeDocument/2006/relationships/table" Target="../tables/table3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2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234473"/>
  </sheetPr>
  <dimension ref="A1:R136"/>
  <sheetViews>
    <sheetView topLeftCell="B92" zoomScale="115" zoomScaleNormal="115" workbookViewId="0">
      <selection activeCell="L114" sqref="L114"/>
    </sheetView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3320312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7.886718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hidden="1" customHeight="1" outlineLevel="1" x14ac:dyDescent="0.25">
      <c r="A1" s="42" t="str">
        <f ca="1" xml:space="preserve"> IF(ISNUMBER(FIND("ktkt2",CELL("filename"))),"Remote",IF(ISNUMBER(FIND("docs.live",CELL("filename"))),"Remote","Global"))</f>
        <v>Global</v>
      </c>
      <c r="B1" s="160" t="str">
        <f ca="1">CELL("filename")</f>
        <v>\\10.10.1.215\dcm$\Team Folder\Execution Team\Weekly AM\20231009\Data\[2.Dynamic List Generator.xlsm]wBISL</v>
      </c>
      <c r="C1" s="10"/>
    </row>
    <row r="2" spans="1:18" ht="18" customHeight="1" collapsed="1" x14ac:dyDescent="0.25">
      <c r="B2" s="10"/>
      <c r="C2" s="10"/>
    </row>
    <row r="3" spans="1:18" ht="18" customHeight="1" x14ac:dyDescent="0.25">
      <c r="B3" s="10"/>
      <c r="C3" s="10"/>
    </row>
    <row r="4" spans="1:18" ht="18" customHeight="1" x14ac:dyDescent="0.25">
      <c r="B4" s="10"/>
      <c r="C4" s="97" t="s">
        <v>413</v>
      </c>
      <c r="E4" s="97" t="s">
        <v>414</v>
      </c>
      <c r="F4" s="97"/>
      <c r="H4" s="97" t="s">
        <v>401</v>
      </c>
      <c r="L4" s="97" t="s">
        <v>441</v>
      </c>
      <c r="O4" s="97" t="s">
        <v>442</v>
      </c>
      <c r="P4" s="97"/>
      <c r="Q4" s="97" t="s">
        <v>439</v>
      </c>
    </row>
    <row r="5" spans="1:18" ht="18" customHeight="1" x14ac:dyDescent="0.25">
      <c r="A5" s="8"/>
      <c r="C5" s="16"/>
      <c r="D5" s="17"/>
      <c r="H5" s="17"/>
    </row>
    <row r="6" spans="1:18" ht="15" x14ac:dyDescent="0.25">
      <c r="C6" s="95" t="s">
        <v>89</v>
      </c>
      <c r="D6" s="16"/>
      <c r="E6" s="99" t="s">
        <v>411</v>
      </c>
      <c r="F6" s="34" t="s">
        <v>412</v>
      </c>
      <c r="H6" s="34" t="s">
        <v>171</v>
      </c>
      <c r="I6" t="s">
        <v>279</v>
      </c>
      <c r="L6" t="s">
        <v>443</v>
      </c>
      <c r="M6" t="s">
        <v>444</v>
      </c>
      <c r="N6" s="1"/>
      <c r="O6" s="34" t="s">
        <v>440</v>
      </c>
      <c r="P6" s="117"/>
      <c r="Q6" s="34" t="s">
        <v>438</v>
      </c>
      <c r="R6" s="34" t="s">
        <v>315</v>
      </c>
    </row>
    <row r="7" spans="1:18" ht="15" x14ac:dyDescent="0.25">
      <c r="A7" s="9"/>
      <c r="C7" s="95" t="s">
        <v>12</v>
      </c>
      <c r="D7" s="16"/>
      <c r="E7" s="99" t="s">
        <v>238</v>
      </c>
      <c r="F7" s="34" t="s">
        <v>405</v>
      </c>
      <c r="H7" s="34" t="s">
        <v>0</v>
      </c>
      <c r="I7" t="s">
        <v>287</v>
      </c>
      <c r="L7" t="s">
        <v>94</v>
      </c>
      <c r="M7" t="s">
        <v>445</v>
      </c>
      <c r="N7" s="1"/>
      <c r="O7" t="s">
        <v>86</v>
      </c>
      <c r="P7" s="1"/>
      <c r="Q7" t="s">
        <v>120</v>
      </c>
      <c r="R7" t="str">
        <f>DMIRenamed[[#This Row],[DMIRenamed]]&amp;"_DMI"</f>
        <v>票息_DMI</v>
      </c>
    </row>
    <row r="8" spans="1:18" ht="15" x14ac:dyDescent="0.25">
      <c r="C8" s="95" t="s">
        <v>28</v>
      </c>
      <c r="D8" s="16"/>
      <c r="E8" s="99" t="s">
        <v>239</v>
      </c>
      <c r="F8" s="34" t="s">
        <v>407</v>
      </c>
      <c r="H8" s="34" t="s">
        <v>4</v>
      </c>
      <c r="I8" t="s">
        <v>280</v>
      </c>
      <c r="L8" t="s">
        <v>244</v>
      </c>
      <c r="M8" t="s">
        <v>449</v>
      </c>
      <c r="N8" s="1"/>
      <c r="O8" t="s">
        <v>451</v>
      </c>
      <c r="P8" s="1"/>
      <c r="Q8" t="s">
        <v>322</v>
      </c>
      <c r="R8" t="str">
        <f>DMIRenamed[[#This Row],[DMIRenamed]]&amp;"_DMI"</f>
        <v>IPT_DMI</v>
      </c>
    </row>
    <row r="9" spans="1:18" ht="15" x14ac:dyDescent="0.25">
      <c r="A9" s="14"/>
      <c r="C9" s="95" t="s">
        <v>33</v>
      </c>
      <c r="D9" s="16"/>
      <c r="E9" s="99" t="s">
        <v>240</v>
      </c>
      <c r="F9" s="34" t="s">
        <v>406</v>
      </c>
      <c r="H9" s="34" t="s">
        <v>5</v>
      </c>
      <c r="I9" t="s">
        <v>281</v>
      </c>
      <c r="L9" t="s">
        <v>48</v>
      </c>
      <c r="M9" t="s">
        <v>445</v>
      </c>
      <c r="N9" s="1"/>
      <c r="O9" t="s">
        <v>94</v>
      </c>
      <c r="P9" s="1"/>
      <c r="Q9" t="s">
        <v>53</v>
      </c>
      <c r="R9" t="str">
        <f>DMIRenamed[[#This Row],[DMIRenamed]]&amp;"_DMI"</f>
        <v>FPG_DMI</v>
      </c>
    </row>
    <row r="10" spans="1:18" ht="15" x14ac:dyDescent="0.25">
      <c r="C10" s="95" t="s">
        <v>29</v>
      </c>
      <c r="D10" s="16"/>
      <c r="E10" s="99" t="s">
        <v>408</v>
      </c>
      <c r="F10" s="98"/>
      <c r="H10" s="34" t="s">
        <v>6</v>
      </c>
      <c r="I10" t="s">
        <v>282</v>
      </c>
      <c r="L10" t="s">
        <v>49</v>
      </c>
      <c r="M10" t="s">
        <v>445</v>
      </c>
      <c r="N10" s="1"/>
      <c r="O10" t="s">
        <v>48</v>
      </c>
      <c r="P10" s="1"/>
      <c r="Q10" t="s">
        <v>153</v>
      </c>
      <c r="R10" t="str">
        <f>DMIRenamed[[#This Row],[DMIRenamed]]&amp;"_DMI"</f>
        <v>定价_DMI</v>
      </c>
    </row>
    <row r="11" spans="1:18" ht="15" x14ac:dyDescent="0.25">
      <c r="A11" s="11"/>
      <c r="C11" s="95" t="s">
        <v>34</v>
      </c>
      <c r="E11" s="99" t="s">
        <v>409</v>
      </c>
      <c r="F11" s="34"/>
      <c r="H11" s="34" t="s">
        <v>236</v>
      </c>
      <c r="I11" t="s">
        <v>283</v>
      </c>
      <c r="L11" t="s">
        <v>336</v>
      </c>
      <c r="M11" t="s">
        <v>447</v>
      </c>
      <c r="N11" s="1"/>
      <c r="O11" t="s">
        <v>49</v>
      </c>
      <c r="P11" s="1"/>
    </row>
    <row r="12" spans="1:18" ht="15" x14ac:dyDescent="0.25">
      <c r="C12" s="95" t="s">
        <v>9</v>
      </c>
      <c r="E12" s="105" t="s">
        <v>7</v>
      </c>
      <c r="F12" s="105" t="s">
        <v>7</v>
      </c>
      <c r="L12" t="s">
        <v>81</v>
      </c>
      <c r="M12" t="s">
        <v>445</v>
      </c>
      <c r="N12" s="1"/>
      <c r="O12" t="s">
        <v>136</v>
      </c>
      <c r="P12" s="1"/>
    </row>
    <row r="13" spans="1:18" ht="15" x14ac:dyDescent="0.25">
      <c r="A13" s="12"/>
      <c r="C13" s="95" t="s">
        <v>30</v>
      </c>
      <c r="F13" s="100"/>
      <c r="L13" t="s">
        <v>82</v>
      </c>
      <c r="M13" t="s">
        <v>445</v>
      </c>
      <c r="N13" s="1"/>
      <c r="O13" t="s">
        <v>179</v>
      </c>
      <c r="P13" s="1"/>
    </row>
    <row r="14" spans="1:18" ht="15" x14ac:dyDescent="0.25">
      <c r="C14" s="95" t="s">
        <v>32</v>
      </c>
      <c r="E14" s="46" t="s">
        <v>93</v>
      </c>
      <c r="F14" s="100"/>
      <c r="H14" s="34" t="s">
        <v>207</v>
      </c>
      <c r="I14" t="s">
        <v>285</v>
      </c>
      <c r="L14" t="s">
        <v>105</v>
      </c>
      <c r="M14" t="s">
        <v>449</v>
      </c>
      <c r="N14" s="1"/>
      <c r="O14" t="s">
        <v>51</v>
      </c>
      <c r="P14" s="1"/>
    </row>
    <row r="15" spans="1:18" ht="15" x14ac:dyDescent="0.25">
      <c r="A15" s="15"/>
      <c r="C15" s="95" t="s">
        <v>13</v>
      </c>
      <c r="E15" s="46" t="s">
        <v>134</v>
      </c>
      <c r="F15" s="101"/>
      <c r="H15" s="150" t="s">
        <v>196</v>
      </c>
      <c r="I15">
        <v>1</v>
      </c>
      <c r="L15" t="s">
        <v>47</v>
      </c>
      <c r="M15" t="s">
        <v>448</v>
      </c>
      <c r="N15" s="1"/>
      <c r="O15" t="s">
        <v>64</v>
      </c>
      <c r="P15" s="1"/>
    </row>
    <row r="16" spans="1:18" ht="15" x14ac:dyDescent="0.25">
      <c r="C16" s="95" t="s">
        <v>17</v>
      </c>
      <c r="E16" s="46" t="s">
        <v>135</v>
      </c>
      <c r="F16" s="101"/>
      <c r="H16" s="150" t="s">
        <v>197</v>
      </c>
      <c r="I16">
        <v>2</v>
      </c>
      <c r="L16" t="s">
        <v>80</v>
      </c>
      <c r="M16" t="s">
        <v>448</v>
      </c>
      <c r="N16" s="1"/>
      <c r="O16" t="s">
        <v>57</v>
      </c>
      <c r="P16" s="1"/>
    </row>
    <row r="17" spans="1:16" ht="15" x14ac:dyDescent="0.25">
      <c r="A17" s="13"/>
      <c r="C17" s="95" t="s">
        <v>8</v>
      </c>
      <c r="E17" s="46" t="s">
        <v>116</v>
      </c>
      <c r="F17" s="100"/>
      <c r="H17" s="150" t="s">
        <v>198</v>
      </c>
      <c r="I17">
        <v>3</v>
      </c>
      <c r="L17" t="s">
        <v>79</v>
      </c>
      <c r="M17" t="s">
        <v>449</v>
      </c>
      <c r="N17" s="1"/>
      <c r="O17" t="s">
        <v>87</v>
      </c>
      <c r="P17" s="1"/>
    </row>
    <row r="18" spans="1:16" ht="15" x14ac:dyDescent="0.25">
      <c r="C18" s="95" t="s">
        <v>22</v>
      </c>
      <c r="F18" s="100"/>
      <c r="H18" s="150" t="s">
        <v>199</v>
      </c>
      <c r="I18">
        <v>4</v>
      </c>
      <c r="L18" t="s">
        <v>78</v>
      </c>
      <c r="M18" t="s">
        <v>448</v>
      </c>
      <c r="N18" s="1"/>
      <c r="O18" t="s">
        <v>120</v>
      </c>
      <c r="P18" s="1"/>
    </row>
    <row r="19" spans="1:16" ht="15" x14ac:dyDescent="0.25">
      <c r="A19" s="14"/>
      <c r="C19" s="95" t="s">
        <v>16</v>
      </c>
      <c r="E19" s="47" t="s">
        <v>43</v>
      </c>
      <c r="H19" s="150" t="s">
        <v>2</v>
      </c>
      <c r="I19">
        <v>5</v>
      </c>
      <c r="L19" t="s">
        <v>77</v>
      </c>
      <c r="M19" t="s">
        <v>449</v>
      </c>
      <c r="N19" s="1"/>
      <c r="O19" t="s">
        <v>88</v>
      </c>
      <c r="P19" s="1"/>
    </row>
    <row r="20" spans="1:16" ht="15" x14ac:dyDescent="0.25">
      <c r="C20" s="95" t="s">
        <v>20</v>
      </c>
      <c r="E20" s="47" t="s">
        <v>1</v>
      </c>
      <c r="F20" s="102"/>
      <c r="H20" s="150" t="s">
        <v>200</v>
      </c>
      <c r="I20">
        <v>6</v>
      </c>
      <c r="L20" t="s">
        <v>98</v>
      </c>
      <c r="M20" t="s">
        <v>448</v>
      </c>
      <c r="N20" s="1"/>
      <c r="O20" t="s">
        <v>53</v>
      </c>
      <c r="P20" s="1"/>
    </row>
    <row r="21" spans="1:16" ht="15" x14ac:dyDescent="0.25">
      <c r="C21" s="95" t="s">
        <v>10</v>
      </c>
      <c r="E21" s="47" t="s">
        <v>84</v>
      </c>
      <c r="F21" s="102"/>
      <c r="L21" t="s">
        <v>76</v>
      </c>
      <c r="M21" t="s">
        <v>448</v>
      </c>
      <c r="N21" s="1"/>
      <c r="O21" t="s">
        <v>153</v>
      </c>
      <c r="P21" s="1"/>
    </row>
    <row r="22" spans="1:16" ht="15" x14ac:dyDescent="0.25">
      <c r="C22" s="95" t="s">
        <v>26</v>
      </c>
      <c r="E22" s="95" t="s">
        <v>399</v>
      </c>
      <c r="F22" s="102"/>
      <c r="H22" s="34" t="s">
        <v>230</v>
      </c>
      <c r="I22" t="s">
        <v>285</v>
      </c>
      <c r="L22" t="s">
        <v>228</v>
      </c>
      <c r="M22" t="s">
        <v>448</v>
      </c>
      <c r="N22" s="1"/>
      <c r="O22" t="s">
        <v>168</v>
      </c>
      <c r="P22" s="1"/>
    </row>
    <row r="23" spans="1:16" ht="15" x14ac:dyDescent="0.25">
      <c r="C23" s="95" t="s">
        <v>21</v>
      </c>
      <c r="E23" s="95" t="s">
        <v>400</v>
      </c>
      <c r="F23" s="102"/>
      <c r="H23" s="150" t="s">
        <v>231</v>
      </c>
      <c r="I23">
        <v>1</v>
      </c>
      <c r="L23" t="s">
        <v>75</v>
      </c>
      <c r="M23" t="s">
        <v>448</v>
      </c>
      <c r="N23" s="1"/>
      <c r="O23" t="s">
        <v>170</v>
      </c>
      <c r="P23" s="1"/>
    </row>
    <row r="24" spans="1:16" ht="15" x14ac:dyDescent="0.25">
      <c r="C24" s="95" t="s">
        <v>14</v>
      </c>
      <c r="D24" s="16"/>
      <c r="E24" s="47" t="s">
        <v>2</v>
      </c>
      <c r="F24" s="102"/>
      <c r="H24" s="150" t="s">
        <v>266</v>
      </c>
      <c r="I24">
        <v>2</v>
      </c>
      <c r="L24" t="s">
        <v>104</v>
      </c>
      <c r="M24" t="s">
        <v>448</v>
      </c>
      <c r="N24" s="1"/>
      <c r="O24" t="s">
        <v>59</v>
      </c>
      <c r="P24" s="1"/>
    </row>
    <row r="25" spans="1:16" ht="15" x14ac:dyDescent="0.25">
      <c r="C25" s="95" t="s">
        <v>18</v>
      </c>
      <c r="D25" s="16"/>
      <c r="E25" s="47" t="s">
        <v>3</v>
      </c>
      <c r="H25" s="150" t="s">
        <v>267</v>
      </c>
      <c r="I25">
        <v>3</v>
      </c>
      <c r="L25" t="s">
        <v>99</v>
      </c>
      <c r="M25" t="s">
        <v>449</v>
      </c>
      <c r="N25" s="1"/>
      <c r="O25" t="s">
        <v>90</v>
      </c>
      <c r="P25" s="1"/>
    </row>
    <row r="26" spans="1:16" ht="15" x14ac:dyDescent="0.25">
      <c r="C26" s="95" t="s">
        <v>24</v>
      </c>
      <c r="D26" s="16"/>
      <c r="F26" s="102"/>
      <c r="H26" s="150" t="s">
        <v>268</v>
      </c>
      <c r="I26">
        <v>4</v>
      </c>
      <c r="L26" t="s">
        <v>74</v>
      </c>
      <c r="M26" t="s">
        <v>449</v>
      </c>
      <c r="N26" s="1"/>
      <c r="O26" t="s">
        <v>91</v>
      </c>
      <c r="P26" s="1"/>
    </row>
    <row r="27" spans="1:16" ht="15" x14ac:dyDescent="0.25">
      <c r="C27" s="95" t="s">
        <v>27</v>
      </c>
      <c r="D27" s="16"/>
      <c r="E27" s="34" t="s">
        <v>96</v>
      </c>
      <c r="F27" s="102"/>
      <c r="H27" s="150" t="s">
        <v>269</v>
      </c>
      <c r="I27">
        <v>5</v>
      </c>
      <c r="L27" t="s">
        <v>153</v>
      </c>
      <c r="M27" t="s">
        <v>446</v>
      </c>
      <c r="N27" s="1"/>
      <c r="O27" t="s">
        <v>188</v>
      </c>
      <c r="P27" s="1"/>
    </row>
    <row r="28" spans="1:16" ht="15" x14ac:dyDescent="0.25">
      <c r="C28" s="95" t="s">
        <v>11</v>
      </c>
      <c r="D28" s="16"/>
      <c r="E28" s="34" t="s">
        <v>323</v>
      </c>
      <c r="F28" s="102"/>
      <c r="H28" s="24"/>
      <c r="I28" s="24"/>
      <c r="L28" t="s">
        <v>73</v>
      </c>
      <c r="M28" t="s">
        <v>449</v>
      </c>
      <c r="N28" s="1"/>
      <c r="O28" t="s">
        <v>189</v>
      </c>
      <c r="P28" s="1"/>
    </row>
    <row r="29" spans="1:16" ht="15" x14ac:dyDescent="0.25">
      <c r="C29" s="95" t="s">
        <v>19</v>
      </c>
      <c r="D29" s="16"/>
      <c r="E29" s="34" t="s">
        <v>402</v>
      </c>
      <c r="F29" s="102"/>
      <c r="H29" s="34" t="s">
        <v>148</v>
      </c>
      <c r="I29" t="s">
        <v>285</v>
      </c>
      <c r="L29" t="s">
        <v>72</v>
      </c>
      <c r="M29" t="s">
        <v>445</v>
      </c>
      <c r="N29" s="1"/>
      <c r="O29" t="s">
        <v>142</v>
      </c>
      <c r="P29" s="1"/>
    </row>
    <row r="30" spans="1:16" ht="15" x14ac:dyDescent="0.25">
      <c r="C30" s="95" t="s">
        <v>25</v>
      </c>
      <c r="D30" s="16"/>
      <c r="E30" s="34" t="s">
        <v>403</v>
      </c>
      <c r="F30" s="103"/>
      <c r="H30" s="34" t="s">
        <v>214</v>
      </c>
      <c r="I30">
        <v>1</v>
      </c>
      <c r="L30" t="s">
        <v>50</v>
      </c>
      <c r="M30" t="s">
        <v>448</v>
      </c>
      <c r="N30" s="1"/>
      <c r="O30" t="s">
        <v>81</v>
      </c>
      <c r="P30" s="1"/>
    </row>
    <row r="31" spans="1:16" ht="15" x14ac:dyDescent="0.25">
      <c r="C31" s="95" t="s">
        <v>23</v>
      </c>
      <c r="D31" s="16"/>
      <c r="E31" s="34" t="s">
        <v>404</v>
      </c>
      <c r="H31" s="34" t="s">
        <v>151</v>
      </c>
      <c r="I31">
        <v>2</v>
      </c>
      <c r="L31" t="s">
        <v>71</v>
      </c>
      <c r="M31" t="s">
        <v>445</v>
      </c>
      <c r="N31" s="1"/>
      <c r="O31" t="s">
        <v>67</v>
      </c>
      <c r="P31" s="1"/>
    </row>
    <row r="32" spans="1:16" ht="15" x14ac:dyDescent="0.25">
      <c r="C32" s="95" t="s">
        <v>144</v>
      </c>
      <c r="D32" s="16"/>
      <c r="H32" s="34" t="s">
        <v>150</v>
      </c>
      <c r="I32">
        <v>3</v>
      </c>
      <c r="L32" t="s">
        <v>70</v>
      </c>
      <c r="M32" t="s">
        <v>445</v>
      </c>
      <c r="N32" s="1"/>
      <c r="O32" t="s">
        <v>70</v>
      </c>
      <c r="P32" s="1"/>
    </row>
    <row r="33" spans="3:16" ht="15" x14ac:dyDescent="0.25">
      <c r="C33" s="95" t="s">
        <v>15</v>
      </c>
      <c r="D33" s="16"/>
      <c r="E33" s="34" t="s">
        <v>174</v>
      </c>
      <c r="H33" s="34" t="s">
        <v>215</v>
      </c>
      <c r="I33">
        <v>4</v>
      </c>
      <c r="L33" t="s">
        <v>69</v>
      </c>
      <c r="M33" t="s">
        <v>448</v>
      </c>
      <c r="N33" s="1"/>
      <c r="O33" t="s">
        <v>52</v>
      </c>
      <c r="P33" s="1"/>
    </row>
    <row r="34" spans="3:16" ht="15" x14ac:dyDescent="0.25">
      <c r="C34" s="95" t="s">
        <v>35</v>
      </c>
      <c r="D34" s="16"/>
      <c r="E34" s="34" t="s">
        <v>183</v>
      </c>
      <c r="H34" s="34" t="s">
        <v>192</v>
      </c>
      <c r="I34">
        <v>5</v>
      </c>
      <c r="L34" t="s">
        <v>103</v>
      </c>
      <c r="M34" t="s">
        <v>449</v>
      </c>
      <c r="N34" s="1"/>
      <c r="O34" t="s">
        <v>175</v>
      </c>
      <c r="P34" s="1"/>
    </row>
    <row r="35" spans="3:16" ht="15" x14ac:dyDescent="0.25">
      <c r="C35" s="95" t="s">
        <v>143</v>
      </c>
      <c r="D35" s="16"/>
      <c r="E35" s="34" t="s">
        <v>186</v>
      </c>
      <c r="H35" s="34" t="s">
        <v>191</v>
      </c>
      <c r="I35">
        <v>6</v>
      </c>
      <c r="L35" t="s">
        <v>57</v>
      </c>
      <c r="M35" t="s">
        <v>445</v>
      </c>
      <c r="N35" s="1"/>
      <c r="O35" t="s">
        <v>176</v>
      </c>
      <c r="P35" s="1"/>
    </row>
    <row r="36" spans="3:16" ht="15" x14ac:dyDescent="0.25">
      <c r="C36" s="95" t="s">
        <v>31</v>
      </c>
      <c r="D36" s="16"/>
      <c r="E36" s="34" t="s">
        <v>194</v>
      </c>
      <c r="L36" t="s">
        <v>68</v>
      </c>
      <c r="M36" t="s">
        <v>448</v>
      </c>
      <c r="N36" s="1"/>
      <c r="O36" t="s">
        <v>213</v>
      </c>
      <c r="P36" s="1"/>
    </row>
    <row r="37" spans="3:16" ht="15" x14ac:dyDescent="0.25">
      <c r="C37" s="95" t="s">
        <v>145</v>
      </c>
      <c r="D37" s="16"/>
      <c r="E37" s="98" t="s">
        <v>7</v>
      </c>
      <c r="H37" s="34" t="s">
        <v>64</v>
      </c>
      <c r="I37" s="34" t="s">
        <v>285</v>
      </c>
      <c r="L37" t="s">
        <v>67</v>
      </c>
      <c r="M37" t="s">
        <v>445</v>
      </c>
      <c r="N37" s="1"/>
      <c r="O37" t="s">
        <v>66</v>
      </c>
      <c r="P37" s="1"/>
    </row>
    <row r="38" spans="3:16" ht="15" x14ac:dyDescent="0.25">
      <c r="C38" s="95" t="s">
        <v>397</v>
      </c>
      <c r="D38" s="16"/>
      <c r="H38" s="34" t="s">
        <v>85</v>
      </c>
      <c r="I38">
        <v>1</v>
      </c>
      <c r="L38" t="s">
        <v>102</v>
      </c>
      <c r="M38" t="s">
        <v>449</v>
      </c>
      <c r="N38" s="1"/>
      <c r="O38" t="s">
        <v>237</v>
      </c>
      <c r="P38" s="1"/>
    </row>
    <row r="39" spans="3:16" ht="15" x14ac:dyDescent="0.25">
      <c r="C39" s="95" t="s">
        <v>398</v>
      </c>
      <c r="D39" s="16"/>
      <c r="H39" s="34" t="s">
        <v>106</v>
      </c>
      <c r="I39">
        <v>2</v>
      </c>
      <c r="L39" t="s">
        <v>101</v>
      </c>
      <c r="M39" t="s">
        <v>449</v>
      </c>
      <c r="N39" s="1"/>
      <c r="O39" t="s">
        <v>270</v>
      </c>
      <c r="P39" s="1"/>
    </row>
    <row r="40" spans="3:16" ht="15" x14ac:dyDescent="0.25">
      <c r="D40" s="16"/>
      <c r="H40" s="34" t="s">
        <v>109</v>
      </c>
      <c r="I40">
        <v>3</v>
      </c>
      <c r="L40" t="s">
        <v>64</v>
      </c>
      <c r="M40" t="s">
        <v>445</v>
      </c>
      <c r="N40" s="1"/>
      <c r="O40" t="s">
        <v>210</v>
      </c>
      <c r="P40" s="1"/>
    </row>
    <row r="41" spans="3:16" ht="15" x14ac:dyDescent="0.25">
      <c r="C41" s="95" t="s">
        <v>41</v>
      </c>
      <c r="D41" s="16"/>
      <c r="H41" s="34" t="s">
        <v>111</v>
      </c>
      <c r="I41">
        <v>4</v>
      </c>
      <c r="L41" t="s">
        <v>66</v>
      </c>
      <c r="M41" t="s">
        <v>445</v>
      </c>
      <c r="N41" s="1"/>
      <c r="O41" t="s">
        <v>71</v>
      </c>
      <c r="P41" s="1"/>
    </row>
    <row r="42" spans="3:16" ht="15" x14ac:dyDescent="0.25">
      <c r="C42" s="158" t="s">
        <v>371</v>
      </c>
      <c r="D42" s="16"/>
      <c r="H42" s="34" t="s">
        <v>271</v>
      </c>
      <c r="I42">
        <v>5</v>
      </c>
      <c r="L42" t="s">
        <v>227</v>
      </c>
      <c r="M42" t="s">
        <v>445</v>
      </c>
      <c r="N42" s="1"/>
      <c r="O42" t="s">
        <v>72</v>
      </c>
      <c r="P42" s="1"/>
    </row>
    <row r="43" spans="3:16" ht="15" x14ac:dyDescent="0.25">
      <c r="C43" s="158" t="s">
        <v>344</v>
      </c>
      <c r="D43" s="16"/>
      <c r="H43" s="34" t="s">
        <v>288</v>
      </c>
      <c r="I43">
        <v>6</v>
      </c>
      <c r="L43" t="s">
        <v>226</v>
      </c>
      <c r="M43" t="s">
        <v>448</v>
      </c>
      <c r="N43" s="1"/>
      <c r="O43" t="s">
        <v>82</v>
      </c>
      <c r="P43" s="1"/>
    </row>
    <row r="44" spans="3:16" ht="15" x14ac:dyDescent="0.25">
      <c r="C44" s="158" t="s">
        <v>345</v>
      </c>
      <c r="D44" s="16"/>
      <c r="H44" s="34" t="s">
        <v>289</v>
      </c>
      <c r="I44">
        <v>7</v>
      </c>
      <c r="L44" t="s">
        <v>225</v>
      </c>
      <c r="M44" t="s">
        <v>448</v>
      </c>
      <c r="N44" s="1"/>
      <c r="O44" t="s">
        <v>41</v>
      </c>
      <c r="P44" s="1"/>
    </row>
    <row r="45" spans="3:16" ht="15" x14ac:dyDescent="0.25">
      <c r="C45" s="158" t="s">
        <v>346</v>
      </c>
      <c r="D45" s="16"/>
      <c r="H45" s="34" t="s">
        <v>290</v>
      </c>
      <c r="I45">
        <v>8</v>
      </c>
      <c r="L45" t="s">
        <v>58</v>
      </c>
      <c r="M45" t="s">
        <v>448</v>
      </c>
      <c r="N45" s="1"/>
      <c r="O45" t="s">
        <v>140</v>
      </c>
      <c r="P45" s="1"/>
    </row>
    <row r="46" spans="3:16" ht="15" x14ac:dyDescent="0.25">
      <c r="C46" s="158" t="s">
        <v>340</v>
      </c>
      <c r="D46" s="16"/>
      <c r="H46" s="34" t="s">
        <v>291</v>
      </c>
      <c r="I46">
        <v>9</v>
      </c>
      <c r="L46" t="s">
        <v>224</v>
      </c>
      <c r="M46" t="s">
        <v>448</v>
      </c>
      <c r="N46" s="1"/>
      <c r="O46" t="s">
        <v>154</v>
      </c>
      <c r="P46" s="1"/>
    </row>
    <row r="47" spans="3:16" ht="15" x14ac:dyDescent="0.25">
      <c r="C47" s="158" t="s">
        <v>347</v>
      </c>
      <c r="D47" s="16"/>
      <c r="H47" s="34" t="s">
        <v>292</v>
      </c>
      <c r="I47">
        <v>10</v>
      </c>
      <c r="L47" t="s">
        <v>97</v>
      </c>
      <c r="M47" t="s">
        <v>449</v>
      </c>
      <c r="N47" s="1"/>
      <c r="O47" t="s">
        <v>219</v>
      </c>
      <c r="P47" s="1"/>
    </row>
    <row r="48" spans="3:16" ht="15" x14ac:dyDescent="0.25">
      <c r="C48" s="158" t="s">
        <v>348</v>
      </c>
      <c r="D48" s="16"/>
      <c r="H48" s="34" t="s">
        <v>293</v>
      </c>
      <c r="I48">
        <v>11</v>
      </c>
      <c r="L48" t="s">
        <v>42</v>
      </c>
      <c r="M48" t="s">
        <v>445</v>
      </c>
      <c r="N48" s="1"/>
      <c r="O48" t="s">
        <v>212</v>
      </c>
      <c r="P48" s="1"/>
    </row>
    <row r="49" spans="3:16" ht="15" x14ac:dyDescent="0.25">
      <c r="C49" s="158" t="s">
        <v>349</v>
      </c>
      <c r="D49" s="16"/>
      <c r="L49" t="s">
        <v>223</v>
      </c>
      <c r="M49" t="s">
        <v>449</v>
      </c>
      <c r="N49" s="1"/>
      <c r="O49" t="s">
        <v>220</v>
      </c>
      <c r="P49" s="1"/>
    </row>
    <row r="50" spans="3:16" ht="15" x14ac:dyDescent="0.25">
      <c r="C50" s="158" t="s">
        <v>350</v>
      </c>
      <c r="D50" s="16"/>
      <c r="H50" s="34" t="s">
        <v>294</v>
      </c>
      <c r="I50" s="34" t="s">
        <v>285</v>
      </c>
      <c r="L50" t="s">
        <v>120</v>
      </c>
      <c r="M50" t="s">
        <v>446</v>
      </c>
      <c r="N50" s="1"/>
      <c r="O50" t="s">
        <v>221</v>
      </c>
      <c r="P50" s="1"/>
    </row>
    <row r="51" spans="3:16" ht="15" x14ac:dyDescent="0.25">
      <c r="C51" s="158" t="s">
        <v>351</v>
      </c>
      <c r="D51" s="16"/>
      <c r="H51" s="34" t="s">
        <v>272</v>
      </c>
      <c r="I51">
        <v>1</v>
      </c>
      <c r="L51" t="s">
        <v>43</v>
      </c>
      <c r="M51" t="s">
        <v>445</v>
      </c>
      <c r="N51" s="1"/>
      <c r="O51" t="s">
        <v>314</v>
      </c>
      <c r="P51" s="1"/>
    </row>
    <row r="52" spans="3:16" ht="15" x14ac:dyDescent="0.25">
      <c r="C52" s="158" t="s">
        <v>352</v>
      </c>
      <c r="D52" s="16"/>
      <c r="H52" s="34" t="s">
        <v>295</v>
      </c>
      <c r="I52">
        <v>2</v>
      </c>
      <c r="L52" t="s">
        <v>51</v>
      </c>
      <c r="M52" t="s">
        <v>445</v>
      </c>
      <c r="N52" s="1"/>
      <c r="O52" t="s">
        <v>227</v>
      </c>
      <c r="P52" s="1"/>
    </row>
    <row r="53" spans="3:16" ht="15" x14ac:dyDescent="0.25">
      <c r="C53" s="158" t="s">
        <v>353</v>
      </c>
      <c r="D53" s="16"/>
      <c r="H53" s="34" t="s">
        <v>258</v>
      </c>
      <c r="I53">
        <v>3</v>
      </c>
      <c r="L53" t="s">
        <v>178</v>
      </c>
      <c r="M53" t="s">
        <v>449</v>
      </c>
      <c r="N53" s="1"/>
      <c r="O53" t="s">
        <v>201</v>
      </c>
      <c r="P53" s="1"/>
    </row>
    <row r="54" spans="3:16" ht="15" x14ac:dyDescent="0.25">
      <c r="C54" s="158" t="s">
        <v>354</v>
      </c>
      <c r="D54" s="16"/>
      <c r="H54" s="34" t="s">
        <v>2</v>
      </c>
      <c r="I54">
        <v>4</v>
      </c>
      <c r="L54" t="s">
        <v>96</v>
      </c>
      <c r="M54" t="s">
        <v>448</v>
      </c>
      <c r="N54" s="1"/>
      <c r="O54" t="s">
        <v>437</v>
      </c>
      <c r="P54" s="1"/>
    </row>
    <row r="55" spans="3:16" ht="15" x14ac:dyDescent="0.25">
      <c r="C55" s="158" t="s">
        <v>355</v>
      </c>
      <c r="D55" s="16"/>
      <c r="H55" s="34" t="s">
        <v>296</v>
      </c>
      <c r="I55">
        <v>5</v>
      </c>
      <c r="L55" t="s">
        <v>52</v>
      </c>
      <c r="M55" t="s">
        <v>445</v>
      </c>
      <c r="N55" s="1"/>
      <c r="O55" t="s">
        <v>171</v>
      </c>
      <c r="P55" s="1"/>
    </row>
    <row r="56" spans="3:16" ht="15" x14ac:dyDescent="0.25">
      <c r="C56" s="158" t="s">
        <v>273</v>
      </c>
      <c r="D56" s="16"/>
      <c r="H56" s="34" t="s">
        <v>110</v>
      </c>
      <c r="I56">
        <v>6</v>
      </c>
      <c r="L56" t="s">
        <v>44</v>
      </c>
      <c r="M56" t="s">
        <v>445</v>
      </c>
      <c r="N56" s="1"/>
      <c r="O56" t="s">
        <v>222</v>
      </c>
    </row>
    <row r="57" spans="3:16" ht="15" x14ac:dyDescent="0.25">
      <c r="C57" s="158" t="s">
        <v>356</v>
      </c>
      <c r="D57" s="16"/>
      <c r="H57" s="34" t="s">
        <v>7</v>
      </c>
      <c r="I57">
        <v>7</v>
      </c>
      <c r="L57" t="s">
        <v>201</v>
      </c>
      <c r="M57" t="s">
        <v>445</v>
      </c>
      <c r="N57" s="1"/>
      <c r="O57" t="s">
        <v>141</v>
      </c>
    </row>
    <row r="58" spans="3:16" ht="15" x14ac:dyDescent="0.25">
      <c r="C58" s="158" t="s">
        <v>357</v>
      </c>
      <c r="D58" s="16"/>
      <c r="L58" t="s">
        <v>65</v>
      </c>
      <c r="M58" t="s">
        <v>448</v>
      </c>
      <c r="N58" s="1"/>
    </row>
    <row r="59" spans="3:16" ht="15" x14ac:dyDescent="0.25">
      <c r="C59" s="158" t="s">
        <v>358</v>
      </c>
      <c r="D59" s="16"/>
      <c r="H59" s="34" t="s">
        <v>173</v>
      </c>
      <c r="I59" t="s">
        <v>285</v>
      </c>
      <c r="L59" t="s">
        <v>63</v>
      </c>
      <c r="M59" t="s">
        <v>448</v>
      </c>
      <c r="N59" s="1"/>
    </row>
    <row r="60" spans="3:16" ht="15" x14ac:dyDescent="0.25">
      <c r="C60" s="158" t="s">
        <v>359</v>
      </c>
      <c r="D60" s="16"/>
      <c r="H60" s="34" t="s">
        <v>185</v>
      </c>
      <c r="I60">
        <v>1</v>
      </c>
      <c r="L60" t="s">
        <v>100</v>
      </c>
      <c r="M60" t="s">
        <v>448</v>
      </c>
      <c r="N60" s="1"/>
    </row>
    <row r="61" spans="3:16" ht="15" x14ac:dyDescent="0.25">
      <c r="C61" s="158" t="s">
        <v>360</v>
      </c>
      <c r="D61" s="16"/>
      <c r="H61" s="34" t="s">
        <v>182</v>
      </c>
      <c r="I61">
        <v>2</v>
      </c>
      <c r="L61" t="s">
        <v>62</v>
      </c>
      <c r="M61" t="s">
        <v>448</v>
      </c>
      <c r="N61" s="1"/>
    </row>
    <row r="62" spans="3:16" ht="15" x14ac:dyDescent="0.25">
      <c r="C62" s="158" t="s">
        <v>361</v>
      </c>
      <c r="D62" s="16"/>
      <c r="H62" s="34" t="s">
        <v>264</v>
      </c>
      <c r="I62">
        <v>3</v>
      </c>
      <c r="L62" t="s">
        <v>61</v>
      </c>
      <c r="M62" t="s">
        <v>448</v>
      </c>
      <c r="N62" s="1"/>
    </row>
    <row r="63" spans="3:16" ht="15" x14ac:dyDescent="0.25">
      <c r="C63" s="158" t="s">
        <v>362</v>
      </c>
      <c r="D63" s="16"/>
      <c r="H63" s="34" t="s">
        <v>263</v>
      </c>
      <c r="I63">
        <v>4</v>
      </c>
      <c r="L63" t="s">
        <v>133</v>
      </c>
      <c r="M63" t="s">
        <v>448</v>
      </c>
      <c r="N63" s="1"/>
    </row>
    <row r="64" spans="3:16" ht="15" x14ac:dyDescent="0.25">
      <c r="C64" s="158" t="s">
        <v>363</v>
      </c>
      <c r="D64" s="16"/>
      <c r="H64" s="34" t="s">
        <v>193</v>
      </c>
      <c r="I64">
        <v>5</v>
      </c>
      <c r="L64" t="s">
        <v>46</v>
      </c>
      <c r="M64" t="s">
        <v>445</v>
      </c>
      <c r="N64" s="1"/>
    </row>
    <row r="65" spans="3:16" ht="15" x14ac:dyDescent="0.25">
      <c r="C65" s="158" t="s">
        <v>364</v>
      </c>
      <c r="D65" s="16"/>
      <c r="H65" s="34" t="s">
        <v>200</v>
      </c>
      <c r="I65">
        <v>6</v>
      </c>
      <c r="L65" t="s">
        <v>322</v>
      </c>
      <c r="M65" t="s">
        <v>446</v>
      </c>
      <c r="N65" s="1"/>
    </row>
    <row r="66" spans="3:16" ht="15" x14ac:dyDescent="0.25">
      <c r="C66" s="158" t="s">
        <v>365</v>
      </c>
      <c r="D66" s="16"/>
      <c r="L66" t="s">
        <v>45</v>
      </c>
      <c r="M66" t="s">
        <v>445</v>
      </c>
      <c r="N66" s="1"/>
    </row>
    <row r="67" spans="3:16" ht="15" x14ac:dyDescent="0.25">
      <c r="C67" s="158" t="s">
        <v>337</v>
      </c>
      <c r="D67" s="16"/>
      <c r="L67" t="s">
        <v>95</v>
      </c>
      <c r="M67" t="s">
        <v>448</v>
      </c>
      <c r="N67" s="1"/>
    </row>
    <row r="68" spans="3:16" ht="15" x14ac:dyDescent="0.25">
      <c r="C68" s="158" t="s">
        <v>298</v>
      </c>
      <c r="D68" s="16"/>
      <c r="L68" t="s">
        <v>60</v>
      </c>
      <c r="M68" t="s">
        <v>449</v>
      </c>
      <c r="N68" s="1"/>
    </row>
    <row r="69" spans="3:16" ht="15" x14ac:dyDescent="0.25">
      <c r="C69" s="158" t="s">
        <v>366</v>
      </c>
      <c r="D69" s="16"/>
      <c r="L69" t="s">
        <v>59</v>
      </c>
      <c r="M69" t="s">
        <v>445</v>
      </c>
      <c r="N69" s="1"/>
    </row>
    <row r="70" spans="3:16" ht="15" x14ac:dyDescent="0.25">
      <c r="C70" s="158" t="s">
        <v>367</v>
      </c>
      <c r="D70" s="16"/>
      <c r="L70" t="s">
        <v>53</v>
      </c>
      <c r="M70" t="s">
        <v>446</v>
      </c>
      <c r="N70" s="1"/>
    </row>
    <row r="71" spans="3:16" ht="15" x14ac:dyDescent="0.25">
      <c r="C71" s="158" t="s">
        <v>368</v>
      </c>
      <c r="D71" s="16"/>
      <c r="L71" t="s">
        <v>56</v>
      </c>
      <c r="M71" t="s">
        <v>448</v>
      </c>
      <c r="N71" s="1"/>
    </row>
    <row r="72" spans="3:16" ht="15" x14ac:dyDescent="0.25">
      <c r="C72" s="158" t="s">
        <v>369</v>
      </c>
      <c r="D72" s="16"/>
      <c r="H72" s="17"/>
      <c r="L72" t="s">
        <v>55</v>
      </c>
      <c r="M72" t="s">
        <v>448</v>
      </c>
      <c r="N72" s="1"/>
    </row>
    <row r="73" spans="3:16" ht="15" x14ac:dyDescent="0.25">
      <c r="C73" s="158" t="s">
        <v>370</v>
      </c>
      <c r="D73" s="16"/>
      <c r="H73" s="17"/>
      <c r="L73" t="s">
        <v>245</v>
      </c>
      <c r="M73" t="s">
        <v>448</v>
      </c>
      <c r="N73" s="1"/>
    </row>
    <row r="74" spans="3:16" ht="15" x14ac:dyDescent="0.25">
      <c r="C74" s="158" t="s">
        <v>710</v>
      </c>
      <c r="D74" s="16"/>
      <c r="H74" s="17"/>
      <c r="L74" t="s">
        <v>335</v>
      </c>
      <c r="M74" t="s">
        <v>448</v>
      </c>
      <c r="N74" s="1"/>
    </row>
    <row r="75" spans="3:16" ht="15" x14ac:dyDescent="0.25">
      <c r="C75" s="158" t="s">
        <v>372</v>
      </c>
      <c r="D75" s="16"/>
      <c r="H75" s="17"/>
      <c r="L75" t="s">
        <v>54</v>
      </c>
      <c r="M75" t="s">
        <v>449</v>
      </c>
      <c r="N75" s="1"/>
    </row>
    <row r="76" spans="3:16" ht="15" x14ac:dyDescent="0.25">
      <c r="C76" s="158" t="s">
        <v>373</v>
      </c>
      <c r="D76" s="16"/>
      <c r="H76" s="17"/>
      <c r="P76" s="1"/>
    </row>
    <row r="77" spans="3:16" ht="15" x14ac:dyDescent="0.25">
      <c r="C77" s="158" t="s">
        <v>374</v>
      </c>
      <c r="D77" s="16"/>
      <c r="H77" s="17"/>
      <c r="P77" s="1"/>
    </row>
    <row r="78" spans="3:16" ht="15" x14ac:dyDescent="0.25">
      <c r="C78" s="158" t="s">
        <v>375</v>
      </c>
      <c r="D78" s="16"/>
      <c r="H78" s="17"/>
      <c r="P78" s="1"/>
    </row>
    <row r="79" spans="3:16" ht="15" x14ac:dyDescent="0.25">
      <c r="C79" s="158" t="s">
        <v>376</v>
      </c>
      <c r="D79" s="16"/>
      <c r="H79" s="17"/>
      <c r="P79" s="1"/>
    </row>
    <row r="80" spans="3:16" ht="15" x14ac:dyDescent="0.25">
      <c r="C80" s="158" t="s">
        <v>377</v>
      </c>
      <c r="D80" s="16"/>
      <c r="H80" s="17"/>
      <c r="P80" s="1"/>
    </row>
    <row r="81" spans="3:16" ht="15" x14ac:dyDescent="0.25">
      <c r="C81" s="158" t="s">
        <v>378</v>
      </c>
      <c r="D81" s="16"/>
      <c r="H81" s="17"/>
      <c r="P81" s="1"/>
    </row>
    <row r="82" spans="3:16" ht="15" x14ac:dyDescent="0.25">
      <c r="C82" s="158" t="s">
        <v>379</v>
      </c>
      <c r="D82" s="16"/>
      <c r="H82" s="17"/>
      <c r="P82" s="1"/>
    </row>
    <row r="83" spans="3:16" ht="15" x14ac:dyDescent="0.25">
      <c r="C83" s="158" t="s">
        <v>380</v>
      </c>
      <c r="D83" s="16"/>
      <c r="H83" s="17"/>
      <c r="P83" s="1"/>
    </row>
    <row r="84" spans="3:16" ht="15" x14ac:dyDescent="0.25">
      <c r="C84" s="158" t="s">
        <v>381</v>
      </c>
      <c r="D84" s="16"/>
      <c r="H84" s="17"/>
      <c r="P84" s="1"/>
    </row>
    <row r="85" spans="3:16" ht="15" x14ac:dyDescent="0.25">
      <c r="C85" s="158" t="s">
        <v>382</v>
      </c>
      <c r="D85" s="16"/>
      <c r="H85" s="17"/>
      <c r="P85" s="1"/>
    </row>
    <row r="86" spans="3:16" ht="15" x14ac:dyDescent="0.25">
      <c r="C86" s="158" t="s">
        <v>383</v>
      </c>
      <c r="D86" s="16"/>
      <c r="H86" s="17"/>
      <c r="P86" s="1"/>
    </row>
    <row r="87" spans="3:16" ht="15" x14ac:dyDescent="0.25">
      <c r="C87" s="158" t="s">
        <v>384</v>
      </c>
      <c r="D87" s="16"/>
      <c r="H87" s="17"/>
      <c r="P87" s="1"/>
    </row>
    <row r="88" spans="3:16" ht="15" x14ac:dyDescent="0.25">
      <c r="C88" s="158" t="s">
        <v>385</v>
      </c>
      <c r="D88" s="16"/>
      <c r="H88" s="17"/>
      <c r="P88" s="1"/>
    </row>
    <row r="89" spans="3:16" ht="15" x14ac:dyDescent="0.25">
      <c r="C89" s="158" t="s">
        <v>386</v>
      </c>
      <c r="D89" s="16"/>
      <c r="H89" s="17"/>
      <c r="P89" s="1"/>
    </row>
    <row r="90" spans="3:16" ht="15" x14ac:dyDescent="0.25">
      <c r="C90" s="158" t="s">
        <v>387</v>
      </c>
      <c r="D90" s="16"/>
      <c r="H90" s="17"/>
      <c r="P90" s="1"/>
    </row>
    <row r="91" spans="3:16" ht="15" x14ac:dyDescent="0.25">
      <c r="C91" s="158" t="s">
        <v>388</v>
      </c>
      <c r="D91" s="16"/>
      <c r="H91" s="17"/>
      <c r="P91" s="1"/>
    </row>
    <row r="92" spans="3:16" ht="15" x14ac:dyDescent="0.25">
      <c r="C92" s="158" t="s">
        <v>389</v>
      </c>
      <c r="D92" s="16"/>
      <c r="H92" s="17"/>
      <c r="P92" s="1"/>
    </row>
    <row r="93" spans="3:16" ht="15" x14ac:dyDescent="0.25">
      <c r="C93" s="158" t="s">
        <v>390</v>
      </c>
      <c r="D93" s="16"/>
      <c r="H93" s="17"/>
      <c r="P93" s="1"/>
    </row>
    <row r="94" spans="3:16" ht="15" x14ac:dyDescent="0.25">
      <c r="D94" s="16"/>
      <c r="H94" s="17"/>
      <c r="P94" s="1"/>
    </row>
    <row r="95" spans="3:16" ht="15" x14ac:dyDescent="0.25">
      <c r="C95" s="34" t="s">
        <v>90</v>
      </c>
      <c r="D95" s="16"/>
      <c r="H95" s="17"/>
      <c r="P95" s="1"/>
    </row>
    <row r="96" spans="3:16" ht="15" x14ac:dyDescent="0.25">
      <c r="C96" s="34" t="s">
        <v>112</v>
      </c>
      <c r="D96" s="16"/>
      <c r="H96" s="17"/>
      <c r="P96" s="1"/>
    </row>
    <row r="97" spans="3:16" ht="15" x14ac:dyDescent="0.25">
      <c r="C97" s="34" t="s">
        <v>113</v>
      </c>
      <c r="D97" s="16"/>
      <c r="H97" s="17"/>
      <c r="P97" s="1"/>
    </row>
    <row r="98" spans="3:16" ht="15" x14ac:dyDescent="0.25">
      <c r="C98" s="34" t="s">
        <v>299</v>
      </c>
      <c r="D98" s="16"/>
      <c r="H98" s="17"/>
      <c r="P98" s="1"/>
    </row>
    <row r="99" spans="3:16" ht="15" x14ac:dyDescent="0.25">
      <c r="C99" s="34" t="s">
        <v>114</v>
      </c>
      <c r="D99" s="16"/>
      <c r="H99" s="17"/>
      <c r="P99" s="1"/>
    </row>
    <row r="100" spans="3:16" ht="15" x14ac:dyDescent="0.25">
      <c r="C100" s="34" t="s">
        <v>39</v>
      </c>
      <c r="D100" s="16"/>
      <c r="H100" s="17"/>
      <c r="P100" s="1"/>
    </row>
    <row r="101" spans="3:16" ht="15" x14ac:dyDescent="0.25">
      <c r="C101" s="34" t="s">
        <v>37</v>
      </c>
      <c r="D101" s="16"/>
      <c r="H101" s="17"/>
      <c r="P101" s="1"/>
    </row>
    <row r="102" spans="3:16" ht="15" x14ac:dyDescent="0.25">
      <c r="C102" s="34" t="s">
        <v>265</v>
      </c>
      <c r="D102" s="16"/>
      <c r="H102" s="17"/>
      <c r="P102" s="1"/>
    </row>
    <row r="103" spans="3:16" ht="15" x14ac:dyDescent="0.25">
      <c r="C103" s="34" t="s">
        <v>40</v>
      </c>
      <c r="D103" s="16"/>
      <c r="H103" s="17"/>
      <c r="P103" s="1"/>
    </row>
    <row r="104" spans="3:16" ht="15" x14ac:dyDescent="0.25">
      <c r="C104" s="34" t="s">
        <v>38</v>
      </c>
      <c r="D104" s="16"/>
      <c r="H104" s="17"/>
      <c r="P104" s="1"/>
    </row>
    <row r="105" spans="3:16" ht="15" x14ac:dyDescent="0.25">
      <c r="C105" s="10"/>
      <c r="D105" s="16"/>
      <c r="H105" s="17"/>
      <c r="P105" s="1"/>
    </row>
    <row r="106" spans="3:16" ht="15" x14ac:dyDescent="0.25">
      <c r="C106" s="162" t="s">
        <v>1117</v>
      </c>
      <c r="D106" s="16"/>
      <c r="H106" s="17"/>
      <c r="P106" s="1"/>
    </row>
    <row r="107" spans="3:16" ht="15" x14ac:dyDescent="0.25">
      <c r="C107" s="163" t="s">
        <v>1118</v>
      </c>
      <c r="D107" s="16"/>
      <c r="H107" s="17"/>
      <c r="P107" s="1"/>
    </row>
    <row r="108" spans="3:16" ht="15" x14ac:dyDescent="0.25">
      <c r="C108" s="163" t="s">
        <v>1119</v>
      </c>
      <c r="D108" s="16"/>
      <c r="H108" s="17"/>
      <c r="P108" s="1"/>
    </row>
    <row r="109" spans="3:16" ht="15" x14ac:dyDescent="0.25">
      <c r="C109" s="163" t="s">
        <v>1120</v>
      </c>
      <c r="D109" s="16"/>
      <c r="H109" s="17"/>
      <c r="P109" s="1"/>
    </row>
    <row r="110" spans="3:16" ht="15" x14ac:dyDescent="0.25">
      <c r="C110" s="163" t="s">
        <v>1121</v>
      </c>
      <c r="D110" s="16"/>
      <c r="H110" s="17"/>
      <c r="P110" s="1"/>
    </row>
    <row r="111" spans="3:16" ht="15" x14ac:dyDescent="0.25">
      <c r="C111" s="163" t="s">
        <v>1122</v>
      </c>
      <c r="D111" s="16"/>
      <c r="H111" s="17"/>
      <c r="P111" s="1"/>
    </row>
    <row r="112" spans="3:16" ht="15" x14ac:dyDescent="0.25">
      <c r="C112" s="163" t="s">
        <v>1123</v>
      </c>
      <c r="D112" s="16"/>
      <c r="H112" s="17"/>
      <c r="P112" s="1"/>
    </row>
    <row r="113" spans="3:16" ht="15" x14ac:dyDescent="0.25">
      <c r="C113" s="163" t="s">
        <v>1124</v>
      </c>
      <c r="D113" s="16"/>
      <c r="H113" s="17"/>
      <c r="P113" s="1"/>
    </row>
    <row r="114" spans="3:16" ht="15" x14ac:dyDescent="0.25">
      <c r="C114" s="163" t="s">
        <v>1125</v>
      </c>
      <c r="D114" s="16"/>
      <c r="H114" s="17"/>
      <c r="P114" s="1"/>
    </row>
    <row r="115" spans="3:16" ht="15" x14ac:dyDescent="0.25">
      <c r="C115" s="163" t="s">
        <v>1126</v>
      </c>
      <c r="D115" s="16"/>
      <c r="H115" s="17"/>
      <c r="P115" s="1"/>
    </row>
    <row r="116" spans="3:16" ht="15" x14ac:dyDescent="0.25">
      <c r="C116" s="163" t="s">
        <v>1127</v>
      </c>
      <c r="D116" s="16"/>
      <c r="H116" s="17"/>
      <c r="P116" s="1"/>
    </row>
    <row r="117" spans="3:16" ht="15" x14ac:dyDescent="0.25">
      <c r="C117" s="163" t="s">
        <v>1128</v>
      </c>
      <c r="D117" s="16"/>
      <c r="H117" s="17"/>
      <c r="P117" s="1"/>
    </row>
    <row r="118" spans="3:16" ht="15" x14ac:dyDescent="0.25">
      <c r="C118" s="163" t="s">
        <v>1129</v>
      </c>
      <c r="D118" s="16"/>
      <c r="H118" s="17"/>
      <c r="P118" s="1"/>
    </row>
    <row r="119" spans="3:16" ht="15" x14ac:dyDescent="0.25">
      <c r="C119" s="163" t="s">
        <v>1130</v>
      </c>
      <c r="D119" s="16"/>
      <c r="H119" s="17"/>
      <c r="P119" s="1"/>
    </row>
    <row r="120" spans="3:16" ht="15" x14ac:dyDescent="0.25">
      <c r="C120" s="163" t="s">
        <v>1131</v>
      </c>
      <c r="H120" s="17"/>
      <c r="P120" s="1"/>
    </row>
    <row r="121" spans="3:16" ht="15" x14ac:dyDescent="0.25">
      <c r="C121" s="163" t="s">
        <v>1132</v>
      </c>
      <c r="H121" s="17"/>
      <c r="P121" s="1"/>
    </row>
    <row r="122" spans="3:16" ht="15" x14ac:dyDescent="0.25">
      <c r="C122" s="163" t="s">
        <v>1133</v>
      </c>
      <c r="H122" s="17"/>
      <c r="P122" s="1"/>
    </row>
    <row r="123" spans="3:16" ht="15" x14ac:dyDescent="0.25">
      <c r="C123" s="163" t="s">
        <v>1134</v>
      </c>
      <c r="H123" s="17"/>
      <c r="P123" s="1"/>
    </row>
    <row r="124" spans="3:16" ht="15" x14ac:dyDescent="0.25">
      <c r="C124" s="163" t="s">
        <v>1135</v>
      </c>
      <c r="H124" s="17"/>
      <c r="P124" s="1"/>
    </row>
    <row r="125" spans="3:16" ht="15" x14ac:dyDescent="0.25">
      <c r="C125" s="163" t="s">
        <v>1136</v>
      </c>
      <c r="H125" s="17"/>
    </row>
    <row r="126" spans="3:16" ht="15" x14ac:dyDescent="0.25">
      <c r="C126" s="163" t="s">
        <v>1137</v>
      </c>
      <c r="H126" s="17"/>
    </row>
    <row r="127" spans="3:16" ht="15" x14ac:dyDescent="0.25">
      <c r="C127" s="163" t="s">
        <v>1138</v>
      </c>
      <c r="D127" s="16"/>
      <c r="H127" s="17"/>
    </row>
    <row r="128" spans="3:16" ht="15" x14ac:dyDescent="0.25">
      <c r="C128" s="163" t="s">
        <v>1139</v>
      </c>
      <c r="D128" s="16"/>
      <c r="H128" s="17"/>
    </row>
    <row r="129" spans="3:3" ht="15" x14ac:dyDescent="0.25">
      <c r="C129" s="163" t="s">
        <v>1140</v>
      </c>
    </row>
    <row r="130" spans="3:3" ht="15" x14ac:dyDescent="0.25">
      <c r="C130" s="163" t="s">
        <v>1141</v>
      </c>
    </row>
    <row r="131" spans="3:3" ht="15" x14ac:dyDescent="0.25">
      <c r="C131" s="163" t="s">
        <v>1142</v>
      </c>
    </row>
    <row r="132" spans="3:3" ht="15" x14ac:dyDescent="0.25">
      <c r="C132" s="163" t="s">
        <v>1143</v>
      </c>
    </row>
    <row r="133" spans="3:3" ht="15" x14ac:dyDescent="0.25">
      <c r="C133" s="163" t="s">
        <v>1144</v>
      </c>
    </row>
    <row r="134" spans="3:3" ht="15" x14ac:dyDescent="0.25">
      <c r="C134" s="163" t="s">
        <v>1145</v>
      </c>
    </row>
    <row r="135" spans="3:3" ht="15" x14ac:dyDescent="0.25">
      <c r="C135" s="163" t="s">
        <v>1146</v>
      </c>
    </row>
    <row r="136" spans="3:3" ht="15" x14ac:dyDescent="0.25">
      <c r="C136" s="163" t="s">
        <v>1147</v>
      </c>
    </row>
  </sheetData>
  <phoneticPr fontId="13" type="noConversion"/>
  <conditionalFormatting sqref="M7:M75">
    <cfRule type="containsText" dxfId="75" priority="1" operator="containsText" text="Reference">
      <formula>NOT(ISERROR(SEARCH("Reference",M7)))</formula>
    </cfRule>
    <cfRule type="containsText" dxfId="74" priority="2" operator="containsText" text="原始录入">
      <formula>NOT(ISERROR(SEARCH("原始录入",M7)))</formula>
    </cfRule>
    <cfRule type="containsText" dxfId="73" priority="3" operator="containsText" text="未">
      <formula>NOT(ISERROR(SEARCH("未",M7)))</formula>
    </cfRule>
  </conditionalFormatting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Z24"/>
  <sheetViews>
    <sheetView topLeftCell="C1" zoomScale="115" zoomScaleNormal="115" workbookViewId="0">
      <selection activeCell="E12" sqref="D10:G31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5546875" style="2" bestFit="1" customWidth="1"/>
    <col min="5" max="5" width="31.5546875" style="2" bestFit="1" customWidth="1"/>
    <col min="6" max="6" width="13.33203125" style="2" bestFit="1" customWidth="1"/>
    <col min="7" max="7" width="9.33203125" style="2" bestFit="1" customWidth="1"/>
    <col min="8" max="8" width="8.44140625" style="2" bestFit="1" customWidth="1"/>
    <col min="9" max="9" width="7.6640625" style="2" bestFit="1" customWidth="1"/>
    <col min="10" max="10" width="8.6640625" style="2" bestFit="1" customWidth="1"/>
    <col min="11" max="11" width="8" style="2" bestFit="1" customWidth="1"/>
    <col min="12" max="12" width="19.6640625" style="2" bestFit="1" customWidth="1"/>
    <col min="13" max="13" width="44.44140625" style="2" bestFit="1" customWidth="1"/>
    <col min="14" max="14" width="11" style="2" bestFit="1" customWidth="1"/>
    <col min="15" max="15" width="10.5546875" style="2" hidden="1" customWidth="1" outlineLevel="1"/>
    <col min="16" max="16" width="4.77734375" style="2" hidden="1" customWidth="1" outlineLevel="1"/>
    <col min="17" max="17" width="10.5546875" style="2" hidden="1" customWidth="1" outlineLevel="1"/>
    <col min="18" max="18" width="10.44140625" style="2" hidden="1" customWidth="1" outlineLevel="1"/>
    <col min="19" max="19" width="9.44140625" style="2" hidden="1" customWidth="1" outlineLevel="1"/>
    <col min="20" max="20" width="31.6640625" style="2" hidden="1" customWidth="1" outlineLevel="1"/>
    <col min="21" max="21" width="8" style="2" hidden="1" customWidth="1" outlineLevel="1"/>
    <col min="22" max="22" width="9.21875" style="2" hidden="1" customWidth="1" outlineLevel="1"/>
    <col min="23" max="23" width="11.109375" style="2" hidden="1" customWidth="1" outlineLevel="1"/>
    <col min="24" max="24" width="9.44140625" style="2" hidden="1" customWidth="1" outlineLevel="1"/>
    <col min="25" max="25" width="7.77734375" style="2" hidden="1" customWidth="1" outlineLevel="1"/>
    <col min="26" max="26" width="10.21875" style="2" hidden="1" customWidth="1" outlineLevel="1"/>
    <col min="27" max="27" width="15" style="2" hidden="1" customWidth="1" outlineLevel="1"/>
    <col min="28" max="28" width="6.109375" style="2" hidden="1" customWidth="1" outlineLevel="1"/>
    <col min="29" max="29" width="7.77734375" style="2" hidden="1" customWidth="1" outlineLevel="1"/>
    <col min="30" max="31" width="6.109375" style="2" hidden="1" customWidth="1" outlineLevel="1"/>
    <col min="32" max="32" width="4.44140625" style="2" hidden="1" customWidth="1" outlineLevel="1"/>
    <col min="33" max="33" width="8.88671875" style="2" hidden="1" customWidth="1" outlineLevel="1"/>
    <col min="34" max="36" width="7.77734375" style="2" hidden="1" customWidth="1" outlineLevel="1"/>
    <col min="37" max="37" width="66.88671875" style="2" hidden="1" customWidth="1" outlineLevel="1"/>
    <col min="38" max="40" width="7.77734375" style="2" hidden="1" customWidth="1" outlineLevel="1"/>
    <col min="41" max="42" width="11.109375" style="2" hidden="1" customWidth="1" outlineLevel="1"/>
    <col min="43" max="43" width="4.4414062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6" width="7.77734375" style="2" hidden="1" customWidth="1" outlineLevel="1"/>
    <col min="47" max="47" width="11.109375" style="2" hidden="1" customWidth="1" outlineLevel="1"/>
    <col min="48" max="49" width="9.44140625" style="2" hidden="1" customWidth="1" outlineLevel="1"/>
    <col min="50" max="50" width="22.5546875" style="2" hidden="1" customWidth="1" outlineLevel="1"/>
    <col min="51" max="51" width="7.6640625" style="2" hidden="1" customWidth="1" outlineLevel="1"/>
    <col min="52" max="52" width="11.109375" style="2" hidden="1" customWidth="1" outlineLevel="1"/>
    <col min="53" max="53" width="7.77734375" style="2" hidden="1" customWidth="1" outlineLevel="1"/>
    <col min="54" max="55" width="9.44140625" style="2" hidden="1" customWidth="1" outlineLevel="1"/>
    <col min="56" max="56" width="7.77734375" style="2" hidden="1" customWidth="1" outlineLevel="1"/>
    <col min="57" max="57" width="11.109375" style="2" hidden="1" customWidth="1" outlineLevel="1"/>
    <col min="58" max="58" width="9.44140625" style="2" hidden="1" customWidth="1" outlineLevel="1"/>
    <col min="59" max="59" width="22.5546875" style="2" hidden="1" customWidth="1" outlineLevel="1"/>
    <col min="60" max="60" width="9.44140625" style="2" hidden="1" customWidth="1" outlineLevel="1"/>
    <col min="61" max="61" width="8.77734375" style="2" hidden="1" customWidth="1" outlineLevel="1"/>
    <col min="62" max="62" width="24.77734375" style="2" hidden="1" customWidth="1" outlineLevel="1"/>
    <col min="63" max="63" width="9.44140625" style="2" hidden="1" customWidth="1" outlineLevel="1"/>
    <col min="64" max="64" width="11.109375" style="2" hidden="1" customWidth="1" outlineLevel="1"/>
    <col min="65" max="66" width="80.88671875" style="2" hidden="1" customWidth="1" outlineLevel="1"/>
    <col min="67" max="67" width="9.44140625" style="2" hidden="1" customWidth="1" outlineLevel="1"/>
    <col min="68" max="73" width="7.77734375" style="2" hidden="1" customWidth="1" outlineLevel="1"/>
    <col min="74" max="74" width="12.77734375" style="2" hidden="1" customWidth="1" outlineLevel="1"/>
    <col min="75" max="75" width="8.77734375" style="2" hidden="1" customWidth="1" outlineLevel="1"/>
    <col min="76" max="76" width="11.33203125" style="2" hidden="1" customWidth="1" outlineLevel="1"/>
    <col min="77" max="77" width="12.21875" style="2" hidden="1" customWidth="1" outlineLevel="1"/>
    <col min="78" max="78" width="4.44140625" style="1" hidden="1" customWidth="1" outlineLevel="1"/>
    <col min="79" max="80" width="9.44140625" style="1" hidden="1" customWidth="1" outlineLevel="1"/>
    <col min="81" max="81" width="9.44140625" style="2" hidden="1" customWidth="1" outlineLevel="1"/>
    <col min="82" max="82" width="12.77734375" style="1" hidden="1" customWidth="1" outlineLevel="1"/>
    <col min="83" max="83" width="6.109375" style="2" hidden="1" customWidth="1" outlineLevel="1"/>
    <col min="84" max="84" width="13.5546875" style="2" hidden="1" customWidth="1" outlineLevel="1"/>
    <col min="85" max="85" width="9.44140625" style="2" hidden="1" customWidth="1" outlineLevel="1"/>
    <col min="86" max="86" width="14.44140625" style="2" hidden="1" customWidth="1" outlineLevel="1"/>
    <col min="87" max="87" width="6.109375" style="2" hidden="1" customWidth="1" outlineLevel="1"/>
    <col min="88" max="88" width="5.109375" style="2" hidden="1" customWidth="1" outlineLevel="1"/>
    <col min="89" max="89" width="6.109375" style="1" hidden="1" customWidth="1" outlineLevel="1"/>
    <col min="90" max="90" width="8.88671875" style="1" hidden="1" customWidth="1" outlineLevel="1"/>
    <col min="91" max="91" width="6.88671875" style="1" hidden="1" customWidth="1" outlineLevel="1"/>
    <col min="92" max="92" width="16.77734375" style="1" hidden="1" customWidth="1" outlineLevel="1" collapsed="1"/>
    <col min="93" max="93" width="7.6640625" style="1" bestFit="1" customWidth="1" collapsed="1"/>
    <col min="94" max="94" width="19.44140625" style="1" bestFit="1" customWidth="1"/>
    <col min="95" max="97" width="8.88671875" style="1"/>
    <col min="98" max="98" width="13.5546875" style="2" bestFit="1" customWidth="1"/>
    <col min="99" max="99" width="14.44140625" style="2" bestFit="1" customWidth="1"/>
    <col min="100" max="100" width="80.88671875" style="2" bestFit="1" customWidth="1"/>
    <col min="101" max="101" width="7.77734375" style="2" bestFit="1" customWidth="1"/>
    <col min="102" max="103" width="8.88671875" style="1"/>
    <col min="104" max="104" width="6.88671875" style="2" bestFit="1" customWidth="1"/>
    <col min="105" max="105" width="8.88671875" style="2" bestFit="1" customWidth="1"/>
    <col min="106" max="108" width="19.5546875" style="2" bestFit="1" customWidth="1"/>
    <col min="109" max="109" width="8.88671875" style="2" bestFit="1" customWidth="1"/>
    <col min="110" max="110" width="10.5546875" style="2" bestFit="1" customWidth="1"/>
    <col min="111" max="112" width="10.33203125" style="2" bestFit="1" customWidth="1"/>
    <col min="113" max="113" width="10.5546875" style="2" bestFit="1" customWidth="1"/>
    <col min="114" max="114" width="19.5546875" style="2" bestFit="1" customWidth="1"/>
    <col min="115" max="115" width="10.5546875" style="2" bestFit="1" customWidth="1"/>
    <col min="116" max="116" width="10.33203125" style="2" bestFit="1" customWidth="1"/>
    <col min="117" max="118" width="10.5546875" style="2" bestFit="1" customWidth="1"/>
    <col min="119" max="119" width="16.6640625" style="2" bestFit="1" customWidth="1"/>
    <col min="120" max="120" width="7.6640625" style="2" bestFit="1" customWidth="1"/>
    <col min="121" max="122" width="10.44140625" style="2" bestFit="1" customWidth="1"/>
    <col min="123" max="123" width="17.33203125" style="2" bestFit="1" customWidth="1"/>
    <col min="124" max="125" width="10.109375" style="2" bestFit="1" customWidth="1"/>
    <col min="126" max="127" width="12.44140625" style="2" bestFit="1" customWidth="1"/>
    <col min="128" max="128" width="8.6640625" style="2" bestFit="1" customWidth="1"/>
    <col min="129" max="131" width="8.6640625" style="2" customWidth="1"/>
    <col min="132" max="132" width="9.21875" style="2" customWidth="1"/>
    <col min="133" max="133" width="28.6640625" style="2" customWidth="1"/>
    <col min="134" max="134" width="9" style="2" customWidth="1"/>
    <col min="135" max="135" width="11.6640625" style="2" customWidth="1"/>
    <col min="136" max="137" width="9.21875" style="2" customWidth="1"/>
    <col min="138" max="138" width="10.44140625" style="2" customWidth="1"/>
    <col min="139" max="139" width="11.6640625" style="2" customWidth="1"/>
    <col min="140" max="140" width="9.21875" style="2" customWidth="1"/>
    <col min="141" max="141" width="10.44140625" style="2" customWidth="1"/>
    <col min="142" max="142" width="20.109375" style="2" customWidth="1"/>
    <col min="143" max="143" width="37.77734375" style="2" customWidth="1"/>
    <col min="144" max="144" width="43.21875" style="2" customWidth="1"/>
    <col min="145" max="145" width="9.21875" style="2" customWidth="1"/>
    <col min="146" max="146" width="13.77734375" style="2" customWidth="1"/>
    <col min="147" max="147" width="37.109375" style="2" customWidth="1"/>
    <col min="148" max="148" width="10.44140625" style="2" customWidth="1"/>
    <col min="149" max="154" width="9.21875" style="2" customWidth="1"/>
    <col min="155" max="155" width="12.33203125" style="2" bestFit="1" customWidth="1"/>
    <col min="156" max="156" width="11.109375" style="2" customWidth="1"/>
    <col min="157" max="157" width="11.6640625" style="2" bestFit="1" customWidth="1"/>
    <col min="158" max="158" width="11.6640625" style="2" customWidth="1"/>
    <col min="159" max="159" width="4.77734375" style="2" bestFit="1" customWidth="1"/>
    <col min="160" max="160" width="7.44140625" style="2" bestFit="1" customWidth="1"/>
    <col min="161" max="16384" width="8.88671875" style="2"/>
  </cols>
  <sheetData>
    <row r="1" spans="1:104" ht="66" customHeight="1" x14ac:dyDescent="0.25">
      <c r="A1" s="44" t="s">
        <v>205</v>
      </c>
      <c r="B1" s="7"/>
      <c r="K1" s="52" t="s">
        <v>171</v>
      </c>
      <c r="L1" s="146" t="s">
        <v>480</v>
      </c>
      <c r="Q1" s="43">
        <v>44951</v>
      </c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X1" s="2"/>
      <c r="CY1" s="2"/>
    </row>
    <row r="2" spans="1:104" ht="66" customHeight="1" x14ac:dyDescent="0.25">
      <c r="A2" s="45" t="s">
        <v>108</v>
      </c>
      <c r="K2" s="22" t="s">
        <v>6</v>
      </c>
      <c r="L2" s="144" t="s">
        <v>479</v>
      </c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X2" s="2"/>
      <c r="CY2" s="2"/>
    </row>
    <row r="3" spans="1:104" ht="23.25" customHeight="1" x14ac:dyDescent="0.3">
      <c r="A3" s="72" t="s">
        <v>260</v>
      </c>
      <c r="B3" s="53"/>
      <c r="C3" s="70"/>
      <c r="I3" s="23"/>
      <c r="BZ3" s="2"/>
      <c r="CA3" s="2"/>
      <c r="CB3" s="2"/>
      <c r="CD3" s="2"/>
      <c r="CK3" s="2"/>
      <c r="CL3" s="2"/>
      <c r="CM3" s="2"/>
      <c r="CN3" s="2"/>
      <c r="CO3" s="2"/>
      <c r="CP3" s="2"/>
      <c r="CQ3" s="2"/>
      <c r="CR3" s="2"/>
      <c r="CS3" s="2"/>
      <c r="CX3" s="2"/>
      <c r="CY3" s="2"/>
    </row>
    <row r="4" spans="1:104" ht="23.25" customHeight="1" x14ac:dyDescent="0.25">
      <c r="A4" s="73" t="s">
        <v>254</v>
      </c>
      <c r="B4" s="54">
        <f>MAX(DLDconso[Index])</f>
        <v>9</v>
      </c>
      <c r="C4" s="70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X4" s="2"/>
      <c r="CY4" s="2"/>
    </row>
    <row r="5" spans="1:104" ht="23.25" customHeight="1" x14ac:dyDescent="0.25">
      <c r="A5" s="73" t="s">
        <v>255</v>
      </c>
      <c r="B5" s="54" t="e">
        <f>MAX(#REF!)</f>
        <v>#REF!</v>
      </c>
      <c r="C5" s="71" t="e">
        <f>$B$5-B$4</f>
        <v>#REF!</v>
      </c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X5" s="2"/>
      <c r="CY5" s="2"/>
    </row>
    <row r="6" spans="1:104" ht="23.25" customHeight="1" x14ac:dyDescent="0.25">
      <c r="A6" s="74" t="s">
        <v>256</v>
      </c>
      <c r="B6" s="55">
        <f>MAX(台账23[台账序号])</f>
        <v>68</v>
      </c>
      <c r="C6" s="70"/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X6" s="2"/>
      <c r="CY6" s="2"/>
    </row>
    <row r="7" spans="1:104" ht="23.25" customHeight="1" x14ac:dyDescent="0.25"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X7" s="2"/>
      <c r="CY7" s="2"/>
    </row>
    <row r="8" spans="1:104" ht="14.25" customHeight="1" x14ac:dyDescent="0.25"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X8" s="2"/>
      <c r="CY8" s="2"/>
    </row>
    <row r="9" spans="1:104" ht="11.25" x14ac:dyDescent="0.25"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X9" s="2"/>
      <c r="CY9" s="2"/>
    </row>
    <row r="10" spans="1:104" ht="15" x14ac:dyDescent="0.25">
      <c r="A10" t="s">
        <v>315</v>
      </c>
      <c r="B10" t="s">
        <v>317</v>
      </c>
      <c r="N10" t="s">
        <v>86</v>
      </c>
      <c r="O10" s="34" t="s">
        <v>94</v>
      </c>
      <c r="P10" s="34" t="s">
        <v>48</v>
      </c>
      <c r="Q10" s="34" t="s">
        <v>49</v>
      </c>
      <c r="R10" s="34" t="s">
        <v>98</v>
      </c>
      <c r="S10" s="34" t="s">
        <v>50</v>
      </c>
      <c r="T10" t="s">
        <v>179</v>
      </c>
      <c r="U10" t="s">
        <v>136</v>
      </c>
      <c r="V10" t="s">
        <v>244</v>
      </c>
      <c r="W10" s="34" t="s">
        <v>47</v>
      </c>
      <c r="X10" s="34" t="s">
        <v>99</v>
      </c>
      <c r="Y10" s="34" t="s">
        <v>57</v>
      </c>
      <c r="Z10" s="34" t="s">
        <v>64</v>
      </c>
      <c r="AA10" s="34" t="s">
        <v>58</v>
      </c>
      <c r="AB10" t="s">
        <v>428</v>
      </c>
      <c r="AC10" s="34" t="s">
        <v>52</v>
      </c>
      <c r="AD10" s="34" t="s">
        <v>100</v>
      </c>
      <c r="AE10" t="s">
        <v>208</v>
      </c>
      <c r="AF10" t="s">
        <v>209</v>
      </c>
      <c r="AG10" s="34" t="s">
        <v>54</v>
      </c>
      <c r="AH10" t="s">
        <v>335</v>
      </c>
      <c r="AI10" t="s">
        <v>245</v>
      </c>
      <c r="AJ10" s="34" t="s">
        <v>55</v>
      </c>
      <c r="AK10" s="34" t="s">
        <v>56</v>
      </c>
      <c r="AL10" s="34" t="s">
        <v>59</v>
      </c>
      <c r="AM10" s="34" t="s">
        <v>60</v>
      </c>
      <c r="AN10" s="34" t="s">
        <v>95</v>
      </c>
      <c r="AO10" s="34" t="s">
        <v>45</v>
      </c>
      <c r="AP10" s="34" t="s">
        <v>46</v>
      </c>
      <c r="AQ10" s="34" t="s">
        <v>133</v>
      </c>
      <c r="AR10" s="34" t="s">
        <v>61</v>
      </c>
      <c r="AS10" s="34" t="s">
        <v>62</v>
      </c>
      <c r="AT10" s="34" t="s">
        <v>63</v>
      </c>
      <c r="AU10" s="34" t="s">
        <v>65</v>
      </c>
      <c r="AV10" t="s">
        <v>201</v>
      </c>
      <c r="AW10" s="34" t="s">
        <v>44</v>
      </c>
      <c r="AX10" s="34" t="s">
        <v>96</v>
      </c>
      <c r="AY10" s="34" t="s">
        <v>178</v>
      </c>
      <c r="AZ10" s="34" t="s">
        <v>51</v>
      </c>
      <c r="BA10" s="34" t="s">
        <v>43</v>
      </c>
      <c r="BB10" t="s">
        <v>223</v>
      </c>
      <c r="BC10" s="34" t="s">
        <v>42</v>
      </c>
      <c r="BD10" s="34" t="s">
        <v>97</v>
      </c>
      <c r="BE10" t="s">
        <v>224</v>
      </c>
      <c r="BF10" t="s">
        <v>225</v>
      </c>
      <c r="BG10" t="s">
        <v>226</v>
      </c>
      <c r="BH10" t="s">
        <v>227</v>
      </c>
      <c r="BI10" s="34" t="s">
        <v>66</v>
      </c>
      <c r="BJ10" s="34" t="s">
        <v>101</v>
      </c>
      <c r="BK10" s="34" t="s">
        <v>102</v>
      </c>
      <c r="BL10" s="34" t="s">
        <v>67</v>
      </c>
      <c r="BM10" s="34" t="s">
        <v>68</v>
      </c>
      <c r="BN10" s="34" t="s">
        <v>69</v>
      </c>
      <c r="BO10" s="34" t="s">
        <v>103</v>
      </c>
      <c r="BP10" s="34" t="s">
        <v>70</v>
      </c>
      <c r="BQ10" s="34" t="s">
        <v>71</v>
      </c>
      <c r="BR10" s="34" t="s">
        <v>73</v>
      </c>
      <c r="BS10" t="s">
        <v>229</v>
      </c>
      <c r="BT10" s="34" t="s">
        <v>72</v>
      </c>
      <c r="BU10" s="34" t="s">
        <v>74</v>
      </c>
      <c r="BV10" s="34" t="s">
        <v>104</v>
      </c>
      <c r="BW10" s="34" t="s">
        <v>75</v>
      </c>
      <c r="BX10" t="s">
        <v>228</v>
      </c>
      <c r="BY10" s="34" t="s">
        <v>76</v>
      </c>
      <c r="BZ10" s="34" t="s">
        <v>77</v>
      </c>
      <c r="CA10" s="34" t="s">
        <v>78</v>
      </c>
      <c r="CB10" s="34" t="s">
        <v>79</v>
      </c>
      <c r="CC10" s="34" t="s">
        <v>80</v>
      </c>
      <c r="CD10" s="34" t="s">
        <v>105</v>
      </c>
      <c r="CE10" s="34" t="s">
        <v>81</v>
      </c>
      <c r="CF10" s="34" t="s">
        <v>82</v>
      </c>
      <c r="CG10" t="s">
        <v>336</v>
      </c>
      <c r="CH10" t="s">
        <v>148</v>
      </c>
      <c r="CI10" t="s">
        <v>437</v>
      </c>
      <c r="CJ10" t="s">
        <v>89</v>
      </c>
      <c r="CK10" t="s">
        <v>210</v>
      </c>
      <c r="CL10" t="s">
        <v>142</v>
      </c>
      <c r="CM10" t="s">
        <v>313</v>
      </c>
      <c r="CN10" t="s">
        <v>117</v>
      </c>
      <c r="CO10" t="s">
        <v>230</v>
      </c>
      <c r="CP10" t="s">
        <v>195</v>
      </c>
      <c r="CQ10" t="s">
        <v>237</v>
      </c>
      <c r="CR10" t="s">
        <v>270</v>
      </c>
      <c r="CS10" t="s">
        <v>175</v>
      </c>
      <c r="CT10" t="s">
        <v>176</v>
      </c>
      <c r="CU10" t="s">
        <v>213</v>
      </c>
      <c r="CV10" t="s">
        <v>177</v>
      </c>
      <c r="CW10" t="s">
        <v>314</v>
      </c>
      <c r="CX10" t="s">
        <v>146</v>
      </c>
      <c r="CY10" t="s">
        <v>119</v>
      </c>
      <c r="CZ10" s="34" t="s">
        <v>141</v>
      </c>
    </row>
    <row r="11" spans="1:104" ht="15" x14ac:dyDescent="0.25">
      <c r="A11" t="s">
        <v>171</v>
      </c>
      <c r="B11" s="130" t="s">
        <v>6</v>
      </c>
      <c r="N11" s="147">
        <v>1</v>
      </c>
      <c r="O11" s="150" t="s">
        <v>541</v>
      </c>
      <c r="P11" s="151" t="s">
        <v>525</v>
      </c>
      <c r="Q11" s="152">
        <v>45197</v>
      </c>
      <c r="R11" s="152" t="s">
        <v>589</v>
      </c>
      <c r="S11" s="150" t="s">
        <v>589</v>
      </c>
      <c r="T11" s="150" t="s">
        <v>542</v>
      </c>
      <c r="U11" s="153" t="s">
        <v>83</v>
      </c>
      <c r="V11" s="153" t="s">
        <v>576</v>
      </c>
      <c r="W11" s="150" t="s">
        <v>600</v>
      </c>
      <c r="X11" s="150" t="s">
        <v>589</v>
      </c>
      <c r="Y11" s="147">
        <v>0.67</v>
      </c>
      <c r="Z11" s="151" t="s">
        <v>85</v>
      </c>
      <c r="AA11" s="150" t="s">
        <v>599</v>
      </c>
      <c r="AB11" s="153">
        <v>8.5</v>
      </c>
      <c r="AC11" s="154">
        <v>46306</v>
      </c>
      <c r="AD11" s="150" t="s">
        <v>598</v>
      </c>
      <c r="AE11" s="153" t="s">
        <v>92</v>
      </c>
      <c r="AF11" s="147" t="s">
        <v>597</v>
      </c>
      <c r="AG11" s="153"/>
      <c r="AH11" s="153" t="s">
        <v>596</v>
      </c>
      <c r="AI11" s="153" t="s">
        <v>595</v>
      </c>
      <c r="AJ11" s="151" t="s">
        <v>92</v>
      </c>
      <c r="AK11" s="150" t="s">
        <v>594</v>
      </c>
      <c r="AL11" s="153">
        <v>100</v>
      </c>
      <c r="AM11" s="150"/>
      <c r="AN11" s="150" t="s">
        <v>593</v>
      </c>
      <c r="AO11" s="150" t="s">
        <v>592</v>
      </c>
      <c r="AP11" s="150" t="s">
        <v>92</v>
      </c>
      <c r="AQ11" s="151"/>
      <c r="AR11" s="150"/>
      <c r="AS11" s="150"/>
      <c r="AT11" s="150"/>
      <c r="AU11" s="150" t="s">
        <v>591</v>
      </c>
      <c r="AV11" s="153" t="s">
        <v>339</v>
      </c>
      <c r="AW11" s="150" t="s">
        <v>590</v>
      </c>
      <c r="AX11" s="151" t="s">
        <v>92</v>
      </c>
      <c r="AY11" s="150" t="s">
        <v>589</v>
      </c>
      <c r="AZ11" s="151" t="s">
        <v>432</v>
      </c>
      <c r="BA11" s="150" t="s">
        <v>1</v>
      </c>
      <c r="BB11" s="153" t="s">
        <v>588</v>
      </c>
      <c r="BC11" s="150" t="s">
        <v>131</v>
      </c>
      <c r="BD11" s="150" t="s">
        <v>587</v>
      </c>
      <c r="BE11" s="147"/>
      <c r="BF11" s="147" t="s">
        <v>92</v>
      </c>
      <c r="BG11" s="147" t="s">
        <v>92</v>
      </c>
      <c r="BH11" s="147" t="s">
        <v>586</v>
      </c>
      <c r="BI11" s="151" t="s">
        <v>585</v>
      </c>
      <c r="BJ11" s="147">
        <v>1000</v>
      </c>
      <c r="BK11" s="153">
        <v>0.67</v>
      </c>
      <c r="BL11" s="154">
        <v>45210</v>
      </c>
      <c r="BM11" s="154"/>
      <c r="BN11" s="150" t="s">
        <v>92</v>
      </c>
      <c r="BO11" s="147">
        <v>8.5</v>
      </c>
      <c r="BP11" s="154">
        <v>45393</v>
      </c>
      <c r="BQ11" s="150" t="s">
        <v>541</v>
      </c>
      <c r="BR11" s="154">
        <v>45210</v>
      </c>
      <c r="BS11" s="147" t="s">
        <v>584</v>
      </c>
      <c r="BT11" s="151" t="s">
        <v>92</v>
      </c>
      <c r="BU11" s="154">
        <v>45210</v>
      </c>
      <c r="BV11" s="150" t="s">
        <v>583</v>
      </c>
      <c r="BW11" s="151" t="s">
        <v>582</v>
      </c>
      <c r="BX11" s="147" t="s">
        <v>581</v>
      </c>
      <c r="BY11" s="150" t="s">
        <v>580</v>
      </c>
      <c r="BZ11" s="150" t="s">
        <v>580</v>
      </c>
      <c r="CA11" s="150" t="s">
        <v>579</v>
      </c>
      <c r="CB11" s="150" t="s">
        <v>578</v>
      </c>
      <c r="CC11" s="150" t="s">
        <v>577</v>
      </c>
      <c r="CD11" s="151" t="s">
        <v>92</v>
      </c>
      <c r="CE11" s="150" t="s">
        <v>132</v>
      </c>
      <c r="CF11" s="151" t="s">
        <v>92</v>
      </c>
      <c r="CG11" s="153" t="s">
        <v>92</v>
      </c>
      <c r="CH11" s="145" t="s">
        <v>150</v>
      </c>
      <c r="CI11" s="153" t="s">
        <v>249</v>
      </c>
      <c r="CJ11" s="153" t="s">
        <v>20</v>
      </c>
      <c r="CK11" s="145" t="s">
        <v>92</v>
      </c>
      <c r="CL11" s="145" t="s">
        <v>92</v>
      </c>
      <c r="CM11" s="148"/>
      <c r="CN11" s="153" t="s">
        <v>693</v>
      </c>
      <c r="CO11" s="153" t="s">
        <v>267</v>
      </c>
      <c r="CP11" s="148">
        <v>43088</v>
      </c>
      <c r="CQ11" s="153" t="s">
        <v>257</v>
      </c>
      <c r="CR11" s="153" t="s">
        <v>7</v>
      </c>
      <c r="CS11" s="153">
        <v>0.67</v>
      </c>
      <c r="CT11" s="153">
        <v>4.8869999999999996</v>
      </c>
      <c r="CU11" s="153">
        <v>5.2450000000000001</v>
      </c>
      <c r="CV11" s="147" t="s">
        <v>7</v>
      </c>
      <c r="CW11" s="153" t="s">
        <v>92</v>
      </c>
      <c r="CX11" s="153" t="s">
        <v>92</v>
      </c>
      <c r="CY11" s="153"/>
      <c r="CZ11" s="147" t="s">
        <v>546</v>
      </c>
    </row>
    <row r="12" spans="1:104" ht="15" x14ac:dyDescent="0.25">
      <c r="A12" t="s">
        <v>341</v>
      </c>
      <c r="B12" s="131">
        <v>45201</v>
      </c>
      <c r="N12" s="147">
        <v>2</v>
      </c>
      <c r="O12" s="150" t="s">
        <v>493</v>
      </c>
      <c r="P12" s="151" t="s">
        <v>492</v>
      </c>
      <c r="Q12" s="152">
        <v>45197</v>
      </c>
      <c r="R12" s="152" t="s">
        <v>589</v>
      </c>
      <c r="S12" s="150" t="s">
        <v>589</v>
      </c>
      <c r="T12" s="150" t="s">
        <v>83</v>
      </c>
      <c r="U12" s="153" t="s">
        <v>83</v>
      </c>
      <c r="V12" s="153" t="s">
        <v>633</v>
      </c>
      <c r="W12" s="150" t="s">
        <v>644</v>
      </c>
      <c r="X12" s="150" t="s">
        <v>589</v>
      </c>
      <c r="Y12" s="147">
        <v>0.16</v>
      </c>
      <c r="Z12" s="151" t="s">
        <v>85</v>
      </c>
      <c r="AA12" s="150" t="s">
        <v>599</v>
      </c>
      <c r="AB12" s="153">
        <v>7.1</v>
      </c>
      <c r="AC12" s="154">
        <v>46311</v>
      </c>
      <c r="AD12" s="150" t="s">
        <v>631</v>
      </c>
      <c r="AE12" s="153" t="s">
        <v>92</v>
      </c>
      <c r="AF12" s="147" t="s">
        <v>494</v>
      </c>
      <c r="AG12" s="153"/>
      <c r="AH12" s="153" t="s">
        <v>596</v>
      </c>
      <c r="AI12" s="153" t="s">
        <v>613</v>
      </c>
      <c r="AJ12" s="151" t="s">
        <v>643</v>
      </c>
      <c r="AK12" s="150" t="s">
        <v>594</v>
      </c>
      <c r="AL12" s="153">
        <v>100</v>
      </c>
      <c r="AM12" s="150"/>
      <c r="AN12" s="150" t="s">
        <v>642</v>
      </c>
      <c r="AO12" s="150" t="s">
        <v>641</v>
      </c>
      <c r="AP12" s="150" t="s">
        <v>640</v>
      </c>
      <c r="AQ12" s="151"/>
      <c r="AR12" s="150"/>
      <c r="AS12" s="150"/>
      <c r="AT12" s="150"/>
      <c r="AU12" s="150" t="s">
        <v>639</v>
      </c>
      <c r="AV12" s="153" t="s">
        <v>259</v>
      </c>
      <c r="AW12" s="150" t="s">
        <v>590</v>
      </c>
      <c r="AX12" s="151" t="s">
        <v>92</v>
      </c>
      <c r="AY12" s="150" t="s">
        <v>589</v>
      </c>
      <c r="AZ12" s="151" t="s">
        <v>638</v>
      </c>
      <c r="BA12" s="150" t="s">
        <v>1</v>
      </c>
      <c r="BB12" s="153" t="s">
        <v>625</v>
      </c>
      <c r="BC12" s="150" t="s">
        <v>131</v>
      </c>
      <c r="BD12" s="150" t="s">
        <v>624</v>
      </c>
      <c r="BE12" s="147"/>
      <c r="BF12" s="147" t="s">
        <v>92</v>
      </c>
      <c r="BG12" s="147" t="s">
        <v>92</v>
      </c>
      <c r="BH12" s="147" t="s">
        <v>637</v>
      </c>
      <c r="BI12" s="151" t="s">
        <v>636</v>
      </c>
      <c r="BJ12" s="147">
        <v>1000</v>
      </c>
      <c r="BK12" s="153">
        <v>1</v>
      </c>
      <c r="BL12" s="154">
        <v>45215</v>
      </c>
      <c r="BM12" s="154"/>
      <c r="BN12" s="150" t="s">
        <v>92</v>
      </c>
      <c r="BO12" s="147">
        <v>7.1</v>
      </c>
      <c r="BP12" s="154">
        <v>45398</v>
      </c>
      <c r="BQ12" s="150" t="s">
        <v>493</v>
      </c>
      <c r="BR12" s="154">
        <v>45215</v>
      </c>
      <c r="BS12" s="147" t="s">
        <v>494</v>
      </c>
      <c r="BT12" s="151" t="s">
        <v>92</v>
      </c>
      <c r="BU12" s="154">
        <v>45215</v>
      </c>
      <c r="BV12" s="150" t="s">
        <v>604</v>
      </c>
      <c r="BW12" s="151" t="s">
        <v>635</v>
      </c>
      <c r="BX12" s="147" t="s">
        <v>634</v>
      </c>
      <c r="BY12" s="150" t="s">
        <v>580</v>
      </c>
      <c r="BZ12" s="150" t="s">
        <v>580</v>
      </c>
      <c r="CA12" s="150" t="s">
        <v>579</v>
      </c>
      <c r="CB12" s="150" t="s">
        <v>578</v>
      </c>
      <c r="CC12" s="150" t="s">
        <v>577</v>
      </c>
      <c r="CD12" s="151" t="s">
        <v>92</v>
      </c>
      <c r="CE12" s="150" t="s">
        <v>132</v>
      </c>
      <c r="CF12" s="151" t="s">
        <v>92</v>
      </c>
      <c r="CG12" s="153" t="s">
        <v>92</v>
      </c>
      <c r="CH12" s="145" t="s">
        <v>7</v>
      </c>
      <c r="CI12" s="153" t="s">
        <v>249</v>
      </c>
      <c r="CJ12" s="153" t="s">
        <v>15</v>
      </c>
      <c r="CK12" s="145" t="s">
        <v>92</v>
      </c>
      <c r="CL12" s="145" t="s">
        <v>92</v>
      </c>
      <c r="CM12" s="148"/>
      <c r="CN12" s="153" t="s">
        <v>696</v>
      </c>
      <c r="CO12" s="153" t="s">
        <v>267</v>
      </c>
      <c r="CP12" s="148">
        <v>43896</v>
      </c>
      <c r="CQ12" s="153" t="s">
        <v>257</v>
      </c>
      <c r="CR12" s="153" t="s">
        <v>7</v>
      </c>
      <c r="CS12" s="153">
        <v>0.16</v>
      </c>
      <c r="CT12" s="153">
        <v>1.167</v>
      </c>
      <c r="CU12" s="153">
        <v>1.252</v>
      </c>
      <c r="CV12" s="147" t="s">
        <v>7</v>
      </c>
      <c r="CW12" s="153" t="s">
        <v>92</v>
      </c>
      <c r="CX12" s="153" t="s">
        <v>92</v>
      </c>
      <c r="CY12" s="153"/>
      <c r="CZ12" s="147" t="s">
        <v>536</v>
      </c>
    </row>
    <row r="13" spans="1:104" ht="15" x14ac:dyDescent="0.25">
      <c r="A13" t="s">
        <v>342</v>
      </c>
      <c r="B13" s="130">
        <v>45205.573449768519</v>
      </c>
      <c r="N13" s="147">
        <v>3</v>
      </c>
      <c r="O13" s="150" t="s">
        <v>557</v>
      </c>
      <c r="P13" s="151" t="s">
        <v>556</v>
      </c>
      <c r="Q13" s="152">
        <v>45196</v>
      </c>
      <c r="R13" s="152" t="s">
        <v>589</v>
      </c>
      <c r="S13" s="150" t="s">
        <v>589</v>
      </c>
      <c r="T13" s="150" t="s">
        <v>83</v>
      </c>
      <c r="U13" s="153" t="s">
        <v>83</v>
      </c>
      <c r="V13" s="153" t="s">
        <v>657</v>
      </c>
      <c r="W13" s="150" t="s">
        <v>665</v>
      </c>
      <c r="X13" s="150" t="s">
        <v>589</v>
      </c>
      <c r="Y13" s="147">
        <v>1</v>
      </c>
      <c r="Z13" s="151" t="s">
        <v>85</v>
      </c>
      <c r="AA13" s="150" t="s">
        <v>655</v>
      </c>
      <c r="AB13" s="153">
        <v>6.4</v>
      </c>
      <c r="AC13" s="154">
        <v>45573</v>
      </c>
      <c r="AD13" s="150" t="s">
        <v>110</v>
      </c>
      <c r="AE13" s="153" t="s">
        <v>92</v>
      </c>
      <c r="AF13" s="147" t="s">
        <v>92</v>
      </c>
      <c r="AG13" s="153"/>
      <c r="AH13" s="153" t="s">
        <v>596</v>
      </c>
      <c r="AI13" s="153" t="s">
        <v>595</v>
      </c>
      <c r="AJ13" s="151" t="s">
        <v>92</v>
      </c>
      <c r="AK13" s="150" t="s">
        <v>594</v>
      </c>
      <c r="AL13" s="153">
        <v>100</v>
      </c>
      <c r="AM13" s="150"/>
      <c r="AN13" s="150" t="s">
        <v>664</v>
      </c>
      <c r="AO13" s="150" t="s">
        <v>663</v>
      </c>
      <c r="AP13" s="150" t="s">
        <v>92</v>
      </c>
      <c r="AQ13" s="151"/>
      <c r="AR13" s="150"/>
      <c r="AS13" s="150"/>
      <c r="AT13" s="150"/>
      <c r="AU13" s="150" t="s">
        <v>662</v>
      </c>
      <c r="AV13" s="153" t="s">
        <v>339</v>
      </c>
      <c r="AW13" s="150" t="s">
        <v>590</v>
      </c>
      <c r="AX13" s="151" t="s">
        <v>92</v>
      </c>
      <c r="AY13" s="150" t="s">
        <v>589</v>
      </c>
      <c r="AZ13" s="151" t="s">
        <v>638</v>
      </c>
      <c r="BA13" s="150" t="s">
        <v>1</v>
      </c>
      <c r="BB13" s="153" t="s">
        <v>650</v>
      </c>
      <c r="BC13" s="150" t="s">
        <v>131</v>
      </c>
      <c r="BD13" s="150" t="s">
        <v>624</v>
      </c>
      <c r="BE13" s="147"/>
      <c r="BF13" s="147" t="s">
        <v>92</v>
      </c>
      <c r="BG13" s="147" t="s">
        <v>92</v>
      </c>
      <c r="BH13" s="147" t="s">
        <v>92</v>
      </c>
      <c r="BI13" s="151" t="s">
        <v>661</v>
      </c>
      <c r="BJ13" s="147">
        <v>1000</v>
      </c>
      <c r="BK13" s="153">
        <v>1</v>
      </c>
      <c r="BL13" s="154">
        <v>45209</v>
      </c>
      <c r="BM13" s="154"/>
      <c r="BN13" s="150" t="s">
        <v>92</v>
      </c>
      <c r="BO13" s="147">
        <v>6.4</v>
      </c>
      <c r="BP13" s="154">
        <v>45392</v>
      </c>
      <c r="BQ13" s="150" t="s">
        <v>660</v>
      </c>
      <c r="BR13" s="154">
        <v>45209</v>
      </c>
      <c r="BS13" s="147" t="s">
        <v>92</v>
      </c>
      <c r="BT13" s="151" t="s">
        <v>92</v>
      </c>
      <c r="BU13" s="154">
        <v>45209</v>
      </c>
      <c r="BV13" s="150" t="s">
        <v>92</v>
      </c>
      <c r="BW13" s="151" t="s">
        <v>659</v>
      </c>
      <c r="BX13" s="147" t="s">
        <v>658</v>
      </c>
      <c r="BY13" s="150" t="s">
        <v>580</v>
      </c>
      <c r="BZ13" s="150" t="s">
        <v>580</v>
      </c>
      <c r="CA13" s="150" t="s">
        <v>579</v>
      </c>
      <c r="CB13" s="150" t="s">
        <v>578</v>
      </c>
      <c r="CC13" s="150" t="s">
        <v>577</v>
      </c>
      <c r="CD13" s="151" t="s">
        <v>92</v>
      </c>
      <c r="CE13" s="150" t="s">
        <v>132</v>
      </c>
      <c r="CF13" s="151" t="s">
        <v>92</v>
      </c>
      <c r="CG13" s="153" t="s">
        <v>92</v>
      </c>
      <c r="CH13" s="145" t="s">
        <v>7</v>
      </c>
      <c r="CI13" s="153" t="s">
        <v>249</v>
      </c>
      <c r="CJ13" s="153" t="s">
        <v>25</v>
      </c>
      <c r="CK13" s="145" t="s">
        <v>92</v>
      </c>
      <c r="CL13" s="145" t="s">
        <v>92</v>
      </c>
      <c r="CM13" s="148"/>
      <c r="CN13" s="153" t="s">
        <v>697</v>
      </c>
      <c r="CO13" s="153" t="s">
        <v>267</v>
      </c>
      <c r="CP13" s="148">
        <v>44844</v>
      </c>
      <c r="CQ13" s="153" t="s">
        <v>257</v>
      </c>
      <c r="CR13" s="153" t="s">
        <v>7</v>
      </c>
      <c r="CS13" s="153">
        <v>1</v>
      </c>
      <c r="CT13" s="153">
        <v>7.3140000000000001</v>
      </c>
      <c r="CU13" s="153">
        <v>7.8209999999999997</v>
      </c>
      <c r="CV13" s="147" t="s">
        <v>7</v>
      </c>
      <c r="CW13" s="153" t="s">
        <v>92</v>
      </c>
      <c r="CX13" s="153" t="s">
        <v>92</v>
      </c>
      <c r="CY13" s="153"/>
      <c r="CZ13" s="147" t="s">
        <v>561</v>
      </c>
    </row>
    <row r="14" spans="1:104" ht="15" x14ac:dyDescent="0.25">
      <c r="A14" t="s">
        <v>343</v>
      </c>
      <c r="B14" s="130">
        <v>45205.573449791664</v>
      </c>
      <c r="N14" s="147">
        <v>4</v>
      </c>
      <c r="O14" s="150" t="s">
        <v>538</v>
      </c>
      <c r="P14" s="151" t="s">
        <v>537</v>
      </c>
      <c r="Q14" s="152">
        <v>45197</v>
      </c>
      <c r="R14" s="152" t="s">
        <v>589</v>
      </c>
      <c r="S14" s="150" t="s">
        <v>589</v>
      </c>
      <c r="T14" s="150" t="s">
        <v>83</v>
      </c>
      <c r="U14" s="153" t="s">
        <v>83</v>
      </c>
      <c r="V14" s="153" t="s">
        <v>645</v>
      </c>
      <c r="W14" s="150" t="s">
        <v>656</v>
      </c>
      <c r="X14" s="150" t="s">
        <v>589</v>
      </c>
      <c r="Y14" s="147">
        <v>0.9</v>
      </c>
      <c r="Z14" s="151" t="s">
        <v>106</v>
      </c>
      <c r="AA14" s="150" t="s">
        <v>655</v>
      </c>
      <c r="AB14" s="153">
        <v>7.5</v>
      </c>
      <c r="AC14" s="154">
        <v>45573</v>
      </c>
      <c r="AD14" s="150" t="s">
        <v>110</v>
      </c>
      <c r="AE14" s="153" t="s">
        <v>92</v>
      </c>
      <c r="AF14" s="147" t="s">
        <v>92</v>
      </c>
      <c r="AG14" s="153"/>
      <c r="AH14" s="153" t="s">
        <v>596</v>
      </c>
      <c r="AI14" s="153" t="s">
        <v>595</v>
      </c>
      <c r="AJ14" s="151" t="s">
        <v>92</v>
      </c>
      <c r="AK14" s="150" t="s">
        <v>594</v>
      </c>
      <c r="AL14" s="153">
        <v>100</v>
      </c>
      <c r="AM14" s="150"/>
      <c r="AN14" s="150" t="s">
        <v>654</v>
      </c>
      <c r="AO14" s="150" t="s">
        <v>653</v>
      </c>
      <c r="AP14" s="150" t="s">
        <v>1056</v>
      </c>
      <c r="AQ14" s="151"/>
      <c r="AR14" s="150"/>
      <c r="AS14" s="150"/>
      <c r="AT14" s="150"/>
      <c r="AU14" s="150" t="s">
        <v>652</v>
      </c>
      <c r="AV14" s="153" t="s">
        <v>339</v>
      </c>
      <c r="AW14" s="150" t="s">
        <v>651</v>
      </c>
      <c r="AX14" s="151" t="s">
        <v>92</v>
      </c>
      <c r="AY14" s="150" t="s">
        <v>589</v>
      </c>
      <c r="AZ14" s="151" t="s">
        <v>432</v>
      </c>
      <c r="BA14" s="150" t="s">
        <v>1</v>
      </c>
      <c r="BB14" s="153" t="s">
        <v>650</v>
      </c>
      <c r="BC14" s="150" t="s">
        <v>131</v>
      </c>
      <c r="BD14" s="150" t="s">
        <v>624</v>
      </c>
      <c r="BE14" s="147"/>
      <c r="BF14" s="147" t="s">
        <v>92</v>
      </c>
      <c r="BG14" s="147" t="s">
        <v>92</v>
      </c>
      <c r="BH14" s="147" t="s">
        <v>92</v>
      </c>
      <c r="BI14" s="151" t="s">
        <v>649</v>
      </c>
      <c r="BJ14" s="147">
        <v>10000</v>
      </c>
      <c r="BK14" s="153">
        <v>0.9</v>
      </c>
      <c r="BL14" s="154">
        <v>45209</v>
      </c>
      <c r="BM14" s="154"/>
      <c r="BN14" s="150" t="s">
        <v>92</v>
      </c>
      <c r="BO14" s="147">
        <v>7.5</v>
      </c>
      <c r="BP14" s="154">
        <v>45573</v>
      </c>
      <c r="BQ14" s="150" t="s">
        <v>648</v>
      </c>
      <c r="BR14" s="154">
        <v>45209</v>
      </c>
      <c r="BS14" s="147" t="s">
        <v>92</v>
      </c>
      <c r="BT14" s="151" t="s">
        <v>92</v>
      </c>
      <c r="BU14" s="154">
        <v>45209</v>
      </c>
      <c r="BV14" s="150" t="s">
        <v>92</v>
      </c>
      <c r="BW14" s="151" t="s">
        <v>647</v>
      </c>
      <c r="BX14" s="147" t="s">
        <v>646</v>
      </c>
      <c r="BY14" s="150" t="s">
        <v>580</v>
      </c>
      <c r="BZ14" s="150" t="s">
        <v>580</v>
      </c>
      <c r="CA14" s="150" t="s">
        <v>579</v>
      </c>
      <c r="CB14" s="150" t="s">
        <v>578</v>
      </c>
      <c r="CC14" s="150" t="s">
        <v>577</v>
      </c>
      <c r="CD14" s="151" t="s">
        <v>92</v>
      </c>
      <c r="CE14" s="150" t="s">
        <v>92</v>
      </c>
      <c r="CF14" s="151" t="s">
        <v>92</v>
      </c>
      <c r="CG14" s="153" t="s">
        <v>92</v>
      </c>
      <c r="CH14" s="145" t="s">
        <v>7</v>
      </c>
      <c r="CI14" s="153" t="s">
        <v>249</v>
      </c>
      <c r="CJ14" s="153" t="s">
        <v>10</v>
      </c>
      <c r="CK14" s="145" t="s">
        <v>92</v>
      </c>
      <c r="CL14" s="145" t="s">
        <v>92</v>
      </c>
      <c r="CM14" s="148"/>
      <c r="CN14" s="153" t="s">
        <v>698</v>
      </c>
      <c r="CO14" s="153" t="s">
        <v>267</v>
      </c>
      <c r="CP14" s="148">
        <v>45012</v>
      </c>
      <c r="CQ14" s="153" t="s">
        <v>257</v>
      </c>
      <c r="CR14" s="153" t="s">
        <v>7</v>
      </c>
      <c r="CS14" s="153">
        <v>0.123</v>
      </c>
      <c r="CT14" s="153">
        <v>0.9</v>
      </c>
      <c r="CU14" s="153">
        <v>0.96599999999999997</v>
      </c>
      <c r="CV14" s="147" t="s">
        <v>7</v>
      </c>
      <c r="CW14" s="153" t="s">
        <v>92</v>
      </c>
      <c r="CX14" s="153" t="s">
        <v>92</v>
      </c>
      <c r="CY14" s="153"/>
      <c r="CZ14" s="147" t="s">
        <v>540</v>
      </c>
    </row>
    <row r="15" spans="1:104" ht="15" x14ac:dyDescent="0.25">
      <c r="N15" s="147">
        <v>5</v>
      </c>
      <c r="O15" s="150" t="s">
        <v>529</v>
      </c>
      <c r="P15" s="151" t="s">
        <v>528</v>
      </c>
      <c r="Q15" s="152">
        <v>45197</v>
      </c>
      <c r="R15" s="152" t="s">
        <v>589</v>
      </c>
      <c r="S15" s="150" t="s">
        <v>589</v>
      </c>
      <c r="T15" s="150" t="s">
        <v>484</v>
      </c>
      <c r="U15" s="153" t="s">
        <v>83</v>
      </c>
      <c r="V15" s="153" t="s">
        <v>601</v>
      </c>
      <c r="W15" s="150" t="s">
        <v>616</v>
      </c>
      <c r="X15" s="150" t="s">
        <v>589</v>
      </c>
      <c r="Y15" s="147">
        <v>1</v>
      </c>
      <c r="Z15" s="151" t="s">
        <v>85</v>
      </c>
      <c r="AA15" s="150" t="s">
        <v>599</v>
      </c>
      <c r="AB15" s="153">
        <v>5.9</v>
      </c>
      <c r="AC15" s="154">
        <v>46306</v>
      </c>
      <c r="AD15" s="150" t="s">
        <v>598</v>
      </c>
      <c r="AE15" s="153" t="s">
        <v>615</v>
      </c>
      <c r="AF15" s="147" t="s">
        <v>614</v>
      </c>
      <c r="AG15" s="153">
        <v>20</v>
      </c>
      <c r="AH15" s="153" t="s">
        <v>596</v>
      </c>
      <c r="AI15" s="153" t="s">
        <v>613</v>
      </c>
      <c r="AJ15" s="151" t="s">
        <v>612</v>
      </c>
      <c r="AK15" s="150" t="s">
        <v>594</v>
      </c>
      <c r="AL15" s="153">
        <v>100</v>
      </c>
      <c r="AM15" s="150"/>
      <c r="AN15" s="150" t="s">
        <v>611</v>
      </c>
      <c r="AO15" s="150" t="s">
        <v>610</v>
      </c>
      <c r="AP15" s="150" t="s">
        <v>92</v>
      </c>
      <c r="AQ15" s="151"/>
      <c r="AR15" s="150"/>
      <c r="AS15" s="150"/>
      <c r="AT15" s="150"/>
      <c r="AU15" s="150" t="s">
        <v>609</v>
      </c>
      <c r="AV15" s="153" t="s">
        <v>339</v>
      </c>
      <c r="AW15" s="150" t="s">
        <v>590</v>
      </c>
      <c r="AX15" s="151" t="s">
        <v>92</v>
      </c>
      <c r="AY15" s="150" t="s">
        <v>589</v>
      </c>
      <c r="AZ15" s="151" t="s">
        <v>432</v>
      </c>
      <c r="BA15" s="150" t="s">
        <v>1</v>
      </c>
      <c r="BB15" s="153" t="s">
        <v>588</v>
      </c>
      <c r="BC15" s="150" t="s">
        <v>131</v>
      </c>
      <c r="BD15" s="150" t="s">
        <v>608</v>
      </c>
      <c r="BE15" s="147"/>
      <c r="BF15" s="147" t="s">
        <v>92</v>
      </c>
      <c r="BG15" s="147" t="s">
        <v>92</v>
      </c>
      <c r="BH15" s="147" t="s">
        <v>607</v>
      </c>
      <c r="BI15" s="151" t="s">
        <v>606</v>
      </c>
      <c r="BJ15" s="147">
        <v>1000</v>
      </c>
      <c r="BK15" s="153">
        <v>1</v>
      </c>
      <c r="BL15" s="154">
        <v>45210</v>
      </c>
      <c r="BM15" s="154"/>
      <c r="BN15" s="150" t="s">
        <v>92</v>
      </c>
      <c r="BO15" s="147">
        <v>5.9</v>
      </c>
      <c r="BP15" s="154">
        <v>45393</v>
      </c>
      <c r="BQ15" s="150" t="s">
        <v>529</v>
      </c>
      <c r="BR15" s="154">
        <v>45210</v>
      </c>
      <c r="BS15" s="147" t="s">
        <v>605</v>
      </c>
      <c r="BT15" s="151" t="s">
        <v>92</v>
      </c>
      <c r="BU15" s="154">
        <v>45210</v>
      </c>
      <c r="BV15" s="150" t="s">
        <v>604</v>
      </c>
      <c r="BW15" s="151" t="s">
        <v>603</v>
      </c>
      <c r="BX15" s="147" t="s">
        <v>602</v>
      </c>
      <c r="BY15" s="150" t="s">
        <v>580</v>
      </c>
      <c r="BZ15" s="150" t="s">
        <v>580</v>
      </c>
      <c r="CA15" s="150" t="s">
        <v>579</v>
      </c>
      <c r="CB15" s="150" t="s">
        <v>578</v>
      </c>
      <c r="CC15" s="150" t="s">
        <v>577</v>
      </c>
      <c r="CD15" s="151" t="s">
        <v>92</v>
      </c>
      <c r="CE15" s="150" t="s">
        <v>132</v>
      </c>
      <c r="CF15" s="151" t="s">
        <v>92</v>
      </c>
      <c r="CG15" s="153" t="s">
        <v>92</v>
      </c>
      <c r="CH15" s="145" t="s">
        <v>150</v>
      </c>
      <c r="CI15" s="153" t="s">
        <v>249</v>
      </c>
      <c r="CJ15" s="153" t="s">
        <v>14</v>
      </c>
      <c r="CK15" s="145" t="s">
        <v>92</v>
      </c>
      <c r="CL15" s="145" t="s">
        <v>92</v>
      </c>
      <c r="CM15" s="148"/>
      <c r="CN15" s="153" t="s">
        <v>699</v>
      </c>
      <c r="CO15" s="153" t="s">
        <v>267</v>
      </c>
      <c r="CP15" s="148">
        <v>42712</v>
      </c>
      <c r="CQ15" s="153" t="s">
        <v>257</v>
      </c>
      <c r="CR15" s="153" t="s">
        <v>7</v>
      </c>
      <c r="CS15" s="153">
        <v>1</v>
      </c>
      <c r="CT15" s="153">
        <v>7.2939999999999996</v>
      </c>
      <c r="CU15" s="153">
        <v>7.8280000000000003</v>
      </c>
      <c r="CV15" s="147" t="s">
        <v>7</v>
      </c>
      <c r="CW15" s="153" t="s">
        <v>92</v>
      </c>
      <c r="CX15" s="153" t="s">
        <v>92</v>
      </c>
      <c r="CY15" s="153"/>
      <c r="CZ15" s="147" t="s">
        <v>555</v>
      </c>
    </row>
    <row r="16" spans="1:104" ht="15" x14ac:dyDescent="0.25">
      <c r="A16" t="s">
        <v>262</v>
      </c>
      <c r="N16" s="147">
        <v>6</v>
      </c>
      <c r="O16" s="150" t="s">
        <v>548</v>
      </c>
      <c r="P16" s="151" t="s">
        <v>547</v>
      </c>
      <c r="Q16" s="152">
        <v>45197</v>
      </c>
      <c r="R16" s="152" t="s">
        <v>589</v>
      </c>
      <c r="S16" s="150" t="s">
        <v>589</v>
      </c>
      <c r="T16" s="150" t="s">
        <v>83</v>
      </c>
      <c r="U16" s="153" t="s">
        <v>83</v>
      </c>
      <c r="V16" s="153" t="s">
        <v>617</v>
      </c>
      <c r="W16" s="150" t="s">
        <v>632</v>
      </c>
      <c r="X16" s="150" t="s">
        <v>589</v>
      </c>
      <c r="Y16" s="147">
        <v>15.6</v>
      </c>
      <c r="Z16" s="151" t="s">
        <v>106</v>
      </c>
      <c r="AA16" s="150" t="s">
        <v>599</v>
      </c>
      <c r="AB16" s="153">
        <v>4.8</v>
      </c>
      <c r="AC16" s="154">
        <v>46308</v>
      </c>
      <c r="AD16" s="150" t="s">
        <v>631</v>
      </c>
      <c r="AE16" s="153" t="s">
        <v>630</v>
      </c>
      <c r="AF16" s="147" t="s">
        <v>469</v>
      </c>
      <c r="AG16" s="153">
        <v>0</v>
      </c>
      <c r="AH16" s="153" t="s">
        <v>596</v>
      </c>
      <c r="AI16" s="153" t="s">
        <v>595</v>
      </c>
      <c r="AJ16" s="151" t="s">
        <v>92</v>
      </c>
      <c r="AK16" s="150" t="s">
        <v>594</v>
      </c>
      <c r="AL16" s="153">
        <v>100</v>
      </c>
      <c r="AM16" s="150"/>
      <c r="AN16" s="150" t="s">
        <v>629</v>
      </c>
      <c r="AO16" s="150" t="s">
        <v>628</v>
      </c>
      <c r="AP16" s="150" t="s">
        <v>627</v>
      </c>
      <c r="AQ16" s="151"/>
      <c r="AR16" s="150"/>
      <c r="AS16" s="150"/>
      <c r="AT16" s="150"/>
      <c r="AU16" s="150" t="s">
        <v>626</v>
      </c>
      <c r="AV16" s="153" t="s">
        <v>339</v>
      </c>
      <c r="AW16" s="150" t="s">
        <v>590</v>
      </c>
      <c r="AX16" s="151" t="s">
        <v>92</v>
      </c>
      <c r="AY16" s="150" t="s">
        <v>589</v>
      </c>
      <c r="AZ16" s="151" t="s">
        <v>432</v>
      </c>
      <c r="BA16" s="150" t="s">
        <v>1</v>
      </c>
      <c r="BB16" s="153" t="s">
        <v>625</v>
      </c>
      <c r="BC16" s="150" t="s">
        <v>131</v>
      </c>
      <c r="BD16" s="150" t="s">
        <v>624</v>
      </c>
      <c r="BE16" s="147"/>
      <c r="BF16" s="147" t="s">
        <v>92</v>
      </c>
      <c r="BG16" s="147" t="s">
        <v>92</v>
      </c>
      <c r="BH16" s="147" t="s">
        <v>623</v>
      </c>
      <c r="BI16" s="151" t="s">
        <v>622</v>
      </c>
      <c r="BJ16" s="147">
        <v>10000</v>
      </c>
      <c r="BK16" s="153">
        <v>15.6</v>
      </c>
      <c r="BL16" s="154">
        <v>45212</v>
      </c>
      <c r="BM16" s="154"/>
      <c r="BN16" s="150" t="s">
        <v>92</v>
      </c>
      <c r="BO16" s="147">
        <v>4.8</v>
      </c>
      <c r="BP16" s="154">
        <v>45578</v>
      </c>
      <c r="BQ16" s="150" t="s">
        <v>548</v>
      </c>
      <c r="BR16" s="154">
        <v>45212</v>
      </c>
      <c r="BS16" s="147" t="s">
        <v>469</v>
      </c>
      <c r="BT16" s="151" t="s">
        <v>92</v>
      </c>
      <c r="BU16" s="154">
        <v>45212</v>
      </c>
      <c r="BV16" s="150" t="s">
        <v>621</v>
      </c>
      <c r="BW16" s="151" t="s">
        <v>620</v>
      </c>
      <c r="BX16" s="147" t="s">
        <v>619</v>
      </c>
      <c r="BY16" s="150" t="s">
        <v>580</v>
      </c>
      <c r="BZ16" s="150" t="s">
        <v>580</v>
      </c>
      <c r="CA16" s="150" t="s">
        <v>579</v>
      </c>
      <c r="CB16" s="150" t="s">
        <v>578</v>
      </c>
      <c r="CC16" s="150" t="s">
        <v>577</v>
      </c>
      <c r="CD16" s="151" t="s">
        <v>92</v>
      </c>
      <c r="CE16" s="150" t="s">
        <v>618</v>
      </c>
      <c r="CF16" s="151" t="s">
        <v>92</v>
      </c>
      <c r="CG16" s="153" t="s">
        <v>92</v>
      </c>
      <c r="CH16" s="145" t="s">
        <v>7</v>
      </c>
      <c r="CI16" s="153" t="s">
        <v>249</v>
      </c>
      <c r="CJ16" s="153" t="s">
        <v>19</v>
      </c>
      <c r="CK16" s="145" t="s">
        <v>92</v>
      </c>
      <c r="CL16" s="145" t="s">
        <v>92</v>
      </c>
      <c r="CM16" s="148"/>
      <c r="CN16" s="153" t="s">
        <v>1112</v>
      </c>
      <c r="CO16" s="153" t="s">
        <v>267</v>
      </c>
      <c r="CP16" s="148">
        <v>43763</v>
      </c>
      <c r="CQ16" s="153" t="s">
        <v>257</v>
      </c>
      <c r="CR16" s="153" t="s">
        <v>7</v>
      </c>
      <c r="CS16" s="153">
        <v>2.137</v>
      </c>
      <c r="CT16" s="153">
        <v>15.6</v>
      </c>
      <c r="CU16" s="153">
        <v>16.739000000000001</v>
      </c>
      <c r="CV16" s="147" t="s">
        <v>7</v>
      </c>
      <c r="CW16" s="153" t="s">
        <v>92</v>
      </c>
      <c r="CX16" s="153" t="s">
        <v>92</v>
      </c>
      <c r="CY16" s="153"/>
      <c r="CZ16" s="147" t="s">
        <v>551</v>
      </c>
    </row>
    <row r="17" spans="1:104" ht="15" x14ac:dyDescent="0.25">
      <c r="A17" t="s">
        <v>849</v>
      </c>
      <c r="B17"/>
      <c r="N17" s="147">
        <v>7</v>
      </c>
      <c r="O17" s="150" t="s">
        <v>569</v>
      </c>
      <c r="P17" s="151" t="s">
        <v>568</v>
      </c>
      <c r="Q17" s="152">
        <v>45195</v>
      </c>
      <c r="R17" s="152" t="s">
        <v>589</v>
      </c>
      <c r="S17" s="150" t="s">
        <v>589</v>
      </c>
      <c r="T17" s="150" t="s">
        <v>83</v>
      </c>
      <c r="U17" s="153" t="s">
        <v>83</v>
      </c>
      <c r="V17" s="153" t="s">
        <v>681</v>
      </c>
      <c r="W17" s="150" t="s">
        <v>692</v>
      </c>
      <c r="X17" s="150" t="s">
        <v>589</v>
      </c>
      <c r="Y17" s="147">
        <v>0.66600000000000004</v>
      </c>
      <c r="Z17" s="151" t="s">
        <v>85</v>
      </c>
      <c r="AA17" s="150" t="s">
        <v>691</v>
      </c>
      <c r="AB17" s="153">
        <v>9.6999999999999993</v>
      </c>
      <c r="AC17" s="154">
        <v>45564</v>
      </c>
      <c r="AD17" s="150" t="s">
        <v>110</v>
      </c>
      <c r="AE17" s="153" t="s">
        <v>92</v>
      </c>
      <c r="AF17" s="147" t="s">
        <v>92</v>
      </c>
      <c r="AG17" s="153"/>
      <c r="AH17" s="153" t="s">
        <v>596</v>
      </c>
      <c r="AI17" s="153" t="s">
        <v>690</v>
      </c>
      <c r="AJ17" s="151" t="s">
        <v>92</v>
      </c>
      <c r="AK17" s="150" t="s">
        <v>594</v>
      </c>
      <c r="AL17" s="153">
        <v>100</v>
      </c>
      <c r="AM17" s="150"/>
      <c r="AN17" s="150" t="s">
        <v>689</v>
      </c>
      <c r="AO17" s="150" t="s">
        <v>688</v>
      </c>
      <c r="AP17" s="150" t="s">
        <v>92</v>
      </c>
      <c r="AQ17" s="151"/>
      <c r="AR17" s="150"/>
      <c r="AS17" s="150"/>
      <c r="AT17" s="150"/>
      <c r="AU17" s="150" t="s">
        <v>682</v>
      </c>
      <c r="AV17" s="153" t="s">
        <v>339</v>
      </c>
      <c r="AW17" s="150" t="s">
        <v>476</v>
      </c>
      <c r="AX17" s="151" t="s">
        <v>92</v>
      </c>
      <c r="AY17" s="150" t="s">
        <v>589</v>
      </c>
      <c r="AZ17" s="151" t="s">
        <v>432</v>
      </c>
      <c r="BA17" s="150" t="s">
        <v>1</v>
      </c>
      <c r="BB17" s="153" t="s">
        <v>687</v>
      </c>
      <c r="BC17" s="150" t="s">
        <v>131</v>
      </c>
      <c r="BD17" s="150" t="s">
        <v>624</v>
      </c>
      <c r="BE17" s="147"/>
      <c r="BF17" s="147" t="s">
        <v>92</v>
      </c>
      <c r="BG17" s="147" t="s">
        <v>92</v>
      </c>
      <c r="BH17" s="147" t="s">
        <v>686</v>
      </c>
      <c r="BI17" s="151" t="s">
        <v>685</v>
      </c>
      <c r="BJ17" s="147">
        <v>1000</v>
      </c>
      <c r="BK17" s="153">
        <v>0.66600000000000004</v>
      </c>
      <c r="BL17" s="154">
        <v>45197</v>
      </c>
      <c r="BM17" s="154"/>
      <c r="BN17" s="150" t="s">
        <v>92</v>
      </c>
      <c r="BO17" s="147">
        <v>9.6999999999999993</v>
      </c>
      <c r="BP17" s="154">
        <v>45379</v>
      </c>
      <c r="BQ17" s="150" t="s">
        <v>684</v>
      </c>
      <c r="BR17" s="154">
        <v>45197</v>
      </c>
      <c r="BS17" s="147" t="s">
        <v>683</v>
      </c>
      <c r="BT17" s="151" t="s">
        <v>569</v>
      </c>
      <c r="BU17" s="154">
        <v>45197</v>
      </c>
      <c r="BV17" s="150" t="s">
        <v>583</v>
      </c>
      <c r="BW17" s="151" t="s">
        <v>92</v>
      </c>
      <c r="BX17" s="147" t="s">
        <v>682</v>
      </c>
      <c r="BY17" s="150" t="s">
        <v>580</v>
      </c>
      <c r="BZ17" s="150" t="s">
        <v>580</v>
      </c>
      <c r="CA17" s="150" t="s">
        <v>579</v>
      </c>
      <c r="CB17" s="150" t="s">
        <v>578</v>
      </c>
      <c r="CC17" s="150" t="s">
        <v>577</v>
      </c>
      <c r="CD17" s="151" t="s">
        <v>92</v>
      </c>
      <c r="CE17" s="150" t="s">
        <v>132</v>
      </c>
      <c r="CF17" s="151" t="s">
        <v>92</v>
      </c>
      <c r="CG17" s="153" t="s">
        <v>92</v>
      </c>
      <c r="CH17" s="145" t="s">
        <v>7</v>
      </c>
      <c r="CI17" s="153" t="s">
        <v>249</v>
      </c>
      <c r="CJ17" s="153" t="s">
        <v>23</v>
      </c>
      <c r="CK17" s="145" t="s">
        <v>92</v>
      </c>
      <c r="CL17" s="145" t="s">
        <v>92</v>
      </c>
      <c r="CM17" s="148"/>
      <c r="CN17" s="153" t="s">
        <v>700</v>
      </c>
      <c r="CO17" s="153" t="s">
        <v>267</v>
      </c>
      <c r="CP17" s="148">
        <v>43879</v>
      </c>
      <c r="CQ17" s="153" t="s">
        <v>471</v>
      </c>
      <c r="CR17" s="153" t="s">
        <v>7</v>
      </c>
      <c r="CS17" s="153">
        <v>0.66600000000000004</v>
      </c>
      <c r="CT17" s="153">
        <v>4.87</v>
      </c>
      <c r="CU17" s="153">
        <v>5.21</v>
      </c>
      <c r="CV17" s="147" t="s">
        <v>7</v>
      </c>
      <c r="CW17" s="153" t="s">
        <v>92</v>
      </c>
      <c r="CX17" s="153" t="s">
        <v>92</v>
      </c>
      <c r="CY17" s="153"/>
      <c r="CZ17" s="147" t="s">
        <v>575</v>
      </c>
    </row>
    <row r="18" spans="1:104" ht="15" x14ac:dyDescent="0.25">
      <c r="A18" t="s">
        <v>464</v>
      </c>
      <c r="N18" s="147">
        <v>8</v>
      </c>
      <c r="O18" s="150" t="s">
        <v>563</v>
      </c>
      <c r="P18" s="151" t="s">
        <v>562</v>
      </c>
      <c r="Q18" s="152">
        <v>45196</v>
      </c>
      <c r="R18" s="152" t="s">
        <v>589</v>
      </c>
      <c r="S18" s="150" t="s">
        <v>589</v>
      </c>
      <c r="T18" s="150" t="s">
        <v>83</v>
      </c>
      <c r="U18" s="153" t="s">
        <v>83</v>
      </c>
      <c r="V18" s="153" t="s">
        <v>666</v>
      </c>
      <c r="W18" s="150" t="s">
        <v>680</v>
      </c>
      <c r="X18" s="150" t="s">
        <v>589</v>
      </c>
      <c r="Y18" s="147">
        <v>3</v>
      </c>
      <c r="Z18" s="151" t="s">
        <v>106</v>
      </c>
      <c r="AA18" s="150" t="s">
        <v>679</v>
      </c>
      <c r="AB18" s="153">
        <v>3.69</v>
      </c>
      <c r="AC18" s="154">
        <v>46275</v>
      </c>
      <c r="AD18" s="150" t="s">
        <v>631</v>
      </c>
      <c r="AE18" s="153" t="s">
        <v>678</v>
      </c>
      <c r="AF18" s="147" t="s">
        <v>677</v>
      </c>
      <c r="AG18" s="153">
        <v>30</v>
      </c>
      <c r="AH18" s="153" t="s">
        <v>596</v>
      </c>
      <c r="AI18" s="153" t="s">
        <v>613</v>
      </c>
      <c r="AJ18" s="151" t="s">
        <v>676</v>
      </c>
      <c r="AK18" s="150" t="s">
        <v>594</v>
      </c>
      <c r="AL18" s="153">
        <v>99.974999999999994</v>
      </c>
      <c r="AM18" s="150"/>
      <c r="AN18" s="150" t="s">
        <v>675</v>
      </c>
      <c r="AO18" s="150" t="s">
        <v>674</v>
      </c>
      <c r="AP18" s="150" t="s">
        <v>92</v>
      </c>
      <c r="AQ18" s="151"/>
      <c r="AR18" s="150"/>
      <c r="AS18" s="150"/>
      <c r="AT18" s="150"/>
      <c r="AU18" s="150" t="s">
        <v>673</v>
      </c>
      <c r="AV18" s="153" t="s">
        <v>339</v>
      </c>
      <c r="AW18" s="150" t="s">
        <v>590</v>
      </c>
      <c r="AX18" s="151" t="s">
        <v>92</v>
      </c>
      <c r="AY18" s="150" t="s">
        <v>589</v>
      </c>
      <c r="AZ18" s="151" t="s">
        <v>432</v>
      </c>
      <c r="BA18" s="150" t="s">
        <v>1</v>
      </c>
      <c r="BB18" s="153" t="s">
        <v>672</v>
      </c>
      <c r="BC18" s="150" t="s">
        <v>131</v>
      </c>
      <c r="BD18" s="150" t="s">
        <v>624</v>
      </c>
      <c r="BE18" s="147"/>
      <c r="BF18" s="147" t="s">
        <v>92</v>
      </c>
      <c r="BG18" s="147" t="s">
        <v>92</v>
      </c>
      <c r="BH18" s="147" t="s">
        <v>671</v>
      </c>
      <c r="BI18" s="151" t="s">
        <v>670</v>
      </c>
      <c r="BJ18" s="147">
        <v>10000</v>
      </c>
      <c r="BK18" s="153">
        <v>3</v>
      </c>
      <c r="BL18" s="154">
        <v>45209</v>
      </c>
      <c r="BM18" s="154"/>
      <c r="BN18" s="150" t="s">
        <v>92</v>
      </c>
      <c r="BO18" s="147">
        <v>3.69</v>
      </c>
      <c r="BP18" s="154">
        <v>45392</v>
      </c>
      <c r="BQ18" s="150" t="s">
        <v>563</v>
      </c>
      <c r="BR18" s="154">
        <v>45209</v>
      </c>
      <c r="BS18" s="147" t="s">
        <v>669</v>
      </c>
      <c r="BT18" s="151" t="s">
        <v>92</v>
      </c>
      <c r="BU18" s="154">
        <v>45209</v>
      </c>
      <c r="BV18" s="150" t="s">
        <v>604</v>
      </c>
      <c r="BW18" s="151" t="s">
        <v>668</v>
      </c>
      <c r="BX18" s="147" t="s">
        <v>667</v>
      </c>
      <c r="BY18" s="150" t="s">
        <v>580</v>
      </c>
      <c r="BZ18" s="150" t="s">
        <v>580</v>
      </c>
      <c r="CA18" s="150" t="s">
        <v>579</v>
      </c>
      <c r="CB18" s="150" t="s">
        <v>578</v>
      </c>
      <c r="CC18" s="150" t="s">
        <v>577</v>
      </c>
      <c r="CD18" s="151" t="s">
        <v>92</v>
      </c>
      <c r="CE18" s="150" t="s">
        <v>132</v>
      </c>
      <c r="CF18" s="151" t="s">
        <v>92</v>
      </c>
      <c r="CG18" s="153" t="s">
        <v>92</v>
      </c>
      <c r="CH18" s="145" t="s">
        <v>7</v>
      </c>
      <c r="CI18" s="153" t="s">
        <v>249</v>
      </c>
      <c r="CJ18" s="153" t="s">
        <v>26</v>
      </c>
      <c r="CK18" s="145" t="s">
        <v>92</v>
      </c>
      <c r="CL18" s="145" t="s">
        <v>92</v>
      </c>
      <c r="CM18" s="148"/>
      <c r="CN18" s="153" t="s">
        <v>695</v>
      </c>
      <c r="CO18" s="153" t="s">
        <v>267</v>
      </c>
      <c r="CP18" s="148">
        <v>44376</v>
      </c>
      <c r="CQ18" s="153" t="s">
        <v>257</v>
      </c>
      <c r="CR18" s="153" t="s">
        <v>7</v>
      </c>
      <c r="CS18" s="153">
        <v>0.41099999999999998</v>
      </c>
      <c r="CT18" s="153">
        <v>3</v>
      </c>
      <c r="CU18" s="153">
        <v>3.2069999999999999</v>
      </c>
      <c r="CV18" s="147" t="s">
        <v>7</v>
      </c>
      <c r="CW18" s="153" t="s">
        <v>92</v>
      </c>
      <c r="CX18" s="153" t="s">
        <v>92</v>
      </c>
      <c r="CY18" s="153"/>
      <c r="CZ18" s="147" t="s">
        <v>567</v>
      </c>
    </row>
    <row r="19" spans="1:104" ht="15" x14ac:dyDescent="0.25">
      <c r="N19" s="147">
        <v>9</v>
      </c>
      <c r="O19" s="150" t="s">
        <v>1050</v>
      </c>
      <c r="P19" s="151" t="s">
        <v>1049</v>
      </c>
      <c r="Q19" s="152">
        <v>45194</v>
      </c>
      <c r="R19" s="152" t="s">
        <v>589</v>
      </c>
      <c r="S19" s="150" t="s">
        <v>589</v>
      </c>
      <c r="T19" s="150" t="s">
        <v>83</v>
      </c>
      <c r="U19" s="153" t="s">
        <v>1051</v>
      </c>
      <c r="V19" s="153" t="s">
        <v>1084</v>
      </c>
      <c r="W19" s="150" t="s">
        <v>1097</v>
      </c>
      <c r="X19" s="150" t="s">
        <v>589</v>
      </c>
      <c r="Y19" s="147">
        <v>7.3</v>
      </c>
      <c r="Z19" s="151" t="s">
        <v>106</v>
      </c>
      <c r="AA19" s="150" t="s">
        <v>599</v>
      </c>
      <c r="AB19" s="153">
        <v>3.98</v>
      </c>
      <c r="AC19" s="154">
        <v>46305</v>
      </c>
      <c r="AD19" s="150" t="s">
        <v>598</v>
      </c>
      <c r="AE19" s="153" t="s">
        <v>1096</v>
      </c>
      <c r="AF19" s="147" t="s">
        <v>1087</v>
      </c>
      <c r="AG19" s="153">
        <v>22</v>
      </c>
      <c r="AH19" s="153" t="s">
        <v>596</v>
      </c>
      <c r="AI19" s="153" t="s">
        <v>690</v>
      </c>
      <c r="AJ19" s="151" t="s">
        <v>92</v>
      </c>
      <c r="AK19" s="150" t="s">
        <v>594</v>
      </c>
      <c r="AL19" s="153">
        <v>100</v>
      </c>
      <c r="AM19" s="150"/>
      <c r="AN19" s="150" t="s">
        <v>1095</v>
      </c>
      <c r="AO19" s="150" t="s">
        <v>1094</v>
      </c>
      <c r="AP19" s="150" t="s">
        <v>1093</v>
      </c>
      <c r="AQ19" s="151"/>
      <c r="AR19" s="150"/>
      <c r="AS19" s="150"/>
      <c r="AT19" s="150"/>
      <c r="AU19" s="150" t="s">
        <v>1092</v>
      </c>
      <c r="AV19" s="153" t="s">
        <v>339</v>
      </c>
      <c r="AW19" s="150" t="s">
        <v>590</v>
      </c>
      <c r="AX19" s="151" t="s">
        <v>1091</v>
      </c>
      <c r="AY19" s="150" t="s">
        <v>589</v>
      </c>
      <c r="AZ19" s="151" t="s">
        <v>1077</v>
      </c>
      <c r="BA19" s="150" t="s">
        <v>1</v>
      </c>
      <c r="BB19" s="153" t="s">
        <v>588</v>
      </c>
      <c r="BC19" s="150" t="s">
        <v>131</v>
      </c>
      <c r="BD19" s="150" t="s">
        <v>608</v>
      </c>
      <c r="BE19" s="147"/>
      <c r="BF19" s="147" t="s">
        <v>92</v>
      </c>
      <c r="BG19" s="147" t="s">
        <v>92</v>
      </c>
      <c r="BH19" s="147" t="s">
        <v>1090</v>
      </c>
      <c r="BI19" s="151" t="s">
        <v>1089</v>
      </c>
      <c r="BJ19" s="147">
        <v>10000</v>
      </c>
      <c r="BK19" s="153">
        <v>7.3</v>
      </c>
      <c r="BL19" s="154">
        <v>45209</v>
      </c>
      <c r="BM19" s="154"/>
      <c r="BN19" s="150" t="s">
        <v>92</v>
      </c>
      <c r="BO19" s="147">
        <v>3.98</v>
      </c>
      <c r="BP19" s="154">
        <v>45575</v>
      </c>
      <c r="BQ19" s="150" t="s">
        <v>1088</v>
      </c>
      <c r="BR19" s="154">
        <v>45209</v>
      </c>
      <c r="BS19" s="147" t="s">
        <v>1087</v>
      </c>
      <c r="BT19" s="151" t="s">
        <v>1050</v>
      </c>
      <c r="BU19" s="154">
        <v>45209</v>
      </c>
      <c r="BV19" s="150" t="s">
        <v>583</v>
      </c>
      <c r="BW19" s="151" t="s">
        <v>1086</v>
      </c>
      <c r="BX19" s="147" t="s">
        <v>1085</v>
      </c>
      <c r="BY19" s="150" t="s">
        <v>580</v>
      </c>
      <c r="BZ19" s="150" t="s">
        <v>580</v>
      </c>
      <c r="CA19" s="150" t="s">
        <v>579</v>
      </c>
      <c r="CB19" s="150" t="s">
        <v>578</v>
      </c>
      <c r="CC19" s="150" t="s">
        <v>577</v>
      </c>
      <c r="CD19" s="151" t="s">
        <v>92</v>
      </c>
      <c r="CE19" s="150" t="s">
        <v>618</v>
      </c>
      <c r="CF19" s="151" t="s">
        <v>92</v>
      </c>
      <c r="CG19" s="153" t="s">
        <v>92</v>
      </c>
      <c r="CH19" s="145" t="s">
        <v>7</v>
      </c>
      <c r="CI19" s="153" t="s">
        <v>249</v>
      </c>
      <c r="CJ19" s="153" t="s">
        <v>17</v>
      </c>
      <c r="CK19" s="145" t="s">
        <v>92</v>
      </c>
      <c r="CL19" s="145" t="s">
        <v>92</v>
      </c>
      <c r="CM19" s="148"/>
      <c r="CN19" s="153" t="s">
        <v>1101</v>
      </c>
      <c r="CO19" s="153" t="s">
        <v>267</v>
      </c>
      <c r="CP19" s="148">
        <v>44909</v>
      </c>
      <c r="CQ19" s="153" t="s">
        <v>471</v>
      </c>
      <c r="CR19" s="153" t="s">
        <v>7</v>
      </c>
      <c r="CS19" s="153">
        <v>1</v>
      </c>
      <c r="CT19" s="153">
        <v>7.3</v>
      </c>
      <c r="CU19" s="153">
        <v>7.7960000000000003</v>
      </c>
      <c r="CV19" s="147" t="s">
        <v>7</v>
      </c>
      <c r="CW19" s="153" t="s">
        <v>92</v>
      </c>
      <c r="CX19" s="153" t="s">
        <v>92</v>
      </c>
      <c r="CY19" s="153"/>
      <c r="CZ19" s="147" t="s">
        <v>1055</v>
      </c>
    </row>
    <row r="20" spans="1:104" ht="15" x14ac:dyDescent="0.25">
      <c r="A20" t="s">
        <v>261</v>
      </c>
      <c r="CQ20" s="2"/>
      <c r="CR20" s="2"/>
      <c r="CS20" s="2"/>
      <c r="CX20" s="2"/>
      <c r="CY20" s="2"/>
    </row>
    <row r="21" spans="1:104" ht="15" x14ac:dyDescent="0.25">
      <c r="A21" t="s">
        <v>849</v>
      </c>
      <c r="CQ21" s="2"/>
      <c r="CR21" s="2"/>
      <c r="CS21" s="2"/>
      <c r="CX21" s="2"/>
      <c r="CY21" s="2"/>
    </row>
    <row r="22" spans="1:104" ht="15" x14ac:dyDescent="0.25">
      <c r="A22" t="s">
        <v>316</v>
      </c>
      <c r="CQ22" s="2"/>
      <c r="CR22" s="2"/>
      <c r="CS22" s="2"/>
      <c r="CX22" s="2"/>
      <c r="CY22" s="2"/>
    </row>
    <row r="23" spans="1:104" ht="15" x14ac:dyDescent="0.25">
      <c r="CQ23" s="2"/>
      <c r="CR23" s="2"/>
      <c r="CS23" s="2"/>
      <c r="CX23" s="2"/>
      <c r="CY23" s="2"/>
    </row>
    <row r="24" spans="1:104" ht="15" x14ac:dyDescent="0.25"/>
  </sheetData>
  <phoneticPr fontId="13" type="noConversion"/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17:A18 A21:A22">
    <cfRule type="notContainsText" dxfId="72" priority="2" operator="notContains" text="/">
      <formula>ISERROR(SEARCH("/",A17))</formula>
    </cfRule>
  </conditionalFormatting>
  <conditionalFormatting sqref="A22">
    <cfRule type="notContainsText" dxfId="71" priority="1" operator="notContains" text="DMI">
      <formula>ISERROR(SEARCH("DMI",A22))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9C35-875D-46EA-B26B-35187E214AD8}">
  <sheetPr>
    <tabColor rgb="FFE1E1E9"/>
  </sheetPr>
  <dimension ref="A2:D23"/>
  <sheetViews>
    <sheetView workbookViewId="0">
      <selection activeCell="D6" sqref="D6"/>
    </sheetView>
  </sheetViews>
  <sheetFormatPr defaultRowHeight="33" customHeight="1" x14ac:dyDescent="0.25"/>
  <cols>
    <col min="1" max="1" width="7.33203125" style="1" bestFit="1" customWidth="1"/>
    <col min="2" max="2" width="60.5546875" style="1" customWidth="1"/>
    <col min="3" max="4" width="23.6640625" style="1" customWidth="1"/>
    <col min="5" max="16384" width="8.88671875" style="1"/>
  </cols>
  <sheetData>
    <row r="2" spans="1:4" ht="33" customHeight="1" x14ac:dyDescent="0.25">
      <c r="A2" s="166" t="s">
        <v>86</v>
      </c>
      <c r="B2" s="166" t="s">
        <v>1153</v>
      </c>
      <c r="C2" s="166" t="s">
        <v>1115</v>
      </c>
      <c r="D2" s="166" t="s">
        <v>1116</v>
      </c>
    </row>
    <row r="3" spans="1:4" ht="33" customHeight="1" x14ac:dyDescent="0.25">
      <c r="A3" s="164">
        <v>1</v>
      </c>
      <c r="B3" s="164"/>
      <c r="C3" s="166" t="s">
        <v>171</v>
      </c>
      <c r="D3" s="166" t="s">
        <v>0</v>
      </c>
    </row>
    <row r="4" spans="1:4" ht="33" customHeight="1" x14ac:dyDescent="0.25">
      <c r="A4" s="164">
        <v>2</v>
      </c>
      <c r="B4" s="165" t="str">
        <f>"Team\"&amp;"Weekly AM\"&amp;TEXT(Monday,"YYYYMMDD")&amp;"\Data\1.Weekly Download.xlsm"</f>
        <v>Team\Weekly AM\20231002\Data\1.Weekly Download.xlsm</v>
      </c>
      <c r="C4" s="166" t="s">
        <v>341</v>
      </c>
      <c r="D4" s="166" t="s">
        <v>1146</v>
      </c>
    </row>
    <row r="5" spans="1:4" ht="33" customHeight="1" x14ac:dyDescent="0.25">
      <c r="A5" s="164">
        <v>3</v>
      </c>
      <c r="B5" s="165" t="str">
        <f>IF(Table33[[#This Row],[Value]]="ON", "Only load new issues priced on or after " &amp; TEXT(Monday-7,"MMM dd") &amp;" from Weekly Download","All new issues from Weekly Download will be loaded")</f>
        <v>Only load new issues priced on or after Sep 25 from Weekly Download</v>
      </c>
      <c r="C5" s="166" t="s">
        <v>1148</v>
      </c>
      <c r="D5" s="167" t="s">
        <v>1149</v>
      </c>
    </row>
    <row r="6" spans="1:4" ht="33" customHeight="1" x14ac:dyDescent="0.25">
      <c r="A6" s="164">
        <v>4</v>
      </c>
      <c r="B6" s="164" t="str">
        <f>"Entities located in Macau will"&amp;IF(Table33[[#This Row],[Value]]="ON"," NOT be"," be")&amp;" loaded"</f>
        <v>Entities located in Macau will NOT be loaded</v>
      </c>
      <c r="C6" s="166" t="s">
        <v>1150</v>
      </c>
      <c r="D6" s="166" t="s">
        <v>1149</v>
      </c>
    </row>
    <row r="7" spans="1:4" ht="33" customHeight="1" x14ac:dyDescent="0.25">
      <c r="A7" s="164">
        <v>5</v>
      </c>
      <c r="B7" s="164" t="str">
        <f>"Entities located in Hong Kong will"&amp;IF(Table33[[#This Row],[Value]]="ON"," NOT be"," be")&amp;" loaded"</f>
        <v>Entities located in Hong Kong will NOT be loaded</v>
      </c>
      <c r="C7" s="166" t="s">
        <v>1151</v>
      </c>
      <c r="D7" s="166" t="s">
        <v>1149</v>
      </c>
    </row>
    <row r="8" spans="1:4" ht="33" customHeight="1" x14ac:dyDescent="0.25">
      <c r="A8" s="164">
        <v>6</v>
      </c>
      <c r="B8" s="164" t="str">
        <f>IF(Table33[[#This Row],[Value]]="ON","Data from DMI, BBG, QRC and etc.","Only DMI data from Weekly Download")&amp;" will be loaded"</f>
        <v>Data from DMI, BBG, QRC and etc. will be loaded</v>
      </c>
      <c r="C8" s="166" t="s">
        <v>1152</v>
      </c>
      <c r="D8" s="166" t="s">
        <v>1149</v>
      </c>
    </row>
    <row r="9" spans="1:4" ht="33" customHeight="1" x14ac:dyDescent="0.25">
      <c r="A9" s="164"/>
      <c r="B9" s="164"/>
      <c r="C9" s="166" t="s">
        <v>1156</v>
      </c>
      <c r="D9" s="166" t="s">
        <v>331</v>
      </c>
    </row>
    <row r="10" spans="1:4" ht="33" customHeight="1" x14ac:dyDescent="0.25">
      <c r="A10" s="164"/>
      <c r="B10" s="164"/>
      <c r="C10" s="166" t="s">
        <v>1155</v>
      </c>
      <c r="D10" s="166" t="s">
        <v>331</v>
      </c>
    </row>
    <row r="11" spans="1:4" ht="33" customHeight="1" x14ac:dyDescent="0.25">
      <c r="A11" s="164"/>
      <c r="B11" s="164"/>
      <c r="C11" s="166"/>
      <c r="D11" s="166"/>
    </row>
    <row r="12" spans="1:4" ht="33" customHeight="1" x14ac:dyDescent="0.25">
      <c r="A12" s="164"/>
      <c r="B12" s="164"/>
      <c r="C12" s="166"/>
      <c r="D12" s="166"/>
    </row>
    <row r="13" spans="1:4" ht="33" customHeight="1" x14ac:dyDescent="0.25">
      <c r="A13" s="164"/>
      <c r="B13" s="164"/>
      <c r="C13" s="166"/>
      <c r="D13" s="166"/>
    </row>
    <row r="14" spans="1:4" ht="33" customHeight="1" x14ac:dyDescent="0.25">
      <c r="A14" s="164"/>
      <c r="B14" s="164"/>
      <c r="C14" s="166"/>
      <c r="D14" s="166"/>
    </row>
    <row r="15" spans="1:4" ht="33" customHeight="1" x14ac:dyDescent="0.25">
      <c r="A15" s="164"/>
      <c r="B15" s="164"/>
      <c r="C15" s="166" t="s">
        <v>1158</v>
      </c>
      <c r="D15" s="166">
        <v>60</v>
      </c>
    </row>
    <row r="16" spans="1:4" ht="33" customHeight="1" x14ac:dyDescent="0.25">
      <c r="A16" s="164"/>
      <c r="B16" s="164"/>
      <c r="C16" s="166" t="s">
        <v>1159</v>
      </c>
      <c r="D16" s="166">
        <v>20</v>
      </c>
    </row>
    <row r="17" spans="1:4" ht="33" customHeight="1" x14ac:dyDescent="0.25">
      <c r="A17" s="164"/>
      <c r="B17" s="164"/>
      <c r="C17" s="166" t="s">
        <v>1154</v>
      </c>
      <c r="D17" s="166" t="s">
        <v>1157</v>
      </c>
    </row>
    <row r="18" spans="1:4" ht="33" customHeight="1" x14ac:dyDescent="0.25">
      <c r="A18" s="164"/>
      <c r="B18" s="164"/>
      <c r="C18" s="166"/>
      <c r="D18" s="166"/>
    </row>
    <row r="19" spans="1:4" ht="33" customHeight="1" x14ac:dyDescent="0.25">
      <c r="A19" s="164"/>
      <c r="B19" s="164"/>
      <c r="C19" s="166"/>
      <c r="D19" s="166"/>
    </row>
    <row r="20" spans="1:4" ht="33" customHeight="1" x14ac:dyDescent="0.25">
      <c r="A20" s="164"/>
      <c r="B20" s="164"/>
      <c r="C20" s="166"/>
      <c r="D20" s="166"/>
    </row>
    <row r="21" spans="1:4" ht="33" customHeight="1" x14ac:dyDescent="0.25">
      <c r="A21" s="164"/>
      <c r="B21" s="164"/>
      <c r="C21" s="166"/>
      <c r="D21" s="166"/>
    </row>
    <row r="22" spans="1:4" ht="33" customHeight="1" x14ac:dyDescent="0.25">
      <c r="A22" s="164"/>
      <c r="B22" s="164"/>
      <c r="C22" s="166"/>
      <c r="D22" s="166"/>
    </row>
    <row r="23" spans="1:4" ht="33" customHeight="1" x14ac:dyDescent="0.25">
      <c r="A23" s="164"/>
      <c r="B23" s="164"/>
      <c r="C23" s="166"/>
      <c r="D23" s="166"/>
    </row>
  </sheetData>
  <dataValidations count="10">
    <dataValidation type="custom" allowBlank="1" showInputMessage="1" showErrorMessage="1" errorTitle="Out of range" error="US_addon + RlvLvl cannot exceed 90" promptTitle="US ECON EVENT" prompt="Additonal relevance level required for US ECON events - on top of ECON Relevance Level" sqref="D16" xr:uid="{93C724B3-802C-4674-A197-5BFAC6756A04}">
      <formula1>D15+D16&lt;90</formula1>
    </dataValidation>
    <dataValidation type="whole" errorStyle="warning" allowBlank="1" showInputMessage="1" showErrorMessage="1" errorTitle="Out of range" error="50~90 only" promptTitle="ECON Event Relevance Level" prompt="Thredshold level to be relevant to include in weekly update" sqref="D15" xr:uid="{3640EC5F-CBD1-4A2F-AA0A-9A27B47DA365}">
      <formula1>50</formula1>
      <formula2>90</formula2>
    </dataValidation>
    <dataValidation type="list" allowBlank="1" showInputMessage="1" showErrorMessage="1" promptTitle="Need to add tap deal?" prompt="Please spark when needed" sqref="D10" xr:uid="{D786BBAC-8B85-4826-8AFB-917C888E43CA}">
      <formula1>"N,YES"</formula1>
    </dataValidation>
    <dataValidation type="list" allowBlank="1" showInputMessage="1" showErrorMessage="1" promptTitle="Has DMI Missed Any ISIN?" prompt="Please spark if you notice" sqref="D9" xr:uid="{2C203DC6-7F28-47BA-9162-EB9D2EFAC4A2}">
      <formula1>"N,YES"</formula1>
    </dataValidation>
    <dataValidation type="list" allowBlank="1" showInputMessage="1" showErrorMessage="1" promptTitle="DMI only or DMI+BBG+台账?" prompt="If set to OFF - only DMI data will be loaded" sqref="D8:D10" xr:uid="{7354D1B4-C643-4336-B89D-A74F904D673A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D7" xr:uid="{09D54662-5BA4-488A-B1D2-D58E08F4086C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D6" xr:uid="{DABD8501-D4B1-4495-B925-F4098D9932D3}">
      <formula1>"ON,OFF"</formula1>
    </dataValidation>
    <dataValidation type="list" allowBlank="1" showInputMessage="1" showErrorMessage="1" promptTitle="⚠️Change Updator" prompt="will wipe out  last week's results" sqref="D3" xr:uid="{8E48E3A8-7575-4743-8265-209B937091B1}">
      <formula1>dd_updator</formula1>
    </dataValidation>
    <dataValidation type="list" allowBlank="1" showInputMessage="1" showErrorMessage="1" sqref="D5" xr:uid="{A80797E9-1E83-4191-8030-5056F54365C4}">
      <formula1>"ON,OFF"</formula1>
    </dataValidation>
    <dataValidation type="list" allowBlank="1" showInputMessage="1" showErrorMessage="1" promptTitle="Weekly AM folder name " prompt="In YYYYMMDD format_x000a__x000a_Regardless of holidays, only set folder name to a Monday date" sqref="D4" xr:uid="{EB7A7B11-81D2-4F6D-96B6-417C54D1E8DB}">
      <formula1>dd_Monday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M73"/>
  <sheetViews>
    <sheetView topLeftCell="AG1" zoomScale="85" zoomScaleNormal="100" workbookViewId="0">
      <selection activeCell="AR7" sqref="AR7"/>
    </sheetView>
  </sheetViews>
  <sheetFormatPr defaultColWidth="8.88671875" defaultRowHeight="15.75" customHeight="1" outlineLevelCol="1" x14ac:dyDescent="0.25"/>
  <cols>
    <col min="1" max="1" width="8.88671875" style="3" hidden="1" customWidth="1" outlineLevel="1"/>
    <col min="2" max="2" width="13.44140625" style="3" hidden="1" customWidth="1" outlineLevel="1"/>
    <col min="3" max="3" width="16.6640625" style="3" hidden="1" customWidth="1" outlineLevel="1"/>
    <col min="4" max="4" width="13.109375" style="3" hidden="1" customWidth="1" outlineLevel="1"/>
    <col min="5" max="5" width="10.88671875" style="3" bestFit="1" customWidth="1" collapsed="1"/>
    <col min="6" max="6" width="13.44140625" style="3" bestFit="1" customWidth="1"/>
    <col min="7" max="7" width="9.44140625" style="3" bestFit="1" customWidth="1"/>
    <col min="8" max="8" width="31.6640625" style="3" bestFit="1" customWidth="1"/>
    <col min="9" max="9" width="9.21875" style="3" bestFit="1" customWidth="1"/>
    <col min="10" max="10" width="13.88671875" style="3" hidden="1" customWidth="1" outlineLevel="1"/>
    <col min="11" max="11" width="9" style="3" hidden="1" customWidth="1" outlineLevel="1"/>
    <col min="12" max="12" width="7.77734375" style="3" hidden="1" customWidth="1" outlineLevel="1"/>
    <col min="13" max="14" width="11.109375" style="3" hidden="1" customWidth="1" outlineLevel="1"/>
    <col min="15" max="15" width="19.5546875" style="3" hidden="1" customWidth="1" outlineLevel="1"/>
    <col min="16" max="16" width="3.6640625" style="3" customWidth="1" collapsed="1"/>
    <col min="17" max="18" width="3.6640625" style="3" customWidth="1"/>
    <col min="19" max="19" width="9.33203125" style="3" bestFit="1" customWidth="1"/>
    <col min="20" max="20" width="31.5546875" style="3" bestFit="1" customWidth="1"/>
    <col min="21" max="21" width="4.109375" style="3" bestFit="1" customWidth="1"/>
    <col min="22" max="22" width="5.6640625" style="3" bestFit="1" customWidth="1"/>
    <col min="23" max="23" width="5.77734375" style="3" bestFit="1" customWidth="1" outlineLevel="1"/>
    <col min="24" max="24" width="7.6640625" style="3" customWidth="1" outlineLevel="1"/>
    <col min="25" max="25" width="4.33203125" style="3" customWidth="1" outlineLevel="1"/>
    <col min="26" max="26" width="7.6640625" style="3" customWidth="1" outlineLevel="1"/>
    <col min="27" max="27" width="4.6640625" style="3" customWidth="1" outlineLevel="1"/>
    <col min="28" max="28" width="10.44140625" style="3" customWidth="1" outlineLevel="1"/>
    <col min="29" max="29" width="4.33203125" style="3" customWidth="1" outlineLevel="1"/>
    <col min="30" max="30" width="5.77734375" style="3" bestFit="1" customWidth="1" outlineLevel="1"/>
    <col min="31" max="31" width="9.5546875" style="3" customWidth="1" outlineLevel="1"/>
    <col min="32" max="32" width="6" style="3" bestFit="1" customWidth="1" outlineLevel="1"/>
    <col min="33" max="33" width="7.6640625" style="3" customWidth="1" outlineLevel="1"/>
    <col min="34" max="34" width="6" style="3" customWidth="1" outlineLevel="1"/>
    <col min="35" max="35" width="6" style="3" bestFit="1" customWidth="1" outlineLevel="1"/>
    <col min="36" max="36" width="7" style="3" bestFit="1" customWidth="1" outlineLevel="1"/>
    <col min="37" max="37" width="13.33203125" style="3" bestFit="1" customWidth="1" outlineLevel="1"/>
    <col min="38" max="38" width="19.44140625" style="3" bestFit="1" customWidth="1" outlineLevel="1"/>
    <col min="39" max="43" width="2" style="3" customWidth="1"/>
    <col min="44" max="44" width="29.88671875" style="3" bestFit="1" customWidth="1"/>
    <col min="45" max="45" width="19.33203125" style="3" bestFit="1" customWidth="1"/>
    <col min="46" max="46" width="13.33203125" style="3" hidden="1" customWidth="1" outlineLevel="1"/>
    <col min="47" max="47" width="9.33203125" style="3" hidden="1" customWidth="1" outlineLevel="1"/>
    <col min="48" max="48" width="7.6640625" style="3" hidden="1" customWidth="1" outlineLevel="1"/>
    <col min="49" max="49" width="9.88671875" style="3" hidden="1" customWidth="1" outlineLevel="1"/>
    <col min="50" max="50" width="12" style="3" hidden="1" customWidth="1" outlineLevel="1"/>
    <col min="51" max="51" width="7.6640625" style="3" hidden="1" customWidth="1" outlineLevel="1"/>
    <col min="52" max="52" width="13.6640625" style="3" hidden="1" customWidth="1" outlineLevel="1"/>
    <col min="53" max="53" width="4.33203125" style="3" hidden="1" customWidth="1" outlineLevel="1"/>
    <col min="54" max="54" width="9.5546875" style="3" hidden="1" customWidth="1" outlineLevel="1"/>
    <col min="55" max="55" width="7.6640625" style="3" hidden="1" customWidth="1" outlineLevel="1"/>
    <col min="56" max="56" width="7.21875" style="3" bestFit="1" customWidth="1" collapsed="1"/>
    <col min="57" max="58" width="7.6640625" style="3" bestFit="1" customWidth="1"/>
    <col min="59" max="60" width="7.77734375" style="3" bestFit="1" customWidth="1"/>
    <col min="61" max="61" width="7.33203125" style="3" bestFit="1" customWidth="1"/>
    <col min="62" max="62" width="7.77734375" style="3" bestFit="1" customWidth="1"/>
    <col min="63" max="63" width="7.6640625" style="25" bestFit="1" customWidth="1"/>
    <col min="64" max="64" width="7.21875" style="25" bestFit="1" customWidth="1"/>
    <col min="65" max="66" width="7.6640625" style="25" bestFit="1" customWidth="1"/>
    <col min="67" max="67" width="9.21875" style="25" bestFit="1" customWidth="1"/>
    <col min="68" max="69" width="9.44140625" style="25" bestFit="1" customWidth="1"/>
    <col min="70" max="71" width="11.109375" style="25" bestFit="1" customWidth="1"/>
    <col min="72" max="72" width="9.44140625" style="25" bestFit="1" customWidth="1"/>
    <col min="73" max="73" width="9" style="25" bestFit="1" customWidth="1"/>
    <col min="74" max="75" width="9.44140625" style="25" bestFit="1" customWidth="1"/>
    <col min="76" max="76" width="9.21875" style="25" bestFit="1" customWidth="1"/>
    <col min="77" max="77" width="8.77734375" style="25" bestFit="1" customWidth="1"/>
    <col min="78" max="78" width="9.21875" style="25" bestFit="1" customWidth="1"/>
    <col min="79" max="79" width="42.77734375" style="25" bestFit="1" customWidth="1"/>
    <col min="80" max="80" width="9.21875" style="25" bestFit="1" customWidth="1"/>
    <col min="81" max="81" width="9.44140625" style="25" bestFit="1" customWidth="1"/>
    <col min="82" max="82" width="8.77734375" style="25" bestFit="1" customWidth="1"/>
    <col min="83" max="83" width="9.21875" style="25" bestFit="1" customWidth="1"/>
    <col min="84" max="84" width="15.21875" style="25" bestFit="1" customWidth="1"/>
    <col min="85" max="85" width="5.88671875" style="25" bestFit="1" customWidth="1"/>
    <col min="86" max="86" width="10.77734375" style="25" bestFit="1" customWidth="1"/>
    <col min="87" max="87" width="10.88671875" style="25" bestFit="1" customWidth="1"/>
    <col min="88" max="88" width="11.44140625" style="25" bestFit="1" customWidth="1"/>
    <col min="89" max="89" width="13.5546875" style="25" bestFit="1" customWidth="1"/>
    <col min="90" max="90" width="42.77734375" style="25" bestFit="1" customWidth="1"/>
    <col min="91" max="91" width="9.21875" style="25" bestFit="1" customWidth="1"/>
    <col min="92" max="92" width="10.88671875" style="25" bestFit="1" customWidth="1"/>
    <col min="93" max="93" width="11.44140625" style="25" bestFit="1" customWidth="1"/>
    <col min="94" max="94" width="13.5546875" style="25" bestFit="1" customWidth="1"/>
    <col min="95" max="95" width="51.44140625" style="25" bestFit="1" customWidth="1"/>
    <col min="96" max="96" width="9.21875" style="25" bestFit="1" customWidth="1"/>
    <col min="97" max="97" width="51.44140625" style="25" bestFit="1" customWidth="1"/>
    <col min="98" max="98" width="9.21875" style="25" bestFit="1" customWidth="1"/>
    <col min="99" max="99" width="11.6640625" style="25" bestFit="1" customWidth="1"/>
    <col min="100" max="100" width="15.5546875" style="25" bestFit="1" customWidth="1"/>
    <col min="101" max="101" width="9.44140625" style="25" bestFit="1" customWidth="1"/>
    <col min="102" max="102" width="11.6640625" style="25" bestFit="1" customWidth="1"/>
    <col min="103" max="103" width="15.5546875" style="25" bestFit="1" customWidth="1"/>
    <col min="104" max="104" width="9.44140625" style="25" bestFit="1" customWidth="1"/>
    <col min="105" max="105" width="15.44140625" style="25" bestFit="1" customWidth="1"/>
    <col min="106" max="106" width="6.109375" style="25" bestFit="1" customWidth="1"/>
    <col min="107" max="107" width="15.21875" style="25" bestFit="1" customWidth="1"/>
    <col min="108" max="108" width="5.88671875" style="25" bestFit="1" customWidth="1"/>
    <col min="109" max="109" width="13.109375" style="25" bestFit="1" customWidth="1"/>
    <col min="110" max="110" width="5.88671875" style="25" bestFit="1" customWidth="1"/>
    <col min="111" max="111" width="9.6640625" style="25" bestFit="1" customWidth="1"/>
    <col min="112" max="112" width="14" style="25" bestFit="1" customWidth="1"/>
    <col min="113" max="113" width="14.109375" style="25" bestFit="1" customWidth="1"/>
    <col min="114" max="114" width="13.33203125" style="25" bestFit="1" customWidth="1"/>
    <col min="115" max="116" width="8.109375" style="25" customWidth="1"/>
    <col min="117" max="117" width="8.88671875" style="25" bestFit="1" customWidth="1"/>
    <col min="118" max="138" width="8.109375" style="3" customWidth="1"/>
    <col min="139" max="142" width="9" style="3" customWidth="1"/>
    <col min="143" max="143" width="2.88671875" style="3" customWidth="1"/>
    <col min="144" max="144" width="8.109375" style="3" customWidth="1"/>
    <col min="145" max="145" width="9" style="3" customWidth="1"/>
    <col min="146" max="146" width="6.109375" style="3" bestFit="1" customWidth="1"/>
    <col min="147" max="147" width="7.77734375" style="3" bestFit="1" customWidth="1"/>
    <col min="148" max="16384" width="8.88671875" style="3"/>
  </cols>
  <sheetData>
    <row r="1" spans="1:117" s="1" customFormat="1" ht="49.5" customHeight="1" x14ac:dyDescent="0.25">
      <c r="D1" s="5"/>
      <c r="E1" s="36" t="s">
        <v>147</v>
      </c>
      <c r="F1" s="5"/>
      <c r="H1" s="141">
        <f>COUNTA(ForReview_Issuer[#Headers])</f>
        <v>11</v>
      </c>
      <c r="I1" s="115">
        <f>IF(H1&lt;=11,1,IF(H1&gt;13,-5,0))</f>
        <v>1</v>
      </c>
      <c r="T1" s="7"/>
      <c r="U1" s="141">
        <f>COUNTA(ForReview_wCurated[#Headers])</f>
        <v>20</v>
      </c>
      <c r="V1" s="115">
        <f>IF(U1&lt;=20,1,IF(U1&gt;22,-5,0))</f>
        <v>1</v>
      </c>
      <c r="AR1" s="141">
        <f>COUNTA(ForReview_wBOCOM[#Headers])</f>
        <v>14</v>
      </c>
      <c r="AS1" s="115">
        <f>IF(AR1&lt;=14,1,IF(AR1&gt;16,-5,0))</f>
        <v>1</v>
      </c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</row>
    <row r="2" spans="1:117" s="1" customFormat="1" ht="49.5" customHeight="1" x14ac:dyDescent="0.25"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</row>
    <row r="3" spans="1:117" s="1" customFormat="1" ht="49.5" customHeight="1" x14ac:dyDescent="0.25">
      <c r="L3" s="116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</row>
    <row r="4" spans="1:117" ht="61.5" customHeight="1" x14ac:dyDescent="0.25">
      <c r="S4" s="4"/>
      <c r="T4" s="7"/>
      <c r="U4" s="7"/>
      <c r="W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7" ht="15" x14ac:dyDescent="0.25">
      <c r="A5" t="s">
        <v>452</v>
      </c>
      <c r="B5" t="s">
        <v>450</v>
      </c>
      <c r="C5" t="s">
        <v>453</v>
      </c>
      <c r="E5" t="s">
        <v>451</v>
      </c>
      <c r="F5" t="s">
        <v>48</v>
      </c>
      <c r="G5" t="s">
        <v>49</v>
      </c>
      <c r="H5" t="s">
        <v>94</v>
      </c>
      <c r="I5" t="s">
        <v>136</v>
      </c>
      <c r="J5" t="s">
        <v>179</v>
      </c>
      <c r="K5" t="s">
        <v>90</v>
      </c>
      <c r="L5" t="s">
        <v>41</v>
      </c>
      <c r="M5" t="s">
        <v>188</v>
      </c>
      <c r="N5" t="s">
        <v>189</v>
      </c>
      <c r="O5" t="s">
        <v>141</v>
      </c>
      <c r="S5" t="s">
        <v>49</v>
      </c>
      <c r="T5" t="s">
        <v>94</v>
      </c>
      <c r="U5" t="s">
        <v>140</v>
      </c>
      <c r="V5" t="s">
        <v>88</v>
      </c>
      <c r="W5" t="s">
        <v>53</v>
      </c>
      <c r="X5" t="s">
        <v>168</v>
      </c>
      <c r="Y5" t="s">
        <v>153</v>
      </c>
      <c r="Z5" t="s">
        <v>142</v>
      </c>
      <c r="AA5" t="s">
        <v>64</v>
      </c>
      <c r="AB5" t="s">
        <v>57</v>
      </c>
      <c r="AC5" t="s">
        <v>87</v>
      </c>
      <c r="AD5" t="s">
        <v>120</v>
      </c>
      <c r="AE5" t="s">
        <v>154</v>
      </c>
      <c r="AF5" t="s">
        <v>91</v>
      </c>
      <c r="AG5" t="s">
        <v>212</v>
      </c>
      <c r="AH5" t="s">
        <v>175</v>
      </c>
      <c r="AI5" t="s">
        <v>176</v>
      </c>
      <c r="AJ5" t="s">
        <v>213</v>
      </c>
      <c r="AK5" t="s">
        <v>48</v>
      </c>
      <c r="AL5" t="s">
        <v>141</v>
      </c>
      <c r="AR5" t="s">
        <v>94</v>
      </c>
      <c r="AS5" s="81" t="s">
        <v>141</v>
      </c>
      <c r="AT5" s="81" t="s">
        <v>48</v>
      </c>
      <c r="AU5" s="81" t="s">
        <v>49</v>
      </c>
      <c r="AV5" s="82" t="s">
        <v>206</v>
      </c>
      <c r="AW5" s="82" t="s">
        <v>190</v>
      </c>
      <c r="AX5" s="82" t="s">
        <v>174</v>
      </c>
      <c r="AY5" s="81" t="s">
        <v>173</v>
      </c>
      <c r="AZ5" s="82" t="s">
        <v>184</v>
      </c>
      <c r="BA5" s="82" t="s">
        <v>172</v>
      </c>
      <c r="BB5" s="81" t="s">
        <v>148</v>
      </c>
      <c r="BC5" s="82" t="s">
        <v>202</v>
      </c>
      <c r="BD5" s="82" t="s">
        <v>203</v>
      </c>
      <c r="BE5" s="82" t="s">
        <v>204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</row>
    <row r="6" spans="1:117" ht="15" x14ac:dyDescent="0.25">
      <c r="A6" t="s">
        <v>49</v>
      </c>
      <c r="B6" t="s">
        <v>451</v>
      </c>
      <c r="C6" t="s">
        <v>94</v>
      </c>
      <c r="E6" s="155"/>
      <c r="F6" s="155" t="s">
        <v>562</v>
      </c>
      <c r="G6" s="156">
        <v>45196</v>
      </c>
      <c r="H6" s="157" t="s">
        <v>563</v>
      </c>
      <c r="I6" s="157" t="s">
        <v>83</v>
      </c>
      <c r="J6" s="157" t="s">
        <v>83</v>
      </c>
      <c r="K6" s="155" t="s">
        <v>112</v>
      </c>
      <c r="L6" s="155" t="s">
        <v>348</v>
      </c>
      <c r="M6" s="155" t="s">
        <v>7</v>
      </c>
      <c r="N6" s="155" t="s">
        <v>7</v>
      </c>
      <c r="O6" s="155" t="s">
        <v>567</v>
      </c>
      <c r="S6" s="148">
        <v>45197</v>
      </c>
      <c r="T6" s="153" t="s">
        <v>538</v>
      </c>
      <c r="U6" s="147" t="s">
        <v>7</v>
      </c>
      <c r="V6" s="153" t="s">
        <v>92</v>
      </c>
      <c r="W6" s="153" t="s">
        <v>92</v>
      </c>
      <c r="X6" s="147"/>
      <c r="Y6" s="153" t="s">
        <v>92</v>
      </c>
      <c r="Z6" s="153" t="s">
        <v>92</v>
      </c>
      <c r="AA6" s="147" t="s">
        <v>106</v>
      </c>
      <c r="AB6" s="147">
        <v>0.9</v>
      </c>
      <c r="AC6" s="147" t="s">
        <v>477</v>
      </c>
      <c r="AD6" s="153" t="s">
        <v>466</v>
      </c>
      <c r="AE6" s="147" t="s">
        <v>7</v>
      </c>
      <c r="AF6" s="147" t="s">
        <v>110</v>
      </c>
      <c r="AG6" s="147" t="s">
        <v>478</v>
      </c>
      <c r="AH6" s="153">
        <v>0.123</v>
      </c>
      <c r="AI6" s="153">
        <v>0.9</v>
      </c>
      <c r="AJ6" s="153">
        <v>0.96599999999999997</v>
      </c>
      <c r="AK6" s="147" t="s">
        <v>537</v>
      </c>
      <c r="AL6" s="147" t="s">
        <v>540</v>
      </c>
      <c r="AR6" t="s">
        <v>541</v>
      </c>
      <c r="AS6" s="82" t="s">
        <v>546</v>
      </c>
      <c r="AT6" s="81" t="s">
        <v>525</v>
      </c>
      <c r="AU6" s="96">
        <v>45197</v>
      </c>
      <c r="AV6" s="82" t="s">
        <v>708</v>
      </c>
      <c r="AW6" s="82" t="s">
        <v>524</v>
      </c>
      <c r="AX6" s="82" t="s">
        <v>194</v>
      </c>
      <c r="AY6" s="82" t="s">
        <v>182</v>
      </c>
      <c r="AZ6" s="82" t="s">
        <v>470</v>
      </c>
      <c r="BA6" s="82" t="s">
        <v>470</v>
      </c>
      <c r="BB6" s="82" t="s">
        <v>150</v>
      </c>
      <c r="BC6" s="82" t="s">
        <v>92</v>
      </c>
      <c r="BD6" s="82" t="s">
        <v>92</v>
      </c>
      <c r="BE6" s="82" t="s">
        <v>7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</row>
    <row r="7" spans="1:117" ht="15" x14ac:dyDescent="0.25">
      <c r="A7" t="s">
        <v>94</v>
      </c>
      <c r="B7" t="s">
        <v>48</v>
      </c>
      <c r="C7" t="s">
        <v>141</v>
      </c>
      <c r="E7" s="155"/>
      <c r="F7" s="155" t="s">
        <v>492</v>
      </c>
      <c r="G7" s="156">
        <v>45197</v>
      </c>
      <c r="H7" s="157" t="s">
        <v>493</v>
      </c>
      <c r="I7" s="157" t="s">
        <v>83</v>
      </c>
      <c r="J7" s="157" t="s">
        <v>83</v>
      </c>
      <c r="K7" s="155" t="s">
        <v>112</v>
      </c>
      <c r="L7" s="155" t="s">
        <v>375</v>
      </c>
      <c r="M7" s="155" t="s">
        <v>7</v>
      </c>
      <c r="N7" s="155" t="s">
        <v>7</v>
      </c>
      <c r="O7" s="155" t="s">
        <v>536</v>
      </c>
      <c r="S7" s="148">
        <v>45197</v>
      </c>
      <c r="T7" s="153" t="s">
        <v>529</v>
      </c>
      <c r="U7" s="147" t="s">
        <v>7</v>
      </c>
      <c r="V7" s="153" t="s">
        <v>701</v>
      </c>
      <c r="W7" s="153" t="s">
        <v>702</v>
      </c>
      <c r="X7" s="147">
        <v>20</v>
      </c>
      <c r="Y7" s="153" t="s">
        <v>92</v>
      </c>
      <c r="Z7" s="153" t="s">
        <v>92</v>
      </c>
      <c r="AA7" s="147" t="s">
        <v>85</v>
      </c>
      <c r="AB7" s="147">
        <v>1</v>
      </c>
      <c r="AC7" s="147" t="s">
        <v>152</v>
      </c>
      <c r="AD7" s="153" t="s">
        <v>702</v>
      </c>
      <c r="AE7" s="147" t="s">
        <v>7</v>
      </c>
      <c r="AF7" s="147" t="s">
        <v>272</v>
      </c>
      <c r="AG7" s="147" t="s">
        <v>92</v>
      </c>
      <c r="AH7" s="153">
        <v>1</v>
      </c>
      <c r="AI7" s="153">
        <v>7.2939999999999996</v>
      </c>
      <c r="AJ7" s="153">
        <v>7.8280000000000003</v>
      </c>
      <c r="AK7" s="147" t="s">
        <v>528</v>
      </c>
      <c r="AL7" s="147" t="s">
        <v>555</v>
      </c>
      <c r="AR7" t="s">
        <v>529</v>
      </c>
      <c r="AS7" s="82" t="s">
        <v>555</v>
      </c>
      <c r="AT7" s="81" t="s">
        <v>528</v>
      </c>
      <c r="AU7" s="96">
        <v>45197</v>
      </c>
      <c r="AV7" s="82" t="s">
        <v>709</v>
      </c>
      <c r="AW7" s="82" t="s">
        <v>527</v>
      </c>
      <c r="AX7" s="82" t="s">
        <v>194</v>
      </c>
      <c r="AY7" s="82" t="s">
        <v>182</v>
      </c>
      <c r="AZ7" s="82" t="s">
        <v>470</v>
      </c>
      <c r="BA7" s="82" t="s">
        <v>470</v>
      </c>
      <c r="BB7" s="82" t="s">
        <v>150</v>
      </c>
      <c r="BC7" s="82" t="s">
        <v>92</v>
      </c>
      <c r="BD7" s="82" t="s">
        <v>92</v>
      </c>
      <c r="BE7" s="82" t="s">
        <v>7</v>
      </c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17" ht="15" x14ac:dyDescent="0.25">
      <c r="A8" t="s">
        <v>140</v>
      </c>
      <c r="B8" t="s">
        <v>49</v>
      </c>
      <c r="C8" t="s">
        <v>48</v>
      </c>
      <c r="E8" s="155"/>
      <c r="F8" s="155" t="s">
        <v>528</v>
      </c>
      <c r="G8" s="156">
        <v>45197</v>
      </c>
      <c r="H8" s="157" t="s">
        <v>529</v>
      </c>
      <c r="I8" s="157" t="s">
        <v>83</v>
      </c>
      <c r="J8" s="157" t="s">
        <v>484</v>
      </c>
      <c r="K8" s="155" t="s">
        <v>112</v>
      </c>
      <c r="L8" s="155" t="s">
        <v>348</v>
      </c>
      <c r="M8" s="155" t="s">
        <v>7</v>
      </c>
      <c r="N8" s="155" t="s">
        <v>7</v>
      </c>
      <c r="O8" s="155" t="s">
        <v>555</v>
      </c>
      <c r="S8" s="148">
        <v>45197</v>
      </c>
      <c r="T8" s="153" t="s">
        <v>548</v>
      </c>
      <c r="U8" s="147" t="s">
        <v>7</v>
      </c>
      <c r="V8" s="153" t="s">
        <v>703</v>
      </c>
      <c r="W8" s="153" t="s">
        <v>469</v>
      </c>
      <c r="X8" s="147">
        <v>0</v>
      </c>
      <c r="Y8" s="153" t="s">
        <v>92</v>
      </c>
      <c r="Z8" s="153" t="s">
        <v>92</v>
      </c>
      <c r="AA8" s="147" t="s">
        <v>106</v>
      </c>
      <c r="AB8" s="147">
        <v>15.6</v>
      </c>
      <c r="AC8" s="147" t="s">
        <v>152</v>
      </c>
      <c r="AD8" s="153" t="s">
        <v>469</v>
      </c>
      <c r="AE8" s="147" t="s">
        <v>7</v>
      </c>
      <c r="AF8" s="147" t="s">
        <v>258</v>
      </c>
      <c r="AG8" s="147" t="s">
        <v>92</v>
      </c>
      <c r="AH8" s="153">
        <v>2.137</v>
      </c>
      <c r="AI8" s="153">
        <v>15.6</v>
      </c>
      <c r="AJ8" s="153">
        <v>16.739000000000001</v>
      </c>
      <c r="AK8" s="147" t="s">
        <v>547</v>
      </c>
      <c r="AL8" s="147" t="s">
        <v>551</v>
      </c>
      <c r="BA8" s="25"/>
      <c r="BB8" s="25"/>
      <c r="BC8" s="25"/>
      <c r="BD8" s="25"/>
      <c r="BE8" s="25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</row>
    <row r="9" spans="1:117" ht="15" x14ac:dyDescent="0.25">
      <c r="A9" t="s">
        <v>88</v>
      </c>
      <c r="B9" t="s">
        <v>94</v>
      </c>
      <c r="C9" t="s">
        <v>49</v>
      </c>
      <c r="E9" s="155"/>
      <c r="F9" s="155" t="s">
        <v>1049</v>
      </c>
      <c r="G9" s="156">
        <v>45194</v>
      </c>
      <c r="H9" s="157" t="s">
        <v>1050</v>
      </c>
      <c r="I9" s="157" t="s">
        <v>1051</v>
      </c>
      <c r="J9" s="157" t="s">
        <v>83</v>
      </c>
      <c r="K9" s="155" t="s">
        <v>39</v>
      </c>
      <c r="L9" s="155" t="s">
        <v>92</v>
      </c>
      <c r="M9" s="155" t="s">
        <v>7</v>
      </c>
      <c r="N9" s="155" t="s">
        <v>7</v>
      </c>
      <c r="O9" s="155" t="s">
        <v>1055</v>
      </c>
      <c r="S9" s="148">
        <v>45197</v>
      </c>
      <c r="T9" s="153" t="s">
        <v>493</v>
      </c>
      <c r="U9" s="147" t="s">
        <v>7</v>
      </c>
      <c r="V9" s="153" t="s">
        <v>92</v>
      </c>
      <c r="W9" s="153" t="s">
        <v>494</v>
      </c>
      <c r="X9" s="147"/>
      <c r="Y9" s="153" t="s">
        <v>92</v>
      </c>
      <c r="Z9" s="153" t="s">
        <v>92</v>
      </c>
      <c r="AA9" s="147" t="s">
        <v>85</v>
      </c>
      <c r="AB9" s="147">
        <v>0.16</v>
      </c>
      <c r="AC9" s="147" t="s">
        <v>152</v>
      </c>
      <c r="AD9" s="153" t="s">
        <v>494</v>
      </c>
      <c r="AE9" s="147" t="s">
        <v>7</v>
      </c>
      <c r="AF9" s="147" t="s">
        <v>258</v>
      </c>
      <c r="AG9" s="147" t="s">
        <v>92</v>
      </c>
      <c r="AH9" s="153">
        <v>0.16</v>
      </c>
      <c r="AI9" s="153">
        <v>1.167</v>
      </c>
      <c r="AJ9" s="153">
        <v>1.252</v>
      </c>
      <c r="AK9" s="147" t="s">
        <v>492</v>
      </c>
      <c r="AL9" s="147" t="s">
        <v>536</v>
      </c>
      <c r="BA9" s="25"/>
      <c r="BB9" s="25"/>
      <c r="BC9" s="25"/>
      <c r="BD9" s="25"/>
      <c r="BE9" s="25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</row>
    <row r="10" spans="1:117" ht="15" x14ac:dyDescent="0.25">
      <c r="A10" t="s">
        <v>53</v>
      </c>
      <c r="B10" t="s">
        <v>136</v>
      </c>
      <c r="C10" t="s">
        <v>206</v>
      </c>
      <c r="E10" s="155"/>
      <c r="F10" s="155" t="s">
        <v>568</v>
      </c>
      <c r="G10" s="156">
        <v>45195</v>
      </c>
      <c r="H10" s="157" t="s">
        <v>569</v>
      </c>
      <c r="I10" s="157" t="s">
        <v>83</v>
      </c>
      <c r="J10" s="157" t="s">
        <v>83</v>
      </c>
      <c r="K10" s="155" t="s">
        <v>39</v>
      </c>
      <c r="L10" s="155" t="s">
        <v>92</v>
      </c>
      <c r="M10" s="155" t="s">
        <v>7</v>
      </c>
      <c r="N10" s="155" t="s">
        <v>7</v>
      </c>
      <c r="O10" s="155" t="s">
        <v>575</v>
      </c>
      <c r="S10" s="148">
        <v>45197</v>
      </c>
      <c r="T10" s="153" t="s">
        <v>541</v>
      </c>
      <c r="U10" s="147" t="s">
        <v>7</v>
      </c>
      <c r="V10" s="153" t="s">
        <v>92</v>
      </c>
      <c r="W10" s="153" t="s">
        <v>704</v>
      </c>
      <c r="X10" s="147"/>
      <c r="Y10" s="153" t="s">
        <v>92</v>
      </c>
      <c r="Z10" s="153" t="s">
        <v>92</v>
      </c>
      <c r="AA10" s="147" t="s">
        <v>85</v>
      </c>
      <c r="AB10" s="147">
        <v>0.67</v>
      </c>
      <c r="AC10" s="147" t="s">
        <v>152</v>
      </c>
      <c r="AD10" s="153" t="s">
        <v>704</v>
      </c>
      <c r="AE10" s="147" t="s">
        <v>7</v>
      </c>
      <c r="AF10" s="147" t="s">
        <v>272</v>
      </c>
      <c r="AG10" s="147" t="s">
        <v>92</v>
      </c>
      <c r="AH10" s="153">
        <v>0.67</v>
      </c>
      <c r="AI10" s="153">
        <v>4.8869999999999996</v>
      </c>
      <c r="AJ10" s="153">
        <v>5.2450000000000001</v>
      </c>
      <c r="AK10" s="147" t="s">
        <v>525</v>
      </c>
      <c r="AL10" s="147" t="s">
        <v>546</v>
      </c>
      <c r="AT10" s="25"/>
      <c r="AU10" s="25"/>
      <c r="AV10" s="25"/>
      <c r="AW10" s="25"/>
      <c r="BA10" s="25"/>
      <c r="BB10" s="25"/>
      <c r="BC10" s="25"/>
      <c r="BD10" s="25"/>
      <c r="BE10" s="25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</row>
    <row r="11" spans="1:117" ht="15" x14ac:dyDescent="0.25">
      <c r="A11" t="s">
        <v>168</v>
      </c>
      <c r="B11" t="s">
        <v>179</v>
      </c>
      <c r="C11" t="s">
        <v>190</v>
      </c>
      <c r="E11" s="155"/>
      <c r="F11" s="155" t="s">
        <v>537</v>
      </c>
      <c r="G11" s="156">
        <v>45197</v>
      </c>
      <c r="H11" s="157" t="s">
        <v>538</v>
      </c>
      <c r="I11" s="157" t="s">
        <v>83</v>
      </c>
      <c r="J11" s="157" t="s">
        <v>83</v>
      </c>
      <c r="K11" s="155" t="s">
        <v>37</v>
      </c>
      <c r="L11" s="155" t="s">
        <v>92</v>
      </c>
      <c r="M11" s="155" t="s">
        <v>7</v>
      </c>
      <c r="N11" s="155" t="s">
        <v>7</v>
      </c>
      <c r="O11" s="155" t="s">
        <v>540</v>
      </c>
      <c r="S11" s="148">
        <v>45196</v>
      </c>
      <c r="T11" s="153" t="s">
        <v>563</v>
      </c>
      <c r="U11" s="147" t="s">
        <v>7</v>
      </c>
      <c r="V11" s="153" t="s">
        <v>705</v>
      </c>
      <c r="W11" s="153" t="s">
        <v>509</v>
      </c>
      <c r="X11" s="147">
        <v>30</v>
      </c>
      <c r="Y11" s="153" t="s">
        <v>92</v>
      </c>
      <c r="Z11" s="153" t="s">
        <v>92</v>
      </c>
      <c r="AA11" s="147" t="s">
        <v>106</v>
      </c>
      <c r="AB11" s="147">
        <v>3</v>
      </c>
      <c r="AC11" s="147" t="s">
        <v>706</v>
      </c>
      <c r="AD11" s="153" t="s">
        <v>669</v>
      </c>
      <c r="AE11" s="147" t="s">
        <v>7</v>
      </c>
      <c r="AF11" s="147" t="s">
        <v>258</v>
      </c>
      <c r="AG11" s="147" t="s">
        <v>92</v>
      </c>
      <c r="AH11" s="153">
        <v>0.41099999999999998</v>
      </c>
      <c r="AI11" s="153">
        <v>3</v>
      </c>
      <c r="AJ11" s="153">
        <v>3.2069999999999999</v>
      </c>
      <c r="AK11" s="147" t="s">
        <v>562</v>
      </c>
      <c r="AL11" s="147" t="s">
        <v>567</v>
      </c>
      <c r="AR11" t="s">
        <v>94</v>
      </c>
      <c r="AS11" t="s">
        <v>180</v>
      </c>
      <c r="AT11" t="s">
        <v>207</v>
      </c>
      <c r="AU11" t="s">
        <v>230</v>
      </c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35"/>
      <c r="BI11" s="25"/>
      <c r="BJ11" s="25"/>
      <c r="BL11" s="3"/>
      <c r="BN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</row>
    <row r="12" spans="1:117" ht="15" x14ac:dyDescent="0.25">
      <c r="A12" t="s">
        <v>153</v>
      </c>
      <c r="B12" t="s">
        <v>90</v>
      </c>
      <c r="C12" t="s">
        <v>174</v>
      </c>
      <c r="E12" s="155"/>
      <c r="F12" s="155" t="s">
        <v>547</v>
      </c>
      <c r="G12" s="156">
        <v>45197</v>
      </c>
      <c r="H12" s="157" t="s">
        <v>548</v>
      </c>
      <c r="I12" s="157" t="s">
        <v>83</v>
      </c>
      <c r="J12" s="157" t="s">
        <v>83</v>
      </c>
      <c r="K12" s="155" t="s">
        <v>37</v>
      </c>
      <c r="L12" s="155" t="s">
        <v>92</v>
      </c>
      <c r="M12" s="155" t="s">
        <v>7</v>
      </c>
      <c r="N12" s="155" t="s">
        <v>7</v>
      </c>
      <c r="O12" s="155" t="s">
        <v>551</v>
      </c>
      <c r="S12" s="148">
        <v>45196</v>
      </c>
      <c r="T12" s="153" t="s">
        <v>557</v>
      </c>
      <c r="U12" s="147" t="s">
        <v>7</v>
      </c>
      <c r="V12" s="153" t="s">
        <v>92</v>
      </c>
      <c r="W12" s="153" t="s">
        <v>92</v>
      </c>
      <c r="X12" s="147"/>
      <c r="Y12" s="153" t="s">
        <v>92</v>
      </c>
      <c r="Z12" s="153" t="s">
        <v>92</v>
      </c>
      <c r="AA12" s="147" t="s">
        <v>85</v>
      </c>
      <c r="AB12" s="147">
        <v>1</v>
      </c>
      <c r="AC12" s="147" t="s">
        <v>477</v>
      </c>
      <c r="AD12" s="153" t="s">
        <v>707</v>
      </c>
      <c r="AE12" s="147" t="s">
        <v>7</v>
      </c>
      <c r="AF12" s="147" t="s">
        <v>110</v>
      </c>
      <c r="AG12" s="147" t="s">
        <v>478</v>
      </c>
      <c r="AH12" s="153">
        <v>1</v>
      </c>
      <c r="AI12" s="153">
        <v>7.3140000000000001</v>
      </c>
      <c r="AJ12" s="153">
        <v>7.8209999999999997</v>
      </c>
      <c r="AK12" s="147" t="s">
        <v>556</v>
      </c>
      <c r="AL12" s="147" t="s">
        <v>561</v>
      </c>
      <c r="AR12" t="s">
        <v>541</v>
      </c>
      <c r="AS12" t="s">
        <v>693</v>
      </c>
      <c r="AT12" t="s">
        <v>470</v>
      </c>
      <c r="AU12" t="s">
        <v>470</v>
      </c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I12" s="25"/>
      <c r="BJ12" s="25"/>
      <c r="BL12" s="3"/>
      <c r="BN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</row>
    <row r="13" spans="1:117" ht="15" x14ac:dyDescent="0.25">
      <c r="A13" t="s">
        <v>142</v>
      </c>
      <c r="B13" t="s">
        <v>41</v>
      </c>
      <c r="C13" t="s">
        <v>173</v>
      </c>
      <c r="E13" s="155"/>
      <c r="F13" s="155" t="s">
        <v>556</v>
      </c>
      <c r="G13" s="156">
        <v>45196</v>
      </c>
      <c r="H13" s="157" t="s">
        <v>557</v>
      </c>
      <c r="I13" s="157" t="s">
        <v>83</v>
      </c>
      <c r="J13" s="157" t="s">
        <v>83</v>
      </c>
      <c r="K13" s="155" t="s">
        <v>37</v>
      </c>
      <c r="L13" s="155" t="s">
        <v>92</v>
      </c>
      <c r="M13" s="155" t="s">
        <v>7</v>
      </c>
      <c r="N13" s="155" t="s">
        <v>7</v>
      </c>
      <c r="O13" s="155" t="s">
        <v>561</v>
      </c>
      <c r="S13" s="148">
        <v>45195</v>
      </c>
      <c r="T13" s="153" t="s">
        <v>569</v>
      </c>
      <c r="U13" s="147" t="s">
        <v>7</v>
      </c>
      <c r="V13" s="153" t="s">
        <v>92</v>
      </c>
      <c r="W13" s="153" t="s">
        <v>92</v>
      </c>
      <c r="X13" s="147"/>
      <c r="Y13" s="153" t="s">
        <v>92</v>
      </c>
      <c r="Z13" s="153" t="s">
        <v>92</v>
      </c>
      <c r="AA13" s="147" t="s">
        <v>85</v>
      </c>
      <c r="AB13" s="147">
        <v>0.66600000000000004</v>
      </c>
      <c r="AC13" s="147" t="s">
        <v>477</v>
      </c>
      <c r="AD13" s="153" t="s">
        <v>683</v>
      </c>
      <c r="AE13" s="147" t="s">
        <v>7</v>
      </c>
      <c r="AF13" s="147" t="s">
        <v>110</v>
      </c>
      <c r="AG13" s="147" t="s">
        <v>92</v>
      </c>
      <c r="AH13" s="153">
        <v>0.66600000000000004</v>
      </c>
      <c r="AI13" s="153">
        <v>4.87</v>
      </c>
      <c r="AJ13" s="153">
        <v>5.21</v>
      </c>
      <c r="AK13" s="147" t="s">
        <v>568</v>
      </c>
      <c r="AL13" s="147" t="s">
        <v>575</v>
      </c>
      <c r="AO13" s="25"/>
      <c r="AR13" t="s">
        <v>548</v>
      </c>
      <c r="AS13" t="s">
        <v>694</v>
      </c>
      <c r="AT13" t="s">
        <v>470</v>
      </c>
      <c r="AU13" t="s">
        <v>470</v>
      </c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L13" s="3"/>
      <c r="BM13" s="3"/>
      <c r="BN13" s="3"/>
      <c r="BO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</row>
    <row r="14" spans="1:117" ht="15" x14ac:dyDescent="0.25">
      <c r="A14" t="s">
        <v>64</v>
      </c>
      <c r="B14" t="s">
        <v>188</v>
      </c>
      <c r="C14" t="s">
        <v>184</v>
      </c>
      <c r="E14" s="155"/>
      <c r="F14" s="155" t="s">
        <v>525</v>
      </c>
      <c r="G14" s="156">
        <v>45197</v>
      </c>
      <c r="H14" s="157" t="s">
        <v>541</v>
      </c>
      <c r="I14" s="157" t="s">
        <v>83</v>
      </c>
      <c r="J14" s="157" t="s">
        <v>542</v>
      </c>
      <c r="K14" s="155" t="s">
        <v>37</v>
      </c>
      <c r="L14" s="155" t="s">
        <v>92</v>
      </c>
      <c r="M14" s="155" t="s">
        <v>7</v>
      </c>
      <c r="N14" s="155" t="s">
        <v>7</v>
      </c>
      <c r="O14" s="155" t="s">
        <v>546</v>
      </c>
      <c r="S14" s="148">
        <v>45194</v>
      </c>
      <c r="T14" s="153" t="s">
        <v>1050</v>
      </c>
      <c r="U14" s="147" t="s">
        <v>7</v>
      </c>
      <c r="V14" s="153" t="s">
        <v>1102</v>
      </c>
      <c r="W14" s="153" t="s">
        <v>1087</v>
      </c>
      <c r="X14" s="147">
        <v>22</v>
      </c>
      <c r="Y14" s="153" t="s">
        <v>92</v>
      </c>
      <c r="Z14" s="153" t="s">
        <v>92</v>
      </c>
      <c r="AA14" s="147" t="s">
        <v>106</v>
      </c>
      <c r="AB14" s="147">
        <v>7.3</v>
      </c>
      <c r="AC14" s="147" t="s">
        <v>152</v>
      </c>
      <c r="AD14" s="153" t="s">
        <v>1087</v>
      </c>
      <c r="AE14" s="147" t="s">
        <v>7</v>
      </c>
      <c r="AF14" s="147" t="s">
        <v>272</v>
      </c>
      <c r="AG14" s="147" t="s">
        <v>92</v>
      </c>
      <c r="AH14" s="153">
        <v>1</v>
      </c>
      <c r="AI14" s="153">
        <v>7.3</v>
      </c>
      <c r="AJ14" s="153">
        <v>7.7960000000000003</v>
      </c>
      <c r="AK14" s="147" t="s">
        <v>1049</v>
      </c>
      <c r="AL14" s="147" t="s">
        <v>1055</v>
      </c>
      <c r="AP14" s="25"/>
      <c r="AR14" t="s">
        <v>563</v>
      </c>
      <c r="AS14" t="s">
        <v>695</v>
      </c>
      <c r="AT14" t="s">
        <v>470</v>
      </c>
      <c r="AU14" t="s">
        <v>470</v>
      </c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L14" s="3"/>
      <c r="BM14" s="3"/>
      <c r="BN14" s="3"/>
      <c r="BO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</row>
    <row r="15" spans="1:117" ht="15" x14ac:dyDescent="0.25">
      <c r="A15" t="s">
        <v>57</v>
      </c>
      <c r="B15" t="s">
        <v>189</v>
      </c>
      <c r="C15" t="s">
        <v>172</v>
      </c>
      <c r="N15" s="25"/>
      <c r="O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L15" s="3"/>
      <c r="BM15" s="3"/>
      <c r="BN15" s="3"/>
      <c r="BO15" s="3"/>
      <c r="BP15" s="3"/>
      <c r="BQ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</row>
    <row r="16" spans="1:117" ht="15" x14ac:dyDescent="0.25">
      <c r="A16" t="s">
        <v>87</v>
      </c>
      <c r="B16" t="s">
        <v>141</v>
      </c>
      <c r="C16" t="s">
        <v>148</v>
      </c>
      <c r="O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O16" s="25"/>
      <c r="AQ16" s="25"/>
      <c r="AU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L16" s="3"/>
      <c r="BM16" s="3"/>
      <c r="BN16" s="3"/>
      <c r="BO16" s="3"/>
      <c r="BP16" s="3"/>
      <c r="BQ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</row>
    <row r="17" spans="1:117" ht="15" x14ac:dyDescent="0.25">
      <c r="A17" t="s">
        <v>120</v>
      </c>
      <c r="C17" t="s">
        <v>202</v>
      </c>
      <c r="O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Q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L17" s="3"/>
      <c r="BM17" s="3"/>
      <c r="BN17" s="3"/>
      <c r="BO17" s="3"/>
      <c r="BP17" s="3"/>
      <c r="BQ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</row>
    <row r="18" spans="1:117" ht="15" x14ac:dyDescent="0.25">
      <c r="A18" t="s">
        <v>154</v>
      </c>
      <c r="C18" t="s">
        <v>203</v>
      </c>
      <c r="O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P18" s="25"/>
      <c r="AQ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L18" s="3"/>
      <c r="BM18" s="3"/>
      <c r="BN18" s="3"/>
      <c r="BO18" s="3"/>
      <c r="BP18" s="3"/>
      <c r="BQ18" s="3"/>
      <c r="BR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</row>
    <row r="19" spans="1:117" ht="15" x14ac:dyDescent="0.25">
      <c r="A19" t="s">
        <v>91</v>
      </c>
      <c r="C19" t="s">
        <v>204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U19" s="3"/>
      <c r="BW19" s="3"/>
      <c r="BX19" s="3"/>
      <c r="BY19" s="3"/>
      <c r="BZ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</row>
    <row r="20" spans="1:117" ht="15" x14ac:dyDescent="0.25">
      <c r="A20" t="s">
        <v>212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CD20" s="3"/>
      <c r="CE20" s="3"/>
      <c r="CH20" s="3"/>
      <c r="CI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</row>
    <row r="21" spans="1:117" ht="15" x14ac:dyDescent="0.25">
      <c r="A21" t="s">
        <v>175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CD21" s="3"/>
      <c r="CE21" s="3"/>
      <c r="CH21" s="3"/>
      <c r="CI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</row>
    <row r="22" spans="1:117" ht="15" x14ac:dyDescent="0.25">
      <c r="A22" t="s">
        <v>176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CI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</row>
    <row r="23" spans="1:117" ht="15" x14ac:dyDescent="0.25">
      <c r="A23" t="s">
        <v>213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CI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</row>
    <row r="24" spans="1:117" ht="15" x14ac:dyDescent="0.25">
      <c r="A24" t="s">
        <v>48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CI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</row>
    <row r="25" spans="1:117" ht="15" x14ac:dyDescent="0.25">
      <c r="A25" t="s">
        <v>141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CI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</row>
    <row r="26" spans="1:117" ht="13.5" x14ac:dyDescent="0.25"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CI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</row>
    <row r="27" spans="1:117" ht="13.5" x14ac:dyDescent="0.25"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CJ27" s="3"/>
      <c r="CK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</row>
    <row r="28" spans="1:117" ht="13.5" x14ac:dyDescent="0.25"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CJ28" s="3"/>
      <c r="CK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</row>
    <row r="29" spans="1:117" ht="13.5" x14ac:dyDescent="0.25"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CJ29" s="3"/>
      <c r="CK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</row>
    <row r="30" spans="1:117" ht="15" x14ac:dyDescent="0.25">
      <c r="J30" s="118" t="s">
        <v>136</v>
      </c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CJ30" s="3"/>
      <c r="CK30" s="3"/>
      <c r="CM30" s="3"/>
      <c r="CN30" s="3"/>
      <c r="CO30" s="3"/>
      <c r="CP30" s="3"/>
      <c r="CQ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</row>
    <row r="31" spans="1:117" ht="15" x14ac:dyDescent="0.25">
      <c r="J31" s="118" t="s">
        <v>179</v>
      </c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CJ31" s="3"/>
      <c r="CK31" s="3"/>
      <c r="CM31" s="3"/>
      <c r="CN31" s="3"/>
      <c r="CO31" s="3"/>
      <c r="CP31" s="3"/>
      <c r="CQ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</row>
    <row r="32" spans="1:117" ht="15" x14ac:dyDescent="0.25">
      <c r="J32" s="118" t="s">
        <v>90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CJ32" s="3"/>
      <c r="CK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</row>
    <row r="33" spans="10:117" ht="15" x14ac:dyDescent="0.25">
      <c r="J33" s="118" t="s">
        <v>41</v>
      </c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CJ33" s="3"/>
      <c r="CK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</row>
    <row r="34" spans="10:117" ht="15" x14ac:dyDescent="0.25">
      <c r="J34" s="118" t="s">
        <v>188</v>
      </c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CK34" s="3"/>
      <c r="CL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</row>
    <row r="35" spans="10:117" ht="15" x14ac:dyDescent="0.25">
      <c r="J35" s="118" t="s">
        <v>189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CK35" s="3"/>
      <c r="CL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</row>
    <row r="36" spans="10:117" ht="15" x14ac:dyDescent="0.25">
      <c r="J36" s="119" t="s">
        <v>141</v>
      </c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CK36" s="3"/>
      <c r="CL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</row>
    <row r="37" spans="10:117" ht="13.5" x14ac:dyDescent="0.25"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CK37" s="3"/>
      <c r="CL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</row>
    <row r="38" spans="10:117" ht="13.5" x14ac:dyDescent="0.25"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CK38" s="3"/>
      <c r="CL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</row>
    <row r="39" spans="10:117" ht="13.5" x14ac:dyDescent="0.25"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CK39" s="3"/>
      <c r="CL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</row>
    <row r="40" spans="10:117" ht="13.5" x14ac:dyDescent="0.25"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CK40" s="3"/>
      <c r="CL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</row>
    <row r="41" spans="10:117" ht="13.5" x14ac:dyDescent="0.25"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CK41" s="3"/>
      <c r="CL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</row>
    <row r="42" spans="10:117" ht="13.5" x14ac:dyDescent="0.25"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CK42" s="3"/>
      <c r="CL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</row>
    <row r="43" spans="10:117" ht="13.5" x14ac:dyDescent="0.25"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CK43" s="3"/>
      <c r="CL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</row>
    <row r="44" spans="10:117" ht="13.5" x14ac:dyDescent="0.25"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CK44" s="3"/>
      <c r="CL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</row>
    <row r="45" spans="10:117" ht="13.5" x14ac:dyDescent="0.25"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CK45" s="3"/>
      <c r="CL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</row>
    <row r="46" spans="10:117" ht="13.5" x14ac:dyDescent="0.25"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CK46" s="3"/>
      <c r="CL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</row>
    <row r="47" spans="10:117" ht="13.5" x14ac:dyDescent="0.25"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CK47" s="3"/>
      <c r="CL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</row>
    <row r="48" spans="10:117" ht="13.5" x14ac:dyDescent="0.25"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CK48" s="3"/>
      <c r="CL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</row>
    <row r="49" spans="16:117" ht="13.5" x14ac:dyDescent="0.25"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CK49" s="3"/>
      <c r="CL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</row>
    <row r="50" spans="16:117" ht="13.5" x14ac:dyDescent="0.25"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CK50" s="3"/>
      <c r="CL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</row>
    <row r="51" spans="16:117" ht="15.75" customHeight="1" x14ac:dyDescent="0.25"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CK51" s="3"/>
      <c r="CL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</row>
    <row r="52" spans="16:117" ht="15.75" customHeight="1" x14ac:dyDescent="0.25"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CK52" s="3"/>
      <c r="CL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</row>
    <row r="53" spans="16:117" ht="15.75" customHeight="1" x14ac:dyDescent="0.25"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CK53" s="3"/>
      <c r="CL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</row>
    <row r="54" spans="16:117" ht="15.75" customHeight="1" x14ac:dyDescent="0.25"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CK54" s="3"/>
      <c r="CL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</row>
    <row r="55" spans="16:117" ht="15.75" customHeight="1" x14ac:dyDescent="0.25"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CK55" s="3"/>
      <c r="CL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</row>
    <row r="56" spans="16:117" ht="15.75" customHeight="1" x14ac:dyDescent="0.25"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S56" s="25"/>
      <c r="AT56" s="25"/>
      <c r="AU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CK56" s="3"/>
      <c r="CL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</row>
    <row r="57" spans="16:117" ht="15.75" customHeight="1" x14ac:dyDescent="0.25"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S57" s="25"/>
      <c r="AT57" s="25"/>
      <c r="AU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CK57" s="3"/>
      <c r="CL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</row>
    <row r="58" spans="16:117" ht="15.75" customHeight="1" x14ac:dyDescent="0.25"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S58" s="25"/>
      <c r="AT58" s="25"/>
      <c r="AY58" s="25"/>
      <c r="BB58" s="25"/>
      <c r="BC58" s="25"/>
      <c r="BD58" s="25"/>
      <c r="BE58" s="25"/>
      <c r="BF58" s="25"/>
      <c r="BG58" s="25"/>
      <c r="BH58" s="25"/>
      <c r="BI58" s="25"/>
      <c r="BJ58" s="25"/>
      <c r="CK58" s="3"/>
      <c r="CL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</row>
    <row r="59" spans="16:117" ht="13.5" x14ac:dyDescent="0.25"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T59" s="25"/>
      <c r="AY59" s="25"/>
      <c r="BB59" s="25"/>
      <c r="BC59" s="25"/>
      <c r="BD59" s="25"/>
      <c r="BE59" s="25"/>
      <c r="BF59" s="25"/>
      <c r="BG59" s="25"/>
      <c r="BH59" s="25"/>
      <c r="BI59" s="25"/>
      <c r="BJ59" s="25"/>
      <c r="CK59" s="3"/>
      <c r="CL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</row>
    <row r="60" spans="16:117" ht="13.5" x14ac:dyDescent="0.25"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Y60" s="25"/>
      <c r="BB60" s="25"/>
      <c r="BC60" s="25"/>
      <c r="BD60" s="25"/>
      <c r="BE60" s="25"/>
      <c r="BF60" s="25"/>
      <c r="BG60" s="25"/>
      <c r="CK60" s="3"/>
      <c r="CL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</row>
    <row r="61" spans="16:117" ht="13.5" x14ac:dyDescent="0.25"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Y61" s="25"/>
      <c r="BB61" s="25"/>
      <c r="BF61" s="25"/>
      <c r="BG61" s="25"/>
      <c r="CK61" s="3"/>
      <c r="CL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</row>
    <row r="62" spans="16:117" ht="13.5" x14ac:dyDescent="0.25"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Y62" s="25"/>
      <c r="BF62" s="25"/>
      <c r="BG62" s="25"/>
      <c r="CK62" s="3"/>
      <c r="CL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</row>
    <row r="63" spans="16:117" ht="13.5" x14ac:dyDescent="0.25">
      <c r="P63" s="25"/>
      <c r="Q63" s="25"/>
      <c r="R63" s="25"/>
      <c r="AM63" s="25"/>
      <c r="AN63" s="25"/>
      <c r="AO63" s="25"/>
      <c r="BF63" s="25"/>
      <c r="BG63" s="25"/>
      <c r="CK63" s="3"/>
      <c r="CL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</row>
    <row r="64" spans="16:117" ht="13.5" x14ac:dyDescent="0.25">
      <c r="P64" s="25"/>
      <c r="Q64" s="25"/>
      <c r="R64" s="25"/>
      <c r="AM64" s="25"/>
      <c r="AN64" s="25"/>
      <c r="AO64" s="25"/>
      <c r="CK64" s="3"/>
      <c r="CL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</row>
    <row r="65" spans="16:117" ht="13.5" x14ac:dyDescent="0.25">
      <c r="P65" s="25"/>
      <c r="Q65" s="25"/>
      <c r="R65" s="25"/>
      <c r="AM65" s="25"/>
      <c r="AN65" s="25"/>
      <c r="AO65" s="25"/>
      <c r="CK65" s="3"/>
      <c r="CL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</row>
    <row r="66" spans="16:117" ht="13.5" x14ac:dyDescent="0.25">
      <c r="P66" s="25"/>
      <c r="Q66" s="25"/>
      <c r="R66" s="25"/>
      <c r="AM66" s="25"/>
      <c r="AN66" s="25"/>
      <c r="AO66" s="25"/>
      <c r="CK66" s="3"/>
      <c r="CL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</row>
    <row r="67" spans="16:117" ht="13.5" x14ac:dyDescent="0.25"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</row>
    <row r="68" spans="16:117" ht="13.5" x14ac:dyDescent="0.25"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</row>
    <row r="69" spans="16:117" ht="13.5" x14ac:dyDescent="0.25"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</row>
    <row r="70" spans="16:117" ht="13.5" x14ac:dyDescent="0.25"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</row>
    <row r="71" spans="16:117" ht="13.5" x14ac:dyDescent="0.25"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</row>
    <row r="72" spans="16:117" ht="13.5" x14ac:dyDescent="0.25"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</row>
    <row r="73" spans="16:117" ht="13.5" x14ac:dyDescent="0.25"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</row>
  </sheetData>
  <phoneticPr fontId="13" type="noConversion"/>
  <conditionalFormatting sqref="J3:O3">
    <cfRule type="expression" dxfId="70" priority="19">
      <formula>$J$3&lt;&gt;0</formula>
    </cfRule>
  </conditionalFormatting>
  <conditionalFormatting sqref="V1">
    <cfRule type="iconSet" priority="5">
      <iconSet showValue="0">
        <cfvo type="percent" val="0"/>
        <cfvo type="num" val="0"/>
        <cfvo type="num" val="1"/>
      </iconSet>
    </cfRule>
  </conditionalFormatting>
  <conditionalFormatting sqref="I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list" allowBlank="1" showInputMessage="1" sqref="E6:E14" xr:uid="{25DE6085-899A-4425-B8F3-71B06B42C46B}">
      <formula1>" --,【删除】,【隐藏】"</formula1>
    </dataValidation>
    <dataValidation type="list" allowBlank="1" showInputMessage="1" sqref="K6:K14" xr:uid="{1B9D6445-5A6C-4D62-8F8A-BAE49E37F858}">
      <formula1>dd_结构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6</xdr:col>
                    <xdr:colOff>800100</xdr:colOff>
                    <xdr:row>2</xdr:row>
                    <xdr:rowOff>619125</xdr:rowOff>
                  </from>
                  <to>
                    <xdr:col>7</xdr:col>
                    <xdr:colOff>1952625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zoomScale="70" zoomScaleNormal="70" workbookViewId="0">
      <selection activeCell="Q22" sqref="Q22"/>
    </sheetView>
  </sheetViews>
  <sheetFormatPr defaultColWidth="8.88671875" defaultRowHeight="20.100000000000001" customHeight="1" x14ac:dyDescent="0.25"/>
  <cols>
    <col min="1" max="1" width="12.44140625" style="27" bestFit="1" customWidth="1"/>
    <col min="2" max="2" width="13.33203125" style="27" bestFit="1" customWidth="1"/>
    <col min="3" max="3" width="15.44140625" style="27" bestFit="1" customWidth="1"/>
    <col min="4" max="4" width="35.88671875" style="27" customWidth="1"/>
    <col min="5" max="5" width="9.6640625" style="27" bestFit="1" customWidth="1"/>
    <col min="6" max="6" width="18.109375" style="27" bestFit="1" customWidth="1"/>
    <col min="7" max="7" width="8.88671875" style="27" bestFit="1" customWidth="1"/>
    <col min="8" max="8" width="9" style="27" bestFit="1" customWidth="1"/>
    <col min="9" max="10" width="9.33203125" style="27" bestFit="1" customWidth="1"/>
    <col min="11" max="11" width="19.44140625" style="27" bestFit="1" customWidth="1"/>
    <col min="12" max="15" width="2.21875" style="27" customWidth="1"/>
    <col min="16" max="16" width="17.88671875" style="27" customWidth="1"/>
    <col min="17" max="17" width="36.6640625" style="27" bestFit="1" customWidth="1"/>
    <col min="18" max="18" width="9" style="27" bestFit="1" customWidth="1"/>
    <col min="19" max="19" width="10.44140625" style="27" bestFit="1" customWidth="1"/>
    <col min="20" max="20" width="13.33203125" style="27" bestFit="1" customWidth="1"/>
    <col min="21" max="21" width="9" style="1" bestFit="1" customWidth="1"/>
    <col min="22" max="22" width="9" style="27" bestFit="1" customWidth="1"/>
    <col min="23" max="24" width="9" style="1" bestFit="1" customWidth="1"/>
    <col min="25" max="25" width="10.44140625" style="1" bestFit="1" customWidth="1"/>
    <col min="26" max="26" width="4.33203125" style="27" bestFit="1" customWidth="1"/>
    <col min="27" max="27" width="8.5546875" style="27" bestFit="1" customWidth="1"/>
    <col min="28" max="28" width="9.5546875" style="1" bestFit="1" customWidth="1"/>
    <col min="29" max="29" width="15.33203125" style="1" bestFit="1" customWidth="1"/>
    <col min="30" max="30" width="7.6640625" style="27" bestFit="1" customWidth="1"/>
    <col min="31" max="31" width="6.77734375" style="27" bestFit="1" customWidth="1"/>
    <col min="32" max="33" width="7" style="27" bestFit="1" customWidth="1"/>
    <col min="34" max="34" width="13.33203125" style="1" bestFit="1" customWidth="1"/>
    <col min="35" max="35" width="19.44140625" style="1" bestFit="1" customWidth="1"/>
    <col min="36" max="38" width="7.88671875" style="57" customWidth="1"/>
    <col min="39" max="39" width="7.88671875" style="27" customWidth="1"/>
    <col min="40" max="40" width="33.109375" style="27" customWidth="1"/>
    <col min="41" max="41" width="19.33203125" style="27" bestFit="1" customWidth="1"/>
    <col min="42" max="42" width="13.21875" style="27" bestFit="1" customWidth="1"/>
    <col min="43" max="43" width="9.33203125" style="27" bestFit="1" customWidth="1"/>
    <col min="44" max="44" width="7.6640625" style="27" bestFit="1" customWidth="1"/>
    <col min="45" max="46" width="12" style="27" bestFit="1" customWidth="1"/>
    <col min="47" max="47" width="11.5546875" style="27" bestFit="1" customWidth="1"/>
    <col min="48" max="48" width="14.44140625" style="27" customWidth="1"/>
    <col min="49" max="49" width="11.5546875" style="27" bestFit="1" customWidth="1"/>
    <col min="50" max="50" width="10.77734375" style="27" bestFit="1" customWidth="1"/>
    <col min="51" max="52" width="9.33203125" style="27" bestFit="1" customWidth="1"/>
    <col min="53" max="53" width="9.88671875" style="27" customWidth="1"/>
    <col min="54" max="56" width="4.109375" style="57" customWidth="1"/>
    <col min="57" max="57" width="4.109375" style="27" customWidth="1"/>
    <col min="58" max="58" width="36.6640625" style="27" bestFit="1" customWidth="1"/>
    <col min="59" max="59" width="15.6640625" style="27" bestFit="1" customWidth="1"/>
    <col min="60" max="60" width="10.44140625" style="27" customWidth="1"/>
    <col min="61" max="61" width="11.5546875" style="27" customWidth="1"/>
    <col min="62" max="62" width="12.44140625" style="27" bestFit="1" customWidth="1"/>
    <col min="63" max="63" width="10.77734375" style="27" bestFit="1" customWidth="1"/>
    <col min="64" max="64" width="10.33203125" style="27" bestFit="1" customWidth="1"/>
    <col min="65" max="65" width="10.77734375" style="27" bestFit="1" customWidth="1"/>
    <col min="66" max="66" width="13.109375" style="27" bestFit="1" customWidth="1"/>
    <col min="67" max="67" width="12.6640625" style="27" bestFit="1" customWidth="1"/>
    <col min="68" max="68" width="35.77734375" style="27" customWidth="1"/>
    <col min="69" max="69" width="15.6640625" style="27" customWidth="1"/>
    <col min="70" max="70" width="15.21875" style="27" customWidth="1"/>
    <col min="71" max="71" width="15.6640625" style="27" customWidth="1"/>
    <col min="72" max="73" width="15.5546875" style="27" customWidth="1"/>
    <col min="74" max="16384" width="8.88671875" style="27"/>
  </cols>
  <sheetData>
    <row r="1" spans="1:61" s="57" customFormat="1" ht="49.5" x14ac:dyDescent="0.55000000000000004">
      <c r="A1" s="56" t="s">
        <v>454</v>
      </c>
      <c r="C1" s="67" t="s">
        <v>459</v>
      </c>
      <c r="F1" s="66" t="s">
        <v>451</v>
      </c>
      <c r="G1" s="66" t="s">
        <v>90</v>
      </c>
      <c r="H1" s="66" t="s">
        <v>41</v>
      </c>
      <c r="I1" s="134" t="s">
        <v>460</v>
      </c>
      <c r="P1" s="56" t="s">
        <v>426</v>
      </c>
      <c r="Q1" s="67" t="s">
        <v>458</v>
      </c>
      <c r="R1" s="67"/>
      <c r="U1" s="66" t="s">
        <v>140</v>
      </c>
      <c r="V1" s="66" t="s">
        <v>88</v>
      </c>
      <c r="W1" s="66" t="s">
        <v>53</v>
      </c>
      <c r="Z1" s="66" t="s">
        <v>259</v>
      </c>
      <c r="AA1" s="66" t="s">
        <v>90</v>
      </c>
      <c r="AB1" s="66" t="s">
        <v>64</v>
      </c>
      <c r="AN1" s="56" t="s">
        <v>463</v>
      </c>
      <c r="AO1" s="67" t="s">
        <v>456</v>
      </c>
      <c r="AT1" s="66" t="s">
        <v>174</v>
      </c>
      <c r="AU1" s="66" t="s">
        <v>173</v>
      </c>
      <c r="AX1" s="66" t="s">
        <v>148</v>
      </c>
      <c r="AY1" s="66" t="s">
        <v>202</v>
      </c>
      <c r="AZ1" s="66" t="s">
        <v>203</v>
      </c>
      <c r="BA1" s="66" t="s">
        <v>204</v>
      </c>
      <c r="BF1" s="56" t="s">
        <v>455</v>
      </c>
      <c r="BG1" s="68" t="s">
        <v>457</v>
      </c>
      <c r="BH1" s="66" t="s">
        <v>207</v>
      </c>
      <c r="BI1" s="66" t="s">
        <v>230</v>
      </c>
    </row>
    <row r="2" spans="1:61" s="58" customFormat="1" ht="75" customHeight="1" x14ac:dyDescent="0.35">
      <c r="A2" s="135" t="s">
        <v>461</v>
      </c>
      <c r="D2" s="75"/>
      <c r="I2" s="75"/>
      <c r="J2" s="75"/>
      <c r="Q2" s="59"/>
      <c r="R2" s="75" t="s">
        <v>277</v>
      </c>
      <c r="S2" s="75" t="s">
        <v>277</v>
      </c>
      <c r="T2" s="75" t="s">
        <v>277</v>
      </c>
      <c r="U2" s="75" t="s">
        <v>277</v>
      </c>
      <c r="V2" s="75" t="s">
        <v>277</v>
      </c>
      <c r="W2" s="75" t="s">
        <v>277</v>
      </c>
      <c r="X2" s="75"/>
      <c r="Y2" s="76"/>
      <c r="Z2" s="75"/>
      <c r="AJ2" s="57"/>
      <c r="AK2" s="57"/>
      <c r="AL2" s="57"/>
      <c r="AU2" s="75"/>
      <c r="AV2" s="75"/>
      <c r="AW2" s="75"/>
      <c r="AX2" s="75"/>
      <c r="AY2" s="75"/>
      <c r="AZ2" s="75"/>
      <c r="BA2" s="75"/>
      <c r="BB2" s="57"/>
      <c r="BC2" s="57"/>
      <c r="BD2" s="57"/>
      <c r="BG2" s="75" t="s">
        <v>277</v>
      </c>
      <c r="BH2" s="75" t="s">
        <v>277</v>
      </c>
      <c r="BI2" s="75" t="s">
        <v>277</v>
      </c>
    </row>
    <row r="3" spans="1:61" s="61" customFormat="1" ht="33" customHeight="1" x14ac:dyDescent="0.25">
      <c r="A3" s="122" t="s">
        <v>451</v>
      </c>
      <c r="B3" s="60" t="s">
        <v>48</v>
      </c>
      <c r="C3" s="60" t="s">
        <v>49</v>
      </c>
      <c r="D3" s="60" t="s">
        <v>94</v>
      </c>
      <c r="E3" s="60" t="s">
        <v>136</v>
      </c>
      <c r="F3" s="60" t="s">
        <v>179</v>
      </c>
      <c r="G3" s="60" t="s">
        <v>90</v>
      </c>
      <c r="H3" s="60" t="s">
        <v>41</v>
      </c>
      <c r="I3" s="60" t="s">
        <v>188</v>
      </c>
      <c r="J3" s="60" t="s">
        <v>189</v>
      </c>
      <c r="K3" s="60" t="s">
        <v>141</v>
      </c>
      <c r="P3" s="60" t="s">
        <v>49</v>
      </c>
      <c r="Q3" s="60" t="s">
        <v>94</v>
      </c>
      <c r="R3" s="60" t="s">
        <v>140</v>
      </c>
      <c r="S3" s="60" t="s">
        <v>88</v>
      </c>
      <c r="T3" s="60" t="s">
        <v>53</v>
      </c>
      <c r="U3" s="60" t="s">
        <v>168</v>
      </c>
      <c r="V3" s="60" t="s">
        <v>153</v>
      </c>
      <c r="W3" s="60" t="s">
        <v>142</v>
      </c>
      <c r="X3" s="60" t="s">
        <v>64</v>
      </c>
      <c r="Y3" s="60" t="s">
        <v>57</v>
      </c>
      <c r="Z3" s="60" t="s">
        <v>87</v>
      </c>
      <c r="AA3" s="60" t="s">
        <v>120</v>
      </c>
      <c r="AB3" s="60" t="s">
        <v>154</v>
      </c>
      <c r="AC3" s="60" t="s">
        <v>91</v>
      </c>
      <c r="AD3" s="60" t="s">
        <v>212</v>
      </c>
      <c r="AE3" s="60" t="s">
        <v>175</v>
      </c>
      <c r="AF3" s="60" t="s">
        <v>176</v>
      </c>
      <c r="AG3" s="60" t="s">
        <v>213</v>
      </c>
      <c r="AH3" s="60" t="s">
        <v>48</v>
      </c>
      <c r="AI3" s="60" t="s">
        <v>141</v>
      </c>
      <c r="AJ3" s="57"/>
      <c r="AK3" s="57"/>
      <c r="AL3" s="57"/>
      <c r="AN3" s="60" t="s">
        <v>94</v>
      </c>
      <c r="AO3" s="60" t="s">
        <v>141</v>
      </c>
      <c r="AP3" s="60" t="s">
        <v>48</v>
      </c>
      <c r="AQ3" s="60" t="s">
        <v>49</v>
      </c>
      <c r="AR3" s="60" t="s">
        <v>206</v>
      </c>
      <c r="AS3" s="60" t="s">
        <v>190</v>
      </c>
      <c r="AT3" s="60" t="s">
        <v>174</v>
      </c>
      <c r="AU3" s="60" t="s">
        <v>173</v>
      </c>
      <c r="AV3" s="60" t="s">
        <v>184</v>
      </c>
      <c r="AW3" s="60" t="s">
        <v>172</v>
      </c>
      <c r="AX3" s="60" t="s">
        <v>148</v>
      </c>
      <c r="AY3" s="60" t="s">
        <v>202</v>
      </c>
      <c r="AZ3" s="60" t="s">
        <v>203</v>
      </c>
      <c r="BA3" s="60" t="s">
        <v>204</v>
      </c>
      <c r="BB3" s="57"/>
      <c r="BC3" s="57"/>
      <c r="BD3" s="57"/>
      <c r="BF3" s="60" t="s">
        <v>94</v>
      </c>
      <c r="BG3" s="60" t="s">
        <v>180</v>
      </c>
      <c r="BH3" s="60" t="s">
        <v>207</v>
      </c>
      <c r="BI3" s="60" t="s">
        <v>230</v>
      </c>
    </row>
    <row r="4" spans="1:61" ht="21" customHeight="1" x14ac:dyDescent="0.25">
      <c r="A4" s="27" t="s">
        <v>451</v>
      </c>
      <c r="B4" s="27" t="s">
        <v>48</v>
      </c>
      <c r="C4" s="132" t="s">
        <v>49</v>
      </c>
      <c r="D4" s="133" t="s">
        <v>94</v>
      </c>
      <c r="E4" s="27" t="s">
        <v>136</v>
      </c>
      <c r="F4" s="27" t="s">
        <v>179</v>
      </c>
      <c r="G4" s="27" t="s">
        <v>90</v>
      </c>
      <c r="H4" s="27" t="s">
        <v>41</v>
      </c>
      <c r="I4" s="27" t="s">
        <v>188</v>
      </c>
      <c r="J4" s="27" t="s">
        <v>189</v>
      </c>
      <c r="K4" s="27" t="s">
        <v>141</v>
      </c>
      <c r="P4" s="127" t="s">
        <v>49</v>
      </c>
      <c r="Q4" s="127" t="s">
        <v>94</v>
      </c>
      <c r="R4" s="127" t="s">
        <v>140</v>
      </c>
      <c r="S4" s="127" t="s">
        <v>88</v>
      </c>
      <c r="T4" s="127" t="s">
        <v>53</v>
      </c>
      <c r="U4" s="127" t="s">
        <v>168</v>
      </c>
      <c r="V4" s="127" t="s">
        <v>153</v>
      </c>
      <c r="W4" s="127" t="s">
        <v>142</v>
      </c>
      <c r="X4" s="127" t="s">
        <v>64</v>
      </c>
      <c r="Y4" s="127" t="s">
        <v>57</v>
      </c>
      <c r="Z4" s="127" t="s">
        <v>87</v>
      </c>
      <c r="AA4" s="127" t="s">
        <v>120</v>
      </c>
      <c r="AB4" s="127" t="s">
        <v>154</v>
      </c>
      <c r="AC4" s="127" t="s">
        <v>91</v>
      </c>
      <c r="AD4" s="127" t="s">
        <v>212</v>
      </c>
      <c r="AE4" s="127" t="s">
        <v>175</v>
      </c>
      <c r="AF4" s="127" t="s">
        <v>176</v>
      </c>
      <c r="AG4" s="127" t="s">
        <v>213</v>
      </c>
      <c r="AH4" s="127" t="s">
        <v>48</v>
      </c>
      <c r="AI4" s="127" t="s">
        <v>141</v>
      </c>
      <c r="AN4" s="61" t="s">
        <v>94</v>
      </c>
      <c r="AO4" s="61" t="s">
        <v>141</v>
      </c>
      <c r="AP4" s="61" t="s">
        <v>48</v>
      </c>
      <c r="AQ4" s="61" t="s">
        <v>49</v>
      </c>
      <c r="AR4" s="61" t="s">
        <v>206</v>
      </c>
      <c r="AS4" s="61" t="s">
        <v>190</v>
      </c>
      <c r="AT4" s="61" t="s">
        <v>174</v>
      </c>
      <c r="AU4" s="61" t="s">
        <v>173</v>
      </c>
      <c r="AV4" s="61" t="s">
        <v>184</v>
      </c>
      <c r="AW4" s="61" t="s">
        <v>172</v>
      </c>
      <c r="AX4" s="61" t="s">
        <v>148</v>
      </c>
      <c r="AY4" s="61" t="s">
        <v>202</v>
      </c>
      <c r="AZ4" s="61" t="s">
        <v>203</v>
      </c>
      <c r="BA4" s="61" t="s">
        <v>204</v>
      </c>
      <c r="BF4" s="61" t="s">
        <v>94</v>
      </c>
      <c r="BG4" s="61" t="s">
        <v>180</v>
      </c>
      <c r="BH4" s="61" t="s">
        <v>207</v>
      </c>
      <c r="BI4" s="61" t="s">
        <v>230</v>
      </c>
    </row>
    <row r="5" spans="1:61" ht="21" customHeight="1" x14ac:dyDescent="0.3">
      <c r="A5" s="48"/>
      <c r="B5" s="29" t="s">
        <v>562</v>
      </c>
      <c r="C5" s="121">
        <v>45196</v>
      </c>
      <c r="D5" s="120" t="s">
        <v>563</v>
      </c>
      <c r="E5" s="29" t="s">
        <v>83</v>
      </c>
      <c r="F5" s="140" t="s">
        <v>83</v>
      </c>
      <c r="G5" s="29" t="s">
        <v>112</v>
      </c>
      <c r="H5" s="29" t="s">
        <v>348</v>
      </c>
      <c r="I5" s="29" t="s">
        <v>7</v>
      </c>
      <c r="J5" s="29" t="s">
        <v>7</v>
      </c>
      <c r="K5" s="29" t="s">
        <v>567</v>
      </c>
      <c r="P5" s="127">
        <v>45197</v>
      </c>
      <c r="Q5" s="127" t="s">
        <v>538</v>
      </c>
      <c r="R5" s="62" t="s">
        <v>7</v>
      </c>
      <c r="S5" s="62" t="s">
        <v>92</v>
      </c>
      <c r="T5" s="62" t="s">
        <v>92</v>
      </c>
      <c r="U5" s="62"/>
      <c r="V5" s="62" t="s">
        <v>92</v>
      </c>
      <c r="W5" s="128" t="s">
        <v>92</v>
      </c>
      <c r="X5" s="62" t="s">
        <v>106</v>
      </c>
      <c r="Y5" s="63">
        <v>0.9</v>
      </c>
      <c r="Z5" s="62" t="s">
        <v>477</v>
      </c>
      <c r="AA5" s="62" t="s">
        <v>466</v>
      </c>
      <c r="AB5" s="62" t="s">
        <v>7</v>
      </c>
      <c r="AC5" s="62" t="s">
        <v>110</v>
      </c>
      <c r="AD5" s="62" t="s">
        <v>478</v>
      </c>
      <c r="AE5" s="62">
        <v>0.123</v>
      </c>
      <c r="AF5" s="62">
        <v>0.9</v>
      </c>
      <c r="AG5" s="62">
        <v>0.96599999999999997</v>
      </c>
      <c r="AH5" s="62" t="s">
        <v>537</v>
      </c>
      <c r="AI5" s="62" t="s">
        <v>540</v>
      </c>
      <c r="AN5" s="61" t="s">
        <v>541</v>
      </c>
      <c r="AO5" s="61" t="s">
        <v>546</v>
      </c>
      <c r="AP5" s="123" t="s">
        <v>525</v>
      </c>
      <c r="AQ5" s="123">
        <v>45197</v>
      </c>
      <c r="AR5" s="61" t="s">
        <v>708</v>
      </c>
      <c r="AS5" s="61" t="s">
        <v>524</v>
      </c>
      <c r="AT5" s="61" t="s">
        <v>194</v>
      </c>
      <c r="AU5" s="124" t="s">
        <v>182</v>
      </c>
      <c r="AV5" s="125" t="s">
        <v>850</v>
      </c>
      <c r="AW5" s="125" t="s">
        <v>851</v>
      </c>
      <c r="AX5" s="61" t="s">
        <v>150</v>
      </c>
      <c r="AY5" s="126" t="s">
        <v>92</v>
      </c>
      <c r="AZ5" s="124" t="s">
        <v>92</v>
      </c>
      <c r="BA5" s="124" t="s">
        <v>7</v>
      </c>
      <c r="BF5" s="61" t="s">
        <v>541</v>
      </c>
      <c r="BG5" s="61" t="s">
        <v>693</v>
      </c>
      <c r="BH5" s="61" t="s">
        <v>198</v>
      </c>
      <c r="BI5" s="61" t="s">
        <v>267</v>
      </c>
    </row>
    <row r="6" spans="1:61" ht="21" customHeight="1" x14ac:dyDescent="0.3">
      <c r="A6" s="29"/>
      <c r="B6" s="29" t="s">
        <v>492</v>
      </c>
      <c r="C6" s="121">
        <v>45197</v>
      </c>
      <c r="D6" s="120" t="s">
        <v>493</v>
      </c>
      <c r="E6" s="29" t="s">
        <v>83</v>
      </c>
      <c r="F6" s="29" t="s">
        <v>83</v>
      </c>
      <c r="G6" s="29" t="s">
        <v>112</v>
      </c>
      <c r="H6" s="29" t="s">
        <v>375</v>
      </c>
      <c r="I6" s="29" t="s">
        <v>7</v>
      </c>
      <c r="J6" s="29" t="s">
        <v>7</v>
      </c>
      <c r="K6" s="29" t="s">
        <v>536</v>
      </c>
      <c r="P6" s="127">
        <v>45197</v>
      </c>
      <c r="Q6" s="127" t="s">
        <v>529</v>
      </c>
      <c r="R6" s="63" t="s">
        <v>7</v>
      </c>
      <c r="S6" s="63" t="s">
        <v>701</v>
      </c>
      <c r="T6" s="62" t="s">
        <v>702</v>
      </c>
      <c r="U6" s="62">
        <v>20</v>
      </c>
      <c r="V6" s="62" t="s">
        <v>92</v>
      </c>
      <c r="W6" s="129" t="s">
        <v>92</v>
      </c>
      <c r="X6" s="62" t="s">
        <v>85</v>
      </c>
      <c r="Y6" s="63">
        <v>1</v>
      </c>
      <c r="Z6" s="62" t="s">
        <v>152</v>
      </c>
      <c r="AA6" s="62" t="s">
        <v>702</v>
      </c>
      <c r="AB6" s="62" t="s">
        <v>7</v>
      </c>
      <c r="AC6" s="62" t="s">
        <v>272</v>
      </c>
      <c r="AD6" s="62" t="s">
        <v>92</v>
      </c>
      <c r="AE6" s="62">
        <v>1</v>
      </c>
      <c r="AF6" s="62">
        <v>7.2939999999999996</v>
      </c>
      <c r="AG6" s="62">
        <v>7.8280000000000003</v>
      </c>
      <c r="AH6" s="62" t="s">
        <v>528</v>
      </c>
      <c r="AI6" s="62" t="s">
        <v>555</v>
      </c>
      <c r="AN6" s="61" t="s">
        <v>529</v>
      </c>
      <c r="AO6" s="61" t="s">
        <v>555</v>
      </c>
      <c r="AP6" s="123" t="s">
        <v>528</v>
      </c>
      <c r="AQ6" s="123">
        <v>45197</v>
      </c>
      <c r="AR6" s="61" t="s">
        <v>709</v>
      </c>
      <c r="AS6" s="61" t="s">
        <v>527</v>
      </c>
      <c r="AT6" s="61" t="s">
        <v>194</v>
      </c>
      <c r="AU6" s="124" t="s">
        <v>182</v>
      </c>
      <c r="AV6" s="125" t="s">
        <v>852</v>
      </c>
      <c r="AW6" s="125"/>
      <c r="AX6" s="61" t="s">
        <v>150</v>
      </c>
      <c r="AY6" s="123" t="s">
        <v>92</v>
      </c>
      <c r="AZ6" s="124" t="s">
        <v>92</v>
      </c>
      <c r="BA6" s="61" t="s">
        <v>7</v>
      </c>
      <c r="BF6" s="61" t="s">
        <v>548</v>
      </c>
      <c r="BG6" s="61" t="s">
        <v>1112</v>
      </c>
      <c r="BH6" s="61" t="s">
        <v>198</v>
      </c>
      <c r="BI6" s="61" t="s">
        <v>267</v>
      </c>
    </row>
    <row r="7" spans="1:61" ht="21" customHeight="1" x14ac:dyDescent="0.3">
      <c r="A7" s="29"/>
      <c r="B7" s="29" t="s">
        <v>528</v>
      </c>
      <c r="C7" s="121">
        <v>45197</v>
      </c>
      <c r="D7" s="120" t="s">
        <v>529</v>
      </c>
      <c r="E7" s="140" t="s">
        <v>495</v>
      </c>
      <c r="F7" s="29" t="s">
        <v>484</v>
      </c>
      <c r="G7" s="29" t="s">
        <v>112</v>
      </c>
      <c r="H7" s="29" t="s">
        <v>348</v>
      </c>
      <c r="I7" s="29" t="s">
        <v>7</v>
      </c>
      <c r="J7" s="29" t="s">
        <v>7</v>
      </c>
      <c r="K7" s="29" t="s">
        <v>555</v>
      </c>
      <c r="P7" s="127">
        <v>45197</v>
      </c>
      <c r="Q7" s="127" t="s">
        <v>548</v>
      </c>
      <c r="R7" s="62" t="s">
        <v>7</v>
      </c>
      <c r="S7" s="63" t="s">
        <v>703</v>
      </c>
      <c r="T7" s="62" t="s">
        <v>469</v>
      </c>
      <c r="U7" s="62">
        <v>0</v>
      </c>
      <c r="V7" s="62" t="s">
        <v>92</v>
      </c>
      <c r="W7" s="129" t="s">
        <v>92</v>
      </c>
      <c r="X7" s="62" t="s">
        <v>106</v>
      </c>
      <c r="Y7" s="63">
        <v>15.6</v>
      </c>
      <c r="Z7" s="62" t="s">
        <v>152</v>
      </c>
      <c r="AA7" s="62" t="s">
        <v>469</v>
      </c>
      <c r="AB7" s="62" t="s">
        <v>7</v>
      </c>
      <c r="AC7" s="62" t="s">
        <v>258</v>
      </c>
      <c r="AD7" s="62" t="s">
        <v>92</v>
      </c>
      <c r="AE7" s="62">
        <v>2.137</v>
      </c>
      <c r="AF7" s="62">
        <v>15.6</v>
      </c>
      <c r="AG7" s="62">
        <v>16.739000000000001</v>
      </c>
      <c r="AH7" s="62" t="s">
        <v>547</v>
      </c>
      <c r="AI7" s="62" t="s">
        <v>551</v>
      </c>
      <c r="AN7" s="61"/>
      <c r="AO7" s="61"/>
      <c r="AP7" s="123"/>
      <c r="AQ7" s="123"/>
      <c r="AR7" s="61"/>
      <c r="AS7" s="61"/>
      <c r="AT7" s="61"/>
      <c r="AU7" s="124"/>
      <c r="AV7" s="125"/>
      <c r="AW7" s="124"/>
      <c r="AX7" s="61"/>
      <c r="AY7" s="123"/>
      <c r="AZ7" s="124"/>
      <c r="BA7" s="124"/>
      <c r="BF7" s="61" t="s">
        <v>563</v>
      </c>
      <c r="BG7" s="61" t="s">
        <v>695</v>
      </c>
      <c r="BH7" s="61" t="s">
        <v>198</v>
      </c>
      <c r="BI7" s="61" t="s">
        <v>267</v>
      </c>
    </row>
    <row r="8" spans="1:61" ht="21" customHeight="1" x14ac:dyDescent="0.25">
      <c r="A8" s="29"/>
      <c r="B8" s="29" t="s">
        <v>1049</v>
      </c>
      <c r="C8" s="121">
        <v>45194</v>
      </c>
      <c r="D8" s="120" t="s">
        <v>1050</v>
      </c>
      <c r="E8" s="29" t="s">
        <v>1051</v>
      </c>
      <c r="F8" s="140" t="s">
        <v>1051</v>
      </c>
      <c r="G8" s="29" t="s">
        <v>39</v>
      </c>
      <c r="H8" s="29" t="s">
        <v>92</v>
      </c>
      <c r="I8" s="29" t="s">
        <v>7</v>
      </c>
      <c r="J8" s="29" t="s">
        <v>7</v>
      </c>
      <c r="K8" s="29" t="s">
        <v>1055</v>
      </c>
      <c r="P8" s="127">
        <v>45197</v>
      </c>
      <c r="Q8" s="127" t="s">
        <v>493</v>
      </c>
      <c r="R8" s="63" t="s">
        <v>7</v>
      </c>
      <c r="S8" s="63" t="s">
        <v>92</v>
      </c>
      <c r="T8" s="62" t="s">
        <v>494</v>
      </c>
      <c r="U8" s="62"/>
      <c r="V8" s="62" t="s">
        <v>92</v>
      </c>
      <c r="W8" s="129" t="s">
        <v>92</v>
      </c>
      <c r="X8" s="62" t="s">
        <v>85</v>
      </c>
      <c r="Y8" s="63">
        <v>0.16</v>
      </c>
      <c r="Z8" s="62" t="s">
        <v>152</v>
      </c>
      <c r="AA8" s="62" t="s">
        <v>494</v>
      </c>
      <c r="AB8" s="62" t="s">
        <v>7</v>
      </c>
      <c r="AC8" s="62" t="s">
        <v>258</v>
      </c>
      <c r="AD8" s="62" t="s">
        <v>92</v>
      </c>
      <c r="AE8" s="62">
        <v>0.16</v>
      </c>
      <c r="AF8" s="62">
        <v>1.167</v>
      </c>
      <c r="AG8" s="62">
        <v>1.252</v>
      </c>
      <c r="AH8" s="62" t="s">
        <v>492</v>
      </c>
      <c r="AI8" s="62" t="s">
        <v>536</v>
      </c>
      <c r="AN8" s="61"/>
      <c r="AO8" s="61"/>
      <c r="AP8" s="123"/>
      <c r="AQ8" s="123"/>
      <c r="AR8" s="61"/>
      <c r="AS8" s="61"/>
      <c r="AT8" s="61"/>
      <c r="AU8" s="124"/>
      <c r="AV8" s="124"/>
      <c r="AW8" s="124"/>
      <c r="AX8" s="61"/>
      <c r="AY8" s="126"/>
      <c r="AZ8" s="124"/>
      <c r="BA8" s="61"/>
      <c r="BF8" s="61"/>
      <c r="BG8" s="61"/>
      <c r="BH8" s="61"/>
      <c r="BI8" s="61"/>
    </row>
    <row r="9" spans="1:61" ht="21" customHeight="1" x14ac:dyDescent="0.25">
      <c r="A9" s="29"/>
      <c r="B9" s="29" t="s">
        <v>568</v>
      </c>
      <c r="C9" s="121">
        <v>45195</v>
      </c>
      <c r="D9" s="120" t="s">
        <v>569</v>
      </c>
      <c r="E9" s="29" t="s">
        <v>83</v>
      </c>
      <c r="F9" s="29" t="s">
        <v>83</v>
      </c>
      <c r="G9" s="29" t="s">
        <v>39</v>
      </c>
      <c r="H9" s="29" t="s">
        <v>92</v>
      </c>
      <c r="I9" s="29" t="s">
        <v>7</v>
      </c>
      <c r="J9" s="29" t="s">
        <v>7</v>
      </c>
      <c r="K9" s="29" t="s">
        <v>575</v>
      </c>
      <c r="P9" s="127">
        <v>45197</v>
      </c>
      <c r="Q9" s="127" t="s">
        <v>541</v>
      </c>
      <c r="R9" s="63" t="s">
        <v>7</v>
      </c>
      <c r="S9" s="63" t="s">
        <v>92</v>
      </c>
      <c r="T9" s="62" t="s">
        <v>704</v>
      </c>
      <c r="U9" s="62"/>
      <c r="V9" s="62" t="s">
        <v>92</v>
      </c>
      <c r="W9" s="62" t="s">
        <v>92</v>
      </c>
      <c r="X9" s="63" t="s">
        <v>85</v>
      </c>
      <c r="Y9" s="63">
        <v>0.67</v>
      </c>
      <c r="Z9" s="62" t="s">
        <v>152</v>
      </c>
      <c r="AA9" s="62" t="s">
        <v>704</v>
      </c>
      <c r="AB9" s="62" t="s">
        <v>7</v>
      </c>
      <c r="AC9" s="62" t="s">
        <v>272</v>
      </c>
      <c r="AD9" s="62" t="s">
        <v>92</v>
      </c>
      <c r="AE9" s="62">
        <v>0.67</v>
      </c>
      <c r="AF9" s="62">
        <v>4.8869999999999996</v>
      </c>
      <c r="AG9" s="62">
        <v>5.2450000000000001</v>
      </c>
      <c r="AH9" s="62" t="s">
        <v>525</v>
      </c>
      <c r="AI9" s="62" t="s">
        <v>546</v>
      </c>
      <c r="AN9" s="61"/>
      <c r="AO9" s="61"/>
      <c r="AP9" s="123"/>
      <c r="AQ9" s="123"/>
      <c r="AR9" s="61"/>
      <c r="AS9" s="61"/>
      <c r="AT9" s="61"/>
      <c r="AU9" s="124"/>
      <c r="AV9" s="124"/>
      <c r="AW9" s="124"/>
      <c r="AX9" s="61"/>
      <c r="AY9" s="126"/>
      <c r="AZ9" s="124"/>
      <c r="BA9" s="61"/>
      <c r="BF9" s="61"/>
      <c r="BG9" s="61"/>
      <c r="BH9" s="61"/>
      <c r="BI9" s="61"/>
    </row>
    <row r="10" spans="1:61" ht="21" customHeight="1" x14ac:dyDescent="0.25">
      <c r="A10" s="29"/>
      <c r="B10" s="29" t="s">
        <v>537</v>
      </c>
      <c r="C10" s="121">
        <v>45197</v>
      </c>
      <c r="D10" s="120" t="s">
        <v>538</v>
      </c>
      <c r="E10" s="29" t="s">
        <v>83</v>
      </c>
      <c r="F10" s="29" t="s">
        <v>83</v>
      </c>
      <c r="G10" s="29" t="s">
        <v>37</v>
      </c>
      <c r="H10" s="29" t="s">
        <v>92</v>
      </c>
      <c r="I10" s="29" t="s">
        <v>7</v>
      </c>
      <c r="J10" s="29" t="s">
        <v>7</v>
      </c>
      <c r="K10" s="29" t="s">
        <v>540</v>
      </c>
      <c r="P10" s="127">
        <v>45196</v>
      </c>
      <c r="Q10" s="127" t="s">
        <v>563</v>
      </c>
      <c r="R10" s="63" t="s">
        <v>7</v>
      </c>
      <c r="S10" s="63" t="s">
        <v>705</v>
      </c>
      <c r="T10" s="62" t="s">
        <v>509</v>
      </c>
      <c r="U10" s="62">
        <v>30</v>
      </c>
      <c r="V10" s="62" t="s">
        <v>92</v>
      </c>
      <c r="W10" s="64" t="s">
        <v>92</v>
      </c>
      <c r="X10" s="62" t="s">
        <v>106</v>
      </c>
      <c r="Y10" s="63">
        <v>3</v>
      </c>
      <c r="Z10" s="62" t="s">
        <v>706</v>
      </c>
      <c r="AA10" s="62" t="s">
        <v>669</v>
      </c>
      <c r="AB10" s="62" t="s">
        <v>7</v>
      </c>
      <c r="AC10" s="62" t="s">
        <v>258</v>
      </c>
      <c r="AD10" s="62" t="s">
        <v>92</v>
      </c>
      <c r="AE10" s="62">
        <v>0.41099999999999998</v>
      </c>
      <c r="AF10" s="62">
        <v>3</v>
      </c>
      <c r="AG10" s="62">
        <v>3.2069999999999999</v>
      </c>
      <c r="AH10" s="62" t="s">
        <v>562</v>
      </c>
      <c r="AI10" s="62" t="s">
        <v>567</v>
      </c>
      <c r="AN10" s="61"/>
      <c r="AO10" s="61"/>
      <c r="AP10" s="123"/>
      <c r="AQ10" s="123"/>
      <c r="AR10" s="61"/>
      <c r="AS10" s="61"/>
      <c r="AT10" s="61"/>
      <c r="AU10" s="124"/>
      <c r="AV10" s="61"/>
      <c r="AW10" s="61"/>
      <c r="AX10" s="61"/>
      <c r="AY10" s="126"/>
      <c r="AZ10" s="61"/>
      <c r="BA10" s="61"/>
      <c r="BF10" s="61"/>
      <c r="BG10" s="61"/>
      <c r="BH10" s="61"/>
      <c r="BI10" s="61"/>
    </row>
    <row r="11" spans="1:61" ht="21" customHeight="1" x14ac:dyDescent="0.25">
      <c r="A11" s="29"/>
      <c r="B11" s="29" t="s">
        <v>547</v>
      </c>
      <c r="C11" s="121">
        <v>45197</v>
      </c>
      <c r="D11" s="120" t="s">
        <v>548</v>
      </c>
      <c r="E11" s="29" t="s">
        <v>83</v>
      </c>
      <c r="F11" s="29" t="s">
        <v>83</v>
      </c>
      <c r="G11" s="29" t="s">
        <v>37</v>
      </c>
      <c r="H11" s="29" t="s">
        <v>92</v>
      </c>
      <c r="I11" s="29" t="s">
        <v>7</v>
      </c>
      <c r="J11" s="29" t="s">
        <v>7</v>
      </c>
      <c r="K11" s="29" t="s">
        <v>551</v>
      </c>
      <c r="P11" s="127">
        <v>45196</v>
      </c>
      <c r="Q11" s="127" t="s">
        <v>557</v>
      </c>
      <c r="R11" s="63" t="s">
        <v>7</v>
      </c>
      <c r="S11" s="63" t="s">
        <v>92</v>
      </c>
      <c r="T11" s="62" t="s">
        <v>92</v>
      </c>
      <c r="U11" s="62"/>
      <c r="V11" s="129" t="s">
        <v>92</v>
      </c>
      <c r="W11" s="129" t="s">
        <v>92</v>
      </c>
      <c r="X11" s="62" t="s">
        <v>85</v>
      </c>
      <c r="Y11" s="63">
        <v>1</v>
      </c>
      <c r="Z11" s="62" t="s">
        <v>477</v>
      </c>
      <c r="AA11" s="62" t="s">
        <v>707</v>
      </c>
      <c r="AB11" s="62" t="s">
        <v>7</v>
      </c>
      <c r="AC11" s="62" t="s">
        <v>110</v>
      </c>
      <c r="AD11" s="62" t="s">
        <v>478</v>
      </c>
      <c r="AE11" s="62">
        <v>1</v>
      </c>
      <c r="AF11" s="62">
        <v>7.3140000000000001</v>
      </c>
      <c r="AG11" s="62">
        <v>7.8209999999999997</v>
      </c>
      <c r="AH11" s="62" t="s">
        <v>556</v>
      </c>
      <c r="AI11" s="62" t="s">
        <v>561</v>
      </c>
      <c r="AN11" s="61"/>
      <c r="AO11" s="61"/>
      <c r="AP11" s="123"/>
      <c r="AQ11" s="123"/>
      <c r="AR11" s="61"/>
      <c r="AS11" s="61"/>
      <c r="AT11" s="61"/>
      <c r="AU11" s="124"/>
      <c r="AV11" s="61"/>
      <c r="AW11" s="61"/>
      <c r="AX11" s="61"/>
      <c r="AY11" s="123"/>
      <c r="AZ11" s="61"/>
      <c r="BA11" s="61"/>
    </row>
    <row r="12" spans="1:61" ht="21" customHeight="1" x14ac:dyDescent="0.25">
      <c r="A12" s="29"/>
      <c r="B12" s="29" t="s">
        <v>556</v>
      </c>
      <c r="C12" s="121">
        <v>45196</v>
      </c>
      <c r="D12" s="120" t="s">
        <v>557</v>
      </c>
      <c r="E12" s="29" t="s">
        <v>83</v>
      </c>
      <c r="F12" s="29" t="s">
        <v>83</v>
      </c>
      <c r="G12" s="29" t="s">
        <v>37</v>
      </c>
      <c r="H12" s="29" t="s">
        <v>92</v>
      </c>
      <c r="I12" s="29" t="s">
        <v>7</v>
      </c>
      <c r="J12" s="29" t="s">
        <v>7</v>
      </c>
      <c r="K12" s="29" t="s">
        <v>561</v>
      </c>
      <c r="P12" s="127">
        <v>45195</v>
      </c>
      <c r="Q12" s="127" t="s">
        <v>569</v>
      </c>
      <c r="R12" s="62" t="s">
        <v>7</v>
      </c>
      <c r="S12" s="63" t="s">
        <v>92</v>
      </c>
      <c r="T12" s="129">
        <v>9.7000000000000003E-2</v>
      </c>
      <c r="U12" s="62"/>
      <c r="V12" s="62" t="s">
        <v>92</v>
      </c>
      <c r="W12" s="129" t="s">
        <v>92</v>
      </c>
      <c r="X12" s="62" t="s">
        <v>85</v>
      </c>
      <c r="Y12" s="63">
        <v>0.66600000000000004</v>
      </c>
      <c r="Z12" s="62" t="s">
        <v>477</v>
      </c>
      <c r="AA12" s="62" t="s">
        <v>683</v>
      </c>
      <c r="AB12" s="62" t="s">
        <v>7</v>
      </c>
      <c r="AC12" s="62" t="s">
        <v>110</v>
      </c>
      <c r="AD12" s="62" t="s">
        <v>92</v>
      </c>
      <c r="AE12" s="62">
        <v>0.66600000000000004</v>
      </c>
      <c r="AF12" s="62">
        <v>4.87</v>
      </c>
      <c r="AG12" s="62">
        <v>5.21</v>
      </c>
      <c r="AH12" s="62" t="s">
        <v>568</v>
      </c>
      <c r="AI12" s="62" t="s">
        <v>575</v>
      </c>
      <c r="AN12" s="61"/>
      <c r="AO12" s="61"/>
      <c r="AP12" s="123"/>
      <c r="AQ12" s="123"/>
      <c r="AR12" s="61"/>
      <c r="AS12" s="61"/>
      <c r="AT12" s="61"/>
      <c r="AU12" s="124"/>
      <c r="AV12" s="61"/>
      <c r="AW12" s="61"/>
      <c r="AX12" s="61"/>
      <c r="AY12" s="123"/>
      <c r="AZ12" s="61"/>
      <c r="BA12" s="61"/>
    </row>
    <row r="13" spans="1:61" ht="21" customHeight="1" x14ac:dyDescent="0.25">
      <c r="A13" s="29"/>
      <c r="B13" s="29" t="s">
        <v>525</v>
      </c>
      <c r="C13" s="121">
        <v>45197</v>
      </c>
      <c r="D13" s="120" t="s">
        <v>541</v>
      </c>
      <c r="E13" s="29" t="s">
        <v>83</v>
      </c>
      <c r="F13" s="29" t="s">
        <v>542</v>
      </c>
      <c r="G13" s="29" t="s">
        <v>37</v>
      </c>
      <c r="H13" s="29" t="s">
        <v>92</v>
      </c>
      <c r="I13" s="29" t="s">
        <v>7</v>
      </c>
      <c r="J13" s="29" t="s">
        <v>7</v>
      </c>
      <c r="K13" s="29" t="s">
        <v>546</v>
      </c>
      <c r="P13" s="127">
        <v>45194</v>
      </c>
      <c r="Q13" s="127" t="s">
        <v>1050</v>
      </c>
      <c r="R13" s="62" t="s">
        <v>7</v>
      </c>
      <c r="S13" s="62" t="s">
        <v>1102</v>
      </c>
      <c r="T13" s="62" t="s">
        <v>1087</v>
      </c>
      <c r="U13" s="62">
        <v>22</v>
      </c>
      <c r="V13" s="62" t="s">
        <v>92</v>
      </c>
      <c r="W13" s="128" t="s">
        <v>92</v>
      </c>
      <c r="X13" s="62" t="s">
        <v>106</v>
      </c>
      <c r="Y13" s="63">
        <v>7.3</v>
      </c>
      <c r="Z13" s="62" t="s">
        <v>152</v>
      </c>
      <c r="AA13" s="62" t="s">
        <v>1087</v>
      </c>
      <c r="AB13" s="62" t="s">
        <v>7</v>
      </c>
      <c r="AC13" s="62" t="s">
        <v>272</v>
      </c>
      <c r="AD13" s="62" t="s">
        <v>92</v>
      </c>
      <c r="AE13" s="62">
        <v>1</v>
      </c>
      <c r="AF13" s="62">
        <v>7.3</v>
      </c>
      <c r="AG13" s="62">
        <v>7.7960000000000003</v>
      </c>
      <c r="AH13" s="62" t="s">
        <v>1049</v>
      </c>
      <c r="AI13" s="62" t="s">
        <v>1055</v>
      </c>
      <c r="AZ13" s="61"/>
      <c r="BA13" s="61"/>
    </row>
    <row r="14" spans="1:61" ht="21" customHeight="1" x14ac:dyDescent="0.25">
      <c r="A14" s="29"/>
      <c r="B14" s="29"/>
      <c r="C14" s="121"/>
      <c r="D14" s="120"/>
      <c r="E14" s="29"/>
      <c r="F14" s="29"/>
      <c r="G14" s="29"/>
      <c r="H14" s="29"/>
      <c r="I14" s="29"/>
      <c r="J14" s="29"/>
      <c r="K14" s="29"/>
      <c r="P14" s="127"/>
      <c r="Q14" s="127"/>
      <c r="R14" s="62"/>
      <c r="S14" s="62"/>
      <c r="T14" s="62"/>
      <c r="U14" s="62"/>
      <c r="V14" s="62"/>
      <c r="W14" s="62"/>
      <c r="X14" s="62"/>
      <c r="Y14" s="63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BA14" s="61"/>
    </row>
    <row r="15" spans="1:61" ht="21" customHeight="1" x14ac:dyDescent="0.25">
      <c r="A15" s="29"/>
      <c r="B15" s="29"/>
      <c r="C15" s="121"/>
      <c r="D15" s="120"/>
      <c r="E15" s="29"/>
      <c r="F15" s="29"/>
      <c r="G15" s="29"/>
      <c r="H15" s="29"/>
      <c r="I15" s="29"/>
      <c r="J15" s="29"/>
      <c r="K15" s="29"/>
      <c r="P15" s="127"/>
      <c r="Q15" s="127"/>
      <c r="R15" s="62"/>
      <c r="S15" s="62"/>
      <c r="T15" s="62"/>
      <c r="U15" s="62"/>
      <c r="V15" s="62"/>
      <c r="W15" s="129"/>
      <c r="X15" s="62"/>
      <c r="Y15" s="63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BA15" s="61"/>
    </row>
    <row r="16" spans="1:61" ht="21" customHeight="1" x14ac:dyDescent="0.25">
      <c r="A16" s="29"/>
      <c r="B16" s="29"/>
      <c r="C16" s="121"/>
      <c r="D16" s="120"/>
      <c r="E16" s="29"/>
      <c r="F16" s="29"/>
      <c r="G16" s="29"/>
      <c r="H16" s="29"/>
      <c r="I16" s="29"/>
      <c r="J16" s="29"/>
      <c r="K16" s="29"/>
      <c r="P16" s="127"/>
      <c r="Q16" s="127"/>
      <c r="R16" s="62"/>
      <c r="S16" s="62"/>
      <c r="T16" s="62"/>
      <c r="U16" s="62"/>
      <c r="V16" s="62"/>
      <c r="W16" s="62"/>
      <c r="X16" s="62"/>
      <c r="Y16" s="63"/>
      <c r="Z16" s="62"/>
      <c r="AA16" s="62"/>
      <c r="AB16" s="62"/>
      <c r="AC16" s="62"/>
      <c r="AD16" s="62"/>
      <c r="AE16" s="62"/>
      <c r="AF16" s="62"/>
      <c r="AG16" s="62"/>
      <c r="AH16" s="62"/>
      <c r="AI16" s="62"/>
    </row>
    <row r="17" spans="1:51" ht="21" customHeight="1" x14ac:dyDescent="0.25">
      <c r="A17" s="29"/>
      <c r="B17" s="29"/>
      <c r="C17" s="121"/>
      <c r="D17" s="120"/>
      <c r="E17" s="29"/>
      <c r="F17" s="29"/>
      <c r="G17" s="29"/>
      <c r="H17" s="29"/>
      <c r="I17" s="29"/>
      <c r="J17" s="29"/>
      <c r="K17" s="29"/>
      <c r="P17" s="127"/>
      <c r="Q17" s="127"/>
      <c r="R17" s="62"/>
      <c r="S17" s="62"/>
      <c r="T17" s="62"/>
      <c r="U17" s="62"/>
      <c r="V17" s="62"/>
      <c r="W17" s="62"/>
      <c r="X17" s="62"/>
      <c r="Y17" s="63"/>
      <c r="Z17" s="62"/>
      <c r="AA17" s="62"/>
      <c r="AB17" s="62"/>
      <c r="AC17" s="62"/>
      <c r="AD17" s="62"/>
      <c r="AE17" s="62"/>
      <c r="AF17" s="62"/>
      <c r="AG17" s="62"/>
      <c r="AH17" s="62"/>
      <c r="AI17" s="62"/>
    </row>
    <row r="18" spans="1:51" ht="21" customHeight="1" x14ac:dyDescent="0.25">
      <c r="A18" s="29"/>
      <c r="B18" s="29"/>
      <c r="C18" s="121"/>
      <c r="D18" s="120"/>
      <c r="E18" s="29"/>
      <c r="F18" s="29"/>
      <c r="G18" s="29"/>
      <c r="H18" s="29"/>
      <c r="I18" s="29"/>
      <c r="J18" s="29"/>
      <c r="K18" s="29"/>
      <c r="P18" s="127"/>
      <c r="Q18" s="127"/>
      <c r="R18" s="62"/>
      <c r="S18" s="62"/>
      <c r="T18" s="62"/>
      <c r="U18" s="62"/>
      <c r="V18" s="62"/>
      <c r="W18" s="62"/>
      <c r="X18" s="62"/>
      <c r="Y18" s="63"/>
      <c r="Z18" s="62"/>
      <c r="AA18" s="62"/>
      <c r="AB18" s="62"/>
      <c r="AC18" s="62"/>
      <c r="AD18" s="62"/>
      <c r="AE18" s="62"/>
      <c r="AF18" s="62"/>
      <c r="AG18" s="62"/>
      <c r="AH18" s="62"/>
      <c r="AI18" s="62"/>
    </row>
    <row r="19" spans="1:51" ht="21" customHeight="1" x14ac:dyDescent="0.25">
      <c r="A19" s="29"/>
      <c r="B19" s="29"/>
      <c r="C19" s="121"/>
      <c r="D19" s="120"/>
      <c r="E19" s="29"/>
      <c r="F19" s="29"/>
      <c r="G19" s="29"/>
      <c r="H19" s="29"/>
      <c r="I19" s="29"/>
      <c r="J19" s="29"/>
      <c r="K19" s="29"/>
      <c r="P19" s="127"/>
      <c r="Q19" s="127"/>
      <c r="R19" s="62"/>
      <c r="S19" s="62"/>
      <c r="T19" s="62"/>
      <c r="U19" s="62"/>
      <c r="V19" s="62"/>
      <c r="W19" s="62"/>
      <c r="X19" s="62"/>
      <c r="Y19" s="63"/>
      <c r="Z19" s="62"/>
      <c r="AA19" s="62"/>
      <c r="AB19" s="62"/>
      <c r="AC19" s="62"/>
      <c r="AD19" s="62"/>
      <c r="AE19" s="62"/>
      <c r="AF19" s="62"/>
      <c r="AG19" s="62"/>
      <c r="AH19" s="62"/>
      <c r="AI19" s="62"/>
    </row>
    <row r="20" spans="1:51" ht="21" customHeight="1" x14ac:dyDescent="0.25">
      <c r="A20" s="29"/>
      <c r="B20" s="29"/>
      <c r="C20" s="121"/>
      <c r="D20" s="120"/>
      <c r="E20" s="29"/>
      <c r="F20" s="29"/>
      <c r="G20" s="29"/>
      <c r="H20" s="29"/>
      <c r="I20" s="29"/>
      <c r="J20" s="29"/>
      <c r="K20" s="29"/>
      <c r="P20" s="127"/>
      <c r="Q20" s="127"/>
      <c r="R20" s="62"/>
      <c r="S20" s="62"/>
      <c r="T20" s="62"/>
      <c r="U20" s="62"/>
      <c r="V20" s="62"/>
      <c r="W20" s="62"/>
      <c r="X20" s="62"/>
      <c r="Y20" s="63"/>
      <c r="Z20" s="62"/>
      <c r="AA20" s="62"/>
      <c r="AB20" s="62"/>
      <c r="AC20" s="62"/>
      <c r="AD20" s="62"/>
      <c r="AE20" s="62"/>
      <c r="AF20" s="62"/>
      <c r="AG20" s="62"/>
      <c r="AH20" s="62"/>
      <c r="AI20" s="62"/>
    </row>
    <row r="21" spans="1:51" ht="21" customHeight="1" x14ac:dyDescent="0.25">
      <c r="A21" s="29"/>
      <c r="B21" s="29"/>
      <c r="C21" s="121"/>
      <c r="D21" s="120"/>
      <c r="E21" s="29"/>
      <c r="F21" s="29"/>
      <c r="G21" s="29"/>
      <c r="H21" s="29"/>
      <c r="I21" s="29"/>
      <c r="J21" s="29"/>
      <c r="K21" s="29"/>
      <c r="P21" s="127"/>
      <c r="Q21" s="127"/>
      <c r="R21" s="62"/>
      <c r="S21" s="62"/>
      <c r="T21" s="62"/>
      <c r="U21" s="62"/>
      <c r="V21" s="62"/>
      <c r="W21" s="62"/>
      <c r="X21" s="62"/>
      <c r="Y21" s="63"/>
      <c r="Z21" s="62"/>
      <c r="AA21" s="62"/>
      <c r="AB21" s="62"/>
      <c r="AC21" s="62"/>
      <c r="AD21" s="62"/>
      <c r="AE21" s="62"/>
      <c r="AF21" s="62"/>
      <c r="AG21" s="62"/>
      <c r="AH21" s="62"/>
      <c r="AI21" s="62"/>
    </row>
    <row r="22" spans="1:51" ht="21" customHeight="1" x14ac:dyDescent="0.25">
      <c r="A22" s="29"/>
      <c r="B22" s="29"/>
      <c r="C22" s="121"/>
      <c r="D22" s="120"/>
      <c r="E22" s="29"/>
      <c r="F22" s="29"/>
      <c r="G22" s="29"/>
      <c r="H22" s="29"/>
      <c r="I22" s="29"/>
      <c r="J22" s="29"/>
      <c r="K22" s="29"/>
      <c r="P22" s="127"/>
      <c r="Q22" s="127"/>
      <c r="R22" s="62"/>
      <c r="S22" s="62"/>
      <c r="T22" s="62"/>
      <c r="U22" s="62"/>
      <c r="V22" s="62"/>
      <c r="W22" s="62"/>
      <c r="X22" s="62"/>
      <c r="Y22" s="63"/>
      <c r="Z22" s="62"/>
      <c r="AA22" s="62"/>
      <c r="AB22" s="62"/>
      <c r="AC22" s="62"/>
      <c r="AD22" s="62"/>
      <c r="AE22" s="62"/>
      <c r="AF22" s="62"/>
      <c r="AG22" s="62"/>
      <c r="AH22" s="62"/>
      <c r="AI22" s="62"/>
    </row>
    <row r="23" spans="1:51" ht="21" customHeight="1" x14ac:dyDescent="0.25">
      <c r="A23" s="29"/>
      <c r="B23" s="29"/>
      <c r="C23" s="121"/>
      <c r="D23" s="120"/>
      <c r="E23" s="29"/>
      <c r="F23" s="29"/>
      <c r="G23" s="29"/>
      <c r="H23" s="29"/>
      <c r="I23" s="29"/>
      <c r="J23" s="29"/>
      <c r="K23" s="29"/>
      <c r="P23" s="127"/>
      <c r="Q23" s="127"/>
      <c r="R23" s="62"/>
      <c r="S23" s="62"/>
      <c r="T23" s="62"/>
      <c r="U23" s="62"/>
      <c r="V23" s="62"/>
      <c r="W23" s="62"/>
      <c r="X23" s="62"/>
      <c r="Y23" s="63"/>
      <c r="Z23" s="62"/>
      <c r="AA23" s="62"/>
      <c r="AB23" s="62"/>
      <c r="AC23" s="62"/>
      <c r="AD23" s="62"/>
      <c r="AE23" s="62"/>
      <c r="AF23" s="62"/>
      <c r="AG23" s="62"/>
      <c r="AH23" s="62"/>
      <c r="AI23" s="62"/>
    </row>
    <row r="24" spans="1:51" ht="21" customHeight="1" x14ac:dyDescent="0.25">
      <c r="A24" s="29"/>
      <c r="B24" s="29"/>
      <c r="C24" s="121"/>
      <c r="D24" s="120"/>
      <c r="E24" s="29"/>
      <c r="F24" s="29"/>
      <c r="G24" s="29"/>
      <c r="H24" s="29"/>
      <c r="I24" s="29"/>
      <c r="J24" s="29"/>
      <c r="K24" s="29"/>
      <c r="P24" s="127"/>
      <c r="Q24" s="127"/>
      <c r="R24" s="62"/>
      <c r="S24" s="62"/>
      <c r="T24" s="62"/>
      <c r="U24" s="62"/>
      <c r="V24" s="62"/>
      <c r="W24" s="62"/>
      <c r="X24" s="62"/>
      <c r="Y24" s="63"/>
      <c r="Z24" s="62"/>
      <c r="AA24" s="62"/>
      <c r="AB24" s="62"/>
      <c r="AC24" s="62"/>
      <c r="AD24" s="62"/>
      <c r="AE24" s="62"/>
      <c r="AF24" s="62"/>
      <c r="AG24" s="62"/>
      <c r="AH24" s="62"/>
      <c r="AI24" s="62"/>
    </row>
    <row r="25" spans="1:51" ht="21" customHeight="1" x14ac:dyDescent="0.25">
      <c r="A25" s="29"/>
      <c r="B25" s="29"/>
      <c r="C25" s="121"/>
      <c r="D25" s="120"/>
      <c r="E25" s="29"/>
      <c r="F25" s="29"/>
      <c r="G25" s="29"/>
      <c r="H25" s="29"/>
      <c r="I25" s="29"/>
      <c r="J25" s="29"/>
      <c r="K25" s="29"/>
      <c r="P25" s="127"/>
      <c r="Q25" s="127"/>
      <c r="R25" s="62"/>
      <c r="S25" s="62"/>
      <c r="T25" s="62"/>
      <c r="U25" s="62"/>
      <c r="V25" s="62"/>
      <c r="W25" s="62"/>
      <c r="X25" s="62"/>
      <c r="Y25" s="63"/>
      <c r="Z25" s="62"/>
      <c r="AA25" s="62"/>
      <c r="AB25" s="62"/>
      <c r="AC25" s="62"/>
      <c r="AD25" s="62"/>
      <c r="AE25" s="62"/>
      <c r="AF25" s="62"/>
      <c r="AG25" s="62"/>
      <c r="AH25" s="62"/>
      <c r="AI25" s="62"/>
    </row>
    <row r="26" spans="1:51" ht="21" customHeight="1" x14ac:dyDescent="0.25">
      <c r="A26" s="29"/>
      <c r="B26" s="29"/>
      <c r="C26" s="121"/>
      <c r="D26" s="120"/>
      <c r="E26" s="29"/>
      <c r="F26" s="29"/>
      <c r="G26" s="29"/>
      <c r="H26" s="29"/>
      <c r="I26" s="29"/>
      <c r="J26" s="29"/>
      <c r="K26" s="29"/>
      <c r="P26" s="127"/>
      <c r="Q26" s="127"/>
      <c r="R26" s="62"/>
      <c r="S26" s="62"/>
      <c r="T26" s="62"/>
      <c r="U26" s="62"/>
      <c r="V26" s="62"/>
      <c r="W26" s="62"/>
      <c r="X26" s="62"/>
      <c r="Y26" s="63"/>
      <c r="Z26" s="62"/>
      <c r="AA26" s="62"/>
      <c r="AB26" s="62"/>
      <c r="AC26" s="62"/>
      <c r="AD26" s="62"/>
      <c r="AE26" s="62"/>
      <c r="AF26" s="62"/>
      <c r="AG26" s="62"/>
      <c r="AH26" s="62"/>
      <c r="AI26" s="62"/>
    </row>
    <row r="27" spans="1:51" ht="20.100000000000001" customHeight="1" x14ac:dyDescent="0.25">
      <c r="P27" s="61"/>
      <c r="Q27" s="61"/>
      <c r="R27" s="61"/>
      <c r="S27" s="61"/>
      <c r="T27" s="61"/>
      <c r="V27" s="61"/>
      <c r="Z27" s="61"/>
      <c r="AA27" s="61"/>
      <c r="AD27" s="61"/>
      <c r="AE27" s="61"/>
      <c r="AF27" s="61"/>
      <c r="AG27" s="61"/>
    </row>
    <row r="28" spans="1:51" ht="20.100000000000001" customHeight="1" x14ac:dyDescent="0.25">
      <c r="P28" s="61"/>
      <c r="Q28" s="61"/>
      <c r="R28" s="61"/>
      <c r="S28" s="61"/>
      <c r="T28" s="61"/>
      <c r="V28" s="61"/>
      <c r="Z28" s="61"/>
      <c r="AA28" s="61"/>
      <c r="AD28" s="61"/>
      <c r="AE28" s="61"/>
      <c r="AF28" s="61"/>
      <c r="AG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</row>
    <row r="29" spans="1:51" ht="20.100000000000001" customHeight="1" x14ac:dyDescent="0.25">
      <c r="P29" s="61"/>
      <c r="Q29" s="61"/>
      <c r="R29" s="61"/>
      <c r="S29" s="61"/>
      <c r="T29" s="61"/>
      <c r="V29" s="61"/>
      <c r="Z29" s="61"/>
      <c r="AA29" s="61"/>
      <c r="AD29" s="61"/>
      <c r="AE29" s="61"/>
      <c r="AF29" s="61"/>
      <c r="AG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</row>
    <row r="30" spans="1:51" ht="20.100000000000001" customHeight="1" x14ac:dyDescent="0.25">
      <c r="P30" s="61"/>
      <c r="Q30" s="61"/>
      <c r="R30" s="61"/>
      <c r="S30" s="61"/>
      <c r="T30" s="61"/>
      <c r="V30" s="61"/>
      <c r="Z30" s="61"/>
      <c r="AA30" s="61"/>
      <c r="AD30" s="61"/>
      <c r="AE30" s="61"/>
      <c r="AF30" s="61"/>
      <c r="AG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</row>
    <row r="31" spans="1:51" ht="20.100000000000001" customHeight="1" x14ac:dyDescent="0.25">
      <c r="P31" s="61"/>
      <c r="Q31" s="61"/>
      <c r="R31" s="61"/>
      <c r="S31" s="61"/>
      <c r="T31" s="61"/>
      <c r="V31" s="61"/>
      <c r="Z31" s="61"/>
      <c r="AA31" s="61"/>
      <c r="AD31" s="61"/>
      <c r="AE31" s="61"/>
      <c r="AF31" s="61"/>
      <c r="AG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</row>
    <row r="32" spans="1:51" ht="20.100000000000001" customHeight="1" x14ac:dyDescent="0.25">
      <c r="P32" s="61"/>
      <c r="Q32" s="61"/>
      <c r="R32" s="61"/>
      <c r="S32" s="61"/>
      <c r="T32" s="61"/>
      <c r="V32" s="61"/>
      <c r="Z32" s="61"/>
      <c r="AA32" s="61"/>
      <c r="AD32" s="61"/>
      <c r="AE32" s="61"/>
      <c r="AF32" s="61"/>
      <c r="AG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</row>
    <row r="33" spans="16:51" ht="20.100000000000001" customHeight="1" x14ac:dyDescent="0.25">
      <c r="P33" s="61"/>
      <c r="Q33" s="61"/>
      <c r="R33" s="61"/>
      <c r="S33" s="61"/>
      <c r="T33" s="61"/>
      <c r="V33" s="61"/>
      <c r="Z33" s="61"/>
      <c r="AA33" s="61"/>
      <c r="AD33" s="61"/>
      <c r="AE33" s="61"/>
      <c r="AF33" s="61"/>
      <c r="AG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</row>
    <row r="34" spans="16:51" ht="20.100000000000001" customHeight="1" x14ac:dyDescent="0.25">
      <c r="P34" s="61"/>
      <c r="Q34" s="61"/>
      <c r="R34" s="61"/>
      <c r="S34" s="61"/>
      <c r="T34" s="61"/>
      <c r="V34" s="61"/>
      <c r="Z34" s="61"/>
      <c r="AA34" s="61"/>
      <c r="AD34" s="61"/>
      <c r="AE34" s="61"/>
      <c r="AF34" s="61"/>
      <c r="AG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</row>
    <row r="35" spans="16:51" ht="20.100000000000001" customHeight="1" x14ac:dyDescent="0.25">
      <c r="P35" s="62"/>
      <c r="R35" s="39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</row>
    <row r="36" spans="16:51" ht="20.100000000000001" customHeight="1" x14ac:dyDescent="0.25">
      <c r="P36" s="62"/>
      <c r="R36" s="39"/>
    </row>
    <row r="37" spans="16:51" ht="20.100000000000001" customHeight="1" x14ac:dyDescent="0.25">
      <c r="R37" s="39"/>
    </row>
    <row r="38" spans="16:51" ht="20.100000000000001" customHeight="1" x14ac:dyDescent="0.25">
      <c r="R38" s="39"/>
    </row>
    <row r="39" spans="16:51" ht="20.100000000000001" customHeight="1" x14ac:dyDescent="0.25">
      <c r="R39" s="39"/>
    </row>
    <row r="40" spans="16:51" ht="20.100000000000001" customHeight="1" x14ac:dyDescent="0.25">
      <c r="R40" s="39"/>
    </row>
    <row r="41" spans="16:51" ht="20.100000000000001" customHeight="1" x14ac:dyDescent="0.25">
      <c r="R41" s="39"/>
    </row>
    <row r="42" spans="16:51" ht="20.100000000000001" customHeight="1" x14ac:dyDescent="0.25">
      <c r="R42" s="39"/>
    </row>
    <row r="43" spans="16:51" ht="20.100000000000001" customHeight="1" x14ac:dyDescent="0.25">
      <c r="R43" s="39"/>
    </row>
    <row r="44" spans="16:51" ht="20.100000000000001" customHeight="1" x14ac:dyDescent="0.25">
      <c r="R44" s="39"/>
    </row>
    <row r="45" spans="16:51" ht="20.100000000000001" customHeight="1" x14ac:dyDescent="0.25">
      <c r="R45" s="39"/>
    </row>
    <row r="46" spans="16:51" ht="20.100000000000001" customHeight="1" x14ac:dyDescent="0.25">
      <c r="R46" s="39"/>
    </row>
    <row r="47" spans="16:51" ht="20.100000000000001" customHeight="1" x14ac:dyDescent="0.25">
      <c r="R47" s="39"/>
    </row>
    <row r="48" spans="16:51" ht="20.100000000000001" customHeight="1" x14ac:dyDescent="0.25">
      <c r="R48" s="39"/>
    </row>
    <row r="49" spans="18:18" ht="20.100000000000001" customHeight="1" x14ac:dyDescent="0.25">
      <c r="R49" s="39"/>
    </row>
    <row r="50" spans="18:18" ht="20.100000000000001" customHeight="1" x14ac:dyDescent="0.25">
      <c r="R50" s="39"/>
    </row>
    <row r="51" spans="18:18" ht="20.100000000000001" customHeight="1" x14ac:dyDescent="0.25">
      <c r="R51" s="39"/>
    </row>
    <row r="52" spans="18:18" ht="20.100000000000001" customHeight="1" x14ac:dyDescent="0.25">
      <c r="R52" s="39"/>
    </row>
  </sheetData>
  <phoneticPr fontId="13" type="noConversion"/>
  <conditionalFormatting sqref="A4:K26 P4:AI26 AN4:BA4 AN5:AR12 AT5:BA12 BF4:BI10">
    <cfRule type="containsText" dxfId="69" priority="6" operator="containsText" text="【">
      <formula>NOT(ISERROR(SEARCH("【",A4)))</formula>
    </cfRule>
  </conditionalFormatting>
  <conditionalFormatting sqref="A4:A26">
    <cfRule type="containsText" dxfId="68" priority="5" operator="containsText" text="【">
      <formula>NOT(ISERROR(SEARCH("【",A4)))</formula>
    </cfRule>
  </conditionalFormatting>
  <conditionalFormatting sqref="D4:J26 R4:W26 AT4:BA12 BG4:BI10">
    <cfRule type="notContainsBlanks" dxfId="67" priority="8">
      <formula>LEN(TRIM(D4))&gt;0</formula>
    </cfRule>
  </conditionalFormatting>
  <conditionalFormatting sqref="A4:K4 P4:AI4 AN4:BA4 BF4:BI4">
    <cfRule type="notContainsBlanks" dxfId="66" priority="4">
      <formula>LEN(TRIM(A4))&gt;0</formula>
    </cfRule>
  </conditionalFormatting>
  <conditionalFormatting sqref="AS5:AS12">
    <cfRule type="containsText" dxfId="65" priority="3" operator="containsText" text="【">
      <formula>NOT(ISERROR(SEARCH("【",AS5)))</formula>
    </cfRule>
  </conditionalFormatting>
  <conditionalFormatting sqref="I1">
    <cfRule type="containsText" dxfId="64" priority="1" operator="containsText" text="【">
      <formula>NOT(ISERROR(SEARCH("【",I1)))</formula>
    </cfRule>
  </conditionalFormatting>
  <conditionalFormatting sqref="I1">
    <cfRule type="notContainsBlanks" dxfId="63" priority="2">
      <formula>LEN(TRIM(I1))&gt;0</formula>
    </cfRule>
  </conditionalFormatting>
  <dataValidations count="17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 A4:A26" xr:uid="{00E399D1-FBBE-4EBF-898B-16755D1B6777}">
      <formula1>"【删除】,【隐藏】"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abSelected="1" zoomScale="85" zoomScaleNormal="85" workbookViewId="0">
      <selection activeCell="C13" sqref="C13"/>
    </sheetView>
  </sheetViews>
  <sheetFormatPr defaultColWidth="8.88671875" defaultRowHeight="15" x14ac:dyDescent="0.25"/>
  <cols>
    <col min="1" max="1" width="9.33203125" style="1" bestFit="1" customWidth="1"/>
    <col min="2" max="2" width="13.33203125" style="1" bestFit="1" customWidth="1"/>
    <col min="3" max="3" width="44.44140625" style="1" bestFit="1" customWidth="1"/>
    <col min="4" max="4" width="4.33203125" style="1" bestFit="1" customWidth="1"/>
    <col min="5" max="5" width="9" style="1" bestFit="1" customWidth="1"/>
    <col min="6" max="6" width="4.6640625" style="1" bestFit="1" customWidth="1"/>
    <col min="7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20.664062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5.6640625" style="1" bestFit="1" customWidth="1"/>
    <col min="26" max="26" width="7.6640625" style="1" bestFit="1" customWidth="1"/>
    <col min="27" max="27" width="4.33203125" style="1" bestFit="1" customWidth="1"/>
    <col min="28" max="28" width="6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37">
        <f>COUNTA(charts[ISIN])</f>
        <v>11</v>
      </c>
      <c r="B1" s="7" t="s">
        <v>137</v>
      </c>
      <c r="Q1" s="139">
        <f>COUNTA(Table_graph_weeklydeal[Index])</f>
        <v>9</v>
      </c>
      <c r="R1" s="138" t="s">
        <v>462</v>
      </c>
      <c r="S1" s="139">
        <f>ROUND(SUM(Table_graph_weeklydeal[亿美元]),1)</f>
        <v>7.2</v>
      </c>
      <c r="T1" s="138" t="s">
        <v>175</v>
      </c>
      <c r="AV1" s="4"/>
    </row>
    <row r="2" spans="1:48" ht="42" customHeight="1" x14ac:dyDescent="0.25">
      <c r="A2" s="136" t="s">
        <v>181</v>
      </c>
      <c r="Q2" s="138" t="s">
        <v>187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175</v>
      </c>
      <c r="F8" t="s">
        <v>64</v>
      </c>
      <c r="G8" t="s">
        <v>230</v>
      </c>
      <c r="H8" t="s">
        <v>93</v>
      </c>
      <c r="I8" t="s">
        <v>107</v>
      </c>
      <c r="J8" t="s">
        <v>118</v>
      </c>
      <c r="L8" t="s">
        <v>274</v>
      </c>
      <c r="M8" t="s">
        <v>275</v>
      </c>
      <c r="N8" t="s">
        <v>276</v>
      </c>
      <c r="P8" t="s">
        <v>86</v>
      </c>
      <c r="Q8" t="s">
        <v>48</v>
      </c>
      <c r="R8" t="s">
        <v>49</v>
      </c>
      <c r="S8" t="s">
        <v>167</v>
      </c>
      <c r="T8" t="s">
        <v>136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168</v>
      </c>
      <c r="AA8" t="s">
        <v>90</v>
      </c>
      <c r="AB8" t="s">
        <v>36</v>
      </c>
      <c r="AC8" t="s">
        <v>230</v>
      </c>
      <c r="AD8" t="s">
        <v>89</v>
      </c>
      <c r="AE8" t="s">
        <v>149</v>
      </c>
      <c r="AF8" t="s">
        <v>175</v>
      </c>
    </row>
    <row r="9" spans="1:48" x14ac:dyDescent="0.25">
      <c r="A9" s="159">
        <v>45197</v>
      </c>
      <c r="B9" s="145" t="s">
        <v>528</v>
      </c>
      <c r="C9" t="s">
        <v>616</v>
      </c>
      <c r="D9" s="145">
        <v>3</v>
      </c>
      <c r="E9" s="145">
        <v>1</v>
      </c>
      <c r="F9" t="s">
        <v>85</v>
      </c>
      <c r="G9" t="s">
        <v>267</v>
      </c>
      <c r="H9" t="s">
        <v>134</v>
      </c>
      <c r="I9" t="s">
        <v>1099</v>
      </c>
      <c r="J9" t="s">
        <v>1100</v>
      </c>
      <c r="L9" t="s">
        <v>847</v>
      </c>
      <c r="M9">
        <v>24.856999999999999</v>
      </c>
      <c r="N9">
        <v>14</v>
      </c>
      <c r="P9" s="145">
        <v>9</v>
      </c>
      <c r="Q9" s="145" t="s">
        <v>537</v>
      </c>
      <c r="R9" s="159">
        <v>45197</v>
      </c>
      <c r="S9" t="s">
        <v>698</v>
      </c>
      <c r="T9" t="s">
        <v>83</v>
      </c>
      <c r="U9" t="s">
        <v>106</v>
      </c>
      <c r="V9" s="145">
        <v>0.9</v>
      </c>
      <c r="W9" t="s">
        <v>477</v>
      </c>
      <c r="X9" t="s">
        <v>466</v>
      </c>
      <c r="Y9" t="s">
        <v>7</v>
      </c>
      <c r="Z9" s="145" t="s">
        <v>7</v>
      </c>
      <c r="AA9" t="s">
        <v>37</v>
      </c>
      <c r="AB9" t="s">
        <v>1091</v>
      </c>
      <c r="AC9" t="s">
        <v>267</v>
      </c>
      <c r="AD9" t="s">
        <v>10</v>
      </c>
      <c r="AE9" t="s">
        <v>7</v>
      </c>
      <c r="AF9" s="145">
        <v>0.123</v>
      </c>
    </row>
    <row r="10" spans="1:48" x14ac:dyDescent="0.25">
      <c r="A10" s="159">
        <v>45197</v>
      </c>
      <c r="B10" s="145" t="s">
        <v>525</v>
      </c>
      <c r="C10" t="s">
        <v>600</v>
      </c>
      <c r="D10" s="145">
        <v>3</v>
      </c>
      <c r="E10" s="145">
        <v>0.67</v>
      </c>
      <c r="F10" t="s">
        <v>85</v>
      </c>
      <c r="G10" t="s">
        <v>267</v>
      </c>
      <c r="H10" t="s">
        <v>116</v>
      </c>
      <c r="I10" t="s">
        <v>1099</v>
      </c>
      <c r="J10" t="s">
        <v>1100</v>
      </c>
      <c r="P10" s="145">
        <v>8</v>
      </c>
      <c r="Q10" s="145" t="s">
        <v>492</v>
      </c>
      <c r="R10" s="159">
        <v>45197</v>
      </c>
      <c r="S10" t="s">
        <v>496</v>
      </c>
      <c r="T10" t="s">
        <v>83</v>
      </c>
      <c r="U10" t="s">
        <v>85</v>
      </c>
      <c r="V10" s="145">
        <v>0.16</v>
      </c>
      <c r="W10" t="s">
        <v>152</v>
      </c>
      <c r="X10" t="s">
        <v>494</v>
      </c>
      <c r="Y10" t="s">
        <v>7</v>
      </c>
      <c r="Z10" s="145" t="s">
        <v>7</v>
      </c>
      <c r="AA10" t="s">
        <v>112</v>
      </c>
      <c r="AB10" t="s">
        <v>7</v>
      </c>
      <c r="AC10" t="s">
        <v>267</v>
      </c>
      <c r="AD10" t="s">
        <v>15</v>
      </c>
      <c r="AE10" t="s">
        <v>7</v>
      </c>
      <c r="AF10" s="145">
        <v>0.16</v>
      </c>
    </row>
    <row r="11" spans="1:48" x14ac:dyDescent="0.25">
      <c r="A11" s="159">
        <v>45197</v>
      </c>
      <c r="B11" s="145" t="s">
        <v>547</v>
      </c>
      <c r="C11" t="s">
        <v>632</v>
      </c>
      <c r="D11" s="145">
        <v>3</v>
      </c>
      <c r="E11" s="145">
        <v>2.137</v>
      </c>
      <c r="F11" t="s">
        <v>106</v>
      </c>
      <c r="G11" t="s">
        <v>267</v>
      </c>
      <c r="H11" t="s">
        <v>116</v>
      </c>
      <c r="I11" t="s">
        <v>1091</v>
      </c>
      <c r="J11" t="s">
        <v>1100</v>
      </c>
      <c r="P11" s="145">
        <v>7</v>
      </c>
      <c r="Q11" s="145" t="s">
        <v>547</v>
      </c>
      <c r="R11" s="159">
        <v>45197</v>
      </c>
      <c r="S11" t="s">
        <v>1112</v>
      </c>
      <c r="T11" t="s">
        <v>83</v>
      </c>
      <c r="U11" t="s">
        <v>106</v>
      </c>
      <c r="V11" s="145">
        <v>15.6</v>
      </c>
      <c r="W11" t="s">
        <v>152</v>
      </c>
      <c r="X11" t="s">
        <v>469</v>
      </c>
      <c r="Y11" t="s">
        <v>703</v>
      </c>
      <c r="Z11" s="145">
        <v>0</v>
      </c>
      <c r="AA11" t="s">
        <v>37</v>
      </c>
      <c r="AB11" t="s">
        <v>1091</v>
      </c>
      <c r="AC11" t="s">
        <v>267</v>
      </c>
      <c r="AD11" t="s">
        <v>19</v>
      </c>
      <c r="AE11" t="s">
        <v>7</v>
      </c>
      <c r="AF11" s="145">
        <v>2.137</v>
      </c>
    </row>
    <row r="12" spans="1:48" x14ac:dyDescent="0.25">
      <c r="A12" s="159">
        <v>45197</v>
      </c>
      <c r="B12" s="145" t="s">
        <v>537</v>
      </c>
      <c r="C12" t="s">
        <v>656</v>
      </c>
      <c r="D12" s="145">
        <v>1</v>
      </c>
      <c r="E12" s="145">
        <v>0.123</v>
      </c>
      <c r="F12" t="s">
        <v>106</v>
      </c>
      <c r="G12" t="s">
        <v>267</v>
      </c>
      <c r="H12" t="s">
        <v>116</v>
      </c>
      <c r="I12" t="s">
        <v>1091</v>
      </c>
      <c r="J12" t="s">
        <v>1098</v>
      </c>
      <c r="L12" t="s">
        <v>278</v>
      </c>
      <c r="M12" t="s">
        <v>275</v>
      </c>
      <c r="N12" t="s">
        <v>276</v>
      </c>
      <c r="P12" s="145">
        <v>6</v>
      </c>
      <c r="Q12" s="145" t="s">
        <v>528</v>
      </c>
      <c r="R12" s="159">
        <v>45197</v>
      </c>
      <c r="S12" t="s">
        <v>1103</v>
      </c>
      <c r="T12" t="s">
        <v>495</v>
      </c>
      <c r="U12" t="s">
        <v>85</v>
      </c>
      <c r="V12" s="145">
        <v>1</v>
      </c>
      <c r="W12" t="s">
        <v>152</v>
      </c>
      <c r="X12" t="s">
        <v>702</v>
      </c>
      <c r="Y12" t="s">
        <v>701</v>
      </c>
      <c r="Z12" s="145">
        <v>20</v>
      </c>
      <c r="AA12" t="s">
        <v>112</v>
      </c>
      <c r="AB12" t="s">
        <v>7</v>
      </c>
      <c r="AC12" t="s">
        <v>267</v>
      </c>
      <c r="AD12" t="s">
        <v>14</v>
      </c>
      <c r="AE12" t="s">
        <v>238</v>
      </c>
      <c r="AF12" s="145">
        <v>1</v>
      </c>
    </row>
    <row r="13" spans="1:48" x14ac:dyDescent="0.25">
      <c r="A13" s="159">
        <v>45197</v>
      </c>
      <c r="B13" s="145" t="s">
        <v>492</v>
      </c>
      <c r="C13" t="s">
        <v>644</v>
      </c>
      <c r="D13" s="145">
        <v>3</v>
      </c>
      <c r="E13" s="145">
        <v>0.16</v>
      </c>
      <c r="F13" t="s">
        <v>85</v>
      </c>
      <c r="G13" t="s">
        <v>267</v>
      </c>
      <c r="H13" t="s">
        <v>116</v>
      </c>
      <c r="I13" t="s">
        <v>1099</v>
      </c>
      <c r="J13" t="s">
        <v>1100</v>
      </c>
      <c r="L13" t="s">
        <v>848</v>
      </c>
      <c r="M13">
        <v>21.898000000000003</v>
      </c>
      <c r="N13">
        <v>11</v>
      </c>
      <c r="P13" s="145">
        <v>5</v>
      </c>
      <c r="Q13" s="145" t="s">
        <v>525</v>
      </c>
      <c r="R13" s="159">
        <v>45197</v>
      </c>
      <c r="S13" t="s">
        <v>693</v>
      </c>
      <c r="T13" t="s">
        <v>83</v>
      </c>
      <c r="U13" t="s">
        <v>85</v>
      </c>
      <c r="V13" s="145">
        <v>0.67</v>
      </c>
      <c r="W13" t="s">
        <v>152</v>
      </c>
      <c r="X13" t="s">
        <v>704</v>
      </c>
      <c r="Y13" t="s">
        <v>7</v>
      </c>
      <c r="Z13" s="145" t="s">
        <v>7</v>
      </c>
      <c r="AA13" t="s">
        <v>37</v>
      </c>
      <c r="AB13" t="s">
        <v>7</v>
      </c>
      <c r="AC13" t="s">
        <v>267</v>
      </c>
      <c r="AD13" t="s">
        <v>20</v>
      </c>
      <c r="AE13" t="s">
        <v>238</v>
      </c>
      <c r="AF13" s="145">
        <v>0.67</v>
      </c>
    </row>
    <row r="14" spans="1:48" x14ac:dyDescent="0.25">
      <c r="A14" s="159">
        <v>45196</v>
      </c>
      <c r="B14" s="145" t="s">
        <v>1033</v>
      </c>
      <c r="C14" t="s">
        <v>1066</v>
      </c>
      <c r="D14" s="145">
        <v>0.1</v>
      </c>
      <c r="E14" s="145">
        <v>1.7399000000000001E-2</v>
      </c>
      <c r="F14" t="s">
        <v>106</v>
      </c>
      <c r="G14" t="s">
        <v>266</v>
      </c>
      <c r="H14" t="s">
        <v>116</v>
      </c>
      <c r="I14" t="s">
        <v>1091</v>
      </c>
      <c r="J14" t="s">
        <v>1098</v>
      </c>
      <c r="P14" s="145">
        <v>4</v>
      </c>
      <c r="Q14" s="145" t="s">
        <v>562</v>
      </c>
      <c r="R14" s="159">
        <v>45196</v>
      </c>
      <c r="S14" t="s">
        <v>1104</v>
      </c>
      <c r="T14" t="s">
        <v>83</v>
      </c>
      <c r="U14" t="s">
        <v>106</v>
      </c>
      <c r="V14" s="145">
        <v>3</v>
      </c>
      <c r="W14" t="s">
        <v>706</v>
      </c>
      <c r="X14" t="s">
        <v>669</v>
      </c>
      <c r="Y14" t="s">
        <v>705</v>
      </c>
      <c r="Z14" s="145">
        <v>30</v>
      </c>
      <c r="AA14" t="s">
        <v>112</v>
      </c>
      <c r="AB14" t="s">
        <v>1091</v>
      </c>
      <c r="AC14" t="s">
        <v>267</v>
      </c>
      <c r="AD14" t="s">
        <v>26</v>
      </c>
      <c r="AE14" t="s">
        <v>7</v>
      </c>
      <c r="AF14" s="145">
        <v>0.41099999999999998</v>
      </c>
    </row>
    <row r="15" spans="1:48" x14ac:dyDescent="0.25">
      <c r="A15" s="159">
        <v>45196</v>
      </c>
      <c r="B15" s="145" t="s">
        <v>556</v>
      </c>
      <c r="C15" t="s">
        <v>665</v>
      </c>
      <c r="D15" s="145">
        <v>1</v>
      </c>
      <c r="E15" s="145">
        <v>1</v>
      </c>
      <c r="F15" t="s">
        <v>85</v>
      </c>
      <c r="G15" t="s">
        <v>267</v>
      </c>
      <c r="H15" t="s">
        <v>116</v>
      </c>
      <c r="I15" t="s">
        <v>1099</v>
      </c>
      <c r="J15" t="s">
        <v>1098</v>
      </c>
      <c r="P15" s="145">
        <v>3</v>
      </c>
      <c r="Q15" s="145" t="s">
        <v>556</v>
      </c>
      <c r="R15" s="159">
        <v>45196</v>
      </c>
      <c r="S15" t="s">
        <v>697</v>
      </c>
      <c r="T15" t="s">
        <v>83</v>
      </c>
      <c r="U15" t="s">
        <v>85</v>
      </c>
      <c r="V15" s="145">
        <v>1</v>
      </c>
      <c r="W15" t="s">
        <v>477</v>
      </c>
      <c r="X15" t="s">
        <v>707</v>
      </c>
      <c r="Y15" t="s">
        <v>7</v>
      </c>
      <c r="Z15" s="145" t="s">
        <v>7</v>
      </c>
      <c r="AA15" t="s">
        <v>37</v>
      </c>
      <c r="AB15" t="s">
        <v>7</v>
      </c>
      <c r="AC15" t="s">
        <v>267</v>
      </c>
      <c r="AD15" t="s">
        <v>25</v>
      </c>
      <c r="AE15" t="s">
        <v>7</v>
      </c>
      <c r="AF15" s="145">
        <v>1</v>
      </c>
    </row>
    <row r="16" spans="1:48" x14ac:dyDescent="0.25">
      <c r="A16" s="159">
        <v>45196</v>
      </c>
      <c r="B16" s="145" t="s">
        <v>562</v>
      </c>
      <c r="C16" t="s">
        <v>680</v>
      </c>
      <c r="D16" s="145">
        <v>2.9</v>
      </c>
      <c r="E16" s="145">
        <v>0.41099999999999998</v>
      </c>
      <c r="F16" t="s">
        <v>106</v>
      </c>
      <c r="G16" t="s">
        <v>267</v>
      </c>
      <c r="H16" t="s">
        <v>116</v>
      </c>
      <c r="I16" t="s">
        <v>1091</v>
      </c>
      <c r="J16" t="s">
        <v>1100</v>
      </c>
      <c r="P16" s="145">
        <v>2</v>
      </c>
      <c r="Q16" s="145" t="s">
        <v>568</v>
      </c>
      <c r="R16" s="159">
        <v>45195</v>
      </c>
      <c r="S16" t="s">
        <v>700</v>
      </c>
      <c r="T16" t="s">
        <v>83</v>
      </c>
      <c r="U16" t="s">
        <v>85</v>
      </c>
      <c r="V16" s="145">
        <v>0.66600000000000004</v>
      </c>
      <c r="W16" t="s">
        <v>477</v>
      </c>
      <c r="X16" t="s">
        <v>683</v>
      </c>
      <c r="Y16" t="s">
        <v>7</v>
      </c>
      <c r="Z16" s="145" t="s">
        <v>7</v>
      </c>
      <c r="AA16" t="s">
        <v>39</v>
      </c>
      <c r="AB16" t="s">
        <v>7</v>
      </c>
      <c r="AC16" t="s">
        <v>267</v>
      </c>
      <c r="AD16" t="s">
        <v>23</v>
      </c>
      <c r="AE16" t="s">
        <v>7</v>
      </c>
      <c r="AF16" s="145">
        <v>0.66600000000000004</v>
      </c>
    </row>
    <row r="17" spans="1:32" x14ac:dyDescent="0.25">
      <c r="A17" s="159">
        <v>45195</v>
      </c>
      <c r="B17" s="145" t="s">
        <v>568</v>
      </c>
      <c r="C17" t="s">
        <v>692</v>
      </c>
      <c r="D17" s="145">
        <v>1</v>
      </c>
      <c r="E17" s="145">
        <v>0.66600000000000004</v>
      </c>
      <c r="F17" t="s">
        <v>85</v>
      </c>
      <c r="G17" t="s">
        <v>267</v>
      </c>
      <c r="H17" t="s">
        <v>116</v>
      </c>
      <c r="I17" t="s">
        <v>1099</v>
      </c>
      <c r="J17" t="s">
        <v>1098</v>
      </c>
      <c r="P17" s="145">
        <v>1</v>
      </c>
      <c r="Q17" s="145" t="s">
        <v>1049</v>
      </c>
      <c r="R17" s="159">
        <v>45194</v>
      </c>
      <c r="S17" t="s">
        <v>1101</v>
      </c>
      <c r="T17" t="s">
        <v>1051</v>
      </c>
      <c r="U17" t="s">
        <v>106</v>
      </c>
      <c r="V17" s="145">
        <v>7.3</v>
      </c>
      <c r="W17" t="s">
        <v>152</v>
      </c>
      <c r="X17" t="s">
        <v>1087</v>
      </c>
      <c r="Y17" t="s">
        <v>1102</v>
      </c>
      <c r="Z17" s="145">
        <v>22</v>
      </c>
      <c r="AA17" t="s">
        <v>39</v>
      </c>
      <c r="AB17" t="s">
        <v>1091</v>
      </c>
      <c r="AC17" t="s">
        <v>267</v>
      </c>
      <c r="AD17" t="s">
        <v>17</v>
      </c>
      <c r="AE17" t="s">
        <v>7</v>
      </c>
      <c r="AF17" s="145">
        <v>1</v>
      </c>
    </row>
    <row r="18" spans="1:32" x14ac:dyDescent="0.25">
      <c r="A18" s="159">
        <v>45194</v>
      </c>
      <c r="B18" s="145" t="s">
        <v>1043</v>
      </c>
      <c r="C18" t="s">
        <v>1083</v>
      </c>
      <c r="D18" s="145">
        <v>2.9</v>
      </c>
      <c r="E18" s="145">
        <v>1</v>
      </c>
      <c r="F18" t="s">
        <v>85</v>
      </c>
      <c r="G18" t="s">
        <v>266</v>
      </c>
      <c r="H18" t="s">
        <v>116</v>
      </c>
      <c r="I18" t="s">
        <v>1099</v>
      </c>
      <c r="J18" t="s">
        <v>1100</v>
      </c>
    </row>
    <row r="19" spans="1:32" x14ac:dyDescent="0.25">
      <c r="A19" s="159">
        <v>45194</v>
      </c>
      <c r="B19" s="145" t="s">
        <v>1049</v>
      </c>
      <c r="C19" t="s">
        <v>1097</v>
      </c>
      <c r="D19" s="145">
        <v>3</v>
      </c>
      <c r="E19" s="145">
        <v>1</v>
      </c>
      <c r="F19" t="s">
        <v>106</v>
      </c>
      <c r="G19" t="s">
        <v>267</v>
      </c>
      <c r="H19" t="s">
        <v>134</v>
      </c>
      <c r="I19" t="s">
        <v>1091</v>
      </c>
      <c r="J19" t="s">
        <v>1100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5"/>
  <sheetViews>
    <sheetView zoomScale="70" zoomScaleNormal="70" workbookViewId="0">
      <selection activeCell="D30" sqref="D30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312</v>
      </c>
      <c r="B1" s="7"/>
      <c r="C1" s="7"/>
      <c r="D1" s="7"/>
      <c r="E1" s="6"/>
      <c r="F1" s="6"/>
      <c r="G1" s="6"/>
    </row>
    <row r="6" spans="1:7" x14ac:dyDescent="0.25">
      <c r="A6" t="s">
        <v>117</v>
      </c>
      <c r="B6" t="s">
        <v>230</v>
      </c>
      <c r="C6" t="s">
        <v>64</v>
      </c>
      <c r="D6" t="s">
        <v>311</v>
      </c>
    </row>
    <row r="7" spans="1:7" ht="57" customHeight="1" x14ac:dyDescent="0.25">
      <c r="A7" t="s">
        <v>697</v>
      </c>
      <c r="B7" s="145" t="s">
        <v>267</v>
      </c>
      <c r="C7" s="145" t="s">
        <v>85</v>
      </c>
      <c r="D7" s="48" t="s">
        <v>1105</v>
      </c>
    </row>
    <row r="8" spans="1:7" ht="57" customHeight="1" x14ac:dyDescent="0.25">
      <c r="A8" t="s">
        <v>695</v>
      </c>
      <c r="B8" s="145" t="s">
        <v>267</v>
      </c>
      <c r="C8" s="145" t="s">
        <v>106</v>
      </c>
      <c r="D8" s="48" t="s">
        <v>1106</v>
      </c>
    </row>
    <row r="9" spans="1:7" ht="57" customHeight="1" x14ac:dyDescent="0.25">
      <c r="A9" t="s">
        <v>1101</v>
      </c>
      <c r="B9" s="145" t="s">
        <v>267</v>
      </c>
      <c r="C9" s="145" t="s">
        <v>106</v>
      </c>
      <c r="D9" s="48" t="s">
        <v>1107</v>
      </c>
    </row>
    <row r="10" spans="1:7" ht="57" customHeight="1" x14ac:dyDescent="0.25">
      <c r="A10" t="s">
        <v>700</v>
      </c>
      <c r="B10" s="145" t="s">
        <v>267</v>
      </c>
      <c r="C10" s="145" t="s">
        <v>85</v>
      </c>
      <c r="D10" s="48" t="s">
        <v>1108</v>
      </c>
    </row>
    <row r="11" spans="1:7" ht="57" customHeight="1" x14ac:dyDescent="0.25">
      <c r="A11" t="s">
        <v>693</v>
      </c>
      <c r="B11" s="145" t="s">
        <v>267</v>
      </c>
      <c r="C11" s="145" t="s">
        <v>85</v>
      </c>
      <c r="D11" s="48" t="s">
        <v>1109</v>
      </c>
    </row>
    <row r="12" spans="1:7" ht="57" customHeight="1" x14ac:dyDescent="0.25">
      <c r="A12" t="s">
        <v>696</v>
      </c>
      <c r="B12" s="145" t="s">
        <v>267</v>
      </c>
      <c r="C12" s="145" t="s">
        <v>85</v>
      </c>
      <c r="D12" s="48" t="s">
        <v>1110</v>
      </c>
    </row>
    <row r="13" spans="1:7" ht="57" customHeight="1" x14ac:dyDescent="0.25">
      <c r="A13" t="s">
        <v>698</v>
      </c>
      <c r="B13" s="145" t="s">
        <v>267</v>
      </c>
      <c r="C13" s="145" t="s">
        <v>106</v>
      </c>
      <c r="D13" s="48" t="s">
        <v>1111</v>
      </c>
    </row>
    <row r="14" spans="1:7" ht="30" x14ac:dyDescent="0.25">
      <c r="A14" t="s">
        <v>699</v>
      </c>
      <c r="B14" s="145" t="s">
        <v>267</v>
      </c>
      <c r="C14" s="145" t="s">
        <v>85</v>
      </c>
      <c r="D14" s="48" t="s">
        <v>1114</v>
      </c>
    </row>
    <row r="15" spans="1:7" x14ac:dyDescent="0.25">
      <c r="A15" t="s">
        <v>1112</v>
      </c>
      <c r="B15" s="145" t="s">
        <v>267</v>
      </c>
      <c r="C15" s="145" t="s">
        <v>106</v>
      </c>
      <c r="D15" s="48" t="s">
        <v>1113</v>
      </c>
    </row>
  </sheetData>
  <conditionalFormatting sqref="D7:D15">
    <cfRule type="containsText" dxfId="62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139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230</v>
      </c>
      <c r="C4" t="s">
        <v>64</v>
      </c>
      <c r="D4" t="s">
        <v>167</v>
      </c>
      <c r="E4" t="s">
        <v>138</v>
      </c>
      <c r="F4" t="s">
        <v>243</v>
      </c>
    </row>
    <row r="5" spans="1:7" x14ac:dyDescent="0.25">
      <c r="A5"/>
      <c r="B5"/>
      <c r="C5"/>
      <c r="D5"/>
      <c r="E5"/>
      <c r="F5" s="48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8" t="s">
        <v>86</v>
      </c>
      <c r="B9" t="s">
        <v>230</v>
      </c>
      <c r="C9" s="48" t="s">
        <v>64</v>
      </c>
      <c r="D9" s="48" t="s">
        <v>167</v>
      </c>
      <c r="E9" s="48" t="s">
        <v>138</v>
      </c>
      <c r="F9" s="48" t="s">
        <v>243</v>
      </c>
    </row>
    <row r="10" spans="1:7" x14ac:dyDescent="0.25">
      <c r="A10" s="48">
        <v>14</v>
      </c>
      <c r="B10" t="s">
        <v>267</v>
      </c>
      <c r="C10" s="48" t="s">
        <v>106</v>
      </c>
      <c r="D10" s="48" t="s">
        <v>302</v>
      </c>
      <c r="E10" s="48" t="s">
        <v>305</v>
      </c>
      <c r="F10" s="48" t="s">
        <v>7</v>
      </c>
    </row>
    <row r="11" spans="1:7" x14ac:dyDescent="0.25">
      <c r="A11" s="48">
        <v>12</v>
      </c>
      <c r="B11" t="s">
        <v>231</v>
      </c>
      <c r="C11" s="48" t="s">
        <v>106</v>
      </c>
      <c r="D11" s="48" t="s">
        <v>303</v>
      </c>
      <c r="E11" s="48" t="s">
        <v>306</v>
      </c>
      <c r="F11" s="48" t="s">
        <v>7</v>
      </c>
    </row>
    <row r="12" spans="1:7" x14ac:dyDescent="0.25">
      <c r="A12" s="48">
        <v>8</v>
      </c>
      <c r="B12" t="s">
        <v>231</v>
      </c>
      <c r="C12" s="48" t="s">
        <v>106</v>
      </c>
      <c r="D12" s="48" t="s">
        <v>304</v>
      </c>
      <c r="E12" s="48" t="s">
        <v>307</v>
      </c>
      <c r="F12" s="48" t="s">
        <v>7</v>
      </c>
    </row>
    <row r="13" spans="1:7" x14ac:dyDescent="0.25">
      <c r="A13" s="48">
        <v>7</v>
      </c>
      <c r="B13" t="s">
        <v>231</v>
      </c>
      <c r="C13" s="48" t="s">
        <v>106</v>
      </c>
      <c r="D13" s="48" t="s">
        <v>304</v>
      </c>
      <c r="E13" s="48" t="s">
        <v>308</v>
      </c>
      <c r="F13" s="48" t="s">
        <v>7</v>
      </c>
    </row>
    <row r="14" spans="1:7" x14ac:dyDescent="0.25">
      <c r="A14" s="48">
        <v>6</v>
      </c>
      <c r="B14" t="s">
        <v>231</v>
      </c>
      <c r="C14" s="48" t="s">
        <v>106</v>
      </c>
      <c r="D14" s="48" t="s">
        <v>304</v>
      </c>
      <c r="E14" s="48" t="s">
        <v>309</v>
      </c>
      <c r="F14" s="48" t="s">
        <v>7</v>
      </c>
    </row>
    <row r="15" spans="1:7" x14ac:dyDescent="0.25">
      <c r="A15" s="48">
        <v>3</v>
      </c>
      <c r="B15" t="s">
        <v>267</v>
      </c>
      <c r="C15" s="48" t="s">
        <v>106</v>
      </c>
      <c r="D15" s="48" t="s">
        <v>301</v>
      </c>
      <c r="E15" s="48" t="s">
        <v>310</v>
      </c>
      <c r="F15" s="48" t="s">
        <v>7</v>
      </c>
    </row>
    <row r="19" spans="1:6" ht="46.5" x14ac:dyDescent="0.25">
      <c r="A19" s="7" t="s">
        <v>211</v>
      </c>
    </row>
    <row r="20" spans="1:6" x14ac:dyDescent="0.25">
      <c r="A20" t="s">
        <v>86</v>
      </c>
      <c r="B20" t="s">
        <v>230</v>
      </c>
      <c r="C20" t="s">
        <v>64</v>
      </c>
      <c r="D20" t="s">
        <v>167</v>
      </c>
      <c r="E20" t="s">
        <v>138</v>
      </c>
      <c r="F20" t="s">
        <v>314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61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O7" sqref="O7"/>
    </sheetView>
  </sheetViews>
  <sheetFormatPr defaultColWidth="8.88671875" defaultRowHeight="28.5" customHeight="1" x14ac:dyDescent="0.25"/>
  <cols>
    <col min="1" max="1" width="4.88671875" style="27" bestFit="1" customWidth="1"/>
    <col min="2" max="2" width="6.77734375" style="27" bestFit="1" customWidth="1"/>
    <col min="3" max="3" width="28.109375" style="27" bestFit="1" customWidth="1"/>
    <col min="4" max="4" width="11.109375" style="27" bestFit="1" customWidth="1"/>
    <col min="5" max="7" width="6.6640625" style="27" bestFit="1" customWidth="1"/>
    <col min="8" max="8" width="7.33203125" style="27" bestFit="1" customWidth="1"/>
    <col min="9" max="9" width="9.21875" style="27" bestFit="1" customWidth="1"/>
    <col min="10" max="10" width="15.77734375" style="27" hidden="1" customWidth="1"/>
    <col min="11" max="11" width="10.6640625" style="27" hidden="1" customWidth="1"/>
    <col min="12" max="12" width="7.21875" style="27" hidden="1" customWidth="1"/>
    <col min="13" max="13" width="6" style="27" hidden="1" customWidth="1"/>
    <col min="14" max="14" width="11" style="27" hidden="1" customWidth="1"/>
    <col min="15" max="15" width="3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33" t="s">
        <v>121</v>
      </c>
      <c r="I1" s="69" t="s">
        <v>155</v>
      </c>
    </row>
    <row r="2" spans="1:22" ht="15" x14ac:dyDescent="0.25">
      <c r="B2" s="28" t="s">
        <v>86</v>
      </c>
      <c r="C2" s="28" t="s">
        <v>155</v>
      </c>
      <c r="D2" s="28" t="s">
        <v>156</v>
      </c>
      <c r="E2" s="28" t="s">
        <v>157</v>
      </c>
      <c r="F2" s="28" t="s">
        <v>158</v>
      </c>
      <c r="G2" s="28" t="s">
        <v>159</v>
      </c>
    </row>
    <row r="3" spans="1:22" ht="15" x14ac:dyDescent="0.25">
      <c r="B3" s="28"/>
      <c r="C3" s="29" t="s">
        <v>776</v>
      </c>
      <c r="D3" s="40">
        <v>45196</v>
      </c>
      <c r="E3" s="31">
        <v>-5.1999999999999998E-2</v>
      </c>
      <c r="F3" s="31">
        <v>-5.0000000000000001E-3</v>
      </c>
      <c r="G3" s="31">
        <v>2E-3</v>
      </c>
    </row>
    <row r="4" spans="1:22" ht="15" x14ac:dyDescent="0.25">
      <c r="B4" s="28"/>
      <c r="C4" s="29" t="s">
        <v>761</v>
      </c>
      <c r="D4" s="40">
        <v>45197</v>
      </c>
      <c r="E4" s="31" t="s">
        <v>757</v>
      </c>
      <c r="F4" s="31" t="s">
        <v>755</v>
      </c>
      <c r="G4" s="31" t="s">
        <v>756</v>
      </c>
    </row>
    <row r="5" spans="1:22" ht="15" x14ac:dyDescent="0.25">
      <c r="B5" s="28"/>
      <c r="C5" s="29" t="s">
        <v>767</v>
      </c>
      <c r="D5" s="40">
        <v>45197</v>
      </c>
      <c r="E5" s="31">
        <v>2.1000000000000001E-2</v>
      </c>
      <c r="F5" s="31">
        <v>2.1999999999999999E-2</v>
      </c>
      <c r="G5" s="31">
        <v>2.1000000000000001E-2</v>
      </c>
    </row>
    <row r="6" spans="1:22" ht="15" x14ac:dyDescent="0.25">
      <c r="B6" s="28"/>
      <c r="C6" s="29" t="s">
        <v>771</v>
      </c>
      <c r="D6" s="40">
        <v>45198</v>
      </c>
      <c r="E6" s="31">
        <v>67.7</v>
      </c>
      <c r="F6" s="31">
        <v>67.7</v>
      </c>
      <c r="G6" s="31">
        <v>68.099999999999994</v>
      </c>
    </row>
    <row r="7" spans="1:22" ht="15" x14ac:dyDescent="0.25">
      <c r="B7" s="28"/>
      <c r="C7" s="29" t="s">
        <v>717</v>
      </c>
      <c r="D7" s="40">
        <v>45199</v>
      </c>
      <c r="E7" s="31">
        <v>49.7</v>
      </c>
      <c r="F7" s="31">
        <v>50.1</v>
      </c>
      <c r="G7" s="31">
        <v>50.2</v>
      </c>
    </row>
    <row r="8" spans="1:22" ht="15" x14ac:dyDescent="0.25">
      <c r="B8" s="28"/>
      <c r="C8" s="29" t="s">
        <v>720</v>
      </c>
      <c r="D8" s="40">
        <v>45200</v>
      </c>
      <c r="E8" s="31">
        <v>51</v>
      </c>
      <c r="F8" s="31">
        <v>51.2</v>
      </c>
      <c r="G8" s="31">
        <v>50.6</v>
      </c>
    </row>
    <row r="9" spans="1:22" ht="15" x14ac:dyDescent="0.25">
      <c r="Q9" s="30"/>
      <c r="R9" s="30"/>
      <c r="S9" s="30"/>
      <c r="T9" s="30"/>
      <c r="U9" s="30"/>
      <c r="V9" s="30"/>
    </row>
    <row r="10" spans="1:22" ht="15" x14ac:dyDescent="0.25">
      <c r="Q10" s="30"/>
      <c r="R10" s="30"/>
      <c r="S10" s="30"/>
      <c r="T10" s="30"/>
      <c r="U10" s="30"/>
      <c r="V10" s="30"/>
    </row>
    <row r="11" spans="1:22" ht="15" x14ac:dyDescent="0.25">
      <c r="Q11" s="30"/>
      <c r="R11" s="30"/>
      <c r="S11" s="30"/>
      <c r="T11" s="30"/>
      <c r="U11" s="30"/>
      <c r="V11" s="30"/>
    </row>
    <row r="12" spans="1:22" ht="15" x14ac:dyDescent="0.25">
      <c r="A12" s="28" t="s">
        <v>122</v>
      </c>
      <c r="B12" s="29" t="s">
        <v>160</v>
      </c>
      <c r="C12" s="29" t="s">
        <v>123</v>
      </c>
      <c r="D12" s="29" t="s">
        <v>161</v>
      </c>
      <c r="E12" s="29" t="s">
        <v>124</v>
      </c>
      <c r="F12" s="29" t="s">
        <v>125</v>
      </c>
      <c r="G12" s="29" t="s">
        <v>126</v>
      </c>
      <c r="H12" s="29" t="s">
        <v>127</v>
      </c>
      <c r="I12" s="29" t="s">
        <v>128</v>
      </c>
      <c r="J12" s="29" t="s">
        <v>129</v>
      </c>
      <c r="K12" s="29" t="s">
        <v>130</v>
      </c>
      <c r="L12" s="29" t="s">
        <v>162</v>
      </c>
      <c r="M12" s="29" t="s">
        <v>164</v>
      </c>
      <c r="N12" s="29" t="s">
        <v>165</v>
      </c>
      <c r="O12" s="29" t="s">
        <v>155</v>
      </c>
      <c r="Q12" s="30"/>
      <c r="R12" s="30"/>
      <c r="S12" s="30"/>
      <c r="T12" s="30"/>
      <c r="U12" s="30"/>
      <c r="V12" s="30"/>
    </row>
    <row r="13" spans="1:22" ht="15" x14ac:dyDescent="0.25">
      <c r="A13" s="142">
        <v>45197</v>
      </c>
      <c r="B13" s="29" t="s">
        <v>752</v>
      </c>
      <c r="C13" s="29" t="s">
        <v>753</v>
      </c>
      <c r="D13" s="29" t="s">
        <v>754</v>
      </c>
      <c r="E13" s="149" t="s">
        <v>755</v>
      </c>
      <c r="F13" s="29" t="s">
        <v>756</v>
      </c>
      <c r="G13" s="149" t="s">
        <v>757</v>
      </c>
      <c r="H13" s="29" t="s">
        <v>758</v>
      </c>
      <c r="I13" s="29">
        <v>98</v>
      </c>
      <c r="J13" s="29" t="s">
        <v>759</v>
      </c>
      <c r="K13" s="143">
        <v>0.85416666666666663</v>
      </c>
      <c r="L13" s="29" t="s">
        <v>121</v>
      </c>
      <c r="M13" s="29" t="s">
        <v>92</v>
      </c>
      <c r="N13" s="29" t="s">
        <v>760</v>
      </c>
      <c r="O13" s="29" t="s">
        <v>761</v>
      </c>
      <c r="Q13" s="30"/>
      <c r="R13" s="30"/>
      <c r="S13" s="30"/>
      <c r="T13" s="30"/>
      <c r="U13" s="30"/>
      <c r="V13" s="30"/>
    </row>
    <row r="14" spans="1:22" ht="15" x14ac:dyDescent="0.25">
      <c r="A14" s="142">
        <v>45197</v>
      </c>
      <c r="B14" s="29" t="s">
        <v>752</v>
      </c>
      <c r="C14" s="29" t="s">
        <v>762</v>
      </c>
      <c r="D14" s="29" t="s">
        <v>763</v>
      </c>
      <c r="E14" s="149">
        <v>2.1999999999999999E-2</v>
      </c>
      <c r="F14" s="29">
        <v>2.1000000000000001E-2</v>
      </c>
      <c r="G14" s="149">
        <v>2.1000000000000001E-2</v>
      </c>
      <c r="H14" s="29" t="s">
        <v>7</v>
      </c>
      <c r="I14" s="29">
        <v>96</v>
      </c>
      <c r="J14" s="29" t="s">
        <v>764</v>
      </c>
      <c r="K14" s="143">
        <v>0.85416666666666663</v>
      </c>
      <c r="L14" s="29" t="s">
        <v>121</v>
      </c>
      <c r="M14" s="29" t="s">
        <v>765</v>
      </c>
      <c r="N14" s="29" t="s">
        <v>766</v>
      </c>
      <c r="O14" s="29" t="s">
        <v>767</v>
      </c>
      <c r="Q14" s="30"/>
      <c r="R14" s="30"/>
      <c r="S14" s="30"/>
      <c r="T14" s="30"/>
      <c r="U14" s="30"/>
      <c r="V14" s="30"/>
    </row>
    <row r="15" spans="1:22" ht="15" x14ac:dyDescent="0.25">
      <c r="A15" s="142">
        <v>45199</v>
      </c>
      <c r="B15" s="29" t="s">
        <v>711</v>
      </c>
      <c r="C15" s="29" t="s">
        <v>712</v>
      </c>
      <c r="D15" s="29" t="s">
        <v>713</v>
      </c>
      <c r="E15" s="149">
        <v>50.1</v>
      </c>
      <c r="F15" s="29">
        <v>50.2</v>
      </c>
      <c r="G15" s="149">
        <v>49.7</v>
      </c>
      <c r="H15" s="29" t="s">
        <v>7</v>
      </c>
      <c r="I15" s="29">
        <v>94</v>
      </c>
      <c r="J15" s="29" t="s">
        <v>714</v>
      </c>
      <c r="K15" s="143">
        <v>0.39583333333333331</v>
      </c>
      <c r="L15" s="29" t="s">
        <v>121</v>
      </c>
      <c r="M15" s="29" t="s">
        <v>715</v>
      </c>
      <c r="N15" s="29" t="s">
        <v>716</v>
      </c>
      <c r="O15" s="29" t="s">
        <v>717</v>
      </c>
      <c r="Q15" s="30"/>
      <c r="R15" s="30"/>
      <c r="S15" s="30"/>
      <c r="T15" s="30"/>
      <c r="U15" s="30"/>
      <c r="V15" s="30"/>
    </row>
    <row r="16" spans="1:22" ht="15" x14ac:dyDescent="0.25">
      <c r="A16" s="142">
        <v>45198</v>
      </c>
      <c r="B16" s="29" t="s">
        <v>752</v>
      </c>
      <c r="C16" s="29" t="s">
        <v>768</v>
      </c>
      <c r="D16" s="29" t="s">
        <v>749</v>
      </c>
      <c r="E16" s="149">
        <v>67.7</v>
      </c>
      <c r="F16" s="29">
        <v>68.099999999999994</v>
      </c>
      <c r="G16" s="149">
        <v>67.7</v>
      </c>
      <c r="H16" s="29" t="s">
        <v>7</v>
      </c>
      <c r="I16" s="29">
        <v>94</v>
      </c>
      <c r="J16" s="29" t="s">
        <v>769</v>
      </c>
      <c r="K16" s="143">
        <v>0.91666666666666663</v>
      </c>
      <c r="L16" s="29" t="s">
        <v>121</v>
      </c>
      <c r="M16" s="29" t="s">
        <v>715</v>
      </c>
      <c r="N16" s="29" t="s">
        <v>770</v>
      </c>
      <c r="O16" s="29" t="s">
        <v>771</v>
      </c>
      <c r="Q16" s="30"/>
      <c r="R16" s="30"/>
      <c r="S16" s="30"/>
      <c r="T16" s="30"/>
      <c r="U16" s="30"/>
      <c r="V16" s="30"/>
    </row>
    <row r="17" spans="1:22" ht="15" x14ac:dyDescent="0.25">
      <c r="A17" s="142">
        <v>45200</v>
      </c>
      <c r="B17" s="29" t="s">
        <v>711</v>
      </c>
      <c r="C17" s="29" t="s">
        <v>718</v>
      </c>
      <c r="D17" s="29" t="s">
        <v>713</v>
      </c>
      <c r="E17" s="149">
        <v>51.2</v>
      </c>
      <c r="F17" s="29">
        <v>50.6</v>
      </c>
      <c r="G17" s="149">
        <v>51</v>
      </c>
      <c r="H17" s="29" t="s">
        <v>7</v>
      </c>
      <c r="I17" s="29">
        <v>92</v>
      </c>
      <c r="J17" s="29" t="s">
        <v>719</v>
      </c>
      <c r="K17" s="143">
        <v>0.40625</v>
      </c>
      <c r="L17" s="29" t="s">
        <v>121</v>
      </c>
      <c r="M17" s="29" t="s">
        <v>715</v>
      </c>
      <c r="N17" s="29" t="s">
        <v>715</v>
      </c>
      <c r="O17" s="29" t="s">
        <v>720</v>
      </c>
      <c r="Q17" s="30"/>
      <c r="R17" s="30"/>
      <c r="S17" s="30"/>
      <c r="T17" s="30"/>
      <c r="U17" s="30"/>
      <c r="V17" s="30"/>
    </row>
    <row r="18" spans="1:22" ht="15" x14ac:dyDescent="0.25">
      <c r="A18" s="142">
        <v>45196</v>
      </c>
      <c r="B18" s="29" t="s">
        <v>752</v>
      </c>
      <c r="C18" s="29" t="s">
        <v>772</v>
      </c>
      <c r="D18" s="29" t="s">
        <v>773</v>
      </c>
      <c r="E18" s="149">
        <v>-5.0000000000000001E-3</v>
      </c>
      <c r="F18" s="29">
        <v>2E-3</v>
      </c>
      <c r="G18" s="149">
        <v>-5.1999999999999998E-2</v>
      </c>
      <c r="H18" s="29">
        <v>-5.6000000000000001E-2</v>
      </c>
      <c r="I18" s="29">
        <v>92</v>
      </c>
      <c r="J18" s="29" t="s">
        <v>774</v>
      </c>
      <c r="K18" s="143">
        <v>0.85416666666666663</v>
      </c>
      <c r="L18" s="29" t="s">
        <v>121</v>
      </c>
      <c r="M18" s="29" t="s">
        <v>739</v>
      </c>
      <c r="N18" s="29" t="s">
        <v>775</v>
      </c>
      <c r="O18" s="29" t="s">
        <v>776</v>
      </c>
    </row>
    <row r="19" spans="1:22" ht="15" x14ac:dyDescent="0.25">
      <c r="A19" s="142">
        <v>45195</v>
      </c>
      <c r="B19" s="29" t="s">
        <v>752</v>
      </c>
      <c r="C19" s="29" t="s">
        <v>777</v>
      </c>
      <c r="D19" s="29" t="s">
        <v>713</v>
      </c>
      <c r="E19" s="149">
        <v>105.5</v>
      </c>
      <c r="F19" s="29">
        <v>103</v>
      </c>
      <c r="G19" s="149">
        <v>106.1</v>
      </c>
      <c r="H19" s="29">
        <v>108.7</v>
      </c>
      <c r="I19" s="29">
        <v>92</v>
      </c>
      <c r="J19" s="29" t="s">
        <v>778</v>
      </c>
      <c r="K19" s="143">
        <v>0.91666666666666663</v>
      </c>
      <c r="L19" s="29" t="s">
        <v>121</v>
      </c>
      <c r="M19" s="29" t="s">
        <v>715</v>
      </c>
      <c r="N19" s="29" t="s">
        <v>770</v>
      </c>
      <c r="O19" s="29" t="s">
        <v>779</v>
      </c>
      <c r="Q19" s="30"/>
      <c r="R19" s="30"/>
      <c r="S19" s="30"/>
      <c r="T19" s="30"/>
      <c r="U19" s="30"/>
      <c r="V19" s="30"/>
    </row>
    <row r="20" spans="1:22" ht="15" x14ac:dyDescent="0.25">
      <c r="A20" s="142">
        <v>45196</v>
      </c>
      <c r="B20" s="29" t="s">
        <v>752</v>
      </c>
      <c r="C20" s="29" t="s">
        <v>780</v>
      </c>
      <c r="D20" s="29" t="s">
        <v>781</v>
      </c>
      <c r="E20" s="149" t="s">
        <v>7</v>
      </c>
      <c r="F20" s="29">
        <v>-1.2999999999999999E-2</v>
      </c>
      <c r="G20" s="149">
        <v>5.3999999999999999E-2</v>
      </c>
      <c r="H20" s="29" t="s">
        <v>7</v>
      </c>
      <c r="I20" s="29">
        <v>91</v>
      </c>
      <c r="J20" s="29" t="s">
        <v>782</v>
      </c>
      <c r="K20" s="143">
        <v>0.79166666666666663</v>
      </c>
      <c r="L20" s="29" t="s">
        <v>121</v>
      </c>
      <c r="M20" s="29" t="s">
        <v>92</v>
      </c>
      <c r="N20" s="29" t="s">
        <v>760</v>
      </c>
      <c r="O20" s="29" t="s">
        <v>783</v>
      </c>
      <c r="V20" s="30"/>
    </row>
    <row r="21" spans="1:22" ht="15" x14ac:dyDescent="0.25">
      <c r="A21" s="142">
        <v>45195</v>
      </c>
      <c r="B21" s="29" t="s">
        <v>752</v>
      </c>
      <c r="C21" s="29" t="s">
        <v>784</v>
      </c>
      <c r="D21" s="29" t="s">
        <v>737</v>
      </c>
      <c r="E21" s="149" t="s">
        <v>785</v>
      </c>
      <c r="F21" s="29" t="s">
        <v>786</v>
      </c>
      <c r="G21" s="149" t="s">
        <v>787</v>
      </c>
      <c r="H21" s="29" t="s">
        <v>788</v>
      </c>
      <c r="I21" s="29">
        <v>89</v>
      </c>
      <c r="J21" s="29" t="s">
        <v>789</v>
      </c>
      <c r="K21" s="143">
        <v>0.91666666666666663</v>
      </c>
      <c r="L21" s="29" t="s">
        <v>121</v>
      </c>
      <c r="M21" s="29" t="s">
        <v>739</v>
      </c>
      <c r="N21" s="29" t="s">
        <v>775</v>
      </c>
      <c r="O21" s="29" t="s">
        <v>790</v>
      </c>
      <c r="V21" s="30"/>
    </row>
    <row r="22" spans="1:22" ht="15" x14ac:dyDescent="0.25">
      <c r="A22" s="142">
        <v>45198</v>
      </c>
      <c r="B22" s="29" t="s">
        <v>730</v>
      </c>
      <c r="C22" s="29" t="s">
        <v>731</v>
      </c>
      <c r="D22" s="29" t="s">
        <v>732</v>
      </c>
      <c r="E22" s="149">
        <v>5.0000000000000001E-3</v>
      </c>
      <c r="F22" s="29">
        <v>3.0000000000000001E-3</v>
      </c>
      <c r="G22" s="149">
        <v>5.0000000000000001E-3</v>
      </c>
      <c r="H22" s="29" t="s">
        <v>7</v>
      </c>
      <c r="I22" s="29">
        <v>85</v>
      </c>
      <c r="J22" s="29" t="s">
        <v>733</v>
      </c>
      <c r="K22" s="143">
        <v>0.70833333333333337</v>
      </c>
      <c r="L22" s="29" t="s">
        <v>121</v>
      </c>
      <c r="M22" s="29" t="s">
        <v>715</v>
      </c>
      <c r="N22" s="29" t="s">
        <v>734</v>
      </c>
      <c r="O22" s="29" t="s">
        <v>735</v>
      </c>
      <c r="V22" s="30"/>
    </row>
    <row r="23" spans="1:22" ht="15" x14ac:dyDescent="0.25">
      <c r="A23" s="142">
        <v>45198</v>
      </c>
      <c r="B23" s="29" t="s">
        <v>752</v>
      </c>
      <c r="C23" s="29" t="s">
        <v>791</v>
      </c>
      <c r="D23" s="29" t="s">
        <v>737</v>
      </c>
      <c r="E23" s="149">
        <v>4.0000000000000001E-3</v>
      </c>
      <c r="F23" s="29">
        <v>4.0000000000000001E-3</v>
      </c>
      <c r="G23" s="149">
        <v>2E-3</v>
      </c>
      <c r="H23" s="29" t="s">
        <v>7</v>
      </c>
      <c r="I23" s="29">
        <v>85</v>
      </c>
      <c r="J23" s="29" t="s">
        <v>792</v>
      </c>
      <c r="K23" s="143">
        <v>0.85416666666666663</v>
      </c>
      <c r="L23" s="29" t="s">
        <v>121</v>
      </c>
      <c r="M23" s="29" t="s">
        <v>739</v>
      </c>
      <c r="N23" s="29" t="s">
        <v>775</v>
      </c>
      <c r="O23" s="29" t="s">
        <v>793</v>
      </c>
      <c r="V23" s="30"/>
    </row>
    <row r="24" spans="1:22" ht="15" x14ac:dyDescent="0.25">
      <c r="A24" s="142">
        <v>45198</v>
      </c>
      <c r="B24" s="29" t="s">
        <v>752</v>
      </c>
      <c r="C24" s="29" t="s">
        <v>794</v>
      </c>
      <c r="D24" s="29" t="s">
        <v>737</v>
      </c>
      <c r="E24" s="149">
        <v>5.0000000000000001E-3</v>
      </c>
      <c r="F24" s="29">
        <v>4.0000000000000001E-3</v>
      </c>
      <c r="G24" s="149">
        <v>8.0000000000000002E-3</v>
      </c>
      <c r="H24" s="29">
        <v>8.9999999999999993E-3</v>
      </c>
      <c r="I24" s="29">
        <v>85</v>
      </c>
      <c r="J24" s="29" t="s">
        <v>795</v>
      </c>
      <c r="K24" s="143">
        <v>0.85416666666666663</v>
      </c>
      <c r="L24" s="29" t="s">
        <v>121</v>
      </c>
      <c r="M24" s="29" t="s">
        <v>739</v>
      </c>
      <c r="N24" s="29" t="s">
        <v>775</v>
      </c>
      <c r="O24" s="29" t="s">
        <v>796</v>
      </c>
      <c r="V24" s="30"/>
    </row>
    <row r="25" spans="1:22" ht="15" x14ac:dyDescent="0.25">
      <c r="A25" s="142">
        <v>45196</v>
      </c>
      <c r="B25" s="29" t="s">
        <v>730</v>
      </c>
      <c r="C25" s="29" t="s">
        <v>736</v>
      </c>
      <c r="D25" s="29" t="s">
        <v>737</v>
      </c>
      <c r="E25" s="149">
        <v>-0.01</v>
      </c>
      <c r="F25" s="29">
        <v>-1.2999999999999999E-2</v>
      </c>
      <c r="G25" s="149">
        <v>-4.0000000000000001E-3</v>
      </c>
      <c r="H25" s="29" t="s">
        <v>7</v>
      </c>
      <c r="I25" s="29">
        <v>83</v>
      </c>
      <c r="J25" s="29" t="s">
        <v>738</v>
      </c>
      <c r="K25" s="143">
        <v>0.66666666666666663</v>
      </c>
      <c r="L25" s="29" t="s">
        <v>121</v>
      </c>
      <c r="M25" s="29" t="s">
        <v>739</v>
      </c>
      <c r="N25" s="29" t="s">
        <v>740</v>
      </c>
      <c r="O25" s="29" t="s">
        <v>741</v>
      </c>
      <c r="V25" s="30"/>
    </row>
    <row r="26" spans="1:22" ht="15" x14ac:dyDescent="0.25">
      <c r="A26" s="142">
        <v>45198</v>
      </c>
      <c r="B26" s="29" t="s">
        <v>752</v>
      </c>
      <c r="C26" s="29" t="s">
        <v>797</v>
      </c>
      <c r="D26" s="29" t="s">
        <v>713</v>
      </c>
      <c r="E26" s="149">
        <v>47.6</v>
      </c>
      <c r="F26" s="29">
        <v>44.1</v>
      </c>
      <c r="G26" s="149">
        <v>48.7</v>
      </c>
      <c r="H26" s="29" t="s">
        <v>7</v>
      </c>
      <c r="I26" s="29">
        <v>81</v>
      </c>
      <c r="J26" s="29" t="s">
        <v>798</v>
      </c>
      <c r="K26" s="143">
        <v>0.90625</v>
      </c>
      <c r="L26" s="29" t="s">
        <v>121</v>
      </c>
      <c r="M26" s="29" t="s">
        <v>715</v>
      </c>
      <c r="N26" s="29" t="s">
        <v>770</v>
      </c>
      <c r="O26" s="29" t="s">
        <v>799</v>
      </c>
      <c r="V26" s="30"/>
    </row>
    <row r="27" spans="1:22" ht="15" x14ac:dyDescent="0.25">
      <c r="A27" s="142">
        <v>45199</v>
      </c>
      <c r="B27" s="29" t="s">
        <v>711</v>
      </c>
      <c r="C27" s="29" t="s">
        <v>721</v>
      </c>
      <c r="D27" s="29" t="s">
        <v>713</v>
      </c>
      <c r="E27" s="149">
        <v>51.6</v>
      </c>
      <c r="F27" s="29">
        <v>51.7</v>
      </c>
      <c r="G27" s="149">
        <v>51</v>
      </c>
      <c r="H27" s="29" t="s">
        <v>7</v>
      </c>
      <c r="I27" s="29">
        <v>76</v>
      </c>
      <c r="J27" s="29" t="s">
        <v>722</v>
      </c>
      <c r="K27" s="143">
        <v>0.39583333333333331</v>
      </c>
      <c r="L27" s="29" t="s">
        <v>121</v>
      </c>
      <c r="M27" s="29" t="s">
        <v>715</v>
      </c>
      <c r="N27" s="29" t="s">
        <v>716</v>
      </c>
      <c r="O27" s="29" t="s">
        <v>723</v>
      </c>
      <c r="V27" s="30"/>
    </row>
    <row r="28" spans="1:22" ht="15" x14ac:dyDescent="0.25">
      <c r="A28" s="142">
        <v>45198</v>
      </c>
      <c r="B28" s="29" t="s">
        <v>730</v>
      </c>
      <c r="C28" s="29" t="s">
        <v>742</v>
      </c>
      <c r="D28" s="29" t="s">
        <v>713</v>
      </c>
      <c r="E28" s="149">
        <v>4.4999999999999998E-2</v>
      </c>
      <c r="F28" s="29">
        <v>4.2999999999999997E-2</v>
      </c>
      <c r="G28" s="149">
        <v>5.1999999999999998E-2</v>
      </c>
      <c r="H28" s="29" t="s">
        <v>7</v>
      </c>
      <c r="I28" s="29">
        <v>76</v>
      </c>
      <c r="J28" s="29" t="s">
        <v>743</v>
      </c>
      <c r="K28" s="143">
        <v>0.70833333333333337</v>
      </c>
      <c r="L28" s="29" t="s">
        <v>121</v>
      </c>
      <c r="M28" s="29" t="s">
        <v>715</v>
      </c>
      <c r="N28" s="29" t="s">
        <v>734</v>
      </c>
      <c r="O28" s="29" t="s">
        <v>744</v>
      </c>
    </row>
    <row r="29" spans="1:22" ht="15" x14ac:dyDescent="0.25">
      <c r="A29" s="142">
        <v>45200</v>
      </c>
      <c r="B29" s="29" t="s">
        <v>711</v>
      </c>
      <c r="C29" s="29" t="s">
        <v>724</v>
      </c>
      <c r="D29" s="29" t="s">
        <v>713</v>
      </c>
      <c r="E29" s="149">
        <v>52</v>
      </c>
      <c r="F29" s="29">
        <v>50.2</v>
      </c>
      <c r="G29" s="149">
        <v>51.8</v>
      </c>
      <c r="H29" s="29" t="s">
        <v>7</v>
      </c>
      <c r="I29" s="29">
        <v>74</v>
      </c>
      <c r="J29" s="29" t="s">
        <v>725</v>
      </c>
      <c r="K29" s="143">
        <v>0.40625</v>
      </c>
      <c r="L29" s="29" t="s">
        <v>121</v>
      </c>
      <c r="M29" s="29" t="s">
        <v>715</v>
      </c>
      <c r="N29" s="29" t="s">
        <v>715</v>
      </c>
      <c r="O29" s="29" t="s">
        <v>726</v>
      </c>
    </row>
    <row r="30" spans="1:22" ht="15" x14ac:dyDescent="0.25">
      <c r="A30" s="142">
        <v>45198</v>
      </c>
      <c r="B30" s="29" t="s">
        <v>730</v>
      </c>
      <c r="C30" s="29" t="s">
        <v>745</v>
      </c>
      <c r="D30" s="29" t="s">
        <v>732</v>
      </c>
      <c r="E30" s="149">
        <v>4.8000000000000001E-2</v>
      </c>
      <c r="F30" s="29">
        <v>4.4999999999999998E-2</v>
      </c>
      <c r="G30" s="149">
        <v>5.2999999999999999E-2</v>
      </c>
      <c r="H30" s="29" t="s">
        <v>7</v>
      </c>
      <c r="I30" s="29">
        <v>71</v>
      </c>
      <c r="J30" s="29" t="s">
        <v>746</v>
      </c>
      <c r="K30" s="143">
        <v>0.70833333333333337</v>
      </c>
      <c r="L30" s="29" t="s">
        <v>121</v>
      </c>
      <c r="M30" s="29" t="s">
        <v>715</v>
      </c>
      <c r="N30" s="29" t="s">
        <v>734</v>
      </c>
      <c r="O30" s="29" t="s">
        <v>747</v>
      </c>
    </row>
    <row r="31" spans="1:22" ht="15" x14ac:dyDescent="0.25">
      <c r="A31" s="142">
        <v>45200</v>
      </c>
      <c r="B31" s="29" t="s">
        <v>711</v>
      </c>
      <c r="C31" s="29" t="s">
        <v>727</v>
      </c>
      <c r="D31" s="29" t="s">
        <v>713</v>
      </c>
      <c r="E31" s="149" t="s">
        <v>7</v>
      </c>
      <c r="F31" s="29">
        <v>50.9</v>
      </c>
      <c r="G31" s="149">
        <v>51.7</v>
      </c>
      <c r="H31" s="29" t="s">
        <v>7</v>
      </c>
      <c r="I31" s="29">
        <v>70</v>
      </c>
      <c r="J31" s="29" t="s">
        <v>728</v>
      </c>
      <c r="K31" s="143">
        <v>0.40625</v>
      </c>
      <c r="L31" s="29" t="s">
        <v>121</v>
      </c>
      <c r="M31" s="29" t="s">
        <v>715</v>
      </c>
      <c r="N31" s="29" t="s">
        <v>715</v>
      </c>
      <c r="O31" s="29" t="s">
        <v>729</v>
      </c>
    </row>
    <row r="32" spans="1:22" ht="15" x14ac:dyDescent="0.25">
      <c r="A32" s="142">
        <v>45197</v>
      </c>
      <c r="B32" s="29" t="s">
        <v>730</v>
      </c>
      <c r="C32" s="29" t="s">
        <v>748</v>
      </c>
      <c r="D32" s="29" t="s">
        <v>749</v>
      </c>
      <c r="E32" s="149" t="s">
        <v>7</v>
      </c>
      <c r="F32" s="29">
        <v>-17.8</v>
      </c>
      <c r="G32" s="149">
        <v>-17.8</v>
      </c>
      <c r="H32" s="29" t="s">
        <v>7</v>
      </c>
      <c r="I32" s="29">
        <v>66</v>
      </c>
      <c r="J32" s="29" t="s">
        <v>750</v>
      </c>
      <c r="K32" s="143">
        <v>0.70833333333333337</v>
      </c>
      <c r="L32" s="29" t="s">
        <v>121</v>
      </c>
      <c r="M32" s="29" t="s">
        <v>715</v>
      </c>
      <c r="N32" s="29" t="s">
        <v>734</v>
      </c>
      <c r="O32" s="29" t="s">
        <v>751</v>
      </c>
    </row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2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9"/>
  <sheetViews>
    <sheetView zoomScale="85" zoomScaleNormal="85" workbookViewId="0">
      <selection activeCell="I5" sqref="I5"/>
    </sheetView>
  </sheetViews>
  <sheetFormatPr defaultColWidth="8.88671875" defaultRowHeight="15" x14ac:dyDescent="0.25"/>
  <cols>
    <col min="1" max="1" width="9.44140625" style="27" bestFit="1" customWidth="1"/>
    <col min="2" max="2" width="8.33203125" style="27" bestFit="1" customWidth="1"/>
    <col min="3" max="3" width="25.109375" style="27" bestFit="1" customWidth="1"/>
    <col min="4" max="4" width="8.44140625" style="27" bestFit="1" customWidth="1"/>
    <col min="5" max="5" width="9.44140625" style="27" bestFit="1" customWidth="1"/>
    <col min="6" max="6" width="7.6640625" style="27" bestFit="1" customWidth="1"/>
    <col min="7" max="7" width="9.44140625" style="27" bestFit="1" customWidth="1"/>
    <col min="8" max="8" width="8.88671875" style="27" bestFit="1" customWidth="1"/>
    <col min="9" max="9" width="10.77734375" style="27" bestFit="1" customWidth="1" collapsed="1"/>
    <col min="10" max="10" width="15.88671875" style="27" bestFit="1" customWidth="1"/>
    <col min="11" max="11" width="10.77734375" style="27" bestFit="1" customWidth="1"/>
    <col min="12" max="12" width="7.33203125" style="27" bestFit="1" customWidth="1"/>
    <col min="13" max="13" width="5.88671875" style="27" bestFit="1" customWidth="1"/>
    <col min="14" max="14" width="9.44140625" style="27" bestFit="1" customWidth="1"/>
    <col min="15" max="15" width="28.554687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26" t="s">
        <v>163</v>
      </c>
      <c r="H1" s="69" t="s">
        <v>166</v>
      </c>
    </row>
    <row r="2" spans="1:22" x14ac:dyDescent="0.25">
      <c r="B2" s="28" t="s">
        <v>86</v>
      </c>
      <c r="C2" s="28" t="s">
        <v>166</v>
      </c>
      <c r="D2" s="28" t="s">
        <v>169</v>
      </c>
      <c r="E2" s="28" t="s">
        <v>157</v>
      </c>
      <c r="F2" s="28" t="s">
        <v>158</v>
      </c>
      <c r="V2" s="30"/>
    </row>
    <row r="3" spans="1:22" x14ac:dyDescent="0.25">
      <c r="B3" s="28"/>
      <c r="C3" s="27" t="s">
        <v>826</v>
      </c>
      <c r="D3" s="41">
        <v>45201</v>
      </c>
      <c r="E3" s="32">
        <v>47.6</v>
      </c>
      <c r="F3" s="32">
        <v>47.9</v>
      </c>
      <c r="V3" s="35"/>
    </row>
    <row r="4" spans="1:22" x14ac:dyDescent="0.25">
      <c r="B4" s="28"/>
      <c r="C4" s="27" t="s">
        <v>807</v>
      </c>
      <c r="D4" s="41">
        <v>45201</v>
      </c>
      <c r="E4" s="32">
        <v>43.4</v>
      </c>
      <c r="F4" s="32">
        <v>43.4</v>
      </c>
      <c r="V4" s="35"/>
    </row>
    <row r="5" spans="1:22" x14ac:dyDescent="0.25">
      <c r="B5" s="28"/>
      <c r="C5" s="27" t="s">
        <v>776</v>
      </c>
      <c r="D5" s="41">
        <v>45203</v>
      </c>
      <c r="E5" s="32">
        <v>2E-3</v>
      </c>
      <c r="F5" s="32">
        <v>2E-3</v>
      </c>
      <c r="V5" s="35"/>
    </row>
    <row r="6" spans="1:22" x14ac:dyDescent="0.25">
      <c r="B6" s="28"/>
      <c r="C6" s="27" t="s">
        <v>783</v>
      </c>
      <c r="D6" s="41">
        <v>45203</v>
      </c>
      <c r="E6" s="32">
        <v>-1.2999999999999999E-2</v>
      </c>
      <c r="F6" s="32" t="s">
        <v>7</v>
      </c>
      <c r="V6" s="35"/>
    </row>
    <row r="7" spans="1:22" x14ac:dyDescent="0.25">
      <c r="B7" s="28"/>
      <c r="C7" s="27" t="s">
        <v>761</v>
      </c>
      <c r="D7" s="41">
        <v>45204</v>
      </c>
      <c r="E7" s="32" t="s">
        <v>756</v>
      </c>
      <c r="F7" s="32" t="s">
        <v>823</v>
      </c>
      <c r="V7" s="35"/>
    </row>
    <row r="8" spans="1:22" x14ac:dyDescent="0.25">
      <c r="B8" s="28"/>
      <c r="C8" s="27" t="s">
        <v>821</v>
      </c>
      <c r="D8" s="41">
        <v>45205</v>
      </c>
      <c r="E8" s="32" t="s">
        <v>819</v>
      </c>
      <c r="F8" s="32" t="s">
        <v>818</v>
      </c>
      <c r="V8" s="35"/>
    </row>
    <row r="9" spans="1:22" x14ac:dyDescent="0.25">
      <c r="Q9" s="30"/>
      <c r="R9" s="30"/>
      <c r="S9" s="30"/>
      <c r="T9" s="30"/>
      <c r="U9" s="30"/>
      <c r="V9" s="30"/>
    </row>
    <row r="10" spans="1:22" x14ac:dyDescent="0.25">
      <c r="A10" s="29" t="s">
        <v>122</v>
      </c>
      <c r="B10" s="29" t="s">
        <v>160</v>
      </c>
      <c r="C10" s="29" t="s">
        <v>123</v>
      </c>
      <c r="D10" s="29" t="s">
        <v>161</v>
      </c>
      <c r="E10" s="29" t="s">
        <v>124</v>
      </c>
      <c r="F10" s="29" t="s">
        <v>125</v>
      </c>
      <c r="G10" s="29" t="s">
        <v>126</v>
      </c>
      <c r="H10" s="29" t="s">
        <v>127</v>
      </c>
      <c r="I10" s="29" t="s">
        <v>128</v>
      </c>
      <c r="J10" s="29" t="s">
        <v>129</v>
      </c>
      <c r="K10" s="29" t="s">
        <v>130</v>
      </c>
      <c r="L10" s="29" t="s">
        <v>162</v>
      </c>
      <c r="M10" s="29" t="s">
        <v>164</v>
      </c>
      <c r="N10" s="29" t="s">
        <v>165</v>
      </c>
      <c r="O10" s="29" t="s">
        <v>166</v>
      </c>
      <c r="Q10" s="30"/>
      <c r="R10" s="30"/>
      <c r="S10" s="30"/>
      <c r="T10" s="30"/>
      <c r="U10" s="30"/>
      <c r="V10" s="30"/>
    </row>
    <row r="11" spans="1:22" x14ac:dyDescent="0.25">
      <c r="A11" s="39">
        <v>45205</v>
      </c>
      <c r="B11" s="27" t="s">
        <v>752</v>
      </c>
      <c r="C11" s="27" t="s">
        <v>817</v>
      </c>
      <c r="D11" s="27" t="s">
        <v>713</v>
      </c>
      <c r="E11" s="27" t="s">
        <v>818</v>
      </c>
      <c r="F11" s="27" t="s">
        <v>7</v>
      </c>
      <c r="G11" s="27" t="s">
        <v>819</v>
      </c>
      <c r="H11" s="27" t="s">
        <v>7</v>
      </c>
      <c r="I11" s="27">
        <v>99</v>
      </c>
      <c r="J11" s="27" t="s">
        <v>820</v>
      </c>
      <c r="K11" s="37">
        <v>0.85416666666666663</v>
      </c>
      <c r="L11" s="27" t="s">
        <v>163</v>
      </c>
      <c r="M11" s="27" t="s">
        <v>715</v>
      </c>
      <c r="N11" s="27" t="s">
        <v>770</v>
      </c>
      <c r="O11" s="27" t="s">
        <v>821</v>
      </c>
      <c r="Q11" s="30"/>
      <c r="R11" s="30"/>
      <c r="S11" s="30"/>
      <c r="T11" s="30"/>
      <c r="U11" s="30"/>
      <c r="V11" s="30"/>
    </row>
    <row r="12" spans="1:22" x14ac:dyDescent="0.25">
      <c r="A12" s="39">
        <v>45204</v>
      </c>
      <c r="B12" s="27" t="s">
        <v>752</v>
      </c>
      <c r="C12" s="27" t="s">
        <v>753</v>
      </c>
      <c r="D12" s="27" t="s">
        <v>822</v>
      </c>
      <c r="E12" s="27" t="s">
        <v>823</v>
      </c>
      <c r="F12" s="27" t="s">
        <v>7</v>
      </c>
      <c r="G12" s="27" t="s">
        <v>756</v>
      </c>
      <c r="H12" s="27" t="s">
        <v>7</v>
      </c>
      <c r="I12" s="27">
        <v>98</v>
      </c>
      <c r="J12" s="27" t="s">
        <v>759</v>
      </c>
      <c r="K12" s="37">
        <v>0.85416666666666663</v>
      </c>
      <c r="L12" s="27" t="s">
        <v>163</v>
      </c>
      <c r="M12" s="27" t="s">
        <v>92</v>
      </c>
      <c r="N12" s="27" t="s">
        <v>760</v>
      </c>
      <c r="O12" s="27" t="s">
        <v>761</v>
      </c>
      <c r="Q12" s="30"/>
      <c r="R12" s="30"/>
      <c r="S12" s="30"/>
      <c r="T12" s="30"/>
      <c r="U12" s="30"/>
      <c r="V12" s="30"/>
    </row>
    <row r="13" spans="1:22" x14ac:dyDescent="0.25">
      <c r="A13" s="39">
        <v>45201</v>
      </c>
      <c r="B13" s="27" t="s">
        <v>752</v>
      </c>
      <c r="C13" s="27" t="s">
        <v>824</v>
      </c>
      <c r="D13" s="27" t="s">
        <v>713</v>
      </c>
      <c r="E13" s="27">
        <v>47.9</v>
      </c>
      <c r="F13" s="27">
        <v>49</v>
      </c>
      <c r="G13" s="27">
        <v>47.6</v>
      </c>
      <c r="H13" s="27" t="s">
        <v>7</v>
      </c>
      <c r="I13" s="27">
        <v>95</v>
      </c>
      <c r="J13" s="27" t="s">
        <v>825</v>
      </c>
      <c r="K13" s="37">
        <v>0.91666666666666663</v>
      </c>
      <c r="L13" s="27" t="s">
        <v>163</v>
      </c>
      <c r="M13" s="27" t="s">
        <v>715</v>
      </c>
      <c r="N13" s="27" t="s">
        <v>770</v>
      </c>
      <c r="O13" s="27" t="s">
        <v>826</v>
      </c>
      <c r="Q13" s="30"/>
      <c r="R13" s="30"/>
      <c r="S13" s="30"/>
      <c r="T13" s="30"/>
      <c r="U13" s="30"/>
      <c r="V13" s="30"/>
    </row>
    <row r="14" spans="1:22" x14ac:dyDescent="0.25">
      <c r="A14" s="39">
        <v>45203</v>
      </c>
      <c r="B14" s="27" t="s">
        <v>752</v>
      </c>
      <c r="C14" s="27" t="s">
        <v>772</v>
      </c>
      <c r="D14" s="27" t="s">
        <v>827</v>
      </c>
      <c r="E14" s="27">
        <v>2E-3</v>
      </c>
      <c r="F14" s="27" t="s">
        <v>7</v>
      </c>
      <c r="G14" s="27">
        <v>2E-3</v>
      </c>
      <c r="H14" s="27" t="s">
        <v>7</v>
      </c>
      <c r="I14" s="27">
        <v>92</v>
      </c>
      <c r="J14" s="27" t="s">
        <v>774</v>
      </c>
      <c r="K14" s="37">
        <v>0.91666666666666663</v>
      </c>
      <c r="L14" s="27" t="s">
        <v>163</v>
      </c>
      <c r="M14" s="27" t="s">
        <v>739</v>
      </c>
      <c r="N14" s="27" t="s">
        <v>775</v>
      </c>
      <c r="O14" s="27" t="s">
        <v>776</v>
      </c>
      <c r="Q14" s="30"/>
      <c r="R14" s="30"/>
      <c r="S14" s="30"/>
      <c r="T14" s="30"/>
      <c r="U14" s="30"/>
      <c r="V14" s="30"/>
    </row>
    <row r="15" spans="1:22" x14ac:dyDescent="0.25">
      <c r="A15" s="39">
        <v>45203</v>
      </c>
      <c r="B15" s="27" t="s">
        <v>752</v>
      </c>
      <c r="C15" s="27" t="s">
        <v>780</v>
      </c>
      <c r="D15" s="27" t="s">
        <v>828</v>
      </c>
      <c r="E15" s="27" t="s">
        <v>7</v>
      </c>
      <c r="F15" s="27" t="s">
        <v>7</v>
      </c>
      <c r="G15" s="27">
        <v>-1.2999999999999999E-2</v>
      </c>
      <c r="H15" s="27" t="s">
        <v>7</v>
      </c>
      <c r="I15" s="27">
        <v>91</v>
      </c>
      <c r="J15" s="27" t="s">
        <v>782</v>
      </c>
      <c r="K15" s="37">
        <v>0.79166666666666663</v>
      </c>
      <c r="L15" s="27" t="s">
        <v>163</v>
      </c>
      <c r="M15" s="27" t="s">
        <v>92</v>
      </c>
      <c r="N15" s="27" t="s">
        <v>760</v>
      </c>
      <c r="O15" s="27" t="s">
        <v>783</v>
      </c>
      <c r="Q15" s="30"/>
      <c r="R15" s="30"/>
      <c r="S15" s="30"/>
      <c r="T15" s="30"/>
      <c r="U15" s="30"/>
      <c r="V15" s="30"/>
    </row>
    <row r="16" spans="1:22" x14ac:dyDescent="0.25">
      <c r="A16" s="39">
        <v>45201</v>
      </c>
      <c r="B16" s="27" t="s">
        <v>730</v>
      </c>
      <c r="C16" s="27" t="s">
        <v>805</v>
      </c>
      <c r="D16" s="27" t="s">
        <v>749</v>
      </c>
      <c r="E16" s="27">
        <v>43.4</v>
      </c>
      <c r="F16" s="27">
        <v>43.4</v>
      </c>
      <c r="G16" s="27">
        <v>43.4</v>
      </c>
      <c r="H16" s="27" t="s">
        <v>7</v>
      </c>
      <c r="I16" s="27">
        <v>90</v>
      </c>
      <c r="J16" s="27" t="s">
        <v>806</v>
      </c>
      <c r="K16" s="37">
        <v>0.66666666666666663</v>
      </c>
      <c r="L16" s="27" t="s">
        <v>163</v>
      </c>
      <c r="M16" s="27" t="s">
        <v>715</v>
      </c>
      <c r="N16" s="27" t="s">
        <v>715</v>
      </c>
      <c r="O16" s="27" t="s">
        <v>807</v>
      </c>
      <c r="Q16" s="30"/>
      <c r="R16" s="30"/>
      <c r="S16" s="30"/>
      <c r="T16" s="30"/>
      <c r="U16" s="30"/>
      <c r="V16" s="30"/>
    </row>
    <row r="17" spans="1:22" x14ac:dyDescent="0.25">
      <c r="A17" s="39">
        <v>45203</v>
      </c>
      <c r="B17" s="27" t="s">
        <v>752</v>
      </c>
      <c r="C17" s="27" t="s">
        <v>829</v>
      </c>
      <c r="D17" s="27" t="s">
        <v>713</v>
      </c>
      <c r="E17" s="27" t="s">
        <v>830</v>
      </c>
      <c r="F17" s="27" t="s">
        <v>7</v>
      </c>
      <c r="G17" s="27" t="s">
        <v>831</v>
      </c>
      <c r="H17" s="27" t="s">
        <v>7</v>
      </c>
      <c r="I17" s="27">
        <v>90</v>
      </c>
      <c r="J17" s="27" t="s">
        <v>832</v>
      </c>
      <c r="K17" s="37">
        <v>0.84375</v>
      </c>
      <c r="L17" s="27" t="s">
        <v>163</v>
      </c>
      <c r="M17" s="27" t="s">
        <v>715</v>
      </c>
      <c r="N17" s="27" t="s">
        <v>770</v>
      </c>
      <c r="O17" s="27" t="s">
        <v>833</v>
      </c>
      <c r="Q17" s="30"/>
      <c r="R17" s="30"/>
      <c r="S17" s="30"/>
      <c r="T17" s="30"/>
      <c r="U17" s="30"/>
      <c r="V17" s="30"/>
    </row>
    <row r="18" spans="1:22" x14ac:dyDescent="0.25">
      <c r="A18" s="39">
        <v>45201</v>
      </c>
      <c r="B18" s="27" t="s">
        <v>752</v>
      </c>
      <c r="C18" s="27" t="s">
        <v>834</v>
      </c>
      <c r="D18" s="27" t="s">
        <v>749</v>
      </c>
      <c r="E18" s="27">
        <v>48.9</v>
      </c>
      <c r="F18" s="27">
        <v>49.8</v>
      </c>
      <c r="G18" s="27">
        <v>48.9</v>
      </c>
      <c r="H18" s="27" t="s">
        <v>7</v>
      </c>
      <c r="I18" s="27">
        <v>90</v>
      </c>
      <c r="J18" s="27" t="s">
        <v>835</v>
      </c>
      <c r="K18" s="37">
        <v>0.90625</v>
      </c>
      <c r="L18" s="27" t="s">
        <v>163</v>
      </c>
      <c r="M18" s="27" t="s">
        <v>715</v>
      </c>
      <c r="N18" s="27" t="s">
        <v>715</v>
      </c>
      <c r="O18" s="27" t="s">
        <v>836</v>
      </c>
    </row>
    <row r="19" spans="1:22" x14ac:dyDescent="0.25">
      <c r="A19" s="39">
        <v>45205</v>
      </c>
      <c r="B19" s="27" t="s">
        <v>752</v>
      </c>
      <c r="C19" s="27" t="s">
        <v>814</v>
      </c>
      <c r="D19" s="27" t="s">
        <v>713</v>
      </c>
      <c r="E19" s="27">
        <v>3.6999999999999998E-2</v>
      </c>
      <c r="F19" s="27" t="s">
        <v>7</v>
      </c>
      <c r="G19" s="27">
        <v>3.7999999999999999E-2</v>
      </c>
      <c r="H19" s="27" t="s">
        <v>7</v>
      </c>
      <c r="I19" s="27">
        <v>89</v>
      </c>
      <c r="J19" s="27" t="s">
        <v>837</v>
      </c>
      <c r="K19" s="37">
        <v>0.85416666666666663</v>
      </c>
      <c r="L19" s="27" t="s">
        <v>163</v>
      </c>
      <c r="M19" s="27" t="s">
        <v>715</v>
      </c>
      <c r="N19" s="27" t="s">
        <v>770</v>
      </c>
      <c r="O19" s="27" t="s">
        <v>838</v>
      </c>
      <c r="Q19" s="30"/>
      <c r="R19" s="30"/>
      <c r="S19" s="30"/>
      <c r="T19" s="30"/>
      <c r="U19" s="30"/>
      <c r="V19" s="30"/>
    </row>
    <row r="20" spans="1:22" x14ac:dyDescent="0.25">
      <c r="A20" s="39">
        <v>45203</v>
      </c>
      <c r="B20" s="27" t="s">
        <v>752</v>
      </c>
      <c r="C20" s="27" t="s">
        <v>839</v>
      </c>
      <c r="D20" s="27" t="s">
        <v>737</v>
      </c>
      <c r="E20" s="27">
        <v>3.0000000000000001E-3</v>
      </c>
      <c r="F20" s="27" t="s">
        <v>7</v>
      </c>
      <c r="G20" s="27">
        <v>-2.1000000000000001E-2</v>
      </c>
      <c r="H20" s="27" t="s">
        <v>7</v>
      </c>
      <c r="I20" s="27">
        <v>85</v>
      </c>
      <c r="J20" s="27" t="s">
        <v>840</v>
      </c>
      <c r="K20" s="37">
        <v>0.91666666666666663</v>
      </c>
      <c r="L20" s="27" t="s">
        <v>163</v>
      </c>
      <c r="M20" s="27" t="s">
        <v>739</v>
      </c>
      <c r="N20" s="27" t="s">
        <v>775</v>
      </c>
      <c r="O20" s="27" t="s">
        <v>841</v>
      </c>
      <c r="V20" s="30"/>
    </row>
    <row r="21" spans="1:22" x14ac:dyDescent="0.25">
      <c r="A21" s="39">
        <v>45204</v>
      </c>
      <c r="B21" s="27" t="s">
        <v>752</v>
      </c>
      <c r="C21" s="27" t="s">
        <v>842</v>
      </c>
      <c r="D21" s="27" t="s">
        <v>737</v>
      </c>
      <c r="E21" s="27" t="s">
        <v>843</v>
      </c>
      <c r="F21" s="27" t="s">
        <v>7</v>
      </c>
      <c r="G21" s="27" t="s">
        <v>844</v>
      </c>
      <c r="H21" s="27" t="s">
        <v>7</v>
      </c>
      <c r="I21" s="27">
        <v>84</v>
      </c>
      <c r="J21" s="27" t="s">
        <v>845</v>
      </c>
      <c r="K21" s="37">
        <v>0.85416666666666663</v>
      </c>
      <c r="L21" s="27" t="s">
        <v>163</v>
      </c>
      <c r="M21" s="27" t="s">
        <v>739</v>
      </c>
      <c r="N21" s="27" t="s">
        <v>775</v>
      </c>
      <c r="O21" s="27" t="s">
        <v>846</v>
      </c>
      <c r="V21" s="30"/>
    </row>
    <row r="22" spans="1:22" x14ac:dyDescent="0.25">
      <c r="A22" s="39">
        <v>45203</v>
      </c>
      <c r="B22" s="27" t="s">
        <v>730</v>
      </c>
      <c r="C22" s="27" t="s">
        <v>808</v>
      </c>
      <c r="D22" s="27" t="s">
        <v>749</v>
      </c>
      <c r="E22" s="27">
        <v>47.1</v>
      </c>
      <c r="F22" s="27" t="s">
        <v>7</v>
      </c>
      <c r="G22" s="27">
        <v>47.1</v>
      </c>
      <c r="H22" s="27" t="s">
        <v>7</v>
      </c>
      <c r="I22" s="27">
        <v>73</v>
      </c>
      <c r="J22" s="27" t="s">
        <v>809</v>
      </c>
      <c r="K22" s="37">
        <v>0.66666666666666663</v>
      </c>
      <c r="L22" s="27" t="s">
        <v>163</v>
      </c>
      <c r="M22" s="27" t="s">
        <v>715</v>
      </c>
      <c r="N22" s="27" t="s">
        <v>715</v>
      </c>
      <c r="O22" s="27" t="s">
        <v>810</v>
      </c>
      <c r="V22" s="30"/>
    </row>
    <row r="23" spans="1:22" x14ac:dyDescent="0.25">
      <c r="A23" s="39">
        <v>45206</v>
      </c>
      <c r="B23" s="27" t="s">
        <v>711</v>
      </c>
      <c r="C23" s="27" t="s">
        <v>800</v>
      </c>
      <c r="D23" s="27" t="s">
        <v>713</v>
      </c>
      <c r="E23" s="27" t="s">
        <v>801</v>
      </c>
      <c r="F23" s="27" t="s">
        <v>7</v>
      </c>
      <c r="G23" s="27" t="s">
        <v>802</v>
      </c>
      <c r="H23" s="27" t="s">
        <v>7</v>
      </c>
      <c r="I23" s="27">
        <v>70</v>
      </c>
      <c r="J23" s="27" t="s">
        <v>803</v>
      </c>
      <c r="K23" s="37"/>
      <c r="L23" s="27" t="s">
        <v>163</v>
      </c>
      <c r="M23" s="27" t="s">
        <v>715</v>
      </c>
      <c r="N23" s="27" t="s">
        <v>716</v>
      </c>
      <c r="O23" s="27" t="s">
        <v>804</v>
      </c>
      <c r="V23" s="30"/>
    </row>
    <row r="24" spans="1:22" x14ac:dyDescent="0.25">
      <c r="A24" s="39">
        <v>45203</v>
      </c>
      <c r="B24" s="27" t="s">
        <v>730</v>
      </c>
      <c r="C24" s="27" t="s">
        <v>811</v>
      </c>
      <c r="D24" s="27" t="s">
        <v>749</v>
      </c>
      <c r="E24" s="27">
        <v>48.4</v>
      </c>
      <c r="F24" s="27" t="s">
        <v>7</v>
      </c>
      <c r="G24" s="27">
        <v>48.4</v>
      </c>
      <c r="H24" s="27" t="s">
        <v>7</v>
      </c>
      <c r="I24" s="27">
        <v>70</v>
      </c>
      <c r="J24" s="27" t="s">
        <v>812</v>
      </c>
      <c r="K24" s="37">
        <v>0.66666666666666663</v>
      </c>
      <c r="L24" s="27" t="s">
        <v>163</v>
      </c>
      <c r="M24" s="27" t="s">
        <v>715</v>
      </c>
      <c r="N24" s="27" t="s">
        <v>715</v>
      </c>
      <c r="O24" s="27" t="s">
        <v>813</v>
      </c>
      <c r="Q24" s="30"/>
      <c r="R24" s="30"/>
      <c r="S24" s="30"/>
      <c r="T24" s="30"/>
      <c r="U24" s="30"/>
      <c r="V24" s="30"/>
    </row>
    <row r="25" spans="1:22" x14ac:dyDescent="0.25">
      <c r="A25" s="39">
        <v>45201</v>
      </c>
      <c r="B25" s="27" t="s">
        <v>730</v>
      </c>
      <c r="C25" s="27" t="s">
        <v>814</v>
      </c>
      <c r="D25" s="27" t="s">
        <v>737</v>
      </c>
      <c r="E25" s="27">
        <v>6.4000000000000001E-2</v>
      </c>
      <c r="F25" s="27">
        <v>6.4000000000000001E-2</v>
      </c>
      <c r="G25" s="27">
        <v>6.4000000000000001E-2</v>
      </c>
      <c r="H25" s="27">
        <v>6.5000000000000002E-2</v>
      </c>
      <c r="I25" s="27">
        <v>68</v>
      </c>
      <c r="J25" s="27" t="s">
        <v>815</v>
      </c>
      <c r="K25" s="37">
        <v>0.70833333333333337</v>
      </c>
      <c r="L25" s="27" t="s">
        <v>163</v>
      </c>
      <c r="M25" s="27" t="s">
        <v>739</v>
      </c>
      <c r="N25" s="27" t="s">
        <v>740</v>
      </c>
      <c r="O25" s="27" t="s">
        <v>816</v>
      </c>
      <c r="Q25" s="30"/>
      <c r="R25" s="30"/>
      <c r="S25" s="38"/>
      <c r="T25" s="35"/>
      <c r="U25" s="35"/>
      <c r="V25" s="30"/>
    </row>
    <row r="26" spans="1:22" x14ac:dyDescent="0.25">
      <c r="Q26" s="30"/>
      <c r="R26" s="30"/>
      <c r="S26" s="38"/>
      <c r="T26" s="35"/>
      <c r="U26" s="35"/>
      <c r="V26" s="30"/>
    </row>
    <row r="27" spans="1:22" x14ac:dyDescent="0.25">
      <c r="A27" s="39"/>
      <c r="K27" s="37"/>
      <c r="Q27" s="30"/>
      <c r="R27" s="30"/>
      <c r="S27" s="38"/>
      <c r="T27" s="35"/>
      <c r="U27" s="35"/>
      <c r="V27" s="30"/>
    </row>
    <row r="28" spans="1:22" x14ac:dyDescent="0.25">
      <c r="A28" s="39"/>
      <c r="K28" s="37"/>
      <c r="Q28" s="30"/>
      <c r="R28" s="30"/>
      <c r="S28" s="38"/>
      <c r="T28" s="35"/>
      <c r="U28" s="35"/>
    </row>
    <row r="29" spans="1:22" x14ac:dyDescent="0.25">
      <c r="A29" s="39"/>
      <c r="K29" s="37"/>
      <c r="Q29" s="30"/>
      <c r="R29" s="30"/>
      <c r="S29" s="38"/>
      <c r="T29" s="35"/>
      <c r="U29" s="35"/>
    </row>
    <row r="30" spans="1:22" x14ac:dyDescent="0.25">
      <c r="A30" s="39"/>
      <c r="K30" s="37"/>
      <c r="Q30" s="30"/>
      <c r="R30" s="30"/>
      <c r="S30" s="38"/>
      <c r="T30" s="35"/>
      <c r="U30" s="35"/>
    </row>
    <row r="31" spans="1:22" x14ac:dyDescent="0.25">
      <c r="A31" s="39"/>
      <c r="K31" s="37"/>
    </row>
    <row r="32" spans="1:22" x14ac:dyDescent="0.25">
      <c r="A32" s="39"/>
      <c r="K32" s="37"/>
    </row>
    <row r="33" spans="1:11" x14ac:dyDescent="0.25">
      <c r="A33" s="39"/>
      <c r="K33" s="37"/>
    </row>
    <row r="34" spans="1:11" x14ac:dyDescent="0.25">
      <c r="A34" s="39"/>
      <c r="K34" s="37"/>
    </row>
    <row r="35" spans="1:11" x14ac:dyDescent="0.25">
      <c r="A35" s="39"/>
      <c r="K35" s="37"/>
    </row>
    <row r="36" spans="1:11" x14ac:dyDescent="0.25">
      <c r="A36" s="39"/>
      <c r="K36" s="37"/>
    </row>
    <row r="37" spans="1:11" x14ac:dyDescent="0.25">
      <c r="A37" s="39"/>
      <c r="K37" s="37"/>
    </row>
    <row r="38" spans="1:11" x14ac:dyDescent="0.25">
      <c r="A38" s="39"/>
      <c r="K38" s="37"/>
    </row>
    <row r="39" spans="1:11" x14ac:dyDescent="0.25">
      <c r="A39" s="39"/>
      <c r="K39" s="37"/>
    </row>
  </sheetData>
  <phoneticPr fontId="38" type="noConversion"/>
  <conditionalFormatting sqref="I27:I39 I11:I25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I27:I39 I11:I25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D6" sqref="D6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86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80">
        <v>45167</v>
      </c>
      <c r="H1" s="77"/>
      <c r="I1" s="66" t="s">
        <v>322</v>
      </c>
      <c r="J1" s="66" t="s">
        <v>53</v>
      </c>
      <c r="K1" s="66" t="s">
        <v>65</v>
      </c>
      <c r="L1" s="66" t="s">
        <v>75</v>
      </c>
    </row>
    <row r="2" spans="1:125" ht="36" x14ac:dyDescent="0.55000000000000004">
      <c r="A2" s="94" t="s">
        <v>333</v>
      </c>
      <c r="D2" s="87"/>
      <c r="E2" s="79"/>
      <c r="F2" s="79"/>
      <c r="M2" s="79"/>
      <c r="N2" s="77"/>
      <c r="O2" s="77"/>
      <c r="P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</row>
    <row r="4" spans="1:125" ht="27.75" customHeight="1" x14ac:dyDescent="0.45">
      <c r="B4" s="91" t="s">
        <v>332</v>
      </c>
      <c r="D4" s="87"/>
      <c r="E4" s="79"/>
      <c r="F4" s="79"/>
      <c r="G4" s="79"/>
      <c r="H4" s="79"/>
      <c r="I4" s="79"/>
      <c r="J4" s="79"/>
      <c r="K4" s="79"/>
      <c r="L4" s="79"/>
      <c r="M4" s="79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</row>
    <row r="5" spans="1:125" ht="27.75" customHeight="1" x14ac:dyDescent="0.45">
      <c r="B5" s="90" t="s">
        <v>324</v>
      </c>
      <c r="C5" s="90" t="s">
        <v>325</v>
      </c>
      <c r="D5" s="90" t="s">
        <v>330</v>
      </c>
      <c r="E5" s="79"/>
      <c r="F5" s="79"/>
      <c r="G5" s="79"/>
      <c r="H5" s="79"/>
      <c r="I5" s="79"/>
      <c r="J5" s="79"/>
      <c r="K5" s="79"/>
      <c r="L5" s="79"/>
      <c r="M5" s="79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7"/>
      <c r="DD5" s="77"/>
      <c r="DE5" s="77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</row>
    <row r="6" spans="1:125" ht="27.75" customHeight="1" x14ac:dyDescent="0.45">
      <c r="B6" s="85"/>
      <c r="C6" s="85" t="s">
        <v>475</v>
      </c>
      <c r="D6" s="85" t="s">
        <v>331</v>
      </c>
      <c r="E6" s="79"/>
      <c r="F6" s="79"/>
      <c r="G6" s="79"/>
      <c r="H6" s="79"/>
      <c r="I6" s="79"/>
      <c r="J6" s="79"/>
      <c r="K6" s="79"/>
      <c r="L6" s="79"/>
      <c r="M6" s="79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</row>
    <row r="8" spans="1:125" ht="27.75" customHeight="1" x14ac:dyDescent="0.45">
      <c r="B8" s="93" t="s">
        <v>328</v>
      </c>
      <c r="C8" s="83"/>
      <c r="D8" s="88"/>
      <c r="E8" s="83"/>
      <c r="F8" s="83"/>
      <c r="G8" s="83"/>
      <c r="H8" s="83"/>
      <c r="I8" s="83"/>
      <c r="J8" s="83"/>
      <c r="K8" s="83"/>
      <c r="L8" s="83"/>
      <c r="M8" s="83"/>
      <c r="N8" s="83"/>
      <c r="O8" s="77"/>
      <c r="P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  <c r="DF8" s="77"/>
      <c r="DG8" s="77"/>
      <c r="DH8" s="77"/>
      <c r="DI8" s="77"/>
      <c r="DJ8" s="77"/>
      <c r="DK8" s="77"/>
      <c r="DL8" s="77"/>
      <c r="DM8" s="77"/>
      <c r="DN8" s="77"/>
      <c r="DO8" s="77"/>
      <c r="DP8" s="77"/>
      <c r="DQ8" s="77"/>
      <c r="DR8" s="77"/>
      <c r="DS8" s="77"/>
      <c r="DT8" s="77"/>
      <c r="DU8" s="77"/>
    </row>
    <row r="9" spans="1:125" x14ac:dyDescent="0.25">
      <c r="B9" t="s">
        <v>48</v>
      </c>
      <c r="C9" t="s">
        <v>167</v>
      </c>
      <c r="D9" s="84" t="s">
        <v>49</v>
      </c>
      <c r="E9" t="s">
        <v>136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168</v>
      </c>
    </row>
    <row r="10" spans="1:125" x14ac:dyDescent="0.25">
      <c r="B10" s="145" t="s">
        <v>492</v>
      </c>
      <c r="C10" s="145" t="s">
        <v>496</v>
      </c>
      <c r="D10" s="84">
        <v>45191</v>
      </c>
      <c r="E10" s="145" t="s">
        <v>83</v>
      </c>
      <c r="F10" s="145" t="s">
        <v>85</v>
      </c>
      <c r="G10">
        <v>1</v>
      </c>
      <c r="H10" s="145" t="s">
        <v>152</v>
      </c>
      <c r="I10" s="145" t="s">
        <v>494</v>
      </c>
      <c r="J10" s="145" t="s">
        <v>7</v>
      </c>
      <c r="K10" t="s">
        <v>7</v>
      </c>
    </row>
    <row r="11" spans="1:125" x14ac:dyDescent="0.25">
      <c r="B11" s="145" t="s">
        <v>482</v>
      </c>
      <c r="C11" s="145" t="s">
        <v>497</v>
      </c>
      <c r="D11">
        <v>45190</v>
      </c>
      <c r="E11" s="145" t="s">
        <v>83</v>
      </c>
      <c r="F11" s="145" t="s">
        <v>106</v>
      </c>
      <c r="G11">
        <v>10.65</v>
      </c>
      <c r="H11" s="145" t="s">
        <v>152</v>
      </c>
      <c r="I11" s="145" t="s">
        <v>485</v>
      </c>
      <c r="J11" s="145" t="s">
        <v>7</v>
      </c>
      <c r="K11" t="s">
        <v>7</v>
      </c>
    </row>
    <row r="12" spans="1:125" x14ac:dyDescent="0.25">
      <c r="B12" s="145" t="s">
        <v>483</v>
      </c>
      <c r="C12" s="145" t="s">
        <v>490</v>
      </c>
      <c r="D12">
        <v>45189</v>
      </c>
      <c r="E12" s="145" t="s">
        <v>495</v>
      </c>
      <c r="F12" s="145" t="s">
        <v>106</v>
      </c>
      <c r="G12">
        <v>18.600000000000001</v>
      </c>
      <c r="H12" s="145" t="s">
        <v>152</v>
      </c>
      <c r="I12" s="145" t="s">
        <v>489</v>
      </c>
      <c r="J12" s="145" t="s">
        <v>488</v>
      </c>
      <c r="K12">
        <v>10</v>
      </c>
    </row>
    <row r="13" spans="1:125" x14ac:dyDescent="0.25">
      <c r="B13" s="145" t="s">
        <v>481</v>
      </c>
      <c r="C13" s="145" t="s">
        <v>491</v>
      </c>
      <c r="D13">
        <v>45189</v>
      </c>
      <c r="E13" s="145" t="s">
        <v>83</v>
      </c>
      <c r="F13" s="145" t="s">
        <v>106</v>
      </c>
      <c r="G13">
        <v>7.3</v>
      </c>
      <c r="H13" s="145" t="s">
        <v>152</v>
      </c>
      <c r="I13" s="145" t="s">
        <v>486</v>
      </c>
      <c r="J13" s="145" t="s">
        <v>487</v>
      </c>
      <c r="K13">
        <v>6</v>
      </c>
    </row>
    <row r="14" spans="1:125" s="70" customFormat="1" ht="35.25" customHeight="1" x14ac:dyDescent="0.25">
      <c r="B14" s="145" t="s">
        <v>467</v>
      </c>
      <c r="C14" s="145" t="s">
        <v>468</v>
      </c>
      <c r="D14">
        <v>45183</v>
      </c>
      <c r="E14" s="145" t="s">
        <v>83</v>
      </c>
      <c r="F14" s="145" t="s">
        <v>106</v>
      </c>
      <c r="G14">
        <v>2.6</v>
      </c>
      <c r="H14" s="145" t="s">
        <v>152</v>
      </c>
      <c r="I14" s="145" t="s">
        <v>469</v>
      </c>
      <c r="J14" s="145" t="s">
        <v>7</v>
      </c>
      <c r="K14" t="s">
        <v>7</v>
      </c>
    </row>
    <row r="15" spans="1:125" ht="27.75" x14ac:dyDescent="0.45">
      <c r="B15" s="145" t="s">
        <v>499</v>
      </c>
      <c r="C15" s="145" t="s">
        <v>505</v>
      </c>
      <c r="D15">
        <v>45182</v>
      </c>
      <c r="E15" s="145" t="s">
        <v>83</v>
      </c>
      <c r="F15" s="145" t="s">
        <v>271</v>
      </c>
      <c r="G15">
        <v>76</v>
      </c>
      <c r="H15" s="145" t="s">
        <v>152</v>
      </c>
      <c r="I15" s="145" t="s">
        <v>506</v>
      </c>
      <c r="J15" s="145" t="s">
        <v>507</v>
      </c>
      <c r="K15">
        <v>0</v>
      </c>
      <c r="L15" s="78"/>
      <c r="M15" s="78"/>
    </row>
    <row r="16" spans="1:125" x14ac:dyDescent="0.25">
      <c r="B16" s="145" t="s">
        <v>501</v>
      </c>
      <c r="C16" s="145" t="s">
        <v>508</v>
      </c>
      <c r="D16">
        <v>45182</v>
      </c>
      <c r="E16" s="145" t="s">
        <v>83</v>
      </c>
      <c r="F16" s="145" t="s">
        <v>106</v>
      </c>
      <c r="G16">
        <v>5.8</v>
      </c>
      <c r="H16" s="145" t="s">
        <v>152</v>
      </c>
      <c r="I16" s="145" t="s">
        <v>509</v>
      </c>
      <c r="J16" s="145" t="s">
        <v>510</v>
      </c>
      <c r="K16">
        <v>0</v>
      </c>
    </row>
    <row r="17" spans="2:13" x14ac:dyDescent="0.25">
      <c r="B17" s="145" t="s">
        <v>500</v>
      </c>
      <c r="C17" s="145" t="s">
        <v>511</v>
      </c>
      <c r="D17">
        <v>45182</v>
      </c>
      <c r="E17" s="145" t="s">
        <v>473</v>
      </c>
      <c r="F17" s="145" t="s">
        <v>85</v>
      </c>
      <c r="G17">
        <v>5.5</v>
      </c>
      <c r="H17" s="145" t="s">
        <v>152</v>
      </c>
      <c r="I17" s="145" t="s">
        <v>512</v>
      </c>
      <c r="J17" s="145" t="s">
        <v>513</v>
      </c>
      <c r="K17">
        <v>47</v>
      </c>
    </row>
    <row r="18" spans="2:13" x14ac:dyDescent="0.25">
      <c r="B18" s="145" t="s">
        <v>502</v>
      </c>
      <c r="C18" s="145" t="s">
        <v>514</v>
      </c>
      <c r="D18">
        <v>45180</v>
      </c>
      <c r="E18" s="145" t="s">
        <v>503</v>
      </c>
      <c r="F18" s="145" t="s">
        <v>85</v>
      </c>
      <c r="G18">
        <v>5</v>
      </c>
      <c r="H18" s="145" t="s">
        <v>152</v>
      </c>
      <c r="I18" s="145" t="s">
        <v>515</v>
      </c>
      <c r="J18" s="145" t="s">
        <v>516</v>
      </c>
      <c r="K18">
        <v>45</v>
      </c>
    </row>
    <row r="19" spans="2:13" ht="27.75" x14ac:dyDescent="0.45">
      <c r="B19" s="145" t="s">
        <v>504</v>
      </c>
      <c r="C19" s="145" t="s">
        <v>517</v>
      </c>
      <c r="D19">
        <v>45180</v>
      </c>
      <c r="E19" s="145" t="s">
        <v>503</v>
      </c>
      <c r="F19" s="145" t="s">
        <v>106</v>
      </c>
      <c r="G19">
        <v>20</v>
      </c>
      <c r="H19" s="145" t="s">
        <v>152</v>
      </c>
      <c r="I19" s="145" t="s">
        <v>518</v>
      </c>
      <c r="J19" s="145" t="s">
        <v>519</v>
      </c>
      <c r="K19">
        <v>32</v>
      </c>
      <c r="L19" s="79"/>
      <c r="M19" s="79"/>
    </row>
    <row r="21" spans="2:13" ht="27.75" x14ac:dyDescent="0.45">
      <c r="B21" s="92" t="s">
        <v>327</v>
      </c>
      <c r="C21" s="78"/>
      <c r="D21" s="89"/>
      <c r="E21" s="78"/>
      <c r="F21" s="78"/>
      <c r="G21" s="78"/>
      <c r="H21" s="78"/>
      <c r="I21" s="78"/>
      <c r="J21" s="78"/>
      <c r="K21" s="78"/>
    </row>
    <row r="22" spans="2:13" x14ac:dyDescent="0.25">
      <c r="B22" t="s">
        <v>320</v>
      </c>
      <c r="C22" t="s">
        <v>318</v>
      </c>
      <c r="D22" s="84" t="s">
        <v>142</v>
      </c>
      <c r="E22" t="s">
        <v>321</v>
      </c>
      <c r="F22" t="s">
        <v>49</v>
      </c>
      <c r="G22" t="s">
        <v>57</v>
      </c>
      <c r="H22" t="s">
        <v>322</v>
      </c>
      <c r="I22" t="s">
        <v>53</v>
      </c>
      <c r="J22" t="s">
        <v>415</v>
      </c>
      <c r="K22" t="s">
        <v>416</v>
      </c>
    </row>
    <row r="23" spans="2:13" ht="18.75" x14ac:dyDescent="0.25">
      <c r="B23" s="107" t="s">
        <v>429</v>
      </c>
      <c r="C23" s="107" t="s">
        <v>319</v>
      </c>
      <c r="D23" s="108" t="s">
        <v>259</v>
      </c>
      <c r="E23" s="107"/>
      <c r="F23" s="109">
        <v>45177</v>
      </c>
      <c r="G23" s="107">
        <v>1.22</v>
      </c>
      <c r="H23" s="107" t="s">
        <v>300</v>
      </c>
      <c r="I23" s="110">
        <v>6.2E-2</v>
      </c>
      <c r="J23" s="111" t="s">
        <v>240</v>
      </c>
      <c r="K23" s="111" t="s">
        <v>408</v>
      </c>
    </row>
    <row r="25" spans="2:13" ht="27.75" x14ac:dyDescent="0.45">
      <c r="B25" s="93" t="s">
        <v>329</v>
      </c>
      <c r="C25" s="79"/>
      <c r="D25" s="87"/>
      <c r="E25" s="79"/>
      <c r="F25" s="93" t="s">
        <v>334</v>
      </c>
      <c r="G25" s="79"/>
      <c r="H25" s="79"/>
      <c r="I25" s="79"/>
      <c r="J25" s="79"/>
      <c r="K25" s="79"/>
    </row>
    <row r="26" spans="2:13" x14ac:dyDescent="0.25">
      <c r="B26" t="s">
        <v>315</v>
      </c>
      <c r="C26" t="s">
        <v>317</v>
      </c>
    </row>
    <row r="27" spans="2:13" x14ac:dyDescent="0.25">
      <c r="B27" t="s">
        <v>320</v>
      </c>
      <c r="C27" s="48" t="s">
        <v>429</v>
      </c>
    </row>
    <row r="28" spans="2:13" x14ac:dyDescent="0.25">
      <c r="B28" t="s">
        <v>437</v>
      </c>
      <c r="C28" s="48" t="s">
        <v>319</v>
      </c>
    </row>
    <row r="29" spans="2:13" x14ac:dyDescent="0.25">
      <c r="B29" t="s">
        <v>142</v>
      </c>
      <c r="C29" s="48" t="s">
        <v>259</v>
      </c>
    </row>
    <row r="30" spans="2:13" x14ac:dyDescent="0.25">
      <c r="B30" t="s">
        <v>49</v>
      </c>
      <c r="C30" s="48">
        <v>45177</v>
      </c>
    </row>
    <row r="31" spans="2:13" x14ac:dyDescent="0.25">
      <c r="B31" t="s">
        <v>57</v>
      </c>
      <c r="C31" s="48">
        <v>1.22</v>
      </c>
    </row>
    <row r="32" spans="2:13" x14ac:dyDescent="0.25">
      <c r="B32" t="s">
        <v>322</v>
      </c>
      <c r="C32" s="48" t="s">
        <v>297</v>
      </c>
    </row>
    <row r="33" spans="2:3" x14ac:dyDescent="0.25">
      <c r="B33" t="s">
        <v>53</v>
      </c>
      <c r="C33" s="48" t="s">
        <v>326</v>
      </c>
    </row>
    <row r="34" spans="2:3" x14ac:dyDescent="0.25">
      <c r="B34" t="s">
        <v>65</v>
      </c>
      <c r="C34" s="48" t="s">
        <v>406</v>
      </c>
    </row>
    <row r="35" spans="2:3" x14ac:dyDescent="0.25">
      <c r="B35" t="s">
        <v>75</v>
      </c>
      <c r="C35" s="48" t="s">
        <v>410</v>
      </c>
    </row>
    <row r="36" spans="2:3" x14ac:dyDescent="0.25">
      <c r="B36" t="s">
        <v>94</v>
      </c>
      <c r="C36" s="48" t="s">
        <v>431</v>
      </c>
    </row>
    <row r="37" spans="2:3" x14ac:dyDescent="0.25">
      <c r="B37" t="s">
        <v>48</v>
      </c>
      <c r="C37" s="48" t="s">
        <v>429</v>
      </c>
    </row>
    <row r="38" spans="2:3" x14ac:dyDescent="0.25">
      <c r="B38" t="s">
        <v>247</v>
      </c>
      <c r="C38" s="48" t="s">
        <v>83</v>
      </c>
    </row>
    <row r="39" spans="2:3" x14ac:dyDescent="0.25">
      <c r="B39" t="s">
        <v>248</v>
      </c>
      <c r="C39" s="48" t="s">
        <v>83</v>
      </c>
    </row>
    <row r="40" spans="2:3" x14ac:dyDescent="0.25">
      <c r="B40" t="s">
        <v>51</v>
      </c>
      <c r="C40" s="48" t="s">
        <v>432</v>
      </c>
    </row>
    <row r="41" spans="2:3" x14ac:dyDescent="0.25">
      <c r="B41" t="s">
        <v>64</v>
      </c>
      <c r="C41" s="48" t="s">
        <v>85</v>
      </c>
    </row>
    <row r="42" spans="2:3" x14ac:dyDescent="0.25">
      <c r="B42" t="s">
        <v>87</v>
      </c>
      <c r="C42" s="48" t="s">
        <v>152</v>
      </c>
    </row>
    <row r="43" spans="2:3" x14ac:dyDescent="0.25">
      <c r="B43" t="s">
        <v>170</v>
      </c>
      <c r="C43" s="48" t="s">
        <v>115</v>
      </c>
    </row>
    <row r="44" spans="2:3" x14ac:dyDescent="0.25">
      <c r="B44" t="s">
        <v>90</v>
      </c>
      <c r="C44" s="48" t="s">
        <v>37</v>
      </c>
    </row>
    <row r="45" spans="2:3" x14ac:dyDescent="0.25">
      <c r="B45" t="s">
        <v>91</v>
      </c>
      <c r="C45" s="48" t="s">
        <v>272</v>
      </c>
    </row>
    <row r="46" spans="2:3" x14ac:dyDescent="0.25">
      <c r="B46" t="s">
        <v>81</v>
      </c>
      <c r="C46" s="48" t="s">
        <v>132</v>
      </c>
    </row>
    <row r="47" spans="2:3" x14ac:dyDescent="0.25">
      <c r="B47" t="s">
        <v>67</v>
      </c>
      <c r="C47" s="48">
        <v>44811</v>
      </c>
    </row>
    <row r="48" spans="2:3" x14ac:dyDescent="0.25">
      <c r="B48" t="s">
        <v>70</v>
      </c>
      <c r="C48" s="48">
        <v>44992</v>
      </c>
    </row>
    <row r="49" spans="2:3" x14ac:dyDescent="0.25">
      <c r="B49" t="s">
        <v>52</v>
      </c>
      <c r="C49" s="48">
        <v>45907</v>
      </c>
    </row>
    <row r="50" spans="2:3" x14ac:dyDescent="0.25">
      <c r="B50" t="s">
        <v>175</v>
      </c>
      <c r="C50" s="48">
        <v>2</v>
      </c>
    </row>
    <row r="51" spans="2:3" x14ac:dyDescent="0.25">
      <c r="B51" t="s">
        <v>176</v>
      </c>
      <c r="C51" s="48">
        <v>13.8</v>
      </c>
    </row>
    <row r="52" spans="2:3" x14ac:dyDescent="0.25">
      <c r="B52" t="s">
        <v>213</v>
      </c>
      <c r="C52" s="48">
        <v>15.7</v>
      </c>
    </row>
    <row r="53" spans="2:3" x14ac:dyDescent="0.25">
      <c r="B53" t="s">
        <v>66</v>
      </c>
      <c r="C53" s="48" t="s">
        <v>433</v>
      </c>
    </row>
    <row r="54" spans="2:3" x14ac:dyDescent="0.25">
      <c r="B54" t="s">
        <v>237</v>
      </c>
      <c r="C54" s="48" t="s">
        <v>257</v>
      </c>
    </row>
    <row r="55" spans="2:3" ht="45" x14ac:dyDescent="0.25">
      <c r="B55" t="s">
        <v>71</v>
      </c>
      <c r="C55" s="48" t="s">
        <v>434</v>
      </c>
    </row>
    <row r="56" spans="2:3" x14ac:dyDescent="0.25">
      <c r="B56" t="s">
        <v>227</v>
      </c>
      <c r="C56" s="48" t="s">
        <v>436</v>
      </c>
    </row>
    <row r="57" spans="2:3" x14ac:dyDescent="0.25">
      <c r="B57" t="s">
        <v>201</v>
      </c>
      <c r="C57" s="48" t="s">
        <v>339</v>
      </c>
    </row>
    <row r="58" spans="2:3" x14ac:dyDescent="0.25">
      <c r="B58" t="s">
        <v>141</v>
      </c>
      <c r="C58" s="48" t="s">
        <v>435</v>
      </c>
    </row>
    <row r="59" spans="2:3" x14ac:dyDescent="0.25">
      <c r="B59" t="s">
        <v>167</v>
      </c>
      <c r="C59" s="48" t="s">
        <v>430</v>
      </c>
    </row>
  </sheetData>
  <phoneticPr fontId="13" type="noConversion"/>
  <conditionalFormatting sqref="B10:J19">
    <cfRule type="expression" dxfId="60" priority="1">
      <formula>ISNUMBER(FIND(#REF!,"【"))</formula>
    </cfRule>
  </conditionalFormatting>
  <conditionalFormatting sqref="K10:K19">
    <cfRule type="expression" dxfId="59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66" t="s">
        <v>41</v>
      </c>
      <c r="H1" s="66" t="s">
        <v>96</v>
      </c>
      <c r="I1" s="114" t="s">
        <v>245</v>
      </c>
    </row>
    <row r="2" spans="1:9" ht="36" x14ac:dyDescent="0.55000000000000004">
      <c r="A2" s="94" t="s">
        <v>391</v>
      </c>
      <c r="E2" s="1" t="s">
        <v>395</v>
      </c>
    </row>
    <row r="3" spans="1:9" ht="15.75" x14ac:dyDescent="0.25">
      <c r="B3" s="90" t="s">
        <v>325</v>
      </c>
      <c r="C3" s="90" t="s">
        <v>330</v>
      </c>
    </row>
    <row r="4" spans="1:9" x14ac:dyDescent="0.25">
      <c r="B4" s="85" t="s">
        <v>417</v>
      </c>
      <c r="C4" s="85" t="s">
        <v>331</v>
      </c>
    </row>
    <row r="6" spans="1:9" x14ac:dyDescent="0.25">
      <c r="B6" t="s">
        <v>94</v>
      </c>
    </row>
    <row r="7" spans="1:9" x14ac:dyDescent="0.25">
      <c r="B7" t="s">
        <v>338</v>
      </c>
    </row>
    <row r="8" spans="1:9" x14ac:dyDescent="0.25">
      <c r="B8" t="s">
        <v>472</v>
      </c>
    </row>
    <row r="9" spans="1:9" x14ac:dyDescent="0.25">
      <c r="B9" t="s">
        <v>425</v>
      </c>
    </row>
    <row r="10" spans="1:9" x14ac:dyDescent="0.25">
      <c r="B10" t="s">
        <v>418</v>
      </c>
    </row>
    <row r="11" spans="1:9" x14ac:dyDescent="0.25">
      <c r="B11" t="s">
        <v>419</v>
      </c>
    </row>
    <row r="12" spans="1:9" x14ac:dyDescent="0.25">
      <c r="B12" t="s">
        <v>420</v>
      </c>
    </row>
    <row r="13" spans="1:9" x14ac:dyDescent="0.25">
      <c r="B13" t="s">
        <v>421</v>
      </c>
    </row>
    <row r="14" spans="1:9" x14ac:dyDescent="0.25">
      <c r="B14" t="s">
        <v>422</v>
      </c>
    </row>
    <row r="15" spans="1:9" x14ac:dyDescent="0.25">
      <c r="B15" t="s">
        <v>423</v>
      </c>
    </row>
    <row r="16" spans="1:9" x14ac:dyDescent="0.25">
      <c r="B16" t="s">
        <v>424</v>
      </c>
    </row>
    <row r="20" spans="2:12" x14ac:dyDescent="0.25">
      <c r="K20" t="s">
        <v>411</v>
      </c>
      <c r="L20" t="s">
        <v>412</v>
      </c>
    </row>
    <row r="21" spans="2:12" x14ac:dyDescent="0.25">
      <c r="K21" t="s">
        <v>392</v>
      </c>
      <c r="L21" s="106" t="s">
        <v>67</v>
      </c>
    </row>
    <row r="22" spans="2:12" x14ac:dyDescent="0.25">
      <c r="K22" t="s">
        <v>393</v>
      </c>
      <c r="L22" s="106" t="s">
        <v>52</v>
      </c>
    </row>
    <row r="23" spans="2:12" x14ac:dyDescent="0.25">
      <c r="K23" t="s">
        <v>415</v>
      </c>
      <c r="L23" t="s">
        <v>65</v>
      </c>
    </row>
    <row r="24" spans="2:12" ht="17.25" customHeight="1" x14ac:dyDescent="0.25">
      <c r="B24" s="1" t="s">
        <v>426</v>
      </c>
      <c r="C24" s="1" t="s">
        <v>394</v>
      </c>
      <c r="K24" t="s">
        <v>416</v>
      </c>
      <c r="L24" t="s">
        <v>75</v>
      </c>
    </row>
    <row r="25" spans="2:12" ht="17.25" customHeight="1" x14ac:dyDescent="0.25">
      <c r="B25" s="104" t="s">
        <v>48</v>
      </c>
      <c r="C25" s="112"/>
      <c r="K25" t="s">
        <v>136</v>
      </c>
      <c r="L25" t="s">
        <v>247</v>
      </c>
    </row>
    <row r="26" spans="2:12" ht="17.25" customHeight="1" x14ac:dyDescent="0.25">
      <c r="B26" s="104" t="s">
        <v>49</v>
      </c>
      <c r="C26" s="112"/>
      <c r="K26" t="s">
        <v>179</v>
      </c>
      <c r="L26" t="s">
        <v>248</v>
      </c>
    </row>
    <row r="27" spans="2:12" ht="17.25" customHeight="1" x14ac:dyDescent="0.25">
      <c r="B27" s="104" t="s">
        <v>58</v>
      </c>
      <c r="C27" s="112"/>
      <c r="K27" t="s">
        <v>120</v>
      </c>
      <c r="L27" t="s">
        <v>428</v>
      </c>
    </row>
    <row r="28" spans="2:12" ht="17.25" customHeight="1" x14ac:dyDescent="0.25">
      <c r="B28" s="104" t="s">
        <v>245</v>
      </c>
      <c r="C28" s="112"/>
    </row>
    <row r="29" spans="2:12" ht="17.25" customHeight="1" x14ac:dyDescent="0.25">
      <c r="B29" s="104" t="s">
        <v>55</v>
      </c>
      <c r="C29" s="112"/>
    </row>
    <row r="30" spans="2:12" ht="17.25" customHeight="1" x14ac:dyDescent="0.25">
      <c r="B30" s="104" t="s">
        <v>415</v>
      </c>
      <c r="C30" s="112" t="s">
        <v>238</v>
      </c>
    </row>
    <row r="31" spans="2:12" ht="17.25" customHeight="1" x14ac:dyDescent="0.25">
      <c r="B31" s="104" t="s">
        <v>416</v>
      </c>
      <c r="C31" s="112" t="s">
        <v>408</v>
      </c>
    </row>
    <row r="32" spans="2:12" ht="17.25" customHeight="1" x14ac:dyDescent="0.25">
      <c r="B32" s="104" t="s">
        <v>136</v>
      </c>
      <c r="C32" s="112"/>
    </row>
    <row r="33" spans="2:3" ht="17.25" customHeight="1" x14ac:dyDescent="0.25">
      <c r="B33" s="104" t="s">
        <v>96</v>
      </c>
      <c r="C33" s="112"/>
    </row>
    <row r="34" spans="2:3" ht="17.25" customHeight="1" x14ac:dyDescent="0.25">
      <c r="B34" s="104" t="s">
        <v>120</v>
      </c>
      <c r="C34" s="113">
        <v>3.2000000000000001E-2</v>
      </c>
    </row>
    <row r="35" spans="2:3" ht="17.25" customHeight="1" x14ac:dyDescent="0.25">
      <c r="B35" s="104" t="s">
        <v>64</v>
      </c>
      <c r="C35" s="112" t="s">
        <v>85</v>
      </c>
    </row>
    <row r="36" spans="2:3" ht="17.25" customHeight="1" x14ac:dyDescent="0.25">
      <c r="B36" s="104" t="s">
        <v>57</v>
      </c>
      <c r="C36" s="112">
        <v>2</v>
      </c>
    </row>
    <row r="37" spans="2:3" ht="17.25" customHeight="1" x14ac:dyDescent="0.25">
      <c r="B37" s="104" t="s">
        <v>322</v>
      </c>
      <c r="C37" s="112" t="s">
        <v>396</v>
      </c>
    </row>
    <row r="38" spans="2:3" ht="17.25" customHeight="1" x14ac:dyDescent="0.25">
      <c r="B38" s="104" t="s">
        <v>53</v>
      </c>
      <c r="C38" s="113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7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21875" style="1" bestFit="1" customWidth="1"/>
    <col min="3" max="3" width="22.5546875" style="1" bestFit="1" customWidth="1"/>
    <col min="4" max="4" width="6.109375" style="1" bestFit="1" customWidth="1"/>
    <col min="5" max="5" width="9" style="1" bestFit="1" customWidth="1"/>
    <col min="6" max="6" width="6.109375" style="1" bestFit="1" customWidth="1"/>
    <col min="7" max="7" width="7.6640625" style="1" bestFit="1" customWidth="1"/>
    <col min="8" max="8" width="9.44140625" style="1" bestFit="1" customWidth="1"/>
    <col min="9" max="10" width="6.1093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65" t="s">
        <v>241</v>
      </c>
    </row>
    <row r="5" spans="1:10" x14ac:dyDescent="0.25">
      <c r="A5" t="s">
        <v>49</v>
      </c>
      <c r="B5" t="s">
        <v>48</v>
      </c>
      <c r="C5" t="s">
        <v>47</v>
      </c>
      <c r="D5" t="s">
        <v>87</v>
      </c>
      <c r="E5" t="s">
        <v>175</v>
      </c>
      <c r="F5" t="s">
        <v>64</v>
      </c>
      <c r="G5" t="s">
        <v>230</v>
      </c>
      <c r="H5" t="s">
        <v>93</v>
      </c>
      <c r="I5" t="s">
        <v>107</v>
      </c>
      <c r="J5" t="s">
        <v>118</v>
      </c>
    </row>
    <row r="6" spans="1:10" x14ac:dyDescent="0.25">
      <c r="A6" s="49">
        <v>45196</v>
      </c>
      <c r="B6" t="s">
        <v>1033</v>
      </c>
      <c r="C6" t="s">
        <v>1066</v>
      </c>
      <c r="D6">
        <v>0.1</v>
      </c>
      <c r="E6">
        <v>1.7399000000000001E-2</v>
      </c>
      <c r="F6" t="s">
        <v>106</v>
      </c>
      <c r="G6" t="s">
        <v>266</v>
      </c>
      <c r="H6" t="s">
        <v>116</v>
      </c>
      <c r="I6" t="s">
        <v>1091</v>
      </c>
      <c r="J6" t="s">
        <v>1098</v>
      </c>
    </row>
    <row r="7" spans="1:10" x14ac:dyDescent="0.25">
      <c r="A7" s="49">
        <v>45194</v>
      </c>
      <c r="B7" t="s">
        <v>1043</v>
      </c>
      <c r="C7" t="s">
        <v>1083</v>
      </c>
      <c r="D7">
        <v>2.9</v>
      </c>
      <c r="E7">
        <v>1</v>
      </c>
      <c r="F7" t="s">
        <v>85</v>
      </c>
      <c r="G7" t="s">
        <v>266</v>
      </c>
      <c r="H7" t="s">
        <v>116</v>
      </c>
      <c r="I7" t="s">
        <v>1099</v>
      </c>
      <c r="J7" t="s">
        <v>1100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U17"/>
  <sheetViews>
    <sheetView topLeftCell="A4" workbookViewId="0">
      <selection activeCell="E38" sqref="E38"/>
    </sheetView>
  </sheetViews>
  <sheetFormatPr defaultRowHeight="15" x14ac:dyDescent="0.25"/>
  <cols>
    <col min="1" max="1" width="31.5546875" style="1" bestFit="1" customWidth="1"/>
    <col min="2" max="2" width="19.6640625" style="1" bestFit="1" customWidth="1"/>
    <col min="3" max="3" width="13.33203125" style="1" bestFit="1" customWidth="1"/>
    <col min="4" max="4" width="9.33203125" style="1" bestFit="1" customWidth="1"/>
    <col min="5" max="5" width="8.77734375" style="1" bestFit="1" customWidth="1"/>
    <col min="6" max="6" width="9.44140625" style="1" bestFit="1" customWidth="1"/>
    <col min="7" max="7" width="14.44140625" style="1" bestFit="1" customWidth="1"/>
    <col min="8" max="12" width="9.44140625" style="1" bestFit="1" customWidth="1"/>
    <col min="13" max="13" width="11.109375" style="1" bestFit="1" customWidth="1"/>
    <col min="14" max="15" width="80.88671875" style="1" bestFit="1" customWidth="1"/>
    <col min="16" max="16" width="19" style="1" bestFit="1" customWidth="1"/>
    <col min="17" max="17" width="10.33203125" style="1" bestFit="1" customWidth="1"/>
    <col min="18" max="18" width="10.44140625" style="1" bestFit="1" customWidth="1"/>
    <col min="19" max="19" width="11.109375" style="1" bestFit="1" customWidth="1"/>
    <col min="20" max="20" width="25.88671875" style="1" bestFit="1" customWidth="1"/>
    <col min="21" max="21" width="47.33203125" style="1" bestFit="1" customWidth="1"/>
    <col min="22" max="22" width="11.109375" style="1" bestFit="1" customWidth="1"/>
    <col min="23" max="23" width="9.44140625" style="1" bestFit="1" customWidth="1"/>
    <col min="24" max="24" width="12.77734375" style="1" bestFit="1" customWidth="1"/>
    <col min="25" max="25" width="11.109375" style="1" bestFit="1" customWidth="1"/>
    <col min="26" max="26" width="10.33203125" style="1" bestFit="1" customWidth="1"/>
    <col min="27" max="27" width="9.44140625" style="1" bestFit="1" customWidth="1"/>
    <col min="28" max="28" width="12.77734375" style="1" bestFit="1" customWidth="1"/>
    <col min="29" max="29" width="8.109375" style="1" bestFit="1" customWidth="1"/>
    <col min="30" max="30" width="80.88671875" style="1" bestFit="1" customWidth="1"/>
    <col min="31" max="32" width="11.109375" style="1" bestFit="1" customWidth="1"/>
    <col min="33" max="33" width="12.77734375" style="1" bestFit="1" customWidth="1"/>
    <col min="34" max="34" width="9.44140625" style="1" bestFit="1" customWidth="1"/>
    <col min="35" max="35" width="11" style="1" bestFit="1" customWidth="1"/>
    <col min="36" max="36" width="9.44140625" style="1" bestFit="1" customWidth="1"/>
    <col min="37" max="37" width="6.109375" style="1" bestFit="1" customWidth="1"/>
    <col min="38" max="39" width="12.77734375" style="1" bestFit="1" customWidth="1"/>
    <col min="40" max="42" width="9.44140625" style="1" bestFit="1" customWidth="1"/>
    <col min="43" max="43" width="80.88671875" style="1" bestFit="1" customWidth="1"/>
    <col min="44" max="46" width="9.44140625" style="1" bestFit="1" customWidth="1"/>
    <col min="47" max="47" width="10.5546875" style="1" bestFit="1" customWidth="1"/>
    <col min="48" max="48" width="12.6640625" style="1" bestFit="1" customWidth="1"/>
    <col min="49" max="49" width="7.6640625" style="1" bestFit="1" customWidth="1"/>
    <col min="50" max="50" width="6.109375" style="1" bestFit="1" customWidth="1"/>
    <col min="51" max="51" width="9.44140625" style="1" bestFit="1" customWidth="1"/>
    <col min="52" max="52" width="7.77734375" style="1" bestFit="1" customWidth="1"/>
    <col min="53" max="53" width="14.88671875" style="1" bestFit="1" customWidth="1"/>
    <col min="54" max="54" width="33.21875" style="1" bestFit="1" customWidth="1"/>
    <col min="55" max="56" width="9.44140625" style="1" bestFit="1" customWidth="1"/>
    <col min="57" max="57" width="12.77734375" style="1" bestFit="1" customWidth="1"/>
    <col min="58" max="58" width="17.21875" style="1" bestFit="1" customWidth="1"/>
    <col min="59" max="59" width="9.6640625" style="1" bestFit="1" customWidth="1"/>
    <col min="60" max="60" width="31.5546875" style="1" bestFit="1" customWidth="1"/>
    <col min="61" max="61" width="10.33203125" style="1" bestFit="1" customWidth="1"/>
    <col min="62" max="62" width="10.44140625" style="1" bestFit="1" customWidth="1"/>
    <col min="63" max="63" width="6.109375" style="1" bestFit="1" customWidth="1"/>
    <col min="64" max="65" width="12.21875" style="1" bestFit="1" customWidth="1"/>
    <col min="66" max="66" width="9.44140625" style="1" bestFit="1" customWidth="1"/>
    <col min="67" max="67" width="12.77734375" style="1" bestFit="1" customWidth="1"/>
    <col min="68" max="68" width="10.21875" style="1" bestFit="1" customWidth="1"/>
    <col min="69" max="69" width="44.44140625" style="1" bestFit="1" customWidth="1"/>
    <col min="70" max="70" width="12.21875" style="1" bestFit="1" customWidth="1"/>
    <col min="71" max="71" width="6.109375" style="1" bestFit="1" customWidth="1"/>
    <col min="72" max="72" width="9.44140625" style="1" bestFit="1" customWidth="1"/>
    <col min="73" max="74" width="19.44140625" style="1" bestFit="1" customWidth="1"/>
    <col min="75" max="76" width="20.21875" style="1" bestFit="1" customWidth="1"/>
    <col min="77" max="81" width="19.33203125" style="1" bestFit="1" customWidth="1"/>
    <col min="82" max="82" width="6.109375" style="1" bestFit="1" customWidth="1"/>
    <col min="83" max="83" width="19.44140625" style="1" bestFit="1" customWidth="1"/>
    <col min="84" max="16384" width="8.88671875" style="1"/>
  </cols>
  <sheetData>
    <row r="1" spans="1:73" ht="67.5" customHeight="1" x14ac:dyDescent="0.25">
      <c r="A1" s="5" t="s">
        <v>249</v>
      </c>
    </row>
    <row r="5" spans="1:73" x14ac:dyDescent="0.25">
      <c r="A5" t="s">
        <v>94</v>
      </c>
      <c r="B5" t="s">
        <v>244</v>
      </c>
      <c r="C5" t="s">
        <v>48</v>
      </c>
      <c r="D5" t="s">
        <v>49</v>
      </c>
      <c r="E5" t="s">
        <v>336</v>
      </c>
      <c r="F5" t="s">
        <v>81</v>
      </c>
      <c r="G5" t="s">
        <v>82</v>
      </c>
      <c r="H5" t="s">
        <v>105</v>
      </c>
      <c r="I5" t="s">
        <v>80</v>
      </c>
      <c r="J5" t="s">
        <v>79</v>
      </c>
      <c r="K5" t="s">
        <v>78</v>
      </c>
      <c r="L5" t="s">
        <v>77</v>
      </c>
      <c r="M5" t="s">
        <v>76</v>
      </c>
      <c r="N5" t="s">
        <v>228</v>
      </c>
      <c r="O5" t="s">
        <v>75</v>
      </c>
      <c r="P5" t="s">
        <v>104</v>
      </c>
      <c r="Q5" t="s">
        <v>74</v>
      </c>
      <c r="R5" t="s">
        <v>229</v>
      </c>
      <c r="S5" t="s">
        <v>73</v>
      </c>
      <c r="T5" t="s">
        <v>72</v>
      </c>
      <c r="U5" t="s">
        <v>71</v>
      </c>
      <c r="V5" t="s">
        <v>70</v>
      </c>
      <c r="W5" t="s">
        <v>69</v>
      </c>
      <c r="X5" t="s">
        <v>103</v>
      </c>
      <c r="Y5" t="s">
        <v>68</v>
      </c>
      <c r="Z5" t="s">
        <v>67</v>
      </c>
      <c r="AA5" t="s">
        <v>102</v>
      </c>
      <c r="AB5" t="s">
        <v>101</v>
      </c>
      <c r="AC5" t="s">
        <v>66</v>
      </c>
      <c r="AD5" t="s">
        <v>227</v>
      </c>
      <c r="AE5" t="s">
        <v>226</v>
      </c>
      <c r="AF5" t="s">
        <v>225</v>
      </c>
      <c r="AG5" t="s">
        <v>224</v>
      </c>
      <c r="AH5" t="s">
        <v>97</v>
      </c>
      <c r="AI5" t="s">
        <v>42</v>
      </c>
      <c r="AJ5" t="s">
        <v>223</v>
      </c>
      <c r="AK5" t="s">
        <v>43</v>
      </c>
      <c r="AL5" t="s">
        <v>51</v>
      </c>
      <c r="AM5" t="s">
        <v>178</v>
      </c>
      <c r="AN5" t="s">
        <v>96</v>
      </c>
      <c r="AO5" t="s">
        <v>44</v>
      </c>
      <c r="AP5" t="s">
        <v>201</v>
      </c>
      <c r="AQ5" t="s">
        <v>65</v>
      </c>
      <c r="AR5" t="s">
        <v>63</v>
      </c>
      <c r="AS5" t="s">
        <v>62</v>
      </c>
      <c r="AT5" t="s">
        <v>61</v>
      </c>
      <c r="AU5" t="s">
        <v>133</v>
      </c>
      <c r="AV5" t="s">
        <v>46</v>
      </c>
      <c r="AW5" t="s">
        <v>45</v>
      </c>
      <c r="AX5" t="s">
        <v>95</v>
      </c>
      <c r="AY5" t="s">
        <v>60</v>
      </c>
      <c r="AZ5" t="s">
        <v>59</v>
      </c>
      <c r="BA5" t="s">
        <v>56</v>
      </c>
      <c r="BB5" t="s">
        <v>55</v>
      </c>
      <c r="BC5" t="s">
        <v>245</v>
      </c>
      <c r="BD5" t="s">
        <v>335</v>
      </c>
      <c r="BE5" t="s">
        <v>54</v>
      </c>
      <c r="BF5" t="s">
        <v>209</v>
      </c>
      <c r="BG5" t="s">
        <v>208</v>
      </c>
      <c r="BH5" t="s">
        <v>100</v>
      </c>
      <c r="BI5" t="s">
        <v>52</v>
      </c>
      <c r="BJ5" t="s">
        <v>428</v>
      </c>
      <c r="BK5" t="s">
        <v>64</v>
      </c>
      <c r="BL5" t="s">
        <v>58</v>
      </c>
      <c r="BM5" t="s">
        <v>57</v>
      </c>
      <c r="BN5" t="s">
        <v>50</v>
      </c>
      <c r="BO5" t="s">
        <v>99</v>
      </c>
      <c r="BP5" t="s">
        <v>98</v>
      </c>
      <c r="BQ5" t="s">
        <v>47</v>
      </c>
      <c r="BR5" t="s">
        <v>437</v>
      </c>
      <c r="BS5" t="s">
        <v>89</v>
      </c>
      <c r="BT5" t="s">
        <v>313</v>
      </c>
      <c r="BU5" t="s">
        <v>141</v>
      </c>
    </row>
    <row r="6" spans="1:73" x14ac:dyDescent="0.25">
      <c r="A6" s="147" t="s">
        <v>541</v>
      </c>
      <c r="B6" s="147" t="s">
        <v>576</v>
      </c>
      <c r="C6" s="147" t="s">
        <v>525</v>
      </c>
      <c r="D6" s="148">
        <v>45197</v>
      </c>
      <c r="E6" s="147" t="s">
        <v>92</v>
      </c>
      <c r="F6" s="147" t="s">
        <v>132</v>
      </c>
      <c r="G6" s="147" t="s">
        <v>92</v>
      </c>
      <c r="H6" s="147" t="s">
        <v>92</v>
      </c>
      <c r="I6" s="147" t="s">
        <v>577</v>
      </c>
      <c r="J6" s="147" t="s">
        <v>578</v>
      </c>
      <c r="K6" s="147" t="s">
        <v>579</v>
      </c>
      <c r="L6" s="147" t="s">
        <v>580</v>
      </c>
      <c r="M6" s="147" t="s">
        <v>580</v>
      </c>
      <c r="N6" s="147" t="s">
        <v>581</v>
      </c>
      <c r="O6" s="147" t="s">
        <v>582</v>
      </c>
      <c r="P6" s="147" t="s">
        <v>583</v>
      </c>
      <c r="Q6" s="148">
        <v>45210</v>
      </c>
      <c r="R6" s="147" t="s">
        <v>584</v>
      </c>
      <c r="S6" s="148">
        <v>45210</v>
      </c>
      <c r="T6" s="147" t="s">
        <v>92</v>
      </c>
      <c r="U6" s="147" t="s">
        <v>541</v>
      </c>
      <c r="V6" s="148">
        <v>45393</v>
      </c>
      <c r="W6" s="147" t="s">
        <v>92</v>
      </c>
      <c r="X6" s="147">
        <v>8.5</v>
      </c>
      <c r="Y6" s="148"/>
      <c r="Z6" s="148">
        <v>45210</v>
      </c>
      <c r="AA6" s="147">
        <v>0.67</v>
      </c>
      <c r="AB6" s="147">
        <v>1000</v>
      </c>
      <c r="AC6" s="147" t="s">
        <v>585</v>
      </c>
      <c r="AD6" s="147" t="s">
        <v>586</v>
      </c>
      <c r="AE6" s="147" t="s">
        <v>92</v>
      </c>
      <c r="AF6" s="147" t="s">
        <v>92</v>
      </c>
      <c r="AG6" s="147"/>
      <c r="AH6" s="147" t="s">
        <v>587</v>
      </c>
      <c r="AI6" s="147" t="s">
        <v>131</v>
      </c>
      <c r="AJ6" s="147" t="s">
        <v>588</v>
      </c>
      <c r="AK6" s="147" t="s">
        <v>1</v>
      </c>
      <c r="AL6" s="147" t="s">
        <v>432</v>
      </c>
      <c r="AM6" s="147" t="s">
        <v>589</v>
      </c>
      <c r="AN6" s="147" t="s">
        <v>92</v>
      </c>
      <c r="AO6" s="147" t="s">
        <v>590</v>
      </c>
      <c r="AP6" s="147" t="s">
        <v>339</v>
      </c>
      <c r="AQ6" s="147" t="s">
        <v>591</v>
      </c>
      <c r="AR6" s="147"/>
      <c r="AS6" s="147"/>
      <c r="AT6" s="147"/>
      <c r="AU6" s="147"/>
      <c r="AV6" s="147" t="s">
        <v>92</v>
      </c>
      <c r="AW6" s="147" t="s">
        <v>592</v>
      </c>
      <c r="AX6" s="147" t="s">
        <v>593</v>
      </c>
      <c r="AY6" s="147"/>
      <c r="AZ6" s="147">
        <v>100</v>
      </c>
      <c r="BA6" s="147" t="s">
        <v>594</v>
      </c>
      <c r="BB6" s="147" t="s">
        <v>92</v>
      </c>
      <c r="BC6" s="147" t="s">
        <v>595</v>
      </c>
      <c r="BD6" s="147" t="s">
        <v>596</v>
      </c>
      <c r="BE6" s="147"/>
      <c r="BF6" s="147" t="s">
        <v>597</v>
      </c>
      <c r="BG6" s="147" t="s">
        <v>92</v>
      </c>
      <c r="BH6" s="147" t="s">
        <v>598</v>
      </c>
      <c r="BI6" s="148">
        <v>46306</v>
      </c>
      <c r="BJ6" s="147">
        <v>8.5</v>
      </c>
      <c r="BK6" s="147" t="s">
        <v>85</v>
      </c>
      <c r="BL6" s="147" t="s">
        <v>599</v>
      </c>
      <c r="BM6" s="147">
        <v>0.67</v>
      </c>
      <c r="BN6" s="147" t="s">
        <v>589</v>
      </c>
      <c r="BO6" s="147" t="s">
        <v>589</v>
      </c>
      <c r="BP6" s="147" t="s">
        <v>589</v>
      </c>
      <c r="BQ6" s="147" t="s">
        <v>600</v>
      </c>
      <c r="BR6" s="147" t="s">
        <v>249</v>
      </c>
      <c r="BS6" s="147" t="s">
        <v>20</v>
      </c>
      <c r="BT6" s="148"/>
      <c r="BU6" s="147" t="s">
        <v>546</v>
      </c>
    </row>
    <row r="7" spans="1:73" x14ac:dyDescent="0.25">
      <c r="A7" s="147" t="s">
        <v>529</v>
      </c>
      <c r="B7" s="147" t="s">
        <v>601</v>
      </c>
      <c r="C7" s="147" t="s">
        <v>528</v>
      </c>
      <c r="D7" s="148">
        <v>45197</v>
      </c>
      <c r="E7" s="147" t="s">
        <v>92</v>
      </c>
      <c r="F7" s="147" t="s">
        <v>132</v>
      </c>
      <c r="G7" s="147" t="s">
        <v>92</v>
      </c>
      <c r="H7" s="147" t="s">
        <v>92</v>
      </c>
      <c r="I7" s="147" t="s">
        <v>577</v>
      </c>
      <c r="J7" s="147" t="s">
        <v>578</v>
      </c>
      <c r="K7" s="147" t="s">
        <v>579</v>
      </c>
      <c r="L7" s="147" t="s">
        <v>580</v>
      </c>
      <c r="M7" s="147" t="s">
        <v>580</v>
      </c>
      <c r="N7" s="147" t="s">
        <v>602</v>
      </c>
      <c r="O7" s="147" t="s">
        <v>603</v>
      </c>
      <c r="P7" s="147" t="s">
        <v>604</v>
      </c>
      <c r="Q7" s="148">
        <v>45210</v>
      </c>
      <c r="R7" s="147" t="s">
        <v>605</v>
      </c>
      <c r="S7" s="148">
        <v>45210</v>
      </c>
      <c r="T7" s="147" t="s">
        <v>92</v>
      </c>
      <c r="U7" s="147" t="s">
        <v>529</v>
      </c>
      <c r="V7" s="148">
        <v>45393</v>
      </c>
      <c r="W7" s="147" t="s">
        <v>92</v>
      </c>
      <c r="X7" s="147">
        <v>5.9</v>
      </c>
      <c r="Y7" s="148"/>
      <c r="Z7" s="148">
        <v>45210</v>
      </c>
      <c r="AA7" s="147">
        <v>1</v>
      </c>
      <c r="AB7" s="147">
        <v>1000</v>
      </c>
      <c r="AC7" s="147" t="s">
        <v>606</v>
      </c>
      <c r="AD7" s="147" t="s">
        <v>607</v>
      </c>
      <c r="AE7" s="147" t="s">
        <v>92</v>
      </c>
      <c r="AF7" s="147" t="s">
        <v>92</v>
      </c>
      <c r="AG7" s="147"/>
      <c r="AH7" s="147" t="s">
        <v>608</v>
      </c>
      <c r="AI7" s="147" t="s">
        <v>131</v>
      </c>
      <c r="AJ7" s="147" t="s">
        <v>588</v>
      </c>
      <c r="AK7" s="147" t="s">
        <v>1</v>
      </c>
      <c r="AL7" s="147" t="s">
        <v>432</v>
      </c>
      <c r="AM7" s="147" t="s">
        <v>589</v>
      </c>
      <c r="AN7" s="147" t="s">
        <v>92</v>
      </c>
      <c r="AO7" s="147" t="s">
        <v>590</v>
      </c>
      <c r="AP7" s="147" t="s">
        <v>339</v>
      </c>
      <c r="AQ7" s="147" t="s">
        <v>609</v>
      </c>
      <c r="AR7" s="147"/>
      <c r="AS7" s="147"/>
      <c r="AT7" s="147"/>
      <c r="AU7" s="147"/>
      <c r="AV7" s="147" t="s">
        <v>92</v>
      </c>
      <c r="AW7" s="147" t="s">
        <v>610</v>
      </c>
      <c r="AX7" s="147" t="s">
        <v>611</v>
      </c>
      <c r="AY7" s="147"/>
      <c r="AZ7" s="147">
        <v>100</v>
      </c>
      <c r="BA7" s="147" t="s">
        <v>594</v>
      </c>
      <c r="BB7" s="147" t="s">
        <v>612</v>
      </c>
      <c r="BC7" s="147" t="s">
        <v>613</v>
      </c>
      <c r="BD7" s="147" t="s">
        <v>596</v>
      </c>
      <c r="BE7" s="147">
        <v>20</v>
      </c>
      <c r="BF7" s="147" t="s">
        <v>614</v>
      </c>
      <c r="BG7" s="147" t="s">
        <v>615</v>
      </c>
      <c r="BH7" s="147" t="s">
        <v>598</v>
      </c>
      <c r="BI7" s="148">
        <v>46306</v>
      </c>
      <c r="BJ7" s="147">
        <v>5.9</v>
      </c>
      <c r="BK7" s="147" t="s">
        <v>85</v>
      </c>
      <c r="BL7" s="147" t="s">
        <v>599</v>
      </c>
      <c r="BM7" s="147">
        <v>1</v>
      </c>
      <c r="BN7" s="147" t="s">
        <v>589</v>
      </c>
      <c r="BO7" s="147" t="s">
        <v>589</v>
      </c>
      <c r="BP7" s="147" t="s">
        <v>589</v>
      </c>
      <c r="BQ7" s="147" t="s">
        <v>616</v>
      </c>
      <c r="BR7" s="147" t="s">
        <v>249</v>
      </c>
      <c r="BS7" s="147" t="s">
        <v>14</v>
      </c>
      <c r="BT7" s="148"/>
      <c r="BU7" s="147" t="s">
        <v>555</v>
      </c>
    </row>
    <row r="8" spans="1:73" x14ac:dyDescent="0.25">
      <c r="A8" s="147" t="s">
        <v>548</v>
      </c>
      <c r="B8" s="147" t="s">
        <v>617</v>
      </c>
      <c r="C8" s="147" t="s">
        <v>547</v>
      </c>
      <c r="D8" s="148">
        <v>45197</v>
      </c>
      <c r="E8" s="147" t="s">
        <v>92</v>
      </c>
      <c r="F8" s="147" t="s">
        <v>618</v>
      </c>
      <c r="G8" s="147" t="s">
        <v>92</v>
      </c>
      <c r="H8" s="147" t="s">
        <v>92</v>
      </c>
      <c r="I8" s="147" t="s">
        <v>577</v>
      </c>
      <c r="J8" s="147" t="s">
        <v>578</v>
      </c>
      <c r="K8" s="147" t="s">
        <v>579</v>
      </c>
      <c r="L8" s="147" t="s">
        <v>580</v>
      </c>
      <c r="M8" s="147" t="s">
        <v>580</v>
      </c>
      <c r="N8" s="147" t="s">
        <v>619</v>
      </c>
      <c r="O8" s="147" t="s">
        <v>620</v>
      </c>
      <c r="P8" s="147" t="s">
        <v>621</v>
      </c>
      <c r="Q8" s="148">
        <v>45212</v>
      </c>
      <c r="R8" s="147" t="s">
        <v>469</v>
      </c>
      <c r="S8" s="148">
        <v>45212</v>
      </c>
      <c r="T8" s="147" t="s">
        <v>92</v>
      </c>
      <c r="U8" s="147" t="s">
        <v>548</v>
      </c>
      <c r="V8" s="148">
        <v>45578</v>
      </c>
      <c r="W8" s="147" t="s">
        <v>92</v>
      </c>
      <c r="X8" s="147">
        <v>4.8</v>
      </c>
      <c r="Y8" s="148"/>
      <c r="Z8" s="148">
        <v>45212</v>
      </c>
      <c r="AA8" s="147">
        <v>15.6</v>
      </c>
      <c r="AB8" s="147">
        <v>10000</v>
      </c>
      <c r="AC8" s="147" t="s">
        <v>622</v>
      </c>
      <c r="AD8" s="147" t="s">
        <v>623</v>
      </c>
      <c r="AE8" s="147" t="s">
        <v>92</v>
      </c>
      <c r="AF8" s="147" t="s">
        <v>92</v>
      </c>
      <c r="AG8" s="147"/>
      <c r="AH8" s="147" t="s">
        <v>624</v>
      </c>
      <c r="AI8" s="147" t="s">
        <v>131</v>
      </c>
      <c r="AJ8" s="147" t="s">
        <v>625</v>
      </c>
      <c r="AK8" s="147" t="s">
        <v>1</v>
      </c>
      <c r="AL8" s="147" t="s">
        <v>432</v>
      </c>
      <c r="AM8" s="147" t="s">
        <v>589</v>
      </c>
      <c r="AN8" s="147" t="s">
        <v>92</v>
      </c>
      <c r="AO8" s="147" t="s">
        <v>590</v>
      </c>
      <c r="AP8" s="147" t="s">
        <v>339</v>
      </c>
      <c r="AQ8" s="147" t="s">
        <v>626</v>
      </c>
      <c r="AR8" s="147"/>
      <c r="AS8" s="147"/>
      <c r="AT8" s="147"/>
      <c r="AU8" s="147"/>
      <c r="AV8" s="147" t="s">
        <v>627</v>
      </c>
      <c r="AW8" s="147" t="s">
        <v>628</v>
      </c>
      <c r="AX8" s="147" t="s">
        <v>629</v>
      </c>
      <c r="AY8" s="147"/>
      <c r="AZ8" s="147">
        <v>100</v>
      </c>
      <c r="BA8" s="147" t="s">
        <v>594</v>
      </c>
      <c r="BB8" s="147" t="s">
        <v>92</v>
      </c>
      <c r="BC8" s="147" t="s">
        <v>595</v>
      </c>
      <c r="BD8" s="147" t="s">
        <v>596</v>
      </c>
      <c r="BE8" s="147">
        <v>0</v>
      </c>
      <c r="BF8" s="147" t="s">
        <v>469</v>
      </c>
      <c r="BG8" s="147" t="s">
        <v>630</v>
      </c>
      <c r="BH8" s="147" t="s">
        <v>631</v>
      </c>
      <c r="BI8" s="148">
        <v>46308</v>
      </c>
      <c r="BJ8" s="147">
        <v>4.8</v>
      </c>
      <c r="BK8" s="147" t="s">
        <v>106</v>
      </c>
      <c r="BL8" s="147" t="s">
        <v>599</v>
      </c>
      <c r="BM8" s="147">
        <v>15.6</v>
      </c>
      <c r="BN8" s="147" t="s">
        <v>589</v>
      </c>
      <c r="BO8" s="147" t="s">
        <v>589</v>
      </c>
      <c r="BP8" s="147" t="s">
        <v>589</v>
      </c>
      <c r="BQ8" s="147" t="s">
        <v>632</v>
      </c>
      <c r="BR8" s="147" t="s">
        <v>249</v>
      </c>
      <c r="BS8" s="147" t="s">
        <v>19</v>
      </c>
      <c r="BT8" s="148"/>
      <c r="BU8" s="147" t="s">
        <v>551</v>
      </c>
    </row>
    <row r="9" spans="1:73" x14ac:dyDescent="0.25">
      <c r="A9" s="147" t="s">
        <v>493</v>
      </c>
      <c r="B9" s="147" t="s">
        <v>633</v>
      </c>
      <c r="C9" s="147" t="s">
        <v>492</v>
      </c>
      <c r="D9" s="148">
        <v>45197</v>
      </c>
      <c r="E9" s="147" t="s">
        <v>92</v>
      </c>
      <c r="F9" s="147" t="s">
        <v>132</v>
      </c>
      <c r="G9" s="147" t="s">
        <v>92</v>
      </c>
      <c r="H9" s="147" t="s">
        <v>92</v>
      </c>
      <c r="I9" s="147" t="s">
        <v>577</v>
      </c>
      <c r="J9" s="147" t="s">
        <v>578</v>
      </c>
      <c r="K9" s="147" t="s">
        <v>579</v>
      </c>
      <c r="L9" s="147" t="s">
        <v>580</v>
      </c>
      <c r="M9" s="147" t="s">
        <v>580</v>
      </c>
      <c r="N9" s="147" t="s">
        <v>634</v>
      </c>
      <c r="O9" s="147" t="s">
        <v>635</v>
      </c>
      <c r="P9" s="147" t="s">
        <v>604</v>
      </c>
      <c r="Q9" s="148">
        <v>45215</v>
      </c>
      <c r="R9" s="147" t="s">
        <v>494</v>
      </c>
      <c r="S9" s="148">
        <v>45215</v>
      </c>
      <c r="T9" s="147" t="s">
        <v>92</v>
      </c>
      <c r="U9" s="147" t="s">
        <v>493</v>
      </c>
      <c r="V9" s="148">
        <v>45398</v>
      </c>
      <c r="W9" s="147" t="s">
        <v>92</v>
      </c>
      <c r="X9" s="147">
        <v>7.1</v>
      </c>
      <c r="Y9" s="148"/>
      <c r="Z9" s="148">
        <v>45215</v>
      </c>
      <c r="AA9" s="147">
        <v>1</v>
      </c>
      <c r="AB9" s="147">
        <v>1000</v>
      </c>
      <c r="AC9" s="147" t="s">
        <v>636</v>
      </c>
      <c r="AD9" s="147" t="s">
        <v>637</v>
      </c>
      <c r="AE9" s="147" t="s">
        <v>92</v>
      </c>
      <c r="AF9" s="147" t="s">
        <v>92</v>
      </c>
      <c r="AG9" s="147"/>
      <c r="AH9" s="147" t="s">
        <v>624</v>
      </c>
      <c r="AI9" s="147" t="s">
        <v>131</v>
      </c>
      <c r="AJ9" s="147" t="s">
        <v>625</v>
      </c>
      <c r="AK9" s="147" t="s">
        <v>1</v>
      </c>
      <c r="AL9" s="147" t="s">
        <v>638</v>
      </c>
      <c r="AM9" s="147" t="s">
        <v>589</v>
      </c>
      <c r="AN9" s="147" t="s">
        <v>92</v>
      </c>
      <c r="AO9" s="147" t="s">
        <v>590</v>
      </c>
      <c r="AP9" s="147" t="s">
        <v>259</v>
      </c>
      <c r="AQ9" s="147" t="s">
        <v>639</v>
      </c>
      <c r="AR9" s="147"/>
      <c r="AS9" s="147"/>
      <c r="AT9" s="147"/>
      <c r="AU9" s="147"/>
      <c r="AV9" s="147" t="s">
        <v>640</v>
      </c>
      <c r="AW9" s="147" t="s">
        <v>641</v>
      </c>
      <c r="AX9" s="147" t="s">
        <v>642</v>
      </c>
      <c r="AY9" s="147"/>
      <c r="AZ9" s="147">
        <v>100</v>
      </c>
      <c r="BA9" s="147" t="s">
        <v>594</v>
      </c>
      <c r="BB9" s="147" t="s">
        <v>643</v>
      </c>
      <c r="BC9" s="147" t="s">
        <v>613</v>
      </c>
      <c r="BD9" s="147" t="s">
        <v>596</v>
      </c>
      <c r="BE9" s="147"/>
      <c r="BF9" s="147" t="s">
        <v>494</v>
      </c>
      <c r="BG9" s="147" t="s">
        <v>92</v>
      </c>
      <c r="BH9" s="147" t="s">
        <v>631</v>
      </c>
      <c r="BI9" s="148">
        <v>46311</v>
      </c>
      <c r="BJ9" s="147">
        <v>7.1</v>
      </c>
      <c r="BK9" s="147" t="s">
        <v>85</v>
      </c>
      <c r="BL9" s="147" t="s">
        <v>599</v>
      </c>
      <c r="BM9" s="147">
        <v>0.16</v>
      </c>
      <c r="BN9" s="147" t="s">
        <v>589</v>
      </c>
      <c r="BO9" s="147" t="s">
        <v>589</v>
      </c>
      <c r="BP9" s="147" t="s">
        <v>589</v>
      </c>
      <c r="BQ9" s="147" t="s">
        <v>644</v>
      </c>
      <c r="BR9" s="147" t="s">
        <v>249</v>
      </c>
      <c r="BS9" s="147" t="s">
        <v>15</v>
      </c>
      <c r="BT9" s="148"/>
      <c r="BU9" s="147" t="s">
        <v>536</v>
      </c>
    </row>
    <row r="10" spans="1:73" x14ac:dyDescent="0.25">
      <c r="A10" s="147" t="s">
        <v>538</v>
      </c>
      <c r="B10" s="147" t="s">
        <v>645</v>
      </c>
      <c r="C10" s="147" t="s">
        <v>537</v>
      </c>
      <c r="D10" s="148">
        <v>45197</v>
      </c>
      <c r="E10" s="147" t="s">
        <v>92</v>
      </c>
      <c r="F10" s="147" t="s">
        <v>92</v>
      </c>
      <c r="G10" s="147" t="s">
        <v>92</v>
      </c>
      <c r="H10" s="147" t="s">
        <v>92</v>
      </c>
      <c r="I10" s="147" t="s">
        <v>577</v>
      </c>
      <c r="J10" s="147" t="s">
        <v>578</v>
      </c>
      <c r="K10" s="147" t="s">
        <v>579</v>
      </c>
      <c r="L10" s="147" t="s">
        <v>580</v>
      </c>
      <c r="M10" s="147" t="s">
        <v>580</v>
      </c>
      <c r="N10" s="147" t="s">
        <v>646</v>
      </c>
      <c r="O10" s="147" t="s">
        <v>647</v>
      </c>
      <c r="P10" s="147" t="s">
        <v>92</v>
      </c>
      <c r="Q10" s="148">
        <v>45209</v>
      </c>
      <c r="R10" s="147" t="s">
        <v>92</v>
      </c>
      <c r="S10" s="148">
        <v>45209</v>
      </c>
      <c r="T10" s="147" t="s">
        <v>92</v>
      </c>
      <c r="U10" s="147" t="s">
        <v>648</v>
      </c>
      <c r="V10" s="148">
        <v>45573</v>
      </c>
      <c r="W10" s="147" t="s">
        <v>92</v>
      </c>
      <c r="X10" s="147">
        <v>7.5</v>
      </c>
      <c r="Y10" s="148"/>
      <c r="Z10" s="148">
        <v>45209</v>
      </c>
      <c r="AA10" s="147">
        <v>0.9</v>
      </c>
      <c r="AB10" s="147">
        <v>10000</v>
      </c>
      <c r="AC10" s="147" t="s">
        <v>649</v>
      </c>
      <c r="AD10" s="147" t="s">
        <v>92</v>
      </c>
      <c r="AE10" s="147" t="s">
        <v>92</v>
      </c>
      <c r="AF10" s="147" t="s">
        <v>92</v>
      </c>
      <c r="AG10" s="147"/>
      <c r="AH10" s="147" t="s">
        <v>624</v>
      </c>
      <c r="AI10" s="147" t="s">
        <v>131</v>
      </c>
      <c r="AJ10" s="147" t="s">
        <v>650</v>
      </c>
      <c r="AK10" s="147" t="s">
        <v>1</v>
      </c>
      <c r="AL10" s="147" t="s">
        <v>432</v>
      </c>
      <c r="AM10" s="147" t="s">
        <v>589</v>
      </c>
      <c r="AN10" s="147" t="s">
        <v>92</v>
      </c>
      <c r="AO10" s="147" t="s">
        <v>651</v>
      </c>
      <c r="AP10" s="147" t="s">
        <v>339</v>
      </c>
      <c r="AQ10" s="147" t="s">
        <v>652</v>
      </c>
      <c r="AR10" s="147"/>
      <c r="AS10" s="147"/>
      <c r="AT10" s="147"/>
      <c r="AU10" s="147"/>
      <c r="AV10" s="147" t="s">
        <v>1056</v>
      </c>
      <c r="AW10" s="147" t="s">
        <v>653</v>
      </c>
      <c r="AX10" s="147" t="s">
        <v>654</v>
      </c>
      <c r="AY10" s="147"/>
      <c r="AZ10" s="147">
        <v>100</v>
      </c>
      <c r="BA10" s="147" t="s">
        <v>594</v>
      </c>
      <c r="BB10" s="147" t="s">
        <v>92</v>
      </c>
      <c r="BC10" s="147" t="s">
        <v>595</v>
      </c>
      <c r="BD10" s="147" t="s">
        <v>596</v>
      </c>
      <c r="BE10" s="147"/>
      <c r="BF10" s="147" t="s">
        <v>92</v>
      </c>
      <c r="BG10" s="147" t="s">
        <v>92</v>
      </c>
      <c r="BH10" s="147" t="s">
        <v>110</v>
      </c>
      <c r="BI10" s="148">
        <v>45573</v>
      </c>
      <c r="BJ10" s="147">
        <v>7.5</v>
      </c>
      <c r="BK10" s="147" t="s">
        <v>106</v>
      </c>
      <c r="BL10" s="147" t="s">
        <v>655</v>
      </c>
      <c r="BM10" s="147">
        <v>0.9</v>
      </c>
      <c r="BN10" s="147" t="s">
        <v>589</v>
      </c>
      <c r="BO10" s="147" t="s">
        <v>589</v>
      </c>
      <c r="BP10" s="147" t="s">
        <v>589</v>
      </c>
      <c r="BQ10" s="147" t="s">
        <v>656</v>
      </c>
      <c r="BR10" s="147" t="s">
        <v>249</v>
      </c>
      <c r="BS10" s="147" t="s">
        <v>10</v>
      </c>
      <c r="BT10" s="148"/>
      <c r="BU10" s="147" t="s">
        <v>540</v>
      </c>
    </row>
    <row r="11" spans="1:73" x14ac:dyDescent="0.25">
      <c r="A11" s="147" t="s">
        <v>1034</v>
      </c>
      <c r="B11" s="147" t="s">
        <v>1057</v>
      </c>
      <c r="C11" s="147" t="s">
        <v>1033</v>
      </c>
      <c r="D11" s="148">
        <v>45196</v>
      </c>
      <c r="E11" s="147" t="s">
        <v>92</v>
      </c>
      <c r="F11" s="147" t="s">
        <v>92</v>
      </c>
      <c r="G11" s="147" t="s">
        <v>92</v>
      </c>
      <c r="H11" s="147" t="s">
        <v>92</v>
      </c>
      <c r="I11" s="147" t="s">
        <v>1058</v>
      </c>
      <c r="J11" s="147" t="s">
        <v>578</v>
      </c>
      <c r="K11" s="147" t="s">
        <v>579</v>
      </c>
      <c r="L11" s="147" t="s">
        <v>580</v>
      </c>
      <c r="M11" s="147" t="s">
        <v>580</v>
      </c>
      <c r="N11" s="147" t="s">
        <v>1059</v>
      </c>
      <c r="O11" s="147" t="s">
        <v>92</v>
      </c>
      <c r="P11" s="147" t="s">
        <v>92</v>
      </c>
      <c r="Q11" s="148">
        <v>45197</v>
      </c>
      <c r="R11" s="147" t="s">
        <v>92</v>
      </c>
      <c r="S11" s="148">
        <v>45197</v>
      </c>
      <c r="T11" s="147" t="s">
        <v>1034</v>
      </c>
      <c r="U11" s="147" t="s">
        <v>1060</v>
      </c>
      <c r="V11" s="148">
        <v>45230</v>
      </c>
      <c r="W11" s="147" t="s">
        <v>92</v>
      </c>
      <c r="X11" s="147">
        <v>3</v>
      </c>
      <c r="Y11" s="148">
        <v>45198</v>
      </c>
      <c r="Z11" s="148">
        <v>45197</v>
      </c>
      <c r="AA11" s="147">
        <v>0.12690000000000001</v>
      </c>
      <c r="AB11" s="147">
        <v>10</v>
      </c>
      <c r="AC11" s="147" t="s">
        <v>1061</v>
      </c>
      <c r="AD11" s="147" t="s">
        <v>92</v>
      </c>
      <c r="AE11" s="147" t="s">
        <v>92</v>
      </c>
      <c r="AF11" s="147" t="s">
        <v>92</v>
      </c>
      <c r="AG11" s="147"/>
      <c r="AH11" s="147" t="s">
        <v>624</v>
      </c>
      <c r="AI11" s="147" t="s">
        <v>131</v>
      </c>
      <c r="AJ11" s="147" t="s">
        <v>1062</v>
      </c>
      <c r="AK11" s="147" t="s">
        <v>84</v>
      </c>
      <c r="AL11" s="147" t="s">
        <v>92</v>
      </c>
      <c r="AM11" s="147" t="s">
        <v>589</v>
      </c>
      <c r="AN11" s="147" t="s">
        <v>92</v>
      </c>
      <c r="AO11" s="147" t="s">
        <v>1063</v>
      </c>
      <c r="AP11" s="147" t="s">
        <v>339</v>
      </c>
      <c r="AQ11" s="147" t="s">
        <v>1059</v>
      </c>
      <c r="AR11" s="147"/>
      <c r="AS11" s="147"/>
      <c r="AT11" s="147"/>
      <c r="AU11" s="147"/>
      <c r="AV11" s="147" t="s">
        <v>92</v>
      </c>
      <c r="AW11" s="147" t="s">
        <v>92</v>
      </c>
      <c r="AX11" s="147" t="s">
        <v>1064</v>
      </c>
      <c r="AY11" s="147"/>
      <c r="AZ11" s="147">
        <v>100</v>
      </c>
      <c r="BA11" s="147" t="s">
        <v>594</v>
      </c>
      <c r="BB11" s="147" t="s">
        <v>92</v>
      </c>
      <c r="BC11" s="147" t="s">
        <v>690</v>
      </c>
      <c r="BD11" s="147" t="s">
        <v>92</v>
      </c>
      <c r="BE11" s="147"/>
      <c r="BF11" s="147" t="s">
        <v>92</v>
      </c>
      <c r="BG11" s="147" t="s">
        <v>92</v>
      </c>
      <c r="BH11" s="147" t="s">
        <v>110</v>
      </c>
      <c r="BI11" s="148">
        <v>45230</v>
      </c>
      <c r="BJ11" s="147">
        <v>3</v>
      </c>
      <c r="BK11" s="147" t="s">
        <v>106</v>
      </c>
      <c r="BL11" s="147" t="s">
        <v>1065</v>
      </c>
      <c r="BM11" s="147">
        <v>0.127</v>
      </c>
      <c r="BN11" s="147" t="s">
        <v>589</v>
      </c>
      <c r="BO11" s="147" t="s">
        <v>589</v>
      </c>
      <c r="BP11" s="147" t="s">
        <v>589</v>
      </c>
      <c r="BQ11" s="147" t="s">
        <v>1066</v>
      </c>
      <c r="BR11" s="147" t="s">
        <v>249</v>
      </c>
      <c r="BS11" s="147" t="s">
        <v>12</v>
      </c>
      <c r="BT11" s="148"/>
      <c r="BU11" s="147" t="s">
        <v>1039</v>
      </c>
    </row>
    <row r="12" spans="1:73" x14ac:dyDescent="0.25">
      <c r="A12" s="147" t="s">
        <v>1034</v>
      </c>
      <c r="B12" s="147" t="s">
        <v>1067</v>
      </c>
      <c r="C12" s="147" t="s">
        <v>1040</v>
      </c>
      <c r="D12" s="148">
        <v>45196</v>
      </c>
      <c r="E12" s="147" t="s">
        <v>92</v>
      </c>
      <c r="F12" s="147" t="s">
        <v>92</v>
      </c>
      <c r="G12" s="147" t="s">
        <v>92</v>
      </c>
      <c r="H12" s="147" t="s">
        <v>92</v>
      </c>
      <c r="I12" s="147" t="s">
        <v>1058</v>
      </c>
      <c r="J12" s="147" t="s">
        <v>578</v>
      </c>
      <c r="K12" s="147" t="s">
        <v>579</v>
      </c>
      <c r="L12" s="147" t="s">
        <v>580</v>
      </c>
      <c r="M12" s="147" t="s">
        <v>580</v>
      </c>
      <c r="N12" s="147" t="s">
        <v>1059</v>
      </c>
      <c r="O12" s="147" t="s">
        <v>92</v>
      </c>
      <c r="P12" s="147" t="s">
        <v>92</v>
      </c>
      <c r="Q12" s="148">
        <v>45202</v>
      </c>
      <c r="R12" s="147" t="s">
        <v>92</v>
      </c>
      <c r="S12" s="148">
        <v>45202</v>
      </c>
      <c r="T12" s="147" t="s">
        <v>1034</v>
      </c>
      <c r="U12" s="147" t="s">
        <v>1060</v>
      </c>
      <c r="V12" s="148">
        <v>45294</v>
      </c>
      <c r="W12" s="147" t="s">
        <v>92</v>
      </c>
      <c r="X12" s="147">
        <v>4.75</v>
      </c>
      <c r="Y12" s="148">
        <v>45234</v>
      </c>
      <c r="Z12" s="148">
        <v>45202</v>
      </c>
      <c r="AA12" s="147">
        <v>0.22900000000000001</v>
      </c>
      <c r="AB12" s="147">
        <v>100000</v>
      </c>
      <c r="AC12" s="147" t="s">
        <v>1061</v>
      </c>
      <c r="AD12" s="147" t="s">
        <v>92</v>
      </c>
      <c r="AE12" s="147" t="s">
        <v>92</v>
      </c>
      <c r="AF12" s="147" t="s">
        <v>92</v>
      </c>
      <c r="AG12" s="147"/>
      <c r="AH12" s="147" t="s">
        <v>624</v>
      </c>
      <c r="AI12" s="147" t="s">
        <v>131</v>
      </c>
      <c r="AJ12" s="147" t="s">
        <v>1068</v>
      </c>
      <c r="AK12" s="147" t="s">
        <v>84</v>
      </c>
      <c r="AL12" s="147" t="s">
        <v>92</v>
      </c>
      <c r="AM12" s="147" t="s">
        <v>589</v>
      </c>
      <c r="AN12" s="147" t="s">
        <v>92</v>
      </c>
      <c r="AO12" s="147" t="s">
        <v>1063</v>
      </c>
      <c r="AP12" s="147" t="s">
        <v>339</v>
      </c>
      <c r="AQ12" s="147" t="s">
        <v>1059</v>
      </c>
      <c r="AR12" s="147"/>
      <c r="AS12" s="147"/>
      <c r="AT12" s="147"/>
      <c r="AU12" s="147"/>
      <c r="AV12" s="147" t="s">
        <v>92</v>
      </c>
      <c r="AW12" s="147" t="s">
        <v>92</v>
      </c>
      <c r="AX12" s="147" t="s">
        <v>1064</v>
      </c>
      <c r="AY12" s="147"/>
      <c r="AZ12" s="147">
        <v>100</v>
      </c>
      <c r="BA12" s="147" t="s">
        <v>594</v>
      </c>
      <c r="BB12" s="147" t="s">
        <v>92</v>
      </c>
      <c r="BC12" s="147" t="s">
        <v>690</v>
      </c>
      <c r="BD12" s="147" t="s">
        <v>596</v>
      </c>
      <c r="BE12" s="147"/>
      <c r="BF12" s="147" t="s">
        <v>92</v>
      </c>
      <c r="BG12" s="147" t="s">
        <v>92</v>
      </c>
      <c r="BH12" s="147" t="s">
        <v>110</v>
      </c>
      <c r="BI12" s="148">
        <v>45294</v>
      </c>
      <c r="BJ12" s="147">
        <v>4.75</v>
      </c>
      <c r="BK12" s="147" t="s">
        <v>109</v>
      </c>
      <c r="BL12" s="147" t="s">
        <v>1069</v>
      </c>
      <c r="BM12" s="147">
        <v>0.22900000000000001</v>
      </c>
      <c r="BN12" s="147" t="s">
        <v>589</v>
      </c>
      <c r="BO12" s="147" t="s">
        <v>589</v>
      </c>
      <c r="BP12" s="147" t="s">
        <v>589</v>
      </c>
      <c r="BQ12" s="147" t="s">
        <v>1070</v>
      </c>
      <c r="BR12" s="147" t="s">
        <v>249</v>
      </c>
      <c r="BS12" s="147" t="s">
        <v>12</v>
      </c>
      <c r="BT12" s="148"/>
      <c r="BU12" s="147" t="s">
        <v>1042</v>
      </c>
    </row>
    <row r="13" spans="1:73" x14ac:dyDescent="0.25">
      <c r="A13" s="147" t="s">
        <v>557</v>
      </c>
      <c r="B13" s="147" t="s">
        <v>657</v>
      </c>
      <c r="C13" s="147" t="s">
        <v>556</v>
      </c>
      <c r="D13" s="148">
        <v>45196</v>
      </c>
      <c r="E13" s="147" t="s">
        <v>92</v>
      </c>
      <c r="F13" s="147" t="s">
        <v>132</v>
      </c>
      <c r="G13" s="147" t="s">
        <v>92</v>
      </c>
      <c r="H13" s="147" t="s">
        <v>92</v>
      </c>
      <c r="I13" s="147" t="s">
        <v>577</v>
      </c>
      <c r="J13" s="147" t="s">
        <v>578</v>
      </c>
      <c r="K13" s="147" t="s">
        <v>579</v>
      </c>
      <c r="L13" s="147" t="s">
        <v>580</v>
      </c>
      <c r="M13" s="147" t="s">
        <v>580</v>
      </c>
      <c r="N13" s="147" t="s">
        <v>658</v>
      </c>
      <c r="O13" s="147" t="s">
        <v>659</v>
      </c>
      <c r="P13" s="147" t="s">
        <v>92</v>
      </c>
      <c r="Q13" s="148">
        <v>45209</v>
      </c>
      <c r="R13" s="147" t="s">
        <v>92</v>
      </c>
      <c r="S13" s="148">
        <v>45209</v>
      </c>
      <c r="T13" s="147" t="s">
        <v>92</v>
      </c>
      <c r="U13" s="147" t="s">
        <v>660</v>
      </c>
      <c r="V13" s="148">
        <v>45392</v>
      </c>
      <c r="W13" s="147" t="s">
        <v>92</v>
      </c>
      <c r="X13" s="147">
        <v>6.4</v>
      </c>
      <c r="Y13" s="148"/>
      <c r="Z13" s="148">
        <v>45209</v>
      </c>
      <c r="AA13" s="147">
        <v>1</v>
      </c>
      <c r="AB13" s="147">
        <v>1000</v>
      </c>
      <c r="AC13" s="147" t="s">
        <v>661</v>
      </c>
      <c r="AD13" s="147" t="s">
        <v>92</v>
      </c>
      <c r="AE13" s="147" t="s">
        <v>92</v>
      </c>
      <c r="AF13" s="147" t="s">
        <v>92</v>
      </c>
      <c r="AG13" s="147"/>
      <c r="AH13" s="147" t="s">
        <v>624</v>
      </c>
      <c r="AI13" s="147" t="s">
        <v>131</v>
      </c>
      <c r="AJ13" s="147" t="s">
        <v>650</v>
      </c>
      <c r="AK13" s="147" t="s">
        <v>1</v>
      </c>
      <c r="AL13" s="147" t="s">
        <v>638</v>
      </c>
      <c r="AM13" s="147" t="s">
        <v>589</v>
      </c>
      <c r="AN13" s="147" t="s">
        <v>92</v>
      </c>
      <c r="AO13" s="147" t="s">
        <v>590</v>
      </c>
      <c r="AP13" s="147" t="s">
        <v>339</v>
      </c>
      <c r="AQ13" s="147" t="s">
        <v>662</v>
      </c>
      <c r="AR13" s="147"/>
      <c r="AS13" s="147"/>
      <c r="AT13" s="147"/>
      <c r="AU13" s="147"/>
      <c r="AV13" s="147" t="s">
        <v>92</v>
      </c>
      <c r="AW13" s="147" t="s">
        <v>663</v>
      </c>
      <c r="AX13" s="147" t="s">
        <v>664</v>
      </c>
      <c r="AY13" s="147"/>
      <c r="AZ13" s="147">
        <v>100</v>
      </c>
      <c r="BA13" s="147" t="s">
        <v>594</v>
      </c>
      <c r="BB13" s="147" t="s">
        <v>92</v>
      </c>
      <c r="BC13" s="147" t="s">
        <v>595</v>
      </c>
      <c r="BD13" s="147" t="s">
        <v>596</v>
      </c>
      <c r="BE13" s="147"/>
      <c r="BF13" s="147" t="s">
        <v>92</v>
      </c>
      <c r="BG13" s="147" t="s">
        <v>92</v>
      </c>
      <c r="BH13" s="147" t="s">
        <v>110</v>
      </c>
      <c r="BI13" s="148">
        <v>45573</v>
      </c>
      <c r="BJ13" s="147">
        <v>6.4</v>
      </c>
      <c r="BK13" s="147" t="s">
        <v>85</v>
      </c>
      <c r="BL13" s="147" t="s">
        <v>655</v>
      </c>
      <c r="BM13" s="147">
        <v>1</v>
      </c>
      <c r="BN13" s="147" t="s">
        <v>589</v>
      </c>
      <c r="BO13" s="147" t="s">
        <v>589</v>
      </c>
      <c r="BP13" s="147" t="s">
        <v>589</v>
      </c>
      <c r="BQ13" s="147" t="s">
        <v>665</v>
      </c>
      <c r="BR13" s="147" t="s">
        <v>249</v>
      </c>
      <c r="BS13" s="147" t="s">
        <v>25</v>
      </c>
      <c r="BT13" s="148"/>
      <c r="BU13" s="147" t="s">
        <v>561</v>
      </c>
    </row>
    <row r="14" spans="1:73" x14ac:dyDescent="0.25">
      <c r="A14" s="147" t="s">
        <v>563</v>
      </c>
      <c r="B14" s="147" t="s">
        <v>666</v>
      </c>
      <c r="C14" s="147" t="s">
        <v>562</v>
      </c>
      <c r="D14" s="148">
        <v>45196</v>
      </c>
      <c r="E14" s="147" t="s">
        <v>92</v>
      </c>
      <c r="F14" s="147" t="s">
        <v>132</v>
      </c>
      <c r="G14" s="147" t="s">
        <v>92</v>
      </c>
      <c r="H14" s="147" t="s">
        <v>92</v>
      </c>
      <c r="I14" s="147" t="s">
        <v>577</v>
      </c>
      <c r="J14" s="147" t="s">
        <v>578</v>
      </c>
      <c r="K14" s="147" t="s">
        <v>579</v>
      </c>
      <c r="L14" s="147" t="s">
        <v>580</v>
      </c>
      <c r="M14" s="147" t="s">
        <v>580</v>
      </c>
      <c r="N14" s="147" t="s">
        <v>667</v>
      </c>
      <c r="O14" s="147" t="s">
        <v>668</v>
      </c>
      <c r="P14" s="147" t="s">
        <v>604</v>
      </c>
      <c r="Q14" s="148">
        <v>45209</v>
      </c>
      <c r="R14" s="147" t="s">
        <v>669</v>
      </c>
      <c r="S14" s="148">
        <v>45209</v>
      </c>
      <c r="T14" s="147" t="s">
        <v>92</v>
      </c>
      <c r="U14" s="147" t="s">
        <v>563</v>
      </c>
      <c r="V14" s="148">
        <v>45392</v>
      </c>
      <c r="W14" s="147" t="s">
        <v>92</v>
      </c>
      <c r="X14" s="147">
        <v>3.69</v>
      </c>
      <c r="Y14" s="148"/>
      <c r="Z14" s="148">
        <v>45209</v>
      </c>
      <c r="AA14" s="147">
        <v>3</v>
      </c>
      <c r="AB14" s="147">
        <v>10000</v>
      </c>
      <c r="AC14" s="147" t="s">
        <v>670</v>
      </c>
      <c r="AD14" s="147" t="s">
        <v>671</v>
      </c>
      <c r="AE14" s="147" t="s">
        <v>92</v>
      </c>
      <c r="AF14" s="147" t="s">
        <v>92</v>
      </c>
      <c r="AG14" s="147"/>
      <c r="AH14" s="147" t="s">
        <v>624</v>
      </c>
      <c r="AI14" s="147" t="s">
        <v>131</v>
      </c>
      <c r="AJ14" s="147" t="s">
        <v>672</v>
      </c>
      <c r="AK14" s="147" t="s">
        <v>1</v>
      </c>
      <c r="AL14" s="147" t="s">
        <v>432</v>
      </c>
      <c r="AM14" s="147" t="s">
        <v>589</v>
      </c>
      <c r="AN14" s="147" t="s">
        <v>92</v>
      </c>
      <c r="AO14" s="147" t="s">
        <v>590</v>
      </c>
      <c r="AP14" s="147" t="s">
        <v>339</v>
      </c>
      <c r="AQ14" s="147" t="s">
        <v>673</v>
      </c>
      <c r="AR14" s="147"/>
      <c r="AS14" s="147"/>
      <c r="AT14" s="147"/>
      <c r="AU14" s="147"/>
      <c r="AV14" s="147" t="s">
        <v>92</v>
      </c>
      <c r="AW14" s="147" t="s">
        <v>674</v>
      </c>
      <c r="AX14" s="147" t="s">
        <v>675</v>
      </c>
      <c r="AY14" s="147"/>
      <c r="AZ14" s="147">
        <v>99.974999999999994</v>
      </c>
      <c r="BA14" s="147" t="s">
        <v>594</v>
      </c>
      <c r="BB14" s="147" t="s">
        <v>676</v>
      </c>
      <c r="BC14" s="147" t="s">
        <v>613</v>
      </c>
      <c r="BD14" s="147" t="s">
        <v>596</v>
      </c>
      <c r="BE14" s="147">
        <v>30</v>
      </c>
      <c r="BF14" s="147" t="s">
        <v>677</v>
      </c>
      <c r="BG14" s="147" t="s">
        <v>678</v>
      </c>
      <c r="BH14" s="147" t="s">
        <v>631</v>
      </c>
      <c r="BI14" s="148">
        <v>46275</v>
      </c>
      <c r="BJ14" s="147">
        <v>3.69</v>
      </c>
      <c r="BK14" s="147" t="s">
        <v>106</v>
      </c>
      <c r="BL14" s="147" t="s">
        <v>679</v>
      </c>
      <c r="BM14" s="147">
        <v>3</v>
      </c>
      <c r="BN14" s="147" t="s">
        <v>589</v>
      </c>
      <c r="BO14" s="147" t="s">
        <v>589</v>
      </c>
      <c r="BP14" s="147" t="s">
        <v>589</v>
      </c>
      <c r="BQ14" s="147" t="s">
        <v>680</v>
      </c>
      <c r="BR14" s="147" t="s">
        <v>249</v>
      </c>
      <c r="BS14" s="147" t="s">
        <v>26</v>
      </c>
      <c r="BT14" s="148"/>
      <c r="BU14" s="147" t="s">
        <v>567</v>
      </c>
    </row>
    <row r="15" spans="1:73" x14ac:dyDescent="0.25">
      <c r="A15" s="147" t="s">
        <v>569</v>
      </c>
      <c r="B15" s="147" t="s">
        <v>681</v>
      </c>
      <c r="C15" s="147" t="s">
        <v>568</v>
      </c>
      <c r="D15" s="148">
        <v>45195</v>
      </c>
      <c r="E15" s="147" t="s">
        <v>92</v>
      </c>
      <c r="F15" s="147" t="s">
        <v>132</v>
      </c>
      <c r="G15" s="147" t="s">
        <v>92</v>
      </c>
      <c r="H15" s="147" t="s">
        <v>92</v>
      </c>
      <c r="I15" s="147" t="s">
        <v>577</v>
      </c>
      <c r="J15" s="147" t="s">
        <v>578</v>
      </c>
      <c r="K15" s="147" t="s">
        <v>579</v>
      </c>
      <c r="L15" s="147" t="s">
        <v>580</v>
      </c>
      <c r="M15" s="147" t="s">
        <v>580</v>
      </c>
      <c r="N15" s="147" t="s">
        <v>682</v>
      </c>
      <c r="O15" s="147" t="s">
        <v>92</v>
      </c>
      <c r="P15" s="147" t="s">
        <v>583</v>
      </c>
      <c r="Q15" s="148">
        <v>45197</v>
      </c>
      <c r="R15" s="147" t="s">
        <v>683</v>
      </c>
      <c r="S15" s="148">
        <v>45197</v>
      </c>
      <c r="T15" s="147" t="s">
        <v>569</v>
      </c>
      <c r="U15" s="147" t="s">
        <v>684</v>
      </c>
      <c r="V15" s="148">
        <v>45379</v>
      </c>
      <c r="W15" s="147" t="s">
        <v>92</v>
      </c>
      <c r="X15" s="147">
        <v>9.6999999999999993</v>
      </c>
      <c r="Y15" s="148"/>
      <c r="Z15" s="148">
        <v>45197</v>
      </c>
      <c r="AA15" s="147">
        <v>0.66600000000000004</v>
      </c>
      <c r="AB15" s="147">
        <v>1000</v>
      </c>
      <c r="AC15" s="147" t="s">
        <v>685</v>
      </c>
      <c r="AD15" s="147" t="s">
        <v>686</v>
      </c>
      <c r="AE15" s="147" t="s">
        <v>92</v>
      </c>
      <c r="AF15" s="147" t="s">
        <v>92</v>
      </c>
      <c r="AG15" s="147"/>
      <c r="AH15" s="147" t="s">
        <v>624</v>
      </c>
      <c r="AI15" s="147" t="s">
        <v>131</v>
      </c>
      <c r="AJ15" s="147" t="s">
        <v>687</v>
      </c>
      <c r="AK15" s="147" t="s">
        <v>1</v>
      </c>
      <c r="AL15" s="147" t="s">
        <v>432</v>
      </c>
      <c r="AM15" s="147" t="s">
        <v>589</v>
      </c>
      <c r="AN15" s="147" t="s">
        <v>92</v>
      </c>
      <c r="AO15" s="147" t="s">
        <v>476</v>
      </c>
      <c r="AP15" s="147" t="s">
        <v>339</v>
      </c>
      <c r="AQ15" s="147" t="s">
        <v>682</v>
      </c>
      <c r="AR15" s="147"/>
      <c r="AS15" s="147"/>
      <c r="AT15" s="147"/>
      <c r="AU15" s="147"/>
      <c r="AV15" s="147" t="s">
        <v>92</v>
      </c>
      <c r="AW15" s="147" t="s">
        <v>688</v>
      </c>
      <c r="AX15" s="147" t="s">
        <v>689</v>
      </c>
      <c r="AY15" s="147"/>
      <c r="AZ15" s="147">
        <v>100</v>
      </c>
      <c r="BA15" s="147" t="s">
        <v>594</v>
      </c>
      <c r="BB15" s="147" t="s">
        <v>92</v>
      </c>
      <c r="BC15" s="147" t="s">
        <v>690</v>
      </c>
      <c r="BD15" s="147" t="s">
        <v>596</v>
      </c>
      <c r="BE15" s="147"/>
      <c r="BF15" s="147" t="s">
        <v>92</v>
      </c>
      <c r="BG15" s="147" t="s">
        <v>92</v>
      </c>
      <c r="BH15" s="147" t="s">
        <v>110</v>
      </c>
      <c r="BI15" s="148">
        <v>45564</v>
      </c>
      <c r="BJ15" s="147">
        <v>9.6999999999999993</v>
      </c>
      <c r="BK15" s="147" t="s">
        <v>85</v>
      </c>
      <c r="BL15" s="147" t="s">
        <v>691</v>
      </c>
      <c r="BM15" s="147">
        <v>0.66600000000000004</v>
      </c>
      <c r="BN15" s="147" t="s">
        <v>589</v>
      </c>
      <c r="BO15" s="147" t="s">
        <v>589</v>
      </c>
      <c r="BP15" s="147" t="s">
        <v>589</v>
      </c>
      <c r="BQ15" s="147" t="s">
        <v>692</v>
      </c>
      <c r="BR15" s="147" t="s">
        <v>249</v>
      </c>
      <c r="BS15" s="147" t="s">
        <v>23</v>
      </c>
      <c r="BT15" s="148"/>
      <c r="BU15" s="147" t="s">
        <v>575</v>
      </c>
    </row>
    <row r="16" spans="1:73" x14ac:dyDescent="0.25">
      <c r="A16" s="147" t="s">
        <v>338</v>
      </c>
      <c r="B16" s="147" t="s">
        <v>1071</v>
      </c>
      <c r="C16" s="147" t="s">
        <v>1043</v>
      </c>
      <c r="D16" s="148">
        <v>45194</v>
      </c>
      <c r="E16" s="147" t="s">
        <v>92</v>
      </c>
      <c r="F16" s="147" t="s">
        <v>132</v>
      </c>
      <c r="G16" s="147" t="s">
        <v>92</v>
      </c>
      <c r="H16" s="147" t="s">
        <v>92</v>
      </c>
      <c r="I16" s="147" t="s">
        <v>577</v>
      </c>
      <c r="J16" s="147" t="s">
        <v>578</v>
      </c>
      <c r="K16" s="147" t="s">
        <v>579</v>
      </c>
      <c r="L16" s="147" t="s">
        <v>580</v>
      </c>
      <c r="M16" s="147" t="s">
        <v>580</v>
      </c>
      <c r="N16" s="147" t="s">
        <v>1072</v>
      </c>
      <c r="O16" s="147" t="s">
        <v>92</v>
      </c>
      <c r="P16" s="147" t="s">
        <v>92</v>
      </c>
      <c r="Q16" s="148">
        <v>45197</v>
      </c>
      <c r="R16" s="147" t="s">
        <v>92</v>
      </c>
      <c r="S16" s="148">
        <v>45197</v>
      </c>
      <c r="T16" s="147" t="s">
        <v>92</v>
      </c>
      <c r="U16" s="147" t="s">
        <v>1073</v>
      </c>
      <c r="V16" s="148">
        <v>45379</v>
      </c>
      <c r="W16" s="147" t="s">
        <v>92</v>
      </c>
      <c r="X16" s="147">
        <v>5.25</v>
      </c>
      <c r="Y16" s="148"/>
      <c r="Z16" s="148">
        <v>45197</v>
      </c>
      <c r="AA16" s="147">
        <v>1</v>
      </c>
      <c r="AB16" s="147">
        <v>1000</v>
      </c>
      <c r="AC16" s="147" t="s">
        <v>1074</v>
      </c>
      <c r="AD16" s="147" t="s">
        <v>92</v>
      </c>
      <c r="AE16" s="147" t="s">
        <v>92</v>
      </c>
      <c r="AF16" s="147" t="s">
        <v>92</v>
      </c>
      <c r="AG16" s="147"/>
      <c r="AH16" s="147" t="s">
        <v>608</v>
      </c>
      <c r="AI16" s="147" t="s">
        <v>1075</v>
      </c>
      <c r="AJ16" s="147" t="s">
        <v>1076</v>
      </c>
      <c r="AK16" s="147" t="s">
        <v>84</v>
      </c>
      <c r="AL16" s="147" t="s">
        <v>1077</v>
      </c>
      <c r="AM16" s="147" t="s">
        <v>589</v>
      </c>
      <c r="AN16" s="147" t="s">
        <v>92</v>
      </c>
      <c r="AO16" s="147" t="s">
        <v>475</v>
      </c>
      <c r="AP16" s="147" t="s">
        <v>339</v>
      </c>
      <c r="AQ16" s="147" t="s">
        <v>1078</v>
      </c>
      <c r="AR16" s="147"/>
      <c r="AS16" s="147"/>
      <c r="AT16" s="147"/>
      <c r="AU16" s="147"/>
      <c r="AV16" s="147" t="s">
        <v>92</v>
      </c>
      <c r="AW16" s="147" t="s">
        <v>1079</v>
      </c>
      <c r="AX16" s="147" t="s">
        <v>1064</v>
      </c>
      <c r="AY16" s="147"/>
      <c r="AZ16" s="147"/>
      <c r="BA16" s="147" t="s">
        <v>594</v>
      </c>
      <c r="BB16" s="147" t="s">
        <v>92</v>
      </c>
      <c r="BC16" s="147" t="s">
        <v>595</v>
      </c>
      <c r="BD16" s="147" t="s">
        <v>596</v>
      </c>
      <c r="BE16" s="147"/>
      <c r="BF16" s="147" t="s">
        <v>92</v>
      </c>
      <c r="BG16" s="147" t="s">
        <v>92</v>
      </c>
      <c r="BH16" s="147" t="s">
        <v>110</v>
      </c>
      <c r="BI16" s="148">
        <v>46261</v>
      </c>
      <c r="BJ16" s="147">
        <v>5.25</v>
      </c>
      <c r="BK16" s="147" t="s">
        <v>85</v>
      </c>
      <c r="BL16" s="147" t="s">
        <v>1080</v>
      </c>
      <c r="BM16" s="147">
        <v>1</v>
      </c>
      <c r="BN16" s="147" t="s">
        <v>589</v>
      </c>
      <c r="BO16" s="147" t="s">
        <v>1081</v>
      </c>
      <c r="BP16" s="147" t="s">
        <v>1082</v>
      </c>
      <c r="BQ16" s="147" t="s">
        <v>1083</v>
      </c>
      <c r="BR16" s="147" t="s">
        <v>249</v>
      </c>
      <c r="BS16" s="147" t="s">
        <v>12</v>
      </c>
      <c r="BT16" s="148"/>
      <c r="BU16" s="147" t="s">
        <v>1048</v>
      </c>
    </row>
    <row r="17" spans="1:73" x14ac:dyDescent="0.25">
      <c r="A17" s="147" t="s">
        <v>1050</v>
      </c>
      <c r="B17" s="147" t="s">
        <v>1084</v>
      </c>
      <c r="C17" s="147" t="s">
        <v>1049</v>
      </c>
      <c r="D17" s="148">
        <v>45194</v>
      </c>
      <c r="E17" s="147" t="s">
        <v>92</v>
      </c>
      <c r="F17" s="147" t="s">
        <v>618</v>
      </c>
      <c r="G17" s="147" t="s">
        <v>92</v>
      </c>
      <c r="H17" s="147" t="s">
        <v>92</v>
      </c>
      <c r="I17" s="147" t="s">
        <v>577</v>
      </c>
      <c r="J17" s="147" t="s">
        <v>578</v>
      </c>
      <c r="K17" s="147" t="s">
        <v>579</v>
      </c>
      <c r="L17" s="147" t="s">
        <v>580</v>
      </c>
      <c r="M17" s="147" t="s">
        <v>580</v>
      </c>
      <c r="N17" s="147" t="s">
        <v>1085</v>
      </c>
      <c r="O17" s="147" t="s">
        <v>1086</v>
      </c>
      <c r="P17" s="147" t="s">
        <v>583</v>
      </c>
      <c r="Q17" s="148">
        <v>45209</v>
      </c>
      <c r="R17" s="147" t="s">
        <v>1087</v>
      </c>
      <c r="S17" s="148">
        <v>45209</v>
      </c>
      <c r="T17" s="147" t="s">
        <v>1050</v>
      </c>
      <c r="U17" s="147" t="s">
        <v>1088</v>
      </c>
      <c r="V17" s="148">
        <v>45575</v>
      </c>
      <c r="W17" s="147" t="s">
        <v>92</v>
      </c>
      <c r="X17" s="147">
        <v>3.98</v>
      </c>
      <c r="Y17" s="148"/>
      <c r="Z17" s="148">
        <v>45209</v>
      </c>
      <c r="AA17" s="147">
        <v>7.3</v>
      </c>
      <c r="AB17" s="147">
        <v>10000</v>
      </c>
      <c r="AC17" s="147" t="s">
        <v>1089</v>
      </c>
      <c r="AD17" s="147" t="s">
        <v>1090</v>
      </c>
      <c r="AE17" s="147" t="s">
        <v>92</v>
      </c>
      <c r="AF17" s="147" t="s">
        <v>92</v>
      </c>
      <c r="AG17" s="147"/>
      <c r="AH17" s="147" t="s">
        <v>608</v>
      </c>
      <c r="AI17" s="147" t="s">
        <v>131</v>
      </c>
      <c r="AJ17" s="147" t="s">
        <v>588</v>
      </c>
      <c r="AK17" s="147" t="s">
        <v>1</v>
      </c>
      <c r="AL17" s="147" t="s">
        <v>1077</v>
      </c>
      <c r="AM17" s="147" t="s">
        <v>589</v>
      </c>
      <c r="AN17" s="147" t="s">
        <v>1091</v>
      </c>
      <c r="AO17" s="147" t="s">
        <v>590</v>
      </c>
      <c r="AP17" s="147" t="s">
        <v>339</v>
      </c>
      <c r="AQ17" s="147" t="s">
        <v>1092</v>
      </c>
      <c r="AR17" s="147"/>
      <c r="AS17" s="147"/>
      <c r="AT17" s="147"/>
      <c r="AU17" s="147"/>
      <c r="AV17" s="147" t="s">
        <v>1093</v>
      </c>
      <c r="AW17" s="147" t="s">
        <v>1094</v>
      </c>
      <c r="AX17" s="147" t="s">
        <v>1095</v>
      </c>
      <c r="AY17" s="147"/>
      <c r="AZ17" s="147">
        <v>100</v>
      </c>
      <c r="BA17" s="147" t="s">
        <v>594</v>
      </c>
      <c r="BB17" s="147" t="s">
        <v>92</v>
      </c>
      <c r="BC17" s="147" t="s">
        <v>690</v>
      </c>
      <c r="BD17" s="147" t="s">
        <v>596</v>
      </c>
      <c r="BE17" s="147">
        <v>22</v>
      </c>
      <c r="BF17" s="147" t="s">
        <v>1087</v>
      </c>
      <c r="BG17" s="147" t="s">
        <v>1096</v>
      </c>
      <c r="BH17" s="147" t="s">
        <v>598</v>
      </c>
      <c r="BI17" s="148">
        <v>46305</v>
      </c>
      <c r="BJ17" s="147">
        <v>3.98</v>
      </c>
      <c r="BK17" s="147" t="s">
        <v>106</v>
      </c>
      <c r="BL17" s="147" t="s">
        <v>599</v>
      </c>
      <c r="BM17" s="147">
        <v>7.3</v>
      </c>
      <c r="BN17" s="147" t="s">
        <v>589</v>
      </c>
      <c r="BO17" s="147" t="s">
        <v>589</v>
      </c>
      <c r="BP17" s="147" t="s">
        <v>589</v>
      </c>
      <c r="BQ17" s="147" t="s">
        <v>1097</v>
      </c>
      <c r="BR17" s="147" t="s">
        <v>249</v>
      </c>
      <c r="BS17" s="147" t="s">
        <v>17</v>
      </c>
      <c r="BT17" s="148"/>
      <c r="BU17" s="147" t="s">
        <v>1055</v>
      </c>
    </row>
  </sheetData>
  <phoneticPr fontId="38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Z17"/>
  <sheetViews>
    <sheetView topLeftCell="P1" workbookViewId="0">
      <selection activeCell="X13" sqref="X13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1.5546875" style="1" bestFit="1" customWidth="1"/>
    <col min="4" max="4" width="18.21875" style="1" bestFit="1" customWidth="1"/>
    <col min="5" max="5" width="9.21875" style="1" bestFit="1" customWidth="1"/>
    <col min="6" max="6" width="10.88671875" style="1" bestFit="1" customWidth="1"/>
    <col min="7" max="7" width="14.21875" style="1" bestFit="1" customWidth="1"/>
    <col min="8" max="11" width="9.21875" style="1" bestFit="1" customWidth="1"/>
    <col min="12" max="12" width="33.6640625" style="1" bestFit="1" customWidth="1"/>
    <col min="13" max="13" width="52.33203125" style="1" bestFit="1" customWidth="1"/>
    <col min="14" max="14" width="14.21875" style="1" bestFit="1" customWidth="1"/>
    <col min="15" max="16" width="10.33203125" style="1" bestFit="1" customWidth="1"/>
    <col min="17" max="17" width="10.88671875" style="1" bestFit="1" customWidth="1"/>
    <col min="18" max="18" width="18.5546875" style="1" bestFit="1" customWidth="1"/>
    <col min="19" max="19" width="5.88671875" style="1" bestFit="1" customWidth="1"/>
    <col min="20" max="20" width="7.5546875" style="1" bestFit="1" customWidth="1"/>
    <col min="21" max="21" width="12" style="1" bestFit="1" customWidth="1"/>
    <col min="22" max="22" width="20" style="1" bestFit="1" customWidth="1"/>
    <col min="23" max="23" width="19.88671875" style="1" bestFit="1" customWidth="1"/>
    <col min="24" max="24" width="13.33203125" style="1" bestFit="1" customWidth="1"/>
    <col min="25" max="25" width="10.21875" style="1" bestFit="1" customWidth="1"/>
    <col min="26" max="27" width="19.44140625" style="1" bestFit="1" customWidth="1"/>
    <col min="28" max="28" width="12.6640625" style="1" bestFit="1" customWidth="1"/>
    <col min="29" max="29" width="13.33203125" style="1" bestFit="1" customWidth="1"/>
    <col min="30" max="30" width="20.109375" style="1" bestFit="1" customWidth="1"/>
    <col min="31" max="31" width="20.21875" style="1" bestFit="1" customWidth="1"/>
    <col min="32" max="32" width="12.77734375" style="1" bestFit="1" customWidth="1"/>
    <col min="33" max="33" width="11.44140625" style="1" bestFit="1" customWidth="1"/>
    <col min="34" max="34" width="14.33203125" style="1" bestFit="1" customWidth="1"/>
    <col min="35" max="35" width="12.6640625" style="1" bestFit="1" customWidth="1"/>
    <col min="36" max="36" width="20.109375" style="1" bestFit="1" customWidth="1"/>
    <col min="37" max="37" width="21" style="1" bestFit="1" customWidth="1"/>
    <col min="38" max="38" width="12.21875" style="1" bestFit="1" customWidth="1"/>
    <col min="39" max="39" width="9.5546875" style="1" bestFit="1" customWidth="1"/>
    <col min="40" max="40" width="11.6640625" style="1" bestFit="1" customWidth="1"/>
    <col min="41" max="41" width="21" style="1" customWidth="1"/>
    <col min="42" max="42" width="11.6640625" style="1" customWidth="1"/>
    <col min="43" max="16384" width="8.88671875" style="1"/>
  </cols>
  <sheetData>
    <row r="1" spans="1:26" ht="67.5" customHeight="1" x14ac:dyDescent="0.25">
      <c r="A1" s="50" t="s">
        <v>427</v>
      </c>
    </row>
    <row r="5" spans="1:26" x14ac:dyDescent="0.25">
      <c r="A5" t="s">
        <v>49</v>
      </c>
      <c r="B5" t="s">
        <v>48</v>
      </c>
      <c r="C5" t="s">
        <v>94</v>
      </c>
      <c r="D5" t="s">
        <v>146</v>
      </c>
      <c r="E5" t="s">
        <v>136</v>
      </c>
      <c r="F5" t="s">
        <v>237</v>
      </c>
      <c r="G5" t="s">
        <v>270</v>
      </c>
      <c r="H5" t="s">
        <v>179</v>
      </c>
      <c r="I5" t="s">
        <v>119</v>
      </c>
      <c r="J5" t="s">
        <v>246</v>
      </c>
      <c r="K5" t="s">
        <v>69</v>
      </c>
      <c r="L5" t="s">
        <v>71</v>
      </c>
      <c r="M5" t="s">
        <v>72</v>
      </c>
      <c r="N5" t="s">
        <v>82</v>
      </c>
      <c r="O5" t="s">
        <v>67</v>
      </c>
      <c r="P5" t="s">
        <v>52</v>
      </c>
      <c r="Q5" t="s">
        <v>68</v>
      </c>
      <c r="R5" t="s">
        <v>120</v>
      </c>
      <c r="S5" t="s">
        <v>64</v>
      </c>
      <c r="T5" t="s">
        <v>59</v>
      </c>
      <c r="U5" t="s">
        <v>57</v>
      </c>
      <c r="V5" t="s">
        <v>530</v>
      </c>
      <c r="W5" t="s">
        <v>531</v>
      </c>
      <c r="X5" t="s">
        <v>532</v>
      </c>
      <c r="Y5" t="s">
        <v>533</v>
      </c>
      <c r="Z5" t="s">
        <v>141</v>
      </c>
    </row>
    <row r="6" spans="1:26" x14ac:dyDescent="0.25">
      <c r="A6" s="148">
        <v>45197</v>
      </c>
      <c r="B6" s="147" t="s">
        <v>492</v>
      </c>
      <c r="C6" s="147" t="s">
        <v>493</v>
      </c>
      <c r="D6" s="161" t="s">
        <v>92</v>
      </c>
      <c r="E6" s="147" t="s">
        <v>83</v>
      </c>
      <c r="F6" s="153" t="s">
        <v>257</v>
      </c>
      <c r="G6" s="147" t="s">
        <v>7</v>
      </c>
      <c r="H6" s="147" t="s">
        <v>83</v>
      </c>
      <c r="I6" s="147"/>
      <c r="J6" s="147"/>
      <c r="K6" s="147" t="s">
        <v>92</v>
      </c>
      <c r="L6" s="147" t="s">
        <v>534</v>
      </c>
      <c r="M6" s="147" t="s">
        <v>7</v>
      </c>
      <c r="N6" s="147" t="s">
        <v>92</v>
      </c>
      <c r="O6" s="148">
        <v>45215</v>
      </c>
      <c r="P6" s="148">
        <v>46311</v>
      </c>
      <c r="Q6" s="148"/>
      <c r="R6" s="147" t="s">
        <v>535</v>
      </c>
      <c r="S6" s="147" t="s">
        <v>85</v>
      </c>
      <c r="T6" s="147">
        <v>100</v>
      </c>
      <c r="U6" s="147">
        <v>1</v>
      </c>
      <c r="V6" s="145" t="s">
        <v>92</v>
      </c>
      <c r="W6" s="145" t="s">
        <v>92</v>
      </c>
      <c r="X6" s="145" t="s">
        <v>92</v>
      </c>
      <c r="Y6" s="145" t="s">
        <v>83</v>
      </c>
      <c r="Z6" s="147" t="s">
        <v>536</v>
      </c>
    </row>
    <row r="7" spans="1:26" x14ac:dyDescent="0.25">
      <c r="A7" s="148">
        <v>45197</v>
      </c>
      <c r="B7" s="147" t="s">
        <v>537</v>
      </c>
      <c r="C7" s="147" t="s">
        <v>538</v>
      </c>
      <c r="D7" s="161" t="s">
        <v>92</v>
      </c>
      <c r="E7" s="147" t="s">
        <v>83</v>
      </c>
      <c r="F7" s="153" t="s">
        <v>257</v>
      </c>
      <c r="G7" s="147" t="s">
        <v>7</v>
      </c>
      <c r="H7" s="147" t="s">
        <v>83</v>
      </c>
      <c r="I7" s="147"/>
      <c r="J7" s="147"/>
      <c r="K7" s="147" t="s">
        <v>92</v>
      </c>
      <c r="L7" s="147" t="s">
        <v>539</v>
      </c>
      <c r="M7" s="147" t="s">
        <v>7</v>
      </c>
      <c r="N7" s="147" t="s">
        <v>92</v>
      </c>
      <c r="O7" s="148">
        <v>45209</v>
      </c>
      <c r="P7" s="148">
        <v>45573</v>
      </c>
      <c r="Q7" s="148"/>
      <c r="R7" s="147" t="s">
        <v>474</v>
      </c>
      <c r="S7" s="147" t="s">
        <v>106</v>
      </c>
      <c r="T7" s="147">
        <v>100</v>
      </c>
      <c r="U7" s="147">
        <v>0.9</v>
      </c>
      <c r="V7" s="145" t="s">
        <v>92</v>
      </c>
      <c r="W7" s="145" t="s">
        <v>92</v>
      </c>
      <c r="X7" s="145" t="s">
        <v>92</v>
      </c>
      <c r="Y7" s="145" t="s">
        <v>83</v>
      </c>
      <c r="Z7" s="147" t="s">
        <v>540</v>
      </c>
    </row>
    <row r="8" spans="1:26" x14ac:dyDescent="0.25">
      <c r="A8" s="148">
        <v>45197</v>
      </c>
      <c r="B8" s="147" t="s">
        <v>525</v>
      </c>
      <c r="C8" s="147" t="s">
        <v>541</v>
      </c>
      <c r="D8" s="161" t="s">
        <v>92</v>
      </c>
      <c r="E8" s="147" t="s">
        <v>83</v>
      </c>
      <c r="F8" s="153" t="s">
        <v>257</v>
      </c>
      <c r="G8" s="147" t="s">
        <v>7</v>
      </c>
      <c r="H8" s="147" t="s">
        <v>542</v>
      </c>
      <c r="I8" s="147"/>
      <c r="J8" s="147"/>
      <c r="K8" s="147" t="s">
        <v>92</v>
      </c>
      <c r="L8" s="147" t="s">
        <v>543</v>
      </c>
      <c r="M8" s="147" t="s">
        <v>7</v>
      </c>
      <c r="N8" s="147" t="s">
        <v>92</v>
      </c>
      <c r="O8" s="148">
        <v>45210</v>
      </c>
      <c r="P8" s="148">
        <v>46306</v>
      </c>
      <c r="Q8" s="148"/>
      <c r="R8" s="147" t="s">
        <v>544</v>
      </c>
      <c r="S8" s="147" t="s">
        <v>85</v>
      </c>
      <c r="T8" s="147">
        <v>100</v>
      </c>
      <c r="U8" s="147">
        <v>0.67</v>
      </c>
      <c r="V8" s="145" t="s">
        <v>545</v>
      </c>
      <c r="W8" s="145" t="s">
        <v>542</v>
      </c>
      <c r="X8" s="145" t="s">
        <v>92</v>
      </c>
      <c r="Y8" s="145" t="s">
        <v>83</v>
      </c>
      <c r="Z8" s="147" t="s">
        <v>546</v>
      </c>
    </row>
    <row r="9" spans="1:26" x14ac:dyDescent="0.25">
      <c r="A9" s="148">
        <v>45197</v>
      </c>
      <c r="B9" s="147" t="s">
        <v>547</v>
      </c>
      <c r="C9" s="147" t="s">
        <v>548</v>
      </c>
      <c r="D9" s="161" t="s">
        <v>92</v>
      </c>
      <c r="E9" s="147" t="s">
        <v>83</v>
      </c>
      <c r="F9" s="153" t="s">
        <v>257</v>
      </c>
      <c r="G9" s="147" t="s">
        <v>7</v>
      </c>
      <c r="H9" s="147" t="s">
        <v>83</v>
      </c>
      <c r="I9" s="147"/>
      <c r="J9" s="147"/>
      <c r="K9" s="147" t="s">
        <v>92</v>
      </c>
      <c r="L9" s="147" t="s">
        <v>549</v>
      </c>
      <c r="M9" s="147" t="s">
        <v>7</v>
      </c>
      <c r="N9" s="147" t="s">
        <v>92</v>
      </c>
      <c r="O9" s="148">
        <v>45212</v>
      </c>
      <c r="P9" s="148">
        <v>46308</v>
      </c>
      <c r="Q9" s="148"/>
      <c r="R9" s="147" t="s">
        <v>498</v>
      </c>
      <c r="S9" s="147" t="s">
        <v>106</v>
      </c>
      <c r="T9" s="147">
        <v>100</v>
      </c>
      <c r="U9" s="147">
        <v>15.6</v>
      </c>
      <c r="V9" s="145" t="s">
        <v>550</v>
      </c>
      <c r="W9" s="145" t="s">
        <v>83</v>
      </c>
      <c r="X9" s="145" t="s">
        <v>92</v>
      </c>
      <c r="Y9" s="145" t="s">
        <v>83</v>
      </c>
      <c r="Z9" s="147" t="s">
        <v>551</v>
      </c>
    </row>
    <row r="10" spans="1:26" x14ac:dyDescent="0.25">
      <c r="A10" s="148">
        <v>45197</v>
      </c>
      <c r="B10" s="147" t="s">
        <v>528</v>
      </c>
      <c r="C10" s="147" t="s">
        <v>529</v>
      </c>
      <c r="D10" s="161" t="s">
        <v>92</v>
      </c>
      <c r="E10" s="147" t="s">
        <v>83</v>
      </c>
      <c r="F10" s="153" t="s">
        <v>257</v>
      </c>
      <c r="G10" s="147" t="s">
        <v>7</v>
      </c>
      <c r="H10" s="147" t="s">
        <v>484</v>
      </c>
      <c r="I10" s="147"/>
      <c r="J10" s="147"/>
      <c r="K10" s="147" t="s">
        <v>92</v>
      </c>
      <c r="L10" s="147" t="s">
        <v>552</v>
      </c>
      <c r="M10" s="147" t="s">
        <v>7</v>
      </c>
      <c r="N10" s="147" t="s">
        <v>92</v>
      </c>
      <c r="O10" s="148">
        <v>45210</v>
      </c>
      <c r="P10" s="148">
        <v>46306</v>
      </c>
      <c r="Q10" s="148"/>
      <c r="R10" s="147" t="s">
        <v>553</v>
      </c>
      <c r="S10" s="147" t="s">
        <v>85</v>
      </c>
      <c r="T10" s="147">
        <v>100</v>
      </c>
      <c r="U10" s="147">
        <v>1</v>
      </c>
      <c r="V10" s="145" t="s">
        <v>554</v>
      </c>
      <c r="W10" s="145" t="s">
        <v>484</v>
      </c>
      <c r="X10" s="145" t="s">
        <v>92</v>
      </c>
      <c r="Y10" s="145" t="s">
        <v>83</v>
      </c>
      <c r="Z10" s="147" t="s">
        <v>555</v>
      </c>
    </row>
    <row r="11" spans="1:26" x14ac:dyDescent="0.25">
      <c r="A11" s="148">
        <v>45196</v>
      </c>
      <c r="B11" s="147" t="s">
        <v>1033</v>
      </c>
      <c r="C11" s="147" t="s">
        <v>1034</v>
      </c>
      <c r="D11" s="161" t="s">
        <v>92</v>
      </c>
      <c r="E11" s="147" t="s">
        <v>83</v>
      </c>
      <c r="F11" s="153" t="s">
        <v>471</v>
      </c>
      <c r="G11" s="147" t="s">
        <v>7</v>
      </c>
      <c r="H11" s="147" t="s">
        <v>83</v>
      </c>
      <c r="I11" s="147"/>
      <c r="J11" s="147"/>
      <c r="K11" s="147" t="s">
        <v>92</v>
      </c>
      <c r="L11" s="147" t="s">
        <v>1035</v>
      </c>
      <c r="M11" s="147" t="s">
        <v>1036</v>
      </c>
      <c r="N11" s="147" t="s">
        <v>92</v>
      </c>
      <c r="O11" s="148">
        <v>45197</v>
      </c>
      <c r="P11" s="148">
        <v>45230</v>
      </c>
      <c r="Q11" s="148"/>
      <c r="R11" s="147" t="s">
        <v>152</v>
      </c>
      <c r="S11" s="147" t="s">
        <v>106</v>
      </c>
      <c r="T11" s="147">
        <v>100</v>
      </c>
      <c r="U11" s="147">
        <v>0.127</v>
      </c>
      <c r="V11" s="145" t="s">
        <v>1037</v>
      </c>
      <c r="W11" s="145" t="s">
        <v>1038</v>
      </c>
      <c r="X11" s="145" t="s">
        <v>92</v>
      </c>
      <c r="Y11" s="145" t="s">
        <v>83</v>
      </c>
      <c r="Z11" s="147" t="s">
        <v>1039</v>
      </c>
    </row>
    <row r="12" spans="1:26" x14ac:dyDescent="0.25">
      <c r="A12" s="148">
        <v>45196</v>
      </c>
      <c r="B12" s="147" t="s">
        <v>1040</v>
      </c>
      <c r="C12" s="147" t="s">
        <v>1034</v>
      </c>
      <c r="D12" s="161" t="s">
        <v>92</v>
      </c>
      <c r="E12" s="147" t="s">
        <v>83</v>
      </c>
      <c r="F12" s="153" t="s">
        <v>471</v>
      </c>
      <c r="G12" s="147" t="s">
        <v>7</v>
      </c>
      <c r="H12" s="147" t="s">
        <v>83</v>
      </c>
      <c r="I12" s="147"/>
      <c r="J12" s="147"/>
      <c r="K12" s="147" t="s">
        <v>92</v>
      </c>
      <c r="L12" s="147" t="s">
        <v>1035</v>
      </c>
      <c r="M12" s="147" t="s">
        <v>1036</v>
      </c>
      <c r="N12" s="147" t="s">
        <v>92</v>
      </c>
      <c r="O12" s="148">
        <v>45202</v>
      </c>
      <c r="P12" s="148">
        <v>45294</v>
      </c>
      <c r="Q12" s="148"/>
      <c r="R12" s="147" t="s">
        <v>1041</v>
      </c>
      <c r="S12" s="147" t="s">
        <v>109</v>
      </c>
      <c r="T12" s="147">
        <v>100</v>
      </c>
      <c r="U12" s="147">
        <v>0.22900000000000001</v>
      </c>
      <c r="V12" s="145" t="s">
        <v>1037</v>
      </c>
      <c r="W12" s="145" t="s">
        <v>1038</v>
      </c>
      <c r="X12" s="145" t="s">
        <v>92</v>
      </c>
      <c r="Y12" s="145" t="s">
        <v>83</v>
      </c>
      <c r="Z12" s="147" t="s">
        <v>1042</v>
      </c>
    </row>
    <row r="13" spans="1:26" x14ac:dyDescent="0.25">
      <c r="A13" s="148">
        <v>45196</v>
      </c>
      <c r="B13" s="147" t="s">
        <v>556</v>
      </c>
      <c r="C13" s="147" t="s">
        <v>557</v>
      </c>
      <c r="D13" s="161" t="s">
        <v>92</v>
      </c>
      <c r="E13" s="147" t="s">
        <v>83</v>
      </c>
      <c r="F13" s="153" t="s">
        <v>257</v>
      </c>
      <c r="G13" s="147" t="s">
        <v>7</v>
      </c>
      <c r="H13" s="147" t="s">
        <v>83</v>
      </c>
      <c r="I13" s="147"/>
      <c r="J13" s="147"/>
      <c r="K13" s="147" t="s">
        <v>92</v>
      </c>
      <c r="L13" s="147" t="s">
        <v>558</v>
      </c>
      <c r="M13" s="147" t="s">
        <v>7</v>
      </c>
      <c r="N13" s="147" t="s">
        <v>92</v>
      </c>
      <c r="O13" s="148">
        <v>45209</v>
      </c>
      <c r="P13" s="148">
        <v>45573</v>
      </c>
      <c r="Q13" s="148"/>
      <c r="R13" s="147" t="s">
        <v>559</v>
      </c>
      <c r="S13" s="147" t="s">
        <v>85</v>
      </c>
      <c r="T13" s="147">
        <v>100</v>
      </c>
      <c r="U13" s="147">
        <v>1</v>
      </c>
      <c r="V13" s="145" t="s">
        <v>560</v>
      </c>
      <c r="W13" s="145" t="s">
        <v>83</v>
      </c>
      <c r="X13" s="145" t="s">
        <v>92</v>
      </c>
      <c r="Y13" s="145" t="s">
        <v>83</v>
      </c>
      <c r="Z13" s="147" t="s">
        <v>561</v>
      </c>
    </row>
    <row r="14" spans="1:26" x14ac:dyDescent="0.25">
      <c r="A14" s="148">
        <v>45196</v>
      </c>
      <c r="B14" s="147" t="s">
        <v>562</v>
      </c>
      <c r="C14" s="147" t="s">
        <v>563</v>
      </c>
      <c r="D14" s="161" t="s">
        <v>92</v>
      </c>
      <c r="E14" s="147" t="s">
        <v>83</v>
      </c>
      <c r="F14" s="153" t="s">
        <v>257</v>
      </c>
      <c r="G14" s="147" t="s">
        <v>7</v>
      </c>
      <c r="H14" s="147" t="s">
        <v>83</v>
      </c>
      <c r="I14" s="147"/>
      <c r="J14" s="147"/>
      <c r="K14" s="147" t="s">
        <v>92</v>
      </c>
      <c r="L14" s="147" t="s">
        <v>564</v>
      </c>
      <c r="M14" s="147" t="s">
        <v>7</v>
      </c>
      <c r="N14" s="147" t="s">
        <v>92</v>
      </c>
      <c r="O14" s="148">
        <v>45209</v>
      </c>
      <c r="P14" s="148">
        <v>46275</v>
      </c>
      <c r="Q14" s="148"/>
      <c r="R14" s="147" t="s">
        <v>565</v>
      </c>
      <c r="S14" s="147" t="s">
        <v>106</v>
      </c>
      <c r="T14" s="147">
        <v>99.975000000000023</v>
      </c>
      <c r="U14" s="147">
        <v>3</v>
      </c>
      <c r="V14" s="145" t="s">
        <v>566</v>
      </c>
      <c r="W14" s="145" t="s">
        <v>83</v>
      </c>
      <c r="X14" s="145" t="s">
        <v>92</v>
      </c>
      <c r="Y14" s="145" t="s">
        <v>83</v>
      </c>
      <c r="Z14" s="147" t="s">
        <v>567</v>
      </c>
    </row>
    <row r="15" spans="1:26" x14ac:dyDescent="0.25">
      <c r="A15" s="148">
        <v>45195</v>
      </c>
      <c r="B15" s="147" t="s">
        <v>568</v>
      </c>
      <c r="C15" s="147" t="s">
        <v>569</v>
      </c>
      <c r="D15" s="161" t="s">
        <v>92</v>
      </c>
      <c r="E15" s="147" t="s">
        <v>83</v>
      </c>
      <c r="F15" s="153" t="s">
        <v>471</v>
      </c>
      <c r="G15" s="147" t="s">
        <v>7</v>
      </c>
      <c r="H15" s="147" t="s">
        <v>83</v>
      </c>
      <c r="I15" s="147"/>
      <c r="J15" s="147"/>
      <c r="K15" s="147" t="s">
        <v>92</v>
      </c>
      <c r="L15" s="147" t="s">
        <v>570</v>
      </c>
      <c r="M15" s="147" t="s">
        <v>571</v>
      </c>
      <c r="N15" s="147" t="s">
        <v>92</v>
      </c>
      <c r="O15" s="148">
        <v>45197</v>
      </c>
      <c r="P15" s="148">
        <v>45564</v>
      </c>
      <c r="Q15" s="148"/>
      <c r="R15" s="147" t="s">
        <v>572</v>
      </c>
      <c r="S15" s="147" t="s">
        <v>85</v>
      </c>
      <c r="T15" s="147">
        <v>100</v>
      </c>
      <c r="U15" s="147">
        <v>0.66600000000000004</v>
      </c>
      <c r="V15" s="145" t="s">
        <v>573</v>
      </c>
      <c r="W15" s="145" t="s">
        <v>574</v>
      </c>
      <c r="X15" s="145" t="s">
        <v>92</v>
      </c>
      <c r="Y15" s="145" t="s">
        <v>83</v>
      </c>
      <c r="Z15" s="147" t="s">
        <v>575</v>
      </c>
    </row>
    <row r="16" spans="1:26" x14ac:dyDescent="0.25">
      <c r="A16" s="148">
        <v>45194</v>
      </c>
      <c r="B16" s="147" t="s">
        <v>1043</v>
      </c>
      <c r="C16" s="147" t="s">
        <v>338</v>
      </c>
      <c r="D16" s="161" t="s">
        <v>92</v>
      </c>
      <c r="E16" s="147" t="s">
        <v>83</v>
      </c>
      <c r="F16" s="153" t="s">
        <v>257</v>
      </c>
      <c r="G16" s="147" t="s">
        <v>7</v>
      </c>
      <c r="H16" s="147" t="s">
        <v>83</v>
      </c>
      <c r="I16" s="147"/>
      <c r="J16" s="147"/>
      <c r="K16" s="147" t="s">
        <v>92</v>
      </c>
      <c r="L16" s="147" t="s">
        <v>1044</v>
      </c>
      <c r="M16" s="147" t="s">
        <v>7</v>
      </c>
      <c r="N16" s="147" t="s">
        <v>92</v>
      </c>
      <c r="O16" s="148">
        <v>45197</v>
      </c>
      <c r="P16" s="148">
        <v>46261</v>
      </c>
      <c r="Q16" s="148"/>
      <c r="R16" s="147" t="s">
        <v>1045</v>
      </c>
      <c r="S16" s="147" t="s">
        <v>85</v>
      </c>
      <c r="T16" s="147">
        <v>100</v>
      </c>
      <c r="U16" s="147">
        <v>1</v>
      </c>
      <c r="V16" s="145" t="s">
        <v>1046</v>
      </c>
      <c r="W16" s="145" t="s">
        <v>1047</v>
      </c>
      <c r="X16" s="145" t="s">
        <v>92</v>
      </c>
      <c r="Y16" s="145" t="s">
        <v>83</v>
      </c>
      <c r="Z16" s="147" t="s">
        <v>1048</v>
      </c>
    </row>
    <row r="17" spans="1:26" x14ac:dyDescent="0.25">
      <c r="A17" s="148">
        <v>45194</v>
      </c>
      <c r="B17" s="147" t="s">
        <v>1049</v>
      </c>
      <c r="C17" s="147" t="s">
        <v>1050</v>
      </c>
      <c r="D17" s="161" t="s">
        <v>92</v>
      </c>
      <c r="E17" s="147" t="s">
        <v>1051</v>
      </c>
      <c r="F17" s="153" t="s">
        <v>471</v>
      </c>
      <c r="G17" s="147" t="s">
        <v>7</v>
      </c>
      <c r="H17" s="147" t="s">
        <v>83</v>
      </c>
      <c r="I17" s="147"/>
      <c r="J17" s="147"/>
      <c r="K17" s="147" t="s">
        <v>92</v>
      </c>
      <c r="L17" s="147" t="s">
        <v>1052</v>
      </c>
      <c r="M17" s="147" t="s">
        <v>1053</v>
      </c>
      <c r="N17" s="147" t="s">
        <v>92</v>
      </c>
      <c r="O17" s="148">
        <v>45209</v>
      </c>
      <c r="P17" s="148">
        <v>46305</v>
      </c>
      <c r="Q17" s="148"/>
      <c r="R17" s="147" t="s">
        <v>1054</v>
      </c>
      <c r="S17" s="147" t="s">
        <v>106</v>
      </c>
      <c r="T17" s="147">
        <v>100</v>
      </c>
      <c r="U17" s="147">
        <v>7.3</v>
      </c>
      <c r="V17" s="145" t="s">
        <v>92</v>
      </c>
      <c r="W17" s="145" t="s">
        <v>92</v>
      </c>
      <c r="X17" s="145" t="s">
        <v>92</v>
      </c>
      <c r="Y17" s="145" t="s">
        <v>83</v>
      </c>
      <c r="Z17" s="147" t="s">
        <v>1055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84"/>
  <sheetViews>
    <sheetView workbookViewId="0">
      <selection activeCell="E20" sqref="E20"/>
    </sheetView>
  </sheetViews>
  <sheetFormatPr defaultRowHeight="15" x14ac:dyDescent="0.25"/>
  <cols>
    <col min="1" max="1" width="15.88671875" style="1" bestFit="1" customWidth="1"/>
    <col min="2" max="2" width="13.33203125" style="1" bestFit="1" customWidth="1"/>
    <col min="3" max="3" width="38.44140625" style="1" bestFit="1" customWidth="1"/>
    <col min="4" max="6" width="9.44140625" style="1" bestFit="1" customWidth="1"/>
    <col min="7" max="7" width="11.6640625" style="1" bestFit="1" customWidth="1"/>
    <col min="8" max="8" width="11.109375" style="1" bestFit="1" customWidth="1"/>
    <col min="9" max="16384" width="8.88671875" style="1"/>
  </cols>
  <sheetData>
    <row r="1" spans="1:8" ht="67.5" customHeight="1" x14ac:dyDescent="0.25">
      <c r="A1" s="51" t="s">
        <v>253</v>
      </c>
    </row>
    <row r="5" spans="1:8" x14ac:dyDescent="0.25">
      <c r="A5" t="s">
        <v>190</v>
      </c>
      <c r="B5" t="s">
        <v>48</v>
      </c>
      <c r="C5" t="s">
        <v>250</v>
      </c>
      <c r="D5" t="s">
        <v>206</v>
      </c>
      <c r="E5" t="s">
        <v>251</v>
      </c>
      <c r="F5" t="s">
        <v>173</v>
      </c>
      <c r="G5" t="s">
        <v>174</v>
      </c>
      <c r="H5" t="s">
        <v>252</v>
      </c>
    </row>
    <row r="6" spans="1:8" x14ac:dyDescent="0.25">
      <c r="A6"/>
      <c r="B6"/>
      <c r="C6"/>
      <c r="D6"/>
      <c r="E6"/>
      <c r="F6"/>
      <c r="G6"/>
      <c r="H6"/>
    </row>
    <row r="7" spans="1:8" x14ac:dyDescent="0.25">
      <c r="A7"/>
      <c r="B7"/>
      <c r="C7"/>
      <c r="D7"/>
      <c r="E7"/>
      <c r="F7"/>
      <c r="G7"/>
      <c r="H7"/>
    </row>
    <row r="8" spans="1:8" x14ac:dyDescent="0.25">
      <c r="A8" t="s">
        <v>853</v>
      </c>
      <c r="B8" t="s">
        <v>854</v>
      </c>
      <c r="C8" t="s">
        <v>855</v>
      </c>
      <c r="D8">
        <v>1</v>
      </c>
      <c r="E8" t="s">
        <v>150</v>
      </c>
      <c r="F8" t="s">
        <v>182</v>
      </c>
      <c r="G8" t="s">
        <v>183</v>
      </c>
      <c r="H8">
        <v>44936</v>
      </c>
    </row>
    <row r="9" spans="1:8" x14ac:dyDescent="0.25">
      <c r="A9" t="s">
        <v>856</v>
      </c>
      <c r="B9" t="s">
        <v>857</v>
      </c>
      <c r="C9" t="s">
        <v>858</v>
      </c>
      <c r="D9">
        <v>2</v>
      </c>
      <c r="E9" t="s">
        <v>151</v>
      </c>
      <c r="F9" t="s">
        <v>182</v>
      </c>
      <c r="G9" t="s">
        <v>183</v>
      </c>
      <c r="H9">
        <v>44938</v>
      </c>
    </row>
    <row r="10" spans="1:8" x14ac:dyDescent="0.25">
      <c r="A10" t="s">
        <v>859</v>
      </c>
      <c r="B10" t="s">
        <v>860</v>
      </c>
      <c r="C10" t="s">
        <v>861</v>
      </c>
      <c r="D10">
        <v>3</v>
      </c>
      <c r="E10" t="s">
        <v>150</v>
      </c>
      <c r="F10" t="s">
        <v>182</v>
      </c>
      <c r="G10" t="s">
        <v>186</v>
      </c>
      <c r="H10">
        <v>44938</v>
      </c>
    </row>
    <row r="11" spans="1:8" x14ac:dyDescent="0.25">
      <c r="A11" t="s">
        <v>862</v>
      </c>
      <c r="B11" t="s">
        <v>863</v>
      </c>
      <c r="C11" t="s">
        <v>864</v>
      </c>
      <c r="D11">
        <v>4</v>
      </c>
      <c r="E11" t="s">
        <v>151</v>
      </c>
      <c r="F11" t="s">
        <v>182</v>
      </c>
      <c r="G11" t="s">
        <v>186</v>
      </c>
      <c r="H11">
        <v>44960</v>
      </c>
    </row>
    <row r="12" spans="1:8" x14ac:dyDescent="0.25">
      <c r="A12" t="s">
        <v>865</v>
      </c>
      <c r="B12" t="s">
        <v>866</v>
      </c>
      <c r="C12" t="s">
        <v>867</v>
      </c>
      <c r="D12">
        <v>5</v>
      </c>
      <c r="E12" t="s">
        <v>150</v>
      </c>
      <c r="F12" t="s">
        <v>182</v>
      </c>
      <c r="G12" t="s">
        <v>186</v>
      </c>
      <c r="H12">
        <v>44965</v>
      </c>
    </row>
    <row r="13" spans="1:8" x14ac:dyDescent="0.25">
      <c r="A13" t="s">
        <v>868</v>
      </c>
      <c r="B13" t="s">
        <v>869</v>
      </c>
      <c r="C13" t="s">
        <v>870</v>
      </c>
      <c r="D13">
        <v>6</v>
      </c>
      <c r="E13" t="s">
        <v>150</v>
      </c>
      <c r="F13" t="s">
        <v>182</v>
      </c>
      <c r="G13" t="s">
        <v>186</v>
      </c>
      <c r="H13">
        <v>44970</v>
      </c>
    </row>
    <row r="14" spans="1:8" x14ac:dyDescent="0.25">
      <c r="A14" t="s">
        <v>871</v>
      </c>
      <c r="B14" t="s">
        <v>872</v>
      </c>
      <c r="C14" t="s">
        <v>873</v>
      </c>
      <c r="D14">
        <v>7</v>
      </c>
      <c r="E14" t="s">
        <v>150</v>
      </c>
      <c r="F14" t="s">
        <v>182</v>
      </c>
      <c r="G14" t="s">
        <v>186</v>
      </c>
      <c r="H14">
        <v>44973</v>
      </c>
    </row>
    <row r="15" spans="1:8" x14ac:dyDescent="0.25">
      <c r="A15" t="s">
        <v>874</v>
      </c>
      <c r="B15" t="s">
        <v>875</v>
      </c>
      <c r="C15" t="s">
        <v>876</v>
      </c>
      <c r="D15">
        <v>8</v>
      </c>
      <c r="E15" t="s">
        <v>150</v>
      </c>
      <c r="F15" t="s">
        <v>182</v>
      </c>
      <c r="G15" t="s">
        <v>194</v>
      </c>
      <c r="H15">
        <v>44978</v>
      </c>
    </row>
    <row r="16" spans="1:8" x14ac:dyDescent="0.25">
      <c r="A16" t="s">
        <v>877</v>
      </c>
      <c r="B16" t="s">
        <v>878</v>
      </c>
      <c r="C16" t="s">
        <v>879</v>
      </c>
      <c r="D16">
        <v>9</v>
      </c>
      <c r="E16" t="s">
        <v>150</v>
      </c>
      <c r="F16" t="s">
        <v>182</v>
      </c>
      <c r="G16" t="s">
        <v>183</v>
      </c>
      <c r="H16">
        <v>44978</v>
      </c>
    </row>
    <row r="17" spans="1:8" x14ac:dyDescent="0.25">
      <c r="A17" t="s">
        <v>880</v>
      </c>
      <c r="B17" t="s">
        <v>881</v>
      </c>
      <c r="C17" t="s">
        <v>882</v>
      </c>
      <c r="D17">
        <v>10</v>
      </c>
      <c r="E17" t="s">
        <v>150</v>
      </c>
      <c r="F17" t="s">
        <v>182</v>
      </c>
      <c r="G17" t="s">
        <v>183</v>
      </c>
      <c r="H17">
        <v>44980</v>
      </c>
    </row>
    <row r="18" spans="1:8" x14ac:dyDescent="0.25">
      <c r="A18" t="s">
        <v>883</v>
      </c>
      <c r="B18" t="s">
        <v>884</v>
      </c>
      <c r="C18" t="s">
        <v>885</v>
      </c>
      <c r="D18">
        <v>11</v>
      </c>
      <c r="E18" t="s">
        <v>150</v>
      </c>
      <c r="F18" t="s">
        <v>182</v>
      </c>
      <c r="G18" t="s">
        <v>183</v>
      </c>
      <c r="H18">
        <v>44985</v>
      </c>
    </row>
    <row r="19" spans="1:8" x14ac:dyDescent="0.25">
      <c r="A19" t="s">
        <v>886</v>
      </c>
      <c r="B19" t="s">
        <v>887</v>
      </c>
      <c r="C19" t="s">
        <v>888</v>
      </c>
      <c r="D19">
        <v>12</v>
      </c>
      <c r="E19" t="s">
        <v>150</v>
      </c>
      <c r="F19" t="s">
        <v>182</v>
      </c>
      <c r="G19" t="s">
        <v>194</v>
      </c>
      <c r="H19">
        <v>44988</v>
      </c>
    </row>
    <row r="20" spans="1:8" x14ac:dyDescent="0.25">
      <c r="A20" t="s">
        <v>889</v>
      </c>
      <c r="B20" t="s">
        <v>890</v>
      </c>
      <c r="C20" t="s">
        <v>891</v>
      </c>
      <c r="D20">
        <v>13</v>
      </c>
      <c r="E20" t="s">
        <v>150</v>
      </c>
      <c r="F20" t="s">
        <v>182</v>
      </c>
      <c r="G20" t="s">
        <v>186</v>
      </c>
      <c r="H20">
        <v>44992</v>
      </c>
    </row>
    <row r="21" spans="1:8" x14ac:dyDescent="0.25">
      <c r="A21" t="s">
        <v>892</v>
      </c>
      <c r="B21" t="s">
        <v>893</v>
      </c>
      <c r="C21" t="s">
        <v>894</v>
      </c>
      <c r="D21">
        <v>14</v>
      </c>
      <c r="E21" t="s">
        <v>150</v>
      </c>
      <c r="F21" t="s">
        <v>182</v>
      </c>
      <c r="G21" t="s">
        <v>186</v>
      </c>
      <c r="H21">
        <v>44992</v>
      </c>
    </row>
    <row r="22" spans="1:8" x14ac:dyDescent="0.25">
      <c r="A22" t="s">
        <v>895</v>
      </c>
      <c r="B22" t="s">
        <v>896</v>
      </c>
      <c r="C22" t="s">
        <v>897</v>
      </c>
      <c r="D22">
        <v>15</v>
      </c>
      <c r="E22" t="s">
        <v>150</v>
      </c>
      <c r="F22" t="s">
        <v>182</v>
      </c>
      <c r="G22" t="s">
        <v>194</v>
      </c>
      <c r="H22">
        <v>44993</v>
      </c>
    </row>
    <row r="23" spans="1:8" x14ac:dyDescent="0.25">
      <c r="A23" t="s">
        <v>898</v>
      </c>
      <c r="B23" t="s">
        <v>899</v>
      </c>
      <c r="C23" t="s">
        <v>900</v>
      </c>
      <c r="D23">
        <v>16</v>
      </c>
      <c r="E23" t="s">
        <v>150</v>
      </c>
      <c r="F23" t="s">
        <v>182</v>
      </c>
      <c r="G23" t="s">
        <v>186</v>
      </c>
      <c r="H23">
        <v>45002</v>
      </c>
    </row>
    <row r="24" spans="1:8" x14ac:dyDescent="0.25">
      <c r="A24" t="s">
        <v>901</v>
      </c>
      <c r="B24" t="s">
        <v>902</v>
      </c>
      <c r="C24" t="s">
        <v>903</v>
      </c>
      <c r="D24">
        <v>17</v>
      </c>
      <c r="E24" t="s">
        <v>150</v>
      </c>
      <c r="F24" t="s">
        <v>182</v>
      </c>
      <c r="G24" t="s">
        <v>186</v>
      </c>
      <c r="H24">
        <v>45006</v>
      </c>
    </row>
    <row r="25" spans="1:8" x14ac:dyDescent="0.25">
      <c r="A25" t="s">
        <v>904</v>
      </c>
      <c r="B25" t="s">
        <v>905</v>
      </c>
      <c r="C25" t="s">
        <v>906</v>
      </c>
      <c r="D25">
        <v>18</v>
      </c>
      <c r="E25" t="s">
        <v>151</v>
      </c>
      <c r="F25" t="s">
        <v>185</v>
      </c>
      <c r="G25" t="s">
        <v>186</v>
      </c>
      <c r="H25">
        <v>45008</v>
      </c>
    </row>
    <row r="26" spans="1:8" x14ac:dyDescent="0.25">
      <c r="A26" t="s">
        <v>907</v>
      </c>
      <c r="B26" t="s">
        <v>908</v>
      </c>
      <c r="C26" t="s">
        <v>909</v>
      </c>
      <c r="D26">
        <v>19</v>
      </c>
      <c r="E26" t="s">
        <v>151</v>
      </c>
      <c r="F26" t="s">
        <v>182</v>
      </c>
      <c r="G26" t="s">
        <v>186</v>
      </c>
      <c r="H26">
        <v>45009</v>
      </c>
    </row>
    <row r="27" spans="1:8" x14ac:dyDescent="0.25">
      <c r="A27" t="s">
        <v>910</v>
      </c>
      <c r="B27" t="s">
        <v>911</v>
      </c>
      <c r="C27" t="s">
        <v>912</v>
      </c>
      <c r="D27">
        <v>20</v>
      </c>
      <c r="E27" t="s">
        <v>150</v>
      </c>
      <c r="F27" t="s">
        <v>182</v>
      </c>
      <c r="G27" t="s">
        <v>194</v>
      </c>
      <c r="H27">
        <v>45015</v>
      </c>
    </row>
    <row r="28" spans="1:8" x14ac:dyDescent="0.25">
      <c r="A28" t="s">
        <v>913</v>
      </c>
      <c r="B28" t="s">
        <v>914</v>
      </c>
      <c r="C28" t="s">
        <v>915</v>
      </c>
      <c r="D28">
        <v>21</v>
      </c>
      <c r="E28" t="s">
        <v>150</v>
      </c>
      <c r="F28" t="s">
        <v>182</v>
      </c>
      <c r="G28" t="s">
        <v>186</v>
      </c>
      <c r="H28">
        <v>45016</v>
      </c>
    </row>
    <row r="29" spans="1:8" x14ac:dyDescent="0.25">
      <c r="A29" t="s">
        <v>916</v>
      </c>
      <c r="B29" t="s">
        <v>917</v>
      </c>
      <c r="C29" t="s">
        <v>918</v>
      </c>
      <c r="D29">
        <v>22</v>
      </c>
      <c r="E29" t="s">
        <v>150</v>
      </c>
      <c r="F29" t="s">
        <v>182</v>
      </c>
      <c r="G29" t="s">
        <v>194</v>
      </c>
      <c r="H29">
        <v>45028</v>
      </c>
    </row>
    <row r="30" spans="1:8" x14ac:dyDescent="0.25">
      <c r="A30" t="s">
        <v>919</v>
      </c>
      <c r="B30" t="s">
        <v>920</v>
      </c>
      <c r="C30" t="s">
        <v>921</v>
      </c>
      <c r="D30">
        <v>23</v>
      </c>
      <c r="E30" t="s">
        <v>150</v>
      </c>
      <c r="F30" t="s">
        <v>182</v>
      </c>
      <c r="G30" t="s">
        <v>186</v>
      </c>
      <c r="H30">
        <v>45033</v>
      </c>
    </row>
    <row r="31" spans="1:8" x14ac:dyDescent="0.25">
      <c r="A31" t="s">
        <v>922</v>
      </c>
      <c r="B31" t="s">
        <v>923</v>
      </c>
      <c r="C31" t="s">
        <v>909</v>
      </c>
      <c r="D31">
        <v>24</v>
      </c>
      <c r="E31" t="s">
        <v>151</v>
      </c>
      <c r="F31" t="s">
        <v>182</v>
      </c>
      <c r="G31" t="s">
        <v>186</v>
      </c>
      <c r="H31">
        <v>45033</v>
      </c>
    </row>
    <row r="32" spans="1:8" x14ac:dyDescent="0.25">
      <c r="A32" t="s">
        <v>924</v>
      </c>
      <c r="B32" t="s">
        <v>925</v>
      </c>
      <c r="C32" t="s">
        <v>867</v>
      </c>
      <c r="D32">
        <v>25</v>
      </c>
      <c r="E32" t="s">
        <v>151</v>
      </c>
      <c r="F32" t="s">
        <v>185</v>
      </c>
      <c r="G32" t="s">
        <v>186</v>
      </c>
      <c r="H32">
        <v>45033</v>
      </c>
    </row>
    <row r="33" spans="1:8" x14ac:dyDescent="0.25">
      <c r="A33" t="s">
        <v>926</v>
      </c>
      <c r="B33" t="s">
        <v>927</v>
      </c>
      <c r="C33" t="s">
        <v>858</v>
      </c>
      <c r="D33">
        <v>26</v>
      </c>
      <c r="E33" t="s">
        <v>151</v>
      </c>
      <c r="F33" t="s">
        <v>185</v>
      </c>
      <c r="G33" t="s">
        <v>183</v>
      </c>
      <c r="H33">
        <v>45033</v>
      </c>
    </row>
    <row r="34" spans="1:8" x14ac:dyDescent="0.25">
      <c r="A34" t="s">
        <v>928</v>
      </c>
      <c r="B34" t="s">
        <v>929</v>
      </c>
      <c r="C34" t="s">
        <v>930</v>
      </c>
      <c r="D34">
        <v>27</v>
      </c>
      <c r="E34" t="s">
        <v>151</v>
      </c>
      <c r="F34" t="s">
        <v>185</v>
      </c>
      <c r="G34" t="s">
        <v>186</v>
      </c>
      <c r="H34">
        <v>45034</v>
      </c>
    </row>
    <row r="35" spans="1:8" x14ac:dyDescent="0.25">
      <c r="A35" t="s">
        <v>931</v>
      </c>
      <c r="B35" t="s">
        <v>932</v>
      </c>
      <c r="C35" t="s">
        <v>933</v>
      </c>
      <c r="D35">
        <v>28</v>
      </c>
      <c r="E35" t="s">
        <v>150</v>
      </c>
      <c r="F35" t="s">
        <v>182</v>
      </c>
      <c r="G35" t="s">
        <v>183</v>
      </c>
      <c r="H35">
        <v>45036</v>
      </c>
    </row>
    <row r="36" spans="1:8" x14ac:dyDescent="0.25">
      <c r="A36" t="s">
        <v>931</v>
      </c>
      <c r="B36" t="s">
        <v>934</v>
      </c>
      <c r="C36" t="s">
        <v>933</v>
      </c>
      <c r="D36">
        <v>29</v>
      </c>
      <c r="E36" t="s">
        <v>150</v>
      </c>
      <c r="F36" t="s">
        <v>182</v>
      </c>
      <c r="G36" t="s">
        <v>183</v>
      </c>
      <c r="H36">
        <v>45036</v>
      </c>
    </row>
    <row r="37" spans="1:8" x14ac:dyDescent="0.25">
      <c r="A37" t="s">
        <v>935</v>
      </c>
      <c r="B37" t="s">
        <v>936</v>
      </c>
      <c r="C37" t="s">
        <v>937</v>
      </c>
      <c r="D37">
        <v>30</v>
      </c>
      <c r="E37" t="s">
        <v>150</v>
      </c>
      <c r="F37" t="s">
        <v>182</v>
      </c>
      <c r="G37" t="s">
        <v>183</v>
      </c>
      <c r="H37">
        <v>45056</v>
      </c>
    </row>
    <row r="38" spans="1:8" x14ac:dyDescent="0.25">
      <c r="A38" t="s">
        <v>938</v>
      </c>
      <c r="B38" t="s">
        <v>939</v>
      </c>
      <c r="C38" t="s">
        <v>940</v>
      </c>
      <c r="D38">
        <v>31</v>
      </c>
      <c r="E38" t="s">
        <v>151</v>
      </c>
      <c r="F38" t="s">
        <v>185</v>
      </c>
      <c r="G38" t="s">
        <v>183</v>
      </c>
      <c r="H38">
        <v>45064</v>
      </c>
    </row>
    <row r="39" spans="1:8" x14ac:dyDescent="0.25">
      <c r="A39" t="s">
        <v>941</v>
      </c>
      <c r="B39" t="s">
        <v>942</v>
      </c>
      <c r="C39" t="s">
        <v>943</v>
      </c>
      <c r="D39">
        <v>32</v>
      </c>
      <c r="E39" t="s">
        <v>151</v>
      </c>
      <c r="F39" t="s">
        <v>182</v>
      </c>
      <c r="G39" t="s">
        <v>183</v>
      </c>
      <c r="H39">
        <v>45069</v>
      </c>
    </row>
    <row r="40" spans="1:8" x14ac:dyDescent="0.25">
      <c r="A40" t="s">
        <v>941</v>
      </c>
      <c r="B40" t="s">
        <v>944</v>
      </c>
      <c r="C40" t="s">
        <v>945</v>
      </c>
      <c r="D40">
        <v>33</v>
      </c>
      <c r="E40" t="s">
        <v>151</v>
      </c>
      <c r="F40" t="s">
        <v>182</v>
      </c>
      <c r="G40" t="s">
        <v>183</v>
      </c>
      <c r="H40">
        <v>45069</v>
      </c>
    </row>
    <row r="41" spans="1:8" x14ac:dyDescent="0.25">
      <c r="A41" t="s">
        <v>946</v>
      </c>
      <c r="B41" t="s">
        <v>947</v>
      </c>
      <c r="C41" t="s">
        <v>948</v>
      </c>
      <c r="D41">
        <v>34</v>
      </c>
      <c r="E41" t="s">
        <v>150</v>
      </c>
      <c r="F41" t="s">
        <v>182</v>
      </c>
      <c r="G41" t="s">
        <v>186</v>
      </c>
      <c r="H41">
        <v>45078</v>
      </c>
    </row>
    <row r="42" spans="1:8" x14ac:dyDescent="0.25">
      <c r="A42" t="s">
        <v>949</v>
      </c>
      <c r="B42" t="s">
        <v>950</v>
      </c>
      <c r="C42" t="s">
        <v>951</v>
      </c>
      <c r="D42">
        <v>35</v>
      </c>
      <c r="E42" t="s">
        <v>150</v>
      </c>
      <c r="F42" t="s">
        <v>182</v>
      </c>
      <c r="G42" t="s">
        <v>186</v>
      </c>
      <c r="H42">
        <v>45083</v>
      </c>
    </row>
    <row r="43" spans="1:8" x14ac:dyDescent="0.25">
      <c r="A43" t="s">
        <v>952</v>
      </c>
      <c r="B43" t="s">
        <v>953</v>
      </c>
      <c r="C43" t="s">
        <v>954</v>
      </c>
      <c r="D43">
        <v>36</v>
      </c>
      <c r="E43" t="s">
        <v>150</v>
      </c>
      <c r="F43" t="s">
        <v>182</v>
      </c>
      <c r="G43" t="s">
        <v>186</v>
      </c>
      <c r="H43">
        <v>45086</v>
      </c>
    </row>
    <row r="44" spans="1:8" x14ac:dyDescent="0.25">
      <c r="A44" t="s">
        <v>955</v>
      </c>
      <c r="B44" t="s">
        <v>956</v>
      </c>
      <c r="C44" t="s">
        <v>921</v>
      </c>
      <c r="D44">
        <v>37</v>
      </c>
      <c r="E44" t="s">
        <v>150</v>
      </c>
      <c r="F44" t="s">
        <v>182</v>
      </c>
      <c r="G44" t="s">
        <v>186</v>
      </c>
      <c r="H44">
        <v>45086</v>
      </c>
    </row>
    <row r="45" spans="1:8" x14ac:dyDescent="0.25">
      <c r="A45" t="s">
        <v>957</v>
      </c>
      <c r="B45" t="s">
        <v>958</v>
      </c>
      <c r="C45" t="s">
        <v>959</v>
      </c>
      <c r="D45">
        <v>38</v>
      </c>
      <c r="E45" t="s">
        <v>150</v>
      </c>
      <c r="F45" t="s">
        <v>182</v>
      </c>
      <c r="G45" t="s">
        <v>186</v>
      </c>
      <c r="H45">
        <v>45089</v>
      </c>
    </row>
    <row r="46" spans="1:8" x14ac:dyDescent="0.25">
      <c r="A46" t="s">
        <v>960</v>
      </c>
      <c r="B46" t="s">
        <v>961</v>
      </c>
      <c r="C46" t="s">
        <v>894</v>
      </c>
      <c r="D46">
        <v>39</v>
      </c>
      <c r="E46" t="s">
        <v>150</v>
      </c>
      <c r="F46" t="s">
        <v>182</v>
      </c>
      <c r="G46" t="s">
        <v>186</v>
      </c>
      <c r="H46">
        <v>45091</v>
      </c>
    </row>
    <row r="47" spans="1:8" x14ac:dyDescent="0.25">
      <c r="A47" t="s">
        <v>962</v>
      </c>
      <c r="B47" t="s">
        <v>961</v>
      </c>
      <c r="C47" t="s">
        <v>894</v>
      </c>
      <c r="D47">
        <v>40</v>
      </c>
      <c r="E47" t="s">
        <v>150</v>
      </c>
      <c r="F47" t="s">
        <v>182</v>
      </c>
      <c r="G47" t="s">
        <v>186</v>
      </c>
      <c r="H47">
        <v>45093</v>
      </c>
    </row>
    <row r="48" spans="1:8" x14ac:dyDescent="0.25">
      <c r="A48" t="s">
        <v>963</v>
      </c>
      <c r="B48" t="s">
        <v>964</v>
      </c>
      <c r="C48" t="s">
        <v>965</v>
      </c>
      <c r="D48">
        <v>41</v>
      </c>
      <c r="E48" t="s">
        <v>150</v>
      </c>
      <c r="F48" t="s">
        <v>182</v>
      </c>
      <c r="G48" t="s">
        <v>186</v>
      </c>
      <c r="H48">
        <v>45097</v>
      </c>
    </row>
    <row r="49" spans="1:8" x14ac:dyDescent="0.25">
      <c r="A49" t="s">
        <v>966</v>
      </c>
      <c r="B49" t="s">
        <v>967</v>
      </c>
      <c r="C49" t="s">
        <v>968</v>
      </c>
      <c r="D49">
        <v>42</v>
      </c>
      <c r="E49" t="s">
        <v>150</v>
      </c>
      <c r="F49" t="s">
        <v>969</v>
      </c>
      <c r="G49" t="s">
        <v>183</v>
      </c>
      <c r="H49">
        <v>45096</v>
      </c>
    </row>
    <row r="50" spans="1:8" x14ac:dyDescent="0.25">
      <c r="A50" t="s">
        <v>970</v>
      </c>
      <c r="B50" t="s">
        <v>971</v>
      </c>
      <c r="C50" t="s">
        <v>972</v>
      </c>
      <c r="D50">
        <v>43</v>
      </c>
      <c r="E50" t="s">
        <v>150</v>
      </c>
      <c r="F50" t="s">
        <v>182</v>
      </c>
      <c r="G50" t="s">
        <v>183</v>
      </c>
      <c r="H50">
        <v>45104</v>
      </c>
    </row>
    <row r="51" spans="1:8" x14ac:dyDescent="0.25">
      <c r="A51" t="s">
        <v>973</v>
      </c>
      <c r="B51" t="s">
        <v>974</v>
      </c>
      <c r="C51" t="s">
        <v>975</v>
      </c>
      <c r="D51">
        <v>44</v>
      </c>
      <c r="E51" t="s">
        <v>151</v>
      </c>
      <c r="F51" t="s">
        <v>182</v>
      </c>
      <c r="G51" t="s">
        <v>186</v>
      </c>
      <c r="H51">
        <v>45104</v>
      </c>
    </row>
    <row r="52" spans="1:8" x14ac:dyDescent="0.25">
      <c r="A52" t="s">
        <v>976</v>
      </c>
      <c r="B52" t="s">
        <v>977</v>
      </c>
      <c r="C52" t="s">
        <v>978</v>
      </c>
      <c r="D52">
        <v>45</v>
      </c>
      <c r="E52" t="s">
        <v>150</v>
      </c>
      <c r="F52" t="s">
        <v>182</v>
      </c>
      <c r="G52" t="s">
        <v>183</v>
      </c>
      <c r="H52">
        <v>45113</v>
      </c>
    </row>
    <row r="53" spans="1:8" x14ac:dyDescent="0.25">
      <c r="A53" t="s">
        <v>979</v>
      </c>
      <c r="B53" t="s">
        <v>950</v>
      </c>
      <c r="C53" t="s">
        <v>951</v>
      </c>
      <c r="D53">
        <v>46</v>
      </c>
      <c r="E53" t="s">
        <v>150</v>
      </c>
      <c r="F53" t="s">
        <v>182</v>
      </c>
      <c r="G53" t="s">
        <v>186</v>
      </c>
      <c r="H53">
        <v>45118</v>
      </c>
    </row>
    <row r="54" spans="1:8" x14ac:dyDescent="0.25">
      <c r="A54" t="s">
        <v>980</v>
      </c>
      <c r="B54" t="s">
        <v>981</v>
      </c>
      <c r="C54" t="s">
        <v>423</v>
      </c>
      <c r="D54">
        <v>47</v>
      </c>
      <c r="E54" t="s">
        <v>150</v>
      </c>
      <c r="F54" t="s">
        <v>182</v>
      </c>
      <c r="G54" t="s">
        <v>183</v>
      </c>
      <c r="H54">
        <v>45118</v>
      </c>
    </row>
    <row r="55" spans="1:8" x14ac:dyDescent="0.25">
      <c r="A55" t="s">
        <v>982</v>
      </c>
      <c r="B55" t="s">
        <v>983</v>
      </c>
      <c r="C55" t="s">
        <v>984</v>
      </c>
      <c r="D55">
        <v>48</v>
      </c>
      <c r="E55" t="s">
        <v>150</v>
      </c>
      <c r="F55" t="s">
        <v>182</v>
      </c>
      <c r="G55" t="s">
        <v>186</v>
      </c>
      <c r="H55">
        <v>45119</v>
      </c>
    </row>
    <row r="56" spans="1:8" x14ac:dyDescent="0.25">
      <c r="A56" t="s">
        <v>985</v>
      </c>
      <c r="B56" t="s">
        <v>986</v>
      </c>
      <c r="C56" t="s">
        <v>987</v>
      </c>
      <c r="D56">
        <v>49</v>
      </c>
      <c r="E56" t="s">
        <v>150</v>
      </c>
      <c r="F56" t="s">
        <v>182</v>
      </c>
      <c r="G56" t="s">
        <v>194</v>
      </c>
      <c r="H56">
        <v>45127</v>
      </c>
    </row>
    <row r="57" spans="1:8" x14ac:dyDescent="0.25">
      <c r="A57" t="s">
        <v>988</v>
      </c>
      <c r="B57" t="s">
        <v>989</v>
      </c>
      <c r="C57" t="s">
        <v>940</v>
      </c>
      <c r="D57">
        <v>50</v>
      </c>
      <c r="E57" t="s">
        <v>151</v>
      </c>
      <c r="F57" t="s">
        <v>185</v>
      </c>
      <c r="G57" t="s">
        <v>183</v>
      </c>
      <c r="H57">
        <v>45138</v>
      </c>
    </row>
    <row r="58" spans="1:8" x14ac:dyDescent="0.25">
      <c r="A58" t="s">
        <v>990</v>
      </c>
      <c r="B58" t="s">
        <v>991</v>
      </c>
      <c r="C58" t="s">
        <v>992</v>
      </c>
      <c r="D58">
        <v>51</v>
      </c>
      <c r="E58" t="s">
        <v>150</v>
      </c>
      <c r="F58" t="s">
        <v>182</v>
      </c>
      <c r="G58" t="s">
        <v>183</v>
      </c>
      <c r="H58">
        <v>45140</v>
      </c>
    </row>
    <row r="59" spans="1:8" x14ac:dyDescent="0.25">
      <c r="A59" t="s">
        <v>993</v>
      </c>
      <c r="B59" t="s">
        <v>994</v>
      </c>
      <c r="C59" t="s">
        <v>995</v>
      </c>
      <c r="D59">
        <v>52</v>
      </c>
      <c r="E59" t="s">
        <v>150</v>
      </c>
      <c r="F59" t="s">
        <v>182</v>
      </c>
      <c r="G59" t="s">
        <v>194</v>
      </c>
      <c r="H59">
        <v>45141</v>
      </c>
    </row>
    <row r="60" spans="1:8" x14ac:dyDescent="0.25">
      <c r="A60" t="s">
        <v>996</v>
      </c>
      <c r="B60" t="s">
        <v>997</v>
      </c>
      <c r="C60" t="s">
        <v>998</v>
      </c>
      <c r="D60">
        <v>53</v>
      </c>
      <c r="E60" t="s">
        <v>151</v>
      </c>
      <c r="F60" t="s">
        <v>182</v>
      </c>
      <c r="G60" t="s">
        <v>194</v>
      </c>
      <c r="H60">
        <v>45147</v>
      </c>
    </row>
    <row r="61" spans="1:8" x14ac:dyDescent="0.25">
      <c r="A61" t="s">
        <v>999</v>
      </c>
      <c r="B61" t="s">
        <v>1000</v>
      </c>
      <c r="C61" t="s">
        <v>1001</v>
      </c>
      <c r="D61">
        <v>54</v>
      </c>
      <c r="E61" t="s">
        <v>150</v>
      </c>
      <c r="F61" t="s">
        <v>182</v>
      </c>
      <c r="G61" t="s">
        <v>186</v>
      </c>
      <c r="H61">
        <v>45148</v>
      </c>
    </row>
    <row r="62" spans="1:8" x14ac:dyDescent="0.25">
      <c r="A62" t="s">
        <v>1002</v>
      </c>
      <c r="B62" t="s">
        <v>1003</v>
      </c>
      <c r="C62" t="s">
        <v>1004</v>
      </c>
      <c r="D62">
        <v>55</v>
      </c>
      <c r="E62" t="s">
        <v>150</v>
      </c>
      <c r="F62" t="s">
        <v>182</v>
      </c>
      <c r="G62" t="s">
        <v>186</v>
      </c>
      <c r="H62">
        <v>45160</v>
      </c>
    </row>
    <row r="63" spans="1:8" x14ac:dyDescent="0.25">
      <c r="A63" t="s">
        <v>1005</v>
      </c>
      <c r="B63" t="s">
        <v>1006</v>
      </c>
      <c r="C63" t="s">
        <v>1007</v>
      </c>
      <c r="D63">
        <v>56</v>
      </c>
      <c r="E63" t="s">
        <v>151</v>
      </c>
      <c r="F63" t="s">
        <v>182</v>
      </c>
      <c r="G63" t="s">
        <v>186</v>
      </c>
      <c r="H63">
        <v>45160</v>
      </c>
    </row>
    <row r="64" spans="1:8" x14ac:dyDescent="0.25">
      <c r="A64" t="s">
        <v>1008</v>
      </c>
      <c r="B64" t="s">
        <v>1009</v>
      </c>
      <c r="C64" t="s">
        <v>1010</v>
      </c>
      <c r="D64">
        <v>57</v>
      </c>
      <c r="E64" t="s">
        <v>150</v>
      </c>
      <c r="F64" t="s">
        <v>182</v>
      </c>
      <c r="G64" t="s">
        <v>183</v>
      </c>
      <c r="H64">
        <v>45161</v>
      </c>
    </row>
    <row r="65" spans="1:8" x14ac:dyDescent="0.25">
      <c r="A65" t="s">
        <v>1011</v>
      </c>
      <c r="B65" t="s">
        <v>1012</v>
      </c>
      <c r="C65" t="s">
        <v>1013</v>
      </c>
      <c r="D65">
        <v>58</v>
      </c>
      <c r="E65" t="s">
        <v>150</v>
      </c>
      <c r="F65" t="s">
        <v>182</v>
      </c>
      <c r="G65" t="s">
        <v>186</v>
      </c>
      <c r="H65">
        <v>45167</v>
      </c>
    </row>
    <row r="66" spans="1:8" x14ac:dyDescent="0.25">
      <c r="A66" t="s">
        <v>1014</v>
      </c>
      <c r="B66" t="s">
        <v>1015</v>
      </c>
      <c r="C66" t="s">
        <v>1016</v>
      </c>
      <c r="D66">
        <v>59</v>
      </c>
      <c r="E66" t="s">
        <v>151</v>
      </c>
      <c r="F66" t="s">
        <v>182</v>
      </c>
      <c r="G66" t="s">
        <v>186</v>
      </c>
      <c r="H66">
        <v>45167</v>
      </c>
    </row>
    <row r="67" spans="1:8" x14ac:dyDescent="0.25">
      <c r="A67" t="s">
        <v>1017</v>
      </c>
      <c r="B67" t="s">
        <v>502</v>
      </c>
      <c r="C67" t="s">
        <v>1018</v>
      </c>
      <c r="D67">
        <v>60</v>
      </c>
      <c r="E67" t="s">
        <v>151</v>
      </c>
      <c r="F67" t="s">
        <v>182</v>
      </c>
      <c r="G67" t="s">
        <v>183</v>
      </c>
      <c r="H67">
        <v>45180</v>
      </c>
    </row>
    <row r="68" spans="1:8" x14ac:dyDescent="0.25">
      <c r="A68" t="s">
        <v>1019</v>
      </c>
      <c r="B68" t="s">
        <v>1020</v>
      </c>
      <c r="C68" t="s">
        <v>1021</v>
      </c>
      <c r="D68">
        <v>61</v>
      </c>
      <c r="E68" t="s">
        <v>151</v>
      </c>
      <c r="F68" t="s">
        <v>185</v>
      </c>
      <c r="G68" t="s">
        <v>186</v>
      </c>
      <c r="H68">
        <v>45181</v>
      </c>
    </row>
    <row r="69" spans="1:8" x14ac:dyDescent="0.25">
      <c r="A69">
        <v>818</v>
      </c>
      <c r="B69" t="s">
        <v>500</v>
      </c>
      <c r="C69" t="s">
        <v>1022</v>
      </c>
      <c r="D69">
        <v>62</v>
      </c>
      <c r="E69" t="s">
        <v>150</v>
      </c>
      <c r="F69" t="s">
        <v>182</v>
      </c>
      <c r="G69" t="s">
        <v>183</v>
      </c>
      <c r="H69">
        <v>45182</v>
      </c>
    </row>
    <row r="70" spans="1:8" x14ac:dyDescent="0.25">
      <c r="A70" t="s">
        <v>1023</v>
      </c>
      <c r="B70" t="s">
        <v>1024</v>
      </c>
      <c r="C70" t="s">
        <v>1025</v>
      </c>
      <c r="D70">
        <v>63</v>
      </c>
      <c r="E70" t="s">
        <v>150</v>
      </c>
      <c r="F70" t="s">
        <v>969</v>
      </c>
      <c r="G70" t="s">
        <v>183</v>
      </c>
      <c r="H70">
        <v>45182</v>
      </c>
    </row>
    <row r="71" spans="1:8" x14ac:dyDescent="0.25">
      <c r="A71" t="s">
        <v>1026</v>
      </c>
      <c r="B71" t="s">
        <v>501</v>
      </c>
      <c r="C71" t="s">
        <v>1027</v>
      </c>
      <c r="D71">
        <v>64</v>
      </c>
      <c r="E71" t="s">
        <v>150</v>
      </c>
      <c r="F71" t="s">
        <v>182</v>
      </c>
      <c r="G71" t="s">
        <v>186</v>
      </c>
      <c r="H71">
        <v>45182</v>
      </c>
    </row>
    <row r="72" spans="1:8" x14ac:dyDescent="0.25">
      <c r="A72" t="s">
        <v>1028</v>
      </c>
      <c r="B72" t="s">
        <v>481</v>
      </c>
      <c r="C72" t="s">
        <v>1029</v>
      </c>
      <c r="D72">
        <v>65</v>
      </c>
      <c r="E72" t="s">
        <v>150</v>
      </c>
      <c r="F72" t="s">
        <v>182</v>
      </c>
      <c r="G72" t="s">
        <v>194</v>
      </c>
      <c r="H72">
        <v>45189</v>
      </c>
    </row>
    <row r="73" spans="1:8" x14ac:dyDescent="0.25">
      <c r="A73" t="s">
        <v>1030</v>
      </c>
      <c r="B73" t="s">
        <v>1031</v>
      </c>
      <c r="C73" t="s">
        <v>1032</v>
      </c>
      <c r="D73">
        <v>66</v>
      </c>
      <c r="E73" t="s">
        <v>150</v>
      </c>
      <c r="F73" t="s">
        <v>182</v>
      </c>
      <c r="G73" t="s">
        <v>194</v>
      </c>
      <c r="H73">
        <v>45189</v>
      </c>
    </row>
    <row r="74" spans="1:8" x14ac:dyDescent="0.25">
      <c r="A74" t="s">
        <v>524</v>
      </c>
      <c r="B74" t="s">
        <v>525</v>
      </c>
      <c r="C74" t="s">
        <v>526</v>
      </c>
      <c r="D74">
        <v>67</v>
      </c>
      <c r="E74" t="s">
        <v>150</v>
      </c>
      <c r="F74" t="s">
        <v>182</v>
      </c>
      <c r="G74" t="s">
        <v>194</v>
      </c>
      <c r="H74">
        <v>45197</v>
      </c>
    </row>
    <row r="75" spans="1:8" x14ac:dyDescent="0.25">
      <c r="A75" t="s">
        <v>527</v>
      </c>
      <c r="B75" t="s">
        <v>528</v>
      </c>
      <c r="C75" t="s">
        <v>529</v>
      </c>
      <c r="D75">
        <v>68</v>
      </c>
      <c r="E75" t="s">
        <v>150</v>
      </c>
      <c r="F75" t="s">
        <v>182</v>
      </c>
      <c r="G75" t="s">
        <v>194</v>
      </c>
      <c r="H75">
        <v>45197</v>
      </c>
    </row>
    <row r="76" spans="1:8" x14ac:dyDescent="0.25">
      <c r="A76"/>
      <c r="B76"/>
      <c r="C76"/>
      <c r="D76"/>
      <c r="E76"/>
      <c r="F76"/>
      <c r="G76"/>
      <c r="H76"/>
    </row>
    <row r="77" spans="1:8" x14ac:dyDescent="0.25">
      <c r="A77"/>
      <c r="B77"/>
      <c r="C77"/>
      <c r="D77"/>
      <c r="E77"/>
      <c r="F77"/>
      <c r="G77"/>
      <c r="H77"/>
    </row>
    <row r="78" spans="1:8" x14ac:dyDescent="0.25">
      <c r="A78"/>
      <c r="B78"/>
      <c r="C78"/>
      <c r="D78"/>
      <c r="E78"/>
      <c r="F78"/>
      <c r="G78"/>
      <c r="H78"/>
    </row>
    <row r="79" spans="1:8" x14ac:dyDescent="0.25">
      <c r="A79"/>
      <c r="B79"/>
      <c r="C79"/>
      <c r="D79"/>
      <c r="E79"/>
      <c r="F79"/>
      <c r="G79"/>
      <c r="H79"/>
    </row>
    <row r="80" spans="1:8" x14ac:dyDescent="0.25">
      <c r="A80"/>
      <c r="B80"/>
      <c r="C80"/>
      <c r="D80"/>
      <c r="E80"/>
      <c r="F80"/>
      <c r="G80"/>
      <c r="H80"/>
    </row>
    <row r="81" spans="1:8" x14ac:dyDescent="0.25">
      <c r="A81"/>
      <c r="B81"/>
      <c r="C81"/>
      <c r="D81"/>
      <c r="E81"/>
      <c r="F81"/>
      <c r="G81"/>
      <c r="H81"/>
    </row>
    <row r="82" spans="1:8" x14ac:dyDescent="0.25">
      <c r="A82"/>
      <c r="B82"/>
      <c r="C82"/>
      <c r="D82"/>
      <c r="E82"/>
      <c r="F82"/>
      <c r="G82"/>
      <c r="H82"/>
    </row>
    <row r="83" spans="1:8" x14ac:dyDescent="0.25">
      <c r="A83"/>
      <c r="B83"/>
      <c r="C83"/>
      <c r="D83"/>
      <c r="E83"/>
      <c r="F83"/>
      <c r="G83"/>
      <c r="H83"/>
    </row>
    <row r="84" spans="1:8" x14ac:dyDescent="0.25">
      <c r="A84"/>
      <c r="B84"/>
      <c r="C84"/>
      <c r="D84"/>
      <c r="E84"/>
      <c r="F84"/>
      <c r="G84"/>
      <c r="H84"/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4"/>
  <sheetViews>
    <sheetView topLeftCell="AQ1" workbookViewId="0">
      <selection activeCell="AW7" sqref="AW7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31.5546875" style="1" bestFit="1" customWidth="1"/>
    <col min="4" max="4" width="13.33203125" style="1" bestFit="1" customWidth="1"/>
    <col min="5" max="5" width="9.33203125" style="1" bestFit="1" customWidth="1"/>
    <col min="6" max="7" width="9.2187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2" width="5.88671875" style="1" bestFit="1" customWidth="1"/>
    <col min="13" max="13" width="5.6640625" style="1" bestFit="1" customWidth="1"/>
    <col min="14" max="14" width="5.77734375" style="1" bestFit="1" customWidth="1"/>
    <col min="15" max="15" width="5.88671875" style="1" bestFit="1" customWidth="1"/>
    <col min="16" max="17" width="9.21875" style="1" bestFit="1" customWidth="1"/>
    <col min="18" max="18" width="7.5546875" style="1" bestFit="1" customWidth="1"/>
    <col min="19" max="19" width="5.88671875" style="1" bestFit="1" customWidth="1"/>
    <col min="20" max="20" width="6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10.33203125" style="1" bestFit="1" customWidth="1"/>
    <col min="28" max="28" width="7.5546875" style="1" bestFit="1" customWidth="1"/>
    <col min="29" max="29" width="6" style="1" bestFit="1" customWidth="1"/>
    <col min="30" max="30" width="7.5546875" style="1" bestFit="1" customWidth="1"/>
    <col min="31" max="31" width="8.109375" style="1" bestFit="1" customWidth="1"/>
    <col min="32" max="32" width="10.88671875" style="1" bestFit="1" customWidth="1"/>
    <col min="33" max="33" width="14.21875" style="1" bestFit="1" customWidth="1"/>
    <col min="34" max="34" width="9.21875" style="1" bestFit="1" customWidth="1"/>
    <col min="35" max="35" width="45.44140625" style="1" bestFit="1" customWidth="1"/>
    <col min="36" max="36" width="25.88671875" style="1" bestFit="1" customWidth="1"/>
    <col min="37" max="37" width="14.21875" style="1" bestFit="1" customWidth="1"/>
    <col min="38" max="38" width="7.6640625" style="1" bestFit="1" customWidth="1"/>
    <col min="39" max="39" width="5.6640625" style="1" bestFit="1" customWidth="1"/>
    <col min="40" max="40" width="11.1093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5" width="6.5546875" style="1" bestFit="1" customWidth="1"/>
    <col min="46" max="46" width="80.8867187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9.44140625" style="1" bestFit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t="s">
        <v>86</v>
      </c>
      <c r="B4" t="s">
        <v>451</v>
      </c>
      <c r="C4" t="s">
        <v>94</v>
      </c>
      <c r="D4" t="s">
        <v>48</v>
      </c>
      <c r="E4" t="s">
        <v>49</v>
      </c>
      <c r="F4" t="s">
        <v>136</v>
      </c>
      <c r="G4" t="s">
        <v>179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153</v>
      </c>
      <c r="P4" t="s">
        <v>168</v>
      </c>
      <c r="Q4" t="s">
        <v>170</v>
      </c>
      <c r="R4" t="s">
        <v>59</v>
      </c>
      <c r="S4" t="s">
        <v>90</v>
      </c>
      <c r="T4" t="s">
        <v>91</v>
      </c>
      <c r="U4" t="s">
        <v>188</v>
      </c>
      <c r="V4" t="s">
        <v>189</v>
      </c>
      <c r="W4" t="s">
        <v>142</v>
      </c>
      <c r="X4" t="s">
        <v>81</v>
      </c>
      <c r="Y4" t="s">
        <v>67</v>
      </c>
      <c r="Z4" t="s">
        <v>70</v>
      </c>
      <c r="AA4" t="s">
        <v>52</v>
      </c>
      <c r="AB4" t="s">
        <v>175</v>
      </c>
      <c r="AC4" t="s">
        <v>176</v>
      </c>
      <c r="AD4" t="s">
        <v>213</v>
      </c>
      <c r="AE4" t="s">
        <v>66</v>
      </c>
      <c r="AF4" t="s">
        <v>237</v>
      </c>
      <c r="AG4" t="s">
        <v>270</v>
      </c>
      <c r="AH4" t="s">
        <v>210</v>
      </c>
      <c r="AI4" t="s">
        <v>71</v>
      </c>
      <c r="AJ4" t="s">
        <v>72</v>
      </c>
      <c r="AK4" t="s">
        <v>82</v>
      </c>
      <c r="AL4" t="s">
        <v>41</v>
      </c>
      <c r="AM4" t="s">
        <v>140</v>
      </c>
      <c r="AN4" t="s">
        <v>154</v>
      </c>
      <c r="AO4" t="s">
        <v>219</v>
      </c>
      <c r="AP4" t="s">
        <v>212</v>
      </c>
      <c r="AQ4" t="s">
        <v>220</v>
      </c>
      <c r="AR4" t="s">
        <v>221</v>
      </c>
      <c r="AS4" t="s">
        <v>314</v>
      </c>
      <c r="AT4" t="s">
        <v>227</v>
      </c>
      <c r="AU4" t="s">
        <v>201</v>
      </c>
      <c r="AV4" t="s">
        <v>437</v>
      </c>
      <c r="AW4" t="s">
        <v>171</v>
      </c>
      <c r="AX4" t="s">
        <v>222</v>
      </c>
      <c r="AY4" t="s">
        <v>141</v>
      </c>
    </row>
    <row r="5" spans="1:64" x14ac:dyDescent="0.25">
      <c r="A5" s="145">
        <v>9</v>
      </c>
      <c r="B5" t="s">
        <v>92</v>
      </c>
      <c r="C5" t="s">
        <v>538</v>
      </c>
      <c r="D5" s="145" t="s">
        <v>537</v>
      </c>
      <c r="E5" s="159">
        <v>45197</v>
      </c>
      <c r="F5" t="s">
        <v>83</v>
      </c>
      <c r="G5" t="s">
        <v>83</v>
      </c>
      <c r="H5" t="s">
        <v>432</v>
      </c>
      <c r="I5" t="s">
        <v>106</v>
      </c>
      <c r="J5" s="145">
        <v>0.9</v>
      </c>
      <c r="K5" t="s">
        <v>477</v>
      </c>
      <c r="L5" t="s">
        <v>466</v>
      </c>
      <c r="M5" t="s">
        <v>7</v>
      </c>
      <c r="N5" t="s">
        <v>7</v>
      </c>
      <c r="O5" t="s">
        <v>7</v>
      </c>
      <c r="P5" s="145" t="s">
        <v>7</v>
      </c>
      <c r="Q5" t="s">
        <v>115</v>
      </c>
      <c r="R5" s="145">
        <v>100</v>
      </c>
      <c r="S5" t="s">
        <v>37</v>
      </c>
      <c r="T5" t="s">
        <v>110</v>
      </c>
      <c r="U5" t="s">
        <v>7</v>
      </c>
      <c r="V5" t="s">
        <v>7</v>
      </c>
      <c r="W5" t="s">
        <v>92</v>
      </c>
      <c r="X5" t="s">
        <v>92</v>
      </c>
      <c r="Y5" s="159">
        <v>45209</v>
      </c>
      <c r="Z5" s="159">
        <v>45573</v>
      </c>
      <c r="AA5" s="159">
        <v>45573</v>
      </c>
      <c r="AB5" s="145">
        <v>0.123</v>
      </c>
      <c r="AC5" s="145">
        <v>0.9</v>
      </c>
      <c r="AD5" s="145">
        <v>0.96599999999999997</v>
      </c>
      <c r="AE5" t="s">
        <v>649</v>
      </c>
      <c r="AF5" t="s">
        <v>257</v>
      </c>
      <c r="AG5" t="s">
        <v>7</v>
      </c>
      <c r="AH5" t="s">
        <v>92</v>
      </c>
      <c r="AI5" t="s">
        <v>648</v>
      </c>
      <c r="AJ5" t="s">
        <v>7</v>
      </c>
      <c r="AK5" t="s">
        <v>92</v>
      </c>
      <c r="AL5" t="s">
        <v>7</v>
      </c>
      <c r="AM5" t="s">
        <v>7</v>
      </c>
      <c r="AN5" t="s">
        <v>7</v>
      </c>
      <c r="AO5"/>
      <c r="AP5" t="s">
        <v>478</v>
      </c>
      <c r="AQ5"/>
      <c r="AR5"/>
      <c r="AS5" t="s">
        <v>92</v>
      </c>
      <c r="AT5" t="s">
        <v>92</v>
      </c>
      <c r="AU5" t="s">
        <v>339</v>
      </c>
      <c r="AV5" t="s">
        <v>249</v>
      </c>
      <c r="AW5"/>
      <c r="AX5"/>
      <c r="AY5" s="145" t="s">
        <v>540</v>
      </c>
      <c r="BL5" s="20"/>
    </row>
    <row r="6" spans="1:64" x14ac:dyDescent="0.25">
      <c r="A6" s="145">
        <v>8</v>
      </c>
      <c r="B6" t="s">
        <v>92</v>
      </c>
      <c r="C6" t="s">
        <v>493</v>
      </c>
      <c r="D6" s="145" t="s">
        <v>492</v>
      </c>
      <c r="E6" s="159">
        <v>45197</v>
      </c>
      <c r="F6" t="s">
        <v>83</v>
      </c>
      <c r="G6" t="s">
        <v>83</v>
      </c>
      <c r="H6" t="s">
        <v>638</v>
      </c>
      <c r="I6" t="s">
        <v>85</v>
      </c>
      <c r="J6" s="145">
        <v>0.16</v>
      </c>
      <c r="K6" t="s">
        <v>152</v>
      </c>
      <c r="L6" t="s">
        <v>494</v>
      </c>
      <c r="M6" t="s">
        <v>7</v>
      </c>
      <c r="N6" t="s">
        <v>494</v>
      </c>
      <c r="O6" t="s">
        <v>7</v>
      </c>
      <c r="P6" s="145" t="s">
        <v>7</v>
      </c>
      <c r="Q6" t="s">
        <v>115</v>
      </c>
      <c r="R6" s="145">
        <v>100</v>
      </c>
      <c r="S6" t="s">
        <v>112</v>
      </c>
      <c r="T6" t="s">
        <v>258</v>
      </c>
      <c r="U6" t="s">
        <v>7</v>
      </c>
      <c r="V6" t="s">
        <v>7</v>
      </c>
      <c r="W6" t="s">
        <v>92</v>
      </c>
      <c r="X6" t="s">
        <v>132</v>
      </c>
      <c r="Y6" s="159">
        <v>45215</v>
      </c>
      <c r="Z6" s="159">
        <v>45398</v>
      </c>
      <c r="AA6" s="159">
        <v>46311</v>
      </c>
      <c r="AB6" s="145">
        <v>0.16</v>
      </c>
      <c r="AC6" s="145">
        <v>1.167</v>
      </c>
      <c r="AD6" s="145">
        <v>1.252</v>
      </c>
      <c r="AE6" t="s">
        <v>636</v>
      </c>
      <c r="AF6" t="s">
        <v>257</v>
      </c>
      <c r="AG6" t="s">
        <v>7</v>
      </c>
      <c r="AH6" t="s">
        <v>92</v>
      </c>
      <c r="AI6" t="s">
        <v>493</v>
      </c>
      <c r="AJ6" t="s">
        <v>7</v>
      </c>
      <c r="AK6" t="s">
        <v>92</v>
      </c>
      <c r="AL6" t="s">
        <v>375</v>
      </c>
      <c r="AM6" t="s">
        <v>7</v>
      </c>
      <c r="AN6" t="s">
        <v>7</v>
      </c>
      <c r="AO6"/>
      <c r="AP6" t="s">
        <v>92</v>
      </c>
      <c r="AQ6"/>
      <c r="AR6"/>
      <c r="AS6" t="s">
        <v>92</v>
      </c>
      <c r="AT6" t="s">
        <v>637</v>
      </c>
      <c r="AU6" t="s">
        <v>259</v>
      </c>
      <c r="AV6" t="s">
        <v>249</v>
      </c>
      <c r="AW6"/>
      <c r="AX6"/>
      <c r="AY6" s="145" t="s">
        <v>536</v>
      </c>
      <c r="BL6" s="20"/>
    </row>
    <row r="7" spans="1:64" x14ac:dyDescent="0.25">
      <c r="A7" s="145">
        <v>7</v>
      </c>
      <c r="B7" t="s">
        <v>92</v>
      </c>
      <c r="C7" t="s">
        <v>548</v>
      </c>
      <c r="D7" s="145" t="s">
        <v>547</v>
      </c>
      <c r="E7" s="159">
        <v>45197</v>
      </c>
      <c r="F7" t="s">
        <v>83</v>
      </c>
      <c r="G7" t="s">
        <v>83</v>
      </c>
      <c r="H7" t="s">
        <v>432</v>
      </c>
      <c r="I7" t="s">
        <v>106</v>
      </c>
      <c r="J7" s="145">
        <v>15.6</v>
      </c>
      <c r="K7" t="s">
        <v>152</v>
      </c>
      <c r="L7" t="s">
        <v>469</v>
      </c>
      <c r="M7" t="s">
        <v>703</v>
      </c>
      <c r="N7" t="s">
        <v>469</v>
      </c>
      <c r="O7" t="s">
        <v>7</v>
      </c>
      <c r="P7" s="145">
        <v>0</v>
      </c>
      <c r="Q7" t="s">
        <v>115</v>
      </c>
      <c r="R7" s="145">
        <v>100</v>
      </c>
      <c r="S7" t="s">
        <v>37</v>
      </c>
      <c r="T7" t="s">
        <v>258</v>
      </c>
      <c r="U7" t="s">
        <v>7</v>
      </c>
      <c r="V7" t="s">
        <v>7</v>
      </c>
      <c r="W7" t="s">
        <v>92</v>
      </c>
      <c r="X7" t="s">
        <v>618</v>
      </c>
      <c r="Y7" s="159">
        <v>45212</v>
      </c>
      <c r="Z7" s="159">
        <v>45578</v>
      </c>
      <c r="AA7" s="159">
        <v>46308</v>
      </c>
      <c r="AB7" s="145">
        <v>2.137</v>
      </c>
      <c r="AC7" s="145">
        <v>15.6</v>
      </c>
      <c r="AD7" s="145">
        <v>16.739000000000001</v>
      </c>
      <c r="AE7" t="s">
        <v>622</v>
      </c>
      <c r="AF7" t="s">
        <v>257</v>
      </c>
      <c r="AG7" t="s">
        <v>7</v>
      </c>
      <c r="AH7" t="s">
        <v>92</v>
      </c>
      <c r="AI7" t="s">
        <v>548</v>
      </c>
      <c r="AJ7" t="s">
        <v>7</v>
      </c>
      <c r="AK7" t="s">
        <v>92</v>
      </c>
      <c r="AL7" t="s">
        <v>7</v>
      </c>
      <c r="AM7" t="s">
        <v>7</v>
      </c>
      <c r="AN7" t="s">
        <v>7</v>
      </c>
      <c r="AO7"/>
      <c r="AP7" t="s">
        <v>92</v>
      </c>
      <c r="AQ7"/>
      <c r="AR7"/>
      <c r="AS7" t="s">
        <v>92</v>
      </c>
      <c r="AT7" t="s">
        <v>623</v>
      </c>
      <c r="AU7" t="s">
        <v>339</v>
      </c>
      <c r="AV7" t="s">
        <v>249</v>
      </c>
      <c r="AW7"/>
      <c r="AX7"/>
      <c r="AY7" s="145" t="s">
        <v>551</v>
      </c>
      <c r="BL7" s="20"/>
    </row>
    <row r="8" spans="1:64" x14ac:dyDescent="0.25">
      <c r="A8" s="145">
        <v>6</v>
      </c>
      <c r="B8" t="s">
        <v>92</v>
      </c>
      <c r="C8" t="s">
        <v>529</v>
      </c>
      <c r="D8" s="145" t="s">
        <v>528</v>
      </c>
      <c r="E8" s="159">
        <v>45197</v>
      </c>
      <c r="F8" t="s">
        <v>495</v>
      </c>
      <c r="G8" t="s">
        <v>484</v>
      </c>
      <c r="H8" t="s">
        <v>432</v>
      </c>
      <c r="I8" t="s">
        <v>85</v>
      </c>
      <c r="J8" s="145">
        <v>1</v>
      </c>
      <c r="K8" t="s">
        <v>152</v>
      </c>
      <c r="L8" t="s">
        <v>702</v>
      </c>
      <c r="M8" t="s">
        <v>701</v>
      </c>
      <c r="N8" t="s">
        <v>702</v>
      </c>
      <c r="O8" t="s">
        <v>7</v>
      </c>
      <c r="P8" s="145">
        <v>20</v>
      </c>
      <c r="Q8" t="s">
        <v>115</v>
      </c>
      <c r="R8" s="145">
        <v>100</v>
      </c>
      <c r="S8" t="s">
        <v>112</v>
      </c>
      <c r="T8" t="s">
        <v>272</v>
      </c>
      <c r="U8" t="s">
        <v>7</v>
      </c>
      <c r="V8" t="s">
        <v>7</v>
      </c>
      <c r="W8" t="s">
        <v>92</v>
      </c>
      <c r="X8" t="s">
        <v>132</v>
      </c>
      <c r="Y8" s="159">
        <v>45210</v>
      </c>
      <c r="Z8" s="159">
        <v>45393</v>
      </c>
      <c r="AA8" s="159">
        <v>46306</v>
      </c>
      <c r="AB8" s="145">
        <v>1</v>
      </c>
      <c r="AC8" s="145">
        <v>7.2939999999999996</v>
      </c>
      <c r="AD8" s="145">
        <v>7.8280000000000003</v>
      </c>
      <c r="AE8" t="s">
        <v>606</v>
      </c>
      <c r="AF8" t="s">
        <v>257</v>
      </c>
      <c r="AG8" t="s">
        <v>7</v>
      </c>
      <c r="AH8" t="s">
        <v>92</v>
      </c>
      <c r="AI8" t="s">
        <v>529</v>
      </c>
      <c r="AJ8" t="s">
        <v>7</v>
      </c>
      <c r="AK8" t="s">
        <v>92</v>
      </c>
      <c r="AL8" t="s">
        <v>348</v>
      </c>
      <c r="AM8" t="s">
        <v>7</v>
      </c>
      <c r="AN8" t="s">
        <v>7</v>
      </c>
      <c r="AO8"/>
      <c r="AP8" t="s">
        <v>92</v>
      </c>
      <c r="AQ8"/>
      <c r="AR8"/>
      <c r="AS8" t="s">
        <v>92</v>
      </c>
      <c r="AT8" t="s">
        <v>607</v>
      </c>
      <c r="AU8" t="s">
        <v>339</v>
      </c>
      <c r="AV8" t="s">
        <v>249</v>
      </c>
      <c r="AW8"/>
      <c r="AX8"/>
      <c r="AY8" s="145" t="s">
        <v>555</v>
      </c>
      <c r="BL8" s="20"/>
    </row>
    <row r="9" spans="1:64" x14ac:dyDescent="0.25">
      <c r="A9" s="145">
        <v>5</v>
      </c>
      <c r="B9" t="s">
        <v>92</v>
      </c>
      <c r="C9" t="s">
        <v>541</v>
      </c>
      <c r="D9" s="145" t="s">
        <v>525</v>
      </c>
      <c r="E9" s="159">
        <v>45197</v>
      </c>
      <c r="F9" t="s">
        <v>83</v>
      </c>
      <c r="G9" t="s">
        <v>542</v>
      </c>
      <c r="H9" t="s">
        <v>432</v>
      </c>
      <c r="I9" t="s">
        <v>85</v>
      </c>
      <c r="J9" s="145">
        <v>0.67</v>
      </c>
      <c r="K9" t="s">
        <v>152</v>
      </c>
      <c r="L9" t="s">
        <v>704</v>
      </c>
      <c r="M9" t="s">
        <v>7</v>
      </c>
      <c r="N9" t="s">
        <v>704</v>
      </c>
      <c r="O9" t="s">
        <v>7</v>
      </c>
      <c r="P9" s="145" t="s">
        <v>7</v>
      </c>
      <c r="Q9" t="s">
        <v>115</v>
      </c>
      <c r="R9" s="145">
        <v>100</v>
      </c>
      <c r="S9" t="s">
        <v>37</v>
      </c>
      <c r="T9" t="s">
        <v>272</v>
      </c>
      <c r="U9" t="s">
        <v>7</v>
      </c>
      <c r="V9" t="s">
        <v>7</v>
      </c>
      <c r="W9" t="s">
        <v>92</v>
      </c>
      <c r="X9" t="s">
        <v>132</v>
      </c>
      <c r="Y9" s="159">
        <v>45210</v>
      </c>
      <c r="Z9" s="159">
        <v>45393</v>
      </c>
      <c r="AA9" s="159">
        <v>46306</v>
      </c>
      <c r="AB9" s="145">
        <v>0.67</v>
      </c>
      <c r="AC9" s="145">
        <v>4.8869999999999996</v>
      </c>
      <c r="AD9" s="145">
        <v>5.2450000000000001</v>
      </c>
      <c r="AE9" t="s">
        <v>585</v>
      </c>
      <c r="AF9" t="s">
        <v>257</v>
      </c>
      <c r="AG9" t="s">
        <v>7</v>
      </c>
      <c r="AH9" t="s">
        <v>92</v>
      </c>
      <c r="AI9" t="s">
        <v>541</v>
      </c>
      <c r="AJ9" t="s">
        <v>7</v>
      </c>
      <c r="AK9" t="s">
        <v>92</v>
      </c>
      <c r="AL9" t="s">
        <v>7</v>
      </c>
      <c r="AM9" t="s">
        <v>7</v>
      </c>
      <c r="AN9" t="s">
        <v>7</v>
      </c>
      <c r="AO9"/>
      <c r="AP9" t="s">
        <v>92</v>
      </c>
      <c r="AQ9"/>
      <c r="AR9"/>
      <c r="AS9" t="s">
        <v>92</v>
      </c>
      <c r="AT9" t="s">
        <v>586</v>
      </c>
      <c r="AU9" t="s">
        <v>339</v>
      </c>
      <c r="AV9" t="s">
        <v>249</v>
      </c>
      <c r="AW9"/>
      <c r="AX9"/>
      <c r="AY9" s="145" t="s">
        <v>546</v>
      </c>
      <c r="BL9" s="20"/>
    </row>
    <row r="10" spans="1:64" x14ac:dyDescent="0.25">
      <c r="A10" s="145">
        <v>4</v>
      </c>
      <c r="B10" t="s">
        <v>92</v>
      </c>
      <c r="C10" t="s">
        <v>563</v>
      </c>
      <c r="D10" s="145" t="s">
        <v>562</v>
      </c>
      <c r="E10" s="159">
        <v>45196</v>
      </c>
      <c r="F10" t="s">
        <v>83</v>
      </c>
      <c r="G10" t="s">
        <v>83</v>
      </c>
      <c r="H10" t="s">
        <v>432</v>
      </c>
      <c r="I10" t="s">
        <v>106</v>
      </c>
      <c r="J10" s="145">
        <v>3</v>
      </c>
      <c r="K10" t="s">
        <v>706</v>
      </c>
      <c r="L10" t="s">
        <v>669</v>
      </c>
      <c r="M10" t="s">
        <v>705</v>
      </c>
      <c r="N10" t="s">
        <v>509</v>
      </c>
      <c r="O10" t="s">
        <v>7</v>
      </c>
      <c r="P10" s="145">
        <v>30</v>
      </c>
      <c r="Q10" t="s">
        <v>115</v>
      </c>
      <c r="R10" s="145">
        <v>99.974999999999994</v>
      </c>
      <c r="S10" t="s">
        <v>112</v>
      </c>
      <c r="T10" t="s">
        <v>258</v>
      </c>
      <c r="U10" t="s">
        <v>7</v>
      </c>
      <c r="V10" t="s">
        <v>7</v>
      </c>
      <c r="W10" t="s">
        <v>92</v>
      </c>
      <c r="X10" t="s">
        <v>132</v>
      </c>
      <c r="Y10" s="159">
        <v>45209</v>
      </c>
      <c r="Z10" s="159">
        <v>45392</v>
      </c>
      <c r="AA10" s="159">
        <v>46275</v>
      </c>
      <c r="AB10" s="145">
        <v>0.41099999999999998</v>
      </c>
      <c r="AC10" s="145">
        <v>3</v>
      </c>
      <c r="AD10" s="145">
        <v>3.2069999999999999</v>
      </c>
      <c r="AE10" t="s">
        <v>670</v>
      </c>
      <c r="AF10" t="s">
        <v>257</v>
      </c>
      <c r="AG10" t="s">
        <v>7</v>
      </c>
      <c r="AH10" t="s">
        <v>92</v>
      </c>
      <c r="AI10" t="s">
        <v>563</v>
      </c>
      <c r="AJ10" t="s">
        <v>7</v>
      </c>
      <c r="AK10" t="s">
        <v>92</v>
      </c>
      <c r="AL10" t="s">
        <v>348</v>
      </c>
      <c r="AM10" t="s">
        <v>7</v>
      </c>
      <c r="AN10" t="s">
        <v>7</v>
      </c>
      <c r="AO10"/>
      <c r="AP10" t="s">
        <v>92</v>
      </c>
      <c r="AQ10"/>
      <c r="AR10"/>
      <c r="AS10" t="s">
        <v>92</v>
      </c>
      <c r="AT10" t="s">
        <v>671</v>
      </c>
      <c r="AU10" t="s">
        <v>339</v>
      </c>
      <c r="AV10" t="s">
        <v>249</v>
      </c>
      <c r="AW10"/>
      <c r="AX10"/>
      <c r="AY10" s="145" t="s">
        <v>567</v>
      </c>
      <c r="BL10" s="20"/>
    </row>
    <row r="11" spans="1:64" x14ac:dyDescent="0.25">
      <c r="A11" s="145">
        <v>3</v>
      </c>
      <c r="B11" t="s">
        <v>92</v>
      </c>
      <c r="C11" t="s">
        <v>557</v>
      </c>
      <c r="D11" s="145" t="s">
        <v>556</v>
      </c>
      <c r="E11" s="159">
        <v>45196</v>
      </c>
      <c r="F11" t="s">
        <v>83</v>
      </c>
      <c r="G11" t="s">
        <v>83</v>
      </c>
      <c r="H11" t="s">
        <v>638</v>
      </c>
      <c r="I11" t="s">
        <v>85</v>
      </c>
      <c r="J11" s="145">
        <v>1</v>
      </c>
      <c r="K11" t="s">
        <v>477</v>
      </c>
      <c r="L11" t="s">
        <v>707</v>
      </c>
      <c r="M11" t="s">
        <v>7</v>
      </c>
      <c r="N11" t="s">
        <v>7</v>
      </c>
      <c r="O11" t="s">
        <v>7</v>
      </c>
      <c r="P11" s="145" t="s">
        <v>7</v>
      </c>
      <c r="Q11" t="s">
        <v>115</v>
      </c>
      <c r="R11" s="145">
        <v>100</v>
      </c>
      <c r="S11" t="s">
        <v>37</v>
      </c>
      <c r="T11" t="s">
        <v>110</v>
      </c>
      <c r="U11" t="s">
        <v>7</v>
      </c>
      <c r="V11" t="s">
        <v>7</v>
      </c>
      <c r="W11" t="s">
        <v>92</v>
      </c>
      <c r="X11" t="s">
        <v>132</v>
      </c>
      <c r="Y11" s="159">
        <v>45209</v>
      </c>
      <c r="Z11" s="159">
        <v>45392</v>
      </c>
      <c r="AA11" s="159">
        <v>45573</v>
      </c>
      <c r="AB11" s="145">
        <v>1</v>
      </c>
      <c r="AC11" s="145">
        <v>7.3140000000000001</v>
      </c>
      <c r="AD11" s="145">
        <v>7.8209999999999997</v>
      </c>
      <c r="AE11" t="s">
        <v>661</v>
      </c>
      <c r="AF11" t="s">
        <v>257</v>
      </c>
      <c r="AG11" t="s">
        <v>7</v>
      </c>
      <c r="AH11" t="s">
        <v>92</v>
      </c>
      <c r="AI11" t="s">
        <v>660</v>
      </c>
      <c r="AJ11" t="s">
        <v>7</v>
      </c>
      <c r="AK11" t="s">
        <v>92</v>
      </c>
      <c r="AL11" t="s">
        <v>7</v>
      </c>
      <c r="AM11" t="s">
        <v>7</v>
      </c>
      <c r="AN11" t="s">
        <v>7</v>
      </c>
      <c r="AO11"/>
      <c r="AP11" t="s">
        <v>478</v>
      </c>
      <c r="AQ11"/>
      <c r="AR11"/>
      <c r="AS11" t="s">
        <v>92</v>
      </c>
      <c r="AT11" t="s">
        <v>92</v>
      </c>
      <c r="AU11" t="s">
        <v>339</v>
      </c>
      <c r="AV11" t="s">
        <v>249</v>
      </c>
      <c r="AW11"/>
      <c r="AX11"/>
      <c r="AY11" s="145" t="s">
        <v>561</v>
      </c>
      <c r="BL11" s="20"/>
    </row>
    <row r="12" spans="1:64" x14ac:dyDescent="0.25">
      <c r="A12" s="145">
        <v>2</v>
      </c>
      <c r="B12" t="s">
        <v>92</v>
      </c>
      <c r="C12" t="s">
        <v>569</v>
      </c>
      <c r="D12" s="145" t="s">
        <v>568</v>
      </c>
      <c r="E12" s="159">
        <v>45195</v>
      </c>
      <c r="F12" t="s">
        <v>83</v>
      </c>
      <c r="G12" t="s">
        <v>83</v>
      </c>
      <c r="H12" t="s">
        <v>432</v>
      </c>
      <c r="I12" t="s">
        <v>85</v>
      </c>
      <c r="J12" s="145">
        <v>0.66600000000000004</v>
      </c>
      <c r="K12" t="s">
        <v>477</v>
      </c>
      <c r="L12" t="s">
        <v>683</v>
      </c>
      <c r="M12" t="s">
        <v>7</v>
      </c>
      <c r="N12" t="s">
        <v>7</v>
      </c>
      <c r="O12" t="s">
        <v>7</v>
      </c>
      <c r="P12" s="145" t="s">
        <v>7</v>
      </c>
      <c r="Q12" t="s">
        <v>115</v>
      </c>
      <c r="R12" s="145">
        <v>100</v>
      </c>
      <c r="S12" t="s">
        <v>39</v>
      </c>
      <c r="T12" t="s">
        <v>110</v>
      </c>
      <c r="U12" t="s">
        <v>7</v>
      </c>
      <c r="V12" t="s">
        <v>7</v>
      </c>
      <c r="W12" t="s">
        <v>92</v>
      </c>
      <c r="X12" t="s">
        <v>132</v>
      </c>
      <c r="Y12" s="159">
        <v>45197</v>
      </c>
      <c r="Z12" s="159">
        <v>45379</v>
      </c>
      <c r="AA12" s="159">
        <v>45564</v>
      </c>
      <c r="AB12" s="145">
        <v>0.66600000000000004</v>
      </c>
      <c r="AC12" s="145">
        <v>4.87</v>
      </c>
      <c r="AD12" s="145">
        <v>5.21</v>
      </c>
      <c r="AE12" t="s">
        <v>685</v>
      </c>
      <c r="AF12" t="s">
        <v>471</v>
      </c>
      <c r="AG12" t="s">
        <v>7</v>
      </c>
      <c r="AH12" t="s">
        <v>92</v>
      </c>
      <c r="AI12" t="s">
        <v>684</v>
      </c>
      <c r="AJ12" t="s">
        <v>569</v>
      </c>
      <c r="AK12" t="s">
        <v>92</v>
      </c>
      <c r="AL12" t="s">
        <v>7</v>
      </c>
      <c r="AM12" t="s">
        <v>7</v>
      </c>
      <c r="AN12" t="s">
        <v>7</v>
      </c>
      <c r="AO12"/>
      <c r="AP12" t="s">
        <v>92</v>
      </c>
      <c r="AQ12"/>
      <c r="AR12"/>
      <c r="AS12" t="s">
        <v>92</v>
      </c>
      <c r="AT12" t="s">
        <v>686</v>
      </c>
      <c r="AU12" t="s">
        <v>339</v>
      </c>
      <c r="AV12" t="s">
        <v>249</v>
      </c>
      <c r="AW12"/>
      <c r="AX12"/>
      <c r="AY12" s="145" t="s">
        <v>575</v>
      </c>
      <c r="BL12" s="20"/>
    </row>
    <row r="13" spans="1:64" x14ac:dyDescent="0.25">
      <c r="A13" s="145">
        <v>1</v>
      </c>
      <c r="B13" t="s">
        <v>92</v>
      </c>
      <c r="C13" t="s">
        <v>1050</v>
      </c>
      <c r="D13" s="145" t="s">
        <v>1049</v>
      </c>
      <c r="E13" s="159">
        <v>45194</v>
      </c>
      <c r="F13" t="s">
        <v>1051</v>
      </c>
      <c r="G13" t="s">
        <v>1051</v>
      </c>
      <c r="H13" t="s">
        <v>1077</v>
      </c>
      <c r="I13" t="s">
        <v>106</v>
      </c>
      <c r="J13" s="145">
        <v>7.3</v>
      </c>
      <c r="K13" t="s">
        <v>152</v>
      </c>
      <c r="L13" t="s">
        <v>1087</v>
      </c>
      <c r="M13" t="s">
        <v>1102</v>
      </c>
      <c r="N13" t="s">
        <v>1087</v>
      </c>
      <c r="O13" t="s">
        <v>7</v>
      </c>
      <c r="P13" s="145">
        <v>22</v>
      </c>
      <c r="Q13" t="s">
        <v>115</v>
      </c>
      <c r="R13" s="145">
        <v>100</v>
      </c>
      <c r="S13" t="s">
        <v>39</v>
      </c>
      <c r="T13" t="s">
        <v>272</v>
      </c>
      <c r="U13" t="s">
        <v>7</v>
      </c>
      <c r="V13" t="s">
        <v>7</v>
      </c>
      <c r="W13" t="s">
        <v>92</v>
      </c>
      <c r="X13" t="s">
        <v>618</v>
      </c>
      <c r="Y13" s="159">
        <v>45209</v>
      </c>
      <c r="Z13" s="159">
        <v>45575</v>
      </c>
      <c r="AA13" s="159">
        <v>46305</v>
      </c>
      <c r="AB13" s="145">
        <v>1</v>
      </c>
      <c r="AC13" s="145">
        <v>7.3</v>
      </c>
      <c r="AD13" s="145">
        <v>7.7960000000000003</v>
      </c>
      <c r="AE13" t="s">
        <v>1089</v>
      </c>
      <c r="AF13" t="s">
        <v>471</v>
      </c>
      <c r="AG13" t="s">
        <v>7</v>
      </c>
      <c r="AH13" t="s">
        <v>92</v>
      </c>
      <c r="AI13" t="s">
        <v>1088</v>
      </c>
      <c r="AJ13" t="s">
        <v>1050</v>
      </c>
      <c r="AK13" t="s">
        <v>92</v>
      </c>
      <c r="AL13" t="s">
        <v>7</v>
      </c>
      <c r="AM13" t="s">
        <v>7</v>
      </c>
      <c r="AN13" t="s">
        <v>7</v>
      </c>
      <c r="AO13"/>
      <c r="AP13" t="s">
        <v>92</v>
      </c>
      <c r="AQ13"/>
      <c r="AR13"/>
      <c r="AS13" t="s">
        <v>92</v>
      </c>
      <c r="AT13" t="s">
        <v>1090</v>
      </c>
      <c r="AU13" t="s">
        <v>339</v>
      </c>
      <c r="AV13" t="s">
        <v>249</v>
      </c>
      <c r="AW13"/>
      <c r="AX13"/>
      <c r="AY13" s="145" t="s">
        <v>1055</v>
      </c>
      <c r="BL13" s="20"/>
    </row>
    <row r="14" spans="1:64" x14ac:dyDescent="0.25">
      <c r="BL14" s="20"/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Y7"/>
  <sheetViews>
    <sheetView topLeftCell="C1" workbookViewId="0">
      <selection activeCell="Q21" sqref="Q21"/>
    </sheetView>
  </sheetViews>
  <sheetFormatPr defaultRowHeight="15" x14ac:dyDescent="0.25"/>
  <cols>
    <col min="1" max="1" width="7.109375" style="1" bestFit="1" customWidth="1"/>
    <col min="2" max="2" width="29.88671875" style="1" bestFit="1" customWidth="1"/>
    <col min="3" max="3" width="12.5546875" style="1" bestFit="1" customWidth="1"/>
    <col min="4" max="4" width="9.21875" style="1" bestFit="1" customWidth="1"/>
    <col min="5" max="5" width="7.6640625" style="1" bestFit="1" customWidth="1"/>
    <col min="6" max="8" width="9.21875" style="1" bestFit="1" customWidth="1"/>
    <col min="9" max="9" width="5.88671875" style="1" bestFit="1" customWidth="1"/>
    <col min="10" max="11" width="6" style="1" bestFit="1" customWidth="1"/>
    <col min="12" max="12" width="9.21875" style="1" bestFit="1" customWidth="1"/>
    <col min="13" max="13" width="4.21875" style="1" bestFit="1" customWidth="1"/>
    <col min="14" max="14" width="10.88671875" style="1" bestFit="1" customWidth="1"/>
    <col min="15" max="15" width="13.33203125" style="1" bestFit="1" customWidth="1"/>
    <col min="16" max="16" width="7.5546875" style="1" bestFit="1" customWidth="1"/>
    <col min="17" max="17" width="9.21875" style="1" bestFit="1" customWidth="1"/>
    <col min="18" max="18" width="5.88671875" style="1" bestFit="1" customWidth="1"/>
    <col min="19" max="19" width="7.88671875" style="1" bestFit="1" customWidth="1"/>
    <col min="20" max="20" width="9.21875" style="1" bestFit="1" customWidth="1"/>
    <col min="21" max="21" width="10.6640625" style="1" bestFit="1" customWidth="1"/>
    <col min="22" max="22" width="9" style="1" bestFit="1" customWidth="1"/>
    <col min="23" max="23" width="10.6640625" style="1" bestFit="1" customWidth="1"/>
    <col min="24" max="24" width="9.33203125" style="1" bestFit="1" customWidth="1"/>
    <col min="25" max="25" width="11.5546875" style="1" bestFit="1" customWidth="1"/>
    <col min="26" max="26" width="11" style="1" bestFit="1" customWidth="1"/>
    <col min="27" max="27" width="9.33203125" style="1" bestFit="1" customWidth="1"/>
    <col min="28" max="28" width="11.5546875" style="1" bestFit="1" customWidth="1"/>
    <col min="29" max="29" width="5.88671875" style="1" bestFit="1" customWidth="1"/>
    <col min="30" max="30" width="9.21875" style="1" customWidth="1"/>
    <col min="31" max="31" width="5.88671875" style="1" bestFit="1" customWidth="1"/>
    <col min="32" max="33" width="9.21875" style="1" customWidth="1"/>
    <col min="34" max="36" width="5.88671875" style="1" bestFit="1" customWidth="1"/>
    <col min="37" max="37" width="9.21875" style="1" customWidth="1"/>
    <col min="38" max="38" width="4.21875" style="1" bestFit="1" customWidth="1"/>
    <col min="39" max="39" width="10.88671875" style="1" bestFit="1" customWidth="1"/>
    <col min="40" max="40" width="13.33203125" style="1" bestFit="1" customWidth="1"/>
    <col min="41" max="41" width="7.5546875" style="1" bestFit="1" customWidth="1"/>
    <col min="42" max="42" width="9.21875" style="1" customWidth="1"/>
    <col min="43" max="43" width="5.88671875" style="1" bestFit="1" customWidth="1"/>
    <col min="44" max="45" width="9.21875" style="1" customWidth="1"/>
    <col min="46" max="46" width="9.33203125" style="1" bestFit="1" customWidth="1"/>
    <col min="47" max="47" width="11.5546875" style="1" bestFit="1" customWidth="1"/>
    <col min="48" max="48" width="5.88671875" style="1" bestFit="1" customWidth="1"/>
    <col min="49" max="49" width="9.21875" style="1" bestFit="1" customWidth="1"/>
    <col min="50" max="50" width="7.6640625" style="1" bestFit="1" customWidth="1"/>
    <col min="51" max="52" width="9.21875" style="1" bestFit="1" customWidth="1"/>
    <col min="53" max="55" width="5.88671875" style="1" bestFit="1" customWidth="1"/>
    <col min="56" max="56" width="9.21875" style="1" bestFit="1" customWidth="1"/>
    <col min="57" max="57" width="4.21875" style="1" bestFit="1" customWidth="1"/>
    <col min="58" max="58" width="10.88671875" style="1" bestFit="1" customWidth="1"/>
    <col min="59" max="59" width="13.33203125" style="1" bestFit="1" customWidth="1"/>
    <col min="60" max="60" width="7.5546875" style="1" bestFit="1" customWidth="1"/>
    <col min="61" max="61" width="9.21875" style="1" bestFit="1" customWidth="1"/>
    <col min="62" max="62" width="5.88671875" style="1" bestFit="1" customWidth="1"/>
    <col min="63" max="64" width="9.21875" style="1" bestFit="1" customWidth="1"/>
    <col min="65" max="65" width="9.33203125" style="1" bestFit="1" customWidth="1"/>
    <col min="66" max="66" width="11.5546875" style="1" bestFit="1" customWidth="1"/>
    <col min="67" max="67" width="11.77734375" style="1" bestFit="1" customWidth="1"/>
    <col min="68" max="68" width="5.88671875" style="1" bestFit="1" customWidth="1"/>
    <col min="69" max="70" width="8.33203125" style="1" bestFit="1" customWidth="1"/>
    <col min="71" max="16384" width="8.88671875" style="1"/>
  </cols>
  <sheetData>
    <row r="1" spans="1:25" ht="43.5" customHeight="1" x14ac:dyDescent="0.25"/>
    <row r="2" spans="1:25" ht="43.5" customHeight="1" x14ac:dyDescent="0.25"/>
    <row r="3" spans="1:25" ht="43.5" customHeight="1" x14ac:dyDescent="0.25"/>
    <row r="4" spans="1:25" x14ac:dyDescent="0.25">
      <c r="A4" t="s">
        <v>86</v>
      </c>
      <c r="B4" t="s">
        <v>94</v>
      </c>
      <c r="C4" t="s">
        <v>117</v>
      </c>
      <c r="D4" t="s">
        <v>207</v>
      </c>
      <c r="E4" t="s">
        <v>230</v>
      </c>
      <c r="F4" t="s">
        <v>520</v>
      </c>
      <c r="G4" t="s">
        <v>521</v>
      </c>
      <c r="H4" t="s">
        <v>522</v>
      </c>
      <c r="I4" t="s">
        <v>89</v>
      </c>
      <c r="J4" t="s">
        <v>45</v>
      </c>
      <c r="K4" t="s">
        <v>46</v>
      </c>
      <c r="L4" t="s">
        <v>232</v>
      </c>
      <c r="M4" t="s">
        <v>242</v>
      </c>
      <c r="N4" t="s">
        <v>233</v>
      </c>
      <c r="O4" t="s">
        <v>195</v>
      </c>
      <c r="P4" t="s">
        <v>234</v>
      </c>
      <c r="Q4" t="s">
        <v>235</v>
      </c>
      <c r="R4" t="s">
        <v>43</v>
      </c>
      <c r="S4" t="s">
        <v>523</v>
      </c>
      <c r="T4" t="s">
        <v>286</v>
      </c>
      <c r="U4" t="s">
        <v>1160</v>
      </c>
      <c r="V4" t="s">
        <v>1161</v>
      </c>
      <c r="W4" t="s">
        <v>1162</v>
      </c>
      <c r="X4" t="s">
        <v>171</v>
      </c>
      <c r="Y4" t="s">
        <v>222</v>
      </c>
    </row>
    <row r="5" spans="1:25" x14ac:dyDescent="0.25">
      <c r="A5"/>
      <c r="B5" t="s">
        <v>541</v>
      </c>
      <c r="C5" t="s">
        <v>693</v>
      </c>
      <c r="D5" t="s">
        <v>198</v>
      </c>
      <c r="E5" t="s">
        <v>267</v>
      </c>
      <c r="F5" s="145" t="s">
        <v>7</v>
      </c>
      <c r="G5" s="145" t="s">
        <v>7</v>
      </c>
      <c r="H5" s="145" t="s">
        <v>92</v>
      </c>
      <c r="I5" t="s">
        <v>20</v>
      </c>
      <c r="J5" t="s">
        <v>592</v>
      </c>
      <c r="K5" t="s">
        <v>7</v>
      </c>
      <c r="L5" t="s">
        <v>7</v>
      </c>
      <c r="M5" t="s">
        <v>7</v>
      </c>
      <c r="N5" s="49"/>
      <c r="O5" s="49">
        <v>43088</v>
      </c>
      <c r="P5" s="145" t="s">
        <v>92</v>
      </c>
      <c r="Q5" t="s">
        <v>7</v>
      </c>
      <c r="R5" t="s">
        <v>1</v>
      </c>
      <c r="S5" s="145" t="s">
        <v>7</v>
      </c>
      <c r="T5" t="s">
        <v>7</v>
      </c>
      <c r="U5" s="145" t="s">
        <v>7</v>
      </c>
      <c r="V5" s="145" t="s">
        <v>7</v>
      </c>
      <c r="W5" s="145" t="s">
        <v>7</v>
      </c>
      <c r="X5"/>
      <c r="Y5"/>
    </row>
    <row r="6" spans="1:25" x14ac:dyDescent="0.25">
      <c r="A6"/>
      <c r="B6" t="s">
        <v>548</v>
      </c>
      <c r="C6" t="s">
        <v>1112</v>
      </c>
      <c r="D6" t="s">
        <v>198</v>
      </c>
      <c r="E6" t="s">
        <v>267</v>
      </c>
      <c r="F6" s="145" t="s">
        <v>7</v>
      </c>
      <c r="G6" s="145" t="s">
        <v>7</v>
      </c>
      <c r="H6" s="145" t="s">
        <v>92</v>
      </c>
      <c r="I6" t="s">
        <v>19</v>
      </c>
      <c r="J6" t="s">
        <v>628</v>
      </c>
      <c r="K6" t="s">
        <v>627</v>
      </c>
      <c r="L6" t="s">
        <v>7</v>
      </c>
      <c r="M6" t="s">
        <v>7</v>
      </c>
      <c r="N6" s="49"/>
      <c r="O6" s="49">
        <v>43763</v>
      </c>
      <c r="P6" s="145" t="s">
        <v>92</v>
      </c>
      <c r="Q6" t="s">
        <v>7</v>
      </c>
      <c r="R6" t="s">
        <v>1</v>
      </c>
      <c r="S6" s="145" t="s">
        <v>7</v>
      </c>
      <c r="T6" t="s">
        <v>7</v>
      </c>
      <c r="U6" s="145" t="s">
        <v>7</v>
      </c>
      <c r="V6" s="145" t="s">
        <v>7</v>
      </c>
      <c r="W6" s="145" t="s">
        <v>7</v>
      </c>
      <c r="X6"/>
      <c r="Y6"/>
    </row>
    <row r="7" spans="1:25" x14ac:dyDescent="0.25">
      <c r="A7"/>
      <c r="B7" t="s">
        <v>563</v>
      </c>
      <c r="C7" t="s">
        <v>695</v>
      </c>
      <c r="D7" t="s">
        <v>198</v>
      </c>
      <c r="E7" t="s">
        <v>267</v>
      </c>
      <c r="F7" s="145" t="s">
        <v>7</v>
      </c>
      <c r="G7" s="145" t="s">
        <v>7</v>
      </c>
      <c r="H7" s="145" t="s">
        <v>92</v>
      </c>
      <c r="I7" t="s">
        <v>26</v>
      </c>
      <c r="J7" t="s">
        <v>674</v>
      </c>
      <c r="K7" t="s">
        <v>7</v>
      </c>
      <c r="L7" t="s">
        <v>7</v>
      </c>
      <c r="M7" t="s">
        <v>7</v>
      </c>
      <c r="N7" s="49"/>
      <c r="O7" s="49">
        <v>44376</v>
      </c>
      <c r="P7" s="145" t="s">
        <v>92</v>
      </c>
      <c r="Q7" t="s">
        <v>7</v>
      </c>
      <c r="R7" t="s">
        <v>1</v>
      </c>
      <c r="S7" s="145" t="s">
        <v>7</v>
      </c>
      <c r="T7" t="s">
        <v>7</v>
      </c>
      <c r="U7" s="145" t="s">
        <v>7</v>
      </c>
      <c r="V7" s="145" t="s">
        <v>7</v>
      </c>
      <c r="W7" s="145" t="s">
        <v>7</v>
      </c>
      <c r="X7"/>
      <c r="Y7"/>
    </row>
  </sheetData>
  <phoneticPr fontId="3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T7"/>
  <sheetViews>
    <sheetView workbookViewId="0">
      <selection activeCell="I8" sqref="I8"/>
    </sheetView>
  </sheetViews>
  <sheetFormatPr defaultRowHeight="15" x14ac:dyDescent="0.25"/>
  <cols>
    <col min="1" max="1" width="7.109375" style="1" bestFit="1" customWidth="1"/>
    <col min="2" max="2" width="13.21875" style="1" bestFit="1" customWidth="1"/>
    <col min="3" max="3" width="9.33203125" style="1" bestFit="1" customWidth="1"/>
    <col min="4" max="4" width="29.8867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1.33203125" style="1" bestFit="1" customWidth="1"/>
    <col min="18" max="18" width="19.33203125" style="1" bestFit="1" customWidth="1"/>
    <col min="19" max="19" width="10.33203125" style="1" bestFit="1" customWidth="1"/>
    <col min="20" max="20" width="11.5546875" style="1" bestFit="1" customWidth="1"/>
    <col min="21" max="21" width="11.33203125" style="1" bestFit="1" customWidth="1"/>
    <col min="22" max="22" width="10.33203125" style="1" bestFit="1" customWidth="1"/>
    <col min="23" max="23" width="11.109375" style="1" bestFit="1" customWidth="1"/>
    <col min="24" max="24" width="8.77734375" style="1" bestFit="1" customWidth="1"/>
    <col min="25" max="25" width="9.21875" style="1" bestFit="1" customWidth="1"/>
    <col min="26" max="16384" width="8.88671875" style="1"/>
  </cols>
  <sheetData>
    <row r="5" spans="1:20" x14ac:dyDescent="0.25">
      <c r="A5" t="s">
        <v>86</v>
      </c>
      <c r="B5" t="s">
        <v>48</v>
      </c>
      <c r="C5" t="s">
        <v>49</v>
      </c>
      <c r="D5" t="s">
        <v>94</v>
      </c>
      <c r="E5" t="s">
        <v>148</v>
      </c>
      <c r="F5" t="s">
        <v>202</v>
      </c>
      <c r="G5" t="s">
        <v>203</v>
      </c>
      <c r="H5" t="s">
        <v>204</v>
      </c>
      <c r="I5" t="s">
        <v>173</v>
      </c>
      <c r="J5" t="s">
        <v>174</v>
      </c>
      <c r="K5" t="s">
        <v>184</v>
      </c>
      <c r="L5" t="s">
        <v>172</v>
      </c>
      <c r="M5" t="s">
        <v>206</v>
      </c>
      <c r="N5" t="s">
        <v>216</v>
      </c>
      <c r="O5" t="s">
        <v>217</v>
      </c>
      <c r="P5" t="s">
        <v>218</v>
      </c>
      <c r="Q5" t="s">
        <v>465</v>
      </c>
      <c r="R5" t="s">
        <v>141</v>
      </c>
      <c r="S5" t="s">
        <v>284</v>
      </c>
      <c r="T5" t="s">
        <v>222</v>
      </c>
    </row>
    <row r="6" spans="1:20" x14ac:dyDescent="0.25">
      <c r="A6">
        <v>6</v>
      </c>
      <c r="B6" t="s">
        <v>528</v>
      </c>
      <c r="C6" s="49">
        <v>45197</v>
      </c>
      <c r="D6" t="s">
        <v>529</v>
      </c>
      <c r="E6" t="s">
        <v>150</v>
      </c>
      <c r="F6" t="s">
        <v>7</v>
      </c>
      <c r="G6" t="s">
        <v>7</v>
      </c>
      <c r="H6" t="s">
        <v>7</v>
      </c>
      <c r="I6" t="s">
        <v>182</v>
      </c>
      <c r="J6" t="s">
        <v>194</v>
      </c>
      <c r="K6" t="s">
        <v>852</v>
      </c>
      <c r="L6" t="s">
        <v>92</v>
      </c>
      <c r="M6" t="s">
        <v>709</v>
      </c>
      <c r="N6">
        <v>1</v>
      </c>
      <c r="O6">
        <v>1</v>
      </c>
      <c r="P6">
        <v>1</v>
      </c>
      <c r="Q6"/>
      <c r="R6" t="s">
        <v>555</v>
      </c>
      <c r="S6"/>
      <c r="T6"/>
    </row>
    <row r="7" spans="1:20" x14ac:dyDescent="0.25">
      <c r="A7">
        <v>5</v>
      </c>
      <c r="B7" t="s">
        <v>525</v>
      </c>
      <c r="C7" s="49">
        <v>45197</v>
      </c>
      <c r="D7" t="s">
        <v>541</v>
      </c>
      <c r="E7" t="s">
        <v>150</v>
      </c>
      <c r="F7" t="s">
        <v>7</v>
      </c>
      <c r="G7" t="s">
        <v>7</v>
      </c>
      <c r="H7" t="s">
        <v>7</v>
      </c>
      <c r="I7" t="s">
        <v>182</v>
      </c>
      <c r="J7" t="s">
        <v>194</v>
      </c>
      <c r="K7" t="s">
        <v>850</v>
      </c>
      <c r="L7" t="s">
        <v>851</v>
      </c>
      <c r="M7" t="s">
        <v>708</v>
      </c>
      <c r="N7">
        <v>1</v>
      </c>
      <c r="O7">
        <v>1</v>
      </c>
      <c r="P7">
        <v>1</v>
      </c>
      <c r="Q7"/>
      <c r="R7" t="s">
        <v>546</v>
      </c>
      <c r="S7"/>
      <c r="T7"/>
    </row>
  </sheetData>
  <phoneticPr fontId="3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29</vt:i4>
      </vt:variant>
    </vt:vector>
  </HeadingPairs>
  <TitlesOfParts>
    <vt:vector size="48" baseType="lpstr">
      <vt:lpstr>MDM</vt:lpstr>
      <vt:lpstr>DOWNLOAD</vt:lpstr>
      <vt:lpstr>Dimtbl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GPS_FileName</vt:lpstr>
      <vt:lpstr>Monday</vt:lpstr>
      <vt:lpstr>Name</vt:lpstr>
      <vt:lpstr>UpdatorWeekly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2023-10-06T05:47:44Z</dcterms:modified>
</cp:coreProperties>
</file>