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comments1.xml" ContentType="application/vnd.openxmlformats-officedocument.spreadsheetml.comments+xml"/>
  <Override PartName="/xl/tables/table10.xml" ContentType="application/vnd.openxmlformats-officedocument.spreadsheetml.table+xml"/>
  <Override PartName="/xl/queryTables/queryTable9.xml" ContentType="application/vnd.openxmlformats-officedocument.spreadsheetml.queryTable+xml"/>
  <Override PartName="/xl/drawings/drawing3.xml" ContentType="application/vnd.openxmlformats-officedocument.drawing+xml"/>
  <Override PartName="/xl/ctrlProps/ctrlProp4.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15.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16.xml" ContentType="application/vnd.openxmlformats-officedocument.spreadsheetml.table+xml"/>
  <Override PartName="/xl/queryTables/queryTable10.xml" ContentType="application/vnd.openxmlformats-officedocument.spreadsheetml.queryTable+xml"/>
  <Override PartName="/xl/drawings/drawing6.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7.xml" ContentType="application/vnd.openxmlformats-officedocument.drawing+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drawings/drawing8.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3.xml" ContentType="application/vnd.openxmlformats-officedocument.spreadsheetml.comment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queryTables/queryTable13.xml" ContentType="application/vnd.openxmlformats-officedocument.spreadsheetml.queryTable+xml"/>
  <Override PartName="/xl/drawings/drawing9.xml" ContentType="application/vnd.openxmlformats-officedocument.drawing+xml"/>
  <Override PartName="/xl/tables/table31.xml" ContentType="application/vnd.openxmlformats-officedocument.spreadsheetml.table+xml"/>
  <Override PartName="/xl/queryTables/queryTable14.xml" ContentType="application/vnd.openxmlformats-officedocument.spreadsheetml.queryTable+xml"/>
  <Override PartName="/xl/drawings/drawing10.xml" ContentType="application/vnd.openxmlformats-officedocument.drawing+xml"/>
  <Override PartName="/xl/tables/table32.xml" ContentType="application/vnd.openxmlformats-officedocument.spreadsheetml.table+xml"/>
  <Override PartName="/xl/queryTables/queryTable15.xml" ContentType="application/vnd.openxmlformats-officedocument.spreadsheetml.queryTable+xml"/>
  <Override PartName="/xl/tables/table33.xml" ContentType="application/vnd.openxmlformats-officedocument.spreadsheetml.table+xml"/>
  <Override PartName="/xl/tables/table34.xml" ContentType="application/vnd.openxmlformats-officedocument.spreadsheetml.table+xml"/>
  <Override PartName="/xl/queryTables/queryTable16.xml" ContentType="application/vnd.openxmlformats-officedocument.spreadsheetml.queryTable+xml"/>
  <Override PartName="/xl/tables/table35.xml" ContentType="application/vnd.openxmlformats-officedocument.spreadsheetml.table+xml"/>
  <Override PartName="/xl/drawings/drawing11.xml" ContentType="application/vnd.openxmlformats-officedocument.drawing+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7.xml" ContentType="application/vnd.openxmlformats-officedocument.spreadsheetml.queryTable+xml"/>
  <Override PartName="/xl/tables/table41.xml" ContentType="application/vnd.openxmlformats-officedocument.spreadsheetml.table+xml"/>
  <Override PartName="/xl/queryTables/queryTable18.xml" ContentType="application/vnd.openxmlformats-officedocument.spreadsheetml.queryTable+xml"/>
  <Override PartName="/xl/tables/table42.xml" ContentType="application/vnd.openxmlformats-officedocument.spreadsheetml.table+xml"/>
  <Override PartName="/xl/queryTables/queryTable19.xml" ContentType="application/vnd.openxmlformats-officedocument.spreadsheetml.queryTable+xml"/>
  <Override PartName="/xl/tables/table43.xml" ContentType="application/vnd.openxmlformats-officedocument.spreadsheetml.table+xml"/>
  <Override PartName="/xl/queryTables/queryTable20.xml" ContentType="application/vnd.openxmlformats-officedocument.spreadsheetml.queryTable+xml"/>
  <Override PartName="/xl/tables/table44.xml" ContentType="application/vnd.openxmlformats-officedocument.spreadsheetml.table+xml"/>
  <Override PartName="/xl/queryTables/queryTable21.xml" ContentType="application/vnd.openxmlformats-officedocument.spreadsheetml.queryTable+xml"/>
  <Override PartName="/xl/tables/table45.xml" ContentType="application/vnd.openxmlformats-officedocument.spreadsheetml.table+xml"/>
  <Override PartName="/xl/queryTables/queryTable22.xml" ContentType="application/vnd.openxmlformats-officedocument.spreadsheetml.queryTable+xml"/>
  <Override PartName="/xl/tables/table46.xml" ContentType="application/vnd.openxmlformats-officedocument.spreadsheetml.table+xml"/>
  <Override PartName="/xl/queryTables/queryTable23.xml" ContentType="application/vnd.openxmlformats-officedocument.spreadsheetml.queryTable+xml"/>
  <Override PartName="/xl/tables/table47.xml" ContentType="application/vnd.openxmlformats-officedocument.spreadsheetml.table+xml"/>
  <Override PartName="/xl/queryTables/queryTable24.xml" ContentType="application/vnd.openxmlformats-officedocument.spreadsheetml.queryTable+xml"/>
  <Override PartName="/xl/tables/table48.xml" ContentType="application/vnd.openxmlformats-officedocument.spreadsheetml.table+xml"/>
  <Override PartName="/xl/tables/table49.xml" ContentType="application/vnd.openxmlformats-officedocument.spreadsheetml.table+xml"/>
  <Override PartName="/xl/queryTables/queryTable25.xml" ContentType="application/vnd.openxmlformats-officedocument.spreadsheetml.queryTable+xml"/>
  <Override PartName="/xl/tables/table50.xml" ContentType="application/vnd.openxmlformats-officedocument.spreadsheetml.table+xml"/>
  <Override PartName="/xl/queryTables/queryTable26.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queryTables/queryTable27.xml" ContentType="application/vnd.openxmlformats-officedocument.spreadsheetml.query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28.xml" ContentType="application/vnd.openxmlformats-officedocument.spreadsheetml.query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queryTables/queryTable29.xml" ContentType="application/vnd.openxmlformats-officedocument.spreadsheetml.query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queryTables/queryTable30.xml" ContentType="application/vnd.openxmlformats-officedocument.spreadsheetml.queryTable+xml"/>
  <Override PartName="/xl/tables/table70.xml" ContentType="application/vnd.openxmlformats-officedocument.spreadsheetml.table+xml"/>
  <Override PartName="/xl/queryTables/queryTable31.xml" ContentType="application/vnd.openxmlformats-officedocument.spreadsheetml.queryTable+xml"/>
  <Override PartName="/xl/tables/table71.xml" ContentType="application/vnd.openxmlformats-officedocument.spreadsheetml.table+xml"/>
  <Override PartName="/xl/tables/table72.xml" ContentType="application/vnd.openxmlformats-officedocument.spreadsheetml.table+xml"/>
  <Override PartName="/xl/queryTables/queryTable32.xml" ContentType="application/vnd.openxmlformats-officedocument.spreadsheetml.query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queryTables/queryTable33.xml" ContentType="application/vnd.openxmlformats-officedocument.spreadsheetml.queryTable+xml"/>
  <Override PartName="/xl/tables/table76.xml" ContentType="application/vnd.openxmlformats-officedocument.spreadsheetml.table+xml"/>
  <Override PartName="/xl/queryTables/queryTable3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3D1A710C-6663-3D7B-7F91-EC182F24A4BC}"/>
  <workbookPr codeName="ThisWorkbook"/>
  <mc:AlternateContent xmlns:mc="http://schemas.openxmlformats.org/markup-compatibility/2006">
    <mc:Choice Requires="x15">
      <x15ac:absPath xmlns:x15ac="http://schemas.microsoft.com/office/spreadsheetml/2010/11/ac" url="Q:\Team Folder\Execution Team\Weekly AM\20231030\Data\"/>
    </mc:Choice>
  </mc:AlternateContent>
  <bookViews>
    <workbookView xWindow="-120" yWindow="-120" windowWidth="29040" windowHeight="15720" tabRatio="594" activeTab="3"/>
  </bookViews>
  <sheets>
    <sheet name="DOWNLOAD" sheetId="1" r:id="rId1"/>
    <sheet name="load" sheetId="23" r:id="rId2"/>
    <sheet name="DLD_Add" sheetId="56" state="hidden" r:id="rId3"/>
    <sheet name="REVIEW_LIST" sheetId="33" r:id="rId4"/>
    <sheet name="NWriter" sheetId="52" state="hidden" r:id="rId5"/>
    <sheet name="【FINAL】" sheetId="57" r:id="rId6"/>
    <sheet name="Charts" sheetId="40" state="hidden" r:id="rId7"/>
    <sheet name="wCurated" sheetId="48" state="hidden" r:id="rId8"/>
    <sheet name="wBISL" sheetId="47" state="hidden" r:id="rId9"/>
    <sheet name="WRITER" sheetId="39" state="hidden" r:id="rId10"/>
    <sheet name="ECON" sheetId="30" state="hidden" r:id="rId11"/>
    <sheet name="FUTURE" sheetId="41" state="hidden" r:id="rId12"/>
    <sheet name="wChart" sheetId="58" state="hidden" r:id="rId13"/>
    <sheet name="wCredit" sheetId="46" state="hidden" r:id="rId14"/>
    <sheet name="AddTap" sheetId="53" state="hidden" r:id="rId15"/>
    <sheet name="NEWs" sheetId="59" r:id="rId16"/>
    <sheet name="MDM" sheetId="27" r:id="rId17"/>
    <sheet name="WIP AddNew" sheetId="54" state="hidden" r:id="rId18"/>
    <sheet name="wDMI" sheetId="42" state="hidden" r:id="rId19"/>
    <sheet name="BBG" sheetId="49" state="hidden" r:id="rId20"/>
  </sheets>
  <definedNames>
    <definedName name="_xlnm._FilterDatabase" localSheetId="16" hidden="1">MDM!#REF!</definedName>
    <definedName name="_xlnm.Criteria" localSheetId="16">MDM!$R$6:$R$10</definedName>
    <definedName name="dd_BISL_ROLE">BISL_ROLE[BISL_ROLE]</definedName>
    <definedName name="dd_BOCOMJLM">BOCOMJLM[Find]</definedName>
    <definedName name="dd_byrtg">tbl_dd_by_rtg[评级分类]</definedName>
    <definedName name="dd_coverage">tbl_dd_coverage[COVERAGE]</definedName>
    <definedName name="dd_econ">ECON[上周主要经济数据]</definedName>
    <definedName name="dd_econ1">FUTURE[未来一周主要经济数据]</definedName>
    <definedName name="dd_ECONEvent">ECON[上周主要经济数据]</definedName>
    <definedName name="dd_econfuture">FUTURE[未来一周主要经济数据]</definedName>
    <definedName name="dd_FutureEvent">FUTURE[未来一周主要经济数据]</definedName>
    <definedName name="dd_Monday">DimMonday[DimMonday]</definedName>
    <definedName name="dd_region">地区[地区]</definedName>
    <definedName name="dd_sector">行业[行业]</definedName>
    <definedName name="dd_sfcrole">新规角色[新规角色]</definedName>
    <definedName name="dd_strct">结构[dd_结构]</definedName>
    <definedName name="dd_updator">Updator[Updator]</definedName>
    <definedName name="dd_上市分类">上市分类[上市分类]</definedName>
    <definedName name="dd_中资属性">中资属性[中资属性]</definedName>
    <definedName name="dd_主题债券">主题债券[主题债券]</definedName>
    <definedName name="dd_备证行">备证行[备证行]</definedName>
    <definedName name="dd_板块">板块[板块]</definedName>
    <definedName name="dd_结构">结构[dd_结构]</definedName>
    <definedName name="dd_评级分类">tbl_dd_by_rtg[评级分类]</definedName>
    <definedName name="dd_货币">货币[货币]</definedName>
    <definedName name="ESG">dd_ESG[ESG]</definedName>
    <definedName name="ExternalData_1" localSheetId="5" hidden="1">【FINAL】!$B$6:$CB$21</definedName>
    <definedName name="ExternalData_1" localSheetId="14" hidden="1">AddTap!$B$9:$K$19</definedName>
    <definedName name="ExternalData_1" localSheetId="19" hidden="1">BBG!$A$5:$Y$34</definedName>
    <definedName name="ExternalData_1" localSheetId="10" hidden="1">ECON!$A$12:$O$27</definedName>
    <definedName name="ExternalData_1" localSheetId="16" hidden="1">MDM!$I$23:$J$29</definedName>
    <definedName name="ExternalData_1" localSheetId="7" hidden="1">wCurated!$A$4:$AZ$13</definedName>
    <definedName name="ExternalData_1" localSheetId="17" hidden="1">'WIP AddNew'!$B$6:$B$16</definedName>
    <definedName name="ExternalData_10" localSheetId="6" hidden="1">Charts!$L$12:$N$13</definedName>
    <definedName name="ExternalData_10" localSheetId="16" hidden="1">MDM!$D$41:$D$93</definedName>
    <definedName name="ExternalData_11" localSheetId="0" hidden="1">DOWNLOAD!#REF!</definedName>
    <definedName name="ExternalData_11" localSheetId="16" hidden="1">MDM!$D$6:$D$39</definedName>
    <definedName name="ExternalData_11" localSheetId="9" hidden="1">WRITER!$A$9:$F$15</definedName>
    <definedName name="ExternalData_12" localSheetId="16" hidden="1">MDM!$M$6:$N$74</definedName>
    <definedName name="ExternalData_12" localSheetId="9" hidden="1">WRITER!$A$20:$F$21</definedName>
    <definedName name="ExternalData_13" localSheetId="16" hidden="1">MDM!$P$6:$P$57</definedName>
    <definedName name="ExternalData_13" localSheetId="4" hidden="1">NWriter!$A$6:$E$10</definedName>
    <definedName name="ExternalData_14" localSheetId="16" hidden="1">MDM!$D$106:$D$113</definedName>
    <definedName name="ExternalData_15" localSheetId="0" hidden="1">DOWNLOAD!$J$15:$CO$31</definedName>
    <definedName name="ExternalData_15" localSheetId="16" hidden="1">MDM!$I$69:$J$74</definedName>
    <definedName name="ExternalData_16" localSheetId="16" hidden="1">MDM!$I$76:$J$82</definedName>
    <definedName name="ExternalData_16" localSheetId="18" hidden="1">wDMI!$A$5:$BV$21</definedName>
    <definedName name="ExternalData_17" localSheetId="16" hidden="1">MDM!$I$84:$J$92</definedName>
    <definedName name="ExternalData_18" localSheetId="0" hidden="1">DOWNLOAD!#REF!</definedName>
    <definedName name="ExternalData_19" localSheetId="0" hidden="1">DOWNLOAD!#REF!</definedName>
    <definedName name="ExternalData_19" localSheetId="1" hidden="1">load!$P$5:$AI$15</definedName>
    <definedName name="ExternalData_2" localSheetId="14" hidden="1">AddTap!$B$26:$C$88</definedName>
    <definedName name="ExternalData_2" localSheetId="11" hidden="1">FUTURE!$A$10:$O$23</definedName>
    <definedName name="ExternalData_2" localSheetId="1" hidden="1">load!$AO$5:$BB$6</definedName>
    <definedName name="ExternalData_2" localSheetId="16" hidden="1">MDM!$I$14:$J$21</definedName>
    <definedName name="ExternalData_20" localSheetId="0" hidden="1">DOWNLOAD!$H$16:$H$17</definedName>
    <definedName name="ExternalData_21" localSheetId="0" hidden="1">DOWNLOAD!$C$21:$C$23</definedName>
    <definedName name="ExternalData_21" localSheetId="1" hidden="1">load!$BH$5:$BK$6</definedName>
    <definedName name="ExternalData_22" localSheetId="1" hidden="1">load!$B$5:$L$15</definedName>
    <definedName name="ExternalData_23" localSheetId="2" hidden="1">DLD_Add!$A$6:$DD$22</definedName>
    <definedName name="ExternalData_23" localSheetId="0" hidden="1">DOWNLOAD!$CT$15:$DA$16</definedName>
    <definedName name="ExternalData_23" localSheetId="1" hidden="1">load!#REF!</definedName>
    <definedName name="ExternalData_23" localSheetId="12" hidden="1">wChart!$A$2:$L$8</definedName>
    <definedName name="ExternalData_24" localSheetId="0" hidden="1">DOWNLOAD!$H$15:$H$17</definedName>
    <definedName name="ExternalData_24" localSheetId="1" hidden="1">load!$A$5:$E$17</definedName>
    <definedName name="ExternalData_25" localSheetId="0" hidden="1">DOWNLOAD!$H$23:$H$25</definedName>
    <definedName name="ExternalData_3" localSheetId="1" hidden="1">load!#REF!</definedName>
    <definedName name="ExternalData_3" localSheetId="16" hidden="1">MDM!$I$31:$J$37</definedName>
    <definedName name="ExternalData_4" localSheetId="6" hidden="1">Charts!$P$8:$AF$15</definedName>
    <definedName name="ExternalData_5" localSheetId="16" hidden="1">MDM!$I$6:$J$11</definedName>
    <definedName name="ExternalData_5" localSheetId="7" hidden="1">wCurated!$A$4:$BT$14</definedName>
    <definedName name="ExternalData_6" localSheetId="16" hidden="1">MDM!$I$61:$J$67</definedName>
    <definedName name="ExternalData_6" localSheetId="8" hidden="1">wBISL!$A$5:$V$6</definedName>
    <definedName name="ExternalData_7" localSheetId="16" hidden="1">MDM!$D$95:$D$104</definedName>
    <definedName name="ExternalData_8" localSheetId="6" hidden="1">Charts!$A$8:$J$9</definedName>
    <definedName name="ExternalData_8" localSheetId="16" hidden="1">MDM!$I$39:$J$50</definedName>
    <definedName name="ExternalData_8" localSheetId="9" hidden="1">WRITER!$A$4:$F$5</definedName>
    <definedName name="ExternalData_9" localSheetId="6" hidden="1">Charts!$L$8:$N$9</definedName>
    <definedName name="ExternalData_9" localSheetId="16" hidden="1">MDM!$I$52:$J$59</definedName>
    <definedName name="ExternalData_9" localSheetId="13" hidden="1">wCredit!$A$4:$K$8</definedName>
    <definedName name="GPS">MDM!$A$1</definedName>
    <definedName name="GPS_FileName">MDM!$B$1</definedName>
    <definedName name="input_data">#REF!</definedName>
    <definedName name="IS_EXCH_FILTER">DOWNLOAD!$C$8</definedName>
    <definedName name="Monday">DOWNLOAD!$C$4</definedName>
    <definedName name="MultiSource">DOWNLOAD!$C$10</definedName>
    <definedName name="Name">load!$T$4</definedName>
    <definedName name="UpdatorWeekly">DOWNLOAD!$C$5</definedName>
    <definedName name="WeeklyFilter">DOWNLOAD!$C$9</definedName>
    <definedName name="wNews_Input_ToClear">wNews_Input[[新闻]:[来源]]</definedName>
    <definedName name="定价基准">dd_定价基准[定价基准]</definedName>
    <definedName name="新闻分类">dd_新闻分类[新闻分类]</definedName>
    <definedName name="新闻地区">dd_新闻地区[新闻地区]</definedName>
    <definedName name="港分_Role">dd_港分_ROLE[港分_ROLE]</definedName>
    <definedName name="澳门Filter">DOWNLOAD!$C$6</definedName>
    <definedName name="香港Filter">DOWNLOAD!$C$7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0" i="27" l="1"/>
  <c r="S9" i="27"/>
  <c r="S8" i="27"/>
  <c r="S7" i="27"/>
  <c r="B1" i="27"/>
  <c r="A1" i="27"/>
  <c r="S1" i="40"/>
  <c r="Q1" i="40"/>
  <c r="A1" i="40"/>
  <c r="T4" i="23"/>
  <c r="AQ1" i="23"/>
  <c r="AR1" i="23" s="1"/>
  <c r="R1" i="23"/>
  <c r="S1" i="23" s="1"/>
  <c r="E1" i="23"/>
  <c r="F1" i="23" s="1"/>
  <c r="F12" i="1"/>
  <c r="F11" i="1"/>
  <c r="F10" i="1"/>
  <c r="G11" i="1" l="1"/>
</calcChain>
</file>

<file path=xl/comments1.xml><?xml version="1.0" encoding="utf-8"?>
<comments xmlns="http://schemas.openxmlformats.org/spreadsheetml/2006/main">
  <authors>
    <author>KT</author>
  </authors>
  <commentList>
    <comment ref="E1" authorId="0" shapeId="0">
      <text>
        <r>
          <rPr>
            <sz val="9"/>
            <color indexed="81"/>
            <rFont val="Tahoma"/>
            <family val="2"/>
          </rPr>
          <t>表格列数超过28会影响Autocopy</t>
        </r>
      </text>
    </comment>
    <comment ref="R1" authorId="0" shapeId="0">
      <text>
        <r>
          <rPr>
            <sz val="9"/>
            <color indexed="81"/>
            <rFont val="Tahoma"/>
            <family val="2"/>
          </rPr>
          <t>表格列数超过28会影响Autocopy</t>
        </r>
      </text>
    </comment>
    <comment ref="AQ1" authorId="0" shapeId="0">
      <text>
        <r>
          <rPr>
            <sz val="9"/>
            <color indexed="81"/>
            <rFont val="Tahoma"/>
            <family val="2"/>
          </rPr>
          <t>表格列数超过28会影响Autocopy</t>
        </r>
      </text>
    </comment>
  </commentList>
</comments>
</file>

<file path=xl/comments2.xml><?xml version="1.0" encoding="utf-8"?>
<comments xmlns="http://schemas.openxmlformats.org/spreadsheetml/2006/main">
  <authors>
    <author>KT</author>
  </authors>
  <commentList>
    <comment ref="A3" authorId="0" shapeId="0">
      <text>
        <r>
          <rPr>
            <b/>
            <sz val="9"/>
            <color indexed="81"/>
            <rFont val="Tahoma"/>
            <family val="2"/>
          </rPr>
          <t>KT:</t>
        </r>
        <r>
          <rPr>
            <sz val="9"/>
            <color indexed="81"/>
            <rFont val="Tahoma"/>
            <family val="2"/>
          </rPr>
          <t xml:space="preserve">
</t>
        </r>
      </text>
    </comment>
  </commentList>
</comments>
</file>

<file path=xl/comments3.xml><?xml version="1.0" encoding="utf-8"?>
<comments xmlns="http://schemas.openxmlformats.org/spreadsheetml/2006/main">
  <authors>
    <author>Kingsley Tong 童富涵</author>
  </authors>
  <commentList>
    <comment ref="A3" authorId="0" shapeId="0">
      <text>
        <r>
          <rPr>
            <sz val="12"/>
            <color indexed="81"/>
            <rFont val="Tahoma"/>
            <family val="2"/>
          </rPr>
          <t>如无法判断是否为投资级板块，请在周报Chat确认</t>
        </r>
      </text>
    </comment>
  </commentList>
</comments>
</file>

<file path=xl/connections.xml><?xml version="1.0" encoding="utf-8"?>
<connections xmlns="http://schemas.openxmlformats.org/spreadsheetml/2006/main">
  <connection id="1" keepAlive="1" name="Query - AddNewCr" description="Connection to the 'AddNewCr' query in the workbook." type="5" refreshedVersion="6" background="1" saveData="1">
    <dbPr connection="Provider=Microsoft.Mashup.OleDb.1;Data Source=$Workbook$;Location=AddNewCr;Extended Properties=&quot;&quot;" command="SELECT * FROM [AddNewCr]"/>
  </connection>
  <connection id="2" keepAlive="1" name="Query - AddTapISIN" description="Connection to the 'AddTapISIN' query in the workbook." type="5" refreshedVersion="8" background="1" saveData="1">
    <dbPr connection="Provider=Microsoft.Mashup.OleDb.1;Data Source=$Workbook$;Location=AddTapISIN;Extended Properties=&quot;&quot;" command="SELECT * FROM [AddTapISIN]"/>
    <extLst>
      <ext xmlns:x15="http://schemas.microsoft.com/office/spreadsheetml/2010/11/main" uri="{DE250136-89BD-433C-8126-D09CA5730AF9}">
        <x15:connection id="" excludeFromRefreshAll="1"/>
      </ext>
    </extLst>
  </connection>
  <connection id="3" keepAlive="1" name="Query - AddTapLoad" description="Connection to the 'AddTapLoad' query in the workbook." type="5" refreshedVersion="8" background="1" saveData="1">
    <dbPr connection="Provider=Microsoft.Mashup.OleDb.1;Data Source=$Workbook$;Location=AddTapLoad;Extended Properties=&quot;&quot;" command="SELECT * FROM [AddTapLoad]"/>
    <extLst>
      <ext xmlns:x15="http://schemas.microsoft.com/office/spreadsheetml/2010/11/main" uri="{DE250136-89BD-433C-8126-D09CA5730AF9}">
        <x15:connection id="" excludeFromRefreshAll="1"/>
      </ext>
    </extLst>
  </connection>
  <connection id="4" keepAlive="1" name="Query - AddTapPQ" description="Connection to the 'AddTapPQ' query in the workbook." type="5" refreshedVersion="0" background="1" saveData="1">
    <dbPr connection="Provider=Microsoft.Mashup.OleDb.1;Data Source=$Workbook$;Location=AddTapPQ;Extended Properties=&quot;&quot;" command="SELECT * FROM [AddTapPQ]"/>
    <extLst>
      <ext xmlns:x15="http://schemas.microsoft.com/office/spreadsheetml/2010/11/main" uri="{DE250136-89BD-433C-8126-D09CA5730AF9}">
        <x15:connection id="" excludeFromRefreshAll="1"/>
      </ext>
    </extLst>
  </connection>
  <connection id="5" keepAlive="1" name="Query - BISL_ROLE" description="Connection to the 'BISL_ROLE' query in the workbook." type="5" refreshedVersion="6" background="1" saveData="1">
    <dbPr connection="Provider=Microsoft.Mashup.OleDb.1;Data Source=$Workbook$;Location=BISL_ROLE;Extended Properties=&quot;&quot;" command="SELECT * FROM [BISL_ROLE]"/>
  </connection>
  <connection id="6"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7" keepAlive="1" name="Query - Controller" description="Connection to the 'Controller' query in the workbook." type="5" refreshedVersion="0" background="1">
    <dbPr connection="Provider=Microsoft.Mashup.OleDb.1;Data Source=$Workbook$;Location=Controller;Extended Properties=&quot;&quot;" command="SELECT * FROM [Controller]"/>
  </connection>
  <connection id="8" keepAlive="1" name="Query - credit_all" description="Connection to the 'credit_all' query in the workbook." type="5" refreshedVersion="8" background="1" saveData="1">
    <dbPr connection="Provider=Microsoft.Mashup.OleDb.1;Data Source=$Workbook$;Location=credit_all;Extended Properties=&quot;&quot;" command="SELECT * FROM [credit_all]"/>
  </connection>
  <connection id="9" keepAlive="1" name="Query - credit_all(1)" description="Connection to the 'credit_all' query in the workbook." type="5" refreshedVersion="0" background="1">
    <dbPr connection="Provider=Microsoft.Mashup.OleDb.1;Data Source=$Workbook$;Location=credit_all;Extended Properties=&quot;&quot;" command="SELECT * FROM [credit_all]"/>
  </connection>
  <connection id="10" keepAlive="1" name="Query - CrLookup" description="Connection to the 'CrLookup' query in the workbook." type="5" refreshedVersion="6" background="1">
    <dbPr connection="Provider=Microsoft.Mashup.OleDb.1;Data Source=$Workbook$;Location=CrLookup;Extended Properties=&quot;&quot;" command="SELECT * FROM [CrLookup]"/>
  </connection>
  <connection id="11" keepAlive="1" name="Query - CWB" description="Connection to the 'CWB' query in the workbook." type="5" refreshedVersion="0" background="1">
    <dbPr connection="Provider=Microsoft.Mashup.OleDb.1;Data Source=$Workbook$;Location=CWB;Extended Properties=&quot;&quot;" command="SELECT * FROM [CWB]"/>
  </connection>
  <connection id="12"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13" keepAlive="1" name="Query - DataHubPQ" description="Connection to the 'DataHubPQ' query in the workbook." type="5" refreshedVersion="6" background="1">
    <dbPr connection="Provider=Microsoft.Mashup.OleDb.1;Data Source=$Workbook$;Location=DataHubPQ;Extended Properties=&quot;&quot;" command="SELECT * FROM [DataHubPQ]"/>
  </connection>
  <connection id="14" keepAlive="1" name="Query - dd_ESG" description="Connection to the 'dd_ESG' query in the workbook." type="5" refreshedVersion="8" background="1" saveData="1">
    <dbPr connection="Provider=Microsoft.Mashup.OleDb.1;Data Source=$Workbook$;Location=dd_ESG;Extended Properties=&quot;&quot;" command="SELECT * FROM [dd_ESG]"/>
    <extLst>
      <ext xmlns:x15="http://schemas.microsoft.com/office/spreadsheetml/2010/11/main" uri="{DE250136-89BD-433C-8126-D09CA5730AF9}">
        <x15:connection id="" excludeFromRefreshAll="1"/>
      </ext>
    </extLst>
  </connection>
  <connection id="15" keepAlive="1" name="Query - dd_定价基准" description="Connection to the 'dd_定价基准' query in the workbook." type="5" refreshedVersion="6" background="1" saveData="1">
    <dbPr connection="Provider=Microsoft.Mashup.OleDb.1;Data Source=$Workbook$;Location=dd_定价基准;Extended Properties=&quot;&quot;" command="SELECT * FROM [dd_定价基准]"/>
  </connection>
  <connection id="16" keepAlive="1" name="Query - dd_港分_ROLE" description="Connection to the 'dd_港分_ROLE' query in the workbook." type="5" refreshedVersion="6" background="1" saveData="1">
    <dbPr connection="Provider=Microsoft.Mashup.OleDb.1;Data Source=$Workbook$;Location=dd_港分_ROLE;Extended Properties=&quot;&quot;" command="SELECT * FROM [dd_港分_ROLE]"/>
  </connection>
  <connection id="17"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8"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9" keepAlive="1" name="Query - DimMonday" description="Connection to the 'DimMonday' query in the workbook." type="5" refreshedVersion="6" background="1" saveData="1">
    <dbPr connection="Provider=Microsoft.Mashup.OleDb.1;Data Source=$Workbook$;Location=DimMonday;Extended Properties=&quot;&quot;" command="SELECT * FROM [DimMonday]"/>
  </connection>
  <connection id="20" keepAlive="1" name="Query - Dimtbl_DMI_Filter" description="Connection to the 'Dimtbl_DMI_Filter' query in the workbook." type="5" refreshedVersion="0" background="1">
    <dbPr connection="Provider=Microsoft.Mashup.OleDb.1;Data Source=$Workbook$;Location=Dimtbl_DMI_Filter;Extended Properties=&quot;&quot;" command="SELECT * FROM [Dimtbl_DMI_Filter]"/>
  </connection>
  <connection id="21" keepAlive="1" name="Query - DLD_Add" description="Connection to the 'DLD_Add' query in the workbook." type="5" refreshedVersion="6" background="1" saveData="1">
    <dbPr connection="Provider=Microsoft.Mashup.OleDb.1;Data Source=$Workbook$;Location=DLD_Add;Extended Properties=&quot;&quot;" command="SELECT * FROM [DLD_Add]"/>
    <extLst>
      <ext xmlns:x15="http://schemas.microsoft.com/office/spreadsheetml/2010/11/main" uri="{DE250136-89BD-433C-8126-D09CA5730AF9}">
        <x15:connection id="" excludeFromRefreshAll="1"/>
      </ext>
    </extLst>
  </connection>
  <connection id="22" keepAlive="1" name="Query - DLD_BBG_Corp" description="Connection to the 'DLD_BBG_Corp' query in the workbook." type="5" refreshedVersion="6"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23" keepAlive="1" name="Query - DLD_Conso" description="Connection to the 'DLD_Conso' query in the workbook." type="5" refreshedVersion="6" background="1" saveData="1">
    <dbPr connection="Provider=Microsoft.Mashup.OleDb.1;Data Source=$Workbook$;Location=DLD_Conso;Extended Properties=&quot;&quot;" command="SELECT * FROM [DLD_Conso]"/>
    <extLst>
      <ext xmlns:x15="http://schemas.microsoft.com/office/spreadsheetml/2010/11/main" uri="{DE250136-89BD-433C-8126-D09CA5730AF9}">
        <x15:connection id="" excludeFromRefreshAll="1"/>
      </ext>
    </extLst>
  </connection>
  <connection id="24" keepAlive="1" name="Query - DLD_DMI" description="Connection to the 'DLD_DMI' query in the workbook." type="5" refreshedVersion="6"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25" keepAlive="1" name="Query - DLD_DMI_MissingPQ" description="Connection to the 'DLD_DMI_MissingPQ' query in the workbook." type="5" refreshedVersion="0" background="1">
    <dbPr connection="Provider=Microsoft.Mashup.OleDb.1;Data Source=$Workbook$;Location=DLD_DMI_MissingPQ;Extended Properties=&quot;&quot;" command="SELECT * FROM [DLD_DMI_MissingPQ]"/>
  </connection>
  <connection id="26" keepAlive="1" name="Query - DLD_QRC_23" description="Connection to the 'DLD_QRC_23' query in the workbook." type="5" refreshedVersion="6" background="1" saveData="1">
    <dbPr connection="Provider=Microsoft.Mashup.OleDb.1;Data Source=$Workbook$;Location=DLD_QRC_23;Extended Properties=&quot;&quot;" command="SELECT * FROM [DLD_QRC_23]"/>
    <extLst>
      <ext xmlns:x15="http://schemas.microsoft.com/office/spreadsheetml/2010/11/main" uri="{DE250136-89BD-433C-8126-D09CA5730AF9}">
        <x15:connection id="" excludeFromRefreshAll="1"/>
      </ext>
    </extLst>
  </connection>
  <connection id="27" keepAlive="1" name="Query - DMI_ChangedColumn" description="Connection to the 'DMI_ChangedColumn' query in the workbook." type="5" refreshedVersion="6" background="1" saveData="1">
    <dbPr connection="Provider=Microsoft.Mashup.OleDb.1;Data Source=$Workbook$;Location=DMI_ChangedColumn;Extended Properties=&quot;&quot;" command="SELECT * FROM [DMI_ChangedColumn]"/>
    <extLst>
      <ext xmlns:x15="http://schemas.microsoft.com/office/spreadsheetml/2010/11/main" uri="{DE250136-89BD-433C-8126-D09CA5730AF9}">
        <x15:connection id="" excludeFromRefreshAll="1"/>
      </ext>
    </extLst>
  </connection>
  <connection id="28" keepAlive="1" name="Query - DMI_NewColumn" description="Connection to the 'DMI_NewColumn' query in the workbook." type="5" refreshedVersion="6" background="1" saveData="1">
    <dbPr connection="Provider=Microsoft.Mashup.OleDb.1;Data Source=$Workbook$;Location=DMI_NewColumn;Extended Properties=&quot;&quot;" command="SELECT * FROM [DMI_NewColumn]"/>
    <extLst>
      <ext xmlns:x15="http://schemas.microsoft.com/office/spreadsheetml/2010/11/main" uri="{DE250136-89BD-433C-8126-D09CA5730AF9}">
        <x15:connection id="" excludeFromRefreshAll="1"/>
      </ext>
    </extLst>
  </connection>
  <connection id="29"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30"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31" keepAlive="1" name="Query - ForReview_Issuer" description="Connection to the 'ForReview_Issuer' query in the workbook." type="5" refreshedVersion="6" background="1" saveData="1">
    <dbPr connection="Provider=Microsoft.Mashup.OleDb.1;Data Source=$Workbook$;Location=ForReview_Issuer;Extended Properties=&quot;&quot;" command="SELECT * FROM [ForReview_Issuer]"/>
    <extLst>
      <ext xmlns:x15="http://schemas.microsoft.com/office/spreadsheetml/2010/11/main" uri="{DE250136-89BD-433C-8126-D09CA5730AF9}">
        <x15:connection id="" excludeFromRefreshAll="1"/>
      </ext>
    </extLst>
  </connection>
  <connection id="32"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33"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34" keepAlive="1" name="Query - ForReview_wCurated" description="Connection to the 'ForReview_wCurated' query in the workbook." type="5" refreshedVersion="6" background="1" saveData="1">
    <dbPr connection="Provider=Microsoft.Mashup.OleDb.1;Data Source=$Workbook$;Location=ForReview_wCurated;Extended Properties=&quot;&quot;" command="SELECT * FROM [ForReview_wCurated]"/>
    <extLst>
      <ext xmlns:x15="http://schemas.microsoft.com/office/spreadsheetml/2010/11/main" uri="{DE250136-89BD-433C-8126-D09CA5730AF9}">
        <x15:connection id="" excludeFromRefreshAll="1"/>
      </ext>
    </extLst>
  </connection>
  <connection id="35" keepAlive="1" name="Query - fx" description="Connection to the 'fx' query in the workbook." type="5" refreshedVersion="0" background="1">
    <dbPr connection="Provider=Microsoft.Mashup.OleDb.1;Data Source=$Workbook$;Location=fx;Extended Properties=&quot;&quot;" command="SELECT * FROM [fx]"/>
  </connection>
  <connection id="36"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7" keepAlive="1" name="Query - fxCheck" description="Connection to the 'fxCheck' query in the workbook." type="5" refreshedVersion="0" background="1">
    <dbPr connection="Provider=Microsoft.Mashup.OleDb.1;Data Source=$Workbook$;Location=fxCheck;Extended Properties=&quot;&quot;" command="SELECT * FROM [fxCheck]"/>
  </connection>
  <connection id="38" keepAlive="1" name="Query - fxCheckNDupe" description="Connection to the 'fxCheckNDupe' query in the workbook." type="5" refreshedVersion="0" background="1">
    <dbPr connection="Provider=Microsoft.Mashup.OleDb.1;Data Source=$Workbook$;Location=fxCheckNDupe;Extended Properties=&quot;&quot;" command="SELECT * FROM [fxCheckNDupe]"/>
  </connection>
  <connection id="39" keepAlive="1" name="Query - fxCleaner" description="Connection to the 'fxCleaner' query in the workbook." type="5" refreshedVersion="0" background="1">
    <dbPr connection="Provider=Microsoft.Mashup.OleDb.1;Data Source=$Workbook$;Location=fxCleaner;Extended Properties=&quot;&quot;" command="SELECT * FROM [fxCleaner]"/>
  </connection>
  <connection id="40" keepAlive="1" name="Query - fxDataFormat" description="Connection to the 'fxDataFormat' query in the workbook." type="5" refreshedVersion="0" background="1">
    <dbPr connection="Provider=Microsoft.Mashup.OleDb.1;Data Source=$Workbook$;Location=fxDataFormat;Extended Properties=&quot;&quot;" command="SELECT * FROM [fxDataFormat]"/>
  </connection>
  <connection id="41"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42" keepAlive="1" name="Query - fxMerge" description="Connection to the 'fxMerge' query in the workbook." type="5" refreshedVersion="0" background="1">
    <dbPr connection="Provider=Microsoft.Mashup.OleDb.1;Data Source=$Workbook$;Location=fxMerge;Extended Properties=&quot;&quot;" command="SELECT * FROM [fxMerge]"/>
  </connection>
  <connection id="43" keepAlive="1" name="Query - fxPresentNoData" description="Connection to the 'fxPresentNoData' query in the workbook." type="5" refreshedVersion="0" background="1">
    <dbPr connection="Provider=Microsoft.Mashup.OleDb.1;Data Source=$Workbook$;Location=fxPresentNoData;Extended Properties=&quot;&quot;" command="SELECT * FROM [fxPresentNoData]"/>
  </connection>
  <connection id="44" keepAlive="1" name="Query - fxRemoveRepeated" description="Connection to the 'fxRemoveRepeated' query in the workbook." type="5" refreshedVersion="0" background="1">
    <dbPr connection="Provider=Microsoft.Mashup.OleDb.1;Data Source=$Workbook$;Location=fxRemoveRepeated;Extended Properties=&quot;&quot;" command="SELECT * FROM [fxRemoveRepeated]"/>
  </connection>
  <connection id="45" keepAlive="1" name="Query - fxShowDupe" description="Connection to the 'fxShowDupe' query in the workbook." type="5" refreshedVersion="0" background="1">
    <dbPr connection="Provider=Microsoft.Mashup.OleDb.1;Data Source=$Workbook$;Location=fxShowDupe;Extended Properties=&quot;&quot;" command="SELECT * FROM [fxShowDupe]"/>
  </connection>
  <connection id="46" keepAlive="1" name="Query - fxSortNIndex" description="Connection to the 'fxSortNIndex' query in the workbook." type="5" refreshedVersion="0" background="1">
    <dbPr connection="Provider=Microsoft.Mashup.OleDb.1;Data Source=$Workbook$;Location=fxSortNIndex;Extended Properties=&quot;&quot;" command="SELECT * FROM [fxSortNIndex]"/>
  </connection>
  <connection id="47" keepAlive="1" name="Query - fxToM" description="Connection to the 'fxToM' query in the workbook." type="5" refreshedVersion="0" background="1">
    <dbPr connection="Provider=Microsoft.Mashup.OleDb.1;Data Source=$Workbook$;Location=fxToM;Extended Properties=&quot;&quot;" command="SELECT * FROM [fxToM]"/>
  </connection>
  <connection id="48" keepAlive="1" name="Query - Get" description="Connection to the 'Get' query in the workbook." type="5" refreshedVersion="0" background="1">
    <dbPr connection="Provider=Microsoft.Mashup.OleDb.1;Data Source=$Workbook$;Location=Get;Extended Properties=&quot;&quot;" command="SELECT * FROM [Get]"/>
  </connection>
  <connection id="49" keepAlive="1" name="Query - GNG" description="Connection to the 'GNG' query in the workbook." type="5" refreshedVersion="0" background="1">
    <dbPr connection="Provider=Microsoft.Mashup.OleDb.1;Data Source=$Workbook$;Location=GNG;Extended Properties=&quot;&quot;" command="SELECT * FROM [GNG]"/>
  </connection>
  <connection id="5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51" keepAlive="1" name="Query - ListToMcode" description="Connection to the 'ListToMcode' query in the workbook." type="5" refreshedVersion="0" background="1">
    <dbPr connection="Provider=Microsoft.Mashup.OleDb.1;Data Source=$Workbook$;Location=ListToMcode;Extended Properties=&quot;&quot;" command="SELECT * FROM [ListToMcode]"/>
  </connection>
  <connection id="52" keepAlive="1" name="Query - Load" description="Connection to the 'Load' query in the workbook." type="5" refreshedVersion="0" background="1">
    <dbPr connection="Provider=Microsoft.Mashup.OleDb.1;Data Source=$Workbook$;Location=Load;Extended Properties=&quot;&quot;" command="SELECT * FROM [Load]"/>
  </connection>
  <connection id="53" keepAlive="1" name="Query - LoadStatus" description="Connection to the 'LoadStatus' query in the workbook." type="5" refreshedVersion="6" background="1" saveData="1">
    <dbPr connection="Provider=Microsoft.Mashup.OleDb.1;Data Source=$Workbook$;Location=LoadStatus;Extended Properties=&quot;&quot;" command="SELECT * FROM [LoadStatus]"/>
  </connection>
  <connection id="54"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55" keepAlive="1" name="Query - mCurated" description="Connection to the 'mCurated' query in the workbook." type="5" refreshedVersion="0" background="1">
    <dbPr connection="Provider=Microsoft.Mashup.OleDb.1;Data Source=$Workbook$;Location=mCurated;Extended Properties=&quot;&quot;" command="SELECT * FROM [mCurated]"/>
  </connection>
  <connection id="56"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57" keepAlive="1" name="Query - OVRDMulti" description="Connection to the 'OVRDMulti' query in the workbook." type="5" refreshedVersion="0" background="1">
    <dbPr connection="Provider=Microsoft.Mashup.OleDb.1;Data Source=$Workbook$;Location=OVRDMulti;Extended Properties=&quot;&quot;" command="SELECT * FROM [OVRDMulti]"/>
  </connection>
  <connection id="58" keepAlive="1" name="Query - OVRDwFilter" description="Connection to the 'OVRDwFilter' query in the workbook." type="5" refreshedVersion="0" background="1">
    <dbPr connection="Provider=Microsoft.Mashup.OleDb.1;Data Source=$Workbook$;Location=OVRDwFilter;Extended Properties=&quot;&quot;" command="SELECT * FROM [OVRDwFilter]"/>
  </connection>
  <connection id="59" keepAlive="1" name="Query - Prefix" description="Connection to the 'Prefix' query in the workbook." type="5" refreshedVersion="0" background="1">
    <dbPr connection="Provider=Microsoft.Mashup.OleDb.1;Data Source=$Workbook$;Location=Prefix;Extended Properties=&quot;&quot;" command="SELECT * FROM [Prefix]"/>
  </connection>
  <connection id="60" keepAlive="1" name="Query - Query1" description="Connection to the 'Query1' query in the workbook." type="5" refreshedVersion="0" background="1">
    <dbPr connection="Provider=Microsoft.Mashup.OleDb.1;Data Source=$Workbook$;Location=Query1;Extended Properties=&quot;&quot;" command="SELECT * FROM [Query1]"/>
  </connection>
  <connection id="61"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62"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63"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64" keepAlive="1" name="Query - TapLookup" description="Connection to the 'TapLookup' query in the workbook." type="5" refreshedVersion="0" background="1">
    <dbPr connection="Provider=Microsoft.Mashup.OleDb.1;Data Source=$Workbook$;Location=TapLookup;Extended Properties=&quot;&quot;" command="SELECT * FROM [TapLookup]"/>
  </connection>
  <connection id="65" keepAlive="1" name="Query - Updator" description="Connection to the 'Updator' query in the workbook." type="5" refreshedVersion="6" background="1" saveData="1">
    <dbPr connection="Provider=Microsoft.Mashup.OleDb.1;Data Source=$Workbook$;Location=Updator;Extended Properties=&quot;&quot;" command="SELECT * FROM [Updator]"/>
  </connection>
  <connection id="66" keepAlive="1" name="Query - wBISL" description="Connection to the 'wBISL' query in the workbook." type="5" refreshedVersion="6" background="1" saveData="1">
    <dbPr connection="Provider=Microsoft.Mashup.OleDb.1;Data Source=$Workbook$;Location=wBISL;Extended Properties=&quot;&quot;" command="SELECT * FROM [wBISL]"/>
  </connection>
  <connection id="67" keepAlive="1" name="Query - wChart" description="Connection to the 'wChart' query in the workbook." type="5" refreshedVersion="6" background="1" saveData="1">
    <dbPr connection="Provider=Microsoft.Mashup.OleDb.1;Data Source=$Workbook$;Location=wChart;Extended Properties=&quot;&quot;" command="SELECT * FROM [wChart]"/>
  </connection>
  <connection id="68"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69" keepAlive="1" name="Query - wCredit" description="Connection to the 'wCredit' query in the workbook." type="5" refreshedVersion="6" background="1" saveData="1">
    <dbPr connection="Provider=Microsoft.Mashup.OleDb.1;Data Source=$Workbook$;Location=wCredit;Extended Properties=&quot;&quot;" command="SELECT * FROM [wCredit]"/>
  </connection>
  <connection id="70" keepAlive="1" name="Query - wCurated" description="Connection to the 'wCurated' query in the workbook." type="5" refreshedVersion="6" background="1" saveData="1">
    <dbPr connection="Provider=Microsoft.Mashup.OleDb.1;Data Source=$Workbook$;Location=wCurated;Extended Properties=&quot;&quot;" command="SELECT * FROM [wCurated]"/>
  </connection>
  <connection id="71"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72" keepAlive="1" name="Query - 上市分类" description="Connection to the '上市分类' query in the workbook." type="5" refreshedVersion="6" background="1" saveData="1">
    <dbPr connection="Provider=Microsoft.Mashup.OleDb.1;Data Source=$Workbook$;Location=上市分类;Extended Properties=&quot;&quot;" command="SELECT * FROM [上市分类]"/>
  </connection>
  <connection id="73" keepAlive="1" name="Query - 中资属性" description="Connection to the '中资属性' query in the workbook." type="5" refreshedVersion="6" background="1" saveData="1">
    <dbPr connection="Provider=Microsoft.Mashup.OleDb.1;Data Source=$Workbook$;Location=中资属性;Extended Properties=&quot;&quot;" command="SELECT * FROM [中资属性]"/>
  </connection>
  <connection id="74" keepAlive="1" name="Query - 地区" description="Connection to the '地区' query in the workbook." type="5" refreshedVersion="6" background="1" saveData="1">
    <dbPr connection="Provider=Microsoft.Mashup.OleDb.1;Data Source=$Workbook$;Location=地区;Extended Properties=&quot;&quot;" command="SELECT * FROM [地区]"/>
  </connection>
  <connection id="75" keepAlive="1" name="Query - 备证行" description="Connection to the '备证行' query in the workbook." type="5" refreshedVersion="6" background="1" saveData="1">
    <dbPr connection="Provider=Microsoft.Mashup.OleDb.1;Data Source=$Workbook$;Location=备证行;Extended Properties=&quot;&quot;" command="SELECT * FROM [备证行]"/>
  </connection>
  <connection id="76" keepAlive="1" name="Query - 新规角色" description="Connection to the '新规角色' query in the workbook." type="5" refreshedVersion="6" background="1" saveData="1">
    <dbPr connection="Provider=Microsoft.Mashup.OleDb.1;Data Source=$Workbook$;Location=新规角色;Extended Properties=&quot;&quot;" command="SELECT * FROM [新规角色]"/>
  </connection>
  <connection id="77" keepAlive="1" name="Query - 板块" description="Connection to the '板块' query in the workbook." type="5" refreshedVersion="6" background="1" saveData="1">
    <dbPr connection="Provider=Microsoft.Mashup.OleDb.1;Data Source=$Workbook$;Location=板块;Extended Properties=&quot;&quot;" command="SELECT * FROM [板块]"/>
  </connection>
  <connection id="78" keepAlive="1" name="Query - 结构" description="Connection to the '结构' query in the workbook." type="5" refreshedVersion="6" background="1" saveData="1">
    <dbPr connection="Provider=Microsoft.Mashup.OleDb.1;Data Source=$Workbook$;Location=结构;Extended Properties=&quot;&quot;" command="SELECT * FROM [结构]"/>
  </connection>
  <connection id="79" keepAlive="1" name="Query - 货币" description="Connection to the '货币' query in the workbook." type="5" refreshedVersion="6" background="1" saveData="1">
    <dbPr connection="Provider=Microsoft.Mashup.OleDb.1;Data Source=$Workbook$;Location=货币;Extended Properties=&quot;&quot;" command="SELECT * FROM [货币]"/>
  </connection>
</connections>
</file>

<file path=xl/sharedStrings.xml><?xml version="1.0" encoding="utf-8"?>
<sst xmlns="http://schemas.openxmlformats.org/spreadsheetml/2006/main" count="7061" uniqueCount="1083">
  <si>
    <t>KT</t>
  </si>
  <si>
    <t>城投</t>
  </si>
  <si>
    <t>其他</t>
  </si>
  <si>
    <t>地产</t>
  </si>
  <si>
    <t>JH</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</si>
  <si>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</si>
  <si>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</si>
  <si>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</si>
  <si>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</si>
  <si>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</si>
  <si>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</si>
  <si>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</si>
  <si>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</si>
  <si>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</si>
  <si>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</si>
  <si>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</si>
  <si>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</si>
  <si>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</si>
  <si>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</si>
  <si>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</si>
  <si>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</si>
  <si>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</si>
  <si>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</si>
  <si>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</si>
  <si>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</si>
  <si>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</si>
  <si>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</si>
  <si>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</si>
  <si>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</si>
  <si>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</si>
  <si>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</si>
  <si>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</si>
  <si>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</si>
  <si>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</si>
  <si>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</si>
  <si>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</si>
  <si>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主题</t>
  </si>
  <si>
    <t>直发</t>
  </si>
  <si>
    <t>维好+担保</t>
  </si>
  <si>
    <t>担保</t>
  </si>
  <si>
    <t>维好</t>
  </si>
  <si>
    <t>备证行</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</si>
  <si>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</si>
  <si>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</si>
  <si>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</si>
  <si>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</si>
  <si>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</si>
  <si>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</si>
  <si>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</si>
  <si>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</si>
  <si>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</si>
  <si>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</si>
  <si>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</si>
  <si>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</si>
  <si>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</si>
  <si>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</si>
  <si>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</si>
  <si>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</si>
  <si>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</si>
  <si>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</si>
  <si>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</si>
  <si>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</si>
  <si>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</si>
  <si>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</si>
  <si>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</si>
  <si>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</si>
  <si>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</si>
  <si>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</si>
  <si>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</si>
  <si>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</si>
  <si>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</si>
  <si>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</si>
  <si>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</si>
  <si>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</si>
  <si>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</si>
  <si>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</si>
  <si>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</si>
  <si>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</si>
  <si>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</si>
  <si>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</si>
  <si>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</si>
  <si>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</si>
  <si>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</si>
  <si>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金融</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</si>
  <si>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</si>
  <si>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</si>
  <si>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</si>
  <si>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</si>
  <si>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</si>
  <si>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</si>
  <si>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</si>
  <si>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</si>
  <si>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</si>
  <si>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</si>
  <si>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</si>
  <si>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</si>
  <si>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</si>
  <si>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</si>
  <si>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</si>
  <si>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</si>
  <si>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</si>
  <si>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</si>
  <si>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</si>
  <si>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</si>
  <si>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</si>
  <si>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</si>
  <si>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品种</t>
  </si>
  <si>
    <t>GENERATOR</t>
  </si>
  <si>
    <t>HKD</t>
  </si>
  <si>
    <t>未上市</t>
  </si>
  <si>
    <t>EUR</t>
  </si>
  <si>
    <t>备证</t>
  </si>
  <si>
    <t>备证+担保</t>
  </si>
  <si>
    <t>备证+维好</t>
  </si>
  <si>
    <t>%</t>
  </si>
  <si>
    <t>NR</t>
  </si>
  <si>
    <t>信用主体简称</t>
  </si>
  <si>
    <t>按年</t>
  </si>
  <si>
    <t>定价息差</t>
  </si>
  <si>
    <t>票息</t>
  </si>
  <si>
    <t>ECON</t>
  </si>
  <si>
    <t>Date</t>
  </si>
  <si>
    <t>Event</t>
  </si>
  <si>
    <t>Survey</t>
  </si>
  <si>
    <t>Actual</t>
  </si>
  <si>
    <t>Prior</t>
  </si>
  <si>
    <t>Revised</t>
  </si>
  <si>
    <t>Relevance</t>
  </si>
  <si>
    <t>Ticker</t>
  </si>
  <si>
    <t>Time</t>
  </si>
  <si>
    <t>M6</t>
  </si>
  <si>
    <t>认购额(亿)</t>
  </si>
  <si>
    <t>IG</t>
  </si>
  <si>
    <t>HY</t>
  </si>
  <si>
    <t>发行评级</t>
  </si>
  <si>
    <t>USD &amp; CNH</t>
  </si>
  <si>
    <t>描述</t>
  </si>
  <si>
    <t>WRITER</t>
  </si>
  <si>
    <t>ESG</t>
  </si>
  <si>
    <t>Check</t>
  </si>
  <si>
    <t>增发判定</t>
  </si>
  <si>
    <t>宁夏</t>
  </si>
  <si>
    <t>西藏</t>
  </si>
  <si>
    <t>香港</t>
  </si>
  <si>
    <t>补充OMAS updates</t>
  </si>
  <si>
    <t>LOAD</t>
  </si>
  <si>
    <t>BISL_ROLE</t>
  </si>
  <si>
    <t>BOCOM_DEAL?</t>
  </si>
  <si>
    <t>JBR</t>
  </si>
  <si>
    <t>JGC</t>
  </si>
  <si>
    <t>3</t>
  </si>
  <si>
    <t>定价</t>
  </si>
  <si>
    <t>上周主要经济数据</t>
  </si>
  <si>
    <t xml:space="preserve">发布(HKT) </t>
  </si>
  <si>
    <t>前值</t>
  </si>
  <si>
    <t>预期</t>
  </si>
  <si>
    <t>现值</t>
  </si>
  <si>
    <t>Region</t>
  </si>
  <si>
    <t>Period</t>
  </si>
  <si>
    <t>Table</t>
  </si>
  <si>
    <t>FUTURE</t>
  </si>
  <si>
    <t>区间</t>
  </si>
  <si>
    <t>范围</t>
  </si>
  <si>
    <t>未来一周主要经济数据</t>
  </si>
  <si>
    <t>信用主体(备证行)</t>
  </si>
  <si>
    <t>收窄基点</t>
  </si>
  <si>
    <t xml:space="preserve">预计发布(HKT) </t>
  </si>
  <si>
    <t>定价基准</t>
  </si>
  <si>
    <t>Updator</t>
  </si>
  <si>
    <t>期数</t>
  </si>
  <si>
    <t>新规角色</t>
  </si>
  <si>
    <t>COVERAGE</t>
  </si>
  <si>
    <t>亿美元</t>
  </si>
  <si>
    <t>亿元</t>
  </si>
  <si>
    <t>IS_FIMTN</t>
  </si>
  <si>
    <t>债项初始评级</t>
  </si>
  <si>
    <t>主体评级</t>
  </si>
  <si>
    <t>SHORTNAMER</t>
  </si>
  <si>
    <t>CHARTs</t>
  </si>
  <si>
    <t>SCMI</t>
  </si>
  <si>
    <t>FI组</t>
  </si>
  <si>
    <t>PROJECT_CODE</t>
  </si>
  <si>
    <t>OC</t>
  </si>
  <si>
    <t>SOE组</t>
  </si>
  <si>
    <t>GRAPH</t>
  </si>
  <si>
    <t>港分_ROLE</t>
  </si>
  <si>
    <t>澳分_ROLE</t>
  </si>
  <si>
    <t>Project Name</t>
  </si>
  <si>
    <t>Co-Manager</t>
  </si>
  <si>
    <t>PA</t>
  </si>
  <si>
    <t>NSCMI</t>
  </si>
  <si>
    <t>POE组</t>
  </si>
  <si>
    <t>DEBUT_DATE</t>
  </si>
  <si>
    <t>央企</t>
  </si>
  <si>
    <t>央企(子)</t>
  </si>
  <si>
    <t>地方国企</t>
  </si>
  <si>
    <t>民企</t>
  </si>
  <si>
    <t>n/a</t>
  </si>
  <si>
    <t>发行方式</t>
  </si>
  <si>
    <t>IS_LEAD</t>
  </si>
  <si>
    <t>IS_B&amp;D</t>
  </si>
  <si>
    <t>是否合名</t>
  </si>
  <si>
    <t>DynamicList</t>
  </si>
  <si>
    <t>台账序号</t>
  </si>
  <si>
    <t>中资属性</t>
  </si>
  <si>
    <t>IPT_DMI</t>
  </si>
  <si>
    <t>FPG_DMI</t>
  </si>
  <si>
    <t>通过分行</t>
  </si>
  <si>
    <t>NotCNH</t>
  </si>
  <si>
    <t>期限备注</t>
  </si>
  <si>
    <t>亿港币</t>
  </si>
  <si>
    <t>SGC</t>
  </si>
  <si>
    <t>Dealer</t>
  </si>
  <si>
    <t>多笔</t>
  </si>
  <si>
    <t>多币种</t>
  </si>
  <si>
    <t>多品种</t>
  </si>
  <si>
    <t>亮点</t>
  </si>
  <si>
    <t>SPECIALs</t>
  </si>
  <si>
    <t>OTHER_ISIN</t>
  </si>
  <si>
    <t>Timestamp</t>
  </si>
  <si>
    <t>剩余期限</t>
  </si>
  <si>
    <t>投资者账户数</t>
  </si>
  <si>
    <t>投资者类型</t>
  </si>
  <si>
    <t>投资者分布</t>
  </si>
  <si>
    <t>筹款用途</t>
  </si>
  <si>
    <t>联席账簿管理人</t>
  </si>
  <si>
    <t>定价_DMI</t>
  </si>
  <si>
    <t>板块</t>
  </si>
  <si>
    <t>主权/政府</t>
  </si>
  <si>
    <t>首次违约日</t>
  </si>
  <si>
    <t>CY</t>
  </si>
  <si>
    <t>注册成立地</t>
  </si>
  <si>
    <t>BISL</t>
  </si>
  <si>
    <t>港分</t>
  </si>
  <si>
    <t>澳分</t>
  </si>
  <si>
    <t>Stats描述</t>
  </si>
  <si>
    <t>英文简称</t>
  </si>
  <si>
    <t>发行架构</t>
  </si>
  <si>
    <t>债项BBG</t>
  </si>
  <si>
    <t>主体BBG</t>
  </si>
  <si>
    <t>DMI</t>
  </si>
  <si>
    <t>项目名称（集团全称）</t>
  </si>
  <si>
    <t>担任角色</t>
  </si>
  <si>
    <t>项目定价日</t>
  </si>
  <si>
    <t>QRC台账</t>
  </si>
  <si>
    <t>DMI Count</t>
  </si>
  <si>
    <t>BBG Count</t>
  </si>
  <si>
    <t>Max 台账序号</t>
  </si>
  <si>
    <t>CN</t>
  </si>
  <si>
    <t>澳交所</t>
  </si>
  <si>
    <t>增发</t>
  </si>
  <si>
    <t>Health Checker</t>
  </si>
  <si>
    <t>SCMI(Level II)</t>
  </si>
  <si>
    <t>SCMI(waived)</t>
  </si>
  <si>
    <t>直发(红筹)</t>
  </si>
  <si>
    <t>金融机构</t>
  </si>
  <si>
    <t>地方平台</t>
  </si>
  <si>
    <t>产业</t>
  </si>
  <si>
    <t>房地产</t>
  </si>
  <si>
    <t>发行人主上市地</t>
  </si>
  <si>
    <t>JPY</t>
  </si>
  <si>
    <t>港交所</t>
  </si>
  <si>
    <t>恒丰银行</t>
  </si>
  <si>
    <t>Weeknum</t>
  </si>
  <si>
    <t>上周亿美元</t>
  </si>
  <si>
    <t>上周笔数</t>
  </si>
  <si>
    <r>
      <rPr>
        <sz val="14"/>
        <color theme="9"/>
        <rFont val="Microsoft JhengHei UI"/>
        <family val="2"/>
        <scheme val="minor"/>
      </rPr>
      <t>REVIEW</t>
    </r>
    <r>
      <rPr>
        <sz val="18"/>
        <color theme="9"/>
        <rFont val="Microsoft JhengHei UI"/>
        <family val="2"/>
        <scheme val="minor"/>
      </rPr>
      <t xml:space="preserve">
⬇️</t>
    </r>
  </si>
  <si>
    <t>周</t>
  </si>
  <si>
    <t>Name</t>
  </si>
  <si>
    <t>黄荣左</t>
  </si>
  <si>
    <t>刘嘉西</t>
  </si>
  <si>
    <t>孙颖芝</t>
  </si>
  <si>
    <t>余烨洁</t>
  </si>
  <si>
    <t>PRJ对账号</t>
  </si>
  <si>
    <t>SortValue</t>
  </si>
  <si>
    <t>童富涵</t>
  </si>
  <si>
    <t>SGD</t>
  </si>
  <si>
    <t>MOP</t>
  </si>
  <si>
    <t>GBP</t>
  </si>
  <si>
    <t>AUD</t>
  </si>
  <si>
    <t>NZD</t>
  </si>
  <si>
    <t>CAD</t>
  </si>
  <si>
    <t>上市分类</t>
  </si>
  <si>
    <t>新交所</t>
  </si>
  <si>
    <t>多地上市</t>
  </si>
  <si>
    <t>6.3%区域</t>
  </si>
  <si>
    <t>齐鲁银行</t>
  </si>
  <si>
    <t>备证+担保+维好</t>
  </si>
  <si>
    <t>6.3%a</t>
  </si>
  <si>
    <t>乌鲁木齐高新</t>
  </si>
  <si>
    <t>齐鲁财金(恒丰银行)</t>
  </si>
  <si>
    <t>广东省政府</t>
  </si>
  <si>
    <t>深圳市政府</t>
  </si>
  <si>
    <t>周四，齐鲁财金定价人民币2亿元3年期点心债（恒丰银行提供备证），价格4.8%</t>
  </si>
  <si>
    <t>周四，广东省政府定价人民币10亿元2年期绿色澳交所点心债，价格2.4%，较IPG收窄35个基点，交通银行担任账簿管理人</t>
  </si>
  <si>
    <t>周二，深圳市政府定价人民币21亿元3年期绿色点心债，价格2.55%，较IPG收窄35个基点，交通银行担任账簿管理人</t>
  </si>
  <si>
    <t>周二，深圳市政府定价人民币20亿元5年期绿色点心债，价格2.75%，较IPG收窄40个基点，交通银行担任账簿管理人</t>
  </si>
  <si>
    <t>周二，深圳市政府定价人民币9亿元2年期绿色点心债，价格2.4%，较IPG收窄35个基点，交通银行担任账簿管理人</t>
  </si>
  <si>
    <t>周二，乌鲁木齐高新（--/--/BB+）定价人民币8.062亿元3年期点心债，价格5.5%，较IPG收窄10个基点，交银国际担任全球协调人</t>
  </si>
  <si>
    <t>Writer</t>
  </si>
  <si>
    <t>NEWWriter</t>
  </si>
  <si>
    <t>Stats</t>
  </si>
  <si>
    <t>Column1</t>
  </si>
  <si>
    <t>未检测到DMI列名有更改</t>
  </si>
  <si>
    <t>Column2</t>
  </si>
  <si>
    <t>添加增发方式</t>
  </si>
  <si>
    <t>新增记录</t>
  </si>
  <si>
    <t>原始ISIN</t>
  </si>
  <si>
    <t>增发ISIN</t>
  </si>
  <si>
    <t>IPT</t>
  </si>
  <si>
    <t>绿色债券</t>
  </si>
  <si>
    <t>输入要查询的ISIN</t>
  </si>
  <si>
    <t>输入主体关键字</t>
  </si>
  <si>
    <t>6.20%</t>
  </si>
  <si>
    <t>3 增发详情：填写每一列</t>
  </si>
  <si>
    <t>2 原始债券：在下表内右键选Refresh</t>
  </si>
  <si>
    <t>4 生成增发记录：在下表内右键选Refresh</t>
  </si>
  <si>
    <t>AddToDLD</t>
  </si>
  <si>
    <t>N</t>
  </si>
  <si>
    <t>1 搜索原始债券</t>
  </si>
  <si>
    <t>AddTap To Download</t>
  </si>
  <si>
    <t>5 Refresh Query FOLDER 【2】Download</t>
  </si>
  <si>
    <t>发行规则</t>
  </si>
  <si>
    <t>临时isin</t>
  </si>
  <si>
    <t>青岛银行</t>
  </si>
  <si>
    <t>新发</t>
  </si>
  <si>
    <t>中国银行</t>
  </si>
  <si>
    <t>Monday</t>
  </si>
  <si>
    <t>国开行</t>
  </si>
  <si>
    <t>工商银行</t>
  </si>
  <si>
    <t>农业银行</t>
  </si>
  <si>
    <t>建设银行</t>
  </si>
  <si>
    <t>邮储银行</t>
  </si>
  <si>
    <t>招商银行</t>
  </si>
  <si>
    <t>浦发银行</t>
  </si>
  <si>
    <t>兴业银行</t>
  </si>
  <si>
    <t>中信银行</t>
  </si>
  <si>
    <t>华夏银行</t>
  </si>
  <si>
    <t>浙商银行</t>
  </si>
  <si>
    <t>渤海银行</t>
  </si>
  <si>
    <t>北京银行</t>
  </si>
  <si>
    <t>江苏银行</t>
  </si>
  <si>
    <t>上海银行</t>
  </si>
  <si>
    <t>宁波银行</t>
  </si>
  <si>
    <t>南京银行</t>
  </si>
  <si>
    <t>杭州银行</t>
  </si>
  <si>
    <t>成都银行</t>
  </si>
  <si>
    <t>重庆银行</t>
  </si>
  <si>
    <t>长沙银行</t>
  </si>
  <si>
    <t>郑州银行</t>
  </si>
  <si>
    <t>西安银行</t>
  </si>
  <si>
    <t>徽商银行</t>
  </si>
  <si>
    <t>中原银行</t>
  </si>
  <si>
    <t>天津银行</t>
  </si>
  <si>
    <t>江西银行</t>
  </si>
  <si>
    <t>湖南银行(原华融湘江)</t>
  </si>
  <si>
    <t>北部湾银行</t>
  </si>
  <si>
    <t>湖北银行</t>
  </si>
  <si>
    <t>齐商银行</t>
  </si>
  <si>
    <t>长安银行</t>
  </si>
  <si>
    <t>重庆三峡银行</t>
  </si>
  <si>
    <t>绵阳商业银行</t>
  </si>
  <si>
    <t>九江银行</t>
  </si>
  <si>
    <t>绍兴银行</t>
  </si>
  <si>
    <t>桂林银行</t>
  </si>
  <si>
    <t>河北银行</t>
  </si>
  <si>
    <t>嘉兴银行</t>
  </si>
  <si>
    <t>富滇银行</t>
  </si>
  <si>
    <t>厦门国际银行</t>
  </si>
  <si>
    <t>东莞银行</t>
  </si>
  <si>
    <t>合肥科农行</t>
  </si>
  <si>
    <t>成都农商行</t>
  </si>
  <si>
    <t>重庆农商行</t>
  </si>
  <si>
    <t>南商(中国)</t>
  </si>
  <si>
    <t>招商永隆银行</t>
  </si>
  <si>
    <t>AddNew To Download</t>
  </si>
  <si>
    <t>发行日</t>
  </si>
  <si>
    <t>到期日</t>
  </si>
  <si>
    <t>Input</t>
  </si>
  <si>
    <t>1 添加信用主体</t>
  </si>
  <si>
    <t>3.50%a</t>
  </si>
  <si>
    <t>澳门</t>
  </si>
  <si>
    <t>台湾</t>
  </si>
  <si>
    <t>科技</t>
  </si>
  <si>
    <t>能源</t>
  </si>
  <si>
    <t>DropdownSort</t>
  </si>
  <si>
    <t>可持续债券</t>
  </si>
  <si>
    <t>AT1</t>
  </si>
  <si>
    <t>T2</t>
  </si>
  <si>
    <t>BOCOM</t>
  </si>
  <si>
    <t>COMMUNICATIONSMACAU</t>
  </si>
  <si>
    <t>COMMUNICATIONS</t>
  </si>
  <si>
    <t>BISL;港分</t>
  </si>
  <si>
    <t>港分;澳分</t>
  </si>
  <si>
    <t>BOCOM;COMMUNICATIONS</t>
  </si>
  <si>
    <t>Find</t>
  </si>
  <si>
    <t>Replace</t>
  </si>
  <si>
    <t>DropdownLoad</t>
  </si>
  <si>
    <t>Dropdown</t>
  </si>
  <si>
    <t>BOCOM_JGC</t>
  </si>
  <si>
    <t>BOCOM_JBR</t>
  </si>
  <si>
    <t>中国</t>
  </si>
  <si>
    <t>债券详情</t>
  </si>
  <si>
    <t>票息_DMI</t>
  </si>
  <si>
    <t>XS2509105412</t>
  </si>
  <si>
    <t>晋城国投</t>
  </si>
  <si>
    <t>晋城市国有资本投资运营有限公司</t>
  </si>
  <si>
    <t>AA+</t>
  </si>
  <si>
    <t>JNCHED</t>
  </si>
  <si>
    <t>JINCHENG STATE-OWNED CAPITAL INVESTMENT OPERATION CO LTD</t>
  </si>
  <si>
    <t>220902XS2509105412</t>
  </si>
  <si>
    <t>现有债务再融资</t>
  </si>
  <si>
    <t>DataSource</t>
  </si>
  <si>
    <t>DMIRenamed</t>
  </si>
  <si>
    <t>更名规则 - 添加"_DMI"</t>
  </si>
  <si>
    <t>ColNow_mCurated</t>
  </si>
  <si>
    <t>原始DMI字段</t>
  </si>
  <si>
    <t>Curated</t>
  </si>
  <si>
    <t>DMI字段</t>
  </si>
  <si>
    <t>状态</t>
  </si>
  <si>
    <t>原始录入</t>
  </si>
  <si>
    <t>更名后缀录入</t>
  </si>
  <si>
    <t>合并至其他字段录入</t>
  </si>
  <si>
    <t>Referenced</t>
  </si>
  <si>
    <t>未参考</t>
  </si>
  <si>
    <t>删除及隐藏</t>
  </si>
  <si>
    <t>主体及承销</t>
  </si>
  <si>
    <t>简称及分类</t>
  </si>
  <si>
    <t>hardcode3 AN4:BA40
Autocopy: AN4</t>
  </si>
  <si>
    <t>hardcode4 BF4:BI40
Autocopy: BF4</t>
  </si>
  <si>
    <t>hardcode2 P4:AI40
Autocopy: P4</t>
  </si>
  <si>
    <t>hardcode1 A4:K40
Auto: A4</t>
  </si>
  <si>
    <t>Cell To Review Format</t>
  </si>
  <si>
    <t>⭐</t>
  </si>
  <si>
    <t>笔</t>
  </si>
  <si>
    <t>角色详情</t>
  </si>
  <si>
    <t>未检测到DMI有新增列</t>
  </si>
  <si>
    <t>FolderPath</t>
  </si>
  <si>
    <t>4.8%</t>
  </si>
  <si>
    <t>--/BBB+/--</t>
  </si>
  <si>
    <t>银行</t>
  </si>
  <si>
    <t>A1/A/A</t>
  </si>
  <si>
    <t>SOFR+60</t>
  </si>
  <si>
    <t>SOFR+105a</t>
  </si>
  <si>
    <t>中银卢森堡分行</t>
  </si>
  <si>
    <t>Parent company tiker</t>
  </si>
  <si>
    <t>Parent Company 评级</t>
  </si>
  <si>
    <t>湖南银行</t>
  </si>
  <si>
    <t>Parameter</t>
  </si>
  <si>
    <t>Value</t>
  </si>
  <si>
    <t>DimMonday</t>
  </si>
  <si>
    <t>2023/09/25</t>
  </si>
  <si>
    <t>2023/10/02</t>
  </si>
  <si>
    <t>2023/10/09</t>
  </si>
  <si>
    <t>WeeklyFilter</t>
  </si>
  <si>
    <t>ON</t>
  </si>
  <si>
    <t>澳门Filter</t>
  </si>
  <si>
    <t>香港Filter</t>
  </si>
  <si>
    <t>MultiSource</t>
  </si>
  <si>
    <t>ECON_RlvLvl</t>
  </si>
  <si>
    <t>ECON_US_addon</t>
  </si>
  <si>
    <t>2023/10/16</t>
  </si>
  <si>
    <t>4.8</t>
  </si>
  <si>
    <t>HK</t>
  </si>
  <si>
    <t>--/--/BBB</t>
  </si>
  <si>
    <t>IS_EXCH</t>
  </si>
  <si>
    <t>普通债</t>
  </si>
  <si>
    <t>未到期</t>
  </si>
  <si>
    <t>固定利率</t>
  </si>
  <si>
    <t>否</t>
  </si>
  <si>
    <t>控制权变更回售@101%</t>
  </si>
  <si>
    <t>地方国有企业</t>
  </si>
  <si>
    <t>--/--</t>
  </si>
  <si>
    <t>基础建设</t>
  </si>
  <si>
    <t>Senior Unsecured</t>
  </si>
  <si>
    <t>直接发行</t>
  </si>
  <si>
    <t>RegS</t>
  </si>
  <si>
    <t>香港交易所</t>
  </si>
  <si>
    <t>3.0000</t>
  </si>
  <si>
    <t>投资级</t>
  </si>
  <si>
    <t>无评级</t>
  </si>
  <si>
    <t>中华（澳门）金融资产交易股份有限公司</t>
  </si>
  <si>
    <t>AA</t>
  </si>
  <si>
    <t>北京市</t>
  </si>
  <si>
    <t>中央国有企业</t>
  </si>
  <si>
    <t>AAA</t>
  </si>
  <si>
    <t>西城区</t>
  </si>
  <si>
    <t>稳定/稳定</t>
  </si>
  <si>
    <t>A1/A</t>
  </si>
  <si>
    <t>ESG_Indicator</t>
  </si>
  <si>
    <t>ESG_Source</t>
  </si>
  <si>
    <t>DLD_BBG</t>
  </si>
  <si>
    <t>DLD_Add</t>
  </si>
  <si>
    <t>4%</t>
  </si>
  <si>
    <t>IS_EXCH_Filter</t>
  </si>
  <si>
    <t>AddMissingISIN</t>
  </si>
  <si>
    <t>AddTap</t>
  </si>
  <si>
    <t>DMI_NewColumn</t>
  </si>
  <si>
    <t>DMI_ChangedColumn</t>
  </si>
  <si>
    <t>【】</t>
  </si>
  <si>
    <t>DLD_Conso</t>
  </si>
  <si>
    <t>VG</t>
  </si>
  <si>
    <t>香港按揭证券有限公司</t>
  </si>
  <si>
    <t>华泰国际金融控股有限公司</t>
  </si>
  <si>
    <t>2</t>
  </si>
  <si>
    <t>品种主题</t>
  </si>
  <si>
    <t>dd_结构</t>
  </si>
  <si>
    <t>担保发行</t>
  </si>
  <si>
    <t>多元金融</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</si>
  <si>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</si>
  <si>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</si>
  <si>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</si>
  <si>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</si>
  <si>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</si>
  <si>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</si>
  <si>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</si>
  <si>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</si>
  <si>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</si>
  <si>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</si>
  <si>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</si>
  <si>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</si>
  <si>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</si>
  <si>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</si>
  <si>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</si>
  <si>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</si>
  <si>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</si>
  <si>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</si>
  <si>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</si>
  <si>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</si>
  <si>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</si>
  <si>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</si>
  <si>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</si>
  <si>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</si>
  <si>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</si>
  <si>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</si>
  <si>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</si>
  <si>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</si>
  <si>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</si>
  <si>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</si>
  <si>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</si>
  <si>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</si>
  <si>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</si>
  <si>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</si>
  <si>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</si>
  <si>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</si>
  <si>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</si>
  <si>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</si>
  <si>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</si>
  <si>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</si>
  <si>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</si>
  <si>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</si>
  <si>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</si>
  <si>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</si>
  <si>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</si>
  <si>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</si>
  <si>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</si>
  <si>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</si>
  <si>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</si>
  <si>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</si>
  <si>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</si>
  <si>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</si>
  <si>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</si>
  <si>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</si>
  <si>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</si>
  <si>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</si>
  <si>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</si>
  <si>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</si>
  <si>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</si>
  <si>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</si>
  <si>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</si>
  <si>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</si>
  <si>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</si>
  <si>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</si>
  <si>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</si>
  <si>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</si>
  <si>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</si>
  <si>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</si>
  <si>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</si>
  <si>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</si>
  <si>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</si>
  <si>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</si>
  <si>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</si>
  <si>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</si>
  <si>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</si>
  <si>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</si>
  <si>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</si>
  <si>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</si>
  <si>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</si>
  <si>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</si>
  <si>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</si>
  <si>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</si>
  <si>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</si>
  <si>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</si>
  <si>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</si>
  <si>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</si>
  <si>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</si>
  <si>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</si>
  <si>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</si>
  <si>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</si>
  <si>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</si>
  <si>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</si>
  <si>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</si>
  <si>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</si>
  <si>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</si>
  <si>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</si>
  <si>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</si>
  <si>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</si>
  <si>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</si>
  <si>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</si>
  <si>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</si>
  <si>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</si>
  <si>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</si>
  <si>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</si>
  <si>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</si>
  <si>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</si>
  <si>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</si>
  <si>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</si>
  <si>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</si>
  <si>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</si>
  <si>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</si>
  <si>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</si>
  <si>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</si>
  <si>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</si>
  <si>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</si>
  <si>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</si>
  <si>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</si>
  <si>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</si>
  <si>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</si>
  <si>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</si>
  <si>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</si>
  <si>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</si>
  <si>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</si>
  <si>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</si>
  <si>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</si>
  <si>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</si>
  <si>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</si>
  <si>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</si>
  <si>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</si>
  <si>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</si>
  <si>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</si>
  <si>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</si>
  <si>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</si>
  <si>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</si>
  <si>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</si>
  <si>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</si>
  <si>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</si>
  <si>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</si>
  <si>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</si>
  <si>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</si>
  <si>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</si>
  <si>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</si>
  <si>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</si>
  <si>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</si>
  <si>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</si>
  <si>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</si>
  <si>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</si>
  <si>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</si>
  <si>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</si>
  <si>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</si>
  <si>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</si>
  <si>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</si>
  <si>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</si>
  <si>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</si>
  <si>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</si>
  <si>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</si>
  <si>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</si>
  <si>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</si>
  <si>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</si>
  <si>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</si>
  <si>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</si>
  <si>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</si>
  <si>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</si>
  <si>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</si>
  <si>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</si>
  <si>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</si>
  <si>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</si>
  <si>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</si>
  <si>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Y</t>
  </si>
  <si>
    <t>信用主体及评级</t>
  </si>
  <si>
    <t>绿色</t>
  </si>
  <si>
    <t>中信建投(国际)金融控股有限公司</t>
  </si>
  <si>
    <t>CHINA SECURITIES INTERNATIONAL</t>
  </si>
  <si>
    <t>CHINA SECURITIES INTERNATIONAL FINANCE HOLDING CO LTD</t>
  </si>
  <si>
    <t>6066 HK</t>
  </si>
  <si>
    <t>--/BBB+/BBB+</t>
  </si>
  <si>
    <t>China Securities (International) Brokerage Company Limited</t>
  </si>
  <si>
    <t>CSCIF</t>
  </si>
  <si>
    <t>CHINA SECURITIES INTERNATIONAL INVESTMENT CO LTD</t>
  </si>
  <si>
    <t>nil</t>
  </si>
  <si>
    <t>山东省</t>
  </si>
  <si>
    <t>2023/10/23</t>
  </si>
  <si>
    <t>FIMTN</t>
  </si>
  <si>
    <t>mBISL</t>
  </si>
  <si>
    <t>mCredit</t>
  </si>
  <si>
    <t>mCurated</t>
  </si>
  <si>
    <t>mChart</t>
  </si>
  <si>
    <t>TICKER</t>
  </si>
  <si>
    <t>城投(DMI)</t>
  </si>
  <si>
    <t>综合</t>
  </si>
  <si>
    <t>四川省</t>
  </si>
  <si>
    <t>0.2521</t>
  </si>
  <si>
    <t>0.3</t>
  </si>
  <si>
    <t>可持续</t>
  </si>
  <si>
    <t>6.5%</t>
  </si>
  <si>
    <t>社会责任</t>
  </si>
  <si>
    <t>蓝色</t>
  </si>
  <si>
    <t>可持续挂钩</t>
  </si>
  <si>
    <t>3个月</t>
  </si>
  <si>
    <t>XS2709504422</t>
  </si>
  <si>
    <t>2.85</t>
  </si>
  <si>
    <t xml:space="preserve"> </t>
  </si>
  <si>
    <t>231020XS2709504422</t>
  </si>
  <si>
    <t>XS2707594599</t>
  </si>
  <si>
    <t>0</t>
  </si>
  <si>
    <t>KY</t>
  </si>
  <si>
    <t>7.8</t>
  </si>
  <si>
    <t>XS2706176547</t>
  </si>
  <si>
    <t>中国工商银行股份有限公司</t>
  </si>
  <si>
    <t>XS2699256710</t>
  </si>
  <si>
    <t>XS2706208506</t>
  </si>
  <si>
    <t>HK0000958584</t>
  </si>
  <si>
    <t>XS2698464299</t>
  </si>
  <si>
    <t>XS2707150012</t>
  </si>
  <si>
    <t>齐河城投建设集团有限公司</t>
  </si>
  <si>
    <t>SG</t>
  </si>
  <si>
    <t>SHANDONG QIHE INTERNATIONAL SI</t>
  </si>
  <si>
    <t>QIHE URBAN INVESTMENT CONSTRUCTION GROUP CO LTD</t>
  </si>
  <si>
    <t>XS2671498520</t>
  </si>
  <si>
    <t>1.4%</t>
  </si>
  <si>
    <t>3.01Y</t>
  </si>
  <si>
    <t>2.0000</t>
  </si>
  <si>
    <t>4.125%</t>
  </si>
  <si>
    <t>5.375%</t>
  </si>
  <si>
    <t>浮动利率</t>
  </si>
  <si>
    <t>M3</t>
  </si>
  <si>
    <t>7.8%</t>
  </si>
  <si>
    <t>1.65%</t>
  </si>
  <si>
    <t>2.99Y</t>
  </si>
  <si>
    <t>3.0Y</t>
  </si>
  <si>
    <t>QHURGR 7.8 10/24/26</t>
  </si>
  <si>
    <t>齐河城建 7.8 2026-10-24</t>
  </si>
  <si>
    <t>7.8%区域</t>
  </si>
  <si>
    <t>德州市</t>
  </si>
  <si>
    <t>齐河县</t>
  </si>
  <si>
    <t>Shenwan Hongyuan Securities (H.K.) Limited;Golden Rich Securities Limited</t>
  </si>
  <si>
    <t>For financing the Qihe County Intelligent Industrial Park Construction Project and replenishing the working capital</t>
  </si>
  <si>
    <t>QHURGR</t>
  </si>
  <si>
    <t>SHANDONG QIHE INTERNATIONAL (SINGAPORE) PTE. LTD.</t>
  </si>
  <si>
    <t>Golden Rich Securities Limited;Shenwan Hongyuan Securities (H.K.) Limited;Glory Profit Capital Limited;Zhonghui International Securities Limited;China Galaxy International Securities (Hong Kong) Co., Limited;China Enterprise Securities Company Limited;Weshine Securities Company Limited;Haitong International Securities Company Limited</t>
  </si>
  <si>
    <t>有FPG</t>
  </si>
  <si>
    <t>1.7%a</t>
  </si>
  <si>
    <t xml:space="preserve"> 绿色债券</t>
  </si>
  <si>
    <t>T+90a</t>
  </si>
  <si>
    <t>浮息</t>
  </si>
  <si>
    <t>MS+80a</t>
  </si>
  <si>
    <t>3.55%a</t>
  </si>
  <si>
    <t>3.2%</t>
  </si>
  <si>
    <t>6.7%</t>
  </si>
  <si>
    <t>1.8%a</t>
  </si>
  <si>
    <t>XS2708692202</t>
  </si>
  <si>
    <t>231020XS2708692202</t>
  </si>
  <si>
    <t>XS2709970151</t>
  </si>
  <si>
    <t>招银金融租赁有限公司</t>
  </si>
  <si>
    <t>231020XS2709970151</t>
  </si>
  <si>
    <t>XS2707600586</t>
  </si>
  <si>
    <t>宁国市国有资本控股集团有限公司</t>
  </si>
  <si>
    <t>231020XS2707600586</t>
  </si>
  <si>
    <t>XS2697243827</t>
  </si>
  <si>
    <t>济南高新控股集团有限公司</t>
  </si>
  <si>
    <t>231020XS2697243827</t>
  </si>
  <si>
    <t>A1/--/--</t>
  </si>
  <si>
    <t>7.9%</t>
  </si>
  <si>
    <t>2023/10/30</t>
  </si>
  <si>
    <t>IS_KYC_DONE</t>
  </si>
  <si>
    <t>宏观新闻</t>
  </si>
  <si>
    <t>新闻</t>
  </si>
  <si>
    <t>来源</t>
  </si>
  <si>
    <t>经济数据</t>
  </si>
  <si>
    <t>政策</t>
  </si>
  <si>
    <t>官员</t>
  </si>
  <si>
    <t>美国</t>
  </si>
  <si>
    <t>焦点议题</t>
  </si>
  <si>
    <t>信用事件</t>
  </si>
  <si>
    <t>央行</t>
  </si>
  <si>
    <t>新闻分类</t>
  </si>
  <si>
    <t>新闻地区</t>
  </si>
  <si>
    <t>Over the Weekend</t>
  </si>
  <si>
    <t>A2/BBB+/--</t>
  </si>
  <si>
    <t>成都兴蓉西集团(上海银行)</t>
  </si>
  <si>
    <t>工银新分</t>
  </si>
  <si>
    <t>工银港分</t>
  </si>
  <si>
    <t>工银卢森堡分行</t>
  </si>
  <si>
    <t>工银迪拜分行</t>
  </si>
  <si>
    <t>宝应开投(江苏银行)</t>
  </si>
  <si>
    <t>上饶城投(北京银行)</t>
  </si>
  <si>
    <t>HK0000946548</t>
  </si>
  <si>
    <t>齐河城建(恒丰银行)</t>
  </si>
  <si>
    <t>1.1</t>
  </si>
  <si>
    <t>XS2702157855</t>
  </si>
  <si>
    <t>A1/A/--</t>
  </si>
  <si>
    <t>HK0000951076</t>
  </si>
  <si>
    <t>中银法兰克福分行</t>
  </si>
  <si>
    <t>中国建设银行股份有限公司</t>
  </si>
  <si>
    <t>中国银行股份有限公司</t>
  </si>
  <si>
    <t>中国进出口银行</t>
  </si>
  <si>
    <t>中国人民银行</t>
  </si>
  <si>
    <t>中国光大银行股份有限公司</t>
  </si>
  <si>
    <t>绿景(中国)地产投资有限公司</t>
  </si>
  <si>
    <t>中国农业银行股份有限公司</t>
  </si>
  <si>
    <t>JNCHED 6.9 09/07/25</t>
  </si>
  <si>
    <t>晋城国投 6.9 2025-09-07</t>
  </si>
  <si>
    <t>山西省</t>
  </si>
  <si>
    <t>晋城市</t>
  </si>
  <si>
    <t>煤炭开采</t>
  </si>
  <si>
    <t>1.86Y</t>
  </si>
  <si>
    <t>条款：控制权变更回售@101%</t>
  </si>
  <si>
    <t>YYQQ</t>
  </si>
  <si>
    <t>23Q4</t>
  </si>
  <si>
    <t>HK0000957925</t>
  </si>
  <si>
    <t>福建漳龙集团有限公司</t>
  </si>
  <si>
    <t>--/--/BBB-</t>
  </si>
  <si>
    <t>6.7</t>
  </si>
  <si>
    <t>FUJIAZ CH</t>
  </si>
  <si>
    <t>231026HK0000957925</t>
  </si>
  <si>
    <t>HK0000942448</t>
  </si>
  <si>
    <t>中华人民共和国财政部</t>
  </si>
  <si>
    <t>A1/A+/A+</t>
  </si>
  <si>
    <t>2.52</t>
  </si>
  <si>
    <t>231025HK0000942448</t>
  </si>
  <si>
    <t>HK0000933033</t>
  </si>
  <si>
    <t>2.71</t>
  </si>
  <si>
    <t>231025HK0000933033</t>
  </si>
  <si>
    <t>HK0000933025</t>
  </si>
  <si>
    <t>2.2999999999999998</t>
  </si>
  <si>
    <t>231025HK0000933025</t>
  </si>
  <si>
    <t>HK0000933017</t>
  </si>
  <si>
    <t>2.2000000000000002</t>
  </si>
  <si>
    <t>231025HK0000933017</t>
  </si>
  <si>
    <t>XS2711901749</t>
  </si>
  <si>
    <t>HUATAI INTERNATIONAL FINANCIAL HOLDINGS CO LTD</t>
  </si>
  <si>
    <t>601688 CH</t>
  </si>
  <si>
    <t>Baa1/BBB+/--</t>
  </si>
  <si>
    <t>231025XS2711901749</t>
  </si>
  <si>
    <t>XS2706537235</t>
  </si>
  <si>
    <t>四川纳兴实业集团有限公司</t>
  </si>
  <si>
    <t>7.9</t>
  </si>
  <si>
    <t>231025XS2706537235</t>
  </si>
  <si>
    <t>NZCCBDT015C6</t>
  </si>
  <si>
    <t>A1/--/A</t>
  </si>
  <si>
    <t>NZ</t>
  </si>
  <si>
    <t>CHINA CONSTRUCTION BANK CORP</t>
  </si>
  <si>
    <t>1271775D NZ</t>
  </si>
  <si>
    <t>A1/NR/A</t>
  </si>
  <si>
    <t>231025NZCCBDT015C6</t>
  </si>
  <si>
    <t>XS2711409834</t>
  </si>
  <si>
    <t>3.3</t>
  </si>
  <si>
    <t>231025XS2711409834</t>
  </si>
  <si>
    <t>231024XS2707150012</t>
  </si>
  <si>
    <t>XS2711325659</t>
  </si>
  <si>
    <t>3.15</t>
  </si>
  <si>
    <t>6008 TT</t>
  </si>
  <si>
    <t>--/BBB+/WD</t>
  </si>
  <si>
    <t>231024XS2711325659</t>
  </si>
  <si>
    <t>XS2709151166</t>
  </si>
  <si>
    <t>231024XS2709151166</t>
  </si>
  <si>
    <t>TH9326035705</t>
  </si>
  <si>
    <t>碧桂园控股有限公司</t>
  </si>
  <si>
    <t>TH</t>
  </si>
  <si>
    <t>RISLAND THAILAND CO LTD</t>
  </si>
  <si>
    <t>7.5</t>
  </si>
  <si>
    <t>THB</t>
  </si>
  <si>
    <t>2007 HK</t>
  </si>
  <si>
    <t>--/NR/WD</t>
  </si>
  <si>
    <t>231020TH9326035705</t>
  </si>
  <si>
    <t>HK0000963204</t>
  </si>
  <si>
    <t>Aa3/AA+/AA-</t>
  </si>
  <si>
    <t>5.03</t>
  </si>
  <si>
    <t>66 HK</t>
  </si>
  <si>
    <t>Aa3/AA+/AA-u</t>
  </si>
  <si>
    <t>231020HK0000963204</t>
  </si>
  <si>
    <t>XS2710486882</t>
  </si>
  <si>
    <t>CMB FINANCIAL LEASING CO LTD</t>
  </si>
  <si>
    <t>600036 CH</t>
  </si>
  <si>
    <t>A2/BBB+/A-u</t>
  </si>
  <si>
    <t>231020XS2710486882</t>
  </si>
  <si>
    <t>BBG01JVM1574</t>
  </si>
  <si>
    <t>Aa3/AA-/AA-</t>
  </si>
  <si>
    <t>4.3</t>
  </si>
  <si>
    <t>11 HK</t>
  </si>
  <si>
    <t>Aa3/AA-/AA-u</t>
  </si>
  <si>
    <t>231020BBG01JVM1574</t>
  </si>
  <si>
    <t>6.1</t>
  </si>
  <si>
    <t>1788 HK</t>
  </si>
  <si>
    <t>2217796D CH</t>
  </si>
  <si>
    <t>JINAN HI-TECH INTERNATIONAL CA</t>
  </si>
  <si>
    <t>JINAN HI-TECH HOLDING GROUP CO LTD</t>
  </si>
  <si>
    <t>7.4</t>
  </si>
  <si>
    <t>0892902D CH</t>
  </si>
  <si>
    <t>ZHANLO 6.7 09/02/26</t>
  </si>
  <si>
    <t>China Galaxy International Securities (Hong Kong) Company Limited;SPDB International Capital Limited;CLSA Securities Limited;Zhongtai International Securities Limited;China Industrial Securities International Brokerage Limited;CMB International Capital Limited;Guolian Securities International Capital Co., Limited;Bank of Communications Co., Ltd. Hong Kong Branch;Hua Xia Bank Co., Limited Hong Kong Branch;Luso International Banking Ltd;Industrial Bank Co., Ltd. Hong Kong Branch;BOCOM International Securities Limited;CNCB (Hong Kong) Capital Limited;China International Capital Corporation Hong Kong Securities Limited;Huatai Financial Holdings (Hong Kong) Limited;China CITIC Bank International Limited;Guotai Junan Securities (Hong Kong) Limited;Bank of China Limited, Singapore Branch;CMBC Securities Company Limited;China Securities (International) Corporate Finance Company Limited;Haitong Bank, Macau Branch</t>
  </si>
  <si>
    <t>China Galaxy International Securities (Hong Kong) Company Limited;SPDB International Capital Limited;China Industrial Securities International Brokerage Limited;CMB International Capital Limited;Guolian Securities International Capital Co., Limited;Bank of Communications Co., Ltd. Hong Kong Branch;Hua Xia Bank Co., Limited Hong Kong Branch;Luso International Banking Ltd;BOCOM International Securities Limited;CNCB (Hong Kong) Capital Limited;Huatai Financial Holdings (Hong Kong) Limited;CMBC Securities Company Limited;China Securities (International) Corporate Finance Company Limited;Haitong Bank, Macau Branch;Zhongtai International Securities Limited</t>
  </si>
  <si>
    <t>6.70%</t>
  </si>
  <si>
    <t>ZHANLO</t>
  </si>
  <si>
    <t>The net proceeds of the issue of the Notes will be used for financing or refinancing of the Group's eligible blue projects in accordance with the Green and Blue Finance Framework and in accordance with the NDRC Certificate</t>
  </si>
  <si>
    <t>贸易</t>
  </si>
  <si>
    <t>Industrial Bank Co., Ltd. Hong Kong Branch;China International Capital Corporation Hong Kong Securities Limited;China CITIC Bank International Limited;Bank of China Limited, Singapore Branch;CLSA Securities Limited;Guotai Junan Securities (Hong Kong) Limited</t>
  </si>
  <si>
    <t>漳州市</t>
  </si>
  <si>
    <t>福建省</t>
  </si>
  <si>
    <t>6.7%（THE#）</t>
  </si>
  <si>
    <t>6.9%区域</t>
  </si>
  <si>
    <t>2.8329</t>
  </si>
  <si>
    <t>漳龙集团 6.7 2026-09-02</t>
  </si>
  <si>
    <t>CSCIF 3.3 01/31/24</t>
  </si>
  <si>
    <t>中信建投国际 3.3 2024-01-31</t>
  </si>
  <si>
    <t>CGB 2.71 06/16/33</t>
  </si>
  <si>
    <t>利率债</t>
  </si>
  <si>
    <t>2.71%</t>
  </si>
  <si>
    <t>CHINA GOVERNMENT BOND</t>
  </si>
  <si>
    <t>CGB</t>
  </si>
  <si>
    <t>其他分类</t>
  </si>
  <si>
    <t>Bank of Communications Co., Ltd. Hong Kong Branch</t>
  </si>
  <si>
    <t>10.0000</t>
  </si>
  <si>
    <t>A1/A+</t>
  </si>
  <si>
    <t>财政部 2.71 2033-06-16</t>
  </si>
  <si>
    <t>CGB 2.2 06/16/25</t>
  </si>
  <si>
    <t>2.2%</t>
  </si>
  <si>
    <t>1.63Y</t>
  </si>
  <si>
    <t>财政部 2.2 2025-06-16</t>
  </si>
  <si>
    <t>CGB 2.3 06/16/26</t>
  </si>
  <si>
    <t>2.3%</t>
  </si>
  <si>
    <t>2.63Y</t>
  </si>
  <si>
    <t>财政部 2.3 2026-06-16</t>
  </si>
  <si>
    <t>CGB 2.52 08/04/28</t>
  </si>
  <si>
    <t>2.52%</t>
  </si>
  <si>
    <t>5.0000</t>
  </si>
  <si>
    <t>财政部 2.52 2028-08-04</t>
  </si>
  <si>
    <t>CCB FLOAT 11/02/26</t>
  </si>
  <si>
    <t>Commonwealth Bank Of Australia/New York;ANZ Bank New Zealand Ltd;Bank of New Zealand;Westpac Banking Corporation</t>
  </si>
  <si>
    <t>中国建设银行(新西兰)有限公司</t>
  </si>
  <si>
    <t>QUARTLY NFIXF +120.000</t>
  </si>
  <si>
    <t>CCB</t>
  </si>
  <si>
    <t>Bank of New Zealand;Commonwealth Bank Of Australia/New York;Westpac Banking Corporation;ANZ Bank New Zealand Ltd</t>
  </si>
  <si>
    <t>中国建设银行 FLOAT 2026-11-02</t>
  </si>
  <si>
    <t>LZNXAM 7.9 10/27/26</t>
  </si>
  <si>
    <t>CNI Securities Group Ltd;Carlyon Securities Limited;Essence International Securities (Hong Kong) Limited;Blackwell Global Securities Limited;CCB International Securities Ltd;Donghai International Securities (Hong Kong) Limited;Zhongtai International Securities Limited</t>
  </si>
  <si>
    <t>LZNXAM</t>
  </si>
  <si>
    <t>Carlyon Securities Limited;Blackwell Global Securities Limited;CCB International Securities Ltd;CNI Securities Group Ltd;Donghai International Securities (Hong Kong) Limited;Essence International Securities (Hong Kong) Limited;Zhongtai International Securities Limited</t>
  </si>
  <si>
    <t>纳溪区</t>
  </si>
  <si>
    <t>泸州市</t>
  </si>
  <si>
    <t>纳兴集团 7.9 2026-10-27</t>
  </si>
  <si>
    <t>Golden Rich Securities Limited;Shenwan Hongyuan Securities (H.K.) Limited;Glory Profit Capital Limited;China Enterprise Securities Company Limited</t>
  </si>
  <si>
    <t>Glory Profit Capital Limited;China Enterprise Securities Company Limited</t>
  </si>
  <si>
    <t>2.9836</t>
  </si>
  <si>
    <t>JGC至少3家</t>
  </si>
  <si>
    <t>其他(DMI)</t>
  </si>
  <si>
    <t>6.9%a</t>
  </si>
  <si>
    <t>2.8</t>
  </si>
  <si>
    <t>9.6</t>
  </si>
  <si>
    <t>2.6</t>
  </si>
  <si>
    <t>1.6</t>
  </si>
  <si>
    <t>3.3%</t>
  </si>
  <si>
    <t>Dragon</t>
  </si>
  <si>
    <t>X</t>
  </si>
  <si>
    <t>四川纳兴实业</t>
  </si>
  <si>
    <t>发行及交存代理*</t>
  </si>
  <si>
    <t>【删除】</t>
  </si>
  <si>
    <t>港分Global Advisor*</t>
  </si>
  <si>
    <t>交行参与投资未承销*</t>
  </si>
  <si>
    <t>周四，中国终官宣年内增发万亿国债支持灾后重建，23年来首次年内增加财政赤字。中央财政将在今年四季度增发2023年国债10000亿元，增发的国债全部通过转移支付方式安排给地方，今年拟安排使用5000亿元，结转明年使用5000亿元。资金将重点用于水利建设等基建。此次增发国债后，2023年全国财政赤字由38800亿元提高至48800亿元，中央财政赤字由31600亿元增加到41600亿元，预计财政赤字率由3%提高到3.8%左右。</t>
  </si>
  <si>
    <t>https://www.gov.cn/zhengce/202310/content_6912077.htm</t>
  </si>
  <si>
    <t>周四，欧洲央行维持三大利率不变，符合市场预期，为2022年7月来首次暂停加息，此前累计加息450个基点。欧元区至10月26日欧洲央行主要再融资利率 4.5%，预期4.50%，前值4.50%。</t>
  </si>
  <si>
    <t>https://www.cnfin.com/hs-lb/detail/20231026/3955119_1.html</t>
  </si>
  <si>
    <t>美国国内生产总值(GDP)强于预期：美国商务部周四公布，第三季度国内生产总值(GDP)经季节性和通胀因素调整后按年增长4.9%。这比经济学家几个月前的预期要强劲得多，也比第二季度2.1%的增长率大幅提高</t>
  </si>
  <si>
    <t>https://cn.wsj.com/articles/%E7%BE%8E%E5%9B%BD%E7%AC%AC%E4%B8%89%E5%AD%A3%E5%BA%A6gdp%E5%A2%9E%E9%95%BF4-9-65e36539</t>
  </si>
  <si>
    <t>耐用品数据强于预期强于预期：美国9月耐用品订单月率4.7%，预期1.7%，前值0.10%。在连续两个月下滑后，9月耐用品订单增幅超过预期，表明美国制造业的前景正在改善。</t>
  </si>
  <si>
    <t>https://www.stcn.com/article/detail/1016836.html</t>
  </si>
  <si>
    <t>每周持续申领失业救济人数上升: 截至10月21日当周，首次申请失业救济人数增加10,000人，至210,000人。在今年大幅上升后，初请失业金人数已回落至1月份以来的最高水平。</t>
  </si>
  <si>
    <t>https://finance.sina.com.cn/money/bond/2023-10-26/doc-imzsmzqn4757740.shtml</t>
  </si>
  <si>
    <t>T</t>
  </si>
  <si>
    <t>T3</t>
  </si>
  <si>
    <t>SOFR</t>
  </si>
  <si>
    <t>MS</t>
  </si>
  <si>
    <t>3mBBSW</t>
  </si>
  <si>
    <t>TONAR</t>
  </si>
  <si>
    <t>3mBKBM</t>
  </si>
  <si>
    <t>2023/11/06</t>
  </si>
  <si>
    <t>3mBKBM+120</t>
  </si>
  <si>
    <t>3mBKBM+120a</t>
  </si>
  <si>
    <t>XS2713225261</t>
  </si>
  <si>
    <t>ICBCIL FINANCE CO LTD</t>
  </si>
  <si>
    <t>ICBC FINANCIAL LEASING CO LTD</t>
  </si>
  <si>
    <t>6.1234005742108879</t>
  </si>
  <si>
    <t>601398 CH</t>
  </si>
  <si>
    <t>231027XS2713225261</t>
  </si>
  <si>
    <t>XS2713225188</t>
  </si>
  <si>
    <t>6.1234005822721178</t>
  </si>
  <si>
    <t>231027XS2713225188</t>
  </si>
  <si>
    <t>BBG01JYWM9K3</t>
  </si>
  <si>
    <t>231026BBG01JYWM9K3</t>
  </si>
  <si>
    <t>XS2711953625</t>
  </si>
  <si>
    <t>KGI INTERNATIONAL HONG KONG LT</t>
  </si>
  <si>
    <t>5.5</t>
  </si>
  <si>
    <t>231026XS2711953625</t>
  </si>
  <si>
    <t>XS2713279276</t>
  </si>
  <si>
    <t>231026XS2713279276</t>
  </si>
  <si>
    <t>XS2712556674</t>
  </si>
  <si>
    <t>中信证券国际有限公司</t>
  </si>
  <si>
    <t>CSI MTN LTD</t>
  </si>
  <si>
    <t>CITIC SECURITIES INTERNATIONAL CO LTD</t>
  </si>
  <si>
    <t>600030 CH</t>
  </si>
  <si>
    <t>231026XS2712556674</t>
  </si>
  <si>
    <t>XS2712528111</t>
  </si>
  <si>
    <t>231026XS2712528111</t>
  </si>
  <si>
    <t>XS2709964931</t>
  </si>
  <si>
    <t>铜仁市国有资本运营股份有限公司</t>
  </si>
  <si>
    <t>TONGREN STATE-OWNED CAPITAL OP</t>
  </si>
  <si>
    <t>6.8</t>
  </si>
  <si>
    <t>231026XS2709964931</t>
  </si>
  <si>
    <t>FUJIAN ZHANGLONG GROUP CO LTD</t>
  </si>
  <si>
    <t>HUATAI INTERNATIONAL FINANCE L</t>
  </si>
  <si>
    <t>SICHUAN NAXING INDUSTRIAL GROU</t>
  </si>
  <si>
    <t>CHINA CONSTRUCTION BANK NEW ZE</t>
  </si>
  <si>
    <t>6.8408620689655173</t>
  </si>
  <si>
    <t>MTR CORP LTD</t>
  </si>
  <si>
    <t>CMB INTERNATIONAL LEASING MANA</t>
  </si>
  <si>
    <t>6.0938974866413247</t>
  </si>
  <si>
    <t>HANG SENG BANK LTD</t>
  </si>
  <si>
    <t>GUOTAI JUNAN I</t>
  </si>
  <si>
    <t>6.0454991044713919</t>
  </si>
  <si>
    <t>NINGGUO STATE OWNED CAPITAL HO</t>
  </si>
  <si>
    <t>ICBCIL 6.123400574 11/08/24</t>
  </si>
  <si>
    <t>O/N SOFR +78.000</t>
  </si>
  <si>
    <t>ICBCIL</t>
  </si>
  <si>
    <t>国有相对控股企业</t>
  </si>
  <si>
    <t>1.02Y</t>
  </si>
  <si>
    <t>香港岛</t>
  </si>
  <si>
    <t>香港特别行政区</t>
  </si>
  <si>
    <t>0.9863</t>
  </si>
  <si>
    <t>工银国际租赁 6.123400574 2024-11-08</t>
  </si>
  <si>
    <t>ICBCIL 6.123400582 11/08/24</t>
  </si>
  <si>
    <t>工银国际租赁 6.123400582 2024-11-08</t>
  </si>
  <si>
    <t>TONTOU 6.8 10/30/26</t>
  </si>
  <si>
    <t>TONTOU</t>
  </si>
  <si>
    <t>旅游综合</t>
  </si>
  <si>
    <t>铜仁市</t>
  </si>
  <si>
    <t>贵州省</t>
  </si>
  <si>
    <t>铜仁国资 6.8 2026-10-30</t>
  </si>
  <si>
    <t>2.84Y</t>
  </si>
  <si>
    <t>CSCIF  09/09/26</t>
  </si>
  <si>
    <t>可赎回、可回售债</t>
  </si>
  <si>
    <t>可调利率</t>
  </si>
  <si>
    <t>2.86Y</t>
  </si>
  <si>
    <t>2.8521</t>
  </si>
  <si>
    <t>中信建投国际  2026-09-09</t>
  </si>
  <si>
    <t>CSCIF 3 01/03/24</t>
  </si>
  <si>
    <t>可回售债</t>
  </si>
  <si>
    <t>65D</t>
  </si>
  <si>
    <t>0.1753</t>
  </si>
  <si>
    <t>中信建投国际 3 2024-01-03</t>
  </si>
  <si>
    <t>9.63Y</t>
  </si>
  <si>
    <t>4.76Y</t>
  </si>
  <si>
    <t>93D</t>
  </si>
  <si>
    <t>2.98Y</t>
  </si>
  <si>
    <t>SOFR+78</t>
  </si>
  <si>
    <t>1</t>
  </si>
  <si>
    <t>361天</t>
  </si>
  <si>
    <t>6.8%</t>
  </si>
  <si>
    <t>2.9</t>
  </si>
  <si>
    <t>3%</t>
  </si>
  <si>
    <t>0.2</t>
  </si>
  <si>
    <t>2个月</t>
  </si>
  <si>
    <t>铜仁国资</t>
  </si>
  <si>
    <t>8%a</t>
  </si>
  <si>
    <t>7.9%a</t>
  </si>
  <si>
    <t>3m BKBM+120</t>
  </si>
  <si>
    <t>3m BKBM+120a</t>
  </si>
  <si>
    <t>工银国际租赁财务</t>
  </si>
  <si>
    <t>SBLC_Provider_Name</t>
  </si>
  <si>
    <t>浮息息差</t>
  </si>
  <si>
    <t>Dragon X</t>
  </si>
  <si>
    <t>72</t>
  </si>
  <si>
    <t>23/11/1 12:00</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</si>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</sst>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yyyy/m/d;@"/>
    <numFmt numFmtId="165" formatCode="0.000%"/>
    <numFmt numFmtId="166" formatCode="[$-F400]h:mm:ss\ AM/PM"/>
    <numFmt numFmtId="167" formatCode="m/d;@"/>
  </numFmts>
  <fonts count="67"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1"/>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b/>
      <u/>
      <sz val="9"/>
      <color theme="9" tint="-0.249977111117893"/>
      <name val="Segoe UI"/>
      <family val="2"/>
    </font>
    <font>
      <i/>
      <u/>
      <sz val="18"/>
      <color rgb="FFC69E62"/>
      <name val="Microsoft JhengHei UI"/>
      <family val="2"/>
      <scheme val="minor"/>
    </font>
    <font>
      <sz val="18"/>
      <color rgb="FF2A7968"/>
      <name val="Microsoft JhengHei UI"/>
      <family val="2"/>
      <scheme val="minor"/>
    </font>
    <font>
      <sz val="18"/>
      <color rgb="FF888AA6"/>
      <name val="Microsoft JhengHei UI"/>
      <family val="2"/>
      <scheme val="minor"/>
    </font>
    <font>
      <sz val="11"/>
      <color theme="9"/>
      <name val="Microsoft JhengHei UI"/>
      <family val="2"/>
      <scheme val="minor"/>
    </font>
    <font>
      <sz val="36"/>
      <color rgb="FF234473"/>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12"/>
      <color indexed="81"/>
      <name val="Tahoma"/>
      <family val="2"/>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2"/>
      <color theme="0"/>
      <name val="Microsoft JhengHei UI"/>
      <family val="2"/>
      <scheme val="minor"/>
    </font>
    <font>
      <sz val="16"/>
      <color rgb="FF234473"/>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11"/>
      <color theme="0"/>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36"/>
      <color theme="0"/>
      <name val="Microsoft JhengHei UI"/>
      <family val="2"/>
      <scheme val="minor"/>
    </font>
    <font>
      <sz val="24"/>
      <color rgb="FF888AA6"/>
      <name val="Microsoft JhengHei UI"/>
      <family val="2"/>
      <scheme val="minor"/>
    </font>
    <font>
      <sz val="12"/>
      <color theme="1"/>
      <name val="Microsoft JhengHei UI"/>
      <family val="2"/>
      <scheme val="minor"/>
    </font>
    <font>
      <u/>
      <sz val="12"/>
      <color theme="1"/>
      <name val="Microsoft JhengHei UI"/>
      <family val="2"/>
      <scheme val="minor"/>
    </font>
    <font>
      <b/>
      <sz val="8"/>
      <color theme="0"/>
      <name val="Microsoft JhengHei UI"/>
      <family val="2"/>
      <scheme val="minor"/>
    </font>
    <font>
      <sz val="20"/>
      <color theme="9"/>
      <name val="Microsoft JhengHei UI"/>
      <family val="2"/>
      <scheme val="minor"/>
    </font>
    <font>
      <sz val="12"/>
      <color theme="9"/>
      <name val="Microsoft JhengHei UI"/>
      <family val="2"/>
      <scheme val="minor"/>
    </font>
    <font>
      <sz val="12"/>
      <color rgb="FF888AA6"/>
      <name val="Microsoft JhengHei UI"/>
      <family val="2"/>
      <scheme val="minor"/>
    </font>
    <font>
      <b/>
      <sz val="12"/>
      <color rgb="FFC2B59B"/>
      <name val="Microsoft JhengHei UI"/>
      <family val="2"/>
      <scheme val="minor"/>
    </font>
    <font>
      <sz val="8"/>
      <color rgb="FF888AA6"/>
      <name val="Microsoft JhengHei UI"/>
      <family val="2"/>
      <scheme val="minor"/>
    </font>
    <font>
      <sz val="20"/>
      <color theme="1"/>
      <name val="Microsoft JhengHei UI"/>
      <family val="2"/>
      <scheme val="minor"/>
    </font>
    <font>
      <sz val="16"/>
      <color rgb="FF008080"/>
      <name val="Microsoft JhengHei UI"/>
      <family val="2"/>
    </font>
    <font>
      <sz val="24"/>
      <color rgb="FF000080"/>
      <name val="Microsoft JhengHei UI"/>
      <family val="2"/>
    </font>
    <font>
      <sz val="11"/>
      <color rgb="FF0000FF"/>
      <name val="Microsoft JhengHei UI"/>
      <family val="2"/>
      <scheme val="minor"/>
    </font>
    <font>
      <sz val="24"/>
      <color rgb="FFFF9900"/>
      <name val="Microsoft JhengHei UI"/>
      <family val="2"/>
    </font>
  </fonts>
  <fills count="19">
    <fill>
      <patternFill patternType="none"/>
    </fill>
    <fill>
      <patternFill patternType="gray125"/>
    </fill>
    <fill>
      <patternFill patternType="solid">
        <fgColor rgb="FFFFFFCC"/>
      </patternFill>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C69E62"/>
        <bgColor indexed="64"/>
      </patternFill>
    </fill>
    <fill>
      <patternFill patternType="solid">
        <fgColor rgb="FFA5A5A5"/>
      </patternFill>
    </fill>
    <fill>
      <patternFill patternType="solid">
        <fgColor rgb="FFFFF2E1"/>
        <bgColor indexed="64"/>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double">
        <color rgb="FF234473"/>
      </left>
      <right style="double">
        <color rgb="FF234473"/>
      </right>
      <top/>
      <bottom style="thin">
        <color rgb="FF234473"/>
      </bottom>
      <diagonal/>
    </border>
    <border>
      <left style="double">
        <color rgb="FF234473"/>
      </left>
      <right style="thin">
        <color rgb="FF234473"/>
      </right>
      <top style="thin">
        <color rgb="FF234473"/>
      </top>
      <bottom style="thin">
        <color rgb="FF234473"/>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theme="1" tint="0.59996337778862885"/>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hair">
        <color theme="1" tint="0.39994506668294322"/>
      </left>
      <right/>
      <top style="hair">
        <color theme="1" tint="0.39994506668294322"/>
      </top>
      <bottom style="hair">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s>
  <cellStyleXfs count="10">
    <xf numFmtId="0" fontId="0" fillId="0" borderId="0"/>
    <xf numFmtId="0" fontId="5" fillId="2" borderId="1" applyNumberFormat="0" applyFont="0" applyAlignment="0" applyProtection="0"/>
    <xf numFmtId="0" fontId="9" fillId="10" borderId="0">
      <alignment horizontal="center" vertical="center" wrapText="1"/>
    </xf>
    <xf numFmtId="164" fontId="9" fillId="10" borderId="0">
      <alignment horizontal="center" vertical="center"/>
    </xf>
    <xf numFmtId="165" fontId="9" fillId="10" borderId="0">
      <alignment horizontal="center" vertical="center"/>
    </xf>
    <xf numFmtId="0" fontId="8" fillId="11" borderId="0">
      <alignment horizontal="center" vertical="center" wrapText="1"/>
    </xf>
    <xf numFmtId="0" fontId="21" fillId="0" borderId="0"/>
    <xf numFmtId="0" fontId="25" fillId="14" borderId="5" applyNumberFormat="0" applyAlignment="0" applyProtection="0"/>
    <xf numFmtId="0" fontId="28" fillId="14" borderId="6" applyNumberFormat="0" applyAlignment="0" applyProtection="0"/>
    <xf numFmtId="0" fontId="56" fillId="17" borderId="10" applyNumberFormat="0" applyAlignment="0" applyProtection="0"/>
  </cellStyleXfs>
  <cellXfs count="161">
    <xf numFmtId="0" fontId="0" fillId="0" borderId="0" xfId="0"/>
    <xf numFmtId="0" fontId="0" fillId="3" borderId="0" xfId="0" applyFill="1"/>
    <xf numFmtId="0" fontId="6" fillId="3" borderId="0" xfId="0" applyFont="1" applyFill="1" applyAlignment="1">
      <alignment vertical="center"/>
    </xf>
    <xf numFmtId="0" fontId="7" fillId="3" borderId="0" xfId="0" applyFont="1" applyFill="1"/>
    <xf numFmtId="0" fontId="10" fillId="3" borderId="0" xfId="0" applyFont="1" applyFill="1" applyAlignment="1">
      <alignment horizontal="left" vertical="center"/>
    </xf>
    <xf numFmtId="0" fontId="11" fillId="3" borderId="0" xfId="0" applyFont="1" applyFill="1" applyAlignment="1">
      <alignment vertical="center"/>
    </xf>
    <xf numFmtId="0" fontId="12" fillId="3" borderId="0" xfId="0" applyFont="1" applyFill="1"/>
    <xf numFmtId="0" fontId="13" fillId="3" borderId="0" xfId="0" applyFont="1" applyFill="1" applyAlignment="1">
      <alignment vertical="center"/>
    </xf>
    <xf numFmtId="0" fontId="4" fillId="5" borderId="0" xfId="0" applyFont="1" applyFill="1" applyAlignment="1">
      <alignment vertical="center"/>
    </xf>
    <xf numFmtId="0" fontId="4" fillId="7" borderId="0" xfId="0" applyFont="1" applyFill="1" applyAlignment="1">
      <alignment vertical="center"/>
    </xf>
    <xf numFmtId="0" fontId="4" fillId="3" borderId="0" xfId="0" applyFont="1" applyFill="1" applyAlignment="1">
      <alignment vertical="center"/>
    </xf>
    <xf numFmtId="0" fontId="4" fillId="10" borderId="0" xfId="0" applyFont="1" applyFill="1" applyAlignment="1">
      <alignment vertical="center"/>
    </xf>
    <xf numFmtId="0" fontId="4" fillId="8" borderId="0" xfId="0" applyFont="1" applyFill="1" applyAlignment="1">
      <alignment vertical="center"/>
    </xf>
    <xf numFmtId="0" fontId="4" fillId="9" borderId="0" xfId="0" applyFont="1" applyFill="1" applyAlignment="1">
      <alignment vertical="center"/>
    </xf>
    <xf numFmtId="0" fontId="4" fillId="4" borderId="0" xfId="0" applyFont="1" applyFill="1" applyAlignment="1">
      <alignment vertical="center"/>
    </xf>
    <xf numFmtId="0" fontId="4" fillId="6" borderId="0" xfId="0" applyFont="1" applyFill="1" applyAlignment="1">
      <alignment vertical="center"/>
    </xf>
    <xf numFmtId="0" fontId="4" fillId="3" borderId="0" xfId="0" applyFont="1" applyFill="1" applyAlignment="1">
      <alignment horizontal="center" vertical="center" wrapText="1"/>
    </xf>
    <xf numFmtId="0" fontId="4" fillId="3" borderId="0" xfId="0" applyFont="1" applyFill="1" applyAlignment="1">
      <alignment horizontal="center" vertical="center"/>
    </xf>
    <xf numFmtId="0" fontId="15" fillId="0" borderId="0" xfId="0" applyFont="1"/>
    <xf numFmtId="0" fontId="16" fillId="3" borderId="0" xfId="0" applyFont="1" applyFill="1" applyAlignment="1">
      <alignment vertical="center"/>
    </xf>
    <xf numFmtId="14" fontId="0" fillId="3" borderId="0" xfId="0" applyNumberFormat="1" applyFill="1"/>
    <xf numFmtId="0" fontId="20" fillId="3" borderId="0" xfId="0" applyFont="1" applyFill="1" applyAlignment="1">
      <alignment vertical="center"/>
    </xf>
    <xf numFmtId="0" fontId="3" fillId="3" borderId="0" xfId="0" applyFont="1" applyFill="1" applyAlignment="1">
      <alignment vertical="center"/>
    </xf>
    <xf numFmtId="0" fontId="3" fillId="3" borderId="0" xfId="0" applyFont="1" applyFill="1"/>
    <xf numFmtId="0" fontId="13" fillId="3" borderId="0" xfId="0" applyFont="1" applyFill="1" applyAlignment="1" applyProtection="1">
      <alignment vertical="center"/>
      <protection locked="0"/>
    </xf>
    <xf numFmtId="0" fontId="0" fillId="3" borderId="0" xfId="0" applyFill="1" applyProtection="1">
      <protection locked="0"/>
    </xf>
    <xf numFmtId="0" fontId="0" fillId="0" borderId="0" xfId="0" applyAlignment="1" applyProtection="1">
      <alignment horizontal="left"/>
      <protection locked="0"/>
    </xf>
    <xf numFmtId="0" fontId="0" fillId="0" borderId="0" xfId="0" applyProtection="1">
      <protection locked="0"/>
    </xf>
    <xf numFmtId="0" fontId="0" fillId="3" borderId="0" xfId="0" applyFill="1" applyAlignment="1" applyProtection="1">
      <alignment horizontal="left"/>
      <protection locked="0"/>
    </xf>
    <xf numFmtId="0" fontId="0" fillId="4" borderId="0" xfId="0" applyFill="1" applyAlignment="1">
      <alignment horizontal="left"/>
    </xf>
    <xf numFmtId="0" fontId="0" fillId="13" borderId="0" xfId="0" applyFill="1" applyAlignment="1">
      <alignment horizontal="left"/>
    </xf>
    <xf numFmtId="0" fontId="20" fillId="3" borderId="0" xfId="0" applyFont="1" applyFill="1" applyAlignment="1" applyProtection="1">
      <alignment vertical="center"/>
      <protection locked="0"/>
    </xf>
    <xf numFmtId="0" fontId="0" fillId="0" borderId="0" xfId="0" applyAlignment="1">
      <alignment vertical="center"/>
    </xf>
    <xf numFmtId="0" fontId="0" fillId="3" borderId="0" xfId="0" applyFill="1" applyAlignment="1">
      <alignment horizontal="left"/>
    </xf>
    <xf numFmtId="0" fontId="22" fillId="3" borderId="0" xfId="0" applyFont="1" applyFill="1" applyAlignment="1">
      <alignment horizontal="left" vertical="center"/>
    </xf>
    <xf numFmtId="166" fontId="0" fillId="3" borderId="0" xfId="0" applyNumberFormat="1" applyFill="1" applyProtection="1">
      <protection locked="0"/>
    </xf>
    <xf numFmtId="167" fontId="0" fillId="3" borderId="0" xfId="0" applyNumberFormat="1" applyFill="1" applyAlignment="1">
      <alignment horizontal="left"/>
    </xf>
    <xf numFmtId="14" fontId="0" fillId="3" borderId="0" xfId="0" applyNumberFormat="1" applyFill="1" applyProtection="1">
      <protection locked="0"/>
    </xf>
    <xf numFmtId="164" fontId="0" fillId="4" borderId="0" xfId="0" applyNumberFormat="1" applyFill="1" applyAlignment="1">
      <alignment horizontal="left"/>
    </xf>
    <xf numFmtId="164" fontId="0" fillId="13" borderId="0" xfId="0" applyNumberFormat="1" applyFill="1" applyAlignment="1">
      <alignment horizontal="left"/>
    </xf>
    <xf numFmtId="0" fontId="26" fillId="3" borderId="0" xfId="0" applyFont="1" applyFill="1" applyAlignment="1">
      <alignment vertical="center"/>
    </xf>
    <xf numFmtId="0" fontId="27" fillId="3" borderId="0" xfId="0" applyFont="1" applyFill="1" applyAlignment="1">
      <alignment vertical="center"/>
    </xf>
    <xf numFmtId="0" fontId="0" fillId="0" borderId="0" xfId="1" applyFont="1" applyFill="1" applyBorder="1" applyAlignment="1" applyProtection="1">
      <alignment horizontal="center" vertical="center"/>
      <protection locked="0"/>
    </xf>
    <xf numFmtId="0" fontId="0" fillId="0" borderId="0" xfId="1" applyFont="1" applyFill="1" applyBorder="1" applyAlignment="1">
      <alignment horizontal="center" vertical="center"/>
    </xf>
    <xf numFmtId="0" fontId="0" fillId="0" borderId="0" xfId="0" applyAlignment="1">
      <alignment wrapText="1"/>
    </xf>
    <xf numFmtId="14" fontId="0" fillId="0" borderId="0" xfId="0" applyNumberFormat="1"/>
    <xf numFmtId="0" fontId="22" fillId="3" borderId="0" xfId="0" applyFont="1" applyFill="1" applyAlignment="1">
      <alignment vertical="center"/>
    </xf>
    <xf numFmtId="0" fontId="23" fillId="3" borderId="0" xfId="0" applyFont="1" applyFill="1" applyProtection="1">
      <protection locked="0"/>
    </xf>
    <xf numFmtId="0" fontId="12" fillId="3" borderId="0" xfId="0" applyFont="1" applyFill="1" applyProtection="1">
      <protection locked="0"/>
    </xf>
    <xf numFmtId="0" fontId="18" fillId="3" borderId="0" xfId="0" applyFont="1" applyFill="1" applyAlignment="1" applyProtection="1">
      <alignment horizontal="center" vertical="center"/>
      <protection locked="0"/>
    </xf>
    <xf numFmtId="0" fontId="17" fillId="3"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3" borderId="0" xfId="0" applyFill="1" applyAlignment="1" applyProtection="1">
      <alignment horizontal="center"/>
      <protection locked="0"/>
    </xf>
    <xf numFmtId="0" fontId="0" fillId="3" borderId="0" xfId="0" applyFill="1" applyAlignment="1" applyProtection="1">
      <alignment horizontal="center" vertical="center"/>
      <protection locked="0"/>
    </xf>
    <xf numFmtId="0" fontId="0" fillId="3" borderId="0" xfId="0" quotePrefix="1" applyFill="1" applyAlignment="1" applyProtection="1">
      <alignment horizontal="center" vertical="center"/>
      <protection locked="0"/>
    </xf>
    <xf numFmtId="0" fontId="30" fillId="14" borderId="8" xfId="8" applyFont="1" applyBorder="1" applyAlignment="1" applyProtection="1">
      <alignment horizontal="center" vertical="center"/>
      <protection locked="0"/>
    </xf>
    <xf numFmtId="0" fontId="24" fillId="3" borderId="0" xfId="0" applyFont="1" applyFill="1" applyAlignment="1" applyProtection="1">
      <alignment wrapText="1"/>
      <protection locked="0"/>
    </xf>
    <xf numFmtId="0" fontId="24" fillId="3" borderId="0" xfId="0" applyFont="1" applyFill="1" applyAlignment="1" applyProtection="1">
      <alignment vertical="center" wrapText="1"/>
      <protection locked="0"/>
    </xf>
    <xf numFmtId="0" fontId="30" fillId="14" borderId="8" xfId="8" applyFont="1" applyBorder="1" applyAlignment="1" applyProtection="1">
      <alignment horizontal="center" vertical="center" wrapText="1"/>
      <protection locked="0"/>
    </xf>
    <xf numFmtId="0" fontId="29" fillId="3" borderId="0" xfId="0" applyFont="1" applyFill="1" applyAlignment="1">
      <alignment vertical="center"/>
    </xf>
    <xf numFmtId="0" fontId="29" fillId="3" borderId="0" xfId="0" applyFont="1" applyFill="1" applyAlignment="1">
      <alignment horizontal="left" vertical="center"/>
    </xf>
    <xf numFmtId="0" fontId="35" fillId="3" borderId="0" xfId="0" applyFont="1" applyFill="1" applyAlignment="1" applyProtection="1">
      <alignment horizontal="center" wrapText="1"/>
      <protection locked="0"/>
    </xf>
    <xf numFmtId="0" fontId="35" fillId="3" borderId="0" xfId="0" applyFont="1" applyFill="1" applyAlignment="1" applyProtection="1">
      <alignment horizontal="center" vertical="center"/>
      <protection locked="0"/>
    </xf>
    <xf numFmtId="0" fontId="37" fillId="3" borderId="0" xfId="0" applyFont="1" applyFill="1"/>
    <xf numFmtId="0" fontId="38" fillId="3" borderId="0" xfId="0" applyFont="1" applyFill="1"/>
    <xf numFmtId="0" fontId="39" fillId="3" borderId="0" xfId="0" applyFont="1" applyFill="1"/>
    <xf numFmtId="164" fontId="30" fillId="14" borderId="8" xfId="8" applyNumberFormat="1" applyFont="1" applyBorder="1" applyAlignment="1" applyProtection="1">
      <alignment horizontal="center" vertical="center"/>
      <protection locked="0"/>
    </xf>
    <xf numFmtId="0" fontId="0" fillId="0" borderId="0" xfId="0" applyAlignment="1">
      <alignment horizontal="left" vertical="center"/>
    </xf>
    <xf numFmtId="0" fontId="0" fillId="0" borderId="0" xfId="0" applyAlignment="1">
      <alignment horizontal="left"/>
    </xf>
    <xf numFmtId="0" fontId="40" fillId="3" borderId="0" xfId="0" applyFont="1" applyFill="1" applyAlignment="1">
      <alignment horizontal="center"/>
    </xf>
    <xf numFmtId="164" fontId="0" fillId="0" borderId="0" xfId="0" applyNumberFormat="1"/>
    <xf numFmtId="167" fontId="19" fillId="6" borderId="3" xfId="0" applyNumberFormat="1" applyFont="1" applyFill="1" applyBorder="1" applyAlignment="1" applyProtection="1">
      <alignment horizontal="center" vertical="center"/>
      <protection locked="0"/>
    </xf>
    <xf numFmtId="164" fontId="0" fillId="3" borderId="0" xfId="0" applyNumberFormat="1" applyFill="1"/>
    <xf numFmtId="164" fontId="39" fillId="3" borderId="0" xfId="0" applyNumberFormat="1" applyFont="1" applyFill="1"/>
    <xf numFmtId="164" fontId="40" fillId="3" borderId="0" xfId="0" applyNumberFormat="1" applyFont="1" applyFill="1" applyAlignment="1">
      <alignment horizontal="center"/>
    </xf>
    <xf numFmtId="164" fontId="38" fillId="3" borderId="0" xfId="0" applyNumberFormat="1" applyFont="1" applyFill="1"/>
    <xf numFmtId="0" fontId="41" fillId="5" borderId="2" xfId="0" applyFont="1" applyFill="1" applyBorder="1" applyAlignment="1">
      <alignment horizontal="center" vertical="center" wrapText="1"/>
    </xf>
    <xf numFmtId="0" fontId="42" fillId="3" borderId="0" xfId="0" applyFont="1" applyFill="1"/>
    <xf numFmtId="0" fontId="43" fillId="3" borderId="0" xfId="0" applyFont="1" applyFill="1"/>
    <xf numFmtId="0" fontId="44" fillId="3" borderId="0" xfId="0" applyFont="1" applyFill="1"/>
    <xf numFmtId="0" fontId="45" fillId="3" borderId="0" xfId="0" applyFont="1" applyFill="1" applyProtection="1">
      <protection locked="0"/>
    </xf>
    <xf numFmtId="0" fontId="0" fillId="0" borderId="0" xfId="0" applyAlignment="1">
      <alignment horizontal="center" vertical="center"/>
    </xf>
    <xf numFmtId="164" fontId="0" fillId="0" borderId="0" xfId="0" applyNumberFormat="1" applyAlignment="1">
      <alignment horizontal="left" vertical="center"/>
    </xf>
    <xf numFmtId="0" fontId="46" fillId="3" borderId="0" xfId="0" applyFont="1" applyFill="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3" borderId="0" xfId="1" applyFont="1" applyFill="1" applyBorder="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0" fillId="3" borderId="0" xfId="0" quotePrefix="1" applyFill="1" applyAlignment="1">
      <alignment vertical="center"/>
    </xf>
    <xf numFmtId="0" fontId="47" fillId="8" borderId="0" xfId="0" applyFont="1" applyFill="1"/>
    <xf numFmtId="0" fontId="2" fillId="0" borderId="0" xfId="0" quotePrefix="1" applyFont="1" applyAlignment="1">
      <alignment horizontal="center" vertical="center" wrapText="1"/>
    </xf>
    <xf numFmtId="0" fontId="0" fillId="0" borderId="0" xfId="8" applyFont="1" applyFill="1" applyBorder="1" applyAlignment="1" applyProtection="1">
      <alignment horizontal="center" vertical="center"/>
      <protection locked="0"/>
    </xf>
    <xf numFmtId="0" fontId="29" fillId="12" borderId="0" xfId="0" applyFont="1" applyFill="1" applyAlignment="1">
      <alignment vertical="center"/>
    </xf>
    <xf numFmtId="164" fontId="29" fillId="12" borderId="0" xfId="0" applyNumberFormat="1" applyFont="1" applyFill="1" applyAlignment="1">
      <alignment vertical="center"/>
    </xf>
    <xf numFmtId="164" fontId="29" fillId="12" borderId="0" xfId="8" applyNumberFormat="1" applyFont="1" applyFill="1" applyBorder="1" applyAlignment="1" applyProtection="1">
      <alignment horizontal="center" vertical="center"/>
      <protection locked="0"/>
    </xf>
    <xf numFmtId="165" fontId="29" fillId="12" borderId="0" xfId="0" applyNumberFormat="1" applyFont="1" applyFill="1" applyAlignment="1">
      <alignment vertical="center"/>
    </xf>
    <xf numFmtId="0" fontId="29" fillId="12" borderId="0" xfId="0" applyFont="1" applyFill="1" applyAlignment="1">
      <alignment vertical="center" wrapText="1"/>
    </xf>
    <xf numFmtId="0" fontId="0" fillId="3" borderId="0" xfId="0" applyFill="1" applyAlignment="1">
      <alignment horizontal="center"/>
    </xf>
    <xf numFmtId="10" fontId="0" fillId="3" borderId="0" xfId="0" applyNumberFormat="1" applyFill="1" applyAlignment="1">
      <alignment horizontal="center"/>
    </xf>
    <xf numFmtId="0" fontId="0" fillId="3" borderId="9" xfId="0" applyFill="1" applyBorder="1" applyAlignment="1">
      <alignment horizontal="center"/>
    </xf>
    <xf numFmtId="0" fontId="48" fillId="3" borderId="0" xfId="0" applyFont="1" applyFill="1" applyAlignment="1">
      <alignment horizontal="center" vertical="center"/>
    </xf>
    <xf numFmtId="0" fontId="49" fillId="3" borderId="0" xfId="0" applyFont="1" applyFill="1" applyAlignment="1">
      <alignment horizontal="center" vertical="center"/>
    </xf>
    <xf numFmtId="0" fontId="2" fillId="3" borderId="0" xfId="0" applyFont="1" applyFill="1" applyAlignment="1">
      <alignment vertical="center"/>
    </xf>
    <xf numFmtId="0" fontId="0" fillId="0" borderId="0" xfId="0" applyAlignment="1" applyProtection="1">
      <alignment wrapText="1"/>
      <protection locked="0"/>
    </xf>
    <xf numFmtId="164" fontId="0" fillId="0" borderId="0" xfId="0" applyNumberFormat="1" applyProtection="1">
      <protection locked="0"/>
    </xf>
    <xf numFmtId="0" fontId="50" fillId="15" borderId="0" xfId="0" applyFont="1" applyFill="1" applyAlignment="1" applyProtection="1">
      <alignment horizontal="center"/>
      <protection locked="0"/>
    </xf>
    <xf numFmtId="164" fontId="0" fillId="3" borderId="0" xfId="0" applyNumberFormat="1" applyFill="1" applyAlignment="1" applyProtection="1">
      <alignment horizontal="center"/>
      <protection locked="0"/>
    </xf>
    <xf numFmtId="0" fontId="0" fillId="3" borderId="0" xfId="0" quotePrefix="1" applyFill="1" applyAlignment="1" applyProtection="1">
      <alignment horizontal="center"/>
      <protection locked="0"/>
    </xf>
    <xf numFmtId="0" fontId="34" fillId="3" borderId="0" xfId="0" quotePrefix="1" applyFont="1" applyFill="1" applyAlignment="1" applyProtection="1">
      <alignment horizontal="center"/>
      <protection locked="0"/>
    </xf>
    <xf numFmtId="164" fontId="0" fillId="3" borderId="0" xfId="0" quotePrefix="1" applyNumberFormat="1" applyFill="1" applyAlignment="1" applyProtection="1">
      <alignment horizontal="center"/>
      <protection locked="0"/>
    </xf>
    <xf numFmtId="164" fontId="0" fillId="3" borderId="0" xfId="0" applyNumberFormat="1" applyFill="1" applyAlignment="1" applyProtection="1">
      <alignment horizontal="center" vertical="center"/>
      <protection locked="0"/>
    </xf>
    <xf numFmtId="10" fontId="0" fillId="3" borderId="0" xfId="0" quotePrefix="1" applyNumberFormat="1" applyFill="1" applyAlignment="1" applyProtection="1">
      <alignment horizontal="center" vertical="center"/>
      <protection locked="0"/>
    </xf>
    <xf numFmtId="10" fontId="0" fillId="3" borderId="0" xfId="0" applyNumberFormat="1" applyFill="1" applyAlignment="1" applyProtection="1">
      <alignment horizontal="center" vertical="center"/>
      <protection locked="0"/>
    </xf>
    <xf numFmtId="0" fontId="0" fillId="3" borderId="4" xfId="0" applyFill="1" applyBorder="1" applyAlignment="1">
      <alignment wrapText="1"/>
    </xf>
    <xf numFmtId="0" fontId="11" fillId="3" borderId="0" xfId="0" applyFont="1" applyFill="1" applyAlignment="1" applyProtection="1">
      <alignment horizontal="center" vertical="center"/>
      <protection locked="0"/>
    </xf>
    <xf numFmtId="0" fontId="13" fillId="3" borderId="0" xfId="0" applyFont="1" applyFill="1" applyAlignment="1">
      <alignment horizontal="left" vertical="center"/>
    </xf>
    <xf numFmtId="0" fontId="52" fillId="16" borderId="0" xfId="0" applyFont="1" applyFill="1" applyAlignment="1">
      <alignment horizontal="right" vertical="center"/>
    </xf>
    <xf numFmtId="0" fontId="20" fillId="3" borderId="0" xfId="0" applyFont="1" applyFill="1" applyAlignment="1">
      <alignment horizontal="left" vertical="center"/>
    </xf>
    <xf numFmtId="0" fontId="52" fillId="5" borderId="0" xfId="0" applyFont="1" applyFill="1" applyAlignment="1">
      <alignment horizontal="center" vertical="center"/>
    </xf>
    <xf numFmtId="0" fontId="0" fillId="0" borderId="0" xfId="0" quotePrefix="1" applyProtection="1">
      <protection locked="0"/>
    </xf>
    <xf numFmtId="0" fontId="53" fillId="3" borderId="0" xfId="0" applyFont="1" applyFill="1" applyAlignment="1">
      <alignment horizontal="center" vertical="center"/>
    </xf>
    <xf numFmtId="167" fontId="0" fillId="0" borderId="0" xfId="0" applyNumberFormat="1" applyAlignment="1" applyProtection="1">
      <alignment horizontal="left"/>
      <protection locked="0"/>
    </xf>
    <xf numFmtId="166" fontId="0" fillId="0" borderId="0" xfId="0" applyNumberFormat="1" applyProtection="1">
      <protection locked="0"/>
    </xf>
    <xf numFmtId="0" fontId="25" fillId="14" borderId="5" xfId="7" applyAlignment="1">
      <alignment horizontal="left" vertical="center"/>
    </xf>
    <xf numFmtId="0" fontId="54" fillId="3" borderId="0" xfId="0" applyFont="1" applyFill="1" applyAlignment="1">
      <alignment horizontal="center" vertical="center"/>
    </xf>
    <xf numFmtId="0" fontId="57" fillId="18" borderId="11" xfId="9" applyFont="1" applyFill="1" applyBorder="1" applyAlignment="1">
      <alignment horizontal="center" vertical="center"/>
    </xf>
    <xf numFmtId="0" fontId="1" fillId="3" borderId="0" xfId="0" applyFont="1" applyFill="1" applyAlignment="1">
      <alignment vertical="center"/>
    </xf>
    <xf numFmtId="0" fontId="55" fillId="3" borderId="0" xfId="0" applyFont="1" applyFill="1" applyAlignment="1">
      <alignment horizontal="left" vertical="center"/>
    </xf>
    <xf numFmtId="0" fontId="6" fillId="3" borderId="0" xfId="0" applyFont="1" applyFill="1" applyAlignment="1">
      <alignment horizontal="center" vertical="center"/>
    </xf>
    <xf numFmtId="0" fontId="35" fillId="18" borderId="11" xfId="9" applyFont="1" applyFill="1" applyBorder="1" applyAlignment="1">
      <alignment horizontal="center" vertical="center"/>
    </xf>
    <xf numFmtId="0" fontId="58" fillId="3" borderId="11" xfId="9" applyFont="1" applyFill="1" applyBorder="1" applyAlignment="1">
      <alignment horizontal="center" vertical="center"/>
    </xf>
    <xf numFmtId="0" fontId="11" fillId="3" borderId="0" xfId="0" applyFont="1" applyFill="1" applyAlignment="1">
      <alignment horizontal="left" vertical="center"/>
    </xf>
    <xf numFmtId="0" fontId="59" fillId="3" borderId="7" xfId="0" applyFont="1" applyFill="1" applyBorder="1" applyAlignment="1">
      <alignment horizontal="left"/>
    </xf>
    <xf numFmtId="0" fontId="54" fillId="3" borderId="7" xfId="0" applyFont="1" applyFill="1" applyBorder="1" applyAlignment="1">
      <alignment vertical="center"/>
    </xf>
    <xf numFmtId="0" fontId="59" fillId="3" borderId="0" xfId="0" applyFont="1" applyFill="1" applyAlignment="1">
      <alignment horizontal="left" vertical="center" wrapText="1"/>
    </xf>
    <xf numFmtId="0" fontId="60" fillId="3" borderId="0" xfId="0" applyFont="1" applyFill="1" applyAlignment="1">
      <alignment horizontal="center" vertical="center"/>
    </xf>
    <xf numFmtId="0" fontId="59" fillId="3" borderId="7" xfId="0" applyFont="1" applyFill="1" applyBorder="1" applyAlignment="1">
      <alignment horizontal="left" vertical="center" wrapText="1"/>
    </xf>
    <xf numFmtId="0" fontId="60" fillId="3" borderId="7" xfId="0" applyFont="1" applyFill="1" applyBorder="1" applyAlignment="1">
      <alignment horizontal="center" vertical="center"/>
    </xf>
    <xf numFmtId="0" fontId="54" fillId="3" borderId="0" xfId="0" applyFont="1" applyFill="1" applyAlignment="1">
      <alignment vertical="center"/>
    </xf>
    <xf numFmtId="0" fontId="61" fillId="3" borderId="0" xfId="0" applyFont="1" applyFill="1" applyAlignment="1">
      <alignment vertical="center"/>
    </xf>
    <xf numFmtId="164" fontId="0" fillId="0" borderId="0" xfId="0" applyNumberFormat="1" applyAlignment="1">
      <alignment horizontal="left"/>
    </xf>
    <xf numFmtId="14" fontId="0" fillId="0" borderId="0" xfId="0" applyNumberFormat="1" applyAlignment="1">
      <alignment horizontal="left"/>
    </xf>
    <xf numFmtId="0" fontId="0" fillId="12" borderId="0" xfId="0" applyFill="1" applyAlignment="1">
      <alignment horizontal="left"/>
    </xf>
    <xf numFmtId="14" fontId="0" fillId="0" borderId="0" xfId="0" applyNumberFormat="1" applyAlignment="1">
      <alignment wrapText="1"/>
    </xf>
    <xf numFmtId="9" fontId="0" fillId="3" borderId="0" xfId="0" applyNumberFormat="1" applyFill="1" applyAlignment="1" applyProtection="1">
      <alignment horizontal="center" vertical="center"/>
      <protection locked="0"/>
    </xf>
    <xf numFmtId="0" fontId="62" fillId="3" borderId="0" xfId="0" applyFont="1" applyFill="1"/>
    <xf numFmtId="0" fontId="0" fillId="13" borderId="0" xfId="0" applyFill="1" applyAlignment="1">
      <alignment horizontal="center" wrapText="1"/>
    </xf>
    <xf numFmtId="0" fontId="0" fillId="0" borderId="0" xfId="0" applyAlignment="1">
      <alignment horizontal="center" wrapText="1"/>
    </xf>
    <xf numFmtId="0" fontId="24" fillId="0" borderId="0" xfId="0" applyFont="1" applyAlignment="1">
      <alignment wrapText="1"/>
    </xf>
    <xf numFmtId="0" fontId="24" fillId="13" borderId="0" xfId="0" applyFont="1" applyFill="1" applyAlignment="1">
      <alignment wrapText="1"/>
    </xf>
    <xf numFmtId="0" fontId="65" fillId="0" borderId="0" xfId="0" applyFont="1" applyAlignment="1">
      <alignment wrapText="1"/>
    </xf>
    <xf numFmtId="0" fontId="65" fillId="13" borderId="0" xfId="0" applyFont="1" applyFill="1" applyAlignment="1">
      <alignment wrapText="1"/>
    </xf>
    <xf numFmtId="14" fontId="0" fillId="0" borderId="0" xfId="0" applyNumberFormat="1" applyFont="1" applyFill="1"/>
    <xf numFmtId="0" fontId="0" fillId="0" borderId="0" xfId="0" applyFont="1" applyFill="1"/>
    <xf numFmtId="0" fontId="0" fillId="0" borderId="0" xfId="0" applyNumberFormat="1" applyFont="1" applyFill="1"/>
    <xf numFmtId="0" fontId="0" fillId="0" borderId="0" xfId="0" applyNumberFormat="1"/>
    <xf numFmtId="0" fontId="0" fillId="0" borderId="0" xfId="0" applyNumberFormat="1" applyAlignment="1">
      <alignment horizontal="left"/>
    </xf>
    <xf numFmtId="14" fontId="0" fillId="0" borderId="0" xfId="0" applyNumberFormat="1"/>
    <xf numFmtId="22" fontId="0" fillId="0" borderId="0" xfId="0" applyNumberFormat="1"/>
    <xf numFmtId="0" fontId="0" fillId="0" borderId="0" xfId="0" applyNumberFormat="1" applyFont="1" applyFill="1" applyAlignment="1">
      <alignment horizontal="center" vertical="center"/>
    </xf>
  </cellXfs>
  <cellStyles count="10">
    <cellStyle name="Calculation" xfId="7" builtinId="22"/>
    <cellStyle name="Check Cell" xfId="9" builtinId="23"/>
    <cellStyle name="For Input" xfId="2"/>
    <cellStyle name="Formula" xfId="5"/>
    <cellStyle name="Input %" xfId="4"/>
    <cellStyle name="Input Date" xfId="3"/>
    <cellStyle name="Normal" xfId="0" builtinId="0"/>
    <cellStyle name="Normal 2" xfId="6"/>
    <cellStyle name="Note" xfId="1" builtinId="10"/>
    <cellStyle name="Output" xfId="8" builtinId="21"/>
  </cellStyles>
  <dxfs count="664">
    <dxf>
      <fill>
        <patternFill>
          <bgColor theme="6" tint="0.79998168889431442"/>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ont>
        <color theme="9" tint="-0.24994659260841701"/>
      </font>
      <fill>
        <patternFill>
          <bgColor theme="9" tint="0.79998168889431442"/>
        </patternFill>
      </fill>
    </dxf>
    <dxf>
      <fill>
        <patternFill>
          <bgColor rgb="FFFFFF00"/>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numFmt numFmtId="0" formatCode="General"/>
    </dxf>
    <dxf>
      <numFmt numFmtId="0" formatCode="Genera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numFmt numFmtId="19" formatCode="m/d/yyyy"/>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0"/>
        <name val="Microsoft JhengHei UI"/>
        <scheme val="minor"/>
      </font>
      <fill>
        <patternFill patternType="solid">
          <fgColor indexed="64"/>
          <bgColor rgb="FF2A7968"/>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20"/>
        <color theme="9"/>
        <name val="Microsoft JhengHei UI"/>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strike val="0"/>
        <outline val="0"/>
        <shadow val="0"/>
        <u val="none"/>
        <vertAlign val="baseline"/>
        <sz val="12"/>
        <color theme="0"/>
        <name val="Microsoft JhengHei UI"/>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U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alignment horizontal="general" vertical="center" textRotation="0" wrapText="0" indent="0" justifyLastLine="0" shrinkToFit="0" readingOrder="0"/>
    </dxf>
    <dxf>
      <font>
        <color theme="1" tint="0.59996337778862885"/>
      </font>
    </dxf>
    <dxf>
      <font>
        <color auto="1"/>
      </font>
      <fill>
        <patternFill>
          <bgColor rgb="FFE1E1E9"/>
        </patternFill>
      </fill>
    </dxf>
    <dxf>
      <font>
        <color rgb="FF0071BA"/>
      </font>
    </dxf>
    <dxf>
      <font>
        <strike val="0"/>
        <outline val="0"/>
        <shadow val="0"/>
        <u val="none"/>
        <vertAlign val="baseline"/>
        <sz val="11"/>
        <color theme="2" tint="0.499984740745262"/>
        <name val="Microsoft JhengHei UI"/>
        <scheme val="minor"/>
      </font>
      <alignment vertical="bottom" textRotation="0" wrapText="1" indent="0" justifyLastLine="0" shrinkToFit="0" readingOrder="0"/>
    </dxf>
    <dxf>
      <font>
        <strike val="0"/>
        <outline val="0"/>
        <shadow val="0"/>
        <u val="none"/>
        <vertAlign val="baseline"/>
        <sz val="11"/>
        <color rgb="FF0000FF"/>
        <name val="Microsoft JhengHei UI"/>
        <scheme val="minor"/>
      </font>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20"/>
        <color theme="9"/>
        <name val="Microsoft JhengHei UI"/>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26"/>
        <color theme="9"/>
        <name val="Microsoft JhengHei UI"/>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left style="double">
          <color rgb="FF234473"/>
        </left>
        <right style="thin">
          <color rgb="FF234473"/>
        </right>
        <top style="thin">
          <color rgb="FF234473"/>
        </top>
        <bottom style="thin">
          <color rgb="FF234473"/>
        </bottom>
        <vertical/>
        <horizontal/>
      </border>
      <protection locked="0" hidden="0"/>
    </dxf>
    <dxf>
      <font>
        <b val="0"/>
        <i val="0"/>
        <strike val="0"/>
        <condense val="0"/>
        <extend val="0"/>
        <outline val="0"/>
        <shadow val="0"/>
        <u val="none"/>
        <vertAlign val="baseline"/>
        <sz val="11"/>
        <color theme="9"/>
        <name val="Microsoft JhengHei UI"/>
        <scheme val="minor"/>
      </font>
      <numFmt numFmtId="167" formatCode="m/d;@"/>
      <fill>
        <patternFill patternType="solid">
          <fgColor indexed="64"/>
          <bgColor rgb="FFF4EBDF"/>
        </patternFill>
      </fill>
      <alignment horizontal="center" vertical="center" textRotation="0" wrapText="0" indent="0" justifyLastLine="0" shrinkToFit="0" readingOrder="0"/>
      <border diagonalUp="0" diagonalDown="0" outline="0">
        <left style="double">
          <color rgb="FF234473"/>
        </left>
        <right style="thin">
          <color rgb="FF234473"/>
        </right>
        <top style="thin">
          <color rgb="FF234473"/>
        </top>
        <bottom style="thin">
          <color rgb="FF234473"/>
        </bottom>
      </border>
      <protection locked="0" hidden="0"/>
    </dxf>
    <dxf>
      <font>
        <strike val="0"/>
        <outline val="0"/>
        <shadow val="0"/>
        <u val="none"/>
        <vertAlign val="baseline"/>
        <sz val="12"/>
        <color theme="0"/>
        <name val="Microsoft JhengHei UI"/>
        <scheme val="minor"/>
      </font>
      <fill>
        <patternFill patternType="solid">
          <fgColor indexed="64"/>
          <bgColor rgb="FF234473"/>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scheme val="minor"/>
      </font>
      <fill>
        <patternFill patternType="solid">
          <fgColor indexed="64"/>
          <bgColor theme="6" tint="0.79998168889431442"/>
        </patternFill>
      </fill>
      <alignment vertical="center" textRotation="0" indent="0" justifyLastLine="0" shrinkToFit="0" readingOrder="0"/>
    </dxf>
    <dxf>
      <numFmt numFmtId="0" formatCode="General"/>
    </dxf>
    <dxf>
      <fill>
        <patternFill>
          <bgColor rgb="FFFFFF00"/>
        </patternFill>
      </fill>
    </dxf>
    <dxf>
      <fill>
        <patternFill>
          <bgColor rgb="FFFFFF00"/>
        </patternFill>
      </fill>
    </dxf>
    <dxf>
      <numFmt numFmtId="19" formatCode="m/d/yyyy"/>
    </dxf>
    <dxf>
      <numFmt numFmtId="19" formatCode="m/d/yyyy"/>
    </dxf>
    <dxf>
      <numFmt numFmtId="0" formatCode="General"/>
    </dxf>
    <dxf>
      <numFmt numFmtId="0" formatCode="General"/>
    </dxf>
    <dxf>
      <numFmt numFmtId="19" formatCode="m/d/yyyy"/>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0" formatCode="General"/>
      <fill>
        <patternFill patternType="solid">
          <fgColor indexed="64"/>
          <bgColor rgb="FFF4EBE0"/>
        </patternFill>
      </fill>
      <alignment horizontal="left" vertical="bottom" textRotation="0" wrapText="0" indent="0" justifyLastLine="0" shrinkToFit="0" readingOrder="0"/>
      <protection locked="1" hidden="0"/>
    </dxf>
    <dxf>
      <numFmt numFmtId="164" formatCode="yyyy/m/d;@"/>
      <fill>
        <patternFill patternType="solid">
          <fgColor indexed="64"/>
          <bgColor rgb="FFF4EBE0"/>
        </patternFill>
      </fill>
      <alignment horizontal="left" vertical="bottom" textRotation="0" wrapText="0" indent="0" justifyLastLine="0" shrinkToFit="0" readingOrder="0"/>
      <protection locked="1" hidden="0"/>
    </dxf>
    <dxf>
      <fill>
        <patternFill patternType="solid">
          <fgColor indexed="64"/>
          <bgColor theme="0"/>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66" formatCode="[$-F400]h:mm:ss\ AM/PM"/>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fill>
        <patternFill patternType="solid">
          <fgColor indexed="64"/>
          <bgColor theme="0"/>
        </patternFill>
      </fill>
      <protection locked="0" hidden="0"/>
    </dxf>
    <dxf>
      <numFmt numFmtId="19" formatCode="m/d/yyyy"/>
      <fill>
        <patternFill patternType="solid">
          <fgColor indexed="64"/>
          <bgColor theme="0"/>
        </patternFill>
      </fill>
      <protection locked="0" hidden="0"/>
    </dxf>
    <dxf>
      <fill>
        <patternFill patternType="solid">
          <fgColor indexed="64"/>
          <bgColor theme="0"/>
        </patternFill>
      </fill>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0" formatCode="General"/>
      <fill>
        <patternFill patternType="solid">
          <fgColor indexed="64"/>
          <bgColor rgb="FFE1E1E9"/>
        </patternFill>
      </fill>
      <alignment horizontal="left" vertical="bottom" textRotation="0" wrapText="0" indent="0" justifyLastLine="0" shrinkToFit="0" readingOrder="0"/>
      <protection locked="1" hidden="0"/>
    </dxf>
    <dxf>
      <numFmt numFmtId="164" formatCode="yyyy/m/d;@"/>
      <fill>
        <patternFill patternType="solid">
          <fgColor indexed="64"/>
          <bgColor rgb="FFE1E1E9"/>
        </patternFill>
      </fill>
      <alignment horizontal="left" vertical="bottom" textRotation="0" wrapText="0" indent="0" justifyLastLine="0" shrinkToFit="0" readingOrder="0"/>
      <protection locked="1" hidden="0"/>
    </dxf>
    <dxf>
      <fill>
        <patternFill patternType="none">
          <fgColor indexed="64"/>
          <bgColor indexed="65"/>
        </patternFill>
      </fill>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protection locked="0" hidden="0"/>
    </dxf>
    <dxf>
      <protection locked="0" hidden="0"/>
    </dxf>
    <dxf>
      <protection locked="0" hidden="0"/>
    </dxf>
    <dxf>
      <numFmt numFmtId="166" formatCode="[$-F400]h:mm:ss\ AM/PM"/>
      <protection locked="0" hidden="0"/>
    </dxf>
    <dxf>
      <protection locked="0" hidden="0"/>
    </dxf>
    <dxf>
      <protection locked="0" hidden="0"/>
    </dxf>
    <dxf>
      <protection locked="0" hidden="0"/>
    </dxf>
    <dxf>
      <font>
        <b val="0"/>
        <i val="0"/>
        <strike val="0"/>
        <condense val="0"/>
        <extend val="0"/>
        <outline val="0"/>
        <shadow val="0"/>
        <u val="none"/>
        <vertAlign val="baseline"/>
        <sz val="11"/>
        <color theme="1"/>
        <name val="Microsoft JhengHei UI"/>
        <scheme val="minor"/>
      </font>
      <numFmt numFmtId="0" formatCode="General"/>
      <protection locked="0" hidden="0"/>
    </dxf>
    <dxf>
      <protection locked="0" hidden="0"/>
    </dxf>
    <dxf>
      <font>
        <b val="0"/>
        <i val="0"/>
        <strike val="0"/>
        <condense val="0"/>
        <extend val="0"/>
        <outline val="0"/>
        <shadow val="0"/>
        <u val="none"/>
        <vertAlign val="baseline"/>
        <sz val="11"/>
        <color theme="1"/>
        <name val="Microsoft JhengHei UI"/>
        <scheme val="minor"/>
      </font>
      <numFmt numFmtId="0" formatCode="General"/>
      <protection locked="0" hidden="0"/>
    </dxf>
    <dxf>
      <protection locked="0" hidden="0"/>
    </dxf>
    <dxf>
      <protection locked="0" hidden="0"/>
    </dxf>
    <dxf>
      <protection locked="0" hidden="0"/>
    </dxf>
    <dxf>
      <numFmt numFmtId="167" formatCode="m/d;@"/>
      <alignment horizontal="left" vertical="bottom" textRotation="0" wrapText="0" indent="0" justifyLastLine="0" shrinkToFit="0" readingOrder="0"/>
      <protection locked="0" hidden="0"/>
    </dxf>
    <dxf>
      <alignment horizontal="general" vertical="bottom" textRotation="0" indent="0" justifyLastLine="0" shrinkToFit="0" readingOrder="0"/>
    </dxf>
    <dxf>
      <alignment horizontal="general" vertical="bottom" textRotation="0"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indent="0" justifyLastLine="0" shrinkToFit="0" readingOrder="0"/>
    </dxf>
    <dxf>
      <alignment horizontal="general" vertical="bottom" textRotation="0" indent="0" justifyLastLine="0" shrinkToFit="0" readingOrder="0"/>
    </dxf>
    <dxf>
      <fill>
        <patternFill>
          <bgColor rgb="FFE1E1E9"/>
        </patternFill>
      </fil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27" formatCode="m/d/yyyy\ h:mm"/>
    </dxf>
    <dxf>
      <numFmt numFmtId="19" formatCode="m/d/yyyy"/>
    </dxf>
    <dxf>
      <numFmt numFmtId="19" formatCode="m/d/yyyy"/>
    </dxf>
    <dxf>
      <numFmt numFmtId="19" formatCode="m/d/yyyy"/>
    </dxf>
    <dxf>
      <numFmt numFmtId="19" formatCode="m/d/yyyy"/>
    </dxf>
    <dxf>
      <numFmt numFmtId="0" formatCode="General"/>
    </dxf>
    <dxf>
      <alignment horizontal="general" vertical="bottom" textRotation="0" wrapText="1" indent="0" justifyLastLine="0" shrinkToFit="0" readingOrder="0"/>
    </dxf>
    <dxf>
      <numFmt numFmtId="0" formatCode="General"/>
    </dxf>
    <dxf>
      <numFmt numFmtId="0" formatCode="General"/>
    </dxf>
    <dxf>
      <numFmt numFmtId="0" formatCode="General"/>
    </dxf>
    <dxf>
      <fill>
        <patternFill>
          <bgColor rgb="FFE1E1E9"/>
        </patternFill>
      </fil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yyyy/m/d;@"/>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numFmt numFmtId="19" formatCode="m/d/yyyy"/>
      <fill>
        <patternFill patternType="none">
          <fgColor indexed="64"/>
          <bgColor indexed="65"/>
        </patternFill>
      </fill>
    </dxf>
    <dxf>
      <font>
        <b val="0"/>
        <i val="0"/>
        <color theme="0"/>
      </font>
      <fill>
        <patternFill>
          <bgColor theme="9"/>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scheme val="minor"/>
      </font>
      <fill>
        <patternFill patternType="none">
          <fgColor indexed="64"/>
          <bgColor indexed="65"/>
        </patternFill>
      </fill>
    </dxf>
    <dxf>
      <numFmt numFmtId="19" formatCode="m/d/yyyy"/>
    </dxf>
    <dxf>
      <numFmt numFmtId="0" formatCode="General"/>
    </dxf>
    <dxf>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scheme val="minor"/>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2"/>
        <color theme="1"/>
        <name val="Microsoft JhengHei UI"/>
        <scheme val="minor"/>
      </font>
      <fill>
        <patternFill patternType="solid">
          <fgColor indexed="64"/>
          <bgColor theme="0"/>
        </patternFill>
      </fill>
      <alignment horizontal="center" vertical="center"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yyyy/m/d;@"/>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ill>
        <patternFill patternType="solid">
          <fgColor indexed="64"/>
          <bgColor theme="6" tint="0.79998168889431442"/>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bgColor rgb="FFFFFF00"/>
        </patternFill>
      </fill>
    </dxf>
    <dxf>
      <font>
        <color theme="0"/>
      </font>
      <fill>
        <patternFill>
          <bgColor rgb="FF46B078"/>
        </patternFill>
      </fill>
    </dxf>
    <dxf>
      <font>
        <color theme="0"/>
      </font>
      <fill>
        <patternFill>
          <bgColor rgb="FFF4C42E"/>
        </patternFill>
      </fill>
    </dxf>
    <dxf>
      <font>
        <color theme="0"/>
      </font>
      <fill>
        <patternFill>
          <bgColor rgb="FF9A38D4"/>
        </patternFill>
      </fill>
    </dxf>
    <dxf>
      <font>
        <color theme="0"/>
      </font>
      <fill>
        <patternFill>
          <bgColor rgb="FF81868F"/>
        </patternFill>
      </fill>
    </dxf>
    <dxf>
      <font>
        <color theme="0"/>
      </font>
      <fill>
        <patternFill>
          <bgColor theme="4" tint="-0.24994659260841701"/>
        </patternFill>
      </fill>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ill>
        <patternFill>
          <bgColor theme="5" tint="0.79998168889431442"/>
        </patternFill>
      </fill>
    </dxf>
    <dxf>
      <fill>
        <patternFill>
          <bgColor theme="0"/>
        </patternFill>
      </fill>
    </dxf>
    <dxf>
      <font>
        <b/>
        <i val="0"/>
        <color theme="0"/>
      </font>
      <fill>
        <patternFill>
          <bgColor theme="5"/>
        </patternFill>
      </fill>
    </dxf>
    <dxf>
      <font>
        <color theme="2"/>
      </font>
      <border>
        <bottom style="thin">
          <color theme="4" tint="-0.499984740745262"/>
        </bottom>
        <vertical style="hair">
          <color theme="1" tint="0.39994506668294322"/>
        </vertic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3" defaultTableStyle="TableStyleMedium2" defaultPivotStyle="PivotStyleLight16">
    <tableStyle name="BISL" pivot="0" count="3">
      <tableStyleElement type="wholeTable" dxfId="663"/>
      <tableStyleElement type="headerRow" dxfId="662"/>
      <tableStyleElement type="totalRow" dxfId="661"/>
    </tableStyle>
    <tableStyle name="BISL_Directory" pivot="0" count="4">
      <tableStyleElement type="wholeTable" dxfId="660"/>
      <tableStyleElement type="headerRow" dxfId="659"/>
      <tableStyleElement type="firstRowStripe" dxfId="658"/>
      <tableStyleElement type="secondRowStripe" dxfId="657"/>
    </tableStyle>
    <tableStyle name="Blank" pivot="0" count="1">
      <tableStyleElement type="wholeTable" dxfId="656"/>
    </tableStyle>
    <tableStyle name="DimSum" pivot="0" count="4">
      <tableStyleElement type="wholeTable" dxfId="655"/>
      <tableStyleElement type="headerRow" dxfId="654"/>
      <tableStyleElement type="totalRow" dxfId="653"/>
      <tableStyleElement type="secondRowStripe" dxfId="652"/>
    </tableStyle>
    <tableStyle name="ECON" pivot="0" count="2">
      <tableStyleElement type="wholeTable" dxfId="651"/>
      <tableStyleElement type="headerRow" dxfId="650"/>
    </tableStyle>
    <tableStyle name="Load Style" pivot="0" count="2">
      <tableStyleElement type="wholeTable" dxfId="649"/>
      <tableStyleElement type="headerRow" dxfId="648"/>
    </tableStyle>
    <tableStyle name="mFTZ" pivot="0" count="4">
      <tableStyleElement type="wholeTable" dxfId="647"/>
      <tableStyleElement type="headerRow" dxfId="646"/>
      <tableStyleElement type="totalRow" dxfId="645"/>
      <tableStyleElement type="secondRowStripe" dxfId="644"/>
    </tableStyle>
    <tableStyle name="Named_dd" pivot="0" count="2">
      <tableStyleElement type="wholeTable" dxfId="643"/>
      <tableStyleElement type="headerRow" dxfId="642"/>
    </tableStyle>
    <tableStyle name="PRJ Style" pivot="0" count="4">
      <tableStyleElement type="wholeTable" dxfId="641"/>
      <tableStyleElement type="headerRow" dxfId="640"/>
      <tableStyleElement type="firstRowStripe" dxfId="639"/>
      <tableStyleElement type="secondRowStripe" dxfId="638"/>
    </tableStyle>
    <tableStyle name="Qry Load" pivot="0" count="3">
      <tableStyleElement type="wholeTable" dxfId="637"/>
      <tableStyleElement type="headerRow" dxfId="636"/>
      <tableStyleElement type="totalRow" dxfId="635"/>
    </tableStyle>
    <tableStyle name="Qry Load 2" pivot="0" count="3">
      <tableStyleElement type="wholeTable" dxfId="634"/>
      <tableStyleElement type="headerRow" dxfId="633"/>
      <tableStyleElement type="totalRow" dxfId="632"/>
    </tableStyle>
    <tableStyle name="Qry Load 3" pivot="0" count="3">
      <tableStyleElement type="wholeTable" dxfId="631"/>
      <tableStyleElement type="headerRow" dxfId="630"/>
      <tableStyleElement type="totalRow" dxfId="629"/>
    </tableStyle>
    <tableStyle name="Qry Load 3 2" pivot="0" count="3">
      <tableStyleElement type="wholeTable" dxfId="628"/>
      <tableStyleElement type="headerRow" dxfId="627"/>
      <tableStyleElement type="totalRow" dxfId="626"/>
    </tableStyle>
    <tableStyle name="Qry Load 3 3" pivot="0" count="3">
      <tableStyleElement type="wholeTable" dxfId="625"/>
      <tableStyleElement type="headerRow" dxfId="624"/>
      <tableStyleElement type="totalRow" dxfId="623"/>
    </tableStyle>
    <tableStyle name="Qry Load 4" pivot="0" count="3">
      <tableStyleElement type="wholeTable" dxfId="622"/>
      <tableStyleElement type="headerRow" dxfId="621"/>
      <tableStyleElement type="totalRow" dxfId="620"/>
    </tableStyle>
    <tableStyle name="Qry Load 5" pivot="0" count="3">
      <tableStyleElement type="wholeTable" dxfId="619"/>
      <tableStyleElement type="headerRow" dxfId="618"/>
      <tableStyleElement type="totalRow" dxfId="617"/>
    </tableStyle>
    <tableStyle name="Qry Load 6" pivot="0" count="3">
      <tableStyleElement type="wholeTable" dxfId="616"/>
      <tableStyleElement type="headerRow" dxfId="615"/>
      <tableStyleElement type="totalRow" dxfId="614"/>
    </tableStyle>
    <tableStyle name="Qry Source" pivot="0" count="2">
      <tableStyleElement type="wholeTable" dxfId="613"/>
      <tableStyleElement type="headerRow" dxfId="612"/>
    </tableStyle>
    <tableStyle name="Qry Source 2" pivot="0" count="2">
      <tableStyleElement type="wholeTable" dxfId="611"/>
      <tableStyleElement type="headerRow" dxfId="610"/>
    </tableStyle>
    <tableStyle name="Qry Source 2 2" pivot="0" count="3">
      <tableStyleElement type="wholeTable" dxfId="609"/>
      <tableStyleElement type="headerRow" dxfId="608"/>
      <tableStyleElement type="secondRowStripe" dxfId="607"/>
    </tableStyle>
    <tableStyle name="review" pivot="0" count="3">
      <tableStyleElement type="wholeTable" dxfId="606"/>
      <tableStyleElement type="headerRow" dxfId="605"/>
      <tableStyleElement type="totalRow" dxfId="604"/>
    </tableStyle>
    <tableStyle name="review 2" pivot="0" count="3">
      <tableStyleElement type="wholeTable" dxfId="603"/>
      <tableStyleElement type="headerRow" dxfId="602"/>
      <tableStyleElement type="totalRow" dxfId="601"/>
    </tableStyle>
    <tableStyle name="Table Style 1 2" pivot="0" count="4">
      <tableStyleElement type="wholeTable" dxfId="600"/>
      <tableStyleElement type="headerRow" dxfId="599"/>
      <tableStyleElement type="firstRowStripe" dxfId="598"/>
      <tableStyleElement type="secondRowStripe" dxfId="597"/>
    </tableStyle>
  </tableStyles>
  <colors>
    <mruColors>
      <color rgb="FF0000FF"/>
      <color rgb="FF234473"/>
      <color rgb="FFF4EBE0"/>
      <color rgb="FF2A7968"/>
      <color rgb="FF888AA6"/>
      <color rgb="FF0071BA"/>
      <color rgb="FFE1E1E9"/>
      <color rgb="FF379E4E"/>
      <color rgb="FFC69E62"/>
      <color rgb="FFEDF9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9</xdr:col>
      <xdr:colOff>17929</xdr:colOff>
      <xdr:row>9</xdr:row>
      <xdr:rowOff>313766</xdr:rowOff>
    </xdr:from>
    <xdr:to>
      <xdr:col>11</xdr:col>
      <xdr:colOff>1886255</xdr:colOff>
      <xdr:row>11</xdr:row>
      <xdr:rowOff>377554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98958" y="4852148"/>
          <a:ext cx="3204883"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accent6"/>
              </a:solidFill>
              <a:effectLst/>
              <a:latin typeface="+mn-lt"/>
              <a:ea typeface="+mn-ea"/>
              <a:cs typeface="+mn-cs"/>
            </a:rPr>
            <a:t>⚠️ Review</a:t>
          </a:r>
          <a:r>
            <a:rPr lang="en-US" altLang="zh-CN" sz="1600" baseline="0">
              <a:solidFill>
                <a:schemeClr val="accent6"/>
              </a:solidFill>
              <a:effectLst/>
              <a:latin typeface="+mn-lt"/>
              <a:ea typeface="+mn-ea"/>
              <a:cs typeface="+mn-cs"/>
            </a:rPr>
            <a:t> FIMTN Classification</a:t>
          </a:r>
        </a:p>
      </xdr:txBody>
    </xdr:sp>
    <xdr:clientData fPrintsWithSheet="0"/>
  </xdr:twoCellAnchor>
  <mc:AlternateContent xmlns:mc="http://schemas.openxmlformats.org/markup-compatibility/2006">
    <mc:Choice xmlns:a14="http://schemas.microsoft.com/office/drawing/2010/main" Requires="a14">
      <xdr:twoCellAnchor>
        <xdr:from>
          <xdr:col>3</xdr:col>
          <xdr:colOff>962025</xdr:colOff>
          <xdr:row>4</xdr:row>
          <xdr:rowOff>76200</xdr:rowOff>
        </xdr:from>
        <xdr:to>
          <xdr:col>5</xdr:col>
          <xdr:colOff>1028700</xdr:colOff>
          <xdr:row>7</xdr:row>
          <xdr:rowOff>47625</xdr:rowOff>
        </xdr:to>
        <xdr:sp macro="" textlink="">
          <xdr:nvSpPr>
            <xdr:cNvPr id="1026" name="Button 2" descr="Refresh&#10;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FF9900"/>
                  </a:solidFill>
                  <a:latin typeface="Microsoft JhengHei UI"/>
                  <a:ea typeface="Microsoft JhengHei UI"/>
                </a:rPr>
                <a:t>Step 2</a:t>
              </a:r>
            </a:p>
            <a:p>
              <a:pPr algn="ctr" rtl="0">
                <a:defRPr sz="1000"/>
              </a:pPr>
              <a:r>
                <a:rPr lang="en-US" sz="2400" b="0" i="0" u="none" strike="noStrike" baseline="0">
                  <a:solidFill>
                    <a:srgbClr val="FF9900"/>
                  </a:solidFill>
                  <a:latin typeface="Microsoft JhengHei UI"/>
                  <a:ea typeface="Microsoft JhengHei UI"/>
                </a:rPr>
                <a:t>Click to Refresh</a:t>
              </a:r>
            </a:p>
          </xdr:txBody>
        </xdr:sp>
        <xdr:clientData fPrintsWithSheet="0"/>
      </xdr:twoCellAnchor>
    </mc:Choice>
    <mc:Fallback/>
  </mc:AlternateContent>
  <xdr:twoCellAnchor editAs="oneCell">
    <xdr:from>
      <xdr:col>3</xdr:col>
      <xdr:colOff>145676</xdr:colOff>
      <xdr:row>2</xdr:row>
      <xdr:rowOff>11206</xdr:rowOff>
    </xdr:from>
    <xdr:to>
      <xdr:col>6</xdr:col>
      <xdr:colOff>103602</xdr:colOff>
      <xdr:row>4</xdr:row>
      <xdr:rowOff>323509</xdr:rowOff>
    </xdr:to>
    <xdr:sp macro="" textlink="">
      <xdr:nvSpPr>
        <xdr:cNvPr id="4" name="Arrow: Left 3">
          <a:extLst>
            <a:ext uri="{FF2B5EF4-FFF2-40B4-BE49-F238E27FC236}">
              <a16:creationId xmlns:a16="http://schemas.microsoft.com/office/drawing/2014/main" id="{00000000-0008-0000-0000-000004000000}"/>
            </a:ext>
          </a:extLst>
        </xdr:cNvPr>
        <xdr:cNvSpPr/>
      </xdr:nvSpPr>
      <xdr:spPr>
        <a:xfrm>
          <a:off x="4112558" y="1647265"/>
          <a:ext cx="3431750" cy="1141538"/>
        </a:xfrm>
        <a:prstGeom prst="leftArrow">
          <a:avLst/>
        </a:prstGeom>
        <a:solidFill>
          <a:srgbClr val="FFBA5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Set Parameters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467058" y="1882588"/>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11</xdr:col>
          <xdr:colOff>1000125</xdr:colOff>
          <xdr:row>1</xdr:row>
          <xdr:rowOff>190500</xdr:rowOff>
        </xdr:from>
        <xdr:to>
          <xdr:col>15</xdr:col>
          <xdr:colOff>295275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1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8080"/>
                  </a:solidFill>
                  <a:latin typeface="Microsoft JhengHei UI"/>
                  <a:ea typeface="Microsoft JhengHei UI"/>
                </a:rPr>
                <a:t>Step 4</a:t>
              </a:r>
            </a:p>
            <a:p>
              <a:pPr algn="ctr" rtl="0">
                <a:defRPr sz="1000"/>
              </a:pPr>
              <a:r>
                <a:rPr lang="en-US" sz="16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oneCellAnchor>
    <xdr:from>
      <xdr:col>43</xdr:col>
      <xdr:colOff>178325</xdr:colOff>
      <xdr:row>3</xdr:row>
      <xdr:rowOff>18934</xdr:rowOff>
    </xdr:from>
    <xdr:ext cx="1460174" cy="695252"/>
    <xdr:grpSp>
      <xdr:nvGrpSpPr>
        <xdr:cNvPr id="17" name="Group 16">
          <a:extLst>
            <a:ext uri="{FF2B5EF4-FFF2-40B4-BE49-F238E27FC236}">
              <a16:creationId xmlns:a16="http://schemas.microsoft.com/office/drawing/2014/main" id="{00000000-0008-0000-0100-000011000000}"/>
            </a:ext>
          </a:extLst>
        </xdr:cNvPr>
        <xdr:cNvGrpSpPr/>
      </xdr:nvGrpSpPr>
      <xdr:grpSpPr>
        <a:xfrm>
          <a:off x="38222296" y="1901522"/>
          <a:ext cx="1460174" cy="695252"/>
          <a:chOff x="4143375" y="1933575"/>
          <a:chExt cx="1466021" cy="722475"/>
        </a:xfrm>
      </xdr:grpSpPr>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4143375" y="1933575"/>
            <a:ext cx="1466021" cy="72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7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aseline="0">
                <a:solidFill>
                  <a:schemeClr val="tx1"/>
                </a:solidFill>
                <a:effectLst/>
                <a:latin typeface="+mn-lt"/>
                <a:ea typeface="+mn-ea"/>
                <a:cs typeface="+mn-cs"/>
              </a:rPr>
              <a:t>ForReview_wBOCOM</a:t>
            </a:r>
            <a:endParaRPr lang="en-US" sz="1000">
              <a:solidFill>
                <a:schemeClr val="tx1"/>
              </a:solidFill>
            </a:endParaRPr>
          </a:p>
        </xdr:txBody>
      </xdr:sp>
      <xdr:pic>
        <xdr:nvPicPr>
          <xdr:cNvPr id="19" name="Graphic 18" descr="Repeat outline">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4622315" y="1933575"/>
            <a:ext cx="349321" cy="349321"/>
          </a:xfrm>
          <a:prstGeom prst="rect">
            <a:avLst/>
          </a:prstGeom>
        </xdr:spPr>
      </xdr:pic>
    </xdr:grpSp>
    <xdr:clientData fPrintsWithSheet="0"/>
  </xdr:oneCellAnchor>
  <xdr:twoCellAnchor editAs="oneCell">
    <xdr:from>
      <xdr:col>16</xdr:col>
      <xdr:colOff>18324</xdr:colOff>
      <xdr:row>3</xdr:row>
      <xdr:rowOff>0</xdr:rowOff>
    </xdr:from>
    <xdr:to>
      <xdr:col>16</xdr:col>
      <xdr:colOff>1221712</xdr:colOff>
      <xdr:row>3</xdr:row>
      <xdr:rowOff>711201</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4608383" y="1882588"/>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xdr:from>
          <xdr:col>1</xdr:col>
          <xdr:colOff>0</xdr:colOff>
          <xdr:row>1</xdr:row>
          <xdr:rowOff>152400</xdr:rowOff>
        </xdr:from>
        <xdr:to>
          <xdr:col>3</xdr:col>
          <xdr:colOff>800100</xdr:colOff>
          <xdr:row>3</xdr:row>
          <xdr:rowOff>704850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100-00000B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Step 3</a:t>
              </a:r>
            </a:p>
            <a:p>
              <a:pPr algn="ctr" rtl="0">
                <a:defRPr sz="1000"/>
              </a:pPr>
              <a:r>
                <a:rPr lang="en-US" sz="2400" b="0" i="0" u="none" strike="noStrike" baseline="0">
                  <a:solidFill>
                    <a:srgbClr val="000080"/>
                  </a:solidFill>
                  <a:latin typeface="Microsoft JhengHei UI"/>
                  <a:ea typeface="Microsoft JhengHei UI"/>
                </a:rPr>
                <a:t>Click to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11</xdr:row>
      <xdr:rowOff>4604</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552700" cy="902277"/>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51635025"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44</xdr:col>
      <xdr:colOff>829236</xdr:colOff>
      <xdr:row>1</xdr:row>
      <xdr:rowOff>400049</xdr:rowOff>
    </xdr:from>
    <xdr:ext cx="7026089" cy="48317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42884912" y="1027578"/>
          <a:ext cx="7026089"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61</xdr:col>
      <xdr:colOff>514351</xdr:colOff>
      <xdr:row>0</xdr:row>
      <xdr:rowOff>0</xdr:rowOff>
    </xdr:from>
    <xdr:to>
      <xdr:col>66</xdr:col>
      <xdr:colOff>133350</xdr:colOff>
      <xdr:row>9</xdr:row>
      <xdr:rowOff>131109</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62950726" y="0"/>
          <a:ext cx="4548187" cy="3702984"/>
          <a:chOff x="58083451" y="0"/>
          <a:chExt cx="4543424" cy="3752850"/>
        </a:xfrm>
      </xdr:grpSpPr>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62</xdr:col>
          <xdr:colOff>333375</xdr:colOff>
          <xdr:row>5</xdr:row>
          <xdr:rowOff>171450</xdr:rowOff>
        </xdr:from>
        <xdr:to>
          <xdr:col>65</xdr:col>
          <xdr:colOff>561975</xdr:colOff>
          <xdr:row>12</xdr:row>
          <xdr:rowOff>114300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13607</xdr:colOff>
      <xdr:row>0</xdr:row>
      <xdr:rowOff>231321</xdr:rowOff>
    </xdr:from>
    <xdr:to>
      <xdr:col>12</xdr:col>
      <xdr:colOff>296677</xdr:colOff>
      <xdr:row>7</xdr:row>
      <xdr:rowOff>300921</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23702282" y="231321"/>
          <a:ext cx="3331070" cy="1803150"/>
          <a:chOff x="9121588" y="33619"/>
          <a:chExt cx="3552265" cy="2342028"/>
        </a:xfrm>
      </xdr:grpSpPr>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9121588" y="33619"/>
            <a:ext cx="3552265" cy="2342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C</a:t>
            </a:r>
            <a:r>
              <a:rPr lang="en-US" altLang="zh-CN" sz="3600">
                <a:solidFill>
                  <a:srgbClr val="379E4E"/>
                </a:solidFill>
                <a:effectLst/>
                <a:latin typeface="+mn-lt"/>
                <a:ea typeface="+mn-ea"/>
                <a:cs typeface="+mn-cs"/>
              </a:rPr>
              <a:t>trl +Alt + F5</a:t>
            </a:r>
          </a:p>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Available</a:t>
            </a:r>
          </a:p>
        </xdr:txBody>
      </xdr:sp>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412941" y="1075766"/>
            <a:ext cx="485775" cy="78105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171450</xdr:colOff>
          <xdr:row>0</xdr:row>
          <xdr:rowOff>57150</xdr:rowOff>
        </xdr:from>
        <xdr:to>
          <xdr:col>3</xdr:col>
          <xdr:colOff>1600200</xdr:colOff>
          <xdr:row>3</xdr:row>
          <xdr:rowOff>142875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15</xdr:col>
      <xdr:colOff>156880</xdr:colOff>
      <xdr:row>2</xdr:row>
      <xdr:rowOff>20732</xdr:rowOff>
    </xdr:from>
    <xdr:ext cx="1378325" cy="752474"/>
    <xdr:grpSp>
      <xdr:nvGrpSpPr>
        <xdr:cNvPr id="2" name="Group 1">
          <a:extLst>
            <a:ext uri="{FF2B5EF4-FFF2-40B4-BE49-F238E27FC236}">
              <a16:creationId xmlns:a16="http://schemas.microsoft.com/office/drawing/2014/main" id="{00000000-0008-0000-0600-000002000000}"/>
            </a:ext>
          </a:extLst>
        </xdr:cNvPr>
        <xdr:cNvGrpSpPr/>
      </xdr:nvGrpSpPr>
      <xdr:grpSpPr>
        <a:xfrm>
          <a:off x="2599762" y="1724026"/>
          <a:ext cx="1378325" cy="752474"/>
          <a:chOff x="4143376" y="1933575"/>
          <a:chExt cx="1385909" cy="752474"/>
        </a:xfrm>
      </xdr:grpSpPr>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4143376" y="1933575"/>
            <a:ext cx="1385909" cy="752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Graph Weeklydeal</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4642241" y="1978398"/>
            <a:ext cx="349321" cy="349321"/>
          </a:xfrm>
          <a:prstGeom prst="rect">
            <a:avLst/>
          </a:prstGeom>
        </xdr:spPr>
      </xdr:pic>
    </xdr:grpSp>
    <xdr:clientData fPrintsWithSheet="0"/>
  </xdr:oneCellAnchor>
  <xdr:twoCellAnchor editAs="oneCell">
    <xdr:from>
      <xdr:col>11</xdr:col>
      <xdr:colOff>33615</xdr:colOff>
      <xdr:row>0</xdr:row>
      <xdr:rowOff>112061</xdr:rowOff>
    </xdr:from>
    <xdr:to>
      <xdr:col>16</xdr:col>
      <xdr:colOff>392204</xdr:colOff>
      <xdr:row>5</xdr:row>
      <xdr:rowOff>179295</xdr:rowOff>
    </xdr:to>
    <xdr:grpSp>
      <xdr:nvGrpSpPr>
        <xdr:cNvPr id="10" name="Group 9">
          <a:extLst>
            <a:ext uri="{FF2B5EF4-FFF2-40B4-BE49-F238E27FC236}">
              <a16:creationId xmlns:a16="http://schemas.microsoft.com/office/drawing/2014/main" id="{00000000-0008-0000-0600-00000A000000}"/>
            </a:ext>
          </a:extLst>
        </xdr:cNvPr>
        <xdr:cNvGrpSpPr/>
      </xdr:nvGrpSpPr>
      <xdr:grpSpPr>
        <a:xfrm>
          <a:off x="33615" y="112061"/>
          <a:ext cx="3283324" cy="2342028"/>
          <a:chOff x="9121588" y="33619"/>
          <a:chExt cx="3552265" cy="2342028"/>
        </a:xfrm>
      </xdr:grpSpPr>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9121588" y="33619"/>
            <a:ext cx="3552265" cy="2342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C</a:t>
            </a:r>
            <a:r>
              <a:rPr lang="en-US" altLang="zh-CN" sz="3600">
                <a:solidFill>
                  <a:srgbClr val="379E4E"/>
                </a:solidFill>
                <a:effectLst/>
                <a:latin typeface="+mn-lt"/>
                <a:ea typeface="+mn-ea"/>
                <a:cs typeface="+mn-cs"/>
              </a:rPr>
              <a:t>trl +Alt + F5</a:t>
            </a:r>
          </a:p>
          <a:p>
            <a:pPr marL="0" marR="0" lvl="0" indent="0" algn="ctr" defTabSz="914400" eaLnBrk="1" fontAlgn="auto" latinLnBrk="0" hangingPunct="1">
              <a:lnSpc>
                <a:spcPct val="100000"/>
              </a:lnSpc>
              <a:spcBef>
                <a:spcPts val="0"/>
              </a:spcBef>
              <a:spcAft>
                <a:spcPts val="0"/>
              </a:spcAft>
              <a:buClrTx/>
              <a:buSzTx/>
              <a:buFontTx/>
              <a:buNone/>
              <a:tabLst/>
              <a:defRPr/>
            </a:pPr>
            <a:r>
              <a:rPr lang="en-US" sz="3600">
                <a:solidFill>
                  <a:srgbClr val="379E4E"/>
                </a:solidFill>
                <a:effectLst/>
                <a:latin typeface="+mn-lt"/>
                <a:ea typeface="+mn-ea"/>
                <a:cs typeface="+mn-cs"/>
              </a:rPr>
              <a:t>Available</a:t>
            </a:r>
          </a:p>
        </xdr:txBody>
      </xdr:sp>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412941" y="1075766"/>
            <a:ext cx="485775" cy="78105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1</xdr:row>
      <xdr:rowOff>0</xdr:rowOff>
    </xdr:from>
    <xdr:ext cx="2655791" cy="920563"/>
    <xdr:grpSp>
      <xdr:nvGrpSpPr>
        <xdr:cNvPr id="2" name="Group 1">
          <a:extLst>
            <a:ext uri="{FF2B5EF4-FFF2-40B4-BE49-F238E27FC236}">
              <a16:creationId xmlns:a16="http://schemas.microsoft.com/office/drawing/2014/main" id="{00000000-0008-0000-0700-000002000000}"/>
            </a:ext>
          </a:extLst>
        </xdr:cNvPr>
        <xdr:cNvGrpSpPr/>
      </xdr:nvGrpSpPr>
      <xdr:grpSpPr>
        <a:xfrm>
          <a:off x="628650" y="504825"/>
          <a:ext cx="2655791" cy="920563"/>
          <a:chOff x="4143376" y="1933574"/>
          <a:chExt cx="2670407" cy="920563"/>
        </a:xfrm>
      </xdr:grpSpPr>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143376" y="1933575"/>
            <a:ext cx="2670407" cy="920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Qry:</a:t>
            </a:r>
            <a:r>
              <a:rPr lang="en-US" sz="1050" baseline="0">
                <a:solidFill>
                  <a:schemeClr val="tx1"/>
                </a:solidFill>
                <a:effectLst/>
                <a:latin typeface="+mn-lt"/>
                <a:ea typeface="+mn-ea"/>
                <a:cs typeface="+mn-cs"/>
              </a:rPr>
              <a:t> postreview</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baseline="0">
                <a:solidFill>
                  <a:schemeClr val="tx1"/>
                </a:solidFill>
                <a:effectLst/>
                <a:latin typeface="+mn-lt"/>
                <a:ea typeface="+mn-ea"/>
                <a:cs typeface="+mn-cs"/>
              </a:rPr>
              <a:t>To DEALs MASTER (wCurated)</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5318294" y="1933574"/>
            <a:ext cx="349321" cy="349321"/>
          </a:xfrm>
          <a:prstGeom prst="rect">
            <a:avLst/>
          </a:prstGeom>
        </xdr:spPr>
      </xdr:pic>
    </xdr:grpSp>
    <xdr:clientData fPrintsWithSheet="0"/>
  </xdr:oneCellAnchor>
</xdr:wsDr>
</file>

<file path=xl/drawings/drawing8.xml><?xml version="1.0" encoding="utf-8"?>
<xdr:wsDr xmlns:xdr="http://schemas.openxmlformats.org/drawingml/2006/spreadsheetDrawing" xmlns:a="http://schemas.openxmlformats.org/drawingml/2006/main">
  <xdr:twoCellAnchor editAs="absolute">
    <xdr:from>
      <xdr:col>1</xdr:col>
      <xdr:colOff>433316</xdr:colOff>
      <xdr:row>0</xdr:row>
      <xdr:rowOff>75032</xdr:rowOff>
    </xdr:from>
    <xdr:to>
      <xdr:col>3</xdr:col>
      <xdr:colOff>1763908</xdr:colOff>
      <xdr:row>1</xdr:row>
      <xdr:rowOff>510887</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2312339" y="75032"/>
          <a:ext cx="4329184" cy="12065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0" i="0">
              <a:solidFill>
                <a:schemeClr val="dk1"/>
              </a:solidFill>
              <a:effectLst/>
              <a:latin typeface="+mn-lt"/>
              <a:ea typeface="+mn-ea"/>
              <a:cs typeface="+mn-cs"/>
            </a:rPr>
            <a:t>⚠️</a:t>
          </a:r>
          <a:r>
            <a:rPr lang="en-US" sz="2000" b="1" i="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a:solidFill>
                <a:schemeClr val="accent6"/>
              </a:solidFill>
              <a:effectLst/>
              <a:latin typeface="+mn-lt"/>
              <a:ea typeface="+mn-ea"/>
              <a:cs typeface="+mn-cs"/>
            </a:rPr>
            <a:t>M</a:t>
          </a:r>
          <a:r>
            <a:rPr lang="en-US" altLang="zh-CN" sz="1100">
              <a:solidFill>
                <a:schemeClr val="accent6"/>
              </a:solidFill>
              <a:effectLst/>
              <a:latin typeface="+mn-lt"/>
              <a:ea typeface="+mn-ea"/>
              <a:cs typeface="+mn-cs"/>
            </a:rPr>
            <a:t>anually Refresh</a:t>
          </a:r>
          <a:r>
            <a:rPr lang="en-US" altLang="zh-CN" sz="1100" baseline="0">
              <a:solidFill>
                <a:schemeClr val="accent6"/>
              </a:solidFill>
              <a:effectLst/>
              <a:latin typeface="+mn-lt"/>
              <a:ea typeface="+mn-ea"/>
              <a:cs typeface="+mn-cs"/>
            </a:rPr>
            <a:t> </a:t>
          </a:r>
          <a:r>
            <a:rPr lang="en-US" altLang="zh-CN" sz="1100" u="sng" baseline="0">
              <a:solidFill>
                <a:schemeClr val="accent6"/>
              </a:solidFill>
              <a:effectLst/>
              <a:latin typeface="+mn-lt"/>
              <a:ea typeface="+mn-ea"/>
              <a:cs typeface="+mn-cs"/>
            </a:rPr>
            <a:t>AFTER</a:t>
          </a:r>
          <a:r>
            <a:rPr lang="en-US" altLang="zh-CN" sz="1100" baseline="0">
              <a:solidFill>
                <a:schemeClr val="accent6"/>
              </a:solidFill>
              <a:effectLst/>
              <a:latin typeface="+mn-lt"/>
              <a:ea typeface="+mn-ea"/>
              <a:cs typeface="+mn-cs"/>
            </a:rPr>
            <a:t> </a:t>
          </a:r>
          <a:r>
            <a:rPr lang="en-US" sz="1100" baseline="0">
              <a:solidFill>
                <a:schemeClr val="accent6"/>
              </a:solidFill>
              <a:effectLst/>
              <a:latin typeface="+mn-lt"/>
              <a:ea typeface="+mn-ea"/>
              <a:cs typeface="+mn-cs"/>
            </a:rPr>
            <a:t>revising Tab REVISED_LIST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Combine multi-tranches issuances into one point</a:t>
          </a:r>
        </a:p>
        <a:p>
          <a:pPr marL="171450" marR="0" lvl="0" indent="-171450" defTabSz="914400" eaLnBrk="1" fontAlgn="auto" latinLnBrk="0" hangingPunct="1">
            <a:lnSpc>
              <a:spcPct val="100000"/>
            </a:lnSpc>
            <a:spcBef>
              <a:spcPts val="0"/>
            </a:spcBef>
            <a:spcAft>
              <a:spcPts val="0"/>
            </a:spcAft>
            <a:buClrTx/>
            <a:buSzTx/>
            <a:buFont typeface="Wingdings" panose="05000000000000000000" pitchFamily="2" charset="2"/>
            <a:buChar char="§"/>
            <a:tabLst/>
            <a:defRPr/>
          </a:pPr>
          <a:r>
            <a:rPr lang="en-US" sz="1100" baseline="0">
              <a:solidFill>
                <a:schemeClr val="accent6"/>
              </a:solidFill>
              <a:effectLst/>
              <a:latin typeface="+mn-lt"/>
              <a:ea typeface="+mn-ea"/>
              <a:cs typeface="+mn-cs"/>
            </a:rPr>
            <a:t>Confirm with Fion for IG Eligibility</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accent6"/>
            </a:solidFill>
            <a:effectLst/>
            <a:latin typeface="+mn-lt"/>
            <a:ea typeface="+mn-ea"/>
            <a:cs typeface="+mn-cs"/>
          </a:endParaRPr>
        </a:p>
      </xdr:txBody>
    </xdr:sp>
    <xdr:clientData fPrintsWithSheet="0"/>
  </xdr:twoCellAnchor>
  <xdr:twoCellAnchor editAs="oneCell">
    <xdr:from>
      <xdr:col>4</xdr:col>
      <xdr:colOff>9307087</xdr:colOff>
      <xdr:row>0</xdr:row>
      <xdr:rowOff>57221</xdr:rowOff>
    </xdr:from>
    <xdr:to>
      <xdr:col>5</xdr:col>
      <xdr:colOff>1687973</xdr:colOff>
      <xdr:row>2</xdr:row>
      <xdr:rowOff>516906</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26" b="38729"/>
        <a:stretch/>
      </xdr:blipFill>
      <xdr:spPr>
        <a:xfrm>
          <a:off x="15940969" y="57221"/>
          <a:ext cx="1726592" cy="2006097"/>
        </a:xfrm>
        <a:prstGeom prst="rect">
          <a:avLst/>
        </a:prstGeom>
      </xdr:spPr>
    </xdr:pic>
    <xdr:clientData fPrintsWithSheet="0"/>
  </xdr:twoCellAnchor>
</xdr:wsDr>
</file>

<file path=xl/drawings/drawing9.xml><?xml version="1.0" encoding="utf-8"?>
<xdr:wsDr xmlns:xdr="http://schemas.openxmlformats.org/drawingml/2006/spreadsheetDrawing" xmlns:a="http://schemas.openxmlformats.org/drawingml/2006/main">
  <xdr:oneCellAnchor>
    <xdr:from>
      <xdr:col>0</xdr:col>
      <xdr:colOff>95250</xdr:colOff>
      <xdr:row>0</xdr:row>
      <xdr:rowOff>171450</xdr:rowOff>
    </xdr:from>
    <xdr:ext cx="2574551" cy="853328"/>
    <xdr:grpSp>
      <xdr:nvGrpSpPr>
        <xdr:cNvPr id="2" name="Group 1">
          <a:extLst>
            <a:ext uri="{FF2B5EF4-FFF2-40B4-BE49-F238E27FC236}">
              <a16:creationId xmlns:a16="http://schemas.microsoft.com/office/drawing/2014/main" id="{00000000-0008-0000-0D00-000002000000}"/>
            </a:ext>
          </a:extLst>
        </xdr:cNvPr>
        <xdr:cNvGrpSpPr/>
      </xdr:nvGrpSpPr>
      <xdr:grpSpPr>
        <a:xfrm>
          <a:off x="95250" y="171450"/>
          <a:ext cx="2574551" cy="853328"/>
          <a:chOff x="4143374" y="1933574"/>
          <a:chExt cx="2588717" cy="853328"/>
        </a:xfrm>
      </xdr:grpSpPr>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4143374" y="1933575"/>
            <a:ext cx="2588717" cy="8533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50">
                <a:solidFill>
                  <a:schemeClr val="tx1"/>
                </a:solidFill>
                <a:effectLst/>
                <a:latin typeface="+mn-lt"/>
                <a:ea typeface="+mn-ea"/>
                <a:cs typeface="+mn-cs"/>
              </a:rPr>
              <a:t>Q</a:t>
            </a:r>
            <a:r>
              <a:rPr lang="en-US" altLang="zh-CN" sz="1050">
                <a:solidFill>
                  <a:schemeClr val="tx1"/>
                </a:solidFill>
                <a:effectLst/>
                <a:latin typeface="+mn-lt"/>
                <a:ea typeface="+mn-ea"/>
                <a:cs typeface="+mn-cs"/>
              </a:rPr>
              <a:t>ry:</a:t>
            </a:r>
            <a:r>
              <a:rPr lang="en-US" altLang="zh-CN" sz="1050" baseline="0">
                <a:solidFill>
                  <a:schemeClr val="tx1"/>
                </a:solidFill>
                <a:effectLst/>
                <a:latin typeface="+mn-lt"/>
                <a:ea typeface="+mn-ea"/>
                <a:cs typeface="+mn-cs"/>
              </a:rPr>
              <a:t> </a:t>
            </a:r>
            <a:r>
              <a:rPr lang="en-US" altLang="zh-CN" sz="1050">
                <a:solidFill>
                  <a:schemeClr val="tx1"/>
                </a:solidFill>
                <a:effectLst/>
                <a:latin typeface="+mn-lt"/>
                <a:ea typeface="+mn-ea"/>
                <a:cs typeface="+mn-cs"/>
              </a:rPr>
              <a:t>review_shortname</a:t>
            </a:r>
          </a:p>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1050">
                <a:solidFill>
                  <a:schemeClr val="tx1"/>
                </a:solidFill>
                <a:effectLst/>
                <a:latin typeface="+mn-lt"/>
                <a:ea typeface="+mn-ea"/>
                <a:cs typeface="+mn-cs"/>
              </a:rPr>
              <a:t>（</a:t>
            </a:r>
            <a:r>
              <a:rPr lang="en-US" altLang="zh-CN" sz="1050">
                <a:solidFill>
                  <a:schemeClr val="tx1"/>
                </a:solidFill>
                <a:effectLst/>
                <a:latin typeface="+mn-lt"/>
                <a:ea typeface="+mn-ea"/>
                <a:cs typeface="+mn-cs"/>
              </a:rPr>
              <a:t>To DEALs</a:t>
            </a:r>
            <a:r>
              <a:rPr lang="en-US" altLang="zh-CN" sz="1050" baseline="0">
                <a:solidFill>
                  <a:schemeClr val="tx1"/>
                </a:solidFill>
                <a:effectLst/>
                <a:latin typeface="+mn-lt"/>
                <a:ea typeface="+mn-ea"/>
                <a:cs typeface="+mn-cs"/>
              </a:rPr>
              <a:t> MASTER: </a:t>
            </a:r>
            <a:r>
              <a:rPr lang="en-US" altLang="zh-CN" sz="1050">
                <a:solidFill>
                  <a:schemeClr val="tx1"/>
                </a:solidFill>
                <a:effectLst/>
                <a:latin typeface="+mn-lt"/>
                <a:ea typeface="+mn-ea"/>
                <a:cs typeface="+mn-cs"/>
              </a:rPr>
              <a:t>wCredit</a:t>
            </a:r>
            <a:r>
              <a:rPr lang="zh-CN" altLang="en-US" sz="1050">
                <a:solidFill>
                  <a:schemeClr val="tx1"/>
                </a:solidFill>
                <a:effectLst/>
                <a:latin typeface="+mn-lt"/>
                <a:ea typeface="+mn-ea"/>
                <a:cs typeface="+mn-cs"/>
              </a:rPr>
              <a:t>）</a:t>
            </a:r>
            <a:endParaRPr lang="en-US" sz="1050">
              <a:solidFill>
                <a:schemeClr val="tx1"/>
              </a:solidFill>
            </a:endParaRPr>
          </a:p>
        </xdr:txBody>
      </xdr:sp>
      <xdr:pic>
        <xdr:nvPicPr>
          <xdr:cNvPr id="4" name="Graphic 3" descr="Repeat outline">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5295759" y="1933574"/>
            <a:ext cx="349321" cy="349321"/>
          </a:xfrm>
          <a:prstGeom prst="rect">
            <a:avLst/>
          </a:prstGeom>
        </xdr:spPr>
      </xdr:pic>
    </xdr:grpSp>
    <xdr:clientData fPrintsWithSheet="0"/>
  </xdr:oneCellAnchor>
</xdr:wsDr>
</file>

<file path=xl/drawings/drawing10.xml><?xml version="1.0" encoding="utf-8"?>
<xdr:wsDr xmlns:xdr="http://schemas.openxmlformats.org/drawingml/2006/spreadsheetDrawing" xmlns:a="http://schemas.openxmlformats.org/drawingml/2006/main">
  <xdr:twoCellAnchor editAs="oneCell">
    <xdr:from>
      <xdr:col>10</xdr:col>
      <xdr:colOff>755277</xdr:colOff>
      <xdr:row>1</xdr:row>
      <xdr:rowOff>81802</xdr:rowOff>
    </xdr:from>
    <xdr:to>
      <xdr:col>12</xdr:col>
      <xdr:colOff>15250</xdr:colOff>
      <xdr:row>5</xdr:row>
      <xdr:rowOff>156881</xdr:rowOff>
    </xdr:to>
    <xdr:pic>
      <xdr:nvPicPr>
        <xdr:cNvPr id="8" name="Picture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1"/>
        <a:stretch>
          <a:fillRect/>
        </a:stretch>
      </xdr:blipFill>
      <xdr:spPr>
        <a:xfrm>
          <a:off x="12431806" y="429184"/>
          <a:ext cx="2879473" cy="1419785"/>
        </a:xfrm>
        <a:prstGeom prst="rect">
          <a:avLst/>
        </a:prstGeom>
        <a:ln>
          <a:solidFill>
            <a:schemeClr val="tx1">
              <a:lumMod val="20000"/>
              <a:lumOff val="80000"/>
            </a:schemeClr>
          </a:solidFill>
        </a:ln>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38100</xdr:colOff>
      <xdr:row>1</xdr:row>
      <xdr:rowOff>28575</xdr:rowOff>
    </xdr:from>
    <xdr:ext cx="2552700" cy="902277"/>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38100" y="542925"/>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name="ExternalData_15" connectionId="23" autoFormatId="16" applyNumberFormats="0" applyBorderFormats="0" applyFontFormats="0" applyPatternFormats="0" applyAlignmentFormats="0" applyWidthHeightFormats="0">
  <queryTableRefresh nextId="716">
    <queryTableFields count="84">
      <queryTableField id="107" name="Index" tableColumnId="67"/>
      <queryTableField id="629" name="IS_FIMTN" tableColumnId="81"/>
      <queryTableField id="1" name="信用主体" tableColumnId="1"/>
      <queryTableField id="3" name="行业" tableColumnId="3"/>
      <queryTableField id="9" name="ISIN" tableColumnId="9"/>
      <queryTableField id="12" name="定价日" tableColumnId="12"/>
      <queryTableField id="27" name="货币" tableColumnId="27"/>
      <queryTableField id="10" name="主题债券" tableColumnId="10"/>
      <queryTableField id="98" name="IPT_DMI" tableColumnId="20"/>
      <queryTableField id="99" name="FPG_DMI" tableColumnId="21"/>
      <queryTableField id="36" name="联席全球协调人" tableColumnId="36"/>
      <queryTableField id="50" name="牵头经办人" tableColumnId="50"/>
      <queryTableField id="450" name="英文简称" tableColumnId="23"/>
      <queryTableField id="553" name="临时isin" tableColumnId="83"/>
      <queryTableField id="57" name="付息频率" tableColumnId="57"/>
      <queryTableField id="58" name="维好协议提供者" tableColumnId="58"/>
      <queryTableField id="56" name="特殊条款" tableColumnId="56"/>
      <queryTableField id="55" name="债券类型" tableColumnId="55"/>
      <queryTableField id="54" name="交易状态" tableColumnId="54"/>
      <queryTableField id="53" name="利率类型" tableColumnId="53"/>
      <queryTableField id="52" name="是否存单" tableColumnId="52"/>
      <queryTableField id="51" name="是否永续债" tableColumnId="51"/>
      <queryTableField id="128" name="联席账簿管理人" tableColumnId="78"/>
      <queryTableField id="49" name="特殊条款说明" tableColumnId="49"/>
      <queryTableField id="48" name="上市日期" tableColumnId="48"/>
      <queryTableField id="136" name="定价_DMI" tableColumnId="77"/>
      <queryTableField id="47" name="发行起始日" tableColumnId="47"/>
      <queryTableField id="46" name="担保人" tableColumnId="46"/>
      <queryTableField id="45" name="发行人" tableColumnId="45"/>
      <queryTableField id="44" name="首次付息日" tableColumnId="44"/>
      <queryTableField id="43" name="计息基准" tableColumnId="43"/>
      <queryTableField id="42" name="最新票面利率" tableColumnId="42"/>
      <queryTableField id="41" name="行权兑付日" tableColumnId="41"/>
      <queryTableField id="40" name="起息日期" tableColumnId="40"/>
      <queryTableField id="39" name="债券余额" tableColumnId="39"/>
      <queryTableField id="38" name="债券最新面值" tableColumnId="38"/>
      <queryTableField id="37" name="ticker" tableColumnId="37"/>
      <queryTableField id="126" name="筹款用途" tableColumnId="76"/>
      <queryTableField id="125" name="投资者分布" tableColumnId="75"/>
      <queryTableField id="124" name="投资者类型" tableColumnId="74"/>
      <queryTableField id="123" name="投资者账户数" tableColumnId="73"/>
      <queryTableField id="11" name="评级类型" tableColumnId="11"/>
      <queryTableField id="2" name="公司类型" tableColumnId="2"/>
      <queryTableField id="122" name="剩余期限" tableColumnId="70"/>
      <queryTableField id="17" name="境内主体评级" tableColumnId="17"/>
      <queryTableField id="16" name="债项初始评级" tableColumnId="16"/>
      <queryTableField id="4" name="细分行业" tableColumnId="4"/>
      <queryTableField id="93" name="发行方式" tableColumnId="72"/>
      <queryTableField id="35" name="基金占比" tableColumnId="35"/>
      <queryTableField id="34" name="亚洲占比" tableColumnId="34"/>
      <queryTableField id="33" name="认购倍数" tableColumnId="33"/>
      <queryTableField id="32" name="认购额(亿)" tableColumnId="32"/>
      <queryTableField id="7" name="区县" tableColumnId="7"/>
      <queryTableField id="6" name="城市" tableColumnId="6"/>
      <queryTableField id="5" name="省份" tableColumnId="5"/>
      <queryTableField id="31" name="首日涨跌" tableColumnId="31"/>
      <queryTableField id="29" name="发行价" tableColumnId="29"/>
      <queryTableField id="25" name="偿还顺位" tableColumnId="25"/>
      <queryTableField id="24" name="SBLC提供者" tableColumnId="24"/>
      <queryTableField id="144" name="发行架构" tableColumnId="62"/>
      <queryTableField id="552" name="发行规则" tableColumnId="82"/>
      <queryTableField id="22" name="收窄幅度(bp)" tableColumnId="22"/>
      <queryTableField id="30" name="发行场所" tableColumnId="30"/>
      <queryTableField id="19" name="兑付日" tableColumnId="19"/>
      <queryTableField id="587" name="票息_DMI" tableColumnId="18"/>
      <queryTableField id="28" name="发行期限(年)" tableColumnId="28"/>
      <queryTableField id="26" name="发行规模(亿)" tableColumnId="26"/>
      <queryTableField id="15" name="债项评级" tableColumnId="15"/>
      <queryTableField id="14" name="主体评级展望" tableColumnId="14"/>
      <queryTableField id="13" name="穆迪/标普" tableColumnId="13"/>
      <queryTableField id="8" name="债券简称" tableColumnId="8"/>
      <queryTableField id="591" name="DataSource" tableColumnId="88"/>
      <queryTableField id="620" name="首次违约日" tableColumnId="60"/>
      <queryTableField id="621" name="IS_EXCH" tableColumnId="61"/>
      <queryTableField id="91" name="地区" tableColumnId="71"/>
      <queryTableField id="628" name="BISL_ROLE" tableColumnId="69"/>
      <queryTableField id="140" name="注册成立地" tableColumnId="79"/>
      <queryTableField id="507" name="发行人主上市地" tableColumnId="80"/>
      <queryTableField id="111" name="补充OMAS updates" tableColumnId="63"/>
      <queryTableField id="112" name="定价息差" tableColumnId="65"/>
      <queryTableField id="113" name="发行评级" tableColumnId="66"/>
      <queryTableField id="114" name="主体评级" tableColumnId="68"/>
      <queryTableField id="622" name="ESG_Indicator" tableColumnId="64"/>
      <queryTableField id="59" name="Check" tableColumnId="59"/>
    </queryTableFields>
  </queryTableRefresh>
</queryTable>
</file>

<file path=xl/queryTables/queryTable2.xml><?xml version="1.0" encoding="utf-8"?>
<queryTable xmlns="http://schemas.openxmlformats.org/spreadsheetml/2006/main" name="ExternalData_23" connectionId="26" autoFormatId="16" applyNumberFormats="0" applyBorderFormats="0" applyFontFormats="0" applyPatternFormats="0" applyAlignmentFormats="0" applyWidthHeightFormats="0">
  <queryTableRefresh nextId="9">
    <queryTableFields count="8">
      <queryTableField id="1" name="Project Name" tableColumnId="1"/>
      <queryTableField id="2" name="ISIN" tableColumnId="2"/>
      <queryTableField id="3" name="项目名称（集团全称）" tableColumnId="3"/>
      <queryTableField id="4" name="台账序号" tableColumnId="4"/>
      <queryTableField id="5" name="担任角色" tableColumnId="5"/>
      <queryTableField id="6" name="新规角色" tableColumnId="6"/>
      <queryTableField id="7" name="COVERAGE" tableColumnId="7"/>
      <queryTableField id="8" name="项目定价日" tableColumnId="8"/>
    </queryTableFields>
  </queryTableRefresh>
</queryTable>
</file>

<file path=xl/queryTables/queryTable3.xml><?xml version="1.0" encoding="utf-8"?>
<queryTable xmlns="http://schemas.openxmlformats.org/spreadsheetml/2006/main" name="ExternalData_24" connectionId="28" autoFormatId="16" applyNumberFormats="0" applyBorderFormats="0" applyFontFormats="0" applyPatternFormats="0" applyAlignmentFormats="0" applyWidthHeightFormats="0">
  <queryTableRefresh nextId="2">
    <queryTableFields count="1">
      <queryTableField id="1" name="DMI_NewColumn" tableColumnId="1"/>
    </queryTableFields>
  </queryTableRefresh>
</queryTable>
</file>

<file path=xl/queryTables/queryTable4.xml><?xml version="1.0" encoding="utf-8"?>
<queryTable xmlns="http://schemas.openxmlformats.org/spreadsheetml/2006/main" name="ExternalData_25" connectionId="27" autoFormatId="16" applyNumberFormats="0" applyBorderFormats="0" applyFontFormats="0" applyPatternFormats="0" applyAlignmentFormats="0" applyWidthHeightFormats="0">
  <queryTableRefresh nextId="2">
    <queryTableFields count="1">
      <queryTableField id="1" name="DMI_ChangedColumn" tableColumnId="1"/>
    </queryTableFields>
  </queryTableRefresh>
</queryTable>
</file>

<file path=xl/queryTables/queryTable5.xml><?xml version="1.0" encoding="utf-8"?>
<queryTable xmlns="http://schemas.openxmlformats.org/spreadsheetml/2006/main" name="ExternalData_19" connectionId="34" autoFormatId="16" applyNumberFormats="0" applyBorderFormats="0" applyFontFormats="0" applyPatternFormats="0" applyAlignmentFormats="0" applyWidthHeightFormats="0">
  <queryTableRefresh nextId="133">
    <queryTableFields count="20">
      <queryTableField id="1" name="定价日" tableColumnId="1"/>
      <queryTableField id="2" name="信用主体" tableColumnId="2"/>
      <queryTableField id="55" name="ESG" tableColumnId="15"/>
      <queryTableField id="12" name="IPG" tableColumnId="12"/>
      <queryTableField id="13" name="FPG" tableColumnId="13"/>
      <queryTableField id="14" name="收窄基点" tableColumnId="14"/>
      <queryTableField id="131" name="定价基准" tableColumnId="4"/>
      <queryTableField id="25" name="定价" tableColumnId="25"/>
      <queryTableField id="72" name="增发判定" tableColumnId="31"/>
      <queryTableField id="8" name="货币" tableColumnId="8"/>
      <queryTableField id="9" name="发行规模(亿)" tableColumnId="9"/>
      <queryTableField id="52" name="年期" tableColumnId="5"/>
      <queryTableField id="11" name="票息" tableColumnId="11"/>
      <queryTableField id="129" name="品种主题" tableColumnId="3"/>
      <queryTableField id="73" name="上市" tableColumnId="33"/>
      <queryTableField id="23" name="亿美元" tableColumnId="23"/>
      <queryTableField id="24" name="亿元" tableColumnId="24"/>
      <queryTableField id="84" name="亿港币" tableColumnId="21"/>
      <queryTableField id="35" name="ISIN" tableColumnId="35"/>
      <queryTableField id="49" name="Check" tableColumnId="19"/>
    </queryTableFields>
  </queryTableRefresh>
</queryTable>
</file>

<file path=xl/queryTables/queryTable6.xml><?xml version="1.0" encoding="utf-8"?>
<queryTable xmlns="http://schemas.openxmlformats.org/spreadsheetml/2006/main" name="ExternalData_2" connectionId="32" autoFormatId="16" applyNumberFormats="0" applyBorderFormats="0" applyFontFormats="0" applyPatternFormats="0" applyAlignmentFormats="0" applyWidthHeightFormats="0">
  <queryTableRefresh nextId="72">
    <queryTableFields count="14">
      <queryTableField id="69" name="信用主体" tableColumnId="4"/>
      <queryTableField id="1" name="Check" tableColumnId="1"/>
      <queryTableField id="2" name="ISIN" tableColumnId="2"/>
      <queryTableField id="3" name="定价日" tableColumnId="3"/>
      <queryTableField id="38" name="台账序号" tableColumnId="18"/>
      <queryTableField id="22" name="Project Name" tableColumnId="10"/>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31" name="IS_B&amp;D" tableColumnId="13"/>
      <queryTableField id="32" name="是否合名" tableColumnId="14"/>
    </queryTableFields>
  </queryTableRefresh>
</queryTable>
</file>

<file path=xl/queryTables/queryTable7.xml><?xml version="1.0" encoding="utf-8"?>
<queryTable xmlns="http://schemas.openxmlformats.org/spreadsheetml/2006/main" name="ExternalData_21" adjustColumnWidth="0" connectionId="33" autoFormatId="16" applyNumberFormats="0" applyBorderFormats="0" applyFontFormats="0" applyPatternFormats="0" applyAlignmentFormats="0" applyWidthHeightFormats="0">
  <queryTableRefresh nextId="9">
    <queryTableFields count="4">
      <queryTableField id="1" name="信用主体" tableColumnId="1"/>
      <queryTableField id="3" name="SHORTNAMER" tableColumnId="3"/>
      <queryTableField id="6" name="中资属性" tableColumnId="2"/>
      <queryTableField id="8" name="板块" tableColumnId="4"/>
    </queryTableFields>
  </queryTableRefresh>
</queryTable>
</file>

<file path=xl/queryTables/queryTable8.xml><?xml version="1.0" encoding="utf-8"?>
<queryTable xmlns="http://schemas.openxmlformats.org/spreadsheetml/2006/main" name="ExternalData_22" connectionId="31" autoFormatId="16" applyNumberFormats="0" applyBorderFormats="0" applyFontFormats="0" applyPatternFormats="0" applyAlignmentFormats="0" applyWidthHeightFormats="0">
  <queryTableRefresh nextId="12">
    <queryTableFields count="11">
      <queryTableField id="1" name="删除及隐藏" tableColumnId="1"/>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 tableColumnId="8"/>
      <queryTableField id="9" name="港分_ROLE" tableColumnId="9"/>
      <queryTableField id="10" name="澳分_ROLE" tableColumnId="10"/>
      <queryTableField id="11" name="Check" tableColumnId="11"/>
    </queryTableFields>
  </queryTableRefresh>
</queryTable>
</file>

<file path=xl/queryTables/queryTable9.xml><?xml version="1.0" encoding="utf-8"?>
<queryTable xmlns="http://schemas.openxmlformats.org/spreadsheetml/2006/main" name="ExternalData_23" connectionId="21" autoFormatId="16" applyNumberFormats="0" applyBorderFormats="0" applyFontFormats="0" applyPatternFormats="0" applyAlignmentFormats="0" applyWidthHeightFormats="0">
  <queryTableRefresh nextId="156">
    <queryTableFields count="108">
      <queryTableField id="1" name="Index" tableColumnId="1"/>
      <queryTableField id="2" name="IS_FIMTN" tableColumnId="2"/>
      <queryTableField id="3" name="信用主体" tableColumnId="3"/>
      <queryTableField id="4" name="行业" tableColumnId="4"/>
      <queryTableField id="5" name="ISIN" tableColumnId="5"/>
      <queryTableField id="6" name="定价日" tableColumnId="6"/>
      <queryTableField id="7" name="货币" tableColumnId="7"/>
      <queryTableField id="8" name="ESG_Source" tableColumnId="8"/>
      <queryTableField id="9" name="IPT_DMI" tableColumnId="9"/>
      <queryTableField id="10" name="FPG_DMI" tableColumnId="10"/>
      <queryTableField id="11" name="联席全球协调人" tableColumnId="11"/>
      <queryTableField id="12" name="牵头经办人" tableColumnId="12"/>
      <queryTableField id="13" name="英文简称" tableColumnId="13"/>
      <queryTableField id="14" name="临时isin" tableColumnId="14"/>
      <queryTableField id="15" name="付息频率" tableColumnId="15"/>
      <queryTableField id="16" name="维好协议提供者" tableColumnId="16"/>
      <queryTableField id="17" name="特殊条款" tableColumnId="17"/>
      <queryTableField id="18" name="债券类型" tableColumnId="18"/>
      <queryTableField id="19" name="交易状态" tableColumnId="19"/>
      <queryTableField id="20" name="利率类型" tableColumnId="20"/>
      <queryTableField id="21" name="是否存单" tableColumnId="21"/>
      <queryTableField id="22" name="是否永续债" tableColumnId="22"/>
      <queryTableField id="23" name="联席账簿管理人" tableColumnId="23"/>
      <queryTableField id="24" name="特殊条款说明" tableColumnId="24"/>
      <queryTableField id="25" name="上市日期" tableColumnId="25"/>
      <queryTableField id="26" name="定价_DMI" tableColumnId="26"/>
      <queryTableField id="27" name="发行起始日" tableColumnId="27"/>
      <queryTableField id="28" name="担保人" tableColumnId="28"/>
      <queryTableField id="29" name="发行人" tableColumnId="29"/>
      <queryTableField id="30" name="首次付息日" tableColumnId="30"/>
      <queryTableField id="31" name="计息基准" tableColumnId="31"/>
      <queryTableField id="32" name="最新票面利率" tableColumnId="32"/>
      <queryTableField id="33" name="行权兑付日" tableColumnId="33"/>
      <queryTableField id="34" name="起息日期" tableColumnId="34"/>
      <queryTableField id="35" name="债券余额" tableColumnId="35"/>
      <queryTableField id="36" name="债券最新面值" tableColumnId="36"/>
      <queryTableField id="37" name="ticker" tableColumnId="37"/>
      <queryTableField id="38" name="筹款用途" tableColumnId="38"/>
      <queryTableField id="39" name="投资者分布" tableColumnId="39"/>
      <queryTableField id="40" name="投资者类型" tableColumnId="40"/>
      <queryTableField id="41" name="投资者账户数" tableColumnId="41"/>
      <queryTableField id="42" name="评级类型" tableColumnId="42"/>
      <queryTableField id="43" name="公司类型" tableColumnId="43"/>
      <queryTableField id="44" name="剩余期限" tableColumnId="44"/>
      <queryTableField id="45" name="境内主体评级" tableColumnId="45"/>
      <queryTableField id="46" name="债项初始评级" tableColumnId="46"/>
      <queryTableField id="47" name="细分行业" tableColumnId="47"/>
      <queryTableField id="48" name="发行方式" tableColumnId="48"/>
      <queryTableField id="49" name="基金占比" tableColumnId="49"/>
      <queryTableField id="50" name="亚洲占比" tableColumnId="50"/>
      <queryTableField id="51" name="认购倍数" tableColumnId="51"/>
      <queryTableField id="52" name="认购额(亿)" tableColumnId="52"/>
      <queryTableField id="53" name="区县" tableColumnId="53"/>
      <queryTableField id="54" name="城市" tableColumnId="54"/>
      <queryTableField id="55" name="省份" tableColumnId="55"/>
      <queryTableField id="56" name="首日涨跌" tableColumnId="56"/>
      <queryTableField id="57" name="发行价" tableColumnId="57"/>
      <queryTableField id="58" name="偿还顺位" tableColumnId="58"/>
      <queryTableField id="59" name="SBLC提供者" tableColumnId="59"/>
      <queryTableField id="60" name="发行架构" tableColumnId="60"/>
      <queryTableField id="61" name="发行规则" tableColumnId="61"/>
      <queryTableField id="62" name="收窄幅度(bp)" tableColumnId="62"/>
      <queryTableField id="63" name="发行场所" tableColumnId="63"/>
      <queryTableField id="64" name="兑付日" tableColumnId="64"/>
      <queryTableField id="65" name="票息_DMI" tableColumnId="65"/>
      <queryTableField id="66" name="发行期限(年)" tableColumnId="66"/>
      <queryTableField id="67" name="发行规模(亿)" tableColumnId="67"/>
      <queryTableField id="68" name="债项评级" tableColumnId="68"/>
      <queryTableField id="69" name="主体评级展望" tableColumnId="69"/>
      <queryTableField id="70" name="穆迪/标普" tableColumnId="70"/>
      <queryTableField id="71" name="债券简称" tableColumnId="71"/>
      <queryTableField id="72" name="DataSource" tableColumnId="72"/>
      <queryTableField id="73" name="首次违约日" tableColumnId="73"/>
      <queryTableField id="74" name="IS_EXCH" tableColumnId="74"/>
      <queryTableField id="75" name="地区" tableColumnId="75"/>
      <queryTableField id="76" name="BISL_ROLE" tableColumnId="76"/>
      <queryTableField id="77" name="注册成立地" tableColumnId="77"/>
      <queryTableField id="78" name="发行人主上市地" tableColumnId="78"/>
      <queryTableField id="79" name="补充OMAS updates" tableColumnId="79"/>
      <queryTableField id="80" name="定价息差" tableColumnId="80"/>
      <queryTableField id="81" name="发行评级" tableColumnId="81"/>
      <queryTableField id="82" name="主体评级" tableColumnId="82"/>
      <queryTableField id="83" name="结构" tableColumnId="83"/>
      <queryTableField id="84" name="备证行" tableColumnId="84"/>
      <queryTableField id="90" name="增发判定" tableColumnId="90"/>
      <queryTableField id="85" name="上市" tableColumnId="85"/>
      <queryTableField id="86" name="通过分行" tableColumnId="86"/>
      <queryTableField id="147" name="YYQQ" tableColumnId="103"/>
      <queryTableField id="148" name="USD" tableColumnId="105"/>
      <queryTableField id="149" name="CNH" tableColumnId="106"/>
      <queryTableField id="150" name="HKD" tableColumnId="107"/>
      <queryTableField id="87" name="亿美元" tableColumnId="87"/>
      <queryTableField id="88" name="亿元" tableColumnId="88"/>
      <queryTableField id="89" name="亿港币" tableColumnId="89"/>
      <queryTableField id="91" name="Stats" tableColumnId="91"/>
      <queryTableField id="92" name="澳分_ROLE" tableColumnId="92"/>
      <queryTableField id="93" name="港分_ROLE" tableColumnId="93"/>
      <queryTableField id="94" name="定价基准" tableColumnId="94"/>
      <queryTableField id="95" name="收窄基点" tableColumnId="95"/>
      <queryTableField id="96" name="IPG" tableColumnId="96"/>
      <queryTableField id="97" name="FPG" tableColumnId="97"/>
      <queryTableField id="98" name="定价" tableColumnId="98"/>
      <queryTableField id="99" name="票息" tableColumnId="99"/>
      <queryTableField id="100" name="年期" tableColumnId="100"/>
      <queryTableField id="101" name="期限备注" tableColumnId="101"/>
      <queryTableField id="105" name="品种主题" tableColumnId="102"/>
      <queryTableField id="145" name="ESG" tableColumnId="124"/>
      <queryTableField id="104" name="Check" tableColumnId="104"/>
    </queryTableFields>
  </queryTableRefresh>
</queryTable>
</file>

<file path=xl/queryTables/queryTable10.xml><?xml version="1.0" encoding="utf-8"?>
<queryTable xmlns="http://schemas.openxmlformats.org/spreadsheetml/2006/main" name="ExternalData_1" connectionId="68" autoFormatId="16" applyNumberFormats="0" applyBorderFormats="0" applyFontFormats="0" applyPatternFormats="0" applyAlignmentFormats="0" applyWidthHeightFormats="0">
  <queryTableRefresh nextId="123">
    <queryTableFields count="79">
      <queryTableField id="1" name="Index" tableColumnId="1"/>
      <queryTableField id="2" name="删除及隐藏" tableColumnId="2"/>
      <queryTableField id="3" name="信用主体" tableColumnId="3"/>
      <queryTableField id="4" name="ISIN" tableColumnId="4"/>
      <queryTableField id="5" name="定价日" tableColumnId="5"/>
      <queryTableField id="6" name="发行评级" tableColumnId="6"/>
      <queryTableField id="7" name="主体评级" tableColumnId="7"/>
      <queryTableField id="8" name="境内主体评级" tableColumnId="8"/>
      <queryTableField id="9" name="货币" tableColumnId="9"/>
      <queryTableField id="10" name="发行规模(亿)" tableColumnId="10"/>
      <queryTableField id="11" name="年期" tableColumnId="11"/>
      <queryTableField id="12" name="票息" tableColumnId="12"/>
      <queryTableField id="13" name="IPG" tableColumnId="13"/>
      <queryTableField id="14" name="FPG" tableColumnId="14"/>
      <queryTableField id="15" name="定价" tableColumnId="15"/>
      <queryTableField id="16" name="收窄基点" tableColumnId="16"/>
      <queryTableField id="17" name="定价基准" tableColumnId="17"/>
      <queryTableField id="18" name="发行价" tableColumnId="18"/>
      <queryTableField id="19" name="结构" tableColumnId="19"/>
      <queryTableField id="20" name="上市" tableColumnId="20"/>
      <queryTableField id="21" name="港分_ROLE" tableColumnId="21"/>
      <queryTableField id="22" name="澳分_ROLE" tableColumnId="22"/>
      <queryTableField id="23" name="增发判定" tableColumnId="23"/>
      <queryTableField id="24" name="付息频率" tableColumnId="24"/>
      <queryTableField id="25" name="起息日期" tableColumnId="25"/>
      <queryTableField id="26" name="首次付息日" tableColumnId="26"/>
      <queryTableField id="27" name="兑付日" tableColumnId="27"/>
      <queryTableField id="28" name="亿美元" tableColumnId="28"/>
      <queryTableField id="29" name="亿元" tableColumnId="29"/>
      <queryTableField id="30" name="亿港币" tableColumnId="30"/>
      <queryTableField id="31" name="ticker" tableColumnId="31"/>
      <queryTableField id="32" name="注册成立地" tableColumnId="32"/>
      <queryTableField id="33" name="发行人主上市地" tableColumnId="33"/>
      <queryTableField id="34" name="通过分行" tableColumnId="34"/>
      <queryTableField id="35" name="发行人" tableColumnId="35"/>
      <queryTableField id="36" name="担保人" tableColumnId="36"/>
      <queryTableField id="37" name="维好协议提供者" tableColumnId="37"/>
      <queryTableField id="38" name="备证行" tableColumnId="38"/>
      <queryTableField id="39" name="ESG" tableColumnId="39"/>
      <queryTableField id="40" name="品种主题" tableColumnId="40"/>
      <queryTableField id="41" name="亮点" tableColumnId="41"/>
      <queryTableField id="42" name="期限备注" tableColumnId="42"/>
      <queryTableField id="43" name="SPECIALs" tableColumnId="43"/>
      <queryTableField id="44" name="OTHER_ISIN" tableColumnId="44"/>
      <queryTableField id="45" name="Stats" tableColumnId="45"/>
      <queryTableField id="46" name="筹款用途" tableColumnId="46"/>
      <queryTableField id="47" name="发行方式" tableColumnId="47"/>
      <queryTableField id="48" name="DataSource" tableColumnId="48"/>
      <queryTableField id="49" name="Updator" tableColumnId="49"/>
      <queryTableField id="50" name="Timestamp" tableColumnId="50"/>
      <queryTableField id="51" name="Check" tableColumnId="51"/>
      <queryTableField id="52" name="mCurated" tableColumnId="52"/>
      <queryTableField id="53" name="BISL_ROLE" tableColumnId="53"/>
      <queryTableField id="54" name="IS_LEAD" tableColumnId="54"/>
      <queryTableField id="55" name="IS_B&amp;D" tableColumnId="55"/>
      <queryTableField id="56" name="是否合名" tableColumnId="56"/>
      <queryTableField id="57" name="新规角色" tableColumnId="57"/>
      <queryTableField id="58" name="COVERAGE" tableColumnId="58"/>
      <queryTableField id="59" name="PROJECT_CODE" tableColumnId="59"/>
      <queryTableField id="60" name="期数" tableColumnId="60"/>
      <queryTableField id="61" name="台账序号" tableColumnId="61"/>
      <queryTableField id="62" name="多笔" tableColumnId="62"/>
      <queryTableField id="63" name="多币种" tableColumnId="63"/>
      <queryTableField id="64" name="多品种" tableColumnId="64"/>
      <queryTableField id="65" name="FolderPath" tableColumnId="65"/>
      <queryTableField id="107" name="IS_KYC_DONE" tableColumnId="79"/>
      <queryTableField id="66" name="PRJ对账号" tableColumnId="66"/>
      <queryTableField id="67" name="mBISL" tableColumnId="67"/>
      <queryTableField id="68" name="mChart" tableColumnId="68"/>
      <queryTableField id="109" name="信用主体简称" tableColumnId="69"/>
      <queryTableField id="70" name="板块" tableColumnId="70"/>
      <queryTableField id="71" name="中资属性" tableColumnId="71"/>
      <queryTableField id="110" name="地区" tableColumnId="72"/>
      <queryTableField id="111" name="城市" tableColumnId="73"/>
      <queryTableField id="112" name="区县" tableColumnId="74"/>
      <queryTableField id="113" name="首次违约日" tableColumnId="75"/>
      <queryTableField id="114" name="DEBUT_DATE" tableColumnId="76"/>
      <queryTableField id="115" name="行业" tableColumnId="77"/>
      <queryTableField id="78" name="mCredit" tableColumnId="78"/>
    </queryTableFields>
  </queryTableRefresh>
</queryTable>
</file>

<file path=xl/queryTables/queryTable11.xml><?xml version="1.0" encoding="utf-8"?>
<queryTable xmlns="http://schemas.openxmlformats.org/spreadsheetml/2006/main" name="ExternalData_1" connectionId="70" autoFormatId="16" applyNumberFormats="0" applyBorderFormats="0" applyFontFormats="0" applyPatternFormats="0" applyAlignmentFormats="0" applyWidthHeightFormats="0">
  <queryTableRefresh nextId="124">
    <queryTableFields count="52">
      <queryTableField id="1" name="Index" tableColumnId="1"/>
      <queryTableField id="70" name="删除及隐藏" tableColumnId="50"/>
      <queryTableField id="2" name="信用主体" tableColumnId="2"/>
      <queryTableField id="3" name="ISIN" tableColumnId="3"/>
      <queryTableField id="4" name="定价日" tableColumnId="4"/>
      <queryTableField id="5" name="发行评级" tableColumnId="5"/>
      <queryTableField id="6" name="主体评级" tableColumnId="6"/>
      <queryTableField id="7" name="境内主体评级" tableColumnId="7"/>
      <queryTableField id="8" name="货币" tableColumnId="8"/>
      <queryTableField id="9" name="发行规模(亿)" tableColumnId="9"/>
      <queryTableField id="10" name="年期" tableColumnId="10"/>
      <queryTableField id="11" name="票息" tableColumnId="11"/>
      <queryTableField id="12" name="IPG" tableColumnId="12"/>
      <queryTableField id="13" name="FPG" tableColumnId="13"/>
      <queryTableField id="14" name="定价" tableColumnId="14"/>
      <queryTableField id="15" name="收窄基点" tableColumnId="15"/>
      <queryTableField id="16" name="定价基准" tableColumnId="16"/>
      <queryTableField id="39" name="发行价" tableColumnId="18"/>
      <queryTableField id="17" name="结构" tableColumnId="17"/>
      <queryTableField id="19" name="上市" tableColumnId="19"/>
      <queryTableField id="20" name="港分_ROLE" tableColumnId="20"/>
      <queryTableField id="21" name="澳分_ROLE" tableColumnId="21"/>
      <queryTableField id="22" name="增发判定" tableColumnId="22"/>
      <queryTableField id="40" name="付息频率" tableColumnId="26"/>
      <queryTableField id="41" name="起息日期" tableColumnId="27"/>
      <queryTableField id="42" name="首次付息日" tableColumnId="39"/>
      <queryTableField id="43" name="兑付日" tableColumnId="40"/>
      <queryTableField id="23" name="亿美元" tableColumnId="23"/>
      <queryTableField id="24" name="亿元" tableColumnId="24"/>
      <queryTableField id="25" name="亿港币" tableColumnId="25"/>
      <queryTableField id="44" name="ticker" tableColumnId="41"/>
      <queryTableField id="57" name="注册成立地" tableColumnId="45"/>
      <queryTableField id="59" name="发行人主上市地" tableColumnId="46"/>
      <queryTableField id="32" name="通过分行" tableColumnId="32"/>
      <queryTableField id="45" name="发行人" tableColumnId="42"/>
      <queryTableField id="46" name="担保人" tableColumnId="43"/>
      <queryTableField id="47" name="维好协议提供者" tableColumnId="44"/>
      <queryTableField id="28" name="备证行" tableColumnId="28"/>
      <queryTableField id="29" name="ESG" tableColumnId="29"/>
      <queryTableField id="121" name="品种主题" tableColumnId="30"/>
      <queryTableField id="31" name="亮点" tableColumnId="31"/>
      <queryTableField id="33" name="期限备注" tableColumnId="33"/>
      <queryTableField id="34" name="SPECIALs" tableColumnId="34"/>
      <queryTableField id="35" name="OTHER_ISIN" tableColumnId="35"/>
      <queryTableField id="63" name="Stats" tableColumnId="47"/>
      <queryTableField id="65" name="筹款用途" tableColumnId="48"/>
      <queryTableField id="66" name="发行方式" tableColumnId="49"/>
      <queryTableField id="71" name="DataSource" tableColumnId="51"/>
      <queryTableField id="36" name="Updator" tableColumnId="36"/>
      <queryTableField id="37" name="Timestamp" tableColumnId="37"/>
      <queryTableField id="38" name="Check" tableColumnId="38"/>
      <queryTableField id="123" name="mCurated" tableColumnId="52"/>
    </queryTableFields>
  </queryTableRefresh>
</queryTable>
</file>

<file path=xl/queryTables/queryTable12.xml><?xml version="1.0" encoding="utf-8"?>
<queryTable xmlns="http://schemas.openxmlformats.org/spreadsheetml/2006/main" name="ExternalData_6" connectionId="66" autoFormatId="16" applyNumberFormats="0" applyBorderFormats="0" applyFontFormats="0" applyPatternFormats="0" applyAlignmentFormats="0" applyWidthHeightFormats="0">
  <queryTableRefresh nextId="64">
    <queryTableFields count="22">
      <queryTableField id="33" name="Index" tableColumnId="6"/>
      <queryTableField id="2" name="ISIN" tableColumnId="2"/>
      <queryTableField id="3" name="定价日" tableColumnId="3"/>
      <queryTableField id="4" name="信用主体" tableColumnId="4"/>
      <queryTableField id="5" name="BISL_ROLE" tableColumnId="5"/>
      <queryTableField id="14" name="IS_LEAD" tableColumnId="12"/>
      <queryTableField id="15" name="IS_B&amp;D" tableColumnId="14"/>
      <queryTableField id="16" name="是否合名" tableColumnId="15"/>
      <queryTableField id="10" name="新规角色" tableColumnId="10"/>
      <queryTableField id="11" name="COVERAGE" tableColumnId="11"/>
      <queryTableField id="8" name="PROJECT_CODE" tableColumnId="8"/>
      <queryTableField id="9" name="期数" tableColumnId="9"/>
      <queryTableField id="22" name="台账序号" tableColumnId="18"/>
      <queryTableField id="34" name="多笔" tableColumnId="7"/>
      <queryTableField id="35" name="多币种" tableColumnId="13"/>
      <queryTableField id="36" name="多品种" tableColumnId="16"/>
      <queryTableField id="58" name="FolderPath" tableColumnId="19"/>
      <queryTableField id="62" name="IS_KYC_DONE" tableColumnId="22"/>
      <queryTableField id="1" name="Check" tableColumnId="1"/>
      <queryTableField id="56" name="PRJ对账号" tableColumnId="17"/>
      <queryTableField id="59" name="Timestamp" tableColumnId="20"/>
      <queryTableField id="61" name="mBISL" tableColumnId="21"/>
    </queryTableFields>
  </queryTableRefresh>
</queryTable>
</file>

<file path=xl/queryTables/queryTable13.xml><?xml version="1.0" encoding="utf-8"?>
<queryTable xmlns="http://schemas.openxmlformats.org/spreadsheetml/2006/main" name="ExternalData_23" connectionId="67" autoFormatId="16" applyNumberFormats="0" applyBorderFormats="0" applyFontFormats="0" applyPatternFormats="0" applyAlignmentFormats="0" applyWidthHeightFormats="0">
  <queryTableRefresh nextId="1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6" name="发行评级" tableColumnId="6"/>
      <queryTableField id="7" name="货币" tableColumnId="7"/>
      <queryTableField id="8" name="发行规模(亿)" tableColumnId="8"/>
      <queryTableField id="9" name="亿美元" tableColumnId="9"/>
      <queryTableField id="10" name="年期" tableColumnId="10"/>
      <queryTableField id="11" name="Check" tableColumnId="11"/>
      <queryTableField id="12" name="mChart" tableColumnId="12"/>
    </queryTableFields>
  </queryTableRefresh>
</queryTable>
</file>

<file path=xl/queryTables/queryTable14.xml><?xml version="1.0" encoding="utf-8"?>
<queryTable xmlns="http://schemas.openxmlformats.org/spreadsheetml/2006/main" name="ExternalData_9" connectionId="69" autoFormatId="16" applyNumberFormats="0" applyBorderFormats="0" applyFontFormats="0" applyPatternFormats="0" applyAlignmentFormats="0" applyWidthHeightFormats="0">
  <queryTableRefresh nextId="143">
    <queryTableFields count="11">
      <queryTableField id="7" name="信用主体" tableColumnId="7"/>
      <queryTableField id="129" name="信用主体简称" tableColumnId="4"/>
      <queryTableField id="22" name="板块" tableColumnId="3"/>
      <queryTableField id="12" name="中资属性" tableColumnId="2"/>
      <queryTableField id="130" name="地区" tableColumnId="5"/>
      <queryTableField id="131" name="城市" tableColumnId="6"/>
      <queryTableField id="132" name="区县" tableColumnId="8"/>
      <queryTableField id="133" name="首次违约日" tableColumnId="9"/>
      <queryTableField id="134" name="DEBUT_DATE" tableColumnId="10"/>
      <queryTableField id="135" name="行业" tableColumnId="11"/>
      <queryTableField id="128" name="mCredit" tableColumnId="1"/>
    </queryTableFields>
  </queryTableRefresh>
</queryTable>
</file>

<file path=xl/queryTables/queryTable15.xml><?xml version="1.0" encoding="utf-8"?>
<queryTable xmlns="http://schemas.openxmlformats.org/spreadsheetml/2006/main" name="ExternalData_1" adjustColumnWidth="0" connectionId="2" autoFormatId="16" applyNumberFormats="0" applyBorderFormats="0" applyFontFormats="0" applyPatternFormats="0" applyAlignmentFormats="0" applyWidthHeightFormats="0">
  <queryTableRefresh preserveSortFilterLayout="0" nextId="11">
    <queryTableFields count="10">
      <queryTableField id="1" name="ISIN" tableColumnId="1"/>
      <queryTableField id="2" name="信用主体(备证行)" tableColumnId="2"/>
      <queryTableField id="3" name="定价日" tableColumnId="3"/>
      <queryTableField id="4" name="发行评级" tableColumnId="4"/>
      <queryTableField id="5" name="货币" tableColumnId="5"/>
      <queryTableField id="6" name="发行规模(亿)" tableColumnId="6"/>
      <queryTableField id="7" name="年期" tableColumnId="7"/>
      <queryTableField id="8" name="票息" tableColumnId="8"/>
      <queryTableField id="9" name="IPG" tableColumnId="9"/>
      <queryTableField id="10" name="收窄基点" tableColumnId="10"/>
    </queryTableFields>
  </queryTableRefresh>
</queryTable>
</file>

<file path=xl/queryTables/queryTable16.xml><?xml version="1.0" encoding="utf-8"?>
<queryTable xmlns="http://schemas.openxmlformats.org/spreadsheetml/2006/main" name="ExternalData_2" adjustColumnWidth="0" connectionId="3" autoFormatId="16" applyNumberFormats="0" applyBorderFormats="0" applyFontFormats="0" applyPatternFormats="0" applyAlignmentFormats="0" applyWidthHeightFormats="0">
  <queryTableRefresh nextId="3">
    <queryTableFields count="2">
      <queryTableField id="1" name="Column1" tableColumnId="23"/>
      <queryTableField id="2" name="Column2" tableColumnId="24"/>
    </queryTableFields>
  </queryTableRefresh>
</queryTable>
</file>

<file path=xl/queryTables/queryTable17.xml><?xml version="1.0" encoding="utf-8"?>
<queryTable xmlns="http://schemas.openxmlformats.org/spreadsheetml/2006/main" name="ExternalData_2" adjustColumnWidth="0" connectionId="73" autoFormatId="16" applyNumberFormats="0" applyBorderFormats="0" applyFontFormats="0" applyPatternFormats="0" applyAlignmentFormats="0" applyWidthHeightFormats="0">
  <queryTableRefresh nextId="3">
    <queryTableFields count="2">
      <queryTableField id="1" name="中资属性" tableColumnId="1"/>
      <queryTableField id="2" name="SortValue" tableColumnId="2"/>
    </queryTableFields>
  </queryTableRefresh>
</queryTable>
</file>

<file path=xl/queryTables/queryTable18.xml><?xml version="1.0" encoding="utf-8"?>
<queryTable xmlns="http://schemas.openxmlformats.org/spreadsheetml/2006/main" name="ExternalData_3" adjustColumnWidth="0" connectionId="5" autoFormatId="16" applyNumberFormats="0" applyBorderFormats="0" applyFontFormats="0" applyPatternFormats="0" applyAlignmentFormats="0" applyWidthHeightFormats="0">
  <queryTableRefresh nextId="3">
    <queryTableFields count="2">
      <queryTableField id="1" name="BISL_ROLE" tableColumnId="1"/>
      <queryTableField id="2" name="SortValue" tableColumnId="2"/>
    </queryTableFields>
  </queryTableRefresh>
</queryTable>
</file>

<file path=xl/queryTables/queryTable19.xml><?xml version="1.0" encoding="utf-8"?>
<queryTable xmlns="http://schemas.openxmlformats.org/spreadsheetml/2006/main" name="ExternalData_5" connectionId="65"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20.xml><?xml version="1.0" encoding="utf-8"?>
<queryTable xmlns="http://schemas.openxmlformats.org/spreadsheetml/2006/main" name="ExternalData_6" adjustColumnWidth="0" connectionId="76" autoFormatId="16" applyNumberFormats="0" applyBorderFormats="0" applyFontFormats="0" applyPatternFormats="0" applyAlignmentFormats="0" applyWidthHeightFormats="0">
  <queryTableRefresh nextId="3">
    <queryTableFields count="2">
      <queryTableField id="1" name="新规角色" tableColumnId="1"/>
      <queryTableField id="2" name="SortValue" tableColumnId="2"/>
    </queryTableFields>
  </queryTableRefresh>
</queryTable>
</file>

<file path=xl/queryTables/queryTable21.xml><?xml version="1.0" encoding="utf-8"?>
<queryTable xmlns="http://schemas.openxmlformats.org/spreadsheetml/2006/main" name="ExternalData_7" adjustColumnWidth="0" connectionId="78" autoFormatId="16" applyNumberFormats="0" applyBorderFormats="0" applyFontFormats="0" applyPatternFormats="0" applyAlignmentFormats="0" applyWidthHeightFormats="0">
  <queryTableRefresh nextId="3">
    <queryTableFields count="1">
      <queryTableField id="2" name="dd_结构" tableColumnId="1"/>
    </queryTableFields>
  </queryTableRefresh>
</queryTable>
</file>

<file path=xl/queryTables/queryTable22.xml><?xml version="1.0" encoding="utf-8"?>
<queryTable xmlns="http://schemas.openxmlformats.org/spreadsheetml/2006/main" name="ExternalData_1" adjustColumnWidth="0" connectionId="77" autoFormatId="16" applyNumberFormats="0" applyBorderFormats="0" applyFontFormats="0" applyPatternFormats="0" applyAlignmentFormats="0" applyWidthHeightFormats="0">
  <queryTableRefresh nextId="3">
    <queryTableFields count="2">
      <queryTableField id="1" name="板块" tableColumnId="1"/>
      <queryTableField id="2" name="SortValue" tableColumnId="2"/>
    </queryTableFields>
  </queryTableRefresh>
</queryTable>
</file>

<file path=xl/queryTables/queryTable23.xml><?xml version="1.0" encoding="utf-8"?>
<queryTable xmlns="http://schemas.openxmlformats.org/spreadsheetml/2006/main" name="ExternalData_8" adjustColumnWidth="0" connectionId="79" autoFormatId="16" applyNumberFormats="0" applyBorderFormats="0" applyFontFormats="0" applyPatternFormats="0" applyAlignmentFormats="0" applyWidthHeightFormats="0">
  <queryTableRefresh nextId="3">
    <queryTableFields count="2">
      <queryTableField id="1" name="货币" tableColumnId="1"/>
      <queryTableField id="2" name="SortValue" tableColumnId="2"/>
    </queryTableFields>
  </queryTableRefresh>
</queryTable>
</file>

<file path=xl/queryTables/queryTable24.xml><?xml version="1.0" encoding="utf-8"?>
<queryTable xmlns="http://schemas.openxmlformats.org/spreadsheetml/2006/main" name="ExternalData_9" adjustColumnWidth="0" connectionId="72" autoFormatId="16" applyNumberFormats="0" applyBorderFormats="0" applyFontFormats="0" applyPatternFormats="0" applyAlignmentFormats="0" applyWidthHeightFormats="0">
  <queryTableRefresh nextId="3">
    <queryTableFields count="2">
      <queryTableField id="1" name="上市分类" tableColumnId="1"/>
      <queryTableField id="2" name="SortValue" tableColumnId="2"/>
    </queryTableFields>
  </queryTableRefresh>
</queryTable>
</file>

<file path=xl/queryTables/queryTable25.xml><?xml version="1.0" encoding="utf-8"?>
<queryTable xmlns="http://schemas.openxmlformats.org/spreadsheetml/2006/main" name="ExternalData_10" connectionId="75" autoFormatId="16" applyNumberFormats="0" applyBorderFormats="0" applyFontFormats="0" applyPatternFormats="0" applyAlignmentFormats="0" applyWidthHeightFormats="0">
  <queryTableRefresh nextId="2">
    <queryTableFields count="1">
      <queryTableField id="1" name="备证行" tableColumnId="1"/>
    </queryTableFields>
  </queryTableRefresh>
</queryTable>
</file>

<file path=xl/queryTables/queryTable26.xml><?xml version="1.0" encoding="utf-8"?>
<queryTable xmlns="http://schemas.openxmlformats.org/spreadsheetml/2006/main" name="ExternalData_11" adjustColumnWidth="0" connectionId="74" autoFormatId="16" applyNumberFormats="0" applyBorderFormats="0" applyFontFormats="0" applyPatternFormats="0" applyAlignmentFormats="0" applyWidthHeightFormats="0">
  <queryTableRefresh nextId="2">
    <queryTableFields count="1">
      <queryTableField id="1" name="地区" tableColumnId="1"/>
    </queryTableFields>
  </queryTableRefresh>
</queryTable>
</file>

<file path=xl/queryTables/queryTable27.xml><?xml version="1.0" encoding="utf-8"?>
<queryTable xmlns="http://schemas.openxmlformats.org/spreadsheetml/2006/main" name="ExternalData_12" connectionId="30"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8.xml><?xml version="1.0" encoding="utf-8"?>
<queryTable xmlns="http://schemas.openxmlformats.org/spreadsheetml/2006/main" name="ExternalData_14" connectionId="19" autoFormatId="16" applyNumberFormats="0" applyBorderFormats="0" applyFontFormats="0" applyPatternFormats="0" applyAlignmentFormats="0" applyWidthHeightFormats="0">
  <queryTableRefresh nextId="2">
    <queryTableFields count="1">
      <queryTableField id="1" name="DimMonday" tableColumnId="1"/>
    </queryTableFields>
  </queryTableRefresh>
</queryTable>
</file>

<file path=xl/queryTables/queryTable29.xml><?xml version="1.0" encoding="utf-8"?>
<queryTable xmlns="http://schemas.openxmlformats.org/spreadsheetml/2006/main" name="ExternalData_15" connectionId="14" autoFormatId="16" applyNumberFormats="0" applyBorderFormats="0" applyFontFormats="0" applyPatternFormats="0" applyAlignmentFormats="0" applyWidthHeightFormats="0">
  <queryTableRefresh nextId="3">
    <queryTableFields count="2">
      <queryTableField id="1" name="ESG" tableColumnId="1"/>
      <queryTableField id="2" name="SortValue" tableColumnId="2"/>
    </queryTableFields>
  </queryTableRefresh>
</queryTable>
</file>

<file path=xl/queryTables/queryTable30.xml><?xml version="1.0" encoding="utf-8"?>
<queryTable xmlns="http://schemas.openxmlformats.org/spreadsheetml/2006/main" name="ExternalData_16" connectionId="16" autoFormatId="16" applyNumberFormats="0" applyBorderFormats="0" applyFontFormats="0" applyPatternFormats="0" applyAlignmentFormats="0" applyWidthHeightFormats="0">
  <queryTableRefresh nextId="3">
    <queryTableFields count="2">
      <queryTableField id="1" name="港分_ROLE" tableColumnId="1"/>
      <queryTableField id="2" name="SortValue" tableColumnId="2"/>
    </queryTableFields>
  </queryTableRefresh>
</queryTable>
</file>

<file path=xl/queryTables/queryTable31.xml><?xml version="1.0" encoding="utf-8"?>
<queryTable xmlns="http://schemas.openxmlformats.org/spreadsheetml/2006/main" name="ExternalData_17" connectionId="15" autoFormatId="16" applyNumberFormats="0" applyBorderFormats="0" applyFontFormats="0" applyPatternFormats="0" applyAlignmentFormats="0" applyWidthHeightFormats="0">
  <queryTableRefresh nextId="3">
    <queryTableFields count="2">
      <queryTableField id="1" name="定价基准" tableColumnId="1"/>
      <queryTableField id="2" name="SortValue" tableColumnId="2"/>
    </queryTableFields>
  </queryTableRefresh>
</queryTable>
</file>

<file path=xl/queryTables/queryTable32.xml><?xml version="1.0" encoding="utf-8"?>
<queryTable xmlns="http://schemas.openxmlformats.org/spreadsheetml/2006/main" name="ExternalData_1" adjustColumnWidth="0" connectionId="1" autoFormatId="16" applyNumberFormats="0" applyBorderFormats="0" applyFontFormats="0" applyPatternFormats="0" applyAlignmentFormats="0" applyWidthHeightFormats="0">
  <queryTableRefresh nextId="8">
    <queryTableFields count="1">
      <queryTableField id="1" name="信用主体" tableColumnId="1"/>
    </queryTableFields>
  </queryTableRefresh>
</queryTable>
</file>

<file path=xl/queryTables/queryTable33.xml><?xml version="1.0" encoding="utf-8"?>
<queryTable xmlns="http://schemas.openxmlformats.org/spreadsheetml/2006/main" name="ExternalData_16" connectionId="24" autoFormatId="16" applyNumberFormats="0" applyBorderFormats="0" applyFontFormats="0" applyPatternFormats="0" applyAlignmentFormats="0" applyWidthHeightFormats="0">
  <queryTableRefresh nextId="844">
    <queryTableFields count="74">
      <queryTableField id="1" name="信用主体" tableColumnId="1"/>
      <queryTableField id="384" name="英文简称" tableColumnId="24"/>
      <queryTableField id="9" name="ISIN" tableColumnId="9"/>
      <queryTableField id="12" name="定价日" tableColumnId="12"/>
      <queryTableField id="485" name="临时isin" tableColumnId="72"/>
      <queryTableField id="58" name="付息频率" tableColumnId="58"/>
      <queryTableField id="59" name="维好协议提供者" tableColumnId="59"/>
      <queryTableField id="57" name="特殊条款" tableColumnId="57"/>
      <queryTableField id="56" name="债券类型" tableColumnId="56"/>
      <queryTableField id="55" name="交易状态" tableColumnId="55"/>
      <queryTableField id="54" name="利率类型" tableColumnId="54"/>
      <queryTableField id="53" name="是否存单" tableColumnId="53"/>
      <queryTableField id="52" name="是否永续债" tableColumnId="52"/>
      <queryTableField id="68" name="联席账簿管理人" tableColumnId="68"/>
      <queryTableField id="51" name="牵头经办人" tableColumnId="51"/>
      <queryTableField id="50" name="特殊条款说明" tableColumnId="50"/>
      <queryTableField id="49" name="上市日期" tableColumnId="49"/>
      <queryTableField id="67" name="定价_DMI" tableColumnId="67"/>
      <queryTableField id="48" name="发行起始日" tableColumnId="48"/>
      <queryTableField id="47" name="担保人" tableColumnId="47"/>
      <queryTableField id="46" name="发行人" tableColumnId="46"/>
      <queryTableField id="45" name="首次付息日" tableColumnId="45"/>
      <queryTableField id="44" name="计息基准" tableColumnId="44"/>
      <queryTableField id="43" name="最新票面利率" tableColumnId="43"/>
      <queryTableField id="42" name="行权兑付日" tableColumnId="42"/>
      <queryTableField id="41" name="起息日期" tableColumnId="41"/>
      <queryTableField id="40" name="债券余额" tableColumnId="40"/>
      <queryTableField id="39" name="债券最新面值" tableColumnId="39"/>
      <queryTableField id="38" name="ticker" tableColumnId="38"/>
      <queryTableField id="66" name="筹款用途" tableColumnId="66"/>
      <queryTableField id="65" name="投资者分布" tableColumnId="65"/>
      <queryTableField id="64" name="投资者类型" tableColumnId="64"/>
      <queryTableField id="63" name="投资者账户数" tableColumnId="63"/>
      <queryTableField id="11" name="评级类型" tableColumnId="11"/>
      <queryTableField id="2" name="公司类型" tableColumnId="2"/>
      <queryTableField id="62" name="剩余期限" tableColumnId="62"/>
      <queryTableField id="3" name="行业" tableColumnId="3"/>
      <queryTableField id="17" name="境内主体评级" tableColumnId="17"/>
      <queryTableField id="16" name="债项初始评级" tableColumnId="16"/>
      <queryTableField id="10" name="主题债券" tableColumnId="10"/>
      <queryTableField id="4" name="细分行业" tableColumnId="4"/>
      <queryTableField id="23" name="发行方式" tableColumnId="23"/>
      <queryTableField id="37" name="联席全球协调人" tableColumnId="37"/>
      <queryTableField id="36" name="基金占比" tableColumnId="36"/>
      <queryTableField id="35" name="亚洲占比" tableColumnId="35"/>
      <queryTableField id="34" name="认购倍数" tableColumnId="34"/>
      <queryTableField id="33" name="认购额(亿)" tableColumnId="33"/>
      <queryTableField id="7" name="区县" tableColumnId="7"/>
      <queryTableField id="6" name="城市" tableColumnId="6"/>
      <queryTableField id="5" name="省份" tableColumnId="5"/>
      <queryTableField id="32" name="首日涨跌" tableColumnId="32"/>
      <queryTableField id="30" name="发行价" tableColumnId="30"/>
      <queryTableField id="26" name="偿还顺位" tableColumnId="26"/>
      <queryTableField id="25" name="SBLC提供者" tableColumnId="25"/>
      <queryTableField id="78" name="发行架构" tableColumnId="69"/>
      <queryTableField id="484" name="发行规则" tableColumnId="71"/>
      <queryTableField id="22" name="收窄幅度(bp)" tableColumnId="22"/>
      <queryTableField id="21" name="FPG_DMI" tableColumnId="21"/>
      <queryTableField id="20" name="IPT_DMI" tableColumnId="20"/>
      <queryTableField id="31" name="发行场所" tableColumnId="31"/>
      <queryTableField id="19" name="兑付日" tableColumnId="19"/>
      <queryTableField id="504" name="票息_DMI" tableColumnId="18"/>
      <queryTableField id="28" name="货币" tableColumnId="28"/>
      <queryTableField id="29" name="发行期限(年)" tableColumnId="29"/>
      <queryTableField id="27" name="发行规模(亿)" tableColumnId="27"/>
      <queryTableField id="15" name="债项评级" tableColumnId="15"/>
      <queryTableField id="14" name="主体评级展望" tableColumnId="14"/>
      <queryTableField id="13" name="穆迪/标普" tableColumnId="13"/>
      <queryTableField id="8" name="债券简称" tableColumnId="8"/>
      <queryTableField id="510" name="DataSource" tableColumnId="73"/>
      <queryTableField id="579" name="首次违约日" tableColumnId="70"/>
      <queryTableField id="580" name="IS_EXCH" tableColumnId="74"/>
      <queryTableField id="60" name="地区" tableColumnId="60"/>
      <queryTableField id="61" name="Check" tableColumnId="61"/>
    </queryTableFields>
  </queryTableRefresh>
</queryTable>
</file>

<file path=xl/queryTables/queryTable34.xml><?xml version="1.0" encoding="utf-8"?>
<queryTable xmlns="http://schemas.openxmlformats.org/spreadsheetml/2006/main" name="ExternalData_1" connectionId="22" autoFormatId="16" applyNumberFormats="0" applyBorderFormats="0" applyFontFormats="0" applyPatternFormats="0" applyAlignmentFormats="0" applyWidthHeightFormats="0">
  <queryTableRefresh nextId="109">
    <queryTableFields count="25">
      <queryTableField id="2" name="定价日" tableColumnId="2"/>
      <queryTableField id="3" name="ISIN" tableColumnId="3"/>
      <queryTableField id="19" name="信用主体" tableColumnId="14"/>
      <queryTableField id="4" name="补充OMAS updates" tableColumnId="4"/>
      <queryTableField id="5" name="发行评级" tableColumnId="5"/>
      <queryTableField id="85" name="注册成立地" tableColumnId="12"/>
      <queryTableField id="15" name="发行人主上市地" tableColumnId="13"/>
      <queryTableField id="7" name="主体评级" tableColumnId="7"/>
      <queryTableField id="8" name="定价息差" tableColumnId="8"/>
      <queryTableField id="107" name="浮息息差" tableColumnId="9"/>
      <queryTableField id="21" name="发行人" tableColumnId="16"/>
      <queryTableField id="22" name="担保人" tableColumnId="17"/>
      <queryTableField id="23" name="维好协议提供者" tableColumnId="18"/>
      <queryTableField id="24" name="起息日期" tableColumnId="19"/>
      <queryTableField id="25" name="兑付日" tableColumnId="20"/>
      <queryTableField id="26" name="行权兑付日" tableColumnId="21"/>
      <queryTableField id="27" name="票息" tableColumnId="22"/>
      <queryTableField id="28" name="货币" tableColumnId="23"/>
      <queryTableField id="87" name="发行价" tableColumnId="29"/>
      <queryTableField id="29" name="发行规模(亿)" tableColumnId="24"/>
      <queryTableField id="67" name="Parent company tiker" tableColumnId="15"/>
      <queryTableField id="68" name="Parent Company 评级" tableColumnId="25"/>
      <queryTableField id="103" name="ESG_Indicator" tableColumnId="1"/>
      <queryTableField id="105" name="SBLC_Provider_Name" tableColumnId="6"/>
      <queryTableField id="10" name="Check"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66.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69.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70.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7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75.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76.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table1.xml><?xml version="1.0" encoding="utf-8"?>
<table xmlns="http://schemas.openxmlformats.org/spreadsheetml/2006/main" id="14" name="DLD_Conso" displayName="DLD_Conso" ref="J15:CO31" tableType="queryTable" totalsRowShown="0" headerRowDxfId="590" dataDxfId="589">
  <autoFilter ref="J15:CO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autoFilter>
  <tableColumns count="84">
    <tableColumn id="67" uniqueName="67" name="Index" queryTableFieldId="107" dataDxfId="588"/>
    <tableColumn id="81" uniqueName="81" name="IS_FIMTN" queryTableFieldId="629" dataDxfId="587"/>
    <tableColumn id="1" uniqueName="1" name="信用主体" queryTableFieldId="1" dataDxfId="586"/>
    <tableColumn id="3" uniqueName="3" name="行业" queryTableFieldId="3" dataDxfId="585"/>
    <tableColumn id="9" uniqueName="9" name="ISIN" queryTableFieldId="9" dataDxfId="584"/>
    <tableColumn id="12" uniqueName="12" name="定价日" queryTableFieldId="12" dataDxfId="583"/>
    <tableColumn id="27" uniqueName="27" name="货币" queryTableFieldId="27" dataDxfId="582"/>
    <tableColumn id="10" uniqueName="10" name="主题债券" queryTableFieldId="10" dataDxfId="581"/>
    <tableColumn id="20" uniqueName="20" name="IPT_DMI" queryTableFieldId="98" dataDxfId="580"/>
    <tableColumn id="21" uniqueName="21" name="FPG_DMI" queryTableFieldId="99" dataDxfId="579"/>
    <tableColumn id="36" uniqueName="36" name="联席全球协调人" queryTableFieldId="36" dataDxfId="578"/>
    <tableColumn id="50" uniqueName="50" name="牵头经办人" queryTableFieldId="50" dataDxfId="577"/>
    <tableColumn id="23" uniqueName="23" name="英文简称" queryTableFieldId="450" dataDxfId="576"/>
    <tableColumn id="83" uniqueName="83" name="临时isin" queryTableFieldId="553" dataDxfId="575"/>
    <tableColumn id="57" uniqueName="57" name="付息频率" queryTableFieldId="57" dataDxfId="574"/>
    <tableColumn id="58" uniqueName="58" name="维好协议提供者" queryTableFieldId="58" dataDxfId="573"/>
    <tableColumn id="56" uniqueName="56" name="特殊条款" queryTableFieldId="56" dataDxfId="572"/>
    <tableColumn id="55" uniqueName="55" name="债券类型" queryTableFieldId="55" dataDxfId="571"/>
    <tableColumn id="54" uniqueName="54" name="交易状态" queryTableFieldId="54" dataDxfId="570"/>
    <tableColumn id="53" uniqueName="53" name="利率类型" queryTableFieldId="53" dataDxfId="569"/>
    <tableColumn id="52" uniqueName="52" name="是否存单" queryTableFieldId="52" dataDxfId="568"/>
    <tableColumn id="51" uniqueName="51" name="是否永续债" queryTableFieldId="51" dataDxfId="567"/>
    <tableColumn id="78" uniqueName="78" name="联席账簿管理人" queryTableFieldId="128" dataDxfId="566"/>
    <tableColumn id="49" uniqueName="49" name="特殊条款说明" queryTableFieldId="49" dataDxfId="565"/>
    <tableColumn id="48" uniqueName="48" name="上市日期" queryTableFieldId="48" dataDxfId="564"/>
    <tableColumn id="77" uniqueName="77" name="定价_DMI" queryTableFieldId="136" dataDxfId="563"/>
    <tableColumn id="47" uniqueName="47" name="发行起始日" queryTableFieldId="47" dataDxfId="562"/>
    <tableColumn id="46" uniqueName="46" name="担保人" queryTableFieldId="46" dataDxfId="561"/>
    <tableColumn id="45" uniqueName="45" name="发行人" queryTableFieldId="45" dataDxfId="560"/>
    <tableColumn id="44" uniqueName="44" name="首次付息日" queryTableFieldId="44" dataDxfId="559"/>
    <tableColumn id="43" uniqueName="43" name="计息基准" queryTableFieldId="43" dataDxfId="558"/>
    <tableColumn id="42" uniqueName="42" name="最新票面利率" queryTableFieldId="42" dataDxfId="557"/>
    <tableColumn id="41" uniqueName="41" name="行权兑付日" queryTableFieldId="41" dataDxfId="556"/>
    <tableColumn id="40" uniqueName="40" name="起息日期" queryTableFieldId="40" dataDxfId="555"/>
    <tableColumn id="39" uniqueName="39" name="债券余额" queryTableFieldId="39" dataDxfId="554"/>
    <tableColumn id="38" uniqueName="38" name="债券最新面值" queryTableFieldId="38" dataDxfId="553"/>
    <tableColumn id="37" uniqueName="37" name="TICKER" queryTableFieldId="37" dataDxfId="552"/>
    <tableColumn id="76" uniqueName="76" name="筹款用途" queryTableFieldId="126" dataDxfId="551"/>
    <tableColumn id="75" uniqueName="75" name="投资者分布" queryTableFieldId="125" dataDxfId="550"/>
    <tableColumn id="74" uniqueName="74" name="投资者类型" queryTableFieldId="124" dataDxfId="549"/>
    <tableColumn id="73" uniqueName="73" name="投资者账户数" queryTableFieldId="123" dataDxfId="548"/>
    <tableColumn id="11" uniqueName="11" name="评级类型" queryTableFieldId="11" dataDxfId="547"/>
    <tableColumn id="2" uniqueName="2" name="公司类型" queryTableFieldId="2" dataDxfId="546"/>
    <tableColumn id="70" uniqueName="70" name="剩余期限" queryTableFieldId="122" dataDxfId="545"/>
    <tableColumn id="17" uniqueName="17" name="境内主体评级" queryTableFieldId="17" dataDxfId="544"/>
    <tableColumn id="16" uniqueName="16" name="债项初始评级" queryTableFieldId="16" dataDxfId="543"/>
    <tableColumn id="4" uniqueName="4" name="细分行业" queryTableFieldId="4" dataDxfId="542"/>
    <tableColumn id="72" uniqueName="72" name="发行方式" queryTableFieldId="93" dataDxfId="541"/>
    <tableColumn id="35" uniqueName="35" name="基金占比" queryTableFieldId="35" dataDxfId="540"/>
    <tableColumn id="34" uniqueName="34" name="亚洲占比" queryTableFieldId="34" dataDxfId="539"/>
    <tableColumn id="33" uniqueName="33" name="认购倍数" queryTableFieldId="33" dataDxfId="538"/>
    <tableColumn id="32" uniqueName="32" name="认购额(亿)" queryTableFieldId="32" dataDxfId="537"/>
    <tableColumn id="7" uniqueName="7" name="区县" queryTableFieldId="7" dataDxfId="536"/>
    <tableColumn id="6" uniqueName="6" name="城市" queryTableFieldId="6" dataDxfId="535"/>
    <tableColumn id="5" uniqueName="5" name="省份" queryTableFieldId="5" dataDxfId="534"/>
    <tableColumn id="31" uniqueName="31" name="首日涨跌" queryTableFieldId="31" dataDxfId="533"/>
    <tableColumn id="29" uniqueName="29" name="发行价" queryTableFieldId="29" dataDxfId="532"/>
    <tableColumn id="25" uniqueName="25" name="偿还顺位" queryTableFieldId="25" dataDxfId="531"/>
    <tableColumn id="24" uniqueName="24" name="SBLC提供者" queryTableFieldId="24" dataDxfId="530"/>
    <tableColumn id="62" uniqueName="62" name="发行架构" queryTableFieldId="144" dataDxfId="529"/>
    <tableColumn id="82" uniqueName="82" name="发行规则" queryTableFieldId="552" dataDxfId="528"/>
    <tableColumn id="22" uniqueName="22" name="收窄幅度(bp)" queryTableFieldId="22" dataDxfId="527"/>
    <tableColumn id="30" uniqueName="30" name="发行场所" queryTableFieldId="30" dataDxfId="526"/>
    <tableColumn id="19" uniqueName="19" name="兑付日" queryTableFieldId="19" dataDxfId="525"/>
    <tableColumn id="18" uniqueName="18" name="票息_DMI" queryTableFieldId="587" dataDxfId="524"/>
    <tableColumn id="28" uniqueName="28" name="发行期限(年)" queryTableFieldId="28" dataDxfId="523"/>
    <tableColumn id="26" uniqueName="26" name="发行规模(亿)" queryTableFieldId="26" dataDxfId="522"/>
    <tableColumn id="15" uniqueName="15" name="债项评级" queryTableFieldId="15" dataDxfId="521"/>
    <tableColumn id="14" uniqueName="14" name="主体评级展望" queryTableFieldId="14" dataDxfId="520"/>
    <tableColumn id="13" uniqueName="13" name="穆迪/标普" queryTableFieldId="13" dataDxfId="519"/>
    <tableColumn id="8" uniqueName="8" name="债券简称" queryTableFieldId="8" dataDxfId="518"/>
    <tableColumn id="88" uniqueName="88" name="DataSource" queryTableFieldId="591" dataDxfId="517"/>
    <tableColumn id="60" uniqueName="60" name="首次违约日" queryTableFieldId="620" dataDxfId="516"/>
    <tableColumn id="61" uniqueName="61" name="IS_EXCH" queryTableFieldId="621" dataDxfId="515"/>
    <tableColumn id="71" uniqueName="71" name="地区" queryTableFieldId="91" dataDxfId="514"/>
    <tableColumn id="69" uniqueName="69" name="BISL_ROLE" queryTableFieldId="628" dataDxfId="513"/>
    <tableColumn id="79" uniqueName="79" name="注册成立地" queryTableFieldId="140" dataDxfId="512"/>
    <tableColumn id="80" uniqueName="80" name="发行人主上市地" queryTableFieldId="507" dataDxfId="511"/>
    <tableColumn id="63" uniqueName="63" name="补充OMAS updates" queryTableFieldId="111" dataDxfId="510"/>
    <tableColumn id="65" uniqueName="65" name="定价息差" queryTableFieldId="112" dataDxfId="509"/>
    <tableColumn id="66" uniqueName="66" name="发行评级" queryTableFieldId="113" dataDxfId="508"/>
    <tableColumn id="68" uniqueName="68" name="主体评级" queryTableFieldId="114" dataDxfId="507"/>
    <tableColumn id="64" uniqueName="64" name="ESG_Indicator" queryTableFieldId="622" dataDxfId="506"/>
    <tableColumn id="59" uniqueName="59" name="Check" queryTableFieldId="59" dataDxfId="505"/>
  </tableColumns>
  <tableStyleInfo name="Qry Load" showFirstColumn="0" showLastColumn="0" showRowStripes="0" showColumnStripes="0"/>
</table>
</file>

<file path=xl/tables/table2.xml><?xml version="1.0" encoding="utf-8"?>
<table xmlns="http://schemas.openxmlformats.org/spreadsheetml/2006/main" id="33" name="Dimtbl" displayName="Dimtbl" ref="A3:C12" totalsRowShown="0" headerRowDxfId="504" dataDxfId="503">
  <autoFilter ref="A3:C12">
    <filterColumn colId="0" hiddenButton="1"/>
    <filterColumn colId="1" hiddenButton="1"/>
    <filterColumn colId="2" hiddenButton="1"/>
  </autoFilter>
  <tableColumns count="3">
    <tableColumn id="2" name="Index" dataDxfId="502"/>
    <tableColumn id="4" name="Parameter" dataDxfId="501"/>
    <tableColumn id="5" name="Value" dataDxfId="500"/>
  </tableColumns>
  <tableStyleInfo name="Blank" showFirstColumn="0" showLastColumn="0" showRowStripes="1" showColumnStripes="0"/>
</table>
</file>

<file path=xl/tables/table3.xml><?xml version="1.0" encoding="utf-8"?>
<table xmlns="http://schemas.openxmlformats.org/spreadsheetml/2006/main" id="7" name="DLD_QRC_23" displayName="DLD_QRC_23" ref="CT15:DA16" tableType="queryTable" totalsRowShown="0">
  <autoFilter ref="CT15:DA16"/>
  <tableColumns count="8">
    <tableColumn id="1" uniqueName="1" name="Project Name" queryTableFieldId="1"/>
    <tableColumn id="2" uniqueName="2" name="ISIN" queryTableFieldId="2"/>
    <tableColumn id="3" uniqueName="3" name="项目名称（集团全称）" queryTableFieldId="3"/>
    <tableColumn id="4" uniqueName="4" name="台账序号" queryTableFieldId="4"/>
    <tableColumn id="5" uniqueName="5" name="担任角色" queryTableFieldId="5" dataDxfId="499"/>
    <tableColumn id="6" uniqueName="6" name="新规角色" queryTableFieldId="6"/>
    <tableColumn id="7" uniqueName="7" name="COVERAGE" queryTableFieldId="7" dataDxfId="498"/>
    <tableColumn id="8" uniqueName="8" name="项目定价日" queryTableFieldId="8" dataDxfId="497"/>
  </tableColumns>
  <tableStyleInfo name="Qry Load" showFirstColumn="0" showLastColumn="0" showRowStripes="1" showColumnStripes="0"/>
</table>
</file>

<file path=xl/tables/table4.xml><?xml version="1.0" encoding="utf-8"?>
<table xmlns="http://schemas.openxmlformats.org/spreadsheetml/2006/main" id="13" name="DMI_NewColumn" displayName="DMI_NewColumn" ref="H15:H17" tableType="queryTable" totalsRowShown="0">
  <autoFilter ref="H15:H17">
    <filterColumn colId="0" hiddenButton="1"/>
  </autoFilter>
  <tableColumns count="1">
    <tableColumn id="1" uniqueName="1" name="DMI_NewColumn" queryTableFieldId="1"/>
  </tableColumns>
  <tableStyleInfo name="Qry Load" showFirstColumn="0" showLastColumn="0" showRowStripes="1" showColumnStripes="0"/>
</table>
</file>

<file path=xl/tables/table5.xml><?xml version="1.0" encoding="utf-8"?>
<table xmlns="http://schemas.openxmlformats.org/spreadsheetml/2006/main" id="43" name="DMI_ChangedColumn" displayName="DMI_ChangedColumn" ref="H23:H25" tableType="queryTable" totalsRowShown="0" dataDxfId="496">
  <autoFilter ref="H23:H25">
    <filterColumn colId="0" hiddenButton="1"/>
  </autoFilter>
  <tableColumns count="1">
    <tableColumn id="1" uniqueName="1" name="DMI_ChangedColumn" queryTableFieldId="1" dataDxfId="495"/>
  </tableColumns>
  <tableStyleInfo name="Qry Load" showFirstColumn="0" showLastColumn="0" showRowStripes="1" showColumnStripes="0"/>
</table>
</file>

<file path=xl/tables/table6.xml><?xml version="1.0" encoding="utf-8"?>
<table xmlns="http://schemas.openxmlformats.org/spreadsheetml/2006/main" id="47" name="ForReview_wCurated" displayName="ForReview_wCurated" ref="P5:AI15" tableType="queryTable" totalsRowShown="0">
  <autoFilter ref="P5:AI15">
    <filterColumn colId="0" hiddenButton="1"/>
    <filterColumn colId="1" hiddenButton="1"/>
    <filterColumn colId="2" hiddenButton="1"/>
    <filterColumn colId="3" hiddenButton="1"/>
    <filterColumn colId="4" hiddenButton="1"/>
    <filterColumn colId="5"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uniqueName="1" name="定价日" queryTableFieldId="1" dataDxfId="493"/>
    <tableColumn id="2" uniqueName="2" name="信用主体" queryTableFieldId="2" dataDxfId="492"/>
    <tableColumn id="15" uniqueName="15" name="ESG" queryTableFieldId="55" dataDxfId="491"/>
    <tableColumn id="12" uniqueName="12" name="IPG" queryTableFieldId="12" dataDxfId="490"/>
    <tableColumn id="13" uniqueName="13" name="FPG" queryTableFieldId="13" dataDxfId="489"/>
    <tableColumn id="14" uniqueName="14" name="收窄基点" queryTableFieldId="14" dataDxfId="488"/>
    <tableColumn id="4" uniqueName="4" name="定价基准" queryTableFieldId="131"/>
    <tableColumn id="25" uniqueName="25" name="定价" queryTableFieldId="25" dataDxfId="487"/>
    <tableColumn id="31" uniqueName="31" name="增发判定" queryTableFieldId="72" dataDxfId="486"/>
    <tableColumn id="8" uniqueName="8" name="货币" queryTableFieldId="8" dataDxfId="485"/>
    <tableColumn id="9" uniqueName="9" name="发行规模(亿)" queryTableFieldId="9" dataDxfId="484"/>
    <tableColumn id="5" uniqueName="5" name="年期" queryTableFieldId="52" dataDxfId="483"/>
    <tableColumn id="11" uniqueName="11" name="票息" queryTableFieldId="11" dataDxfId="482"/>
    <tableColumn id="3" uniqueName="3" name="品种主题" queryTableFieldId="129"/>
    <tableColumn id="33" uniqueName="33" name="上市" queryTableFieldId="73" dataDxfId="481"/>
    <tableColumn id="23" uniqueName="23" name="亿美元" queryTableFieldId="23" dataDxfId="480"/>
    <tableColumn id="24" uniqueName="24" name="亿元" queryTableFieldId="24" dataDxfId="479"/>
    <tableColumn id="21" uniqueName="21" name="亿港币" queryTableFieldId="84" dataDxfId="478"/>
    <tableColumn id="35" uniqueName="35" name="ISIN" queryTableFieldId="35" dataDxfId="477"/>
    <tableColumn id="19" uniqueName="19" name="Check" queryTableFieldId="49" dataDxfId="476"/>
  </tableColumns>
  <tableStyleInfo name="Qry Load" showFirstColumn="0" showLastColumn="0" showRowStripes="1" showColumnStripes="0"/>
</table>
</file>

<file path=xl/tables/table7.xml><?xml version="1.0" encoding="utf-8"?>
<table xmlns="http://schemas.openxmlformats.org/spreadsheetml/2006/main" id="19" name="ForReview_wBOCOM" displayName="ForReview_wBOCOM" ref="AO5:BB6" tableType="queryTable" totalsRowShown="0">
  <autoFilter ref="AO5:BB6">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4" uniqueName="4" name="信用主体" queryTableFieldId="69" dataDxfId="475"/>
    <tableColumn id="1" uniqueName="1" name="Check" queryTableFieldId="1" dataDxfId="474"/>
    <tableColumn id="2" uniqueName="2" name="ISIN" queryTableFieldId="2" dataDxfId="473"/>
    <tableColumn id="3" uniqueName="3" name="定价日" queryTableFieldId="3" dataDxfId="472"/>
    <tableColumn id="18" uniqueName="18" name="台账序号" queryTableFieldId="38" dataDxfId="471"/>
    <tableColumn id="10" uniqueName="10" name="Project Name" queryTableFieldId="22" dataDxfId="470"/>
    <tableColumn id="8" uniqueName="8" name="COVERAGE" queryTableFieldId="16" dataDxfId="469"/>
    <tableColumn id="12" uniqueName="12" name="新规角色" queryTableFieldId="12" dataDxfId="468"/>
    <tableColumn id="9" uniqueName="9" name="PROJECT_CODE" queryTableFieldId="17" dataDxfId="467"/>
    <tableColumn id="15" uniqueName="15" name="期数" queryTableFieldId="15" dataDxfId="466"/>
    <tableColumn id="5" uniqueName="5" name="BISL_ROLE" queryTableFieldId="5" dataDxfId="465"/>
    <tableColumn id="11" uniqueName="11" name="IS_LEAD" queryTableFieldId="30" dataDxfId="464"/>
    <tableColumn id="13" uniqueName="13" name="IS_B&amp;D" queryTableFieldId="31" dataDxfId="463"/>
    <tableColumn id="14" uniqueName="14" name="是否合名" queryTableFieldId="32" dataDxfId="462"/>
  </tableColumns>
  <tableStyleInfo name="Qry Load 4" showFirstColumn="0" showLastColumn="0" showRowStripes="1" showColumnStripes="0"/>
</table>
</file>

<file path=xl/tables/table8.xml><?xml version="1.0" encoding="utf-8"?>
<table xmlns="http://schemas.openxmlformats.org/spreadsheetml/2006/main" id="15" name="ForReview_wCredit" displayName="ForReview_wCredit" ref="BH5:BK6" tableType="queryTable" insertRow="1" totalsRowShown="0">
  <autoFilter ref="BH5:BK6">
    <filterColumn colId="0" hiddenButton="1"/>
    <filterColumn colId="1" hiddenButton="1"/>
    <filterColumn colId="2" hiddenButton="1"/>
    <filterColumn colId="3" hiddenButton="1"/>
  </autoFilter>
  <tableColumns count="4">
    <tableColumn id="1" uniqueName="1" name="信用主体" queryTableFieldId="1"/>
    <tableColumn id="3" uniqueName="3" name="SHORTNAMER" queryTableFieldId="3"/>
    <tableColumn id="2" uniqueName="2" name="中资属性" queryTableFieldId="6"/>
    <tableColumn id="4" uniqueName="4" name="板块" queryTableFieldId="8"/>
  </tableColumns>
  <tableStyleInfo name="review 2" showFirstColumn="0" showLastColumn="0" showRowStripes="1" showColumnStripes="0"/>
</table>
</file>

<file path=xl/tables/table9.xml><?xml version="1.0" encoding="utf-8"?>
<table xmlns="http://schemas.openxmlformats.org/spreadsheetml/2006/main" id="40" name="ForReview_Issuer" displayName="ForReview_Issuer" ref="B5:L15" tableType="queryTable" totalsRowShown="0">
  <autoFilter ref="B5:L15"/>
  <tableColumns count="11">
    <tableColumn id="1" uniqueName="1" name="删除及隐藏" queryTableFieldId="1" dataDxfId="461"/>
    <tableColumn id="2" uniqueName="2" name="ISIN" queryTableFieldId="2" dataDxfId="460"/>
    <tableColumn id="3" uniqueName="3" name="定价日" queryTableFieldId="3" dataDxfId="459"/>
    <tableColumn id="4" uniqueName="4" name="信用主体" queryTableFieldId="4" dataDxfId="458"/>
    <tableColumn id="5" uniqueName="5" name="发行评级" queryTableFieldId="5" dataDxfId="457"/>
    <tableColumn id="6" uniqueName="6" name="主体评级" queryTableFieldId="6" dataDxfId="456"/>
    <tableColumn id="7" uniqueName="7" name="结构" queryTableFieldId="7" dataDxfId="455"/>
    <tableColumn id="8" uniqueName="8" name="备证行" queryTableFieldId="8" dataDxfId="454"/>
    <tableColumn id="9" uniqueName="9" name="港分_ROLE" queryTableFieldId="9" dataDxfId="453"/>
    <tableColumn id="10" uniqueName="10" name="澳分_ROLE" queryTableFieldId="10" dataDxfId="452"/>
    <tableColumn id="11" uniqueName="11" name="Check" queryTableFieldId="11" dataDxfId="451"/>
  </tableColumns>
  <tableStyleInfo name="Qry Load" showFirstColumn="0" showLastColumn="0" showRowStripes="1" showColumnStripes="0"/>
</table>
</file>

<file path=xl/tables/table10.xml><?xml version="1.0" encoding="utf-8"?>
<table xmlns="http://schemas.openxmlformats.org/spreadsheetml/2006/main" id="59" name="DLD_Add" displayName="DLD_Add" ref="A6:DD22" tableType="queryTable" totalsRowShown="0">
  <autoFilter ref="A6:DD22"/>
  <tableColumns count="108">
    <tableColumn id="1" uniqueName="1" name="Index" queryTableFieldId="1" dataDxfId="450"/>
    <tableColumn id="2" uniqueName="2" name="IS_FIMTN" queryTableFieldId="2" dataDxfId="449"/>
    <tableColumn id="3" uniqueName="3" name="信用主体" queryTableFieldId="3" dataDxfId="448"/>
    <tableColumn id="4" uniqueName="4" name="行业" queryTableFieldId="4" dataDxfId="447"/>
    <tableColumn id="5" uniqueName="5" name="ISIN" queryTableFieldId="5" dataDxfId="446"/>
    <tableColumn id="6" uniqueName="6" name="定价日" queryTableFieldId="6" dataDxfId="445"/>
    <tableColumn id="7" uniqueName="7" name="货币" queryTableFieldId="7" dataDxfId="444"/>
    <tableColumn id="8" uniqueName="8" name="ESG_Source" queryTableFieldId="8" dataDxfId="443"/>
    <tableColumn id="9" uniqueName="9" name="IPT_DMI" queryTableFieldId="9" dataDxfId="442"/>
    <tableColumn id="10" uniqueName="10" name="FPG_DMI" queryTableFieldId="10" dataDxfId="441"/>
    <tableColumn id="11" uniqueName="11" name="联席全球协调人" queryTableFieldId="11" dataDxfId="440"/>
    <tableColumn id="12" uniqueName="12" name="牵头经办人" queryTableFieldId="12" dataDxfId="439"/>
    <tableColumn id="13" uniqueName="13" name="英文简称" queryTableFieldId="13" dataDxfId="438"/>
    <tableColumn id="14" uniqueName="14" name="临时isin" queryTableFieldId="14" dataDxfId="437"/>
    <tableColumn id="15" uniqueName="15" name="付息频率" queryTableFieldId="15" dataDxfId="436"/>
    <tableColumn id="16" uniqueName="16" name="维好协议提供者" queryTableFieldId="16" dataDxfId="435"/>
    <tableColumn id="17" uniqueName="17" name="特殊条款" queryTableFieldId="17" dataDxfId="434"/>
    <tableColumn id="18" uniqueName="18" name="债券类型" queryTableFieldId="18" dataDxfId="433"/>
    <tableColumn id="19" uniqueName="19" name="交易状态" queryTableFieldId="19" dataDxfId="432"/>
    <tableColumn id="20" uniqueName="20" name="利率类型" queryTableFieldId="20" dataDxfId="431"/>
    <tableColumn id="21" uniqueName="21" name="是否存单" queryTableFieldId="21" dataDxfId="430"/>
    <tableColumn id="22" uniqueName="22" name="是否永续债" queryTableFieldId="22" dataDxfId="429"/>
    <tableColumn id="23" uniqueName="23" name="联席账簿管理人" queryTableFieldId="23" dataDxfId="428"/>
    <tableColumn id="24" uniqueName="24" name="特殊条款说明" queryTableFieldId="24" dataDxfId="427"/>
    <tableColumn id="25" uniqueName="25" name="上市日期" queryTableFieldId="25" dataDxfId="426"/>
    <tableColumn id="26" uniqueName="26" name="定价_DMI" queryTableFieldId="26" dataDxfId="425"/>
    <tableColumn id="27" uniqueName="27" name="发行起始日" queryTableFieldId="27" dataDxfId="424"/>
    <tableColumn id="28" uniqueName="28" name="担保人" queryTableFieldId="28" dataDxfId="423"/>
    <tableColumn id="29" uniqueName="29" name="发行人" queryTableFieldId="29" dataDxfId="422"/>
    <tableColumn id="30" uniqueName="30" name="首次付息日" queryTableFieldId="30" dataDxfId="421"/>
    <tableColumn id="31" uniqueName="31" name="计息基准" queryTableFieldId="31" dataDxfId="420"/>
    <tableColumn id="32" uniqueName="32" name="最新票面利率" queryTableFieldId="32" dataDxfId="419"/>
    <tableColumn id="33" uniqueName="33" name="行权兑付日" queryTableFieldId="33" dataDxfId="418"/>
    <tableColumn id="34" uniqueName="34" name="起息日期" queryTableFieldId="34" dataDxfId="417"/>
    <tableColumn id="35" uniqueName="35" name="债券余额" queryTableFieldId="35" dataDxfId="416"/>
    <tableColumn id="36" uniqueName="36" name="债券最新面值" queryTableFieldId="36" dataDxfId="415"/>
    <tableColumn id="37" uniqueName="37" name="TICKER" queryTableFieldId="37" dataDxfId="414"/>
    <tableColumn id="38" uniqueName="38" name="筹款用途" queryTableFieldId="38" dataDxfId="413"/>
    <tableColumn id="39" uniqueName="39" name="投资者分布" queryTableFieldId="39" dataDxfId="412"/>
    <tableColumn id="40" uniqueName="40" name="投资者类型" queryTableFieldId="40" dataDxfId="411"/>
    <tableColumn id="41" uniqueName="41" name="投资者账户数" queryTableFieldId="41" dataDxfId="410"/>
    <tableColumn id="42" uniqueName="42" name="评级类型" queryTableFieldId="42" dataDxfId="409"/>
    <tableColumn id="43" uniqueName="43" name="公司类型" queryTableFieldId="43" dataDxfId="408"/>
    <tableColumn id="44" uniqueName="44" name="剩余期限" queryTableFieldId="44" dataDxfId="407"/>
    <tableColumn id="45" uniqueName="45" name="境内主体评级" queryTableFieldId="45" dataDxfId="406"/>
    <tableColumn id="46" uniqueName="46" name="债项初始评级" queryTableFieldId="46" dataDxfId="405"/>
    <tableColumn id="47" uniqueName="47" name="细分行业" queryTableFieldId="47" dataDxfId="404"/>
    <tableColumn id="48" uniqueName="48" name="发行方式" queryTableFieldId="48" dataDxfId="403"/>
    <tableColumn id="49" uniqueName="49" name="基金占比" queryTableFieldId="49" dataDxfId="402"/>
    <tableColumn id="50" uniqueName="50" name="亚洲占比" queryTableFieldId="50" dataDxfId="401"/>
    <tableColumn id="51" uniqueName="51" name="认购倍数" queryTableFieldId="51" dataDxfId="400"/>
    <tableColumn id="52" uniqueName="52" name="认购额(亿)" queryTableFieldId="52" dataDxfId="399"/>
    <tableColumn id="53" uniqueName="53" name="区县" queryTableFieldId="53" dataDxfId="398"/>
    <tableColumn id="54" uniqueName="54" name="城市" queryTableFieldId="54" dataDxfId="397"/>
    <tableColumn id="55" uniqueName="55" name="省份" queryTableFieldId="55" dataDxfId="396"/>
    <tableColumn id="56" uniqueName="56" name="首日涨跌" queryTableFieldId="56" dataDxfId="395"/>
    <tableColumn id="57" uniqueName="57" name="发行价" queryTableFieldId="57" dataDxfId="394"/>
    <tableColumn id="58" uniqueName="58" name="偿还顺位" queryTableFieldId="58" dataDxfId="393"/>
    <tableColumn id="59" uniqueName="59" name="SBLC提供者" queryTableFieldId="59" dataDxfId="392"/>
    <tableColumn id="60" uniqueName="60" name="发行架构" queryTableFieldId="60" dataDxfId="391"/>
    <tableColumn id="61" uniqueName="61" name="发行规则" queryTableFieldId="61" dataDxfId="390"/>
    <tableColumn id="62" uniqueName="62" name="收窄幅度(bp)" queryTableFieldId="62" dataDxfId="389"/>
    <tableColumn id="63" uniqueName="63" name="发行场所" queryTableFieldId="63" dataDxfId="388"/>
    <tableColumn id="64" uniqueName="64" name="兑付日" queryTableFieldId="64" dataDxfId="387"/>
    <tableColumn id="65" uniqueName="65" name="票息_DMI" queryTableFieldId="65" dataDxfId="386"/>
    <tableColumn id="66" uniqueName="66" name="发行期限(年)" queryTableFieldId="66" dataDxfId="385"/>
    <tableColumn id="67" uniqueName="67" name="发行规模(亿)" queryTableFieldId="67" dataDxfId="384"/>
    <tableColumn id="68" uniqueName="68" name="债项评级" queryTableFieldId="68" dataDxfId="383"/>
    <tableColumn id="69" uniqueName="69" name="主体评级展望" queryTableFieldId="69" dataDxfId="382"/>
    <tableColumn id="70" uniqueName="70" name="穆迪/标普" queryTableFieldId="70" dataDxfId="381"/>
    <tableColumn id="71" uniqueName="71" name="债券简称" queryTableFieldId="71" dataDxfId="380"/>
    <tableColumn id="72" uniqueName="72" name="DataSource" queryTableFieldId="72" dataDxfId="379"/>
    <tableColumn id="73" uniqueName="73" name="首次违约日" queryTableFieldId="73" dataDxfId="378"/>
    <tableColumn id="74" uniqueName="74" name="IS_EXCH" queryTableFieldId="74" dataDxfId="377"/>
    <tableColumn id="75" uniqueName="75" name="地区" queryTableFieldId="75" dataDxfId="376"/>
    <tableColumn id="76" uniqueName="76" name="BISL_ROLE" queryTableFieldId="76" dataDxfId="375"/>
    <tableColumn id="77" uniqueName="77" name="注册成立地" queryTableFieldId="77" dataDxfId="374"/>
    <tableColumn id="78" uniqueName="78" name="发行人主上市地" queryTableFieldId="78" dataDxfId="373"/>
    <tableColumn id="79" uniqueName="79" name="补充OMAS updates" queryTableFieldId="79" dataDxfId="372"/>
    <tableColumn id="80" uniqueName="80" name="定价息差" queryTableFieldId="80" dataDxfId="371"/>
    <tableColumn id="81" uniqueName="81" name="发行评级" queryTableFieldId="81" dataDxfId="370"/>
    <tableColumn id="82" uniqueName="82" name="主体评级" queryTableFieldId="82" dataDxfId="369"/>
    <tableColumn id="83" uniqueName="83" name="结构" queryTableFieldId="83" dataDxfId="368"/>
    <tableColumn id="84" uniqueName="84" name="备证行" queryTableFieldId="84" dataDxfId="367"/>
    <tableColumn id="90" uniqueName="90" name="增发判定" queryTableFieldId="90" dataDxfId="366"/>
    <tableColumn id="85" uniqueName="85" name="上市" queryTableFieldId="85" dataDxfId="365"/>
    <tableColumn id="86" uniqueName="86" name="通过分行" queryTableFieldId="86" dataDxfId="364"/>
    <tableColumn id="103" uniqueName="103" name="YYQQ" queryTableFieldId="147" dataDxfId="363"/>
    <tableColumn id="105" uniqueName="105" name="USD" queryTableFieldId="148"/>
    <tableColumn id="106" uniqueName="106" name="CNH" queryTableFieldId="149"/>
    <tableColumn id="107" uniqueName="107" name="HKD" queryTableFieldId="150"/>
    <tableColumn id="87" uniqueName="87" name="亿美元" queryTableFieldId="87" dataDxfId="362"/>
    <tableColumn id="88" uniqueName="88" name="亿元" queryTableFieldId="88" dataDxfId="361"/>
    <tableColumn id="89" uniqueName="89" name="亿港币" queryTableFieldId="89" dataDxfId="360"/>
    <tableColumn id="91" uniqueName="91" name="Stats" queryTableFieldId="91" dataDxfId="359"/>
    <tableColumn id="92" uniqueName="92" name="澳分_ROLE" queryTableFieldId="92" dataDxfId="358"/>
    <tableColumn id="93" uniqueName="93" name="港分_ROLE" queryTableFieldId="93" dataDxfId="357"/>
    <tableColumn id="94" uniqueName="94" name="定价基准" queryTableFieldId="94" dataDxfId="356"/>
    <tableColumn id="95" uniqueName="95" name="收窄基点" queryTableFieldId="95" dataDxfId="355"/>
    <tableColumn id="96" uniqueName="96" name="IPG" queryTableFieldId="96" dataDxfId="354"/>
    <tableColumn id="97" uniqueName="97" name="FPG" queryTableFieldId="97" dataDxfId="353"/>
    <tableColumn id="98" uniqueName="98" name="定价" queryTableFieldId="98" dataDxfId="352"/>
    <tableColumn id="99" uniqueName="99" name="票息" queryTableFieldId="99" dataDxfId="351"/>
    <tableColumn id="100" uniqueName="100" name="年期" queryTableFieldId="100" dataDxfId="350"/>
    <tableColumn id="101" uniqueName="101" name="期限备注" queryTableFieldId="101" dataDxfId="349"/>
    <tableColumn id="102" uniqueName="102" name="品种主题" queryTableFieldId="105"/>
    <tableColumn id="124" uniqueName="124" name="ESG" queryTableFieldId="145"/>
    <tableColumn id="104" uniqueName="104" name="Check" queryTableFieldId="104" dataDxfId="348"/>
  </tableColumns>
  <tableStyleInfo name="Qry Load" showFirstColumn="0" showLastColumn="0" showRowStripes="1" showColumnStripes="0"/>
</table>
</file>

<file path=xl/tables/table11.xml><?xml version="1.0" encoding="utf-8"?>
<table xmlns="http://schemas.openxmlformats.org/spreadsheetml/2006/main" id="11" name="tbl_review" displayName="tbl_review" ref="P3:AI26" totalsRowShown="0" headerRowDxfId="347" dataDxfId="346">
  <autoFilter ref="P3:AI2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name="定价日" dataDxfId="345"/>
    <tableColumn id="2" name="信用主体" dataDxfId="344"/>
    <tableColumn id="3" name="ESG" dataDxfId="343"/>
    <tableColumn id="4" name="IPG" dataDxfId="342"/>
    <tableColumn id="6" name="FPG" dataDxfId="341"/>
    <tableColumn id="16" name="收窄基点" dataDxfId="340"/>
    <tableColumn id="11" name="定价基准" dataDxfId="339"/>
    <tableColumn id="12" name="定价" dataDxfId="338"/>
    <tableColumn id="13" name="增发判定" dataDxfId="337"/>
    <tableColumn id="14" name="货币" dataDxfId="336"/>
    <tableColumn id="19" name="发行规模(亿)" dataDxfId="335"/>
    <tableColumn id="5" name="年期" dataDxfId="334"/>
    <tableColumn id="7" name="票息" dataDxfId="333"/>
    <tableColumn id="8" name="品种主题" dataDxfId="332"/>
    <tableColumn id="9" name="上市" dataDxfId="331"/>
    <tableColumn id="10" name="亿美元" dataDxfId="330"/>
    <tableColumn id="17" name="亿元" dataDxfId="329"/>
    <tableColumn id="18" name="亿港币" dataDxfId="328"/>
    <tableColumn id="15" name="ISIN" dataDxfId="327"/>
    <tableColumn id="20" name="Check" dataDxfId="326"/>
  </tableColumns>
  <tableStyleInfo name="review" showFirstColumn="0" showLastColumn="0" showRowStripes="1" showColumnStripes="0"/>
</table>
</file>

<file path=xl/tables/table12.xml><?xml version="1.0" encoding="utf-8"?>
<table xmlns="http://schemas.openxmlformats.org/spreadsheetml/2006/main" id="21" name="tbl_review_BISL" displayName="tbl_review_BISL" ref="AN3:BA12" totalsRowShown="0" headerRowDxfId="325" dataDxfId="324">
  <tableColumns count="14">
    <tableColumn id="1" name="信用主体" dataDxfId="323"/>
    <tableColumn id="2" name="Check" dataDxfId="322"/>
    <tableColumn id="3" name="ISIN" dataDxfId="321"/>
    <tableColumn id="4" name="定价日" dataDxfId="320"/>
    <tableColumn id="5" name="台账序号" dataDxfId="319"/>
    <tableColumn id="6" name="Project Name" dataDxfId="318"/>
    <tableColumn id="7" name="COVERAGE" dataDxfId="317"/>
    <tableColumn id="8" name="新规角色" dataDxfId="316"/>
    <tableColumn id="9" name="PROJECT_CODE" dataDxfId="315"/>
    <tableColumn id="10" name="期数" dataDxfId="314"/>
    <tableColumn id="11" name="BISL_ROLE" dataDxfId="313"/>
    <tableColumn id="12" name="IS_LEAD" dataDxfId="312"/>
    <tableColumn id="13" name="IS_B&amp;D" dataDxfId="311"/>
    <tableColumn id="14" name="是否合名" dataDxfId="310"/>
  </tableColumns>
  <tableStyleInfo name="review" showFirstColumn="0" showLastColumn="0" showRowStripes="1" showColumnStripes="0"/>
</table>
</file>

<file path=xl/tables/table13.xml><?xml version="1.0" encoding="utf-8"?>
<table xmlns="http://schemas.openxmlformats.org/spreadsheetml/2006/main" id="10" name="tbl_review_shortname" displayName="tbl_review_shortname" ref="BF3:BI12" totalsRowShown="0" headerRowDxfId="309" dataDxfId="308">
  <autoFilter ref="BF3:BI12">
    <filterColumn colId="0" hiddenButton="1"/>
    <filterColumn colId="1" hiddenButton="1"/>
    <filterColumn colId="2" hiddenButton="1"/>
    <filterColumn colId="3" hiddenButton="1"/>
  </autoFilter>
  <tableColumns count="4">
    <tableColumn id="1" name="信用主体" dataDxfId="307"/>
    <tableColumn id="2" name="SHORTNAMER" dataDxfId="306"/>
    <tableColumn id="3" name="中资属性" dataDxfId="305"/>
    <tableColumn id="4" name="板块" dataDxfId="304"/>
  </tableColumns>
  <tableStyleInfo name="review" showFirstColumn="0" showLastColumn="0" showRowStripes="1" showColumnStripes="0"/>
</table>
</file>

<file path=xl/tables/table14.xml><?xml version="1.0" encoding="utf-8"?>
<table xmlns="http://schemas.openxmlformats.org/spreadsheetml/2006/main" id="62" name="tbl_review_issuer" displayName="tbl_review_issuer" ref="A3:K26" totalsRowShown="0">
  <autoFilter ref="A3:K2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删除及隐藏"/>
    <tableColumn id="2" name="ISIN"/>
    <tableColumn id="3" name="定价日" dataDxfId="303"/>
    <tableColumn id="4" name="信用主体" dataDxfId="302"/>
    <tableColumn id="5" name="发行评级"/>
    <tableColumn id="6" name="主体评级"/>
    <tableColumn id="7" name="结构"/>
    <tableColumn id="8" name="备证行"/>
    <tableColumn id="9" name="港分_ROLE"/>
    <tableColumn id="10" name="澳分_ROLE"/>
    <tableColumn id="11" name="Check"/>
  </tableColumns>
  <tableStyleInfo name="review" showFirstColumn="0" showLastColumn="0" showRowStripes="1" showColumnStripes="0"/>
</table>
</file>

<file path=xl/tables/table15.xml><?xml version="1.0" encoding="utf-8"?>
<table xmlns="http://schemas.openxmlformats.org/spreadsheetml/2006/main" id="3" name="SmartWriter" displayName="SmartWriter" ref="A6:E10" totalsRowShown="0">
  <autoFilter ref="A6:E10"/>
  <tableColumns count="5">
    <tableColumn id="1" name="Index"/>
    <tableColumn id="5" name="信用主体及评级" dataDxfId="300"/>
    <tableColumn id="2" name="板块" dataDxfId="299"/>
    <tableColumn id="3" name="货币" dataDxfId="298"/>
    <tableColumn id="4" name="Writer" dataDxfId="297"/>
  </tableColumns>
  <tableStyleInfo name="Qry Load 5" showFirstColumn="0" showLastColumn="0" showRowStripes="1" showColumnStripes="0"/>
</table>
</file>

<file path=xl/tables/table16.xml><?xml version="1.0" encoding="utf-8"?>
<table xmlns="http://schemas.openxmlformats.org/spreadsheetml/2006/main" id="60" name="wConso" displayName="wConso" ref="B6:CB21" tableType="queryTable" totalsRowShown="0">
  <autoFilter ref="B6:CB21"/>
  <tableColumns count="79">
    <tableColumn id="1" uniqueName="1" name="Index" queryTableFieldId="1"/>
    <tableColumn id="2" uniqueName="2" name="删除及隐藏" queryTableFieldId="2"/>
    <tableColumn id="3" uniqueName="3" name="信用主体" queryTableFieldId="3" dataDxfId="296"/>
    <tableColumn id="4" uniqueName="4" name="ISIN" queryTableFieldId="4"/>
    <tableColumn id="5" uniqueName="5" name="定价日" queryTableFieldId="5" dataDxfId="295"/>
    <tableColumn id="6" uniqueName="6" name="发行评级" queryTableFieldId="6"/>
    <tableColumn id="7" uniqueName="7" name="主体评级" queryTableFieldId="7"/>
    <tableColumn id="8" uniqueName="8" name="境内主体评级" queryTableFieldId="8"/>
    <tableColumn id="9" uniqueName="9" name="货币" queryTableFieldId="9"/>
    <tableColumn id="10" uniqueName="10" name="发行规模(亿)" queryTableFieldId="10"/>
    <tableColumn id="11" uniqueName="11" name="年期" queryTableFieldId="11"/>
    <tableColumn id="12" uniqueName="12" name="票息" queryTableFieldId="12"/>
    <tableColumn id="13" uniqueName="13" name="IPG" queryTableFieldId="13"/>
    <tableColumn id="14" uniqueName="14" name="FPG" queryTableFieldId="14"/>
    <tableColumn id="15" uniqueName="15" name="定价" queryTableFieldId="15"/>
    <tableColumn id="16" uniqueName="16" name="收窄基点" queryTableFieldId="16"/>
    <tableColumn id="17" uniqueName="17" name="定价基准" queryTableFieldId="17"/>
    <tableColumn id="18" uniqueName="18" name="发行价" queryTableFieldId="18"/>
    <tableColumn id="19" uniqueName="19" name="结构" queryTableFieldId="19"/>
    <tableColumn id="20" uniqueName="20" name="上市" queryTableFieldId="20"/>
    <tableColumn id="21" uniqueName="21" name="港分_ROLE" queryTableFieldId="21"/>
    <tableColumn id="22" uniqueName="22" name="澳分_ROLE" queryTableFieldId="22"/>
    <tableColumn id="23" uniqueName="23" name="增发判定" queryTableFieldId="23"/>
    <tableColumn id="24" uniqueName="24" name="付息频率" queryTableFieldId="24"/>
    <tableColumn id="25" uniqueName="25" name="起息日期" queryTableFieldId="25" dataDxfId="294"/>
    <tableColumn id="26" uniqueName="26" name="首次付息日" queryTableFieldId="26" dataDxfId="293"/>
    <tableColumn id="27" uniqueName="27" name="兑付日" queryTableFieldId="27" dataDxfId="292"/>
    <tableColumn id="28" uniqueName="28" name="亿美元" queryTableFieldId="28"/>
    <tableColumn id="29" uniqueName="29" name="亿元" queryTableFieldId="29"/>
    <tableColumn id="30" uniqueName="30" name="亿港币" queryTableFieldId="30"/>
    <tableColumn id="31" uniqueName="31" name="TICKER" queryTableFieldId="31"/>
    <tableColumn id="32" uniqueName="32" name="注册成立地" queryTableFieldId="32"/>
    <tableColumn id="33" uniqueName="33" name="发行人主上市地" queryTableFieldId="33"/>
    <tableColumn id="34" uniqueName="34" name="通过分行" queryTableFieldId="34"/>
    <tableColumn id="35" uniqueName="35" name="发行人" queryTableFieldId="35"/>
    <tableColumn id="36" uniqueName="36" name="担保人" queryTableFieldId="36"/>
    <tableColumn id="37" uniqueName="37" name="维好协议提供者" queryTableFieldId="37"/>
    <tableColumn id="38" uniqueName="38" name="备证行" queryTableFieldId="38"/>
    <tableColumn id="39" uniqueName="39" name="ESG" queryTableFieldId="39"/>
    <tableColumn id="40" uniqueName="40" name="品种主题" queryTableFieldId="40"/>
    <tableColumn id="41" uniqueName="41" name="亮点" queryTableFieldId="41"/>
    <tableColumn id="42" uniqueName="42" name="期限备注" queryTableFieldId="42"/>
    <tableColumn id="43" uniqueName="43" name="SPECIALs" queryTableFieldId="43"/>
    <tableColumn id="44" uniqueName="44" name="OTHER_ISIN" queryTableFieldId="44"/>
    <tableColumn id="45" uniqueName="45" name="Stats" queryTableFieldId="45"/>
    <tableColumn id="46" uniqueName="46" name="筹款用途" queryTableFieldId="46"/>
    <tableColumn id="47" uniqueName="47" name="发行方式" queryTableFieldId="47"/>
    <tableColumn id="48" uniqueName="48" name="DataSource" queryTableFieldId="48"/>
    <tableColumn id="49" uniqueName="49" name="Updator" queryTableFieldId="49"/>
    <tableColumn id="50" uniqueName="50" name="Timestamp" queryTableFieldId="50" dataDxfId="291"/>
    <tableColumn id="51" uniqueName="51" name="Check" queryTableFieldId="51"/>
    <tableColumn id="52" uniqueName="52" name="mCurated" queryTableFieldId="52"/>
    <tableColumn id="53" uniqueName="53" name="BISL_ROLE" queryTableFieldId="53"/>
    <tableColumn id="54" uniqueName="54" name="IS_LEAD" queryTableFieldId="54"/>
    <tableColumn id="55" uniqueName="55" name="IS_B&amp;D" queryTableFieldId="55"/>
    <tableColumn id="56" uniqueName="56" name="是否合名" queryTableFieldId="56"/>
    <tableColumn id="57" uniqueName="57" name="新规角色" queryTableFieldId="57"/>
    <tableColumn id="58" uniqueName="58" name="COVERAGE" queryTableFieldId="58"/>
    <tableColumn id="59" uniqueName="59" name="PROJECT_CODE" queryTableFieldId="59"/>
    <tableColumn id="60" uniqueName="60" name="期数" queryTableFieldId="60"/>
    <tableColumn id="61" uniqueName="61" name="台账序号" queryTableFieldId="61"/>
    <tableColumn id="62" uniqueName="62" name="多笔" queryTableFieldId="62"/>
    <tableColumn id="63" uniqueName="63" name="多币种" queryTableFieldId="63"/>
    <tableColumn id="64" uniqueName="64" name="多品种" queryTableFieldId="64"/>
    <tableColumn id="65" uniqueName="65" name="FolderPath" queryTableFieldId="65"/>
    <tableColumn id="79" uniqueName="79" name="IS_KYC_DONE" queryTableFieldId="107"/>
    <tableColumn id="66" uniqueName="66" name="PRJ对账号" queryTableFieldId="66"/>
    <tableColumn id="67" uniqueName="67" name="mBISL" queryTableFieldId="67"/>
    <tableColumn id="68" uniqueName="68" name="mChart" queryTableFieldId="68"/>
    <tableColumn id="69" uniqueName="69" name="信用主体简称" queryTableFieldId="109"/>
    <tableColumn id="70" uniqueName="70" name="板块" queryTableFieldId="70"/>
    <tableColumn id="71" uniqueName="71" name="中资属性" queryTableFieldId="71"/>
    <tableColumn id="72" uniqueName="72" name="地区" queryTableFieldId="110"/>
    <tableColumn id="73" uniqueName="73" name="城市" queryTableFieldId="111"/>
    <tableColumn id="74" uniqueName="74" name="区县" queryTableFieldId="112"/>
    <tableColumn id="75" uniqueName="75" name="首次违约日" queryTableFieldId="113" dataDxfId="290"/>
    <tableColumn id="76" uniqueName="76" name="DEBUT_DATE" queryTableFieldId="114" dataDxfId="289"/>
    <tableColumn id="77" uniqueName="77" name="行业" queryTableFieldId="115"/>
    <tableColumn id="78" uniqueName="78" name="mCredit" queryTableFieldId="78"/>
  </tableColumns>
  <tableStyleInfo name="Table Style 1 2" showFirstColumn="0" showLastColumn="0" showRowStripes="1" showColumnStripes="0"/>
</table>
</file>

<file path=xl/tables/table17.xml><?xml version="1.0" encoding="utf-8"?>
<table xmlns="http://schemas.openxmlformats.org/spreadsheetml/2006/main" id="37" name="charts" displayName="charts" ref="A8:J9" totalsRowShown="0">
  <autoFilter ref="A8:J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定价日" dataDxfId="288"/>
    <tableColumn id="2" name="ISIN" dataDxfId="287"/>
    <tableColumn id="3" name="债券简称"/>
    <tableColumn id="4" name="年期" dataDxfId="286"/>
    <tableColumn id="5" name="亿美元" dataDxfId="285"/>
    <tableColumn id="10" name="货币"/>
    <tableColumn id="11" name="板块"/>
    <tableColumn id="7" name="评级分类"/>
    <tableColumn id="8" name="品种"/>
    <tableColumn id="9" name="按年"/>
  </tableColumns>
  <tableStyleInfo name="Qry Load 3 2" showFirstColumn="0" showLastColumn="0" showRowStripes="1" showColumnStripes="0"/>
</table>
</file>

<file path=xl/tables/table18.xml><?xml version="1.0" encoding="utf-8"?>
<table xmlns="http://schemas.openxmlformats.org/spreadsheetml/2006/main" id="4" name="Table_graph_weeklydeal" displayName="Table_graph_weeklydeal" ref="P8:AF15" totalsRowShown="0">
  <autoFilter ref="P8:AF1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2" name="Index" dataDxfId="284"/>
    <tableColumn id="33" name="ISIN" dataDxfId="283"/>
    <tableColumn id="1" name="定价日" dataDxfId="282"/>
    <tableColumn id="3" name="信用主体(备证行)"/>
    <tableColumn id="7" name="发行评级" dataDxfId="281"/>
    <tableColumn id="9" name="货币" dataDxfId="280"/>
    <tableColumn id="10" name="发行规模(亿)" dataDxfId="279"/>
    <tableColumn id="11" name="年期" dataDxfId="278"/>
    <tableColumn id="12" name="票息" dataDxfId="277"/>
    <tableColumn id="13" name="IPG" dataDxfId="276"/>
    <tableColumn id="15" name="收窄基点" dataDxfId="275"/>
    <tableColumn id="16" name="结构" dataDxfId="274"/>
    <tableColumn id="17" name="主题"/>
    <tableColumn id="4" name="板块" dataDxfId="273"/>
    <tableColumn id="19" name="地区" dataDxfId="272"/>
    <tableColumn id="38" name="BOCOM_DEAL?" dataDxfId="271"/>
    <tableColumn id="23" name="亿美元" dataDxfId="270"/>
  </tableColumns>
  <tableStyleInfo name="Qry Load 5" showFirstColumn="0" showLastColumn="0" showRowStripes="1" showColumnStripes="0"/>
</table>
</file>

<file path=xl/tables/table19.xml><?xml version="1.0" encoding="utf-8"?>
<table xmlns="http://schemas.openxmlformats.org/spreadsheetml/2006/main" id="27" name="LastCharts" displayName="LastCharts" ref="L8:N9" insertRow="1" totalsRowShown="0">
  <autoFilter ref="L8:N9">
    <filterColumn colId="0" hiddenButton="1"/>
    <filterColumn colId="1" hiddenButton="1"/>
    <filterColumn colId="2" hiddenButton="1"/>
  </autoFilter>
  <tableColumns count="3">
    <tableColumn id="1" name="Weeknum"/>
    <tableColumn id="2" name="上周亿美元"/>
    <tableColumn id="3" name="上周笔数"/>
  </tableColumns>
  <tableStyleInfo name="Qry Load 3 2" showFirstColumn="0" showLastColumn="0" showRowStripes="1" showColumnStripes="0"/>
</table>
</file>

<file path=xl/tables/table20.xml><?xml version="1.0" encoding="utf-8"?>
<table xmlns="http://schemas.openxmlformats.org/spreadsheetml/2006/main" id="39" name="LastNIM" displayName="LastNIM" ref="L12:N13" insertRow="1" totalsRowShown="0">
  <autoFilter ref="L12:N13">
    <filterColumn colId="0" hiddenButton="1"/>
    <filterColumn colId="1" hiddenButton="1"/>
    <filterColumn colId="2" hiddenButton="1"/>
  </autoFilter>
  <tableColumns count="3">
    <tableColumn id="1" name="周" dataDxfId="269"/>
    <tableColumn id="2" name="上周亿美元"/>
    <tableColumn id="3" name="上周笔数"/>
  </tableColumns>
  <tableStyleInfo name="Qry Load 5" showFirstColumn="0" showLastColumn="0" showRowStripes="1" showColumnStripes="0"/>
</table>
</file>

<file path=xl/tables/table21.xml><?xml version="1.0" encoding="utf-8"?>
<table xmlns="http://schemas.openxmlformats.org/spreadsheetml/2006/main" id="17" name="wCurated" displayName="wCurated" ref="A4:AZ13" tableType="queryTable" totalsRowShown="0">
  <autoFilter ref="A4:AZ13">
    <filterColumn colId="0"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40" hiddenButton="1"/>
    <filterColumn colId="41" hiddenButton="1"/>
    <filterColumn colId="42" hiddenButton="1"/>
    <filterColumn colId="43" hiddenButton="1"/>
    <filterColumn colId="48" hiddenButton="1"/>
    <filterColumn colId="49" hiddenButton="1"/>
    <filterColumn colId="50" hiddenButton="1"/>
  </autoFilter>
  <tableColumns count="52">
    <tableColumn id="1" uniqueName="1" name="Index" queryTableFieldId="1" dataDxfId="268"/>
    <tableColumn id="50" uniqueName="50" name="删除及隐藏" queryTableFieldId="70" dataDxfId="267"/>
    <tableColumn id="2" uniqueName="2" name="信用主体" queryTableFieldId="2" dataDxfId="266"/>
    <tableColumn id="3" uniqueName="3" name="ISIN" queryTableFieldId="3" dataDxfId="265"/>
    <tableColumn id="4" uniqueName="4" name="定价日" queryTableFieldId="4" dataDxfId="264"/>
    <tableColumn id="5" uniqueName="5" name="发行评级" queryTableFieldId="5" dataDxfId="263"/>
    <tableColumn id="6" uniqueName="6" name="主体评级" queryTableFieldId="6" dataDxfId="262"/>
    <tableColumn id="7" uniqueName="7" name="境内主体评级" queryTableFieldId="7" dataDxfId="261"/>
    <tableColumn id="8" uniqueName="8" name="货币" queryTableFieldId="8" dataDxfId="260"/>
    <tableColumn id="9" uniqueName="9" name="发行规模(亿)" queryTableFieldId="9" dataDxfId="259"/>
    <tableColumn id="10" uniqueName="10" name="年期" queryTableFieldId="10" dataDxfId="258"/>
    <tableColumn id="11" uniqueName="11" name="票息" queryTableFieldId="11" dataDxfId="257"/>
    <tableColumn id="12" uniqueName="12" name="IPG" queryTableFieldId="12" dataDxfId="256"/>
    <tableColumn id="13" uniqueName="13" name="FPG" queryTableFieldId="13" dataDxfId="255"/>
    <tableColumn id="14" uniqueName="14" name="定价" queryTableFieldId="14" dataDxfId="254"/>
    <tableColumn id="15" uniqueName="15" name="收窄基点" queryTableFieldId="15" dataDxfId="253"/>
    <tableColumn id="16" uniqueName="16" name="定价基准" queryTableFieldId="16" dataDxfId="252"/>
    <tableColumn id="18" uniqueName="18" name="发行价" queryTableFieldId="39" dataDxfId="251"/>
    <tableColumn id="17" uniqueName="17" name="结构" queryTableFieldId="17" dataDxfId="250"/>
    <tableColumn id="19" uniqueName="19" name="上市" queryTableFieldId="19" dataDxfId="249"/>
    <tableColumn id="20" uniqueName="20" name="港分_ROLE" queryTableFieldId="20" dataDxfId="248"/>
    <tableColumn id="21" uniqueName="21" name="澳分_ROLE" queryTableFieldId="21" dataDxfId="247"/>
    <tableColumn id="22" uniqueName="22" name="增发判定" queryTableFieldId="22" dataDxfId="246"/>
    <tableColumn id="26" uniqueName="26" name="付息频率" queryTableFieldId="40" dataDxfId="245"/>
    <tableColumn id="27" uniqueName="27" name="起息日期" queryTableFieldId="41" dataDxfId="244"/>
    <tableColumn id="39" uniqueName="39" name="首次付息日" queryTableFieldId="42" dataDxfId="243"/>
    <tableColumn id="40" uniqueName="40" name="兑付日" queryTableFieldId="43" dataDxfId="242"/>
    <tableColumn id="23" uniqueName="23" name="亿美元" queryTableFieldId="23" dataDxfId="241"/>
    <tableColumn id="24" uniqueName="24" name="亿元" queryTableFieldId="24" dataDxfId="240"/>
    <tableColumn id="25" uniqueName="25" name="亿港币" queryTableFieldId="25" dataDxfId="239"/>
    <tableColumn id="41" uniqueName="41" name="TICKER" queryTableFieldId="44" dataDxfId="238"/>
    <tableColumn id="45" uniqueName="45" name="注册成立地" queryTableFieldId="57" dataDxfId="237"/>
    <tableColumn id="46" uniqueName="46" name="发行人主上市地" queryTableFieldId="59" dataDxfId="236"/>
    <tableColumn id="32" uniqueName="32" name="通过分行" queryTableFieldId="32"/>
    <tableColumn id="42" uniqueName="42" name="发行人" queryTableFieldId="45" dataDxfId="235"/>
    <tableColumn id="43" uniqueName="43" name="担保人" queryTableFieldId="46" dataDxfId="234"/>
    <tableColumn id="44" uniqueName="44" name="维好协议提供者" queryTableFieldId="47" dataDxfId="233"/>
    <tableColumn id="28" uniqueName="28" name="备证行" queryTableFieldId="28" dataDxfId="232"/>
    <tableColumn id="29" uniqueName="29" name="ESG" queryTableFieldId="29" dataDxfId="231"/>
    <tableColumn id="30" uniqueName="30" name="品种主题" queryTableFieldId="121"/>
    <tableColumn id="31" uniqueName="31" name="亮点" queryTableFieldId="31"/>
    <tableColumn id="33" uniqueName="33" name="期限备注" queryTableFieldId="33" dataDxfId="230"/>
    <tableColumn id="34" uniqueName="34" name="SPECIALs" queryTableFieldId="34"/>
    <tableColumn id="35" uniqueName="35" name="OTHER_ISIN" queryTableFieldId="35"/>
    <tableColumn id="47" uniqueName="47" name="Stats" queryTableFieldId="63" dataDxfId="229"/>
    <tableColumn id="48" uniqueName="48" name="筹款用途" queryTableFieldId="65" dataDxfId="228"/>
    <tableColumn id="49" uniqueName="49" name="发行方式" queryTableFieldId="66" dataDxfId="227"/>
    <tableColumn id="51" uniqueName="51" name="DataSource" queryTableFieldId="71" dataDxfId="226"/>
    <tableColumn id="36" uniqueName="36" name="Updator" queryTableFieldId="36"/>
    <tableColumn id="37" uniqueName="37" name="Timestamp" queryTableFieldId="37"/>
    <tableColumn id="38" uniqueName="38" name="Check" queryTableFieldId="38" dataDxfId="225"/>
    <tableColumn id="52" uniqueName="52" name="mCurated" queryTableFieldId="123"/>
  </tableColumns>
  <tableStyleInfo name="TableStyleMedium7" showFirstColumn="0" showLastColumn="0" showRowStripes="1" showColumnStripes="0"/>
</table>
</file>

<file path=xl/tables/table22.xml><?xml version="1.0" encoding="utf-8"?>
<table xmlns="http://schemas.openxmlformats.org/spreadsheetml/2006/main" id="2" name="wBISL" displayName="wBISL" ref="A5:V6" tableType="queryTable" totalsRowShown="0">
  <autoFilter ref="A5:V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8" hiddenButton="1"/>
  </autoFilter>
  <tableColumns count="22">
    <tableColumn id="6" uniqueName="6" name="Index" queryTableFieldId="33"/>
    <tableColumn id="2" uniqueName="2" name="ISIN" queryTableFieldId="2"/>
    <tableColumn id="3" uniqueName="3" name="定价日" queryTableFieldId="3" dataDxfId="224"/>
    <tableColumn id="4" uniqueName="4" name="信用主体" queryTableFieldId="4" dataDxfId="223"/>
    <tableColumn id="5" uniqueName="5" name="BISL_ROLE" queryTableFieldId="5"/>
    <tableColumn id="12" uniqueName="12" name="IS_LEAD" queryTableFieldId="14"/>
    <tableColumn id="14" uniqueName="14" name="IS_B&amp;D" queryTableFieldId="15"/>
    <tableColumn id="15" uniqueName="15" name="是否合名" queryTableFieldId="16"/>
    <tableColumn id="10" uniqueName="10" name="新规角色" queryTableFieldId="10"/>
    <tableColumn id="11" uniqueName="11" name="COVERAGE" queryTableFieldId="11"/>
    <tableColumn id="8" uniqueName="8" name="PROJECT_CODE" queryTableFieldId="8"/>
    <tableColumn id="9" uniqueName="9" name="期数" queryTableFieldId="9"/>
    <tableColumn id="18" uniqueName="18" name="台账序号" queryTableFieldId="22"/>
    <tableColumn id="7" uniqueName="7" name="多笔" queryTableFieldId="34" dataDxfId="222"/>
    <tableColumn id="13" uniqueName="13" name="多币种" queryTableFieldId="35" dataDxfId="221"/>
    <tableColumn id="16" uniqueName="16" name="多品种" queryTableFieldId="36" dataDxfId="220"/>
    <tableColumn id="19" uniqueName="19" name="FolderPath" queryTableFieldId="58"/>
    <tableColumn id="22" uniqueName="22" name="IS_KYC_DONE" queryTableFieldId="62"/>
    <tableColumn id="1" uniqueName="1" name="Check" queryTableFieldId="1"/>
    <tableColumn id="17" uniqueName="17" name="PRJ对账号" queryTableFieldId="56"/>
    <tableColumn id="20" uniqueName="20" name="Timestamp" queryTableFieldId="59"/>
    <tableColumn id="21" uniqueName="21" name="mBISL" queryTableFieldId="61"/>
  </tableColumns>
  <tableStyleInfo name="TableStyleMedium7" showFirstColumn="0" showLastColumn="0" showRowStripes="1" showColumnStripes="0"/>
</table>
</file>

<file path=xl/tables/table23.xml><?xml version="1.0" encoding="utf-8"?>
<table xmlns="http://schemas.openxmlformats.org/spreadsheetml/2006/main" id="32" name="writer_fi" displayName="writer_fi" ref="A4:F5" insertRow="1" totalsRowShown="0" headerRowDxfId="218" dataDxfId="217">
  <autoFilter ref="A4:F5">
    <filterColumn colId="0" hiddenButton="1"/>
    <filterColumn colId="1" hiddenButton="1"/>
    <filterColumn colId="2" hiddenButton="1"/>
    <filterColumn colId="3" hiddenButton="1"/>
    <filterColumn colId="4" hiddenButton="1"/>
    <filterColumn colId="5" hiddenButton="1"/>
  </autoFilter>
  <tableColumns count="6">
    <tableColumn id="12" name="Index"/>
    <tableColumn id="2" name="板块"/>
    <tableColumn id="19" name="货币"/>
    <tableColumn id="52" name="信用主体(备证行)"/>
    <tableColumn id="8" name="描述"/>
    <tableColumn id="1" name="Stats描述" dataDxfId="216"/>
  </tableColumns>
  <tableStyleInfo name="Qry Load 5" showFirstColumn="0" showLastColumn="0" showRowStripes="1" showColumnStripes="0"/>
</table>
</file>

<file path=xl/tables/table24.xml><?xml version="1.0" encoding="utf-8"?>
<table xmlns="http://schemas.openxmlformats.org/spreadsheetml/2006/main" id="36" name="writer_CNH" displayName="writer_CNH" ref="A9:F15" totalsRowShown="0" headerRowDxfId="215" dataDxfId="214">
  <autoFilter ref="A9:F15">
    <filterColumn colId="0" hiddenButton="1"/>
    <filterColumn colId="1" hiddenButton="1"/>
    <filterColumn colId="2" hiddenButton="1"/>
    <filterColumn colId="3" hiddenButton="1"/>
    <filterColumn colId="4" hiddenButton="1"/>
    <filterColumn colId="5" hiddenButton="1"/>
  </autoFilter>
  <tableColumns count="6">
    <tableColumn id="12" name="Index" dataDxfId="213"/>
    <tableColumn id="2" name="板块"/>
    <tableColumn id="3" name="货币" dataDxfId="212"/>
    <tableColumn id="52" name="信用主体(备证行)" dataDxfId="211"/>
    <tableColumn id="5" name="描述" dataDxfId="210"/>
    <tableColumn id="1" name="Stats描述" dataDxfId="209"/>
  </tableColumns>
  <tableStyleInfo name="Qry Load 5" showFirstColumn="0" showLastColumn="0" showRowStripes="1" showColumnStripes="0"/>
</table>
</file>

<file path=xl/tables/table25.xml><?xml version="1.0" encoding="utf-8"?>
<table xmlns="http://schemas.openxmlformats.org/spreadsheetml/2006/main" id="38" name="writer_NotCNH" displayName="writer_NotCNH" ref="A20:F21" insertRow="1" totalsRowShown="0" headerRowDxfId="208" dataDxfId="207">
  <autoFilter ref="A20:F21">
    <filterColumn colId="2" hiddenButton="1"/>
  </autoFilter>
  <tableColumns count="6">
    <tableColumn id="29" name="Index"/>
    <tableColumn id="30" name="板块"/>
    <tableColumn id="3" name="货币"/>
    <tableColumn id="31" name="信用主体(备证行)"/>
    <tableColumn id="32" name="描述"/>
    <tableColumn id="33" name="Stats"/>
  </tableColumns>
  <tableStyleInfo name="Qry Load 5" showFirstColumn="0" showLastColumn="0" showRowStripes="1" showColumnStripes="0"/>
</table>
</file>

<file path=xl/tables/table26.xml><?xml version="1.0" encoding="utf-8"?>
<table xmlns="http://schemas.openxmlformats.org/spreadsheetml/2006/main" id="44" name="ECON" displayName="ECON" ref="A12:O27" totalsRowShown="0">
  <autoFilter ref="A12:O2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sortState ref="A13:O27">
    <sortCondition descending="1" ref="I12:I27"/>
  </sortState>
  <tableColumns count="15">
    <tableColumn id="1" name="Date" dataDxfId="206"/>
    <tableColumn id="13" name="Region" dataDxfId="205"/>
    <tableColumn id="3" name="Event" dataDxfId="204"/>
    <tableColumn id="14" name="Period" dataDxfId="203"/>
    <tableColumn id="5" name="Survey" dataDxfId="202"/>
    <tableColumn id="6" name="Actual" dataDxfId="201"/>
    <tableColumn id="7" name="Prior" dataDxfId="200"/>
    <tableColumn id="8" name="Revised" dataDxfId="199"/>
    <tableColumn id="9" name="Relevance" dataDxfId="198"/>
    <tableColumn id="10" name="Ticker" dataDxfId="197"/>
    <tableColumn id="11" name="Time" dataDxfId="196"/>
    <tableColumn id="15" name="Table" dataDxfId="195"/>
    <tableColumn id="17" name="区间" dataDxfId="194"/>
    <tableColumn id="18" name="范围" dataDxfId="193"/>
    <tableColumn id="16" name="上周主要经济数据" dataDxfId="192"/>
  </tableColumns>
  <tableStyleInfo name="Qry Load 5" showFirstColumn="0" showLastColumn="0" showRowStripes="1" showColumnStripes="0"/>
</table>
</file>

<file path=xl/tables/table27.xml><?xml version="1.0" encoding="utf-8"?>
<table xmlns="http://schemas.openxmlformats.org/spreadsheetml/2006/main" id="45" name="input_econ" displayName="input_econ" ref="B2:G8" totalsRowShown="0" headerRowDxfId="191" dataDxfId="190">
  <autoFilter ref="B2:G8"/>
  <sortState ref="B3:G8">
    <sortCondition ref="D2:D8"/>
  </sortState>
  <tableColumns count="6">
    <tableColumn id="6" name="Index" dataDxfId="189"/>
    <tableColumn id="1" name="上周主要经济数据" dataDxfId="188"/>
    <tableColumn id="2" name="发布(HKT) " dataDxfId="187"/>
    <tableColumn id="3" name="前值" dataDxfId="186"/>
    <tableColumn id="4" name="预期" dataDxfId="185"/>
    <tableColumn id="5" name="现值" dataDxfId="184"/>
  </tableColumns>
  <tableStyleInfo name="Qry Load 5" showFirstColumn="0" showLastColumn="0" showRowStripes="1" showColumnStripes="0"/>
</table>
</file>

<file path=xl/tables/table28.xml><?xml version="1.0" encoding="utf-8"?>
<table xmlns="http://schemas.openxmlformats.org/spreadsheetml/2006/main" id="16" name="FUTURE" displayName="FUTURE" ref="A10:O23" totalsRowShown="0" dataDxfId="183">
  <autoFilter ref="A10:O23"/>
  <sortState ref="A11:O23">
    <sortCondition descending="1" ref="I10:I23"/>
  </sortState>
  <tableColumns count="15">
    <tableColumn id="1" name="Date" dataDxfId="182"/>
    <tableColumn id="2" name="Region" dataDxfId="181"/>
    <tableColumn id="3" name="Event" dataDxfId="180"/>
    <tableColumn id="4" name="Period" dataDxfId="179"/>
    <tableColumn id="5" name="Survey" dataDxfId="178"/>
    <tableColumn id="6" name="Actual" dataDxfId="177"/>
    <tableColumn id="7" name="Prior" dataDxfId="176"/>
    <tableColumn id="8" name="Revised" dataDxfId="175"/>
    <tableColumn id="9" name="Relevance" dataDxfId="174"/>
    <tableColumn id="10" name="Ticker" dataDxfId="173"/>
    <tableColumn id="11" name="Time" dataDxfId="172"/>
    <tableColumn id="12" name="Table" dataDxfId="171"/>
    <tableColumn id="14" name="区间" dataDxfId="170"/>
    <tableColumn id="15" name="范围" dataDxfId="169"/>
    <tableColumn id="16" name="未来一周主要经济数据" dataDxfId="168"/>
  </tableColumns>
  <tableStyleInfo name="Qry Load 3" showFirstColumn="0" showLastColumn="0" showRowStripes="1" showColumnStripes="0"/>
</table>
</file>

<file path=xl/tables/table29.xml><?xml version="1.0" encoding="utf-8"?>
<table xmlns="http://schemas.openxmlformats.org/spreadsheetml/2006/main" id="18" name="input_future" displayName="input_future" ref="B2:F8" totalsRowShown="0" headerRowDxfId="167" dataDxfId="166">
  <autoFilter ref="B2:F8"/>
  <sortState ref="B3:F8">
    <sortCondition ref="D2:D8"/>
  </sortState>
  <tableColumns count="5">
    <tableColumn id="6" name="Index" dataDxfId="165"/>
    <tableColumn id="1" name="未来一周主要经济数据" dataDxfId="164"/>
    <tableColumn id="2" name="预计发布(HKT) " dataDxfId="163"/>
    <tableColumn id="3" name="前值" dataDxfId="162"/>
    <tableColumn id="4" name="预期" dataDxfId="161"/>
  </tableColumns>
  <tableStyleInfo name="Qry Load 3" showFirstColumn="0" showLastColumn="0" showRowStripes="1" showColumnStripes="0"/>
</table>
</file>

<file path=xl/tables/table30.xml><?xml version="1.0" encoding="utf-8"?>
<table xmlns="http://schemas.openxmlformats.org/spreadsheetml/2006/main" id="46" name="wChart" displayName="wChart" ref="A2:L8" tableType="queryTable" totalsRowShown="0">
  <autoFilter ref="A2:L8"/>
  <tableColumns count="12">
    <tableColumn id="1" uniqueName="1" name="Index" queryTableFieldId="1"/>
    <tableColumn id="2" uniqueName="2" name="删除及隐藏" queryTableFieldId="2"/>
    <tableColumn id="3" uniqueName="3" name="定价日" queryTableFieldId="3" dataDxfId="160"/>
    <tableColumn id="4" uniqueName="4" name="ISIN" queryTableFieldId="4"/>
    <tableColumn id="5" uniqueName="5" name="信用主体" queryTableFieldId="5" dataDxfId="159"/>
    <tableColumn id="6" uniqueName="6" name="发行评级" queryTableFieldId="6"/>
    <tableColumn id="7" uniqueName="7" name="货币" queryTableFieldId="7"/>
    <tableColumn id="8" uniqueName="8" name="发行规模(亿)" queryTableFieldId="8"/>
    <tableColumn id="9" uniqueName="9" name="亿美元" queryTableFieldId="9"/>
    <tableColumn id="10" uniqueName="10" name="年期" queryTableFieldId="10"/>
    <tableColumn id="11" uniqueName="11" name="Check" queryTableFieldId="11"/>
    <tableColumn id="12" uniqueName="12" name="mChart" queryTableFieldId="12"/>
  </tableColumns>
  <tableStyleInfo name="TableStyleMedium7" showFirstColumn="0" showLastColumn="0" showRowStripes="1" showColumnStripes="0"/>
</table>
</file>

<file path=xl/tables/table31.xml><?xml version="1.0" encoding="utf-8"?>
<table xmlns="http://schemas.openxmlformats.org/spreadsheetml/2006/main" id="30" name="wCredit" displayName="wCredit" ref="A4:K8" tableType="queryTable" totalsRowShown="0">
  <autoFilter ref="A4:K8">
    <filterColumn colId="0" hiddenButton="1"/>
    <filterColumn colId="2" hiddenButton="1"/>
    <filterColumn colId="3" hiddenButton="1"/>
  </autoFilter>
  <tableColumns count="11">
    <tableColumn id="7" uniqueName="7" name="信用主体" queryTableFieldId="7" dataDxfId="158"/>
    <tableColumn id="4" uniqueName="4" name="信用主体简称" queryTableFieldId="129"/>
    <tableColumn id="3" uniqueName="3" name="板块" queryTableFieldId="22"/>
    <tableColumn id="2" uniqueName="2" name="中资属性" queryTableFieldId="12"/>
    <tableColumn id="5" uniqueName="5" name="地区" queryTableFieldId="130"/>
    <tableColumn id="6" uniqueName="6" name="城市" queryTableFieldId="131"/>
    <tableColumn id="8" uniqueName="8" name="区县" queryTableFieldId="132"/>
    <tableColumn id="9" uniqueName="9" name="首次违约日" queryTableFieldId="133" dataDxfId="157"/>
    <tableColumn id="10" uniqueName="10" name="DEBUT_DATE" queryTableFieldId="134" dataDxfId="156"/>
    <tableColumn id="11" uniqueName="11" name="行业" queryTableFieldId="135"/>
    <tableColumn id="1" uniqueName="1" name="mCredit" queryTableFieldId="128"/>
  </tableColumns>
  <tableStyleInfo name="TableStyleMedium7" showFirstColumn="0" showLastColumn="0" showRowStripes="1" showColumnStripes="0"/>
</table>
</file>

<file path=xl/tables/table32.xml><?xml version="1.0" encoding="utf-8"?>
<table xmlns="http://schemas.openxmlformats.org/spreadsheetml/2006/main" id="26" name="AddTapISIN" displayName="AddTapISIN" ref="B9:K19" tableType="queryTable" totalsRowShown="0">
  <autoFilter ref="B9:K19"/>
  <tableColumns count="10">
    <tableColumn id="1" uniqueName="1" name="ISIN" queryTableFieldId="1"/>
    <tableColumn id="2" uniqueName="2" name="信用主体(备证行)" queryTableFieldId="2"/>
    <tableColumn id="3" uniqueName="3" name="定价日" queryTableFieldId="3"/>
    <tableColumn id="4" uniqueName="4" name="发行评级" queryTableFieldId="4"/>
    <tableColumn id="5" uniqueName="5" name="货币" queryTableFieldId="5"/>
    <tableColumn id="6" uniqueName="6" name="发行规模(亿)" queryTableFieldId="6" dataDxfId="153"/>
    <tableColumn id="7" uniqueName="7" name="年期" queryTableFieldId="7"/>
    <tableColumn id="8" uniqueName="8" name="票息" queryTableFieldId="8"/>
    <tableColumn id="9" uniqueName="9" name="IPG" queryTableFieldId="9"/>
    <tableColumn id="10" uniqueName="10" name="收窄基点" queryTableFieldId="10"/>
  </tableColumns>
  <tableStyleInfo name="Qry Load" showFirstColumn="0" showLastColumn="0" showRowStripes="1" showColumnStripes="0"/>
</table>
</file>

<file path=xl/tables/table33.xml><?xml version="1.0" encoding="utf-8"?>
<table xmlns="http://schemas.openxmlformats.org/spreadsheetml/2006/main" id="41" name="AddTapInput" displayName="AddTapInput" ref="B22:K23" totalsRowShown="0" dataDxfId="152">
  <autoFilter ref="B22:K2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原始ISIN" dataDxfId="151"/>
    <tableColumn id="10" name="添加增发方式" dataDxfId="150"/>
    <tableColumn id="11" name="增发判定" dataDxfId="149"/>
    <tableColumn id="12" name="增发ISIN" dataDxfId="148"/>
    <tableColumn id="2" name="定价日" dataDxfId="147"/>
    <tableColumn id="3" name="发行规模(亿)" dataDxfId="146"/>
    <tableColumn id="4" name="IPT" dataDxfId="145"/>
    <tableColumn id="5" name="FPG" dataDxfId="144"/>
    <tableColumn id="6" name="BOCOM_JGC" dataDxfId="143"/>
    <tableColumn id="8" name="BOCOM_JBR" dataDxfId="142"/>
  </tableColumns>
  <tableStyleInfo name="review" showFirstColumn="0" showLastColumn="0" showRowStripes="1" showColumnStripes="0"/>
</table>
</file>

<file path=xl/tables/table34.xml><?xml version="1.0" encoding="utf-8"?>
<table xmlns="http://schemas.openxmlformats.org/spreadsheetml/2006/main" id="49" name="AddTapLoad" displayName="AddTapLoad" ref="B26:C88" tableType="queryTable" totalsRowShown="0">
  <autoFilter ref="B26:C88"/>
  <tableColumns count="2">
    <tableColumn id="23" uniqueName="23" name="Column1" queryTableFieldId="1" dataDxfId="141"/>
    <tableColumn id="24" uniqueName="24" name="Column2" queryTableFieldId="2" dataDxfId="140"/>
  </tableColumns>
  <tableStyleInfo name="Qry Load" showFirstColumn="0" showLastColumn="0" showRowStripes="1" showColumnStripes="0"/>
</table>
</file>

<file path=xl/tables/table35.xml><?xml version="1.0" encoding="utf-8"?>
<table xmlns="http://schemas.openxmlformats.org/spreadsheetml/2006/main" id="50" name="TapLookup" displayName="TapLookup" ref="B5:D6" totalsRowShown="0" headerRowDxfId="139">
  <autoFilter ref="B5:D6">
    <filterColumn colId="0" hiddenButton="1"/>
    <filterColumn colId="1" hiddenButton="1"/>
    <filterColumn colId="2" hiddenButton="1"/>
  </autoFilter>
  <tableColumns count="3">
    <tableColumn id="1" name="输入要查询的ISIN" dataDxfId="138"/>
    <tableColumn id="2" name="输入主体关键字" dataDxfId="137"/>
    <tableColumn id="3" name="AddToDLD" dataDxfId="136"/>
  </tableColumns>
  <tableStyleInfo name="Qry Load" showFirstColumn="0" showLastColumn="0" showRowStripes="1" showColumnStripes="0"/>
</table>
</file>

<file path=xl/tables/table36.xml><?xml version="1.0" encoding="utf-8"?>
<table xmlns="http://schemas.openxmlformats.org/spreadsheetml/2006/main" id="72" name="wNews_Input" displayName="wNews_Input" ref="A4:C10" totalsRowShown="0" dataDxfId="135">
  <tableColumns count="3">
    <tableColumn id="1" name="Index" dataDxfId="134"/>
    <tableColumn id="3" name="新闻" dataDxfId="133"/>
    <tableColumn id="4" name="来源" dataDxfId="132"/>
  </tableColumns>
  <tableStyleInfo name="Qry Load 5" showFirstColumn="0" showLastColumn="0" showRowStripes="1" showColumnStripes="0"/>
</table>
</file>

<file path=xl/tables/table37.xml><?xml version="1.0" encoding="utf-8"?>
<table xmlns="http://schemas.openxmlformats.org/spreadsheetml/2006/main" id="6" name="行业" displayName="行业" ref="F19:F25" totalsRowShown="0">
  <autoFilter ref="F19:F25">
    <filterColumn colId="0" hiddenButton="1"/>
  </autoFilter>
  <tableColumns count="1">
    <tableColumn id="1" name="行业"/>
  </tableColumns>
  <tableStyleInfo name="Qry Source" showFirstColumn="0" showLastColumn="0" showRowStripes="1" showColumnStripes="0"/>
</table>
</file>

<file path=xl/tables/table38.xml><?xml version="1.0" encoding="utf-8"?>
<table xmlns="http://schemas.openxmlformats.org/spreadsheetml/2006/main" id="5" name="tbl_dd_by_rtg" displayName="tbl_dd_by_rtg" ref="F14:F17" totalsRowShown="0">
  <autoFilter ref="F14:F17">
    <filterColumn colId="0" hiddenButton="1"/>
  </autoFilter>
  <tableColumns count="1">
    <tableColumn id="1" name="评级分类"/>
  </tableColumns>
  <tableStyleInfo name="Qry Source" showFirstColumn="0" showLastColumn="0" showRowStripes="1" showColumnStripes="0"/>
</table>
</file>

<file path=xl/tables/table39.xml><?xml version="1.0" encoding="utf-8"?>
<table xmlns="http://schemas.openxmlformats.org/spreadsheetml/2006/main" id="29" name="tbl_dd_coverage" displayName="tbl_dd_coverage" ref="F33:F37" totalsRowShown="0">
  <autoFilter ref="F33:F37">
    <filterColumn colId="0" hiddenButton="1"/>
  </autoFilter>
  <tableColumns count="1">
    <tableColumn id="1" name="COVERAGE"/>
  </tableColumns>
  <tableStyleInfo name="Qry Source" showFirstColumn="0" showLastColumn="0" showRowStripes="1" showColumnStripes="0"/>
</table>
</file>

<file path=xl/tables/table40.xml><?xml version="1.0" encoding="utf-8"?>
<table xmlns="http://schemas.openxmlformats.org/spreadsheetml/2006/main" id="20" name="中资属性" displayName="中资属性" ref="I14:J21" tableType="queryTable" totalsRowShown="0">
  <autoFilter ref="I14:J21">
    <filterColumn colId="0" hiddenButton="1"/>
  </autoFilter>
  <tableColumns count="2">
    <tableColumn id="1" uniqueName="1" name="中资属性" queryTableFieldId="1" dataDxfId="128"/>
    <tableColumn id="2" uniqueName="2" name="SortValue" queryTableFieldId="2"/>
  </tableColumns>
  <tableStyleInfo name="Named_dd" showFirstColumn="0" showLastColumn="0" showRowStripes="1" showColumnStripes="0"/>
</table>
</file>

<file path=xl/tables/table41.xml><?xml version="1.0" encoding="utf-8"?>
<table xmlns="http://schemas.openxmlformats.org/spreadsheetml/2006/main" id="34" name="BISL_ROLE" displayName="BISL_ROLE" ref="I31:J37" tableType="queryTable" totalsRowShown="0">
  <autoFilter ref="I31:J37">
    <filterColumn colId="0" hiddenButton="1"/>
  </autoFilter>
  <tableColumns count="2">
    <tableColumn id="1" uniqueName="1" name="BISL_ROLE" queryTableFieldId="1" dataDxfId="127"/>
    <tableColumn id="2" uniqueName="2" name="SortValue" queryTableFieldId="2"/>
  </tableColumns>
  <tableStyleInfo name="Named_dd" showFirstColumn="0" showLastColumn="0" showRowStripes="1" showColumnStripes="0"/>
</table>
</file>

<file path=xl/tables/table42.xml><?xml version="1.0" encoding="utf-8"?>
<table xmlns="http://schemas.openxmlformats.org/spreadsheetml/2006/main" id="42" name="Updator" displayName="Updator" ref="I6:J11" tableType="queryTable" totalsRowShown="0">
  <autoFilter ref="I6:J11">
    <filterColumn colId="0" hiddenButton="1"/>
  </autoFilter>
  <tableColumns count="2">
    <tableColumn id="1" uniqueName="1" name="Updator" queryTableFieldId="1" dataDxfId="126"/>
    <tableColumn id="2" uniqueName="2" name="Name" queryTableFieldId="2"/>
  </tableColumns>
  <tableStyleInfo name="Named_dd" showFirstColumn="0" showLastColumn="0" showRowStripes="1" showColumnStripes="0"/>
</table>
</file>

<file path=xl/tables/table43.xml><?xml version="1.0" encoding="utf-8"?>
<table xmlns="http://schemas.openxmlformats.org/spreadsheetml/2006/main" id="8" name="新规角色" displayName="新规角色" ref="I61:J67" tableType="queryTable" totalsRowShown="0">
  <autoFilter ref="I61:J67">
    <filterColumn colId="0" hiddenButton="1"/>
  </autoFilter>
  <tableColumns count="2">
    <tableColumn id="1" uniqueName="1" name="新规角色" queryTableFieldId="1" dataDxfId="125"/>
    <tableColumn id="2" uniqueName="2" name="SortValue" queryTableFieldId="2"/>
  </tableColumns>
  <tableStyleInfo name="Named_dd" showFirstColumn="0" showLastColumn="0" showRowStripes="1" showColumnStripes="0"/>
</table>
</file>

<file path=xl/tables/table44.xml><?xml version="1.0" encoding="utf-8"?>
<table xmlns="http://schemas.openxmlformats.org/spreadsheetml/2006/main" id="9" name="结构" displayName="结构" ref="D95:D104" tableType="queryTable" totalsRowShown="0">
  <autoFilter ref="D95:D104"/>
  <tableColumns count="1">
    <tableColumn id="1" uniqueName="1" name="dd_结构" queryTableFieldId="2" dataDxfId="124"/>
  </tableColumns>
  <tableStyleInfo name="Named_dd" showFirstColumn="0" showLastColumn="0" showRowStripes="1" showColumnStripes="0"/>
</table>
</file>

<file path=xl/tables/table45.xml><?xml version="1.0" encoding="utf-8"?>
<table xmlns="http://schemas.openxmlformats.org/spreadsheetml/2006/main" id="1" name="板块" displayName="板块" ref="I23:J29" tableType="queryTable" totalsRowShown="0">
  <autoFilter ref="I23:J29">
    <filterColumn colId="0" hiddenButton="1"/>
    <filterColumn colId="1" hiddenButton="1"/>
  </autoFilter>
  <tableColumns count="2">
    <tableColumn id="1" uniqueName="1" name="板块" queryTableFieldId="1" dataDxfId="123"/>
    <tableColumn id="2" uniqueName="2" name="SortValue" queryTableFieldId="2"/>
  </tableColumns>
  <tableStyleInfo name="Named_dd" showFirstColumn="0" showLastColumn="0" showRowStripes="1" showColumnStripes="0"/>
</table>
</file>

<file path=xl/tables/table46.xml><?xml version="1.0" encoding="utf-8"?>
<table xmlns="http://schemas.openxmlformats.org/spreadsheetml/2006/main" id="12" name="货币" displayName="货币" ref="I39:J50" tableType="queryTable" totalsRowShown="0">
  <autoFilter ref="I39:J50"/>
  <tableColumns count="2">
    <tableColumn id="1" uniqueName="1" name="货币" queryTableFieldId="1" dataDxfId="122"/>
    <tableColumn id="2" uniqueName="2" name="SortValue" queryTableFieldId="2" dataDxfId="121"/>
  </tableColumns>
  <tableStyleInfo name="Named_dd" showFirstColumn="0" showLastColumn="0" showRowStripes="1" showColumnStripes="0"/>
</table>
</file>

<file path=xl/tables/table47.xml><?xml version="1.0" encoding="utf-8"?>
<table xmlns="http://schemas.openxmlformats.org/spreadsheetml/2006/main" id="24" name="上市分类" displayName="上市分类" ref="I52:J59" tableType="queryTable" totalsRowShown="0">
  <autoFilter ref="I52:J59"/>
  <tableColumns count="2">
    <tableColumn id="1" uniqueName="1" name="上市分类" queryTableFieldId="1" dataDxfId="120"/>
    <tableColumn id="2" uniqueName="2" name="SortValue" queryTableFieldId="2" dataDxfId="119"/>
  </tableColumns>
  <tableStyleInfo name="Named_dd" showFirstColumn="0" showLastColumn="0" showRowStripes="1" showColumnStripes="0"/>
</table>
</file>

<file path=xl/tables/table48.xml><?xml version="1.0" encoding="utf-8"?>
<table xmlns="http://schemas.openxmlformats.org/spreadsheetml/2006/main" id="48" name="BOCOMJLM" displayName="BOCOMJLM" ref="F6:G12" totalsRowShown="0">
  <autoFilter ref="F6:G12"/>
  <tableColumns count="2">
    <tableColumn id="2" name="Find" dataDxfId="118"/>
    <tableColumn id="1" name="Replace"/>
  </tableColumns>
  <tableStyleInfo name="Qry Source" showFirstColumn="0" showLastColumn="0" showRowStripes="1" showColumnStripes="0"/>
</table>
</file>

<file path=xl/tables/table49.xml><?xml version="1.0" encoding="utf-8"?>
<table xmlns="http://schemas.openxmlformats.org/spreadsheetml/2006/main" id="57" name="备证行" displayName="备证行" ref="D41:D93" tableType="queryTable" totalsRowShown="0">
  <autoFilter ref="D41:D93"/>
  <tableColumns count="1">
    <tableColumn id="1" uniqueName="1" name="备证行" queryTableFieldId="1" dataDxfId="117"/>
  </tableColumns>
  <tableStyleInfo name="Named_dd" showFirstColumn="0" showLastColumn="0" showRowStripes="1" showColumnStripes="0"/>
</table>
</file>

<file path=xl/tables/table50.xml><?xml version="1.0" encoding="utf-8"?>
<table xmlns="http://schemas.openxmlformats.org/spreadsheetml/2006/main" id="52" name="地区" displayName="地区" ref="D6:D39" tableType="queryTable" totalsRowShown="0">
  <autoFilter ref="D6:D39"/>
  <tableColumns count="1">
    <tableColumn id="1" uniqueName="1" name="地区" queryTableFieldId="1" dataDxfId="116"/>
  </tableColumns>
  <tableStyleInfo name="Named_dd" showFirstColumn="0" showLastColumn="0" showRowStripes="1" showColumnStripes="0"/>
</table>
</file>

<file path=xl/tables/table51.xml><?xml version="1.0" encoding="utf-8"?>
<table xmlns="http://schemas.openxmlformats.org/spreadsheetml/2006/main" id="53" name="主题债券" displayName="主题债券" ref="F27:F31" totalsRowShown="0">
  <autoFilter ref="F27:F31"/>
  <tableColumns count="1">
    <tableColumn id="1" name="主题债券"/>
  </tableColumns>
  <tableStyleInfo name="Qry Source" showFirstColumn="0" showLastColumn="0" showRowStripes="1" showColumnStripes="0"/>
</table>
</file>

<file path=xl/tables/table52.xml><?xml version="1.0" encoding="utf-8"?>
<table xmlns="http://schemas.openxmlformats.org/spreadsheetml/2006/main" id="25" name="DMIHeaders" displayName="DMIHeaders" ref="M6:N74" tableType="queryTable" totalsRowShown="0">
  <autoFilter ref="M6:N74"/>
  <tableColumns count="2">
    <tableColumn id="1" uniqueName="1" name="DMI字段" queryTableFieldId="5"/>
    <tableColumn id="2" uniqueName="2" name="状态" queryTableFieldId="6"/>
  </tableColumns>
  <tableStyleInfo name="Qry Source" showFirstColumn="0" showLastColumn="0" showRowStripes="1" showColumnStripes="0"/>
</table>
</file>

<file path=xl/tables/table53.xml><?xml version="1.0" encoding="utf-8"?>
<table xmlns="http://schemas.openxmlformats.org/spreadsheetml/2006/main" id="54" name="DMIRenamed" displayName="DMIRenamed" ref="R6:S10" totalsRowShown="0">
  <autoFilter ref="R6:S10"/>
  <tableColumns count="2">
    <tableColumn id="1" name="DMIRenamed"/>
    <tableColumn id="2" name="Column1">
      <calculatedColumnFormula>DMIRenamed[[#This Row],[DMIRenamed]]&amp;"_DMI"</calculatedColumnFormula>
    </tableColumn>
  </tableColumns>
  <tableStyleInfo name="Qry Source" showFirstColumn="0" showLastColumn="0" showRowStripes="1" showColumnStripes="0"/>
</table>
</file>

<file path=xl/tables/table54.xml><?xml version="1.0" encoding="utf-8"?>
<table xmlns="http://schemas.openxmlformats.org/spreadsheetml/2006/main" id="56" name="ColNow_mCurated" displayName="ColNow_mCurated" ref="P6:P57" totalsRowShown="0">
  <autoFilter ref="P6:P57"/>
  <tableColumns count="1">
    <tableColumn id="1" name="ColNow_mCurated"/>
  </tableColumns>
  <tableStyleInfo name="Qry Source" showFirstColumn="0" showLastColumn="0" showRowStripes="1" showColumnStripes="0"/>
</table>
</file>

<file path=xl/tables/table55.xml><?xml version="1.0" encoding="utf-8"?>
<table xmlns="http://schemas.openxmlformats.org/spreadsheetml/2006/main" id="63" name="DimMonday" displayName="DimMonday" ref="D106:D113" tableType="queryTable" totalsRowShown="0">
  <autoFilter ref="D106:D113">
    <filterColumn colId="0" hiddenButton="1"/>
  </autoFilter>
  <tableColumns count="1">
    <tableColumn id="1" uniqueName="1" name="DimMonday" queryTableFieldId="1" dataDxfId="115"/>
  </tableColumns>
  <tableStyleInfo name="Named_dd" showFirstColumn="0" showLastColumn="0" showRowStripes="1" showColumnStripes="0"/>
</table>
</file>

<file path=xl/tables/table56.xml><?xml version="1.0" encoding="utf-8"?>
<table xmlns="http://schemas.openxmlformats.org/spreadsheetml/2006/main" id="28" name="tblstyle_strip1" displayName="tblstyle_strip1" ref="A21:A22" totalsRowShown="0">
  <autoFilter ref="A21:A22"/>
  <tableColumns count="1">
    <tableColumn id="1" name="Column1"/>
  </tableColumns>
  <tableStyleInfo name="DimSum" showFirstColumn="0" showLastColumn="0" showRowStripes="1" showColumnStripes="0"/>
</table>
</file>

<file path=xl/tables/table57.xml><?xml version="1.0" encoding="utf-8"?>
<table xmlns="http://schemas.openxmlformats.org/spreadsheetml/2006/main" id="35" name="tblstyle_strip2" displayName="tblstyle_strip2" ref="A24:A25" totalsRowShown="0">
  <autoFilter ref="A24:A25"/>
  <tableColumns count="1">
    <tableColumn id="1" name="Column1"/>
  </tableColumns>
  <tableStyleInfo name="BISL_Directory" showFirstColumn="0" showLastColumn="0" showRowStripes="1" showColumnStripes="0"/>
</table>
</file>

<file path=xl/tables/table58.xml><?xml version="1.0" encoding="utf-8"?>
<table xmlns="http://schemas.openxmlformats.org/spreadsheetml/2006/main" id="61" name="tblstyle_strip3" displayName="tblstyle_strip3" ref="A27:A28" totalsRowShown="0">
  <autoFilter ref="A27:A28"/>
  <tableColumns count="1">
    <tableColumn id="1" name="Column1"/>
  </tableColumns>
  <tableStyleInfo name="PRJ Style" showFirstColumn="0" showLastColumn="0" showRowStripes="1" showColumnStripes="0"/>
</table>
</file>

<file path=xl/tables/table59.xml><?xml version="1.0" encoding="utf-8"?>
<table xmlns="http://schemas.openxmlformats.org/spreadsheetml/2006/main" id="64" name="tblstyle_strip4" displayName="tblstyle_strip4" ref="A30:A31" totalsRowShown="0">
  <autoFilter ref="A30:A31"/>
  <tableColumns count="1">
    <tableColumn id="1" name="Column1"/>
  </tableColumns>
  <tableStyleInfo name="Qry Source 2" showFirstColumn="0" showLastColumn="0" showRowStripes="1" showColumnStripes="0"/>
</table>
</file>

<file path=xl/tables/table60.xml><?xml version="1.0" encoding="utf-8"?>
<table xmlns="http://schemas.openxmlformats.org/spreadsheetml/2006/main" id="65" name="tblstyle_strip5" displayName="tblstyle_strip5" ref="A33:A34" totalsRowShown="0">
  <autoFilter ref="A33:A34"/>
  <tableColumns count="1">
    <tableColumn id="1" name="Column1"/>
  </tableColumns>
  <tableStyleInfo name="Table Style 1 2" showFirstColumn="0" showLastColumn="0" showRowStripes="1" showColumnStripes="0"/>
</table>
</file>

<file path=xl/tables/table61.xml><?xml version="1.0" encoding="utf-8"?>
<table xmlns="http://schemas.openxmlformats.org/spreadsheetml/2006/main" id="66" name="tblstyle_strip6" displayName="tblstyle_strip6" ref="A36:A37" totalsRowShown="0">
  <autoFilter ref="A36:A37"/>
  <tableColumns count="1">
    <tableColumn id="1" name="Column1"/>
  </tableColumns>
  <tableStyleInfo name="mFTZ" showFirstColumn="0" showLastColumn="0" showRowStripes="1" showColumnStripes="0"/>
</table>
</file>

<file path=xl/tables/table62.xml><?xml version="1.0" encoding="utf-8"?>
<table xmlns="http://schemas.openxmlformats.org/spreadsheetml/2006/main" id="67" name="Table25" displayName="Table25" ref="A39:A40" insertRow="1" totalsRowShown="0">
  <autoFilter ref="A39:A40"/>
  <tableColumns count="1">
    <tableColumn id="1" name="Column1"/>
  </tableColumns>
  <tableStyleInfo name="Load Style" showFirstColumn="0" showLastColumn="0" showRowStripes="1" showColumnStripes="0"/>
</table>
</file>

<file path=xl/tables/table63.xml><?xml version="1.0" encoding="utf-8"?>
<table xmlns="http://schemas.openxmlformats.org/spreadsheetml/2006/main" id="68" name="Table75" displayName="Table75" ref="A42:A43" insertRow="1" totalsRowShown="0">
  <autoFilter ref="A42:A43"/>
  <tableColumns count="1">
    <tableColumn id="1" name="Column1"/>
  </tableColumns>
  <tableStyleInfo name="BISL" showFirstColumn="0" showLastColumn="0" showRowStripes="1" showColumnStripes="0"/>
</table>
</file>

<file path=xl/tables/table64.xml><?xml version="1.0" encoding="utf-8"?>
<table xmlns="http://schemas.openxmlformats.org/spreadsheetml/2006/main" id="69" name="Table88" displayName="Table88" ref="A45:A46" insertRow="1" totalsRowShown="0">
  <autoFilter ref="A45:A46"/>
  <tableColumns count="1">
    <tableColumn id="1" name="Column1"/>
  </tableColumns>
  <tableStyleInfo name="Qry Load 3" showFirstColumn="0" showLastColumn="0" showRowStripes="1" showColumnStripes="0"/>
</table>
</file>

<file path=xl/tables/table65.xml><?xml version="1.0" encoding="utf-8"?>
<table xmlns="http://schemas.openxmlformats.org/spreadsheetml/2006/main" id="70" name="DMI_HKEntity" displayName="DMI_HKEntity" ref="U6:V125" totalsRowShown="0">
  <autoFilter ref="U6:V125"/>
  <tableColumns count="2">
    <tableColumn id="1" name="DMI_HK&amp;Macau"/>
    <tableColumn id="2" name="DMI_CNSubsi"/>
  </tableColumns>
  <tableStyleInfo name="Qry Source" showFirstColumn="0" showLastColumn="0" showRowStripes="1" showColumnStripes="0"/>
</table>
</file>

<file path=xl/tables/table66.xml><?xml version="1.0" encoding="utf-8"?>
<table xmlns="http://schemas.openxmlformats.org/spreadsheetml/2006/main" id="71" name="dd_ESG" displayName="dd_ESG" ref="I69:J74" tableType="queryTable" totalsRowShown="0">
  <autoFilter ref="I69:J74"/>
  <tableColumns count="2">
    <tableColumn id="1" uniqueName="1" name="ESG" queryTableFieldId="1" dataDxfId="114"/>
    <tableColumn id="2" uniqueName="2" name="SortValue" queryTableFieldId="2" dataDxfId="113"/>
  </tableColumns>
  <tableStyleInfo name="Named_dd" showFirstColumn="0" showLastColumn="0" showRowStripes="1" showColumnStripes="0"/>
</table>
</file>

<file path=xl/tables/table67.xml><?xml version="1.0" encoding="utf-8"?>
<table xmlns="http://schemas.openxmlformats.org/spreadsheetml/2006/main" id="73" name="dd_新闻分类" displayName="dd_新闻分类" ref="D115:D122" totalsRowShown="0">
  <autoFilter ref="D115:D122"/>
  <tableColumns count="1">
    <tableColumn id="1" name="新闻分类"/>
  </tableColumns>
  <tableStyleInfo name="Named_dd" showFirstColumn="0" showLastColumn="0" showRowStripes="1" showColumnStripes="0"/>
</table>
</file>

<file path=xl/tables/table68.xml><?xml version="1.0" encoding="utf-8"?>
<table xmlns="http://schemas.openxmlformats.org/spreadsheetml/2006/main" id="74" name="dd_新闻地区" displayName="dd_新闻地区" ref="D124:D127" totalsRowShown="0">
  <autoFilter ref="D124:D127"/>
  <tableColumns count="1">
    <tableColumn id="1" name="新闻地区"/>
  </tableColumns>
  <tableStyleInfo name="Named_dd" showFirstColumn="0" showLastColumn="0" showRowStripes="1" showColumnStripes="0"/>
</table>
</file>

<file path=xl/tables/table69.xml><?xml version="1.0" encoding="utf-8"?>
<table xmlns="http://schemas.openxmlformats.org/spreadsheetml/2006/main" id="75" name="dd_港分_ROLE" displayName="dd_港分_ROLE" ref="I76:J82" tableType="queryTable" totalsRowShown="0">
  <autoFilter ref="I76:J82"/>
  <tableColumns count="2">
    <tableColumn id="1" uniqueName="1" name="港分_ROLE" queryTableFieldId="1"/>
    <tableColumn id="2" uniqueName="2" name="SortValue" queryTableFieldId="2"/>
  </tableColumns>
  <tableStyleInfo name="Named_dd" showFirstColumn="0" showLastColumn="0" showRowStripes="1" showColumnStripes="0"/>
</table>
</file>

<file path=xl/tables/table70.xml><?xml version="1.0" encoding="utf-8"?>
<table xmlns="http://schemas.openxmlformats.org/spreadsheetml/2006/main" id="76" name="dd_定价基准" displayName="dd_定价基准" ref="I84:J92" tableType="queryTable" totalsRowShown="0">
  <autoFilter ref="I84:J92"/>
  <tableColumns count="2">
    <tableColumn id="1" uniqueName="1" name="定价基准" queryTableFieldId="1" dataDxfId="112"/>
    <tableColumn id="2" uniqueName="2" name="SortValue" queryTableFieldId="2" dataDxfId="111"/>
  </tableColumns>
  <tableStyleInfo name="Named_dd" showFirstColumn="0" showLastColumn="0" showRowStripes="1" showColumnStripes="0"/>
</table>
</file>

<file path=xl/tables/table71.xml><?xml version="1.0" encoding="utf-8"?>
<table xmlns="http://schemas.openxmlformats.org/spreadsheetml/2006/main" id="51" name="AddNew" displayName="AddNew" ref="B3:C4" totalsRowShown="0" headerRowDxfId="110">
  <autoFilter ref="B3:C4"/>
  <tableColumns count="2">
    <tableColumn id="2" name="输入主体关键字" dataDxfId="109"/>
    <tableColumn id="3" name="AddToDLD" dataDxfId="108"/>
  </tableColumns>
  <tableStyleInfo name="Qry Load" showFirstColumn="0" showLastColumn="0" showRowStripes="1" showColumnStripes="0"/>
</table>
</file>

<file path=xl/tables/table72.xml><?xml version="1.0" encoding="utf-8"?>
<table xmlns="http://schemas.openxmlformats.org/spreadsheetml/2006/main" id="55" name="SearchCredit" displayName="SearchCredit" ref="B6:B16" tableType="queryTable" totalsRowShown="0">
  <autoFilter ref="B6:B16"/>
  <tableColumns count="1">
    <tableColumn id="1" uniqueName="1" name="信用主体" queryTableFieldId="1" dataDxfId="107"/>
  </tableColumns>
  <tableStyleInfo name="Qry Load" showFirstColumn="0" showLastColumn="0" showRowStripes="1" showColumnStripes="0"/>
</table>
</file>

<file path=xl/tables/table73.xml><?xml version="1.0" encoding="utf-8"?>
<table xmlns="http://schemas.openxmlformats.org/spreadsheetml/2006/main" id="58" name="Table58" displayName="Table58" ref="B24:C38" totalsRowShown="0" headerRowDxfId="106" dataDxfId="105">
  <autoFilter ref="B24:C38"/>
  <tableColumns count="2">
    <tableColumn id="1" name="债券详情" dataDxfId="104"/>
    <tableColumn id="2" name="Input" dataDxfId="103"/>
  </tableColumns>
  <tableStyleInfo name="Qry Load" showFirstColumn="0" showLastColumn="0" showRowStripes="1" showColumnStripes="0"/>
</table>
</file>

<file path=xl/tables/table74.xml><?xml version="1.0" encoding="utf-8"?>
<table xmlns="http://schemas.openxmlformats.org/spreadsheetml/2006/main" id="22" name="HeaderR" displayName="HeaderR" ref="K20:L27" totalsRowShown="0">
  <autoFilter ref="K20:L27"/>
  <tableColumns count="2">
    <tableColumn id="1" name="Find"/>
    <tableColumn id="2" name="Replace"/>
  </tableColumns>
  <tableStyleInfo name="Qry Source" showFirstColumn="0" showLastColumn="0" showRowStripes="1" showColumnStripes="0"/>
</table>
</file>

<file path=xl/tables/table75.xml><?xml version="1.0" encoding="utf-8"?>
<table xmlns="http://schemas.openxmlformats.org/spreadsheetml/2006/main" id="31" name="DLD_DMI" displayName="DLD_DMI" ref="A5:BV21" tableType="queryTable" totalsRowShown="0">
  <autoFilter ref="A5:BV21">
    <filterColumn colId="0" hiddenButton="1"/>
    <filterColumn colId="1" hiddenButton="1"/>
    <filterColumn colId="2" hiddenButton="1"/>
    <filterColumn colId="3"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6" hiddenButton="1"/>
    <filterColumn colId="57" hiddenButton="1"/>
    <filterColumn colId="58" hiddenButton="1"/>
    <filterColumn colId="59" hiddenButton="1"/>
    <filterColumn colId="60" hiddenButton="1"/>
    <filterColumn colId="62" hiddenButton="1"/>
    <filterColumn colId="63" hiddenButton="1"/>
    <filterColumn colId="64" hiddenButton="1"/>
    <filterColumn colId="65" hiddenButton="1"/>
    <filterColumn colId="66" hiddenButton="1"/>
    <filterColumn colId="67" hiddenButton="1"/>
    <filterColumn colId="68" hiddenButton="1"/>
    <filterColumn colId="72" hiddenButton="1"/>
    <filterColumn colId="73" hiddenButton="1"/>
  </autoFilter>
  <tableColumns count="74">
    <tableColumn id="1" uniqueName="1" name="信用主体" queryTableFieldId="1" dataDxfId="102"/>
    <tableColumn id="24" uniqueName="24" name="英文简称" queryTableFieldId="384" dataDxfId="101"/>
    <tableColumn id="9" uniqueName="9" name="ISIN" queryTableFieldId="9" dataDxfId="100"/>
    <tableColumn id="12" uniqueName="12" name="定价日" queryTableFieldId="12" dataDxfId="99"/>
    <tableColumn id="72" uniqueName="72" name="临时isin" queryTableFieldId="485" dataDxfId="98"/>
    <tableColumn id="58" uniqueName="58" name="付息频率" queryTableFieldId="58" dataDxfId="97"/>
    <tableColumn id="59" uniqueName="59" name="维好协议提供者" queryTableFieldId="59" dataDxfId="96"/>
    <tableColumn id="57" uniqueName="57" name="特殊条款" queryTableFieldId="57" dataDxfId="95"/>
    <tableColumn id="56" uniqueName="56" name="债券类型" queryTableFieldId="56" dataDxfId="94"/>
    <tableColumn id="55" uniqueName="55" name="交易状态" queryTableFieldId="55" dataDxfId="93"/>
    <tableColumn id="54" uniqueName="54" name="利率类型" queryTableFieldId="54" dataDxfId="92"/>
    <tableColumn id="53" uniqueName="53" name="是否存单" queryTableFieldId="53" dataDxfId="91"/>
    <tableColumn id="52" uniqueName="52" name="是否永续债" queryTableFieldId="52" dataDxfId="90"/>
    <tableColumn id="68" uniqueName="68" name="联席账簿管理人" queryTableFieldId="68" dataDxfId="89"/>
    <tableColumn id="51" uniqueName="51" name="牵头经办人" queryTableFieldId="51" dataDxfId="88"/>
    <tableColumn id="50" uniqueName="50" name="特殊条款说明" queryTableFieldId="50" dataDxfId="87"/>
    <tableColumn id="49" uniqueName="49" name="上市日期" queryTableFieldId="49" dataDxfId="86"/>
    <tableColumn id="67" uniqueName="67" name="定价_DMI" queryTableFieldId="67" dataDxfId="85"/>
    <tableColumn id="48" uniqueName="48" name="发行起始日" queryTableFieldId="48" dataDxfId="84"/>
    <tableColumn id="47" uniqueName="47" name="担保人" queryTableFieldId="47" dataDxfId="83"/>
    <tableColumn id="46" uniqueName="46" name="发行人" queryTableFieldId="46" dataDxfId="82"/>
    <tableColumn id="45" uniqueName="45" name="首次付息日" queryTableFieldId="45" dataDxfId="81"/>
    <tableColumn id="44" uniqueName="44" name="计息基准" queryTableFieldId="44" dataDxfId="80"/>
    <tableColumn id="43" uniqueName="43" name="最新票面利率" queryTableFieldId="43" dataDxfId="79"/>
    <tableColumn id="42" uniqueName="42" name="行权兑付日" queryTableFieldId="42" dataDxfId="78"/>
    <tableColumn id="41" uniqueName="41" name="起息日期" queryTableFieldId="41" dataDxfId="77"/>
    <tableColumn id="40" uniqueName="40" name="债券余额" queryTableFieldId="40" dataDxfId="76"/>
    <tableColumn id="39" uniqueName="39" name="债券最新面值" queryTableFieldId="39" dataDxfId="75"/>
    <tableColumn id="38" uniqueName="38" name="TICKER" queryTableFieldId="38" dataDxfId="74"/>
    <tableColumn id="66" uniqueName="66" name="筹款用途" queryTableFieldId="66" dataDxfId="73"/>
    <tableColumn id="65" uniqueName="65" name="投资者分布" queryTableFieldId="65" dataDxfId="72"/>
    <tableColumn id="64" uniqueName="64" name="投资者类型" queryTableFieldId="64" dataDxfId="71"/>
    <tableColumn id="63" uniqueName="63" name="投资者账户数" queryTableFieldId="63" dataDxfId="70"/>
    <tableColumn id="11" uniqueName="11" name="评级类型" queryTableFieldId="11" dataDxfId="69"/>
    <tableColumn id="2" uniqueName="2" name="公司类型" queryTableFieldId="2" dataDxfId="68"/>
    <tableColumn id="62" uniqueName="62" name="剩余期限" queryTableFieldId="62" dataDxfId="67"/>
    <tableColumn id="3" uniqueName="3" name="行业" queryTableFieldId="3" dataDxfId="66"/>
    <tableColumn id="17" uniqueName="17" name="境内主体评级" queryTableFieldId="17" dataDxfId="65"/>
    <tableColumn id="16" uniqueName="16" name="债项初始评级" queryTableFieldId="16" dataDxfId="64"/>
    <tableColumn id="10" uniqueName="10" name="主题债券" queryTableFieldId="10" dataDxfId="63"/>
    <tableColumn id="4" uniqueName="4" name="细分行业" queryTableFieldId="4" dataDxfId="62"/>
    <tableColumn id="23" uniqueName="23" name="发行方式" queryTableFieldId="23" dataDxfId="61"/>
    <tableColumn id="37" uniqueName="37" name="联席全球协调人" queryTableFieldId="37" dataDxfId="60"/>
    <tableColumn id="36" uniqueName="36" name="基金占比" queryTableFieldId="36" dataDxfId="59"/>
    <tableColumn id="35" uniqueName="35" name="亚洲占比" queryTableFieldId="35" dataDxfId="58"/>
    <tableColumn id="34" uniqueName="34" name="认购倍数" queryTableFieldId="34" dataDxfId="57"/>
    <tableColumn id="33" uniqueName="33" name="认购额(亿)" queryTableFieldId="33" dataDxfId="56"/>
    <tableColumn id="7" uniqueName="7" name="区县" queryTableFieldId="7" dataDxfId="55"/>
    <tableColumn id="6" uniqueName="6" name="城市" queryTableFieldId="6" dataDxfId="54"/>
    <tableColumn id="5" uniqueName="5" name="省份" queryTableFieldId="5" dataDxfId="53"/>
    <tableColumn id="32" uniqueName="32" name="首日涨跌" queryTableFieldId="32" dataDxfId="52"/>
    <tableColumn id="30" uniqueName="30" name="发行价" queryTableFieldId="30" dataDxfId="51"/>
    <tableColumn id="26" uniqueName="26" name="偿还顺位" queryTableFieldId="26" dataDxfId="50"/>
    <tableColumn id="25" uniqueName="25" name="SBLC提供者" queryTableFieldId="25" dataDxfId="49"/>
    <tableColumn id="69" uniqueName="69" name="发行架构" queryTableFieldId="78" dataDxfId="48"/>
    <tableColumn id="71" uniqueName="71" name="发行规则" queryTableFieldId="484" dataDxfId="47"/>
    <tableColumn id="22" uniqueName="22" name="收窄幅度(bp)" queryTableFieldId="22" dataDxfId="46"/>
    <tableColumn id="21" uniqueName="21" name="FPG_DMI" queryTableFieldId="21" dataDxfId="45"/>
    <tableColumn id="20" uniqueName="20" name="IPT_DMI" queryTableFieldId="20" dataDxfId="44"/>
    <tableColumn id="31" uniqueName="31" name="发行场所" queryTableFieldId="31" dataDxfId="43"/>
    <tableColumn id="19" uniqueName="19" name="兑付日" queryTableFieldId="19" dataDxfId="42"/>
    <tableColumn id="18" uniqueName="18" name="票息_DMI" queryTableFieldId="504" dataDxfId="41"/>
    <tableColumn id="28" uniqueName="28" name="货币" queryTableFieldId="28" dataDxfId="40"/>
    <tableColumn id="29" uniqueName="29" name="发行期限(年)" queryTableFieldId="29" dataDxfId="39"/>
    <tableColumn id="27" uniqueName="27" name="发行规模(亿)" queryTableFieldId="27" dataDxfId="38"/>
    <tableColumn id="15" uniqueName="15" name="债项评级" queryTableFieldId="15" dataDxfId="37"/>
    <tableColumn id="14" uniqueName="14" name="主体评级展望" queryTableFieldId="14" dataDxfId="36"/>
    <tableColumn id="13" uniqueName="13" name="穆迪/标普" queryTableFieldId="13" dataDxfId="35"/>
    <tableColumn id="8" uniqueName="8" name="债券简称" queryTableFieldId="8" dataDxfId="34"/>
    <tableColumn id="73" uniqueName="73" name="DataSource" queryTableFieldId="510" dataDxfId="33"/>
    <tableColumn id="70" uniqueName="70" name="首次违约日" queryTableFieldId="579" dataDxfId="32"/>
    <tableColumn id="74" uniqueName="74" name="IS_EXCH" queryTableFieldId="580"/>
    <tableColumn id="60" uniqueName="60" name="地区" queryTableFieldId="60" dataDxfId="31"/>
    <tableColumn id="61" uniqueName="61" name="Check" queryTableFieldId="61" dataDxfId="30"/>
  </tableColumns>
  <tableStyleInfo name="TableStyleMedium7" showFirstColumn="0" showLastColumn="0" showRowStripes="1" showColumnStripes="0"/>
</table>
</file>

<file path=xl/tables/table76.xml><?xml version="1.0" encoding="utf-8"?>
<table xmlns="http://schemas.openxmlformats.org/spreadsheetml/2006/main" id="23" name="DLD_BBG_Corp" displayName="DLD_BBG_Corp" ref="A5:Y34" tableType="queryTable" totalsRowShown="0">
  <autoFilter ref="A5:Y34">
    <filterColumn colId="0" hiddenButton="1"/>
    <filterColumn colId="1" hiddenButton="1"/>
    <filterColumn colId="3" hiddenButton="1"/>
    <filterColumn colId="4" hiddenButton="1"/>
    <filterColumn colId="7" hiddenButton="1"/>
    <filterColumn colId="8" hiddenButton="1"/>
    <filterColumn colId="24" hiddenButton="1"/>
  </autoFilter>
  <tableColumns count="25">
    <tableColumn id="2" uniqueName="2" name="定价日" queryTableFieldId="2" dataDxfId="29"/>
    <tableColumn id="3" uniqueName="3" name="ISIN" queryTableFieldId="3" dataDxfId="28"/>
    <tableColumn id="14" uniqueName="14" name="信用主体" queryTableFieldId="19" dataDxfId="27"/>
    <tableColumn id="4" uniqueName="4" name="补充OMAS updates" queryTableFieldId="4" dataDxfId="26"/>
    <tableColumn id="5" uniqueName="5" name="发行评级" queryTableFieldId="5" dataDxfId="25"/>
    <tableColumn id="12" uniqueName="12" name="注册成立地" queryTableFieldId="85" dataDxfId="24"/>
    <tableColumn id="13" uniqueName="13" name="发行人主上市地" queryTableFieldId="15" dataDxfId="23"/>
    <tableColumn id="7" uniqueName="7" name="主体评级" queryTableFieldId="7" dataDxfId="22"/>
    <tableColumn id="8" uniqueName="8" name="定价息差" queryTableFieldId="8" dataDxfId="21"/>
    <tableColumn id="9" uniqueName="9" name="浮息息差" queryTableFieldId="107"/>
    <tableColumn id="16" uniqueName="16" name="发行人" queryTableFieldId="21" dataDxfId="20"/>
    <tableColumn id="17" uniqueName="17" name="担保人" queryTableFieldId="22" dataDxfId="19"/>
    <tableColumn id="18" uniqueName="18" name="维好协议提供者" queryTableFieldId="23" dataDxfId="18"/>
    <tableColumn id="19" uniqueName="19" name="起息日期" queryTableFieldId="24" dataDxfId="17"/>
    <tableColumn id="20" uniqueName="20" name="兑付日" queryTableFieldId="25" dataDxfId="16"/>
    <tableColumn id="21" uniqueName="21" name="行权兑付日" queryTableFieldId="26" dataDxfId="15"/>
    <tableColumn id="22" uniqueName="22" name="票息" queryTableFieldId="27" dataDxfId="14"/>
    <tableColumn id="23" uniqueName="23" name="货币" queryTableFieldId="28" dataDxfId="13"/>
    <tableColumn id="29" uniqueName="29" name="发行价" queryTableFieldId="87" dataDxfId="12"/>
    <tableColumn id="24" uniqueName="24" name="发行规模(亿)" queryTableFieldId="29" dataDxfId="11"/>
    <tableColumn id="15" uniqueName="15" name="Parent company tiker" queryTableFieldId="67" dataDxfId="10"/>
    <tableColumn id="25" uniqueName="25" name="Parent Company 评级" queryTableFieldId="68" dataDxfId="9"/>
    <tableColumn id="1" uniqueName="1" name="ESG_Indicator" queryTableFieldId="103" dataDxfId="8"/>
    <tableColumn id="6" uniqueName="6" name="SBLC_Provider_Name" queryTableFieldId="105" dataDxfId="7"/>
    <tableColumn id="10" uniqueName="10" name="Check" queryTableFieldId="10" dataDxfId="6"/>
  </tableColumns>
  <tableStyleInfo name="TableStyleMedium7"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ctrlProp" Target="../ctrlProps/ctrlProp3.xml"/><Relationship Id="rId10" Type="http://schemas.openxmlformats.org/officeDocument/2006/relationships/comments" Target="../comments1.xml"/><Relationship Id="rId4" Type="http://schemas.openxmlformats.org/officeDocument/2006/relationships/ctrlProp" Target="../ctrlProps/ctrlProp2.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3.vml"/><Relationship Id="rId7" Type="http://schemas.openxmlformats.org/officeDocument/2006/relationships/table" Target="../tables/table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4.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table" Target="../tables/table1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table" Target="../tables/table2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35.xml"/><Relationship Id="rId5" Type="http://schemas.openxmlformats.org/officeDocument/2006/relationships/table" Target="../tables/table34.xml"/><Relationship Id="rId4" Type="http://schemas.openxmlformats.org/officeDocument/2006/relationships/table" Target="../tables/table3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43.xml"/><Relationship Id="rId13" Type="http://schemas.openxmlformats.org/officeDocument/2006/relationships/table" Target="../tables/table48.xml"/><Relationship Id="rId18" Type="http://schemas.openxmlformats.org/officeDocument/2006/relationships/table" Target="../tables/table53.xml"/><Relationship Id="rId26" Type="http://schemas.openxmlformats.org/officeDocument/2006/relationships/table" Target="../tables/table61.xml"/><Relationship Id="rId3" Type="http://schemas.openxmlformats.org/officeDocument/2006/relationships/table" Target="../tables/table38.xml"/><Relationship Id="rId21" Type="http://schemas.openxmlformats.org/officeDocument/2006/relationships/table" Target="../tables/table56.xml"/><Relationship Id="rId34" Type="http://schemas.openxmlformats.org/officeDocument/2006/relationships/table" Target="../tables/table69.xml"/><Relationship Id="rId7" Type="http://schemas.openxmlformats.org/officeDocument/2006/relationships/table" Target="../tables/table42.xml"/><Relationship Id="rId12" Type="http://schemas.openxmlformats.org/officeDocument/2006/relationships/table" Target="../tables/table47.xml"/><Relationship Id="rId17" Type="http://schemas.openxmlformats.org/officeDocument/2006/relationships/table" Target="../tables/table52.xml"/><Relationship Id="rId25" Type="http://schemas.openxmlformats.org/officeDocument/2006/relationships/table" Target="../tables/table60.xml"/><Relationship Id="rId33" Type="http://schemas.openxmlformats.org/officeDocument/2006/relationships/table" Target="../tables/table68.xml"/><Relationship Id="rId2" Type="http://schemas.openxmlformats.org/officeDocument/2006/relationships/table" Target="../tables/table37.xml"/><Relationship Id="rId16" Type="http://schemas.openxmlformats.org/officeDocument/2006/relationships/table" Target="../tables/table51.xml"/><Relationship Id="rId20" Type="http://schemas.openxmlformats.org/officeDocument/2006/relationships/table" Target="../tables/table55.xml"/><Relationship Id="rId29" Type="http://schemas.openxmlformats.org/officeDocument/2006/relationships/table" Target="../tables/table64.xml"/><Relationship Id="rId1" Type="http://schemas.openxmlformats.org/officeDocument/2006/relationships/printerSettings" Target="../printerSettings/printerSettings11.bin"/><Relationship Id="rId6" Type="http://schemas.openxmlformats.org/officeDocument/2006/relationships/table" Target="../tables/table41.xml"/><Relationship Id="rId11" Type="http://schemas.openxmlformats.org/officeDocument/2006/relationships/table" Target="../tables/table46.xml"/><Relationship Id="rId24" Type="http://schemas.openxmlformats.org/officeDocument/2006/relationships/table" Target="../tables/table59.xml"/><Relationship Id="rId32" Type="http://schemas.openxmlformats.org/officeDocument/2006/relationships/table" Target="../tables/table67.xml"/><Relationship Id="rId5" Type="http://schemas.openxmlformats.org/officeDocument/2006/relationships/table" Target="../tables/table40.xml"/><Relationship Id="rId15" Type="http://schemas.openxmlformats.org/officeDocument/2006/relationships/table" Target="../tables/table50.xml"/><Relationship Id="rId23" Type="http://schemas.openxmlformats.org/officeDocument/2006/relationships/table" Target="../tables/table58.xml"/><Relationship Id="rId28" Type="http://schemas.openxmlformats.org/officeDocument/2006/relationships/table" Target="../tables/table63.xml"/><Relationship Id="rId10" Type="http://schemas.openxmlformats.org/officeDocument/2006/relationships/table" Target="../tables/table45.xml"/><Relationship Id="rId19" Type="http://schemas.openxmlformats.org/officeDocument/2006/relationships/table" Target="../tables/table54.xml"/><Relationship Id="rId31" Type="http://schemas.openxmlformats.org/officeDocument/2006/relationships/table" Target="../tables/table66.xml"/><Relationship Id="rId4" Type="http://schemas.openxmlformats.org/officeDocument/2006/relationships/table" Target="../tables/table39.xml"/><Relationship Id="rId9" Type="http://schemas.openxmlformats.org/officeDocument/2006/relationships/table" Target="../tables/table44.xml"/><Relationship Id="rId14" Type="http://schemas.openxmlformats.org/officeDocument/2006/relationships/table" Target="../tables/table49.xml"/><Relationship Id="rId22" Type="http://schemas.openxmlformats.org/officeDocument/2006/relationships/table" Target="../tables/table57.xml"/><Relationship Id="rId27" Type="http://schemas.openxmlformats.org/officeDocument/2006/relationships/table" Target="../tables/table62.xml"/><Relationship Id="rId30" Type="http://schemas.openxmlformats.org/officeDocument/2006/relationships/table" Target="../tables/table65.xml"/><Relationship Id="rId35" Type="http://schemas.openxmlformats.org/officeDocument/2006/relationships/table" Target="../tables/table70.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72.xml"/><Relationship Id="rId2" Type="http://schemas.openxmlformats.org/officeDocument/2006/relationships/table" Target="../tables/table71.xml"/><Relationship Id="rId1" Type="http://schemas.openxmlformats.org/officeDocument/2006/relationships/printerSettings" Target="../printerSettings/printerSettings12.bin"/><Relationship Id="rId5" Type="http://schemas.openxmlformats.org/officeDocument/2006/relationships/table" Target="../tables/table74.xml"/><Relationship Id="rId4" Type="http://schemas.openxmlformats.org/officeDocument/2006/relationships/table" Target="../tables/table7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5.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7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E1E1E9"/>
  </sheetPr>
  <dimension ref="A1:DB44"/>
  <sheetViews>
    <sheetView topLeftCell="L1" zoomScale="85" zoomScaleNormal="85" workbookViewId="0">
      <selection activeCell="S4" sqref="S4"/>
    </sheetView>
  </sheetViews>
  <sheetFormatPr defaultColWidth="8.88671875" defaultRowHeight="18" customHeight="1" outlineLevelCol="1" x14ac:dyDescent="0.25"/>
  <cols>
    <col min="1" max="1" width="6.21875" style="2" customWidth="1"/>
    <col min="2" max="3" width="20" style="2" customWidth="1"/>
    <col min="4" max="4" width="11.21875" style="129" customWidth="1"/>
    <col min="5" max="5" width="17.21875" style="2" customWidth="1"/>
    <col min="6" max="6" width="12" style="2" customWidth="1"/>
    <col min="7" max="7" width="4.77734375" style="2" customWidth="1"/>
    <col min="8" max="8" width="19.44140625" style="2" bestFit="1" customWidth="1"/>
    <col min="9" max="9" width="7.88671875" style="2" customWidth="1"/>
    <col min="10" max="10" width="5.5546875" style="2" bestFit="1" customWidth="1"/>
    <col min="11" max="11" width="10" style="2" bestFit="1" customWidth="1"/>
    <col min="12" max="12" width="26.44140625" style="2" bestFit="1" customWidth="1"/>
    <col min="13" max="13" width="4.33203125" style="2" bestFit="1" customWidth="1"/>
    <col min="14" max="14" width="14.21875" style="2" bestFit="1" customWidth="1"/>
    <col min="15" max="15" width="10.33203125" style="2" bestFit="1" customWidth="1"/>
    <col min="16" max="16" width="4.6640625" style="2" bestFit="1" customWidth="1"/>
    <col min="17" max="17" width="7.6640625" style="2" bestFit="1" customWidth="1"/>
    <col min="18" max="18" width="8.109375" style="2" bestFit="1" customWidth="1"/>
    <col min="19" max="19" width="12.21875" style="2" bestFit="1" customWidth="1"/>
    <col min="20" max="21" width="80.88671875" style="2" hidden="1" customWidth="1" outlineLevel="1"/>
    <col min="22" max="22" width="19" style="2" hidden="1" customWidth="1" outlineLevel="1"/>
    <col min="23" max="23" width="13.21875" style="2" hidden="1" customWidth="1" outlineLevel="1"/>
    <col min="24" max="24" width="7.6640625" style="2" hidden="1" customWidth="1" outlineLevel="1"/>
    <col min="25" max="25" width="12.6640625" style="2" hidden="1" customWidth="1" outlineLevel="1"/>
    <col min="26" max="30" width="7.6640625" style="2" hidden="1" customWidth="1" outlineLevel="1"/>
    <col min="31" max="31" width="9.33203125" style="2" hidden="1" customWidth="1" outlineLevel="1"/>
    <col min="32" max="32" width="80.88671875" style="2" hidden="1" customWidth="1" outlineLevel="1"/>
    <col min="33" max="33" width="19" style="2" hidden="1" customWidth="1" outlineLevel="1"/>
    <col min="34" max="34" width="10.33203125" style="2" hidden="1" customWidth="1" outlineLevel="1"/>
    <col min="35" max="35" width="8.6640625" style="2" hidden="1" customWidth="1" outlineLevel="1"/>
    <col min="36" max="36" width="10.33203125" style="2" hidden="1" customWidth="1" outlineLevel="1"/>
    <col min="37" max="37" width="25.88671875" style="2" hidden="1" customWidth="1" outlineLevel="1"/>
    <col min="38" max="38" width="48" style="2" hidden="1" customWidth="1" outlineLevel="1"/>
    <col min="39" max="39" width="10.33203125" style="2" hidden="1" customWidth="1" outlineLevel="1"/>
    <col min="40" max="40" width="22" style="2" hidden="1" customWidth="1" outlineLevel="1"/>
    <col min="41" max="41" width="11" style="2" hidden="1" customWidth="1" outlineLevel="1"/>
    <col min="42" max="42" width="9.33203125" style="2" hidden="1" customWidth="1" outlineLevel="1"/>
    <col min="43" max="43" width="10.33203125" style="2" hidden="1" customWidth="1" outlineLevel="1"/>
    <col min="44" max="44" width="7.6640625" style="2" hidden="1" customWidth="1" outlineLevel="1"/>
    <col min="45" max="45" width="11" style="2" hidden="1" customWidth="1" outlineLevel="1"/>
    <col min="46" max="46" width="8.21875" style="2" hidden="1" customWidth="1" outlineLevel="1"/>
    <col min="47" max="47" width="80.88671875" style="2" hidden="1" customWidth="1" outlineLevel="1"/>
    <col min="48" max="49" width="9.33203125" style="2" hidden="1" customWidth="1" outlineLevel="1"/>
    <col min="50" max="50" width="11" style="2" hidden="1" customWidth="1" outlineLevel="1"/>
    <col min="51" max="51" width="7.6640625" style="2" hidden="1" customWidth="1" outlineLevel="1"/>
    <col min="52" max="52" width="11" style="2" hidden="1" customWidth="1" outlineLevel="1"/>
    <col min="53" max="53" width="7.6640625" style="2" hidden="1" customWidth="1" outlineLevel="1"/>
    <col min="54" max="55" width="11" style="2" hidden="1" customWidth="1" outlineLevel="1"/>
    <col min="56" max="60" width="7.6640625" style="2" hidden="1" customWidth="1" outlineLevel="1"/>
    <col min="61" max="61" width="8.77734375" style="2" hidden="1" customWidth="1" outlineLevel="1"/>
    <col min="62" max="64" width="6" style="2" hidden="1" customWidth="1" outlineLevel="1"/>
    <col min="65" max="65" width="7.6640625" style="2" hidden="1" customWidth="1" outlineLevel="1"/>
    <col min="66" max="66" width="7" style="2" hidden="1" customWidth="1" outlineLevel="1"/>
    <col min="67" max="67" width="14.88671875" style="2" hidden="1" customWidth="1" outlineLevel="1"/>
    <col min="68" max="68" width="10.109375" style="2" hidden="1" customWidth="1" outlineLevel="1"/>
    <col min="69" max="70" width="7.6640625" style="2" hidden="1" customWidth="1" outlineLevel="1"/>
    <col min="71" max="71" width="11" style="2" hidden="1" customWidth="1" outlineLevel="1"/>
    <col min="72" max="72" width="31.5546875" style="2" hidden="1" customWidth="1" outlineLevel="1"/>
    <col min="73" max="73" width="10.33203125" style="2" hidden="1" customWidth="1" outlineLevel="1"/>
    <col min="74" max="74" width="8.6640625" style="2" hidden="1" customWidth="1" outlineLevel="1"/>
    <col min="75" max="76" width="10.44140625" style="1" hidden="1" customWidth="1" outlineLevel="1"/>
    <col min="77" max="77" width="7.6640625" style="1" hidden="1" customWidth="1" outlineLevel="1"/>
    <col min="78" max="78" width="11" style="2" hidden="1" customWidth="1" outlineLevel="1"/>
    <col min="79" max="79" width="8.44140625" style="1" hidden="1" customWidth="1" outlineLevel="1"/>
    <col min="80" max="80" width="26.77734375" style="2" hidden="1" customWidth="1" outlineLevel="1"/>
    <col min="81" max="81" width="10.44140625" style="2" hidden="1" customWidth="1" outlineLevel="1"/>
    <col min="82" max="82" width="9.33203125" style="2" hidden="1" customWidth="1" outlineLevel="1"/>
    <col min="83" max="83" width="7.77734375" style="2" hidden="1" customWidth="1" outlineLevel="1"/>
    <col min="84" max="84" width="4.33203125" style="2" hidden="1" customWidth="1" outlineLevel="1"/>
    <col min="85" max="85" width="9.5546875" style="2" hidden="1" customWidth="1" outlineLevel="1"/>
    <col min="86" max="86" width="9.33203125" style="1" hidden="1" customWidth="1" outlineLevel="1"/>
    <col min="87" max="87" width="12.6640625" style="1" hidden="1" customWidth="1" outlineLevel="1"/>
    <col min="88" max="88" width="16.6640625" style="1" hidden="1" customWidth="1" outlineLevel="1"/>
    <col min="89" max="89" width="7.6640625" style="1" hidden="1" customWidth="1" outlineLevel="1" collapsed="1"/>
    <col min="90" max="90" width="7.6640625" style="1" hidden="1" customWidth="1" outlineLevel="1"/>
    <col min="91" max="91" width="9.109375" style="1" hidden="1" customWidth="1" outlineLevel="1"/>
    <col min="92" max="92" width="12.21875" style="1" hidden="1" customWidth="1" outlineLevel="1"/>
    <col min="93" max="93" width="20" style="1" hidden="1" customWidth="1" outlineLevel="1"/>
    <col min="94" max="94" width="17.44140625" style="1" hidden="1" customWidth="1" outlineLevel="1"/>
    <col min="95" max="95" width="17.5546875" style="1" hidden="1" customWidth="1" outlineLevel="1"/>
    <col min="96" max="96" width="6.109375" style="1" bestFit="1" customWidth="1" collapsed="1"/>
    <col min="97" max="98" width="13.5546875" style="1" bestFit="1" customWidth="1"/>
    <col min="99" max="99" width="13.44140625" style="1" bestFit="1" customWidth="1"/>
    <col min="100" max="100" width="19.44140625" style="1" bestFit="1" customWidth="1"/>
    <col min="101" max="103" width="9.21875" style="2" bestFit="1" customWidth="1"/>
    <col min="104" max="104" width="11.44140625" style="2" bestFit="1" customWidth="1"/>
    <col min="105" max="105" width="10.88671875" style="1" bestFit="1" customWidth="1"/>
    <col min="106" max="106" width="7.77734375" style="1" bestFit="1" customWidth="1"/>
    <col min="107" max="107" width="6" style="2" bestFit="1" customWidth="1"/>
    <col min="108" max="108" width="8.88671875" style="2" bestFit="1" customWidth="1"/>
    <col min="109" max="111" width="19.5546875" style="2" bestFit="1" customWidth="1"/>
    <col min="112" max="112" width="8.88671875" style="2" bestFit="1" customWidth="1"/>
    <col min="113" max="113" width="10.5546875" style="2" bestFit="1" customWidth="1"/>
    <col min="114" max="115" width="10.33203125" style="2" bestFit="1" customWidth="1"/>
    <col min="116" max="116" width="10.5546875" style="2" bestFit="1" customWidth="1"/>
    <col min="117" max="117" width="19.5546875" style="2" bestFit="1" customWidth="1"/>
    <col min="118" max="118" width="10.5546875" style="2" bestFit="1" customWidth="1"/>
    <col min="119" max="119" width="10.33203125" style="2" bestFit="1" customWidth="1"/>
    <col min="120" max="121" width="10.5546875" style="2" bestFit="1" customWidth="1"/>
    <col min="122" max="122" width="16.6640625" style="2" bestFit="1" customWidth="1"/>
    <col min="123" max="123" width="7.6640625" style="2" bestFit="1" customWidth="1"/>
    <col min="124" max="125" width="10.44140625" style="2" bestFit="1" customWidth="1"/>
    <col min="126" max="126" width="17.33203125" style="2" bestFit="1" customWidth="1"/>
    <col min="127" max="128" width="10.109375" style="2" bestFit="1" customWidth="1"/>
    <col min="129" max="130" width="12.44140625" style="2" bestFit="1" customWidth="1"/>
    <col min="131" max="131" width="8.6640625" style="2" bestFit="1" customWidth="1"/>
    <col min="132" max="134" width="8.6640625" style="2" customWidth="1"/>
    <col min="135" max="135" width="9.21875" style="2" customWidth="1"/>
    <col min="136" max="136" width="28.6640625" style="2" customWidth="1"/>
    <col min="137" max="137" width="9" style="2" customWidth="1"/>
    <col min="138" max="138" width="11.6640625" style="2" customWidth="1"/>
    <col min="139" max="140" width="9.21875" style="2" customWidth="1"/>
    <col min="141" max="141" width="10.44140625" style="2" customWidth="1"/>
    <col min="142" max="142" width="11.6640625" style="2" customWidth="1"/>
    <col min="143" max="143" width="9.21875" style="2" customWidth="1"/>
    <col min="144" max="144" width="10.44140625" style="2" customWidth="1"/>
    <col min="145" max="145" width="20.109375" style="2" customWidth="1"/>
    <col min="146" max="146" width="37.77734375" style="2" customWidth="1"/>
    <col min="147" max="147" width="43.21875" style="2" customWidth="1"/>
    <col min="148" max="148" width="9.21875" style="2" customWidth="1"/>
    <col min="149" max="149" width="13.77734375" style="2" customWidth="1"/>
    <col min="150" max="150" width="37.109375" style="2" customWidth="1"/>
    <col min="151" max="151" width="10.44140625" style="2" customWidth="1"/>
    <col min="152" max="157" width="9.21875" style="2" customWidth="1"/>
    <col min="158" max="158" width="12.33203125" style="2" bestFit="1" customWidth="1"/>
    <col min="159" max="159" width="11.109375" style="2" customWidth="1"/>
    <col min="160" max="160" width="11.6640625" style="2" bestFit="1" customWidth="1"/>
    <col min="161" max="161" width="11.6640625" style="2" customWidth="1"/>
    <col min="162" max="162" width="4.77734375" style="2" bestFit="1" customWidth="1"/>
    <col min="163" max="163" width="7.44140625" style="2" bestFit="1" customWidth="1"/>
    <col min="164" max="16384" width="8.88671875" style="2"/>
  </cols>
  <sheetData>
    <row r="1" spans="1:106" ht="64.5" customHeight="1" x14ac:dyDescent="0.25">
      <c r="A1" s="40" t="s">
        <v>202</v>
      </c>
      <c r="K1" s="132"/>
      <c r="BW1" s="2"/>
      <c r="BX1" s="2"/>
      <c r="BY1" s="2"/>
      <c r="CA1" s="2"/>
      <c r="CH1" s="2"/>
      <c r="CI1" s="2"/>
      <c r="CJ1" s="2"/>
      <c r="CK1" s="2"/>
      <c r="CL1" s="2"/>
      <c r="CM1" s="2"/>
      <c r="CN1" s="2"/>
      <c r="CO1" s="2"/>
      <c r="CP1" s="2"/>
      <c r="CQ1" s="2"/>
      <c r="CR1" s="2"/>
      <c r="CS1" s="2"/>
      <c r="CT1" s="2"/>
      <c r="CU1" s="2"/>
      <c r="CV1" s="2"/>
      <c r="DA1" s="2"/>
      <c r="DB1" s="2"/>
    </row>
    <row r="2" spans="1:106" ht="64.5" customHeight="1" x14ac:dyDescent="0.25">
      <c r="A2" s="41" t="s">
        <v>107</v>
      </c>
      <c r="K2" s="132"/>
      <c r="BW2" s="2"/>
      <c r="BX2" s="2"/>
      <c r="BY2" s="2"/>
      <c r="CA2" s="2"/>
      <c r="CH2" s="2"/>
      <c r="CI2" s="2"/>
      <c r="CJ2" s="2"/>
      <c r="CK2" s="2"/>
      <c r="CL2" s="2"/>
      <c r="CM2" s="2"/>
      <c r="CN2" s="2"/>
      <c r="CO2" s="2"/>
      <c r="CP2" s="2"/>
      <c r="CQ2" s="2"/>
      <c r="CR2" s="2"/>
      <c r="CS2" s="2"/>
      <c r="CT2" s="2"/>
      <c r="CU2" s="2"/>
      <c r="CV2" s="2"/>
      <c r="DA2" s="2"/>
      <c r="DB2" s="2"/>
    </row>
    <row r="3" spans="1:106" ht="32.25" customHeight="1" thickBot="1" x14ac:dyDescent="0.3">
      <c r="A3" s="125" t="s">
        <v>85</v>
      </c>
      <c r="B3" s="125" t="s">
        <v>448</v>
      </c>
      <c r="C3" s="125" t="s">
        <v>449</v>
      </c>
      <c r="I3" s="140"/>
      <c r="J3" s="140"/>
      <c r="K3" s="46" t="s">
        <v>500</v>
      </c>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40"/>
      <c r="CR3" s="140"/>
      <c r="CS3" s="140"/>
      <c r="CT3" s="46" t="s">
        <v>244</v>
      </c>
      <c r="CU3" s="46"/>
      <c r="CV3" s="140"/>
      <c r="CW3" s="140"/>
      <c r="DA3" s="2"/>
      <c r="DB3" s="2"/>
    </row>
    <row r="4" spans="1:106" ht="32.25" customHeight="1" thickTop="1" thickBot="1" x14ac:dyDescent="0.3">
      <c r="A4" s="125">
        <v>1</v>
      </c>
      <c r="B4" s="128" t="s">
        <v>327</v>
      </c>
      <c r="C4" s="130" t="s">
        <v>772</v>
      </c>
      <c r="BW4" s="2"/>
      <c r="BX4" s="2"/>
      <c r="BY4" s="2"/>
      <c r="CA4" s="2"/>
      <c r="CH4" s="2"/>
      <c r="CI4" s="2"/>
      <c r="CJ4" s="2"/>
      <c r="CK4" s="2"/>
      <c r="CL4" s="2"/>
      <c r="CM4" s="2"/>
      <c r="CN4" s="2"/>
      <c r="CO4" s="2"/>
      <c r="CP4" s="2"/>
      <c r="CQ4" s="2"/>
      <c r="CR4" s="2"/>
      <c r="CS4" s="2"/>
      <c r="CT4" s="2"/>
      <c r="CU4" s="2"/>
      <c r="CV4" s="2"/>
      <c r="DA4" s="2"/>
      <c r="DB4" s="2"/>
    </row>
    <row r="5" spans="1:106" ht="32.25" customHeight="1" thickTop="1" thickBot="1" x14ac:dyDescent="0.3">
      <c r="A5" s="125">
        <v>2</v>
      </c>
      <c r="B5" s="128" t="s">
        <v>168</v>
      </c>
      <c r="C5" s="126" t="s">
        <v>6</v>
      </c>
      <c r="BW5" s="2"/>
      <c r="BX5" s="2"/>
      <c r="BY5" s="2"/>
      <c r="CA5" s="2"/>
      <c r="CH5" s="2"/>
      <c r="CI5" s="2"/>
      <c r="CJ5" s="2"/>
      <c r="CK5" s="2"/>
      <c r="CL5" s="2"/>
      <c r="CM5" s="2"/>
      <c r="CN5" s="2"/>
      <c r="CO5" s="2"/>
      <c r="CP5" s="2"/>
      <c r="CQ5" s="2"/>
      <c r="CR5" s="2"/>
      <c r="CS5" s="2"/>
      <c r="CT5" s="2"/>
      <c r="CU5" s="2"/>
      <c r="CV5" s="2"/>
      <c r="DA5" s="2"/>
      <c r="DB5" s="2"/>
    </row>
    <row r="6" spans="1:106" ht="32.25" customHeight="1" thickTop="1" thickBot="1" x14ac:dyDescent="0.3">
      <c r="A6" s="125">
        <v>3</v>
      </c>
      <c r="B6" s="128" t="s">
        <v>456</v>
      </c>
      <c r="C6" s="131" t="s">
        <v>455</v>
      </c>
      <c r="BW6" s="2"/>
      <c r="BX6" s="2"/>
      <c r="BY6" s="2"/>
      <c r="CA6" s="2"/>
      <c r="CH6" s="2"/>
      <c r="CI6" s="2"/>
      <c r="CJ6" s="2"/>
      <c r="CK6" s="2"/>
      <c r="CL6" s="2"/>
      <c r="CM6" s="2"/>
      <c r="CN6" s="2"/>
      <c r="CO6" s="2"/>
      <c r="CP6" s="2"/>
      <c r="CQ6" s="2"/>
      <c r="CR6" s="2"/>
      <c r="CS6" s="2"/>
      <c r="CT6" s="2"/>
      <c r="CU6" s="2"/>
      <c r="CV6" s="2"/>
      <c r="DA6" s="2"/>
      <c r="DB6" s="2"/>
    </row>
    <row r="7" spans="1:106" ht="32.25" customHeight="1" thickTop="1" thickBot="1" x14ac:dyDescent="0.3">
      <c r="A7" s="125">
        <v>4</v>
      </c>
      <c r="B7" s="128" t="s">
        <v>457</v>
      </c>
      <c r="C7" s="131" t="s">
        <v>455</v>
      </c>
      <c r="BW7" s="2"/>
      <c r="BX7" s="2"/>
      <c r="BY7" s="2"/>
      <c r="CA7" s="2"/>
      <c r="CH7" s="2"/>
      <c r="CI7" s="2"/>
      <c r="CJ7" s="2"/>
      <c r="CK7" s="2"/>
      <c r="CL7" s="2"/>
      <c r="CM7" s="2"/>
      <c r="CN7" s="2"/>
      <c r="CO7" s="2"/>
      <c r="CP7" s="2"/>
      <c r="CQ7" s="2"/>
      <c r="CR7" s="2"/>
      <c r="CS7" s="2"/>
      <c r="CT7" s="2"/>
      <c r="CU7" s="2"/>
      <c r="CV7" s="2"/>
      <c r="DA7" s="2"/>
      <c r="DB7" s="2"/>
    </row>
    <row r="8" spans="1:106" ht="32.25" customHeight="1" thickTop="1" thickBot="1" x14ac:dyDescent="0.3">
      <c r="A8" s="125">
        <v>5</v>
      </c>
      <c r="B8" s="128" t="s">
        <v>494</v>
      </c>
      <c r="C8" s="131" t="s">
        <v>455</v>
      </c>
      <c r="BW8" s="2"/>
      <c r="BX8" s="2"/>
      <c r="BY8" s="2"/>
      <c r="CA8" s="2"/>
      <c r="CH8" s="2"/>
      <c r="CI8" s="2"/>
      <c r="CJ8" s="2"/>
      <c r="CK8" s="2"/>
      <c r="CL8" s="2"/>
      <c r="CM8" s="2"/>
      <c r="CN8" s="2"/>
      <c r="CO8" s="2"/>
      <c r="CP8" s="2"/>
      <c r="CQ8" s="2"/>
      <c r="CR8" s="2"/>
      <c r="CS8" s="127"/>
      <c r="CT8" s="2"/>
      <c r="CU8" s="2"/>
      <c r="CV8" s="2"/>
      <c r="DA8" s="2"/>
      <c r="DB8" s="2"/>
    </row>
    <row r="9" spans="1:106" ht="32.25" customHeight="1" thickTop="1" thickBot="1" x14ac:dyDescent="0.3">
      <c r="A9" s="125">
        <v>6</v>
      </c>
      <c r="B9" s="128" t="s">
        <v>454</v>
      </c>
      <c r="C9" s="131" t="s">
        <v>455</v>
      </c>
      <c r="E9" s="133" t="s">
        <v>251</v>
      </c>
      <c r="F9" s="134"/>
      <c r="BW9" s="2"/>
      <c r="BX9" s="2"/>
      <c r="BY9" s="2"/>
      <c r="CA9" s="2"/>
      <c r="CH9" s="2"/>
      <c r="CI9" s="2"/>
      <c r="CJ9" s="2"/>
      <c r="CK9" s="2"/>
      <c r="CL9" s="2"/>
      <c r="CM9" s="2"/>
      <c r="CN9" s="2"/>
      <c r="CO9" s="2"/>
      <c r="CP9" s="2"/>
      <c r="CQ9" s="2"/>
      <c r="CR9" s="2"/>
      <c r="CS9" s="2"/>
      <c r="CT9" s="2"/>
      <c r="CU9" s="2"/>
      <c r="CV9" s="2"/>
      <c r="DA9" s="2"/>
      <c r="DB9" s="2"/>
    </row>
    <row r="10" spans="1:106" ht="32.25" customHeight="1" thickTop="1" thickBot="1" x14ac:dyDescent="0.3">
      <c r="A10" s="125">
        <v>7</v>
      </c>
      <c r="B10" s="128" t="s">
        <v>458</v>
      </c>
      <c r="C10" s="131" t="s">
        <v>455</v>
      </c>
      <c r="E10" s="135" t="s">
        <v>245</v>
      </c>
      <c r="F10" s="136">
        <f>MAX(DLD_Conso[Index])</f>
        <v>16</v>
      </c>
      <c r="BW10" s="2"/>
      <c r="BX10" s="2"/>
      <c r="BY10" s="2"/>
      <c r="CA10" s="2"/>
      <c r="CH10" s="2"/>
      <c r="CI10" s="2"/>
      <c r="CJ10" s="2"/>
      <c r="CK10" s="2"/>
      <c r="CL10" s="2"/>
      <c r="CM10" s="2"/>
      <c r="CN10" s="2"/>
      <c r="CO10" s="2"/>
      <c r="CP10" s="2"/>
      <c r="CQ10" s="2"/>
      <c r="CR10" s="2"/>
      <c r="CS10" s="2"/>
      <c r="CT10" s="2"/>
      <c r="CU10" s="2"/>
      <c r="CV10" s="2"/>
      <c r="DA10" s="2"/>
      <c r="DB10" s="2"/>
    </row>
    <row r="11" spans="1:106" ht="32.25" customHeight="1" thickTop="1" thickBot="1" x14ac:dyDescent="0.3">
      <c r="A11" s="125">
        <v>8</v>
      </c>
      <c r="B11" s="128" t="s">
        <v>495</v>
      </c>
      <c r="C11" s="131" t="s">
        <v>318</v>
      </c>
      <c r="E11" s="135" t="s">
        <v>246</v>
      </c>
      <c r="F11" s="136">
        <f>COUNTA(DLD_BBG_Corp[ISIN])</f>
        <v>29</v>
      </c>
      <c r="G11" s="60">
        <f>$F$11-F$10</f>
        <v>13</v>
      </c>
      <c r="BW11" s="2"/>
      <c r="BX11" s="2"/>
      <c r="BY11" s="2"/>
      <c r="CA11" s="2"/>
      <c r="CH11" s="2"/>
      <c r="CI11" s="2"/>
      <c r="CJ11" s="2"/>
      <c r="CK11" s="2"/>
      <c r="CL11" s="2"/>
      <c r="CM11" s="2"/>
      <c r="CN11" s="2"/>
      <c r="CO11" s="2"/>
      <c r="CP11" s="2"/>
      <c r="CQ11" s="2"/>
      <c r="CR11" s="2"/>
      <c r="CS11" s="2"/>
      <c r="CT11" s="2"/>
      <c r="CU11" s="2"/>
      <c r="CV11" s="2"/>
      <c r="DA11" s="2"/>
      <c r="DB11" s="2"/>
    </row>
    <row r="12" spans="1:106" ht="32.25" customHeight="1" thickTop="1" thickBot="1" x14ac:dyDescent="0.3">
      <c r="A12" s="125">
        <v>9</v>
      </c>
      <c r="B12" s="128" t="s">
        <v>496</v>
      </c>
      <c r="C12" s="131" t="s">
        <v>318</v>
      </c>
      <c r="E12" s="137" t="s">
        <v>247</v>
      </c>
      <c r="F12" s="138">
        <f>MAX(DLD_QRC_23[台账序号])</f>
        <v>0</v>
      </c>
      <c r="CQ12" s="2"/>
      <c r="CR12" s="2"/>
      <c r="CS12" s="2"/>
      <c r="CT12" s="2"/>
      <c r="CU12" s="2"/>
      <c r="CV12" s="2"/>
      <c r="DA12" s="2"/>
      <c r="DB12" s="2"/>
    </row>
    <row r="13" spans="1:106" ht="32.25" hidden="1" customHeight="1" thickTop="1" x14ac:dyDescent="0.25">
      <c r="A13" s="125"/>
      <c r="B13" s="128"/>
      <c r="CQ13" s="2"/>
      <c r="CR13" s="2"/>
      <c r="CS13" s="2"/>
      <c r="CT13" s="2"/>
      <c r="CU13" s="2"/>
      <c r="CV13" s="2"/>
      <c r="DA13" s="2"/>
      <c r="DB13" s="2"/>
    </row>
    <row r="14" spans="1:106" ht="32.25" hidden="1" customHeight="1" x14ac:dyDescent="0.25">
      <c r="A14" s="125"/>
      <c r="B14" s="128"/>
      <c r="CS14" s="2"/>
      <c r="CT14" s="2"/>
      <c r="CU14" s="2"/>
      <c r="CV14" s="2"/>
      <c r="DA14" s="2"/>
      <c r="DB14" s="2"/>
    </row>
    <row r="15" spans="1:106" ht="19.5" thickTop="1" x14ac:dyDescent="0.25">
      <c r="G15" s="59"/>
      <c r="H15" s="32" t="s">
        <v>497</v>
      </c>
      <c r="J15" s="68" t="s">
        <v>85</v>
      </c>
      <c r="K15" s="68" t="s">
        <v>174</v>
      </c>
      <c r="L15" s="68" t="s">
        <v>93</v>
      </c>
      <c r="M15" s="68" t="s">
        <v>43</v>
      </c>
      <c r="N15" s="68" t="s">
        <v>48</v>
      </c>
      <c r="O15" s="68" t="s">
        <v>49</v>
      </c>
      <c r="P15" s="68" t="s">
        <v>64</v>
      </c>
      <c r="Q15" s="68" t="s">
        <v>95</v>
      </c>
      <c r="R15" s="68" t="s">
        <v>205</v>
      </c>
      <c r="S15" s="68" t="s">
        <v>206</v>
      </c>
      <c r="T15" s="68" t="s">
        <v>65</v>
      </c>
      <c r="U15" s="68" t="s">
        <v>74</v>
      </c>
      <c r="V15" s="68" t="s">
        <v>236</v>
      </c>
      <c r="W15" s="68" t="s">
        <v>323</v>
      </c>
      <c r="X15" s="68" t="s">
        <v>80</v>
      </c>
      <c r="Y15" s="68" t="s">
        <v>81</v>
      </c>
      <c r="Z15" s="68" t="s">
        <v>104</v>
      </c>
      <c r="AA15" s="68" t="s">
        <v>79</v>
      </c>
      <c r="AB15" s="68" t="s">
        <v>78</v>
      </c>
      <c r="AC15" s="68" t="s">
        <v>77</v>
      </c>
      <c r="AD15" s="68" t="s">
        <v>76</v>
      </c>
      <c r="AE15" s="68" t="s">
        <v>75</v>
      </c>
      <c r="AF15" s="68" t="s">
        <v>225</v>
      </c>
      <c r="AG15" s="68" t="s">
        <v>103</v>
      </c>
      <c r="AH15" s="68" t="s">
        <v>73</v>
      </c>
      <c r="AI15" s="68" t="s">
        <v>226</v>
      </c>
      <c r="AJ15" s="68" t="s">
        <v>72</v>
      </c>
      <c r="AK15" s="68" t="s">
        <v>71</v>
      </c>
      <c r="AL15" s="68" t="s">
        <v>70</v>
      </c>
      <c r="AM15" s="68" t="s">
        <v>69</v>
      </c>
      <c r="AN15" s="68" t="s">
        <v>68</v>
      </c>
      <c r="AO15" s="68" t="s">
        <v>102</v>
      </c>
      <c r="AP15" s="68" t="s">
        <v>67</v>
      </c>
      <c r="AQ15" s="68" t="s">
        <v>66</v>
      </c>
      <c r="AR15" s="68" t="s">
        <v>101</v>
      </c>
      <c r="AS15" s="68" t="s">
        <v>100</v>
      </c>
      <c r="AT15" s="68" t="s">
        <v>696</v>
      </c>
      <c r="AU15" s="68" t="s">
        <v>224</v>
      </c>
      <c r="AV15" s="68" t="s">
        <v>223</v>
      </c>
      <c r="AW15" s="68" t="s">
        <v>222</v>
      </c>
      <c r="AX15" s="68" t="s">
        <v>221</v>
      </c>
      <c r="AY15" s="68" t="s">
        <v>96</v>
      </c>
      <c r="AZ15" s="68" t="s">
        <v>42</v>
      </c>
      <c r="BA15" s="68" t="s">
        <v>220</v>
      </c>
      <c r="BB15" s="68" t="s">
        <v>51</v>
      </c>
      <c r="BC15" s="68" t="s">
        <v>175</v>
      </c>
      <c r="BD15" s="68" t="s">
        <v>44</v>
      </c>
      <c r="BE15" s="68" t="s">
        <v>198</v>
      </c>
      <c r="BF15" s="68" t="s">
        <v>63</v>
      </c>
      <c r="BG15" s="68" t="s">
        <v>62</v>
      </c>
      <c r="BH15" s="68" t="s">
        <v>61</v>
      </c>
      <c r="BI15" s="68" t="s">
        <v>131</v>
      </c>
      <c r="BJ15" s="68" t="s">
        <v>46</v>
      </c>
      <c r="BK15" s="68" t="s">
        <v>45</v>
      </c>
      <c r="BL15" s="68" t="s">
        <v>94</v>
      </c>
      <c r="BM15" s="68" t="s">
        <v>60</v>
      </c>
      <c r="BN15" s="68" t="s">
        <v>59</v>
      </c>
      <c r="BO15" s="68" t="s">
        <v>56</v>
      </c>
      <c r="BP15" s="68" t="s">
        <v>55</v>
      </c>
      <c r="BQ15" s="68" t="s">
        <v>237</v>
      </c>
      <c r="BR15" s="68" t="s">
        <v>322</v>
      </c>
      <c r="BS15" s="68" t="s">
        <v>54</v>
      </c>
      <c r="BT15" s="68" t="s">
        <v>99</v>
      </c>
      <c r="BU15" s="68" t="s">
        <v>52</v>
      </c>
      <c r="BV15" s="68" t="s">
        <v>403</v>
      </c>
      <c r="BW15" s="68" t="s">
        <v>58</v>
      </c>
      <c r="BX15" s="68" t="s">
        <v>57</v>
      </c>
      <c r="BY15" s="68" t="s">
        <v>50</v>
      </c>
      <c r="BZ15" s="68" t="s">
        <v>98</v>
      </c>
      <c r="CA15" s="68" t="s">
        <v>97</v>
      </c>
      <c r="CB15" s="68" t="s">
        <v>47</v>
      </c>
      <c r="CC15" s="68" t="s">
        <v>412</v>
      </c>
      <c r="CD15" s="68" t="s">
        <v>229</v>
      </c>
      <c r="CE15" s="68" t="s">
        <v>465</v>
      </c>
      <c r="CF15" s="68" t="s">
        <v>88</v>
      </c>
      <c r="CG15" s="68" t="s">
        <v>146</v>
      </c>
      <c r="CH15" s="68" t="s">
        <v>231</v>
      </c>
      <c r="CI15" s="68" t="s">
        <v>259</v>
      </c>
      <c r="CJ15" s="68" t="s">
        <v>144</v>
      </c>
      <c r="CK15" s="68" t="s">
        <v>118</v>
      </c>
      <c r="CL15" s="68" t="s">
        <v>134</v>
      </c>
      <c r="CM15" s="68" t="s">
        <v>176</v>
      </c>
      <c r="CN15" s="68" t="s">
        <v>489</v>
      </c>
      <c r="CO15" s="68" t="s">
        <v>139</v>
      </c>
      <c r="CS15" s="2"/>
      <c r="CT15" s="32" t="s">
        <v>187</v>
      </c>
      <c r="CU15" s="32" t="s">
        <v>48</v>
      </c>
      <c r="CV15" s="32" t="s">
        <v>241</v>
      </c>
      <c r="CW15" s="32" t="s">
        <v>203</v>
      </c>
      <c r="CX15" s="32" t="s">
        <v>242</v>
      </c>
      <c r="CY15" s="32" t="s">
        <v>170</v>
      </c>
      <c r="CZ15" s="32" t="s">
        <v>171</v>
      </c>
      <c r="DA15" s="32" t="s">
        <v>243</v>
      </c>
      <c r="DB15" s="2"/>
    </row>
    <row r="16" spans="1:106" ht="18.75" x14ac:dyDescent="0.25">
      <c r="G16" s="59"/>
      <c r="H16" t="s">
        <v>1081</v>
      </c>
      <c r="J16" s="68">
        <v>16</v>
      </c>
      <c r="K16" s="143" t="s">
        <v>677</v>
      </c>
      <c r="L16" s="157" t="s">
        <v>531</v>
      </c>
      <c r="M16" s="68" t="s">
        <v>83</v>
      </c>
      <c r="N16" s="157" t="s">
        <v>988</v>
      </c>
      <c r="O16" s="141">
        <v>45226</v>
      </c>
      <c r="P16" s="68" t="s">
        <v>84</v>
      </c>
      <c r="Q16" s="68" t="s">
        <v>91</v>
      </c>
      <c r="R16" s="68" t="s">
        <v>91</v>
      </c>
      <c r="S16" s="68" t="s">
        <v>91</v>
      </c>
      <c r="T16" s="68" t="s">
        <v>91</v>
      </c>
      <c r="U16" s="68" t="s">
        <v>91</v>
      </c>
      <c r="V16" s="68" t="s">
        <v>1030</v>
      </c>
      <c r="W16" s="68" t="s">
        <v>91</v>
      </c>
      <c r="X16" s="68" t="s">
        <v>734</v>
      </c>
      <c r="Y16" s="68" t="s">
        <v>91</v>
      </c>
      <c r="Z16" s="68" t="s">
        <v>91</v>
      </c>
      <c r="AA16" s="68" t="s">
        <v>466</v>
      </c>
      <c r="AB16" s="68" t="s">
        <v>467</v>
      </c>
      <c r="AC16" s="68" t="s">
        <v>733</v>
      </c>
      <c r="AD16" s="68" t="s">
        <v>469</v>
      </c>
      <c r="AE16" s="68" t="s">
        <v>469</v>
      </c>
      <c r="AF16" s="68" t="s">
        <v>91</v>
      </c>
      <c r="AG16" s="68" t="s">
        <v>91</v>
      </c>
      <c r="AH16" s="142">
        <v>45243</v>
      </c>
      <c r="AI16" s="68" t="s">
        <v>91</v>
      </c>
      <c r="AJ16" s="142">
        <v>45243</v>
      </c>
      <c r="AK16" s="68" t="s">
        <v>91</v>
      </c>
      <c r="AL16" s="68" t="s">
        <v>531</v>
      </c>
      <c r="AM16" s="142">
        <v>45330</v>
      </c>
      <c r="AN16" s="68" t="s">
        <v>1031</v>
      </c>
      <c r="AO16" s="157">
        <v>6.1234000000000002</v>
      </c>
      <c r="AP16" s="142"/>
      <c r="AQ16" s="142">
        <v>45243</v>
      </c>
      <c r="AR16" s="68">
        <v>1.3</v>
      </c>
      <c r="AS16" s="157">
        <v>1000</v>
      </c>
      <c r="AT16" s="68" t="s">
        <v>1032</v>
      </c>
      <c r="AU16" s="157" t="s">
        <v>91</v>
      </c>
      <c r="AV16" s="68" t="s">
        <v>91</v>
      </c>
      <c r="AW16" s="68" t="s">
        <v>91</v>
      </c>
      <c r="AX16" s="68"/>
      <c r="AY16" s="68" t="s">
        <v>479</v>
      </c>
      <c r="AZ16" s="68" t="s">
        <v>1033</v>
      </c>
      <c r="BA16" s="68" t="s">
        <v>1034</v>
      </c>
      <c r="BB16" s="68" t="s">
        <v>91</v>
      </c>
      <c r="BC16" s="68" t="s">
        <v>472</v>
      </c>
      <c r="BD16" s="68" t="s">
        <v>508</v>
      </c>
      <c r="BE16" s="68" t="s">
        <v>325</v>
      </c>
      <c r="BF16" s="68"/>
      <c r="BG16" s="68"/>
      <c r="BH16" s="68"/>
      <c r="BI16" s="68"/>
      <c r="BJ16" s="68" t="s">
        <v>91</v>
      </c>
      <c r="BK16" s="68" t="s">
        <v>1035</v>
      </c>
      <c r="BL16" s="68" t="s">
        <v>1036</v>
      </c>
      <c r="BM16" s="68"/>
      <c r="BN16" s="68"/>
      <c r="BO16" s="68" t="s">
        <v>474</v>
      </c>
      <c r="BP16" s="68" t="s">
        <v>91</v>
      </c>
      <c r="BQ16" s="68" t="s">
        <v>475</v>
      </c>
      <c r="BR16" s="68" t="s">
        <v>91</v>
      </c>
      <c r="BS16" s="68"/>
      <c r="BT16" s="68" t="s">
        <v>109</v>
      </c>
      <c r="BU16" s="142">
        <v>45604</v>
      </c>
      <c r="BV16" s="68">
        <v>6.1234000000000002</v>
      </c>
      <c r="BW16" s="68" t="s">
        <v>1037</v>
      </c>
      <c r="BX16" s="68">
        <v>1.3</v>
      </c>
      <c r="BY16" s="68" t="s">
        <v>472</v>
      </c>
      <c r="BZ16" s="68" t="s">
        <v>487</v>
      </c>
      <c r="CA16" s="68" t="s">
        <v>488</v>
      </c>
      <c r="CB16" s="68" t="s">
        <v>1038</v>
      </c>
      <c r="CC16" s="68" t="s">
        <v>240</v>
      </c>
      <c r="CD16" s="142"/>
      <c r="CE16" s="68" t="s">
        <v>7</v>
      </c>
      <c r="CF16" s="68" t="s">
        <v>143</v>
      </c>
      <c r="CG16" s="68" t="s">
        <v>7</v>
      </c>
      <c r="CH16" s="68" t="s">
        <v>463</v>
      </c>
      <c r="CI16" s="68" t="s">
        <v>91</v>
      </c>
      <c r="CJ16" s="142"/>
      <c r="CK16" s="68"/>
      <c r="CL16" s="68" t="s">
        <v>82</v>
      </c>
      <c r="CM16" s="68" t="s">
        <v>441</v>
      </c>
      <c r="CN16" s="157" t="s">
        <v>710</v>
      </c>
      <c r="CO16" s="157" t="s">
        <v>993</v>
      </c>
      <c r="CS16" s="2"/>
      <c r="CT16" t="s">
        <v>1079</v>
      </c>
      <c r="CU16" t="s">
        <v>818</v>
      </c>
      <c r="CV16" t="s">
        <v>819</v>
      </c>
      <c r="CW16" t="s">
        <v>1080</v>
      </c>
      <c r="CX16" s="32" t="s">
        <v>148</v>
      </c>
      <c r="CY16" t="s">
        <v>179</v>
      </c>
      <c r="CZ16" s="156" t="s">
        <v>183</v>
      </c>
      <c r="DA16" s="45">
        <v>45225</v>
      </c>
      <c r="DB16" s="2"/>
    </row>
    <row r="17" spans="2:106" ht="15" x14ac:dyDescent="0.25">
      <c r="H17" t="s">
        <v>436</v>
      </c>
      <c r="J17" s="68">
        <v>15</v>
      </c>
      <c r="K17" s="143" t="s">
        <v>677</v>
      </c>
      <c r="L17" s="157" t="s">
        <v>531</v>
      </c>
      <c r="M17" s="68" t="s">
        <v>83</v>
      </c>
      <c r="N17" s="157" t="s">
        <v>994</v>
      </c>
      <c r="O17" s="141">
        <v>45226</v>
      </c>
      <c r="P17" s="68" t="s">
        <v>84</v>
      </c>
      <c r="Q17" s="68" t="s">
        <v>91</v>
      </c>
      <c r="R17" s="68" t="s">
        <v>91</v>
      </c>
      <c r="S17" s="68" t="s">
        <v>91</v>
      </c>
      <c r="T17" s="68" t="s">
        <v>91</v>
      </c>
      <c r="U17" s="68" t="s">
        <v>91</v>
      </c>
      <c r="V17" s="68" t="s">
        <v>1039</v>
      </c>
      <c r="W17" s="68" t="s">
        <v>91</v>
      </c>
      <c r="X17" s="68" t="s">
        <v>734</v>
      </c>
      <c r="Y17" s="68" t="s">
        <v>91</v>
      </c>
      <c r="Z17" s="68" t="s">
        <v>91</v>
      </c>
      <c r="AA17" s="68" t="s">
        <v>466</v>
      </c>
      <c r="AB17" s="68" t="s">
        <v>467</v>
      </c>
      <c r="AC17" s="68" t="s">
        <v>733</v>
      </c>
      <c r="AD17" s="68" t="s">
        <v>469</v>
      </c>
      <c r="AE17" s="68" t="s">
        <v>469</v>
      </c>
      <c r="AF17" s="68" t="s">
        <v>91</v>
      </c>
      <c r="AG17" s="68" t="s">
        <v>91</v>
      </c>
      <c r="AH17" s="142">
        <v>45243</v>
      </c>
      <c r="AI17" s="68" t="s">
        <v>91</v>
      </c>
      <c r="AJ17" s="142">
        <v>45243</v>
      </c>
      <c r="AK17" s="68" t="s">
        <v>91</v>
      </c>
      <c r="AL17" s="68" t="s">
        <v>531</v>
      </c>
      <c r="AM17" s="142">
        <v>45330</v>
      </c>
      <c r="AN17" s="68" t="s">
        <v>1031</v>
      </c>
      <c r="AO17" s="157">
        <v>6.1234000000000002</v>
      </c>
      <c r="AP17" s="142"/>
      <c r="AQ17" s="142">
        <v>45243</v>
      </c>
      <c r="AR17" s="68">
        <v>2.6</v>
      </c>
      <c r="AS17" s="157">
        <v>1000</v>
      </c>
      <c r="AT17" s="68" t="s">
        <v>1032</v>
      </c>
      <c r="AU17" s="157" t="s">
        <v>91</v>
      </c>
      <c r="AV17" s="68" t="s">
        <v>91</v>
      </c>
      <c r="AW17" s="68" t="s">
        <v>91</v>
      </c>
      <c r="AX17" s="68"/>
      <c r="AY17" s="68" t="s">
        <v>479</v>
      </c>
      <c r="AZ17" s="68" t="s">
        <v>1033</v>
      </c>
      <c r="BA17" s="68" t="s">
        <v>1034</v>
      </c>
      <c r="BB17" s="68" t="s">
        <v>91</v>
      </c>
      <c r="BC17" s="68" t="s">
        <v>472</v>
      </c>
      <c r="BD17" s="68" t="s">
        <v>508</v>
      </c>
      <c r="BE17" s="68" t="s">
        <v>325</v>
      </c>
      <c r="BF17" s="68"/>
      <c r="BG17" s="68"/>
      <c r="BH17" s="68"/>
      <c r="BI17" s="68"/>
      <c r="BJ17" s="68" t="s">
        <v>91</v>
      </c>
      <c r="BK17" s="68" t="s">
        <v>1035</v>
      </c>
      <c r="BL17" s="68" t="s">
        <v>1036</v>
      </c>
      <c r="BM17" s="68"/>
      <c r="BN17" s="68"/>
      <c r="BO17" s="68" t="s">
        <v>474</v>
      </c>
      <c r="BP17" s="68" t="s">
        <v>91</v>
      </c>
      <c r="BQ17" s="68" t="s">
        <v>475</v>
      </c>
      <c r="BR17" s="68" t="s">
        <v>91</v>
      </c>
      <c r="BS17" s="68"/>
      <c r="BT17" s="68" t="s">
        <v>109</v>
      </c>
      <c r="BU17" s="142">
        <v>45604</v>
      </c>
      <c r="BV17" s="68">
        <v>6.1234000000000002</v>
      </c>
      <c r="BW17" s="68" t="s">
        <v>1037</v>
      </c>
      <c r="BX17" s="68">
        <v>2.6</v>
      </c>
      <c r="BY17" s="68" t="s">
        <v>472</v>
      </c>
      <c r="BZ17" s="68" t="s">
        <v>487</v>
      </c>
      <c r="CA17" s="68" t="s">
        <v>488</v>
      </c>
      <c r="CB17" s="68" t="s">
        <v>1040</v>
      </c>
      <c r="CC17" s="68" t="s">
        <v>240</v>
      </c>
      <c r="CD17" s="142"/>
      <c r="CE17" s="68" t="s">
        <v>7</v>
      </c>
      <c r="CF17" s="68" t="s">
        <v>143</v>
      </c>
      <c r="CG17" s="68" t="s">
        <v>7</v>
      </c>
      <c r="CH17" s="68" t="s">
        <v>463</v>
      </c>
      <c r="CI17" s="68" t="s">
        <v>91</v>
      </c>
      <c r="CJ17" s="142"/>
      <c r="CK17" s="68"/>
      <c r="CL17" s="68" t="s">
        <v>82</v>
      </c>
      <c r="CM17" s="68" t="s">
        <v>441</v>
      </c>
      <c r="CN17" s="157" t="s">
        <v>710</v>
      </c>
      <c r="CO17" s="157" t="s">
        <v>996</v>
      </c>
      <c r="CV17" s="2"/>
      <c r="CZ17" s="1"/>
      <c r="DB17" s="2"/>
    </row>
    <row r="18" spans="2:106" ht="18.75" x14ac:dyDescent="0.25">
      <c r="B18"/>
      <c r="G18" s="59"/>
      <c r="J18" s="68">
        <v>14</v>
      </c>
      <c r="K18" s="143" t="s">
        <v>697</v>
      </c>
      <c r="L18" s="157" t="s">
        <v>1014</v>
      </c>
      <c r="M18" s="68" t="s">
        <v>1</v>
      </c>
      <c r="N18" s="157" t="s">
        <v>1013</v>
      </c>
      <c r="O18" s="141">
        <v>45225</v>
      </c>
      <c r="P18" s="68" t="s">
        <v>84</v>
      </c>
      <c r="Q18" s="68" t="s">
        <v>91</v>
      </c>
      <c r="R18" s="68" t="s">
        <v>91</v>
      </c>
      <c r="S18" s="68" t="s">
        <v>91</v>
      </c>
      <c r="T18" s="68" t="s">
        <v>91</v>
      </c>
      <c r="U18" s="68" t="s">
        <v>91</v>
      </c>
      <c r="V18" s="68" t="s">
        <v>1041</v>
      </c>
      <c r="W18" s="68" t="s">
        <v>91</v>
      </c>
      <c r="X18" s="68" t="s">
        <v>130</v>
      </c>
      <c r="Y18" s="68" t="s">
        <v>91</v>
      </c>
      <c r="Z18" s="68" t="s">
        <v>91</v>
      </c>
      <c r="AA18" s="68" t="s">
        <v>466</v>
      </c>
      <c r="AB18" s="68" t="s">
        <v>467</v>
      </c>
      <c r="AC18" s="68" t="s">
        <v>468</v>
      </c>
      <c r="AD18" s="68" t="s">
        <v>469</v>
      </c>
      <c r="AE18" s="68" t="s">
        <v>469</v>
      </c>
      <c r="AF18" s="68" t="s">
        <v>91</v>
      </c>
      <c r="AG18" s="68" t="s">
        <v>91</v>
      </c>
      <c r="AH18" s="142">
        <v>45229</v>
      </c>
      <c r="AI18" s="68" t="s">
        <v>91</v>
      </c>
      <c r="AJ18" s="142">
        <v>45229</v>
      </c>
      <c r="AK18" s="68" t="s">
        <v>91</v>
      </c>
      <c r="AL18" s="68" t="s">
        <v>1014</v>
      </c>
      <c r="AM18" s="142">
        <v>45412</v>
      </c>
      <c r="AN18" s="68" t="s">
        <v>91</v>
      </c>
      <c r="AO18" s="157">
        <v>6.8</v>
      </c>
      <c r="AP18" s="142"/>
      <c r="AQ18" s="142">
        <v>45229</v>
      </c>
      <c r="AR18" s="68">
        <v>1.07</v>
      </c>
      <c r="AS18" s="157">
        <v>1000</v>
      </c>
      <c r="AT18" s="68" t="s">
        <v>1042</v>
      </c>
      <c r="AU18" s="157" t="s">
        <v>91</v>
      </c>
      <c r="AV18" s="68" t="s">
        <v>91</v>
      </c>
      <c r="AW18" s="68" t="s">
        <v>91</v>
      </c>
      <c r="AX18" s="68"/>
      <c r="AY18" s="68" t="s">
        <v>480</v>
      </c>
      <c r="AZ18" s="68" t="s">
        <v>471</v>
      </c>
      <c r="BA18" s="68" t="s">
        <v>738</v>
      </c>
      <c r="BB18" s="68" t="s">
        <v>482</v>
      </c>
      <c r="BC18" s="68" t="s">
        <v>472</v>
      </c>
      <c r="BD18" s="68" t="s">
        <v>1043</v>
      </c>
      <c r="BE18" s="68" t="s">
        <v>325</v>
      </c>
      <c r="BF18" s="68"/>
      <c r="BG18" s="68"/>
      <c r="BH18" s="68"/>
      <c r="BI18" s="68"/>
      <c r="BJ18" s="68" t="s">
        <v>91</v>
      </c>
      <c r="BK18" s="68" t="s">
        <v>1044</v>
      </c>
      <c r="BL18" s="68" t="s">
        <v>1045</v>
      </c>
      <c r="BM18" s="68"/>
      <c r="BN18" s="68">
        <v>100</v>
      </c>
      <c r="BO18" s="68" t="s">
        <v>474</v>
      </c>
      <c r="BP18" s="68" t="s">
        <v>91</v>
      </c>
      <c r="BQ18" s="68" t="s">
        <v>475</v>
      </c>
      <c r="BR18" s="68" t="s">
        <v>476</v>
      </c>
      <c r="BS18" s="68"/>
      <c r="BT18" s="68" t="s">
        <v>477</v>
      </c>
      <c r="BU18" s="142">
        <v>46325</v>
      </c>
      <c r="BV18" s="68">
        <v>6.8</v>
      </c>
      <c r="BW18" s="68" t="s">
        <v>478</v>
      </c>
      <c r="BX18" s="68">
        <v>1.07</v>
      </c>
      <c r="BY18" s="68" t="s">
        <v>472</v>
      </c>
      <c r="BZ18" s="68" t="s">
        <v>472</v>
      </c>
      <c r="CA18" s="68" t="s">
        <v>472</v>
      </c>
      <c r="CB18" s="68" t="s">
        <v>1046</v>
      </c>
      <c r="CC18" s="68" t="s">
        <v>240</v>
      </c>
      <c r="CD18" s="142"/>
      <c r="CE18" s="68" t="s">
        <v>7</v>
      </c>
      <c r="CF18" s="68" t="s">
        <v>25</v>
      </c>
      <c r="CG18" s="68" t="s">
        <v>7</v>
      </c>
      <c r="CH18" s="68" t="s">
        <v>248</v>
      </c>
      <c r="CI18" s="68" t="s">
        <v>91</v>
      </c>
      <c r="CJ18" s="142"/>
      <c r="CK18" s="68"/>
      <c r="CL18" s="68" t="s">
        <v>82</v>
      </c>
      <c r="CM18" s="68" t="s">
        <v>82</v>
      </c>
      <c r="CN18" s="157" t="s">
        <v>710</v>
      </c>
      <c r="CO18" s="157" t="s">
        <v>1017</v>
      </c>
      <c r="CV18" s="2"/>
      <c r="CZ18" s="1"/>
      <c r="DB18" s="2"/>
    </row>
    <row r="19" spans="2:106" ht="15.75" x14ac:dyDescent="0.25">
      <c r="E19" s="139"/>
      <c r="F19" s="139"/>
      <c r="J19" s="68">
        <v>13</v>
      </c>
      <c r="K19" s="143" t="s">
        <v>310</v>
      </c>
      <c r="L19" s="157" t="s">
        <v>819</v>
      </c>
      <c r="M19" s="68" t="s">
        <v>1</v>
      </c>
      <c r="N19" s="157" t="s">
        <v>818</v>
      </c>
      <c r="O19" s="141">
        <v>45225</v>
      </c>
      <c r="P19" s="68" t="s">
        <v>84</v>
      </c>
      <c r="Q19" s="68" t="s">
        <v>310</v>
      </c>
      <c r="R19" s="68" t="s">
        <v>909</v>
      </c>
      <c r="S19" s="68" t="s">
        <v>908</v>
      </c>
      <c r="T19" s="68" t="s">
        <v>905</v>
      </c>
      <c r="U19" s="68" t="s">
        <v>900</v>
      </c>
      <c r="V19" s="68" t="s">
        <v>898</v>
      </c>
      <c r="W19" s="68" t="s">
        <v>91</v>
      </c>
      <c r="X19" s="68" t="s">
        <v>130</v>
      </c>
      <c r="Y19" s="68" t="s">
        <v>91</v>
      </c>
      <c r="Z19" s="68" t="s">
        <v>91</v>
      </c>
      <c r="AA19" s="68" t="s">
        <v>466</v>
      </c>
      <c r="AB19" s="68" t="s">
        <v>467</v>
      </c>
      <c r="AC19" s="68" t="s">
        <v>468</v>
      </c>
      <c r="AD19" s="68" t="s">
        <v>469</v>
      </c>
      <c r="AE19" s="68" t="s">
        <v>469</v>
      </c>
      <c r="AF19" s="68" t="s">
        <v>899</v>
      </c>
      <c r="AG19" s="68" t="s">
        <v>91</v>
      </c>
      <c r="AH19" s="142">
        <v>45232</v>
      </c>
      <c r="AI19" s="68" t="s">
        <v>901</v>
      </c>
      <c r="AJ19" s="142">
        <v>45232</v>
      </c>
      <c r="AK19" s="68" t="s">
        <v>91</v>
      </c>
      <c r="AL19" s="68" t="s">
        <v>819</v>
      </c>
      <c r="AM19" s="142">
        <v>45414</v>
      </c>
      <c r="AN19" s="68" t="s">
        <v>91</v>
      </c>
      <c r="AO19" s="157">
        <v>6.7</v>
      </c>
      <c r="AP19" s="142"/>
      <c r="AQ19" s="142">
        <v>45232</v>
      </c>
      <c r="AR19" s="68">
        <v>5</v>
      </c>
      <c r="AS19" s="157">
        <v>1000</v>
      </c>
      <c r="AT19" s="68" t="s">
        <v>902</v>
      </c>
      <c r="AU19" s="157" t="s">
        <v>903</v>
      </c>
      <c r="AV19" s="68" t="s">
        <v>91</v>
      </c>
      <c r="AW19" s="68" t="s">
        <v>91</v>
      </c>
      <c r="AX19" s="68"/>
      <c r="AY19" s="68" t="s">
        <v>479</v>
      </c>
      <c r="AZ19" s="68" t="s">
        <v>471</v>
      </c>
      <c r="BA19" s="68" t="s">
        <v>1047</v>
      </c>
      <c r="BB19" s="68" t="s">
        <v>485</v>
      </c>
      <c r="BC19" s="68" t="s">
        <v>472</v>
      </c>
      <c r="BD19" s="68" t="s">
        <v>904</v>
      </c>
      <c r="BE19" s="68" t="s">
        <v>325</v>
      </c>
      <c r="BF19" s="68"/>
      <c r="BG19" s="68"/>
      <c r="BH19" s="68"/>
      <c r="BI19" s="68"/>
      <c r="BJ19" s="68" t="s">
        <v>91</v>
      </c>
      <c r="BK19" s="68" t="s">
        <v>906</v>
      </c>
      <c r="BL19" s="68" t="s">
        <v>907</v>
      </c>
      <c r="BM19" s="68"/>
      <c r="BN19" s="68">
        <v>99.941000000000003</v>
      </c>
      <c r="BO19" s="68" t="s">
        <v>474</v>
      </c>
      <c r="BP19" s="68" t="s">
        <v>91</v>
      </c>
      <c r="BQ19" s="68" t="s">
        <v>475</v>
      </c>
      <c r="BR19" s="68" t="s">
        <v>476</v>
      </c>
      <c r="BS19" s="68">
        <v>20</v>
      </c>
      <c r="BT19" s="68" t="s">
        <v>477</v>
      </c>
      <c r="BU19" s="142">
        <v>46267</v>
      </c>
      <c r="BV19" s="68">
        <v>6.7</v>
      </c>
      <c r="BW19" s="68" t="s">
        <v>910</v>
      </c>
      <c r="BX19" s="68">
        <v>5</v>
      </c>
      <c r="BY19" s="68" t="s">
        <v>472</v>
      </c>
      <c r="BZ19" s="68" t="s">
        <v>472</v>
      </c>
      <c r="CA19" s="68" t="s">
        <v>472</v>
      </c>
      <c r="CB19" s="68" t="s">
        <v>911</v>
      </c>
      <c r="CC19" s="68" t="s">
        <v>240</v>
      </c>
      <c r="CD19" s="142"/>
      <c r="CE19" s="68" t="s">
        <v>7</v>
      </c>
      <c r="CF19" s="68" t="s">
        <v>16</v>
      </c>
      <c r="CG19" s="68" t="s">
        <v>148</v>
      </c>
      <c r="CH19" s="68" t="s">
        <v>248</v>
      </c>
      <c r="CI19" s="68" t="s">
        <v>91</v>
      </c>
      <c r="CJ19" s="142"/>
      <c r="CK19" s="68"/>
      <c r="CL19" s="68" t="s">
        <v>820</v>
      </c>
      <c r="CM19" s="68" t="s">
        <v>820</v>
      </c>
      <c r="CN19" s="157" t="s">
        <v>710</v>
      </c>
      <c r="CO19" s="157" t="s">
        <v>823</v>
      </c>
      <c r="CV19" s="2"/>
      <c r="CZ19" s="1"/>
      <c r="DB19" s="2"/>
    </row>
    <row r="20" spans="2:106" ht="15" x14ac:dyDescent="0.25">
      <c r="J20" s="68">
        <v>12</v>
      </c>
      <c r="K20" s="143" t="s">
        <v>677</v>
      </c>
      <c r="L20" s="157" t="s">
        <v>680</v>
      </c>
      <c r="M20" s="68" t="s">
        <v>83</v>
      </c>
      <c r="N20" s="157" t="s">
        <v>1003</v>
      </c>
      <c r="O20" s="141">
        <v>45225</v>
      </c>
      <c r="P20" s="68" t="s">
        <v>105</v>
      </c>
      <c r="Q20" s="68" t="s">
        <v>91</v>
      </c>
      <c r="R20" s="68" t="s">
        <v>91</v>
      </c>
      <c r="S20" s="68" t="s">
        <v>91</v>
      </c>
      <c r="T20" s="68" t="s">
        <v>91</v>
      </c>
      <c r="U20" s="68" t="s">
        <v>91</v>
      </c>
      <c r="V20" s="68" t="s">
        <v>1048</v>
      </c>
      <c r="W20" s="68" t="s">
        <v>91</v>
      </c>
      <c r="X20" s="68" t="s">
        <v>130</v>
      </c>
      <c r="Y20" s="68" t="s">
        <v>91</v>
      </c>
      <c r="Z20" s="68" t="s">
        <v>91</v>
      </c>
      <c r="AA20" s="68" t="s">
        <v>1049</v>
      </c>
      <c r="AB20" s="68" t="s">
        <v>467</v>
      </c>
      <c r="AC20" s="68" t="s">
        <v>1050</v>
      </c>
      <c r="AD20" s="68" t="s">
        <v>469</v>
      </c>
      <c r="AE20" s="68" t="s">
        <v>469</v>
      </c>
      <c r="AF20" s="68" t="s">
        <v>91</v>
      </c>
      <c r="AG20" s="68" t="s">
        <v>91</v>
      </c>
      <c r="AH20" s="142">
        <v>45232</v>
      </c>
      <c r="AI20" s="68" t="s">
        <v>91</v>
      </c>
      <c r="AJ20" s="142">
        <v>45232</v>
      </c>
      <c r="AK20" s="68" t="s">
        <v>680</v>
      </c>
      <c r="AL20" s="68" t="s">
        <v>687</v>
      </c>
      <c r="AM20" s="142">
        <v>45544</v>
      </c>
      <c r="AN20" s="68" t="s">
        <v>91</v>
      </c>
      <c r="AO20" s="157"/>
      <c r="AP20" s="142"/>
      <c r="AQ20" s="142">
        <v>45232</v>
      </c>
      <c r="AR20" s="68">
        <v>0.22</v>
      </c>
      <c r="AS20" s="157">
        <v>1000</v>
      </c>
      <c r="AT20" s="68" t="s">
        <v>686</v>
      </c>
      <c r="AU20" s="157" t="s">
        <v>91</v>
      </c>
      <c r="AV20" s="68" t="s">
        <v>91</v>
      </c>
      <c r="AW20" s="68" t="s">
        <v>91</v>
      </c>
      <c r="AX20" s="68"/>
      <c r="AY20" s="68" t="s">
        <v>480</v>
      </c>
      <c r="AZ20" s="68" t="s">
        <v>471</v>
      </c>
      <c r="BA20" s="68" t="s">
        <v>1051</v>
      </c>
      <c r="BB20" s="68" t="s">
        <v>91</v>
      </c>
      <c r="BC20" s="68" t="s">
        <v>472</v>
      </c>
      <c r="BD20" s="68" t="s">
        <v>508</v>
      </c>
      <c r="BE20" s="68" t="s">
        <v>325</v>
      </c>
      <c r="BF20" s="68"/>
      <c r="BG20" s="68"/>
      <c r="BH20" s="68"/>
      <c r="BI20" s="68"/>
      <c r="BJ20" s="68" t="s">
        <v>91</v>
      </c>
      <c r="BK20" s="68" t="s">
        <v>91</v>
      </c>
      <c r="BL20" s="68" t="s">
        <v>483</v>
      </c>
      <c r="BM20" s="68"/>
      <c r="BN20" s="68">
        <v>100</v>
      </c>
      <c r="BO20" s="68" t="s">
        <v>474</v>
      </c>
      <c r="BP20" s="68" t="s">
        <v>91</v>
      </c>
      <c r="BQ20" s="68" t="s">
        <v>507</v>
      </c>
      <c r="BR20" s="68" t="s">
        <v>91</v>
      </c>
      <c r="BS20" s="68"/>
      <c r="BT20" s="68" t="s">
        <v>109</v>
      </c>
      <c r="BU20" s="142">
        <v>46274</v>
      </c>
      <c r="BV20" s="68"/>
      <c r="BW20" s="68" t="s">
        <v>1052</v>
      </c>
      <c r="BX20" s="68">
        <v>0.22</v>
      </c>
      <c r="BY20" s="68" t="s">
        <v>472</v>
      </c>
      <c r="BZ20" s="68" t="s">
        <v>472</v>
      </c>
      <c r="CA20" s="68" t="s">
        <v>472</v>
      </c>
      <c r="CB20" s="68" t="s">
        <v>1053</v>
      </c>
      <c r="CC20" s="68" t="s">
        <v>240</v>
      </c>
      <c r="CD20" s="142"/>
      <c r="CE20" s="68" t="s">
        <v>7</v>
      </c>
      <c r="CF20" s="68" t="s">
        <v>12</v>
      </c>
      <c r="CG20" s="68" t="s">
        <v>7</v>
      </c>
      <c r="CH20" s="68" t="s">
        <v>463</v>
      </c>
      <c r="CI20" s="68" t="s">
        <v>91</v>
      </c>
      <c r="CJ20" s="142"/>
      <c r="CK20" s="68"/>
      <c r="CL20" s="68" t="s">
        <v>82</v>
      </c>
      <c r="CM20" s="68" t="s">
        <v>82</v>
      </c>
      <c r="CN20" s="157" t="s">
        <v>710</v>
      </c>
      <c r="CO20" s="157" t="s">
        <v>1004</v>
      </c>
      <c r="CV20" s="2"/>
      <c r="CZ20" s="1"/>
      <c r="DB20" s="2"/>
    </row>
    <row r="21" spans="2:106" ht="15" x14ac:dyDescent="0.25">
      <c r="J21" s="68">
        <v>11</v>
      </c>
      <c r="K21" s="143" t="s">
        <v>677</v>
      </c>
      <c r="L21" s="157" t="s">
        <v>680</v>
      </c>
      <c r="M21" s="68" t="s">
        <v>83</v>
      </c>
      <c r="N21" s="157" t="s">
        <v>997</v>
      </c>
      <c r="O21" s="141">
        <v>45225</v>
      </c>
      <c r="P21" s="68" t="s">
        <v>105</v>
      </c>
      <c r="Q21" s="68" t="s">
        <v>91</v>
      </c>
      <c r="R21" s="68" t="s">
        <v>91</v>
      </c>
      <c r="S21" s="68" t="s">
        <v>91</v>
      </c>
      <c r="T21" s="68" t="s">
        <v>91</v>
      </c>
      <c r="U21" s="68" t="s">
        <v>91</v>
      </c>
      <c r="V21" s="68" t="s">
        <v>1048</v>
      </c>
      <c r="W21" s="68" t="s">
        <v>91</v>
      </c>
      <c r="X21" s="68" t="s">
        <v>130</v>
      </c>
      <c r="Y21" s="68" t="s">
        <v>91</v>
      </c>
      <c r="Z21" s="68" t="s">
        <v>91</v>
      </c>
      <c r="AA21" s="68" t="s">
        <v>1049</v>
      </c>
      <c r="AB21" s="68" t="s">
        <v>467</v>
      </c>
      <c r="AC21" s="68" t="s">
        <v>1050</v>
      </c>
      <c r="AD21" s="68" t="s">
        <v>469</v>
      </c>
      <c r="AE21" s="68" t="s">
        <v>469</v>
      </c>
      <c r="AF21" s="68" t="s">
        <v>91</v>
      </c>
      <c r="AG21" s="68" t="s">
        <v>91</v>
      </c>
      <c r="AH21" s="142">
        <v>45232</v>
      </c>
      <c r="AI21" s="68" t="s">
        <v>91</v>
      </c>
      <c r="AJ21" s="142">
        <v>45232</v>
      </c>
      <c r="AK21" s="68" t="s">
        <v>680</v>
      </c>
      <c r="AL21" s="68" t="s">
        <v>687</v>
      </c>
      <c r="AM21" s="142">
        <v>45544</v>
      </c>
      <c r="AN21" s="68" t="s">
        <v>91</v>
      </c>
      <c r="AO21" s="157"/>
      <c r="AP21" s="142"/>
      <c r="AQ21" s="142">
        <v>45232</v>
      </c>
      <c r="AR21" s="68">
        <v>0.25700000000000001</v>
      </c>
      <c r="AS21" s="157">
        <v>1000</v>
      </c>
      <c r="AT21" s="68" t="s">
        <v>686</v>
      </c>
      <c r="AU21" s="157" t="s">
        <v>91</v>
      </c>
      <c r="AV21" s="68" t="s">
        <v>91</v>
      </c>
      <c r="AW21" s="68" t="s">
        <v>91</v>
      </c>
      <c r="AX21" s="68"/>
      <c r="AY21" s="68" t="s">
        <v>480</v>
      </c>
      <c r="AZ21" s="68" t="s">
        <v>471</v>
      </c>
      <c r="BA21" s="68" t="s">
        <v>1051</v>
      </c>
      <c r="BB21" s="68" t="s">
        <v>91</v>
      </c>
      <c r="BC21" s="68" t="s">
        <v>472</v>
      </c>
      <c r="BD21" s="68" t="s">
        <v>508</v>
      </c>
      <c r="BE21" s="68" t="s">
        <v>325</v>
      </c>
      <c r="BF21" s="68"/>
      <c r="BG21" s="68"/>
      <c r="BH21" s="68"/>
      <c r="BI21" s="68"/>
      <c r="BJ21" s="68" t="s">
        <v>91</v>
      </c>
      <c r="BK21" s="68" t="s">
        <v>91</v>
      </c>
      <c r="BL21" s="68" t="s">
        <v>483</v>
      </c>
      <c r="BM21" s="68"/>
      <c r="BN21" s="68">
        <v>100</v>
      </c>
      <c r="BO21" s="68" t="s">
        <v>474</v>
      </c>
      <c r="BP21" s="68" t="s">
        <v>91</v>
      </c>
      <c r="BQ21" s="68" t="s">
        <v>507</v>
      </c>
      <c r="BR21" s="68" t="s">
        <v>91</v>
      </c>
      <c r="BS21" s="68"/>
      <c r="BT21" s="68" t="s">
        <v>109</v>
      </c>
      <c r="BU21" s="142">
        <v>46274</v>
      </c>
      <c r="BV21" s="68"/>
      <c r="BW21" s="68" t="s">
        <v>1052</v>
      </c>
      <c r="BX21" s="68">
        <v>0.25700000000000001</v>
      </c>
      <c r="BY21" s="68" t="s">
        <v>472</v>
      </c>
      <c r="BZ21" s="68" t="s">
        <v>472</v>
      </c>
      <c r="CA21" s="68" t="s">
        <v>472</v>
      </c>
      <c r="CB21" s="68" t="s">
        <v>1053</v>
      </c>
      <c r="CC21" s="68" t="s">
        <v>240</v>
      </c>
      <c r="CD21" s="142"/>
      <c r="CE21" s="68" t="s">
        <v>7</v>
      </c>
      <c r="CF21" s="68" t="s">
        <v>12</v>
      </c>
      <c r="CG21" s="68" t="s">
        <v>7</v>
      </c>
      <c r="CH21" s="68" t="s">
        <v>463</v>
      </c>
      <c r="CI21" s="68" t="s">
        <v>91</v>
      </c>
      <c r="CJ21" s="142"/>
      <c r="CK21" s="68"/>
      <c r="CL21" s="68" t="s">
        <v>82</v>
      </c>
      <c r="CM21" s="68" t="s">
        <v>82</v>
      </c>
      <c r="CN21" s="157" t="s">
        <v>710</v>
      </c>
      <c r="CO21" s="157" t="s">
        <v>998</v>
      </c>
      <c r="CV21" s="2"/>
      <c r="CZ21" s="1"/>
      <c r="DB21" s="2"/>
    </row>
    <row r="22" spans="2:106" ht="15" x14ac:dyDescent="0.25">
      <c r="J22" s="68">
        <v>10</v>
      </c>
      <c r="K22" s="143" t="s">
        <v>677</v>
      </c>
      <c r="L22" s="157" t="s">
        <v>680</v>
      </c>
      <c r="M22" s="68" t="s">
        <v>83</v>
      </c>
      <c r="N22" s="157" t="s">
        <v>1011</v>
      </c>
      <c r="O22" s="141">
        <v>45225</v>
      </c>
      <c r="P22" s="68" t="s">
        <v>105</v>
      </c>
      <c r="Q22" s="68" t="s">
        <v>91</v>
      </c>
      <c r="R22" s="68" t="s">
        <v>91</v>
      </c>
      <c r="S22" s="68" t="s">
        <v>91</v>
      </c>
      <c r="T22" s="68" t="s">
        <v>91</v>
      </c>
      <c r="U22" s="68" t="s">
        <v>91</v>
      </c>
      <c r="V22" s="68" t="s">
        <v>1054</v>
      </c>
      <c r="W22" s="68" t="s">
        <v>91</v>
      </c>
      <c r="X22" s="68" t="s">
        <v>91</v>
      </c>
      <c r="Y22" s="68" t="s">
        <v>91</v>
      </c>
      <c r="Z22" s="68" t="s">
        <v>91</v>
      </c>
      <c r="AA22" s="68" t="s">
        <v>1055</v>
      </c>
      <c r="AB22" s="68" t="s">
        <v>467</v>
      </c>
      <c r="AC22" s="68" t="s">
        <v>468</v>
      </c>
      <c r="AD22" s="68" t="s">
        <v>469</v>
      </c>
      <c r="AE22" s="68" t="s">
        <v>469</v>
      </c>
      <c r="AF22" s="68" t="s">
        <v>91</v>
      </c>
      <c r="AG22" s="68" t="s">
        <v>91</v>
      </c>
      <c r="AH22" s="142">
        <v>45230</v>
      </c>
      <c r="AI22" s="68" t="s">
        <v>91</v>
      </c>
      <c r="AJ22" s="142">
        <v>45230</v>
      </c>
      <c r="AK22" s="68" t="s">
        <v>680</v>
      </c>
      <c r="AL22" s="68" t="s">
        <v>687</v>
      </c>
      <c r="AM22" s="142">
        <v>45294</v>
      </c>
      <c r="AN22" s="68" t="s">
        <v>91</v>
      </c>
      <c r="AO22" s="157">
        <v>3</v>
      </c>
      <c r="AP22" s="142"/>
      <c r="AQ22" s="142">
        <v>45230</v>
      </c>
      <c r="AR22" s="68">
        <v>0.12690000000000001</v>
      </c>
      <c r="AS22" s="157">
        <v>10000</v>
      </c>
      <c r="AT22" s="68" t="s">
        <v>686</v>
      </c>
      <c r="AU22" s="157" t="s">
        <v>91</v>
      </c>
      <c r="AV22" s="68" t="s">
        <v>91</v>
      </c>
      <c r="AW22" s="68" t="s">
        <v>91</v>
      </c>
      <c r="AX22" s="68"/>
      <c r="AY22" s="68" t="s">
        <v>480</v>
      </c>
      <c r="AZ22" s="68" t="s">
        <v>471</v>
      </c>
      <c r="BA22" s="68" t="s">
        <v>1056</v>
      </c>
      <c r="BB22" s="68" t="s">
        <v>91</v>
      </c>
      <c r="BC22" s="68" t="s">
        <v>472</v>
      </c>
      <c r="BD22" s="68" t="s">
        <v>508</v>
      </c>
      <c r="BE22" s="68" t="s">
        <v>325</v>
      </c>
      <c r="BF22" s="68"/>
      <c r="BG22" s="68"/>
      <c r="BH22" s="68"/>
      <c r="BI22" s="68"/>
      <c r="BJ22" s="68" t="s">
        <v>91</v>
      </c>
      <c r="BK22" s="68" t="s">
        <v>91</v>
      </c>
      <c r="BL22" s="68" t="s">
        <v>483</v>
      </c>
      <c r="BM22" s="68"/>
      <c r="BN22" s="68">
        <v>100</v>
      </c>
      <c r="BO22" s="68" t="s">
        <v>474</v>
      </c>
      <c r="BP22" s="68" t="s">
        <v>91</v>
      </c>
      <c r="BQ22" s="68" t="s">
        <v>507</v>
      </c>
      <c r="BR22" s="68" t="s">
        <v>476</v>
      </c>
      <c r="BS22" s="68"/>
      <c r="BT22" s="68" t="s">
        <v>109</v>
      </c>
      <c r="BU22" s="142">
        <v>45294</v>
      </c>
      <c r="BV22" s="68">
        <v>3</v>
      </c>
      <c r="BW22" s="68" t="s">
        <v>1057</v>
      </c>
      <c r="BX22" s="68">
        <v>0.127</v>
      </c>
      <c r="BY22" s="68" t="s">
        <v>472</v>
      </c>
      <c r="BZ22" s="68" t="s">
        <v>472</v>
      </c>
      <c r="CA22" s="68" t="s">
        <v>472</v>
      </c>
      <c r="CB22" s="68" t="s">
        <v>1058</v>
      </c>
      <c r="CC22" s="68" t="s">
        <v>240</v>
      </c>
      <c r="CD22" s="142"/>
      <c r="CE22" s="68" t="s">
        <v>7</v>
      </c>
      <c r="CF22" s="68" t="s">
        <v>12</v>
      </c>
      <c r="CG22" s="68" t="s">
        <v>7</v>
      </c>
      <c r="CH22" s="68" t="s">
        <v>463</v>
      </c>
      <c r="CI22" s="68" t="s">
        <v>91</v>
      </c>
      <c r="CJ22" s="142"/>
      <c r="CK22" s="68"/>
      <c r="CL22" s="68" t="s">
        <v>82</v>
      </c>
      <c r="CM22" s="68" t="s">
        <v>82</v>
      </c>
      <c r="CN22" s="157" t="s">
        <v>710</v>
      </c>
      <c r="CO22" s="157" t="s">
        <v>1012</v>
      </c>
      <c r="DB22" s="2"/>
    </row>
    <row r="23" spans="2:106" ht="15.75" x14ac:dyDescent="0.25">
      <c r="D23" s="125"/>
      <c r="E23" s="125"/>
      <c r="F23" s="125"/>
      <c r="H23" s="32" t="s">
        <v>498</v>
      </c>
      <c r="J23" s="68">
        <v>9</v>
      </c>
      <c r="K23" s="143" t="s">
        <v>953</v>
      </c>
      <c r="L23" s="157" t="s">
        <v>844</v>
      </c>
      <c r="M23" s="68" t="s">
        <v>1</v>
      </c>
      <c r="N23" s="157" t="s">
        <v>843</v>
      </c>
      <c r="O23" s="141">
        <v>45224</v>
      </c>
      <c r="P23" s="68" t="s">
        <v>105</v>
      </c>
      <c r="Q23" s="68" t="s">
        <v>91</v>
      </c>
      <c r="R23" s="68" t="s">
        <v>91</v>
      </c>
      <c r="S23" s="68" t="s">
        <v>91</v>
      </c>
      <c r="T23" s="68" t="s">
        <v>946</v>
      </c>
      <c r="U23" s="68" t="s">
        <v>91</v>
      </c>
      <c r="V23" s="68" t="s">
        <v>943</v>
      </c>
      <c r="W23" s="68" t="s">
        <v>91</v>
      </c>
      <c r="X23" s="68" t="s">
        <v>130</v>
      </c>
      <c r="Y23" s="68" t="s">
        <v>91</v>
      </c>
      <c r="Z23" s="68" t="s">
        <v>91</v>
      </c>
      <c r="AA23" s="68" t="s">
        <v>466</v>
      </c>
      <c r="AB23" s="68" t="s">
        <v>467</v>
      </c>
      <c r="AC23" s="68" t="s">
        <v>468</v>
      </c>
      <c r="AD23" s="68" t="s">
        <v>469</v>
      </c>
      <c r="AE23" s="68" t="s">
        <v>469</v>
      </c>
      <c r="AF23" s="68" t="s">
        <v>944</v>
      </c>
      <c r="AG23" s="68" t="s">
        <v>91</v>
      </c>
      <c r="AH23" s="142">
        <v>45226</v>
      </c>
      <c r="AI23" s="68" t="s">
        <v>91</v>
      </c>
      <c r="AJ23" s="142">
        <v>45226</v>
      </c>
      <c r="AK23" s="68" t="s">
        <v>91</v>
      </c>
      <c r="AL23" s="68" t="s">
        <v>844</v>
      </c>
      <c r="AM23" s="142">
        <v>45409</v>
      </c>
      <c r="AN23" s="68" t="s">
        <v>91</v>
      </c>
      <c r="AO23" s="157">
        <v>7.9</v>
      </c>
      <c r="AP23" s="142"/>
      <c r="AQ23" s="142">
        <v>45226</v>
      </c>
      <c r="AR23" s="68">
        <v>4.97</v>
      </c>
      <c r="AS23" s="157">
        <v>10000</v>
      </c>
      <c r="AT23" s="68" t="s">
        <v>945</v>
      </c>
      <c r="AU23" s="157" t="s">
        <v>91</v>
      </c>
      <c r="AV23" s="68" t="s">
        <v>91</v>
      </c>
      <c r="AW23" s="68" t="s">
        <v>91</v>
      </c>
      <c r="AX23" s="68"/>
      <c r="AY23" s="68" t="s">
        <v>480</v>
      </c>
      <c r="AZ23" s="68" t="s">
        <v>471</v>
      </c>
      <c r="BA23" s="68" t="s">
        <v>737</v>
      </c>
      <c r="BB23" s="68" t="s">
        <v>482</v>
      </c>
      <c r="BC23" s="68" t="s">
        <v>472</v>
      </c>
      <c r="BD23" s="68" t="s">
        <v>473</v>
      </c>
      <c r="BE23" s="68" t="s">
        <v>325</v>
      </c>
      <c r="BF23" s="68"/>
      <c r="BG23" s="68"/>
      <c r="BH23" s="68"/>
      <c r="BI23" s="68"/>
      <c r="BJ23" s="68" t="s">
        <v>947</v>
      </c>
      <c r="BK23" s="68" t="s">
        <v>948</v>
      </c>
      <c r="BL23" s="68" t="s">
        <v>699</v>
      </c>
      <c r="BM23" s="68"/>
      <c r="BN23" s="68">
        <v>100</v>
      </c>
      <c r="BO23" s="68" t="s">
        <v>474</v>
      </c>
      <c r="BP23" s="68" t="s">
        <v>91</v>
      </c>
      <c r="BQ23" s="68" t="s">
        <v>475</v>
      </c>
      <c r="BR23" s="68" t="s">
        <v>476</v>
      </c>
      <c r="BS23" s="68"/>
      <c r="BT23" s="68" t="s">
        <v>109</v>
      </c>
      <c r="BU23" s="142">
        <v>46322</v>
      </c>
      <c r="BV23" s="68">
        <v>7.9</v>
      </c>
      <c r="BW23" s="68" t="s">
        <v>478</v>
      </c>
      <c r="BX23" s="68">
        <v>4.97</v>
      </c>
      <c r="BY23" s="68" t="s">
        <v>472</v>
      </c>
      <c r="BZ23" s="68" t="s">
        <v>472</v>
      </c>
      <c r="CA23" s="68" t="s">
        <v>472</v>
      </c>
      <c r="CB23" s="68" t="s">
        <v>949</v>
      </c>
      <c r="CC23" s="68" t="s">
        <v>240</v>
      </c>
      <c r="CD23" s="142"/>
      <c r="CE23" s="68" t="s">
        <v>7</v>
      </c>
      <c r="CF23" s="68" t="s">
        <v>19</v>
      </c>
      <c r="CG23" s="68" t="s">
        <v>7</v>
      </c>
      <c r="CH23" s="68" t="s">
        <v>248</v>
      </c>
      <c r="CI23" s="68" t="s">
        <v>91</v>
      </c>
      <c r="CJ23" s="142"/>
      <c r="CK23" s="68"/>
      <c r="CL23" s="68" t="s">
        <v>82</v>
      </c>
      <c r="CM23" s="68" t="s">
        <v>82</v>
      </c>
      <c r="CN23" s="157" t="s">
        <v>710</v>
      </c>
      <c r="CO23" s="157" t="s">
        <v>846</v>
      </c>
      <c r="DB23" s="2"/>
    </row>
    <row r="24" spans="2:106" ht="15.75" x14ac:dyDescent="0.25">
      <c r="D24" s="125"/>
      <c r="E24" s="125"/>
      <c r="F24" s="125"/>
      <c r="H24" t="s">
        <v>1081</v>
      </c>
      <c r="J24" s="68">
        <v>8</v>
      </c>
      <c r="K24" s="143" t="s">
        <v>953</v>
      </c>
      <c r="L24" s="157" t="s">
        <v>802</v>
      </c>
      <c r="M24" s="68" t="s">
        <v>83</v>
      </c>
      <c r="N24" s="157" t="s">
        <v>847</v>
      </c>
      <c r="O24" s="141">
        <v>45224</v>
      </c>
      <c r="P24" s="68" t="s">
        <v>280</v>
      </c>
      <c r="Q24" s="68" t="s">
        <v>91</v>
      </c>
      <c r="R24" s="68" t="s">
        <v>91</v>
      </c>
      <c r="S24" s="68" t="s">
        <v>91</v>
      </c>
      <c r="T24" s="68" t="s">
        <v>941</v>
      </c>
      <c r="U24" s="68" t="s">
        <v>91</v>
      </c>
      <c r="V24" s="68" t="s">
        <v>936</v>
      </c>
      <c r="W24" s="68" t="s">
        <v>91</v>
      </c>
      <c r="X24" s="68" t="s">
        <v>734</v>
      </c>
      <c r="Y24" s="68" t="s">
        <v>91</v>
      </c>
      <c r="Z24" s="68" t="s">
        <v>91</v>
      </c>
      <c r="AA24" s="68" t="s">
        <v>466</v>
      </c>
      <c r="AB24" s="68" t="s">
        <v>467</v>
      </c>
      <c r="AC24" s="68" t="s">
        <v>733</v>
      </c>
      <c r="AD24" s="68" t="s">
        <v>469</v>
      </c>
      <c r="AE24" s="68" t="s">
        <v>469</v>
      </c>
      <c r="AF24" s="68" t="s">
        <v>937</v>
      </c>
      <c r="AG24" s="68" t="s">
        <v>91</v>
      </c>
      <c r="AH24" s="142">
        <v>45232</v>
      </c>
      <c r="AI24" s="68" t="s">
        <v>91</v>
      </c>
      <c r="AJ24" s="142">
        <v>45232</v>
      </c>
      <c r="AK24" s="68" t="s">
        <v>802</v>
      </c>
      <c r="AL24" s="68" t="s">
        <v>938</v>
      </c>
      <c r="AM24" s="142">
        <v>45324</v>
      </c>
      <c r="AN24" s="68" t="s">
        <v>939</v>
      </c>
      <c r="AO24" s="157">
        <v>6.8426999999999998</v>
      </c>
      <c r="AP24" s="142"/>
      <c r="AQ24" s="142">
        <v>45232</v>
      </c>
      <c r="AR24" s="68">
        <v>1.5</v>
      </c>
      <c r="AS24" s="157">
        <v>1000</v>
      </c>
      <c r="AT24" s="68" t="s">
        <v>940</v>
      </c>
      <c r="AU24" s="157" t="s">
        <v>91</v>
      </c>
      <c r="AV24" s="68" t="s">
        <v>91</v>
      </c>
      <c r="AW24" s="68" t="s">
        <v>91</v>
      </c>
      <c r="AX24" s="68"/>
      <c r="AY24" s="68" t="s">
        <v>479</v>
      </c>
      <c r="AZ24" s="68" t="s">
        <v>484</v>
      </c>
      <c r="BA24" s="68" t="s">
        <v>729</v>
      </c>
      <c r="BB24" s="68" t="s">
        <v>485</v>
      </c>
      <c r="BC24" s="68" t="s">
        <v>472</v>
      </c>
      <c r="BD24" s="68" t="s">
        <v>440</v>
      </c>
      <c r="BE24" s="68" t="s">
        <v>325</v>
      </c>
      <c r="BF24" s="68"/>
      <c r="BG24" s="68"/>
      <c r="BH24" s="68"/>
      <c r="BI24" s="68"/>
      <c r="BJ24" s="68" t="s">
        <v>91</v>
      </c>
      <c r="BK24" s="68" t="s">
        <v>486</v>
      </c>
      <c r="BL24" s="68" t="s">
        <v>483</v>
      </c>
      <c r="BM24" s="68"/>
      <c r="BN24" s="68">
        <v>100</v>
      </c>
      <c r="BO24" s="68" t="s">
        <v>474</v>
      </c>
      <c r="BP24" s="68" t="s">
        <v>91</v>
      </c>
      <c r="BQ24" s="68" t="s">
        <v>507</v>
      </c>
      <c r="BR24" s="68" t="s">
        <v>476</v>
      </c>
      <c r="BS24" s="68"/>
      <c r="BT24" s="68" t="s">
        <v>109</v>
      </c>
      <c r="BU24" s="142">
        <v>46328</v>
      </c>
      <c r="BV24" s="68">
        <v>6.8426999999999998</v>
      </c>
      <c r="BW24" s="68" t="s">
        <v>478</v>
      </c>
      <c r="BX24" s="68">
        <v>1.5</v>
      </c>
      <c r="BY24" s="68" t="s">
        <v>472</v>
      </c>
      <c r="BZ24" s="68" t="s">
        <v>487</v>
      </c>
      <c r="CA24" s="68" t="s">
        <v>488</v>
      </c>
      <c r="CB24" s="68" t="s">
        <v>942</v>
      </c>
      <c r="CC24" s="68" t="s">
        <v>240</v>
      </c>
      <c r="CD24" s="142"/>
      <c r="CE24" s="68" t="s">
        <v>7</v>
      </c>
      <c r="CF24" s="68" t="s">
        <v>12</v>
      </c>
      <c r="CG24" s="68" t="s">
        <v>7</v>
      </c>
      <c r="CH24" s="68" t="s">
        <v>849</v>
      </c>
      <c r="CI24" s="68" t="s">
        <v>91</v>
      </c>
      <c r="CJ24" s="142"/>
      <c r="CK24" s="68"/>
      <c r="CL24" s="68" t="s">
        <v>848</v>
      </c>
      <c r="CM24" s="68" t="s">
        <v>441</v>
      </c>
      <c r="CN24" s="157" t="s">
        <v>710</v>
      </c>
      <c r="CO24" s="157" t="s">
        <v>853</v>
      </c>
    </row>
    <row r="25" spans="2:106" ht="15.75" x14ac:dyDescent="0.25">
      <c r="D25" s="125"/>
      <c r="E25" s="125"/>
      <c r="F25" s="125"/>
      <c r="H25" t="s">
        <v>303</v>
      </c>
      <c r="J25" s="68">
        <v>7</v>
      </c>
      <c r="K25" s="143" t="s">
        <v>954</v>
      </c>
      <c r="L25" s="157" t="s">
        <v>825</v>
      </c>
      <c r="M25" s="68" t="s">
        <v>2</v>
      </c>
      <c r="N25" s="157" t="s">
        <v>829</v>
      </c>
      <c r="O25" s="141">
        <v>45224</v>
      </c>
      <c r="P25" s="68" t="s">
        <v>105</v>
      </c>
      <c r="Q25" s="68" t="s">
        <v>91</v>
      </c>
      <c r="R25" s="68" t="s">
        <v>91</v>
      </c>
      <c r="S25" s="68" t="s">
        <v>91</v>
      </c>
      <c r="T25" s="68" t="s">
        <v>920</v>
      </c>
      <c r="U25" s="68" t="s">
        <v>91</v>
      </c>
      <c r="V25" s="68" t="s">
        <v>914</v>
      </c>
      <c r="W25" s="68" t="s">
        <v>91</v>
      </c>
      <c r="X25" s="68" t="s">
        <v>130</v>
      </c>
      <c r="Y25" s="68" t="s">
        <v>91</v>
      </c>
      <c r="Z25" s="68" t="s">
        <v>91</v>
      </c>
      <c r="AA25" s="68" t="s">
        <v>915</v>
      </c>
      <c r="AB25" s="68" t="s">
        <v>467</v>
      </c>
      <c r="AC25" s="68" t="s">
        <v>468</v>
      </c>
      <c r="AD25" s="68" t="s">
        <v>469</v>
      </c>
      <c r="AE25" s="68" t="s">
        <v>469</v>
      </c>
      <c r="AF25" s="68" t="s">
        <v>91</v>
      </c>
      <c r="AG25" s="68" t="s">
        <v>91</v>
      </c>
      <c r="AH25" s="142">
        <v>45093</v>
      </c>
      <c r="AI25" s="68" t="s">
        <v>916</v>
      </c>
      <c r="AJ25" s="142">
        <v>45093</v>
      </c>
      <c r="AK25" s="68" t="s">
        <v>91</v>
      </c>
      <c r="AL25" s="68" t="s">
        <v>917</v>
      </c>
      <c r="AM25" s="142">
        <v>45276</v>
      </c>
      <c r="AN25" s="68" t="s">
        <v>91</v>
      </c>
      <c r="AO25" s="157">
        <v>2.71</v>
      </c>
      <c r="AP25" s="142"/>
      <c r="AQ25" s="142">
        <v>45226</v>
      </c>
      <c r="AR25" s="68">
        <v>50</v>
      </c>
      <c r="AS25" s="157">
        <v>500000</v>
      </c>
      <c r="AT25" s="68" t="s">
        <v>918</v>
      </c>
      <c r="AU25" s="157" t="s">
        <v>91</v>
      </c>
      <c r="AV25" s="68" t="s">
        <v>91</v>
      </c>
      <c r="AW25" s="68" t="s">
        <v>91</v>
      </c>
      <c r="AX25" s="68"/>
      <c r="AY25" s="68" t="s">
        <v>479</v>
      </c>
      <c r="AZ25" s="68" t="s">
        <v>919</v>
      </c>
      <c r="BA25" s="68" t="s">
        <v>1059</v>
      </c>
      <c r="BB25" s="68" t="s">
        <v>91</v>
      </c>
      <c r="BC25" s="68" t="s">
        <v>472</v>
      </c>
      <c r="BD25" s="68" t="s">
        <v>698</v>
      </c>
      <c r="BE25" s="68" t="s">
        <v>250</v>
      </c>
      <c r="BF25" s="68"/>
      <c r="BG25" s="68"/>
      <c r="BH25" s="68"/>
      <c r="BI25" s="68"/>
      <c r="BJ25" s="68" t="s">
        <v>91</v>
      </c>
      <c r="BK25" s="68" t="s">
        <v>486</v>
      </c>
      <c r="BL25" s="68" t="s">
        <v>483</v>
      </c>
      <c r="BM25" s="68"/>
      <c r="BN25" s="68">
        <v>98</v>
      </c>
      <c r="BO25" s="68" t="s">
        <v>474</v>
      </c>
      <c r="BP25" s="68" t="s">
        <v>91</v>
      </c>
      <c r="BQ25" s="68" t="s">
        <v>475</v>
      </c>
      <c r="BR25" s="68" t="s">
        <v>476</v>
      </c>
      <c r="BS25" s="68"/>
      <c r="BT25" s="68" t="s">
        <v>477</v>
      </c>
      <c r="BU25" s="142">
        <v>48746</v>
      </c>
      <c r="BV25" s="68">
        <v>2.71</v>
      </c>
      <c r="BW25" s="68" t="s">
        <v>921</v>
      </c>
      <c r="BX25" s="68">
        <v>30</v>
      </c>
      <c r="BY25" s="68" t="s">
        <v>472</v>
      </c>
      <c r="BZ25" s="68" t="s">
        <v>487</v>
      </c>
      <c r="CA25" s="68" t="s">
        <v>922</v>
      </c>
      <c r="CB25" s="68" t="s">
        <v>923</v>
      </c>
      <c r="CC25" s="68" t="s">
        <v>240</v>
      </c>
      <c r="CD25" s="142"/>
      <c r="CE25" s="68" t="s">
        <v>7</v>
      </c>
      <c r="CF25" s="68" t="s">
        <v>12</v>
      </c>
      <c r="CG25" s="68" t="s">
        <v>7</v>
      </c>
      <c r="CH25" s="68" t="s">
        <v>248</v>
      </c>
      <c r="CI25" s="68" t="s">
        <v>91</v>
      </c>
      <c r="CJ25" s="142"/>
      <c r="CK25" s="68"/>
      <c r="CL25" s="68" t="s">
        <v>82</v>
      </c>
      <c r="CM25" s="68" t="s">
        <v>826</v>
      </c>
      <c r="CN25" s="157" t="s">
        <v>710</v>
      </c>
      <c r="CO25" s="157" t="s">
        <v>831</v>
      </c>
    </row>
    <row r="26" spans="2:106" ht="15.75" x14ac:dyDescent="0.25">
      <c r="D26" s="125"/>
      <c r="E26" s="125"/>
      <c r="F26" s="125"/>
      <c r="J26" s="68">
        <v>6</v>
      </c>
      <c r="K26" s="143" t="s">
        <v>954</v>
      </c>
      <c r="L26" s="157" t="s">
        <v>825</v>
      </c>
      <c r="M26" s="68" t="s">
        <v>2</v>
      </c>
      <c r="N26" s="157" t="s">
        <v>835</v>
      </c>
      <c r="O26" s="141">
        <v>45224</v>
      </c>
      <c r="P26" s="68" t="s">
        <v>105</v>
      </c>
      <c r="Q26" s="68" t="s">
        <v>91</v>
      </c>
      <c r="R26" s="68" t="s">
        <v>91</v>
      </c>
      <c r="S26" s="68" t="s">
        <v>91</v>
      </c>
      <c r="T26" s="68" t="s">
        <v>920</v>
      </c>
      <c r="U26" s="68" t="s">
        <v>91</v>
      </c>
      <c r="V26" s="68" t="s">
        <v>924</v>
      </c>
      <c r="W26" s="68" t="s">
        <v>91</v>
      </c>
      <c r="X26" s="68" t="s">
        <v>130</v>
      </c>
      <c r="Y26" s="68" t="s">
        <v>91</v>
      </c>
      <c r="Z26" s="68" t="s">
        <v>91</v>
      </c>
      <c r="AA26" s="68" t="s">
        <v>915</v>
      </c>
      <c r="AB26" s="68" t="s">
        <v>467</v>
      </c>
      <c r="AC26" s="68" t="s">
        <v>468</v>
      </c>
      <c r="AD26" s="68" t="s">
        <v>469</v>
      </c>
      <c r="AE26" s="68" t="s">
        <v>469</v>
      </c>
      <c r="AF26" s="68" t="s">
        <v>91</v>
      </c>
      <c r="AG26" s="68" t="s">
        <v>91</v>
      </c>
      <c r="AH26" s="142">
        <v>45093</v>
      </c>
      <c r="AI26" s="68" t="s">
        <v>925</v>
      </c>
      <c r="AJ26" s="142">
        <v>45093</v>
      </c>
      <c r="AK26" s="68" t="s">
        <v>91</v>
      </c>
      <c r="AL26" s="68" t="s">
        <v>917</v>
      </c>
      <c r="AM26" s="142">
        <v>45276</v>
      </c>
      <c r="AN26" s="68" t="s">
        <v>91</v>
      </c>
      <c r="AO26" s="157">
        <v>2.2000000000000002</v>
      </c>
      <c r="AP26" s="142"/>
      <c r="AQ26" s="142">
        <v>45226</v>
      </c>
      <c r="AR26" s="68">
        <v>160</v>
      </c>
      <c r="AS26" s="157">
        <v>500000</v>
      </c>
      <c r="AT26" s="68" t="s">
        <v>918</v>
      </c>
      <c r="AU26" s="157" t="s">
        <v>91</v>
      </c>
      <c r="AV26" s="68" t="s">
        <v>91</v>
      </c>
      <c r="AW26" s="68" t="s">
        <v>91</v>
      </c>
      <c r="AX26" s="68"/>
      <c r="AY26" s="68" t="s">
        <v>479</v>
      </c>
      <c r="AZ26" s="68" t="s">
        <v>919</v>
      </c>
      <c r="BA26" s="68" t="s">
        <v>926</v>
      </c>
      <c r="BB26" s="68" t="s">
        <v>91</v>
      </c>
      <c r="BC26" s="68" t="s">
        <v>472</v>
      </c>
      <c r="BD26" s="68" t="s">
        <v>698</v>
      </c>
      <c r="BE26" s="68" t="s">
        <v>250</v>
      </c>
      <c r="BF26" s="68"/>
      <c r="BG26" s="68"/>
      <c r="BH26" s="68"/>
      <c r="BI26" s="68"/>
      <c r="BJ26" s="68" t="s">
        <v>91</v>
      </c>
      <c r="BK26" s="68" t="s">
        <v>486</v>
      </c>
      <c r="BL26" s="68" t="s">
        <v>483</v>
      </c>
      <c r="BM26" s="68"/>
      <c r="BN26" s="68">
        <v>99.29</v>
      </c>
      <c r="BO26" s="68" t="s">
        <v>474</v>
      </c>
      <c r="BP26" s="68" t="s">
        <v>91</v>
      </c>
      <c r="BQ26" s="68" t="s">
        <v>475</v>
      </c>
      <c r="BR26" s="68" t="s">
        <v>476</v>
      </c>
      <c r="BS26" s="68"/>
      <c r="BT26" s="68" t="s">
        <v>477</v>
      </c>
      <c r="BU26" s="142">
        <v>45824</v>
      </c>
      <c r="BV26" s="68">
        <v>2.2000000000000002</v>
      </c>
      <c r="BW26" s="68" t="s">
        <v>730</v>
      </c>
      <c r="BX26" s="68">
        <v>40</v>
      </c>
      <c r="BY26" s="68" t="s">
        <v>472</v>
      </c>
      <c r="BZ26" s="68" t="s">
        <v>487</v>
      </c>
      <c r="CA26" s="68" t="s">
        <v>922</v>
      </c>
      <c r="CB26" s="68" t="s">
        <v>927</v>
      </c>
      <c r="CC26" s="68" t="s">
        <v>240</v>
      </c>
      <c r="CD26" s="142"/>
      <c r="CE26" s="68" t="s">
        <v>7</v>
      </c>
      <c r="CF26" s="68" t="s">
        <v>12</v>
      </c>
      <c r="CG26" s="68" t="s">
        <v>7</v>
      </c>
      <c r="CH26" s="68" t="s">
        <v>248</v>
      </c>
      <c r="CI26" s="68" t="s">
        <v>91</v>
      </c>
      <c r="CJ26" s="142"/>
      <c r="CK26" s="68"/>
      <c r="CL26" s="68" t="s">
        <v>82</v>
      </c>
      <c r="CM26" s="68" t="s">
        <v>826</v>
      </c>
      <c r="CN26" s="157" t="s">
        <v>710</v>
      </c>
      <c r="CO26" s="157" t="s">
        <v>837</v>
      </c>
    </row>
    <row r="27" spans="2:106" ht="15.75" x14ac:dyDescent="0.25">
      <c r="D27" s="125"/>
      <c r="E27" s="125"/>
      <c r="F27" s="125"/>
      <c r="J27" s="68">
        <v>5</v>
      </c>
      <c r="K27" s="143" t="s">
        <v>954</v>
      </c>
      <c r="L27" s="157" t="s">
        <v>825</v>
      </c>
      <c r="M27" s="68" t="s">
        <v>2</v>
      </c>
      <c r="N27" s="157" t="s">
        <v>824</v>
      </c>
      <c r="O27" s="141">
        <v>45224</v>
      </c>
      <c r="P27" s="68" t="s">
        <v>105</v>
      </c>
      <c r="Q27" s="68" t="s">
        <v>91</v>
      </c>
      <c r="R27" s="68" t="s">
        <v>91</v>
      </c>
      <c r="S27" s="68" t="s">
        <v>91</v>
      </c>
      <c r="T27" s="68" t="s">
        <v>920</v>
      </c>
      <c r="U27" s="68" t="s">
        <v>91</v>
      </c>
      <c r="V27" s="68" t="s">
        <v>932</v>
      </c>
      <c r="W27" s="68" t="s">
        <v>91</v>
      </c>
      <c r="X27" s="68" t="s">
        <v>130</v>
      </c>
      <c r="Y27" s="68" t="s">
        <v>91</v>
      </c>
      <c r="Z27" s="68" t="s">
        <v>91</v>
      </c>
      <c r="AA27" s="68" t="s">
        <v>466</v>
      </c>
      <c r="AB27" s="68" t="s">
        <v>467</v>
      </c>
      <c r="AC27" s="68" t="s">
        <v>468</v>
      </c>
      <c r="AD27" s="68" t="s">
        <v>469</v>
      </c>
      <c r="AE27" s="68" t="s">
        <v>469</v>
      </c>
      <c r="AF27" s="68" t="s">
        <v>91</v>
      </c>
      <c r="AG27" s="68" t="s">
        <v>91</v>
      </c>
      <c r="AH27" s="142">
        <v>45142</v>
      </c>
      <c r="AI27" s="68" t="s">
        <v>933</v>
      </c>
      <c r="AJ27" s="142">
        <v>45142</v>
      </c>
      <c r="AK27" s="68" t="s">
        <v>91</v>
      </c>
      <c r="AL27" s="68" t="s">
        <v>917</v>
      </c>
      <c r="AM27" s="142">
        <v>45326</v>
      </c>
      <c r="AN27" s="68" t="s">
        <v>91</v>
      </c>
      <c r="AO27" s="157">
        <v>2.52</v>
      </c>
      <c r="AP27" s="142"/>
      <c r="AQ27" s="142">
        <v>45226</v>
      </c>
      <c r="AR27" s="68">
        <v>70</v>
      </c>
      <c r="AS27" s="157">
        <v>500000</v>
      </c>
      <c r="AT27" s="68" t="s">
        <v>918</v>
      </c>
      <c r="AU27" s="157" t="s">
        <v>91</v>
      </c>
      <c r="AV27" s="68" t="s">
        <v>91</v>
      </c>
      <c r="AW27" s="68" t="s">
        <v>91</v>
      </c>
      <c r="AX27" s="68"/>
      <c r="AY27" s="68" t="s">
        <v>479</v>
      </c>
      <c r="AZ27" s="68" t="s">
        <v>919</v>
      </c>
      <c r="BA27" s="68" t="s">
        <v>1060</v>
      </c>
      <c r="BB27" s="68" t="s">
        <v>91</v>
      </c>
      <c r="BC27" s="68" t="s">
        <v>472</v>
      </c>
      <c r="BD27" s="68" t="s">
        <v>698</v>
      </c>
      <c r="BE27" s="68" t="s">
        <v>250</v>
      </c>
      <c r="BF27" s="68"/>
      <c r="BG27" s="68"/>
      <c r="BH27" s="68"/>
      <c r="BI27" s="68"/>
      <c r="BJ27" s="68" t="s">
        <v>91</v>
      </c>
      <c r="BK27" s="68" t="s">
        <v>486</v>
      </c>
      <c r="BL27" s="68" t="s">
        <v>483</v>
      </c>
      <c r="BM27" s="68"/>
      <c r="BN27" s="68">
        <v>98.54</v>
      </c>
      <c r="BO27" s="68" t="s">
        <v>474</v>
      </c>
      <c r="BP27" s="68" t="s">
        <v>91</v>
      </c>
      <c r="BQ27" s="68" t="s">
        <v>475</v>
      </c>
      <c r="BR27" s="68" t="s">
        <v>476</v>
      </c>
      <c r="BS27" s="68"/>
      <c r="BT27" s="68" t="s">
        <v>109</v>
      </c>
      <c r="BU27" s="142">
        <v>46969</v>
      </c>
      <c r="BV27" s="68">
        <v>2.52</v>
      </c>
      <c r="BW27" s="68" t="s">
        <v>934</v>
      </c>
      <c r="BX27" s="68">
        <v>40</v>
      </c>
      <c r="BY27" s="68" t="s">
        <v>472</v>
      </c>
      <c r="BZ27" s="68" t="s">
        <v>487</v>
      </c>
      <c r="CA27" s="68" t="s">
        <v>922</v>
      </c>
      <c r="CB27" s="68" t="s">
        <v>935</v>
      </c>
      <c r="CC27" s="68" t="s">
        <v>240</v>
      </c>
      <c r="CD27" s="142"/>
      <c r="CE27" s="68" t="s">
        <v>7</v>
      </c>
      <c r="CF27" s="68" t="s">
        <v>12</v>
      </c>
      <c r="CG27" s="68" t="s">
        <v>7</v>
      </c>
      <c r="CH27" s="68" t="s">
        <v>248</v>
      </c>
      <c r="CI27" s="68" t="s">
        <v>91</v>
      </c>
      <c r="CJ27" s="142"/>
      <c r="CK27" s="68"/>
      <c r="CL27" s="68" t="s">
        <v>82</v>
      </c>
      <c r="CM27" s="68" t="s">
        <v>826</v>
      </c>
      <c r="CN27" s="157" t="s">
        <v>710</v>
      </c>
      <c r="CO27" s="157" t="s">
        <v>828</v>
      </c>
    </row>
    <row r="28" spans="2:106" ht="15.75" x14ac:dyDescent="0.25">
      <c r="D28" s="125"/>
      <c r="E28" s="125"/>
      <c r="F28" s="125"/>
      <c r="J28" s="68">
        <v>4</v>
      </c>
      <c r="K28" s="143" t="s">
        <v>954</v>
      </c>
      <c r="L28" s="157" t="s">
        <v>825</v>
      </c>
      <c r="M28" s="68" t="s">
        <v>2</v>
      </c>
      <c r="N28" s="157" t="s">
        <v>832</v>
      </c>
      <c r="O28" s="141">
        <v>45224</v>
      </c>
      <c r="P28" s="68" t="s">
        <v>105</v>
      </c>
      <c r="Q28" s="68" t="s">
        <v>91</v>
      </c>
      <c r="R28" s="68" t="s">
        <v>91</v>
      </c>
      <c r="S28" s="68" t="s">
        <v>91</v>
      </c>
      <c r="T28" s="68" t="s">
        <v>920</v>
      </c>
      <c r="U28" s="68" t="s">
        <v>91</v>
      </c>
      <c r="V28" s="68" t="s">
        <v>928</v>
      </c>
      <c r="W28" s="68" t="s">
        <v>91</v>
      </c>
      <c r="X28" s="68" t="s">
        <v>130</v>
      </c>
      <c r="Y28" s="68" t="s">
        <v>91</v>
      </c>
      <c r="Z28" s="68" t="s">
        <v>91</v>
      </c>
      <c r="AA28" s="68" t="s">
        <v>915</v>
      </c>
      <c r="AB28" s="68" t="s">
        <v>467</v>
      </c>
      <c r="AC28" s="68" t="s">
        <v>468</v>
      </c>
      <c r="AD28" s="68" t="s">
        <v>469</v>
      </c>
      <c r="AE28" s="68" t="s">
        <v>469</v>
      </c>
      <c r="AF28" s="68" t="s">
        <v>91</v>
      </c>
      <c r="AG28" s="68" t="s">
        <v>91</v>
      </c>
      <c r="AH28" s="142">
        <v>45093</v>
      </c>
      <c r="AI28" s="68" t="s">
        <v>929</v>
      </c>
      <c r="AJ28" s="142">
        <v>45093</v>
      </c>
      <c r="AK28" s="68" t="s">
        <v>91</v>
      </c>
      <c r="AL28" s="68" t="s">
        <v>917</v>
      </c>
      <c r="AM28" s="142">
        <v>45276</v>
      </c>
      <c r="AN28" s="68" t="s">
        <v>91</v>
      </c>
      <c r="AO28" s="157">
        <v>2.2999999999999998</v>
      </c>
      <c r="AP28" s="142"/>
      <c r="AQ28" s="142">
        <v>45226</v>
      </c>
      <c r="AR28" s="68">
        <v>120</v>
      </c>
      <c r="AS28" s="157">
        <v>500000</v>
      </c>
      <c r="AT28" s="68" t="s">
        <v>918</v>
      </c>
      <c r="AU28" s="157" t="s">
        <v>91</v>
      </c>
      <c r="AV28" s="68" t="s">
        <v>91</v>
      </c>
      <c r="AW28" s="68" t="s">
        <v>91</v>
      </c>
      <c r="AX28" s="68"/>
      <c r="AY28" s="68" t="s">
        <v>479</v>
      </c>
      <c r="AZ28" s="68" t="s">
        <v>919</v>
      </c>
      <c r="BA28" s="68" t="s">
        <v>930</v>
      </c>
      <c r="BB28" s="68" t="s">
        <v>91</v>
      </c>
      <c r="BC28" s="68" t="s">
        <v>472</v>
      </c>
      <c r="BD28" s="68" t="s">
        <v>698</v>
      </c>
      <c r="BE28" s="68" t="s">
        <v>250</v>
      </c>
      <c r="BF28" s="68"/>
      <c r="BG28" s="68"/>
      <c r="BH28" s="68"/>
      <c r="BI28" s="68"/>
      <c r="BJ28" s="68" t="s">
        <v>91</v>
      </c>
      <c r="BK28" s="68" t="s">
        <v>486</v>
      </c>
      <c r="BL28" s="68" t="s">
        <v>483</v>
      </c>
      <c r="BM28" s="68"/>
      <c r="BN28" s="68">
        <v>98.87</v>
      </c>
      <c r="BO28" s="68" t="s">
        <v>474</v>
      </c>
      <c r="BP28" s="68" t="s">
        <v>91</v>
      </c>
      <c r="BQ28" s="68" t="s">
        <v>475</v>
      </c>
      <c r="BR28" s="68" t="s">
        <v>476</v>
      </c>
      <c r="BS28" s="68"/>
      <c r="BT28" s="68" t="s">
        <v>477</v>
      </c>
      <c r="BU28" s="142">
        <v>46189</v>
      </c>
      <c r="BV28" s="68">
        <v>2.2999999999999998</v>
      </c>
      <c r="BW28" s="68" t="s">
        <v>478</v>
      </c>
      <c r="BX28" s="68">
        <v>50</v>
      </c>
      <c r="BY28" s="68" t="s">
        <v>472</v>
      </c>
      <c r="BZ28" s="68" t="s">
        <v>487</v>
      </c>
      <c r="CA28" s="68" t="s">
        <v>922</v>
      </c>
      <c r="CB28" s="68" t="s">
        <v>931</v>
      </c>
      <c r="CC28" s="68" t="s">
        <v>240</v>
      </c>
      <c r="CD28" s="142"/>
      <c r="CE28" s="68" t="s">
        <v>7</v>
      </c>
      <c r="CF28" s="68" t="s">
        <v>12</v>
      </c>
      <c r="CG28" s="68" t="s">
        <v>7</v>
      </c>
      <c r="CH28" s="68" t="s">
        <v>248</v>
      </c>
      <c r="CI28" s="68" t="s">
        <v>91</v>
      </c>
      <c r="CJ28" s="142"/>
      <c r="CK28" s="68"/>
      <c r="CL28" s="68" t="s">
        <v>82</v>
      </c>
      <c r="CM28" s="68" t="s">
        <v>826</v>
      </c>
      <c r="CN28" s="157" t="s">
        <v>710</v>
      </c>
      <c r="CO28" s="157" t="s">
        <v>834</v>
      </c>
    </row>
    <row r="29" spans="2:106" ht="15" x14ac:dyDescent="0.25">
      <c r="J29" s="68">
        <v>3</v>
      </c>
      <c r="K29" s="143" t="s">
        <v>677</v>
      </c>
      <c r="L29" s="157" t="s">
        <v>680</v>
      </c>
      <c r="M29" s="68" t="s">
        <v>83</v>
      </c>
      <c r="N29" s="157" t="s">
        <v>854</v>
      </c>
      <c r="O29" s="141">
        <v>45224</v>
      </c>
      <c r="P29" s="68" t="s">
        <v>105</v>
      </c>
      <c r="Q29" s="68" t="s">
        <v>91</v>
      </c>
      <c r="R29" s="68" t="s">
        <v>91</v>
      </c>
      <c r="S29" s="68" t="s">
        <v>91</v>
      </c>
      <c r="T29" s="68" t="s">
        <v>685</v>
      </c>
      <c r="U29" s="68" t="s">
        <v>91</v>
      </c>
      <c r="V29" s="68" t="s">
        <v>912</v>
      </c>
      <c r="W29" s="68" t="s">
        <v>91</v>
      </c>
      <c r="X29" s="68" t="s">
        <v>91</v>
      </c>
      <c r="Y29" s="68" t="s">
        <v>91</v>
      </c>
      <c r="Z29" s="68" t="s">
        <v>91</v>
      </c>
      <c r="AA29" s="68" t="s">
        <v>466</v>
      </c>
      <c r="AB29" s="68" t="s">
        <v>467</v>
      </c>
      <c r="AC29" s="68" t="s">
        <v>468</v>
      </c>
      <c r="AD29" s="68" t="s">
        <v>469</v>
      </c>
      <c r="AE29" s="68" t="s">
        <v>469</v>
      </c>
      <c r="AF29" s="68" t="s">
        <v>685</v>
      </c>
      <c r="AG29" s="68" t="s">
        <v>91</v>
      </c>
      <c r="AH29" s="142">
        <v>45230</v>
      </c>
      <c r="AI29" s="68" t="s">
        <v>91</v>
      </c>
      <c r="AJ29" s="142">
        <v>45230</v>
      </c>
      <c r="AK29" s="68" t="s">
        <v>680</v>
      </c>
      <c r="AL29" s="68" t="s">
        <v>687</v>
      </c>
      <c r="AM29" s="142">
        <v>45322</v>
      </c>
      <c r="AN29" s="68" t="s">
        <v>91</v>
      </c>
      <c r="AO29" s="157">
        <v>3.3</v>
      </c>
      <c r="AP29" s="142"/>
      <c r="AQ29" s="142">
        <v>45230</v>
      </c>
      <c r="AR29" s="68">
        <v>5.3999999999999999E-2</v>
      </c>
      <c r="AS29" s="157">
        <v>5400000</v>
      </c>
      <c r="AT29" s="68" t="s">
        <v>686</v>
      </c>
      <c r="AU29" s="157" t="s">
        <v>91</v>
      </c>
      <c r="AV29" s="68" t="s">
        <v>91</v>
      </c>
      <c r="AW29" s="68" t="s">
        <v>91</v>
      </c>
      <c r="AX29" s="68"/>
      <c r="AY29" s="68" t="s">
        <v>480</v>
      </c>
      <c r="AZ29" s="68" t="s">
        <v>471</v>
      </c>
      <c r="BA29" s="68" t="s">
        <v>1061</v>
      </c>
      <c r="BB29" s="68" t="s">
        <v>91</v>
      </c>
      <c r="BC29" s="68" t="s">
        <v>472</v>
      </c>
      <c r="BD29" s="68" t="s">
        <v>508</v>
      </c>
      <c r="BE29" s="68" t="s">
        <v>325</v>
      </c>
      <c r="BF29" s="68"/>
      <c r="BG29" s="68"/>
      <c r="BH29" s="68"/>
      <c r="BI29" s="68"/>
      <c r="BJ29" s="68" t="s">
        <v>91</v>
      </c>
      <c r="BK29" s="68" t="s">
        <v>91</v>
      </c>
      <c r="BL29" s="68" t="s">
        <v>483</v>
      </c>
      <c r="BM29" s="68"/>
      <c r="BN29" s="68">
        <v>100</v>
      </c>
      <c r="BO29" s="68" t="s">
        <v>474</v>
      </c>
      <c r="BP29" s="68" t="s">
        <v>91</v>
      </c>
      <c r="BQ29" s="68" t="s">
        <v>507</v>
      </c>
      <c r="BR29" s="68" t="s">
        <v>476</v>
      </c>
      <c r="BS29" s="68"/>
      <c r="BT29" s="68" t="s">
        <v>109</v>
      </c>
      <c r="BU29" s="142">
        <v>45322</v>
      </c>
      <c r="BV29" s="68">
        <v>3.3</v>
      </c>
      <c r="BW29" s="68" t="s">
        <v>700</v>
      </c>
      <c r="BX29" s="68">
        <v>5.3999999999999999E-2</v>
      </c>
      <c r="BY29" s="68" t="s">
        <v>472</v>
      </c>
      <c r="BZ29" s="68" t="s">
        <v>472</v>
      </c>
      <c r="CA29" s="68" t="s">
        <v>472</v>
      </c>
      <c r="CB29" s="68" t="s">
        <v>913</v>
      </c>
      <c r="CC29" s="68" t="s">
        <v>240</v>
      </c>
      <c r="CD29" s="142"/>
      <c r="CE29" s="68" t="s">
        <v>7</v>
      </c>
      <c r="CF29" s="68" t="s">
        <v>12</v>
      </c>
      <c r="CG29" s="68" t="s">
        <v>7</v>
      </c>
      <c r="CH29" s="68" t="s">
        <v>463</v>
      </c>
      <c r="CI29" s="68" t="s">
        <v>91</v>
      </c>
      <c r="CJ29" s="142"/>
      <c r="CK29" s="68"/>
      <c r="CL29" s="68" t="s">
        <v>82</v>
      </c>
      <c r="CM29" s="68" t="s">
        <v>82</v>
      </c>
      <c r="CN29" s="157" t="s">
        <v>710</v>
      </c>
      <c r="CO29" s="157" t="s">
        <v>856</v>
      </c>
    </row>
    <row r="30" spans="2:106" ht="15" x14ac:dyDescent="0.25">
      <c r="J30" s="68">
        <v>2</v>
      </c>
      <c r="K30" s="143" t="s">
        <v>749</v>
      </c>
      <c r="L30" s="157" t="s">
        <v>723</v>
      </c>
      <c r="M30" s="68" t="s">
        <v>1</v>
      </c>
      <c r="N30" s="157" t="s">
        <v>722</v>
      </c>
      <c r="O30" s="141">
        <v>45223</v>
      </c>
      <c r="P30" s="68" t="s">
        <v>105</v>
      </c>
      <c r="Q30" s="68" t="s">
        <v>91</v>
      </c>
      <c r="R30" s="68" t="s">
        <v>91</v>
      </c>
      <c r="S30" s="68" t="s">
        <v>741</v>
      </c>
      <c r="T30" s="68" t="s">
        <v>744</v>
      </c>
      <c r="U30" s="68" t="s">
        <v>951</v>
      </c>
      <c r="V30" s="68" t="s">
        <v>739</v>
      </c>
      <c r="W30" s="68" t="s">
        <v>863</v>
      </c>
      <c r="X30" s="68" t="s">
        <v>130</v>
      </c>
      <c r="Y30" s="68" t="s">
        <v>91</v>
      </c>
      <c r="Z30" s="68" t="s">
        <v>91</v>
      </c>
      <c r="AA30" s="68" t="s">
        <v>466</v>
      </c>
      <c r="AB30" s="68" t="s">
        <v>467</v>
      </c>
      <c r="AC30" s="68" t="s">
        <v>468</v>
      </c>
      <c r="AD30" s="68" t="s">
        <v>469</v>
      </c>
      <c r="AE30" s="68" t="s">
        <v>469</v>
      </c>
      <c r="AF30" s="68" t="s">
        <v>748</v>
      </c>
      <c r="AG30" s="68" t="s">
        <v>470</v>
      </c>
      <c r="AH30" s="142">
        <v>45223</v>
      </c>
      <c r="AI30" s="68" t="s">
        <v>735</v>
      </c>
      <c r="AJ30" s="142">
        <v>45223</v>
      </c>
      <c r="AK30" s="68" t="s">
        <v>723</v>
      </c>
      <c r="AL30" s="68" t="s">
        <v>747</v>
      </c>
      <c r="AM30" s="142">
        <v>45406</v>
      </c>
      <c r="AN30" s="68" t="s">
        <v>91</v>
      </c>
      <c r="AO30" s="157">
        <v>7.8</v>
      </c>
      <c r="AP30" s="142"/>
      <c r="AQ30" s="142">
        <v>45229</v>
      </c>
      <c r="AR30" s="68">
        <v>2.7</v>
      </c>
      <c r="AS30" s="157">
        <v>10000</v>
      </c>
      <c r="AT30" s="68" t="s">
        <v>746</v>
      </c>
      <c r="AU30" s="157" t="s">
        <v>745</v>
      </c>
      <c r="AV30" s="68" t="s">
        <v>91</v>
      </c>
      <c r="AW30" s="68" t="s">
        <v>91</v>
      </c>
      <c r="AX30" s="68"/>
      <c r="AY30" s="68" t="s">
        <v>480</v>
      </c>
      <c r="AZ30" s="68" t="s">
        <v>471</v>
      </c>
      <c r="BA30" s="68" t="s">
        <v>1062</v>
      </c>
      <c r="BB30" s="68" t="s">
        <v>407</v>
      </c>
      <c r="BC30" s="68" t="s">
        <v>472</v>
      </c>
      <c r="BD30" s="68" t="s">
        <v>473</v>
      </c>
      <c r="BE30" s="68" t="s">
        <v>250</v>
      </c>
      <c r="BF30" s="68"/>
      <c r="BG30" s="68"/>
      <c r="BH30" s="68"/>
      <c r="BI30" s="68"/>
      <c r="BJ30" s="68" t="s">
        <v>743</v>
      </c>
      <c r="BK30" s="68" t="s">
        <v>742</v>
      </c>
      <c r="BL30" s="68" t="s">
        <v>689</v>
      </c>
      <c r="BM30" s="68"/>
      <c r="BN30" s="68">
        <v>99.998000000000005</v>
      </c>
      <c r="BO30" s="68" t="s">
        <v>474</v>
      </c>
      <c r="BP30" s="68" t="s">
        <v>91</v>
      </c>
      <c r="BQ30" s="68" t="s">
        <v>507</v>
      </c>
      <c r="BR30" s="68" t="s">
        <v>476</v>
      </c>
      <c r="BS30" s="68"/>
      <c r="BT30" s="68" t="s">
        <v>481</v>
      </c>
      <c r="BU30" s="142">
        <v>46319</v>
      </c>
      <c r="BV30" s="68">
        <v>7.8</v>
      </c>
      <c r="BW30" s="68" t="s">
        <v>478</v>
      </c>
      <c r="BX30" s="68">
        <v>1.5</v>
      </c>
      <c r="BY30" s="68" t="s">
        <v>472</v>
      </c>
      <c r="BZ30" s="68" t="s">
        <v>472</v>
      </c>
      <c r="CA30" s="68" t="s">
        <v>472</v>
      </c>
      <c r="CB30" s="68" t="s">
        <v>740</v>
      </c>
      <c r="CC30" s="68" t="s">
        <v>240</v>
      </c>
      <c r="CD30" s="142"/>
      <c r="CE30" s="68" t="s">
        <v>7</v>
      </c>
      <c r="CF30" s="68" t="s">
        <v>10</v>
      </c>
      <c r="CG30" s="68" t="s">
        <v>7</v>
      </c>
      <c r="CH30" s="68" t="s">
        <v>724</v>
      </c>
      <c r="CI30" s="68" t="s">
        <v>91</v>
      </c>
      <c r="CJ30" s="142"/>
      <c r="CK30" s="68"/>
      <c r="CL30" s="68" t="s">
        <v>82</v>
      </c>
      <c r="CM30" s="68" t="s">
        <v>82</v>
      </c>
      <c r="CN30" s="157" t="s">
        <v>710</v>
      </c>
      <c r="CO30" s="157" t="s">
        <v>857</v>
      </c>
    </row>
    <row r="31" spans="2:106" ht="15" x14ac:dyDescent="0.25">
      <c r="J31" s="68">
        <v>1</v>
      </c>
      <c r="K31" s="143" t="s">
        <v>697</v>
      </c>
      <c r="L31" s="157" t="s">
        <v>723</v>
      </c>
      <c r="M31" s="68" t="s">
        <v>1</v>
      </c>
      <c r="N31" s="157" t="s">
        <v>863</v>
      </c>
      <c r="O31" s="141">
        <v>45223</v>
      </c>
      <c r="P31" s="68" t="s">
        <v>105</v>
      </c>
      <c r="Q31" s="68" t="s">
        <v>91</v>
      </c>
      <c r="R31" s="68" t="s">
        <v>91</v>
      </c>
      <c r="S31" s="68" t="s">
        <v>91</v>
      </c>
      <c r="T31" s="68" t="s">
        <v>744</v>
      </c>
      <c r="U31" s="68" t="s">
        <v>951</v>
      </c>
      <c r="V31" s="68" t="s">
        <v>739</v>
      </c>
      <c r="W31" s="68" t="s">
        <v>91</v>
      </c>
      <c r="X31" s="68" t="s">
        <v>130</v>
      </c>
      <c r="Y31" s="68" t="s">
        <v>91</v>
      </c>
      <c r="Z31" s="68" t="s">
        <v>91</v>
      </c>
      <c r="AA31" s="68" t="s">
        <v>466</v>
      </c>
      <c r="AB31" s="68" t="s">
        <v>467</v>
      </c>
      <c r="AC31" s="68" t="s">
        <v>468</v>
      </c>
      <c r="AD31" s="68" t="s">
        <v>469</v>
      </c>
      <c r="AE31" s="68" t="s">
        <v>469</v>
      </c>
      <c r="AF31" s="68" t="s">
        <v>950</v>
      </c>
      <c r="AG31" s="68" t="s">
        <v>470</v>
      </c>
      <c r="AH31" s="142">
        <v>45229</v>
      </c>
      <c r="AI31" s="68" t="s">
        <v>91</v>
      </c>
      <c r="AJ31" s="142">
        <v>45229</v>
      </c>
      <c r="AK31" s="68" t="s">
        <v>723</v>
      </c>
      <c r="AL31" s="68" t="s">
        <v>747</v>
      </c>
      <c r="AM31" s="142">
        <v>45412</v>
      </c>
      <c r="AN31" s="68" t="s">
        <v>91</v>
      </c>
      <c r="AO31" s="157">
        <v>7.8</v>
      </c>
      <c r="AP31" s="142"/>
      <c r="AQ31" s="142">
        <v>45229</v>
      </c>
      <c r="AR31" s="68">
        <v>1.5</v>
      </c>
      <c r="AS31" s="157">
        <v>10000</v>
      </c>
      <c r="AT31" s="68" t="s">
        <v>746</v>
      </c>
      <c r="AU31" s="157" t="s">
        <v>91</v>
      </c>
      <c r="AV31" s="68" t="s">
        <v>91</v>
      </c>
      <c r="AW31" s="68" t="s">
        <v>91</v>
      </c>
      <c r="AX31" s="68"/>
      <c r="AY31" s="68" t="s">
        <v>480</v>
      </c>
      <c r="AZ31" s="68" t="s">
        <v>471</v>
      </c>
      <c r="BA31" s="68" t="s">
        <v>1062</v>
      </c>
      <c r="BB31" s="68" t="s">
        <v>407</v>
      </c>
      <c r="BC31" s="68" t="s">
        <v>472</v>
      </c>
      <c r="BD31" s="68" t="s">
        <v>473</v>
      </c>
      <c r="BE31" s="68" t="s">
        <v>325</v>
      </c>
      <c r="BF31" s="68"/>
      <c r="BG31" s="68"/>
      <c r="BH31" s="68"/>
      <c r="BI31" s="68"/>
      <c r="BJ31" s="68" t="s">
        <v>743</v>
      </c>
      <c r="BK31" s="68" t="s">
        <v>742</v>
      </c>
      <c r="BL31" s="68" t="s">
        <v>689</v>
      </c>
      <c r="BM31" s="68"/>
      <c r="BN31" s="68">
        <v>99.998000000000005</v>
      </c>
      <c r="BO31" s="68" t="s">
        <v>474</v>
      </c>
      <c r="BP31" s="68" t="s">
        <v>91</v>
      </c>
      <c r="BQ31" s="68" t="s">
        <v>507</v>
      </c>
      <c r="BR31" s="68" t="s">
        <v>476</v>
      </c>
      <c r="BS31" s="68"/>
      <c r="BT31" s="68" t="s">
        <v>481</v>
      </c>
      <c r="BU31" s="142">
        <v>46319</v>
      </c>
      <c r="BV31" s="68">
        <v>7.8</v>
      </c>
      <c r="BW31" s="68" t="s">
        <v>952</v>
      </c>
      <c r="BX31" s="68">
        <v>1.5</v>
      </c>
      <c r="BY31" s="68" t="s">
        <v>472</v>
      </c>
      <c r="BZ31" s="68" t="s">
        <v>472</v>
      </c>
      <c r="CA31" s="68" t="s">
        <v>472</v>
      </c>
      <c r="CB31" s="68" t="s">
        <v>740</v>
      </c>
      <c r="CC31" s="68" t="s">
        <v>240</v>
      </c>
      <c r="CD31" s="142"/>
      <c r="CE31" s="68" t="s">
        <v>7</v>
      </c>
      <c r="CF31" s="68" t="s">
        <v>10</v>
      </c>
      <c r="CG31" s="68" t="s">
        <v>7</v>
      </c>
      <c r="CH31" s="68" t="s">
        <v>724</v>
      </c>
      <c r="CI31" s="68" t="s">
        <v>91</v>
      </c>
      <c r="CJ31" s="142"/>
      <c r="CK31" s="68"/>
      <c r="CL31" s="68" t="s">
        <v>82</v>
      </c>
      <c r="CM31" s="68" t="s">
        <v>82</v>
      </c>
      <c r="CN31" s="157" t="s">
        <v>710</v>
      </c>
      <c r="CO31" s="157" t="s">
        <v>864</v>
      </c>
    </row>
    <row r="32" spans="2:106" ht="15" x14ac:dyDescent="0.25"/>
    <row r="33" ht="15" x14ac:dyDescent="0.25"/>
    <row r="34" ht="15" x14ac:dyDescent="0.25"/>
    <row r="35" ht="15" x14ac:dyDescent="0.25"/>
    <row r="36" ht="15" x14ac:dyDescent="0.25"/>
    <row r="37" ht="15" x14ac:dyDescent="0.25"/>
    <row r="38" ht="15" x14ac:dyDescent="0.25"/>
    <row r="39" ht="15" x14ac:dyDescent="0.25"/>
    <row r="40" ht="19.5" customHeight="1" x14ac:dyDescent="0.25"/>
    <row r="41" ht="19.5" customHeight="1" x14ac:dyDescent="0.25"/>
    <row r="42" ht="19.5" customHeight="1" x14ac:dyDescent="0.25"/>
    <row r="43" ht="19.5" customHeight="1" x14ac:dyDescent="0.25"/>
    <row r="44" ht="19.5" customHeight="1" x14ac:dyDescent="0.25"/>
  </sheetData>
  <phoneticPr fontId="14" type="noConversion"/>
  <conditionalFormatting sqref="G11">
    <cfRule type="iconSet" priority="22">
      <iconSet showValue="0">
        <cfvo type="percent" val="0"/>
        <cfvo type="num" val="-1"/>
        <cfvo type="num" val="0"/>
      </iconSet>
    </cfRule>
  </conditionalFormatting>
  <conditionalFormatting sqref="C5">
    <cfRule type="containsText" dxfId="596" priority="15" operator="containsText" text="KT">
      <formula>NOT(ISERROR(SEARCH("KT",C5)))</formula>
    </cfRule>
    <cfRule type="containsText" dxfId="595" priority="16" operator="containsText" text="JH">
      <formula>NOT(ISERROR(SEARCH("JH",C5)))</formula>
    </cfRule>
    <cfRule type="containsText" dxfId="594" priority="17" operator="containsText" text="CL">
      <formula>NOT(ISERROR(SEARCH("CL",C5)))</formula>
    </cfRule>
    <cfRule type="containsText" dxfId="593" priority="18" operator="containsText" text="CY">
      <formula>NOT(ISERROR(SEARCH("CY",C5)))</formula>
    </cfRule>
    <cfRule type="containsText" dxfId="592" priority="19" operator="containsText" text="ES">
      <formula>NOT(ISERROR(SEARCH("ES",C5)))</formula>
    </cfRule>
  </conditionalFormatting>
  <conditionalFormatting sqref="K16:K31">
    <cfRule type="containsText" dxfId="591" priority="1" operator="containsText" text="【">
      <formula>NOT(ISERROR(SEARCH("【",K16)))</formula>
    </cfRule>
  </conditionalFormatting>
  <dataValidations count="9">
    <dataValidation type="list" allowBlank="1" showInputMessage="1" showErrorMessage="1" promptTitle="⚠️Change Updator" prompt="will wipe out  last week's results" sqref="C5">
      <formula1>dd_updator</formula1>
    </dataValidation>
    <dataValidation type="list" allowBlank="1" showInputMessage="1" showErrorMessage="1" promptTitle="Weekly AM folder name " prompt="In YYYYMMDD format_x000a__x000a_Regardless of holidays, only set folder name to a Monday date" sqref="C4">
      <formula1>dd_Monday</formula1>
    </dataValidation>
    <dataValidation type="list" allowBlank="1" showInputMessage="1" showErrorMessage="1" sqref="C8:C9">
      <formula1>"ON,OFF"</formula1>
    </dataValidation>
    <dataValidation type="list" allowBlank="1" showInputMessage="1" showErrorMessage="1" promptTitle="澳门主体Filter" prompt="If this Filter is set as &quot;ON&quot; - credit entity located in Macau will be filtered out when loading DMI data" sqref="C6">
      <formula1>"ON,OFF"</formula1>
    </dataValidation>
    <dataValidation type="list" allowBlank="1" showInputMessage="1" showErrorMessage="1" promptTitle="香港主体Filter" prompt="If this Filter is set as &quot;ON&quot; - credit entity located in HK will be filtered out when loading DMI data" sqref="C7">
      <formula1>"ON,OFF"</formula1>
    </dataValidation>
    <dataValidation type="list" allowBlank="1" showInputMessage="1" showErrorMessage="1" promptTitle="DMI only or DMI+BBG+台账?" prompt="If set to OFF - only DMI data will be loaded" sqref="C10:C12">
      <formula1>"ON,OFF"</formula1>
    </dataValidation>
    <dataValidation type="list" allowBlank="1" showInputMessage="1" showErrorMessage="1" promptTitle="Has DMI Missed Any ISIN?" prompt="Please spark if you notice" sqref="C11">
      <formula1>"N,YES"</formula1>
    </dataValidation>
    <dataValidation type="list" allowBlank="1" showInputMessage="1" showErrorMessage="1" promptTitle="Need to add tap deal?" prompt="Please spark when needed" sqref="C12">
      <formula1>"N,YES"</formula1>
    </dataValidation>
    <dataValidation type="list" allowBlank="1" showInputMessage="1" showErrorMessage="1" sqref="K16:K31">
      <formula1>"【Y】,Y,--"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Download" altText="Refresh_x000a_Button">
                <anchor moveWithCells="1" sizeWithCells="1">
                  <from>
                    <xdr:col>3</xdr:col>
                    <xdr:colOff>962025</xdr:colOff>
                    <xdr:row>4</xdr:row>
                    <xdr:rowOff>76200</xdr:rowOff>
                  </from>
                  <to>
                    <xdr:col>5</xdr:col>
                    <xdr:colOff>1028700</xdr:colOff>
                    <xdr:row>7</xdr:row>
                    <xdr:rowOff>47625</xdr:rowOff>
                  </to>
                </anchor>
              </controlPr>
            </control>
          </mc:Choice>
        </mc:AlternateContent>
      </controls>
    </mc:Choice>
  </mc:AlternateContent>
  <tableParts count="5">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E1E1E9"/>
  </sheetPr>
  <dimension ref="A1:DL73"/>
  <sheetViews>
    <sheetView topLeftCell="B1" zoomScale="85" zoomScaleNormal="85" workbookViewId="0">
      <selection activeCell="I11" sqref="I11"/>
    </sheetView>
  </sheetViews>
  <sheetFormatPr defaultColWidth="8.88671875" defaultRowHeight="15.75" customHeight="1" outlineLevelCol="1" x14ac:dyDescent="0.25"/>
  <cols>
    <col min="1" max="1" width="13.109375" style="3" customWidth="1"/>
    <col min="2" max="2" width="10.88671875" style="3" bestFit="1" customWidth="1"/>
    <col min="3" max="3" width="14" style="3" bestFit="1" customWidth="1"/>
    <col min="4" max="4" width="10.44140625" style="3" bestFit="1" customWidth="1"/>
    <col min="5" max="5" width="26.5546875" style="3" bestFit="1" customWidth="1"/>
    <col min="6" max="6" width="9.21875" style="3" bestFit="1" customWidth="1"/>
    <col min="7" max="7" width="9.21875" style="3" bestFit="1" customWidth="1" outlineLevel="1"/>
    <col min="8" max="8" width="5.88671875" style="3" bestFit="1" customWidth="1" outlineLevel="1"/>
    <col min="9" max="9" width="7.5546875" style="3" bestFit="1" customWidth="1" outlineLevel="1"/>
    <col min="10" max="11" width="10.88671875" style="3" bestFit="1" customWidth="1" outlineLevel="1"/>
    <col min="12" max="12" width="20.109375" style="3" bestFit="1" customWidth="1" outlineLevel="1"/>
    <col min="13" max="15" width="3.6640625" style="3" customWidth="1"/>
    <col min="16" max="16" width="10.44140625" style="3" bestFit="1" customWidth="1"/>
    <col min="17" max="17" width="26.5546875" style="3" bestFit="1" customWidth="1"/>
    <col min="18" max="18" width="4.44140625" style="3" bestFit="1" customWidth="1"/>
    <col min="19" max="19" width="5.77734375" style="3" bestFit="1" customWidth="1"/>
    <col min="20" max="20" width="4.88671875" style="3" bestFit="1" customWidth="1" outlineLevel="1"/>
    <col min="21" max="21" width="7.77734375" style="3" bestFit="1" customWidth="1" outlineLevel="1"/>
    <col min="22" max="22" width="9.21875" style="3" bestFit="1" customWidth="1" outlineLevel="1"/>
    <col min="23" max="23" width="12.44140625" style="3" bestFit="1" customWidth="1" outlineLevel="1"/>
    <col min="24" max="24" width="7.77734375" style="3" bestFit="1" customWidth="1" outlineLevel="1"/>
    <col min="25" max="25" width="4.77734375" style="3" bestFit="1" customWidth="1" outlineLevel="1"/>
    <col min="26" max="26" width="10.5546875" style="3" bestFit="1" customWidth="1" outlineLevel="1"/>
    <col min="27" max="27" width="4.44140625" style="3" bestFit="1" customWidth="1" outlineLevel="1"/>
    <col min="28" max="28" width="12.44140625" style="3" bestFit="1" customWidth="1" outlineLevel="1"/>
    <col min="29" max="29" width="7.77734375" style="3" bestFit="1" customWidth="1" outlineLevel="1"/>
    <col min="30" max="31" width="6.109375" style="3" bestFit="1" customWidth="1" outlineLevel="1"/>
    <col min="32" max="33" width="7.109375" style="3" bestFit="1" customWidth="1" outlineLevel="1"/>
    <col min="34" max="34" width="14" style="3" bestFit="1" customWidth="1" outlineLevel="1"/>
    <col min="35" max="35" width="20.109375" style="3" bestFit="1" customWidth="1" outlineLevel="1"/>
    <col min="36" max="36" width="20" style="3" bestFit="1" customWidth="1" outlineLevel="1"/>
    <col min="37" max="37" width="17.44140625" style="3" bestFit="1" customWidth="1" outlineLevel="1"/>
    <col min="38" max="40" width="2" style="3" customWidth="1"/>
    <col min="41" max="41" width="17.88671875" style="3" bestFit="1" customWidth="1"/>
    <col min="42" max="42" width="19.44140625" style="3" bestFit="1" customWidth="1"/>
    <col min="43" max="43" width="13.33203125" style="3" bestFit="1" customWidth="1"/>
    <col min="44" max="44" width="10.33203125" style="3" bestFit="1" customWidth="1"/>
    <col min="45" max="45" width="7.6640625" style="3" bestFit="1" customWidth="1" outlineLevel="1"/>
    <col min="46" max="46" width="12" style="3" bestFit="1" customWidth="1" outlineLevel="1"/>
    <col min="47" max="47" width="9.88671875" style="3" bestFit="1" customWidth="1" outlineLevel="1"/>
    <col min="48" max="48" width="7.6640625" style="3" bestFit="1" customWidth="1" outlineLevel="1"/>
    <col min="49" max="49" width="13.6640625" style="3" bestFit="1" customWidth="1" outlineLevel="1"/>
    <col min="50" max="50" width="4.33203125" style="3" bestFit="1" customWidth="1" outlineLevel="1"/>
    <col min="51" max="51" width="9.5546875" style="3" bestFit="1" customWidth="1" outlineLevel="1"/>
    <col min="52" max="52" width="7.6640625" style="3" bestFit="1" customWidth="1" outlineLevel="1"/>
    <col min="53" max="53" width="7.21875" style="3" bestFit="1" customWidth="1" outlineLevel="1"/>
    <col min="54" max="54" width="7.6640625" style="3" bestFit="1" customWidth="1" outlineLevel="1"/>
    <col min="55" max="55" width="7.6640625" style="3" bestFit="1" customWidth="1"/>
    <col min="56" max="56" width="7.77734375" style="3" bestFit="1" customWidth="1"/>
    <col min="57" max="57" width="7.6640625" style="3" bestFit="1" customWidth="1"/>
    <col min="58" max="59" width="7.77734375" style="3" bestFit="1" customWidth="1"/>
    <col min="60" max="60" width="7.33203125" style="3" bestFit="1" customWidth="1"/>
    <col min="61" max="61" width="21.33203125" style="3" bestFit="1" customWidth="1"/>
    <col min="62" max="62" width="13.109375" style="23" bestFit="1" customWidth="1"/>
    <col min="63" max="63" width="7.21875" style="23" bestFit="1" customWidth="1"/>
    <col min="64" max="65" width="7.6640625" style="23" bestFit="1" customWidth="1"/>
    <col min="66" max="66" width="9.21875" style="23" bestFit="1" customWidth="1"/>
    <col min="67" max="68" width="9.44140625" style="23" bestFit="1" customWidth="1"/>
    <col min="69" max="70" width="11.109375" style="23" bestFit="1" customWidth="1"/>
    <col min="71" max="71" width="9.44140625" style="23" bestFit="1" customWidth="1"/>
    <col min="72" max="72" width="9" style="23" bestFit="1" customWidth="1"/>
    <col min="73" max="74" width="9.44140625" style="23" bestFit="1" customWidth="1"/>
    <col min="75" max="75" width="9.21875" style="23" bestFit="1" customWidth="1"/>
    <col min="76" max="76" width="8.77734375" style="23" bestFit="1" customWidth="1"/>
    <col min="77" max="77" width="9.21875" style="23" bestFit="1" customWidth="1"/>
    <col min="78" max="78" width="42.77734375" style="23" bestFit="1" customWidth="1"/>
    <col min="79" max="79" width="9.21875" style="23" bestFit="1" customWidth="1"/>
    <col min="80" max="80" width="9.44140625" style="23" bestFit="1" customWidth="1"/>
    <col min="81" max="81" width="8.77734375" style="23" bestFit="1" customWidth="1"/>
    <col min="82" max="82" width="9.21875" style="23" bestFit="1" customWidth="1"/>
    <col min="83" max="83" width="15.21875" style="23" bestFit="1" customWidth="1"/>
    <col min="84" max="84" width="5.88671875" style="23" bestFit="1" customWidth="1"/>
    <col min="85" max="85" width="10.77734375" style="23" bestFit="1" customWidth="1"/>
    <col min="86" max="86" width="10.88671875" style="23" bestFit="1" customWidth="1"/>
    <col min="87" max="87" width="11.44140625" style="23" bestFit="1" customWidth="1"/>
    <col min="88" max="88" width="13.5546875" style="23" bestFit="1" customWidth="1"/>
    <col min="89" max="89" width="42.77734375" style="23" bestFit="1" customWidth="1"/>
    <col min="90" max="90" width="9.21875" style="23" bestFit="1" customWidth="1"/>
    <col min="91" max="91" width="10.88671875" style="23" bestFit="1" customWidth="1"/>
    <col min="92" max="92" width="11.44140625" style="23" bestFit="1" customWidth="1"/>
    <col min="93" max="93" width="13.5546875" style="23" bestFit="1" customWidth="1"/>
    <col min="94" max="94" width="51.44140625" style="23" bestFit="1" customWidth="1"/>
    <col min="95" max="95" width="9.21875" style="23" bestFit="1" customWidth="1"/>
    <col min="96" max="96" width="51.44140625" style="23" bestFit="1" customWidth="1"/>
    <col min="97" max="97" width="9.21875" style="23" bestFit="1" customWidth="1"/>
    <col min="98" max="98" width="11.6640625" style="23" bestFit="1" customWidth="1"/>
    <col min="99" max="99" width="15.5546875" style="23" bestFit="1" customWidth="1"/>
    <col min="100" max="100" width="9.44140625" style="23" bestFit="1" customWidth="1"/>
    <col min="101" max="101" width="11.6640625" style="23" bestFit="1" customWidth="1"/>
    <col min="102" max="102" width="15.5546875" style="23" bestFit="1" customWidth="1"/>
    <col min="103" max="103" width="9.44140625" style="23" bestFit="1" customWidth="1"/>
    <col min="104" max="104" width="15.44140625" style="23" bestFit="1" customWidth="1"/>
    <col min="105" max="105" width="6.109375" style="23" bestFit="1" customWidth="1"/>
    <col min="106" max="106" width="15.21875" style="23" bestFit="1" customWidth="1"/>
    <col min="107" max="107" width="5.88671875" style="23" bestFit="1" customWidth="1"/>
    <col min="108" max="108" width="13.109375" style="23" bestFit="1" customWidth="1"/>
    <col min="109" max="109" width="5.88671875" style="23" bestFit="1" customWidth="1"/>
    <col min="110" max="110" width="9.6640625" style="23" bestFit="1" customWidth="1"/>
    <col min="111" max="111" width="14" style="23" bestFit="1" customWidth="1"/>
    <col min="112" max="112" width="14.109375" style="23" bestFit="1" customWidth="1"/>
    <col min="113" max="113" width="13.33203125" style="23" bestFit="1" customWidth="1"/>
    <col min="114" max="115" width="8.109375" style="23" customWidth="1"/>
    <col min="116" max="116" width="8.88671875" style="23" bestFit="1" customWidth="1"/>
    <col min="117" max="137" width="8.109375" style="3" customWidth="1"/>
    <col min="138" max="141" width="9" style="3" customWidth="1"/>
    <col min="142" max="142" width="2.88671875" style="3" customWidth="1"/>
    <col min="143" max="143" width="8.109375" style="3" customWidth="1"/>
    <col min="144" max="144" width="9" style="3" customWidth="1"/>
    <col min="145" max="145" width="6.109375" style="3" bestFit="1" customWidth="1"/>
    <col min="146" max="146" width="7.77734375" style="3" bestFit="1" customWidth="1"/>
    <col min="147" max="16384" width="8.88671875" style="3"/>
  </cols>
  <sheetData>
    <row r="1" spans="1:116" s="1" customFormat="1" ht="49.5" customHeight="1" x14ac:dyDescent="0.25">
      <c r="A1" s="34" t="s">
        <v>145</v>
      </c>
      <c r="C1" s="5"/>
      <c r="E1" s="121">
        <f>COUNTA(ForReview_Issuer[#Headers])</f>
        <v>11</v>
      </c>
      <c r="F1" s="101">
        <f>IF(E1&lt;=11,1,IF(E1&gt;13,-5,0))</f>
        <v>1</v>
      </c>
      <c r="Q1" s="7"/>
      <c r="R1" s="121">
        <f>COUNTA(ForReview_wCurated[#Headers])</f>
        <v>20</v>
      </c>
      <c r="S1" s="101">
        <f>IF(R1&lt;=20,1,IF(R1&gt;22,-5,0))</f>
        <v>1</v>
      </c>
      <c r="AQ1" s="121">
        <f>COUNTA(ForReview_wBOCOM[#Headers])</f>
        <v>14</v>
      </c>
      <c r="AR1" s="101">
        <f>IF(AQ1&lt;=14,1,IF(AQ1&gt;16,-5,0))</f>
        <v>1</v>
      </c>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3"/>
      <c r="DB1" s="23"/>
      <c r="DC1" s="23"/>
      <c r="DD1" s="23"/>
      <c r="DE1" s="23"/>
      <c r="DF1" s="23"/>
      <c r="DG1" s="23"/>
      <c r="DH1" s="23"/>
      <c r="DI1" s="23"/>
      <c r="DJ1" s="23"/>
      <c r="DK1" s="23"/>
      <c r="DL1" s="23"/>
    </row>
    <row r="2" spans="1:116" s="1" customFormat="1" ht="49.5" customHeight="1" x14ac:dyDescent="0.25">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Z2" s="23"/>
      <c r="DA2" s="23"/>
      <c r="DB2" s="23"/>
      <c r="DC2" s="23"/>
      <c r="DD2" s="23"/>
      <c r="DE2" s="23"/>
      <c r="DF2" s="23"/>
      <c r="DG2" s="23"/>
      <c r="DH2" s="23"/>
      <c r="DI2" s="23"/>
      <c r="DJ2" s="23"/>
      <c r="DK2" s="23"/>
      <c r="DL2" s="23"/>
    </row>
    <row r="3" spans="1:116" s="1" customFormat="1" ht="49.5" customHeight="1" x14ac:dyDescent="0.25">
      <c r="I3" s="102"/>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Z3" s="23"/>
      <c r="DA3" s="23"/>
      <c r="DB3" s="23"/>
      <c r="DC3" s="23"/>
      <c r="DD3" s="23"/>
      <c r="DE3" s="23"/>
      <c r="DF3" s="23"/>
      <c r="DG3" s="23"/>
      <c r="DH3" s="23"/>
      <c r="DI3" s="23"/>
      <c r="DJ3" s="23"/>
      <c r="DK3" s="23"/>
      <c r="DL3" s="23"/>
    </row>
    <row r="4" spans="1:116" ht="61.5" customHeight="1" x14ac:dyDescent="0.25">
      <c r="P4" s="4"/>
      <c r="Q4" s="7"/>
      <c r="R4" s="7"/>
      <c r="T4" s="3" t="str">
        <f ca="1">RIGHT(CELL("filename",tbl_review[[#Headers],[定价日]]),LEN(CELL("filename",tbl_review[[#Headers],[定价日]]))-FIND("]",CELL("filename",tbl_review[[#Headers],[定价日]])))</f>
        <v>REVIEW_LIST</v>
      </c>
    </row>
    <row r="5" spans="1:116" ht="15" x14ac:dyDescent="0.25">
      <c r="B5" t="s">
        <v>425</v>
      </c>
      <c r="C5" t="s">
        <v>48</v>
      </c>
      <c r="D5" t="s">
        <v>49</v>
      </c>
      <c r="E5" t="s">
        <v>93</v>
      </c>
      <c r="F5" t="s">
        <v>134</v>
      </c>
      <c r="G5" t="s">
        <v>176</v>
      </c>
      <c r="H5" t="s">
        <v>89</v>
      </c>
      <c r="I5" t="s">
        <v>41</v>
      </c>
      <c r="J5" t="s">
        <v>185</v>
      </c>
      <c r="K5" t="s">
        <v>186</v>
      </c>
      <c r="L5" t="s">
        <v>139</v>
      </c>
      <c r="P5" t="s">
        <v>49</v>
      </c>
      <c r="Q5" t="s">
        <v>93</v>
      </c>
      <c r="R5" t="s">
        <v>138</v>
      </c>
      <c r="S5" t="s">
        <v>87</v>
      </c>
      <c r="T5" t="s">
        <v>53</v>
      </c>
      <c r="U5" t="s">
        <v>165</v>
      </c>
      <c r="V5" t="s">
        <v>167</v>
      </c>
      <c r="W5" t="s">
        <v>151</v>
      </c>
      <c r="X5" t="s">
        <v>140</v>
      </c>
      <c r="Y5" t="s">
        <v>64</v>
      </c>
      <c r="Z5" t="s">
        <v>57</v>
      </c>
      <c r="AA5" t="s">
        <v>86</v>
      </c>
      <c r="AB5" t="s">
        <v>119</v>
      </c>
      <c r="AC5" t="s">
        <v>505</v>
      </c>
      <c r="AD5" t="s">
        <v>90</v>
      </c>
      <c r="AE5" t="s">
        <v>172</v>
      </c>
      <c r="AF5" t="s">
        <v>173</v>
      </c>
      <c r="AG5" t="s">
        <v>210</v>
      </c>
      <c r="AH5" t="s">
        <v>48</v>
      </c>
      <c r="AI5" t="s">
        <v>139</v>
      </c>
      <c r="AO5" t="s">
        <v>93</v>
      </c>
      <c r="AP5" s="67" t="s">
        <v>139</v>
      </c>
      <c r="AQ5" s="67" t="s">
        <v>48</v>
      </c>
      <c r="AR5" s="67" t="s">
        <v>49</v>
      </c>
      <c r="AS5" s="68" t="s">
        <v>203</v>
      </c>
      <c r="AT5" s="68" t="s">
        <v>187</v>
      </c>
      <c r="AU5" s="68" t="s">
        <v>171</v>
      </c>
      <c r="AV5" s="67" t="s">
        <v>170</v>
      </c>
      <c r="AW5" s="68" t="s">
        <v>181</v>
      </c>
      <c r="AX5" s="68" t="s">
        <v>169</v>
      </c>
      <c r="AY5" s="67" t="s">
        <v>146</v>
      </c>
      <c r="AZ5" s="68" t="s">
        <v>199</v>
      </c>
      <c r="BA5" s="68" t="s">
        <v>200</v>
      </c>
      <c r="BB5" s="68" t="s">
        <v>201</v>
      </c>
      <c r="BH5" t="s">
        <v>93</v>
      </c>
      <c r="BI5" t="s">
        <v>177</v>
      </c>
      <c r="BJ5" t="s">
        <v>204</v>
      </c>
      <c r="BK5" t="s">
        <v>227</v>
      </c>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row>
    <row r="6" spans="1:116" ht="15" x14ac:dyDescent="0.25">
      <c r="B6" s="154"/>
      <c r="C6" s="155" t="s">
        <v>1013</v>
      </c>
      <c r="D6" s="153">
        <v>45225</v>
      </c>
      <c r="E6" s="155" t="s">
        <v>1014</v>
      </c>
      <c r="F6" s="155" t="s">
        <v>82</v>
      </c>
      <c r="G6" s="155" t="s">
        <v>82</v>
      </c>
      <c r="H6" s="155" t="s">
        <v>37</v>
      </c>
      <c r="I6" s="155" t="s">
        <v>91</v>
      </c>
      <c r="J6" s="155" t="s">
        <v>7</v>
      </c>
      <c r="K6" s="155" t="s">
        <v>7</v>
      </c>
      <c r="L6" s="155" t="s">
        <v>1017</v>
      </c>
      <c r="P6" s="153">
        <v>45225</v>
      </c>
      <c r="Q6" s="155" t="s">
        <v>1014</v>
      </c>
      <c r="R6" s="154" t="s">
        <v>91</v>
      </c>
      <c r="S6" s="155" t="s">
        <v>91</v>
      </c>
      <c r="T6" s="155" t="s">
        <v>91</v>
      </c>
      <c r="U6" s="154"/>
      <c r="V6" t="s">
        <v>114</v>
      </c>
      <c r="W6" s="155" t="s">
        <v>91</v>
      </c>
      <c r="X6" s="155" t="s">
        <v>91</v>
      </c>
      <c r="Y6" s="155" t="s">
        <v>84</v>
      </c>
      <c r="Z6" s="155">
        <v>1.07</v>
      </c>
      <c r="AA6" s="155" t="s">
        <v>150</v>
      </c>
      <c r="AB6" s="155" t="s">
        <v>1066</v>
      </c>
      <c r="AC6" t="s">
        <v>7</v>
      </c>
      <c r="AD6" s="155" t="s">
        <v>261</v>
      </c>
      <c r="AE6" s="155">
        <v>1.07</v>
      </c>
      <c r="AF6" s="155">
        <v>7.8029999999999999</v>
      </c>
      <c r="AG6" s="155">
        <v>8.3789999999999996</v>
      </c>
      <c r="AH6" s="155" t="s">
        <v>1013</v>
      </c>
      <c r="AI6" s="155" t="s">
        <v>1017</v>
      </c>
      <c r="AO6" s="156" t="s">
        <v>819</v>
      </c>
      <c r="AP6" s="68" t="s">
        <v>823</v>
      </c>
      <c r="AQ6" s="67" t="s">
        <v>818</v>
      </c>
      <c r="AR6" s="82">
        <v>45225</v>
      </c>
      <c r="AS6" s="68" t="s">
        <v>1080</v>
      </c>
      <c r="AT6" s="68" t="s">
        <v>1079</v>
      </c>
      <c r="AU6" s="68" t="s">
        <v>183</v>
      </c>
      <c r="AV6" s="68" t="s">
        <v>179</v>
      </c>
      <c r="AW6" s="68" t="s">
        <v>499</v>
      </c>
      <c r="AX6" s="68" t="s">
        <v>499</v>
      </c>
      <c r="AY6" s="68" t="s">
        <v>148</v>
      </c>
      <c r="AZ6" s="68" t="s">
        <v>91</v>
      </c>
      <c r="BA6" s="68" t="s">
        <v>91</v>
      </c>
      <c r="BB6" s="68" t="s">
        <v>7</v>
      </c>
      <c r="BH6"/>
      <c r="BI6"/>
      <c r="BJ6"/>
      <c r="BK6"/>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row>
    <row r="7" spans="1:116" ht="15" x14ac:dyDescent="0.25">
      <c r="B7" s="154"/>
      <c r="C7" s="155" t="s">
        <v>818</v>
      </c>
      <c r="D7" s="153">
        <v>45225</v>
      </c>
      <c r="E7" s="155" t="s">
        <v>819</v>
      </c>
      <c r="F7" s="155" t="s">
        <v>820</v>
      </c>
      <c r="G7" s="155" t="s">
        <v>820</v>
      </c>
      <c r="H7" s="155" t="s">
        <v>37</v>
      </c>
      <c r="I7" s="155" t="s">
        <v>91</v>
      </c>
      <c r="J7" s="155" t="s">
        <v>148</v>
      </c>
      <c r="K7" s="155" t="s">
        <v>7</v>
      </c>
      <c r="L7" s="155" t="s">
        <v>823</v>
      </c>
      <c r="P7" s="153">
        <v>45225</v>
      </c>
      <c r="Q7" s="155" t="s">
        <v>819</v>
      </c>
      <c r="R7" s="154" t="s">
        <v>679</v>
      </c>
      <c r="S7" s="155" t="s">
        <v>955</v>
      </c>
      <c r="T7" s="155" t="s">
        <v>757</v>
      </c>
      <c r="U7" s="154">
        <v>20</v>
      </c>
      <c r="V7" t="s">
        <v>114</v>
      </c>
      <c r="W7" s="155" t="s">
        <v>91</v>
      </c>
      <c r="X7" s="155" t="s">
        <v>91</v>
      </c>
      <c r="Y7" s="155" t="s">
        <v>84</v>
      </c>
      <c r="Z7" s="155">
        <v>5</v>
      </c>
      <c r="AA7" s="155" t="s">
        <v>956</v>
      </c>
      <c r="AB7" s="155" t="s">
        <v>757</v>
      </c>
      <c r="AC7" t="s">
        <v>7</v>
      </c>
      <c r="AD7" s="155" t="s">
        <v>261</v>
      </c>
      <c r="AE7" s="155">
        <v>5</v>
      </c>
      <c r="AF7" s="155">
        <v>36.463999999999999</v>
      </c>
      <c r="AG7" s="155">
        <v>39.152999999999999</v>
      </c>
      <c r="AH7" s="155" t="s">
        <v>818</v>
      </c>
      <c r="AI7" s="155" t="s">
        <v>823</v>
      </c>
      <c r="AX7" s="23"/>
      <c r="AY7" s="23"/>
      <c r="AZ7" s="23"/>
      <c r="BA7" s="23"/>
      <c r="BB7" s="2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row>
    <row r="8" spans="1:116" ht="15" x14ac:dyDescent="0.25">
      <c r="B8" s="154"/>
      <c r="C8" s="155" t="s">
        <v>843</v>
      </c>
      <c r="D8" s="153">
        <v>45224</v>
      </c>
      <c r="E8" s="155" t="s">
        <v>844</v>
      </c>
      <c r="F8" s="155" t="s">
        <v>82</v>
      </c>
      <c r="G8" s="155" t="s">
        <v>82</v>
      </c>
      <c r="H8" s="155" t="s">
        <v>37</v>
      </c>
      <c r="I8" s="155" t="s">
        <v>91</v>
      </c>
      <c r="J8" s="155" t="s">
        <v>7</v>
      </c>
      <c r="K8" s="155" t="s">
        <v>7</v>
      </c>
      <c r="L8" s="155" t="s">
        <v>846</v>
      </c>
      <c r="P8" s="153">
        <v>45224</v>
      </c>
      <c r="Q8" s="155" t="s">
        <v>844</v>
      </c>
      <c r="R8" s="154" t="s">
        <v>91</v>
      </c>
      <c r="S8" s="155" t="s">
        <v>91</v>
      </c>
      <c r="T8" s="155" t="s">
        <v>91</v>
      </c>
      <c r="U8" s="154"/>
      <c r="V8" t="s">
        <v>114</v>
      </c>
      <c r="W8" s="155" t="s">
        <v>91</v>
      </c>
      <c r="X8" s="155" t="s">
        <v>91</v>
      </c>
      <c r="Y8" s="155" t="s">
        <v>105</v>
      </c>
      <c r="Z8" s="155">
        <v>4.97</v>
      </c>
      <c r="AA8" s="155" t="s">
        <v>150</v>
      </c>
      <c r="AB8" s="155" t="s">
        <v>771</v>
      </c>
      <c r="AC8" t="s">
        <v>7</v>
      </c>
      <c r="AD8" s="155" t="s">
        <v>109</v>
      </c>
      <c r="AE8" s="155">
        <v>0.68100000000000005</v>
      </c>
      <c r="AF8" s="155">
        <v>4.97</v>
      </c>
      <c r="AG8" s="155">
        <v>5.3339999999999996</v>
      </c>
      <c r="AH8" s="155" t="s">
        <v>843</v>
      </c>
      <c r="AI8" s="155" t="s">
        <v>846</v>
      </c>
      <c r="AX8" s="23"/>
      <c r="AY8" s="23"/>
      <c r="AZ8" s="23"/>
      <c r="BA8" s="23"/>
      <c r="BB8" s="2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row>
    <row r="9" spans="1:116" ht="15" x14ac:dyDescent="0.25">
      <c r="B9" s="154"/>
      <c r="C9" s="155" t="s">
        <v>847</v>
      </c>
      <c r="D9" s="153">
        <v>45224</v>
      </c>
      <c r="E9" s="155" t="s">
        <v>802</v>
      </c>
      <c r="F9" s="155" t="s">
        <v>848</v>
      </c>
      <c r="G9" s="155" t="s">
        <v>441</v>
      </c>
      <c r="H9" s="155" t="s">
        <v>39</v>
      </c>
      <c r="I9" s="155" t="s">
        <v>91</v>
      </c>
      <c r="J9" s="155" t="s">
        <v>7</v>
      </c>
      <c r="K9" s="155" t="s">
        <v>7</v>
      </c>
      <c r="L9" s="155" t="s">
        <v>853</v>
      </c>
      <c r="P9" s="153">
        <v>45224</v>
      </c>
      <c r="Q9" s="155" t="s">
        <v>802</v>
      </c>
      <c r="R9" s="154" t="s">
        <v>91</v>
      </c>
      <c r="S9" s="155" t="s">
        <v>91</v>
      </c>
      <c r="T9" s="155" t="s">
        <v>91</v>
      </c>
      <c r="U9" s="154"/>
      <c r="V9" t="s">
        <v>984</v>
      </c>
      <c r="W9" s="155" t="s">
        <v>986</v>
      </c>
      <c r="X9" s="155" t="s">
        <v>91</v>
      </c>
      <c r="Y9" s="155" t="s">
        <v>280</v>
      </c>
      <c r="Z9" s="155">
        <v>1.5</v>
      </c>
      <c r="AA9" s="155" t="s">
        <v>150</v>
      </c>
      <c r="AB9" s="155" t="s">
        <v>986</v>
      </c>
      <c r="AC9" t="s">
        <v>753</v>
      </c>
      <c r="AD9" s="155" t="s">
        <v>109</v>
      </c>
      <c r="AE9" s="155">
        <v>0.9</v>
      </c>
      <c r="AF9" s="155">
        <v>6.5629999999999997</v>
      </c>
      <c r="AG9" s="155">
        <v>7.0449999999999999</v>
      </c>
      <c r="AH9" s="155" t="s">
        <v>847</v>
      </c>
      <c r="AI9" s="155" t="s">
        <v>853</v>
      </c>
      <c r="AQ9" s="23"/>
      <c r="AR9" s="23"/>
      <c r="AS9" s="23"/>
      <c r="AT9" s="23"/>
      <c r="AX9" s="23"/>
      <c r="AY9" s="23"/>
      <c r="AZ9" s="23"/>
      <c r="BA9" s="23"/>
      <c r="BB9" s="2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row>
    <row r="10" spans="1:116" ht="15" x14ac:dyDescent="0.25">
      <c r="B10" s="154"/>
      <c r="C10" s="155" t="s">
        <v>829</v>
      </c>
      <c r="D10" s="153">
        <v>45224</v>
      </c>
      <c r="E10" s="155" t="s">
        <v>825</v>
      </c>
      <c r="F10" s="155" t="s">
        <v>82</v>
      </c>
      <c r="G10" s="155" t="s">
        <v>826</v>
      </c>
      <c r="H10" s="155" t="s">
        <v>37</v>
      </c>
      <c r="I10" s="155" t="s">
        <v>91</v>
      </c>
      <c r="J10" s="155" t="s">
        <v>149</v>
      </c>
      <c r="K10" s="155" t="s">
        <v>7</v>
      </c>
      <c r="L10" s="155" t="s">
        <v>831</v>
      </c>
      <c r="P10" s="153">
        <v>45224</v>
      </c>
      <c r="Q10" s="155" t="s">
        <v>825</v>
      </c>
      <c r="R10" s="154" t="s">
        <v>91</v>
      </c>
      <c r="S10" s="155" t="s">
        <v>91</v>
      </c>
      <c r="T10" s="155" t="s">
        <v>91</v>
      </c>
      <c r="U10" s="154"/>
      <c r="V10" t="s">
        <v>114</v>
      </c>
      <c r="W10" s="155" t="s">
        <v>91</v>
      </c>
      <c r="X10" s="155" t="s">
        <v>91</v>
      </c>
      <c r="Y10" s="155" t="s">
        <v>105</v>
      </c>
      <c r="Z10" s="155">
        <v>30</v>
      </c>
      <c r="AA10" s="155" t="s">
        <v>957</v>
      </c>
      <c r="AB10" s="155" t="s">
        <v>916</v>
      </c>
      <c r="AC10" t="s">
        <v>7</v>
      </c>
      <c r="AD10" s="155" t="s">
        <v>261</v>
      </c>
      <c r="AE10" s="155">
        <v>4.1130000000000004</v>
      </c>
      <c r="AF10" s="155">
        <v>30</v>
      </c>
      <c r="AG10" s="155">
        <v>32.198999999999998</v>
      </c>
      <c r="AH10" s="155" t="s">
        <v>829</v>
      </c>
      <c r="AI10" s="155" t="s">
        <v>831</v>
      </c>
      <c r="AS10" s="23"/>
      <c r="AT10" s="23"/>
      <c r="AU10" s="23"/>
      <c r="AV10" s="23"/>
      <c r="AW10" s="23"/>
      <c r="AX10" s="23"/>
      <c r="AY10" s="23"/>
      <c r="AZ10" s="23"/>
      <c r="BA10" s="23"/>
      <c r="BB10" s="2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row>
    <row r="11" spans="1:116" ht="15" x14ac:dyDescent="0.25">
      <c r="B11" s="154"/>
      <c r="C11" s="155" t="s">
        <v>824</v>
      </c>
      <c r="D11" s="153">
        <v>45224</v>
      </c>
      <c r="E11" s="155" t="s">
        <v>825</v>
      </c>
      <c r="F11" s="155" t="s">
        <v>82</v>
      </c>
      <c r="G11" s="155" t="s">
        <v>826</v>
      </c>
      <c r="H11" s="155" t="s">
        <v>37</v>
      </c>
      <c r="I11" s="155" t="s">
        <v>91</v>
      </c>
      <c r="J11" s="155" t="s">
        <v>149</v>
      </c>
      <c r="K11" s="155" t="s">
        <v>7</v>
      </c>
      <c r="L11" s="155" t="s">
        <v>828</v>
      </c>
      <c r="P11" s="153">
        <v>45224</v>
      </c>
      <c r="Q11" s="155" t="s">
        <v>825</v>
      </c>
      <c r="R11" s="154" t="s">
        <v>91</v>
      </c>
      <c r="S11" s="155" t="s">
        <v>91</v>
      </c>
      <c r="T11" s="155" t="s">
        <v>91</v>
      </c>
      <c r="U11" s="154"/>
      <c r="V11" t="s">
        <v>114</v>
      </c>
      <c r="W11" s="155" t="s">
        <v>91</v>
      </c>
      <c r="X11" s="155" t="s">
        <v>91</v>
      </c>
      <c r="Y11" s="155" t="s">
        <v>105</v>
      </c>
      <c r="Z11" s="155">
        <v>40</v>
      </c>
      <c r="AA11" s="155" t="s">
        <v>462</v>
      </c>
      <c r="AB11" s="155" t="s">
        <v>933</v>
      </c>
      <c r="AC11" t="s">
        <v>7</v>
      </c>
      <c r="AD11" s="155" t="s">
        <v>109</v>
      </c>
      <c r="AE11" s="155">
        <v>5.484</v>
      </c>
      <c r="AF11" s="155">
        <v>40</v>
      </c>
      <c r="AG11" s="155">
        <v>42.932000000000002</v>
      </c>
      <c r="AH11" s="155" t="s">
        <v>824</v>
      </c>
      <c r="AI11" s="155" t="s">
        <v>828</v>
      </c>
      <c r="AU11" s="23"/>
      <c r="AV11" s="23"/>
      <c r="AW11" s="23"/>
      <c r="AX11" s="23"/>
      <c r="AY11" s="23"/>
      <c r="AZ11" s="23"/>
      <c r="BA11" s="23"/>
      <c r="BB11" s="23"/>
      <c r="BC11" s="33"/>
      <c r="BF11" s="23"/>
      <c r="BG11" s="23"/>
      <c r="BH11" s="23"/>
      <c r="BK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row>
    <row r="12" spans="1:116" ht="15" x14ac:dyDescent="0.25">
      <c r="B12" s="154"/>
      <c r="C12" s="155" t="s">
        <v>832</v>
      </c>
      <c r="D12" s="153">
        <v>45224</v>
      </c>
      <c r="E12" s="155" t="s">
        <v>825</v>
      </c>
      <c r="F12" s="155" t="s">
        <v>82</v>
      </c>
      <c r="G12" s="155" t="s">
        <v>826</v>
      </c>
      <c r="H12" s="155" t="s">
        <v>37</v>
      </c>
      <c r="I12" s="155" t="s">
        <v>91</v>
      </c>
      <c r="J12" s="155" t="s">
        <v>149</v>
      </c>
      <c r="K12" s="155" t="s">
        <v>7</v>
      </c>
      <c r="L12" s="155" t="s">
        <v>834</v>
      </c>
      <c r="P12" s="153">
        <v>45224</v>
      </c>
      <c r="Q12" s="155" t="s">
        <v>825</v>
      </c>
      <c r="R12" s="154" t="s">
        <v>91</v>
      </c>
      <c r="S12" s="155" t="s">
        <v>91</v>
      </c>
      <c r="T12" s="155" t="s">
        <v>91</v>
      </c>
      <c r="U12" s="154"/>
      <c r="V12" t="s">
        <v>114</v>
      </c>
      <c r="W12" s="155" t="s">
        <v>91</v>
      </c>
      <c r="X12" s="155" t="s">
        <v>91</v>
      </c>
      <c r="Y12" s="155" t="s">
        <v>105</v>
      </c>
      <c r="Z12" s="155">
        <v>50</v>
      </c>
      <c r="AA12" s="155" t="s">
        <v>958</v>
      </c>
      <c r="AB12" s="155" t="s">
        <v>929</v>
      </c>
      <c r="AC12" t="s">
        <v>7</v>
      </c>
      <c r="AD12" s="155" t="s">
        <v>261</v>
      </c>
      <c r="AE12" s="155">
        <v>6.8550000000000004</v>
      </c>
      <c r="AF12" s="155">
        <v>50</v>
      </c>
      <c r="AG12" s="155">
        <v>53.664999999999999</v>
      </c>
      <c r="AH12" s="155" t="s">
        <v>832</v>
      </c>
      <c r="AI12" s="155" t="s">
        <v>834</v>
      </c>
      <c r="AJ12" s="23"/>
      <c r="AP12" s="23"/>
      <c r="AQ12" s="23"/>
      <c r="AR12" s="23"/>
      <c r="AS12" s="23"/>
      <c r="AV12" s="23"/>
      <c r="AW12" s="23"/>
      <c r="AX12" s="23"/>
      <c r="AY12" s="23"/>
      <c r="AZ12" s="23"/>
      <c r="BA12" s="23"/>
      <c r="BB12" s="23"/>
      <c r="BC12" s="23"/>
      <c r="BD12" s="23"/>
      <c r="BE12" s="23"/>
      <c r="BG12" s="23"/>
      <c r="BH12" s="23"/>
      <c r="BI12" s="23"/>
      <c r="BJ12" s="3"/>
      <c r="BL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row>
    <row r="13" spans="1:116" ht="15" x14ac:dyDescent="0.25">
      <c r="B13" s="154"/>
      <c r="C13" s="155" t="s">
        <v>835</v>
      </c>
      <c r="D13" s="153">
        <v>45224</v>
      </c>
      <c r="E13" s="155" t="s">
        <v>825</v>
      </c>
      <c r="F13" s="155" t="s">
        <v>82</v>
      </c>
      <c r="G13" s="155" t="s">
        <v>826</v>
      </c>
      <c r="H13" s="155" t="s">
        <v>37</v>
      </c>
      <c r="I13" s="155" t="s">
        <v>91</v>
      </c>
      <c r="J13" s="155" t="s">
        <v>149</v>
      </c>
      <c r="K13" s="155" t="s">
        <v>7</v>
      </c>
      <c r="L13" s="155" t="s">
        <v>837</v>
      </c>
      <c r="P13" s="153">
        <v>45224</v>
      </c>
      <c r="Q13" s="155" t="s">
        <v>825</v>
      </c>
      <c r="R13" s="154" t="s">
        <v>91</v>
      </c>
      <c r="S13" s="155" t="s">
        <v>91</v>
      </c>
      <c r="T13" s="155" t="s">
        <v>91</v>
      </c>
      <c r="U13" s="154"/>
      <c r="V13" t="s">
        <v>114</v>
      </c>
      <c r="W13" s="155" t="s">
        <v>91</v>
      </c>
      <c r="X13" s="155" t="s">
        <v>91</v>
      </c>
      <c r="Y13" s="155" t="s">
        <v>105</v>
      </c>
      <c r="Z13" s="155">
        <v>40</v>
      </c>
      <c r="AA13" s="155" t="s">
        <v>959</v>
      </c>
      <c r="AB13" s="155" t="s">
        <v>925</v>
      </c>
      <c r="AC13" t="s">
        <v>7</v>
      </c>
      <c r="AD13" s="155" t="s">
        <v>261</v>
      </c>
      <c r="AE13" s="155">
        <v>5.484</v>
      </c>
      <c r="AF13" s="155">
        <v>40</v>
      </c>
      <c r="AG13" s="155">
        <v>42.932000000000002</v>
      </c>
      <c r="AH13" s="155" t="s">
        <v>835</v>
      </c>
      <c r="AI13" s="155" t="s">
        <v>837</v>
      </c>
      <c r="AJ13" s="23"/>
      <c r="AM13" s="23"/>
      <c r="AS13" s="23"/>
      <c r="AV13" s="23"/>
      <c r="AW13" s="23"/>
      <c r="AX13" s="23"/>
      <c r="AY13" s="23"/>
      <c r="AZ13" s="23"/>
      <c r="BA13" s="23"/>
      <c r="BB13" s="23"/>
      <c r="BC13" s="23"/>
      <c r="BD13" s="23"/>
      <c r="BE13" s="23"/>
      <c r="BF13" s="23"/>
      <c r="BG13" s="23"/>
      <c r="BI13" s="23"/>
      <c r="BJ13" s="3"/>
      <c r="BK13" s="3"/>
      <c r="BL13" s="3"/>
      <c r="BM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row>
    <row r="14" spans="1:116" ht="15" x14ac:dyDescent="0.25">
      <c r="B14" s="154"/>
      <c r="C14" s="155" t="s">
        <v>722</v>
      </c>
      <c r="D14" s="153">
        <v>45223</v>
      </c>
      <c r="E14" s="155" t="s">
        <v>723</v>
      </c>
      <c r="F14" s="155" t="s">
        <v>82</v>
      </c>
      <c r="G14" s="155" t="s">
        <v>82</v>
      </c>
      <c r="H14" s="155" t="s">
        <v>39</v>
      </c>
      <c r="I14" s="155" t="s">
        <v>91</v>
      </c>
      <c r="J14" s="155" t="s">
        <v>7</v>
      </c>
      <c r="K14" s="155" t="s">
        <v>7</v>
      </c>
      <c r="L14" s="155" t="s">
        <v>857</v>
      </c>
      <c r="P14" s="153">
        <v>45223</v>
      </c>
      <c r="Q14" s="155" t="s">
        <v>723</v>
      </c>
      <c r="R14" s="154" t="s">
        <v>91</v>
      </c>
      <c r="S14" s="155" t="s">
        <v>91</v>
      </c>
      <c r="T14" s="155" t="s">
        <v>735</v>
      </c>
      <c r="U14" s="154"/>
      <c r="V14" t="s">
        <v>114</v>
      </c>
      <c r="W14" s="155" t="s">
        <v>91</v>
      </c>
      <c r="X14" s="155" t="s">
        <v>91</v>
      </c>
      <c r="Y14" s="155" t="s">
        <v>105</v>
      </c>
      <c r="Z14" s="155">
        <v>1.5</v>
      </c>
      <c r="AA14" s="155" t="s">
        <v>150</v>
      </c>
      <c r="AB14" s="155" t="s">
        <v>735</v>
      </c>
      <c r="AC14" t="s">
        <v>7</v>
      </c>
      <c r="AD14" s="155" t="s">
        <v>249</v>
      </c>
      <c r="AE14" s="155">
        <v>0.20599999999999999</v>
      </c>
      <c r="AF14" s="155">
        <v>1.5</v>
      </c>
      <c r="AG14" s="155">
        <v>1.61</v>
      </c>
      <c r="AH14" s="155" t="s">
        <v>722</v>
      </c>
      <c r="AI14" s="155" t="s">
        <v>857</v>
      </c>
      <c r="AJ14" s="23"/>
      <c r="AN14" s="23"/>
      <c r="AT14" s="23"/>
      <c r="AU14" s="23"/>
      <c r="AV14" s="23"/>
      <c r="AW14" s="23"/>
      <c r="AX14" s="23"/>
      <c r="AY14" s="23"/>
      <c r="AZ14" s="23"/>
      <c r="BA14" s="23"/>
      <c r="BB14" s="23"/>
      <c r="BC14" s="23"/>
      <c r="BD14" s="23"/>
      <c r="BE14" s="23"/>
      <c r="BF14" s="23"/>
      <c r="BG14" s="23"/>
      <c r="BI14" s="23"/>
      <c r="BJ14" s="3"/>
      <c r="BK14" s="3"/>
      <c r="BL14" s="3"/>
      <c r="BM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row>
    <row r="15" spans="1:116" ht="15" x14ac:dyDescent="0.25">
      <c r="B15" s="154"/>
      <c r="C15" s="155" t="s">
        <v>863</v>
      </c>
      <c r="D15" s="153">
        <v>45223</v>
      </c>
      <c r="E15" s="155" t="s">
        <v>723</v>
      </c>
      <c r="F15" s="155" t="s">
        <v>82</v>
      </c>
      <c r="G15" s="155" t="s">
        <v>82</v>
      </c>
      <c r="H15" s="155" t="s">
        <v>39</v>
      </c>
      <c r="I15" s="155" t="s">
        <v>91</v>
      </c>
      <c r="J15" s="155" t="s">
        <v>7</v>
      </c>
      <c r="K15" s="155" t="s">
        <v>7</v>
      </c>
      <c r="L15" s="155" t="s">
        <v>864</v>
      </c>
      <c r="P15" s="153">
        <v>45223</v>
      </c>
      <c r="Q15" s="155" t="s">
        <v>723</v>
      </c>
      <c r="R15" s="154" t="s">
        <v>91</v>
      </c>
      <c r="S15" s="155" t="s">
        <v>91</v>
      </c>
      <c r="T15" s="155" t="s">
        <v>91</v>
      </c>
      <c r="U15" s="154"/>
      <c r="V15" t="s">
        <v>114</v>
      </c>
      <c r="W15" s="155" t="s">
        <v>91</v>
      </c>
      <c r="X15" s="155" t="s">
        <v>91</v>
      </c>
      <c r="Y15" s="155" t="s">
        <v>105</v>
      </c>
      <c r="Z15" s="155">
        <v>1.5</v>
      </c>
      <c r="AA15" s="155" t="s">
        <v>150</v>
      </c>
      <c r="AB15" s="155" t="s">
        <v>735</v>
      </c>
      <c r="AC15" t="s">
        <v>7</v>
      </c>
      <c r="AD15" s="155" t="s">
        <v>249</v>
      </c>
      <c r="AE15" s="155">
        <v>0.20599999999999999</v>
      </c>
      <c r="AF15" s="155">
        <v>1.5</v>
      </c>
      <c r="AG15" s="155">
        <v>1.61</v>
      </c>
      <c r="AH15" s="155" t="s">
        <v>863</v>
      </c>
      <c r="AI15" s="155" t="s">
        <v>864</v>
      </c>
      <c r="AJ15" s="23"/>
      <c r="AK15" s="23"/>
      <c r="AP15" s="23"/>
      <c r="AW15" s="23"/>
      <c r="AX15" s="23"/>
      <c r="AY15" s="23"/>
      <c r="AZ15" s="23"/>
      <c r="BA15" s="23"/>
      <c r="BB15" s="23"/>
      <c r="BC15" s="23"/>
      <c r="BD15" s="23"/>
      <c r="BE15" s="23"/>
      <c r="BF15" s="23"/>
      <c r="BG15" s="23"/>
      <c r="BH15" s="23"/>
      <c r="BK15" s="3"/>
      <c r="BL15" s="3"/>
      <c r="BM15" s="3"/>
      <c r="BN15" s="3"/>
      <c r="BO15" s="3"/>
      <c r="BP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row>
    <row r="16" spans="1:116" ht="13.5" x14ac:dyDescent="0.25">
      <c r="K16" s="23"/>
      <c r="L16" s="23"/>
      <c r="P16" s="23"/>
      <c r="Q16" s="23"/>
      <c r="R16" s="23"/>
      <c r="S16" s="23"/>
      <c r="T16" s="23"/>
      <c r="U16" s="23"/>
      <c r="V16" s="23"/>
      <c r="W16" s="23"/>
      <c r="X16" s="23"/>
      <c r="Y16" s="23"/>
      <c r="Z16" s="23"/>
      <c r="AA16" s="23"/>
      <c r="AB16" s="23"/>
      <c r="AC16" s="23"/>
      <c r="AD16" s="23"/>
      <c r="AE16" s="23"/>
      <c r="AF16" s="23"/>
      <c r="AG16" s="23"/>
      <c r="AH16" s="23"/>
      <c r="AI16" s="23"/>
      <c r="AJ16" s="23"/>
      <c r="AK16" s="23"/>
      <c r="AN16" s="23"/>
      <c r="AP16" s="23"/>
      <c r="AU16" s="23"/>
      <c r="AV16" s="23"/>
      <c r="AW16" s="23"/>
      <c r="AX16" s="23"/>
      <c r="AY16" s="23"/>
      <c r="AZ16" s="23"/>
      <c r="BA16" s="23"/>
      <c r="BB16" s="23"/>
      <c r="BC16" s="23"/>
      <c r="BD16" s="23"/>
      <c r="BE16" s="23"/>
      <c r="BF16" s="23"/>
      <c r="BG16" s="23"/>
      <c r="BH16" s="23"/>
      <c r="BK16" s="3"/>
      <c r="BL16" s="3"/>
      <c r="BM16" s="3"/>
      <c r="BN16" s="3"/>
      <c r="BO16" s="3"/>
      <c r="BP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row>
    <row r="17" spans="12:116" ht="13.5" x14ac:dyDescent="0.25">
      <c r="L17" s="23"/>
      <c r="P17" s="23"/>
      <c r="Q17" s="23"/>
      <c r="R17" s="23"/>
      <c r="S17" s="23"/>
      <c r="T17" s="23"/>
      <c r="U17" s="23"/>
      <c r="V17" s="23"/>
      <c r="W17" s="23"/>
      <c r="X17" s="23"/>
      <c r="Y17" s="23"/>
      <c r="Z17" s="23"/>
      <c r="AA17" s="23"/>
      <c r="AB17" s="23"/>
      <c r="AC17" s="23"/>
      <c r="AD17" s="23"/>
      <c r="AE17" s="23"/>
      <c r="AF17" s="23"/>
      <c r="AG17" s="23"/>
      <c r="AH17" s="23"/>
      <c r="AI17" s="23"/>
      <c r="AJ17" s="23"/>
      <c r="AK17" s="23"/>
      <c r="AP17" s="23"/>
      <c r="AQ17" s="23"/>
      <c r="AR17" s="23"/>
      <c r="AS17" s="23"/>
      <c r="AT17" s="23"/>
      <c r="AU17" s="23"/>
      <c r="AV17" s="23"/>
      <c r="AW17" s="23"/>
      <c r="AX17" s="23"/>
      <c r="AY17" s="23"/>
      <c r="AZ17" s="23"/>
      <c r="BA17" s="23"/>
      <c r="BB17" s="23"/>
      <c r="BC17" s="23"/>
      <c r="BD17" s="23"/>
      <c r="BE17" s="23"/>
      <c r="BF17" s="23"/>
      <c r="BG17" s="23"/>
      <c r="BH17" s="23"/>
      <c r="BK17" s="3"/>
      <c r="BL17" s="3"/>
      <c r="BM17" s="3"/>
      <c r="BN17" s="3"/>
      <c r="BO17" s="3"/>
      <c r="BP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row>
    <row r="18" spans="12:116" ht="13.5" x14ac:dyDescent="0.25">
      <c r="L18" s="23"/>
      <c r="P18" s="23"/>
      <c r="Q18" s="23"/>
      <c r="R18" s="23"/>
      <c r="S18" s="23"/>
      <c r="T18" s="23"/>
      <c r="U18" s="23"/>
      <c r="V18" s="23"/>
      <c r="W18" s="23"/>
      <c r="X18" s="23"/>
      <c r="Y18" s="23"/>
      <c r="Z18" s="23"/>
      <c r="AA18" s="23"/>
      <c r="AB18" s="23"/>
      <c r="AC18" s="23"/>
      <c r="AD18" s="23"/>
      <c r="AE18" s="23"/>
      <c r="AF18" s="23"/>
      <c r="AG18" s="23"/>
      <c r="AH18" s="23"/>
      <c r="AI18" s="23"/>
      <c r="AJ18" s="23"/>
      <c r="AK18" s="23"/>
      <c r="AO18" s="23"/>
      <c r="AP18" s="23"/>
      <c r="AQ18" s="23"/>
      <c r="AR18" s="23"/>
      <c r="AS18" s="23"/>
      <c r="AT18" s="23"/>
      <c r="AU18" s="23"/>
      <c r="AV18" s="23"/>
      <c r="AW18" s="23"/>
      <c r="AX18" s="23"/>
      <c r="AY18" s="23"/>
      <c r="AZ18" s="23"/>
      <c r="BA18" s="23"/>
      <c r="BB18" s="23"/>
      <c r="BC18" s="23"/>
      <c r="BD18" s="23"/>
      <c r="BE18" s="23"/>
      <c r="BF18" s="23"/>
      <c r="BG18" s="23"/>
      <c r="BH18" s="23"/>
      <c r="BK18" s="3"/>
      <c r="BL18" s="3"/>
      <c r="BM18" s="3"/>
      <c r="BN18" s="3"/>
      <c r="BO18" s="3"/>
      <c r="BP18" s="3"/>
      <c r="BQ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row>
    <row r="19" spans="12:116" ht="13.5" x14ac:dyDescent="0.25">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Q19" s="23"/>
      <c r="AR19" s="23"/>
      <c r="AS19" s="23"/>
      <c r="AT19" s="23"/>
      <c r="AU19" s="23"/>
      <c r="AV19" s="23"/>
      <c r="AW19" s="23"/>
      <c r="AX19" s="23"/>
      <c r="AY19" s="23"/>
      <c r="AZ19" s="23"/>
      <c r="BA19" s="23"/>
      <c r="BB19" s="23"/>
      <c r="BC19" s="23"/>
      <c r="BD19" s="23"/>
      <c r="BE19" s="23"/>
      <c r="BF19" s="23"/>
      <c r="BG19" s="23"/>
      <c r="BH19" s="23"/>
      <c r="BI19" s="23"/>
      <c r="BT19" s="3"/>
      <c r="BV19" s="3"/>
      <c r="BW19" s="3"/>
      <c r="BX19" s="3"/>
      <c r="BY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row>
    <row r="20" spans="12:116" ht="13.5" x14ac:dyDescent="0.25">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U20" s="23"/>
      <c r="AV20" s="23"/>
      <c r="AW20" s="23"/>
      <c r="AX20" s="23"/>
      <c r="AY20" s="23"/>
      <c r="AZ20" s="23"/>
      <c r="BA20" s="23"/>
      <c r="BB20" s="23"/>
      <c r="BC20" s="23"/>
      <c r="BD20" s="23"/>
      <c r="BE20" s="23"/>
      <c r="BF20" s="23"/>
      <c r="BG20" s="23"/>
      <c r="BH20" s="23"/>
      <c r="BI20" s="23"/>
      <c r="CC20" s="3"/>
      <c r="CD20" s="3"/>
      <c r="CG20" s="3"/>
      <c r="CH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row>
    <row r="21" spans="12:116" ht="13.5" x14ac:dyDescent="0.25">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U21" s="23"/>
      <c r="AV21" s="23"/>
      <c r="AW21" s="23"/>
      <c r="AX21" s="23"/>
      <c r="AY21" s="23"/>
      <c r="AZ21" s="23"/>
      <c r="BA21" s="23"/>
      <c r="BB21" s="23"/>
      <c r="BC21" s="23"/>
      <c r="BD21" s="23"/>
      <c r="BE21" s="23"/>
      <c r="BF21" s="23"/>
      <c r="BG21" s="23"/>
      <c r="BH21" s="23"/>
      <c r="BI21" s="23"/>
      <c r="CC21" s="3"/>
      <c r="CD21" s="3"/>
      <c r="CG21" s="3"/>
      <c r="CH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row>
    <row r="22" spans="12:116" ht="13.5" x14ac:dyDescent="0.25">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V22" s="23"/>
      <c r="AW22" s="23"/>
      <c r="AX22" s="23"/>
      <c r="AY22" s="23"/>
      <c r="AZ22" s="23"/>
      <c r="BA22" s="23"/>
      <c r="BB22" s="23"/>
      <c r="BC22" s="23"/>
      <c r="BD22" s="23"/>
      <c r="BE22" s="23"/>
      <c r="BF22" s="23"/>
      <c r="BG22" s="23"/>
      <c r="BH22" s="23"/>
      <c r="BI22" s="23"/>
      <c r="CH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row>
    <row r="23" spans="12:116" ht="13.5" x14ac:dyDescent="0.25">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V23" s="23"/>
      <c r="AW23" s="23"/>
      <c r="AX23" s="23"/>
      <c r="AY23" s="23"/>
      <c r="AZ23" s="23"/>
      <c r="BA23" s="23"/>
      <c r="BB23" s="23"/>
      <c r="BC23" s="23"/>
      <c r="BD23" s="23"/>
      <c r="BE23" s="23"/>
      <c r="BF23" s="23"/>
      <c r="BG23" s="23"/>
      <c r="BH23" s="23"/>
      <c r="BI23" s="23"/>
      <c r="CH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row>
    <row r="24" spans="12:116" ht="13.5" x14ac:dyDescent="0.25">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V24" s="23"/>
      <c r="AW24" s="23"/>
      <c r="AX24" s="23"/>
      <c r="AY24" s="23"/>
      <c r="AZ24" s="23"/>
      <c r="BA24" s="23"/>
      <c r="BB24" s="23"/>
      <c r="BC24" s="23"/>
      <c r="BD24" s="23"/>
      <c r="BE24" s="23"/>
      <c r="BF24" s="23"/>
      <c r="BG24" s="23"/>
      <c r="BH24" s="23"/>
      <c r="BI24" s="23"/>
      <c r="CH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row>
    <row r="25" spans="12:116" ht="13.5" x14ac:dyDescent="0.25">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V25" s="23"/>
      <c r="AW25" s="23"/>
      <c r="AX25" s="23"/>
      <c r="AY25" s="23"/>
      <c r="AZ25" s="23"/>
      <c r="BA25" s="23"/>
      <c r="BB25" s="23"/>
      <c r="BC25" s="23"/>
      <c r="BD25" s="23"/>
      <c r="BE25" s="23"/>
      <c r="BF25" s="23"/>
      <c r="BG25" s="23"/>
      <c r="BH25" s="23"/>
      <c r="BI25" s="23"/>
      <c r="CH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row>
    <row r="26" spans="12:116" ht="13.5" x14ac:dyDescent="0.25">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CH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row>
    <row r="27" spans="12:116" ht="13.5" x14ac:dyDescent="0.25">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CI27" s="3"/>
      <c r="CJ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row>
    <row r="28" spans="12:116" ht="13.5" x14ac:dyDescent="0.25">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CI28" s="3"/>
      <c r="CJ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row>
    <row r="29" spans="12:116" ht="13.5" x14ac:dyDescent="0.25">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CI29" s="3"/>
      <c r="CJ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row>
    <row r="30" spans="12:116" ht="13.5" x14ac:dyDescent="0.25">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CI30" s="3"/>
      <c r="CJ30" s="3"/>
      <c r="CL30" s="3"/>
      <c r="CM30" s="3"/>
      <c r="CN30" s="3"/>
      <c r="CO30" s="3"/>
      <c r="CP30" s="3"/>
      <c r="CS30" s="3"/>
      <c r="CT30" s="3"/>
      <c r="CU30" s="3"/>
      <c r="CV30" s="3"/>
      <c r="CW30" s="3"/>
      <c r="CX30" s="3"/>
      <c r="CY30" s="3"/>
      <c r="CZ30" s="3"/>
      <c r="DA30" s="3"/>
      <c r="DB30" s="3"/>
      <c r="DC30" s="3"/>
      <c r="DD30" s="3"/>
      <c r="DE30" s="3"/>
      <c r="DF30" s="3"/>
      <c r="DG30" s="3"/>
      <c r="DH30" s="3"/>
      <c r="DI30" s="3"/>
      <c r="DJ30" s="3"/>
      <c r="DK30" s="3"/>
      <c r="DL30" s="3"/>
    </row>
    <row r="31" spans="12:116" ht="13.5" x14ac:dyDescent="0.25">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CI31" s="3"/>
      <c r="CJ31" s="3"/>
      <c r="CL31" s="3"/>
      <c r="CM31" s="3"/>
      <c r="CN31" s="3"/>
      <c r="CO31" s="3"/>
      <c r="CP31" s="3"/>
      <c r="CT31" s="3"/>
      <c r="CU31" s="3"/>
      <c r="CV31" s="3"/>
      <c r="CW31" s="3"/>
      <c r="CX31" s="3"/>
      <c r="CY31" s="3"/>
      <c r="CZ31" s="3"/>
      <c r="DA31" s="3"/>
      <c r="DB31" s="3"/>
      <c r="DC31" s="3"/>
      <c r="DD31" s="3"/>
      <c r="DE31" s="3"/>
      <c r="DF31" s="3"/>
      <c r="DG31" s="3"/>
      <c r="DH31" s="3"/>
      <c r="DI31" s="3"/>
      <c r="DJ31" s="3"/>
      <c r="DK31" s="3"/>
      <c r="DL31" s="3"/>
    </row>
    <row r="32" spans="12:116" ht="13.5" x14ac:dyDescent="0.25">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CI32" s="3"/>
      <c r="CJ32" s="3"/>
      <c r="CT32" s="3"/>
      <c r="CU32" s="3"/>
      <c r="CV32" s="3"/>
      <c r="CW32" s="3"/>
      <c r="CX32" s="3"/>
      <c r="CY32" s="3"/>
      <c r="CZ32" s="3"/>
      <c r="DA32" s="3"/>
      <c r="DB32" s="3"/>
      <c r="DC32" s="3"/>
      <c r="DD32" s="3"/>
      <c r="DE32" s="3"/>
      <c r="DF32" s="3"/>
      <c r="DG32" s="3"/>
      <c r="DH32" s="3"/>
      <c r="DI32" s="3"/>
      <c r="DJ32" s="3"/>
      <c r="DK32" s="3"/>
      <c r="DL32" s="3"/>
    </row>
    <row r="33" spans="13:116" ht="13.5" x14ac:dyDescent="0.25">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CI33" s="3"/>
      <c r="CJ33" s="3"/>
      <c r="CT33" s="3"/>
      <c r="CU33" s="3"/>
      <c r="CV33" s="3"/>
      <c r="CW33" s="3"/>
      <c r="CX33" s="3"/>
      <c r="CY33" s="3"/>
      <c r="CZ33" s="3"/>
      <c r="DA33" s="3"/>
      <c r="DB33" s="3"/>
      <c r="DC33" s="3"/>
      <c r="DD33" s="3"/>
      <c r="DE33" s="3"/>
      <c r="DF33" s="3"/>
      <c r="DG33" s="3"/>
      <c r="DH33" s="3"/>
      <c r="DI33" s="3"/>
      <c r="DJ33" s="3"/>
      <c r="DK33" s="3"/>
      <c r="DL33" s="3"/>
    </row>
    <row r="34" spans="13:116" ht="13.5" x14ac:dyDescent="0.25">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CJ34" s="3"/>
      <c r="CK34" s="3"/>
      <c r="CU34" s="3"/>
      <c r="CV34" s="3"/>
      <c r="CW34" s="3"/>
      <c r="CX34" s="3"/>
      <c r="CY34" s="3"/>
      <c r="CZ34" s="3"/>
      <c r="DA34" s="3"/>
      <c r="DB34" s="3"/>
      <c r="DC34" s="3"/>
      <c r="DD34" s="3"/>
      <c r="DE34" s="3"/>
      <c r="DF34" s="3"/>
      <c r="DG34" s="3"/>
      <c r="DH34" s="3"/>
      <c r="DI34" s="3"/>
      <c r="DJ34" s="3"/>
      <c r="DK34" s="3"/>
      <c r="DL34" s="3"/>
    </row>
    <row r="35" spans="13:116" ht="13.5" x14ac:dyDescent="0.25">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CJ35" s="3"/>
      <c r="CK35" s="3"/>
      <c r="CU35" s="3"/>
      <c r="CV35" s="3"/>
      <c r="CW35" s="3"/>
      <c r="CX35" s="3"/>
      <c r="CY35" s="3"/>
      <c r="CZ35" s="3"/>
      <c r="DA35" s="3"/>
      <c r="DB35" s="3"/>
      <c r="DC35" s="3"/>
      <c r="DD35" s="3"/>
      <c r="DE35" s="3"/>
      <c r="DF35" s="3"/>
      <c r="DG35" s="3"/>
      <c r="DH35" s="3"/>
      <c r="DI35" s="3"/>
      <c r="DJ35" s="3"/>
      <c r="DK35" s="3"/>
      <c r="DL35" s="3"/>
    </row>
    <row r="36" spans="13:116" ht="13.5" x14ac:dyDescent="0.25">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CJ36" s="3"/>
      <c r="CK36" s="3"/>
      <c r="CU36" s="3"/>
      <c r="CV36" s="3"/>
      <c r="CW36" s="3"/>
      <c r="CX36" s="3"/>
      <c r="CY36" s="3"/>
      <c r="CZ36" s="3"/>
      <c r="DA36" s="3"/>
      <c r="DB36" s="3"/>
      <c r="DC36" s="3"/>
      <c r="DD36" s="3"/>
      <c r="DE36" s="3"/>
      <c r="DF36" s="3"/>
      <c r="DG36" s="3"/>
      <c r="DH36" s="3"/>
      <c r="DI36" s="3"/>
      <c r="DJ36" s="3"/>
      <c r="DK36" s="3"/>
      <c r="DL36" s="3"/>
    </row>
    <row r="37" spans="13:116" ht="13.5" x14ac:dyDescent="0.25">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CJ37" s="3"/>
      <c r="CK37" s="3"/>
      <c r="CU37" s="3"/>
      <c r="CV37" s="3"/>
      <c r="CW37" s="3"/>
      <c r="CX37" s="3"/>
      <c r="CY37" s="3"/>
      <c r="CZ37" s="3"/>
      <c r="DA37" s="3"/>
      <c r="DB37" s="3"/>
      <c r="DC37" s="3"/>
      <c r="DD37" s="3"/>
      <c r="DE37" s="3"/>
      <c r="DF37" s="3"/>
      <c r="DG37" s="3"/>
      <c r="DH37" s="3"/>
      <c r="DI37" s="3"/>
      <c r="DJ37" s="3"/>
      <c r="DK37" s="3"/>
      <c r="DL37" s="3"/>
    </row>
    <row r="38" spans="13:116" ht="13.5" x14ac:dyDescent="0.25">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CJ38" s="3"/>
      <c r="CK38" s="3"/>
      <c r="CU38" s="3"/>
      <c r="CV38" s="3"/>
      <c r="CW38" s="3"/>
      <c r="CX38" s="3"/>
      <c r="CY38" s="3"/>
      <c r="CZ38" s="3"/>
      <c r="DA38" s="3"/>
      <c r="DB38" s="3"/>
      <c r="DC38" s="3"/>
      <c r="DD38" s="3"/>
      <c r="DE38" s="3"/>
      <c r="DF38" s="3"/>
      <c r="DG38" s="3"/>
      <c r="DH38" s="3"/>
      <c r="DI38" s="3"/>
      <c r="DJ38" s="3"/>
      <c r="DK38" s="3"/>
      <c r="DL38" s="3"/>
    </row>
    <row r="39" spans="13:116" ht="13.5" x14ac:dyDescent="0.25">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CJ39" s="3"/>
      <c r="CK39" s="3"/>
      <c r="CU39" s="3"/>
      <c r="CV39" s="3"/>
      <c r="CW39" s="3"/>
      <c r="CX39" s="3"/>
      <c r="CY39" s="3"/>
      <c r="CZ39" s="3"/>
      <c r="DA39" s="3"/>
      <c r="DB39" s="3"/>
      <c r="DC39" s="3"/>
      <c r="DD39" s="3"/>
      <c r="DE39" s="3"/>
      <c r="DF39" s="3"/>
      <c r="DG39" s="3"/>
      <c r="DH39" s="3"/>
      <c r="DI39" s="3"/>
      <c r="DJ39" s="3"/>
      <c r="DK39" s="3"/>
      <c r="DL39" s="3"/>
    </row>
    <row r="40" spans="13:116" ht="13.5" x14ac:dyDescent="0.25">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CJ40" s="3"/>
      <c r="CK40" s="3"/>
      <c r="CU40" s="3"/>
      <c r="CV40" s="3"/>
      <c r="CW40" s="3"/>
      <c r="CX40" s="3"/>
      <c r="CY40" s="3"/>
      <c r="CZ40" s="3"/>
      <c r="DA40" s="3"/>
      <c r="DB40" s="3"/>
      <c r="DC40" s="3"/>
      <c r="DD40" s="3"/>
      <c r="DE40" s="3"/>
      <c r="DF40" s="3"/>
      <c r="DG40" s="3"/>
      <c r="DH40" s="3"/>
      <c r="DI40" s="3"/>
      <c r="DJ40" s="3"/>
      <c r="DK40" s="3"/>
      <c r="DL40" s="3"/>
    </row>
    <row r="41" spans="13:116" ht="13.5" x14ac:dyDescent="0.25">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CJ41" s="3"/>
      <c r="CK41" s="3"/>
      <c r="CU41" s="3"/>
      <c r="CV41" s="3"/>
      <c r="CW41" s="3"/>
      <c r="CX41" s="3"/>
      <c r="CY41" s="3"/>
      <c r="CZ41" s="3"/>
      <c r="DA41" s="3"/>
      <c r="DB41" s="3"/>
      <c r="DC41" s="3"/>
      <c r="DD41" s="3"/>
      <c r="DE41" s="3"/>
      <c r="DF41" s="3"/>
      <c r="DG41" s="3"/>
      <c r="DH41" s="3"/>
      <c r="DI41" s="3"/>
      <c r="DJ41" s="3"/>
      <c r="DK41" s="3"/>
      <c r="DL41" s="3"/>
    </row>
    <row r="42" spans="13:116" ht="13.5" x14ac:dyDescent="0.25">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CJ42" s="3"/>
      <c r="CK42" s="3"/>
      <c r="CU42" s="3"/>
      <c r="CV42" s="3"/>
      <c r="CW42" s="3"/>
      <c r="CX42" s="3"/>
      <c r="CY42" s="3"/>
      <c r="CZ42" s="3"/>
      <c r="DA42" s="3"/>
      <c r="DB42" s="3"/>
      <c r="DC42" s="3"/>
      <c r="DD42" s="3"/>
      <c r="DE42" s="3"/>
      <c r="DF42" s="3"/>
      <c r="DG42" s="3"/>
      <c r="DH42" s="3"/>
      <c r="DI42" s="3"/>
      <c r="DJ42" s="3"/>
      <c r="DK42" s="3"/>
      <c r="DL42" s="3"/>
    </row>
    <row r="43" spans="13:116" ht="13.5" x14ac:dyDescent="0.25">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CJ43" s="3"/>
      <c r="CK43" s="3"/>
      <c r="CU43" s="3"/>
      <c r="CV43" s="3"/>
      <c r="CW43" s="3"/>
      <c r="CX43" s="3"/>
      <c r="CY43" s="3"/>
      <c r="CZ43" s="3"/>
      <c r="DA43" s="3"/>
      <c r="DB43" s="3"/>
      <c r="DC43" s="3"/>
      <c r="DD43" s="3"/>
      <c r="DE43" s="3"/>
      <c r="DF43" s="3"/>
      <c r="DG43" s="3"/>
      <c r="DH43" s="3"/>
      <c r="DI43" s="3"/>
      <c r="DJ43" s="3"/>
      <c r="DK43" s="3"/>
      <c r="DL43" s="3"/>
    </row>
    <row r="44" spans="13:116" ht="13.5" x14ac:dyDescent="0.25">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CJ44" s="3"/>
      <c r="CK44" s="3"/>
      <c r="CU44" s="3"/>
      <c r="CV44" s="3"/>
      <c r="CW44" s="3"/>
      <c r="CX44" s="3"/>
      <c r="CY44" s="3"/>
      <c r="CZ44" s="3"/>
      <c r="DA44" s="3"/>
      <c r="DB44" s="3"/>
      <c r="DC44" s="3"/>
      <c r="DD44" s="3"/>
      <c r="DE44" s="3"/>
      <c r="DF44" s="3"/>
      <c r="DG44" s="3"/>
      <c r="DH44" s="3"/>
      <c r="DI44" s="3"/>
      <c r="DJ44" s="3"/>
      <c r="DK44" s="3"/>
      <c r="DL44" s="3"/>
    </row>
    <row r="45" spans="13:116" ht="13.5" x14ac:dyDescent="0.25">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CJ45" s="3"/>
      <c r="CK45" s="3"/>
      <c r="CU45" s="3"/>
      <c r="CV45" s="3"/>
      <c r="CW45" s="3"/>
      <c r="CX45" s="3"/>
      <c r="CY45" s="3"/>
      <c r="CZ45" s="3"/>
      <c r="DA45" s="3"/>
      <c r="DB45" s="3"/>
      <c r="DC45" s="3"/>
      <c r="DD45" s="3"/>
      <c r="DE45" s="3"/>
      <c r="DF45" s="3"/>
      <c r="DG45" s="3"/>
      <c r="DH45" s="3"/>
      <c r="DI45" s="3"/>
      <c r="DJ45" s="3"/>
      <c r="DK45" s="3"/>
      <c r="DL45" s="3"/>
    </row>
    <row r="46" spans="13:116" ht="13.5" x14ac:dyDescent="0.25">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CJ46" s="3"/>
      <c r="CK46" s="3"/>
      <c r="CU46" s="3"/>
      <c r="CV46" s="3"/>
      <c r="CW46" s="3"/>
      <c r="CX46" s="3"/>
      <c r="CY46" s="3"/>
      <c r="CZ46" s="3"/>
      <c r="DA46" s="3"/>
      <c r="DB46" s="3"/>
      <c r="DC46" s="3"/>
      <c r="DD46" s="3"/>
      <c r="DE46" s="3"/>
      <c r="DF46" s="3"/>
      <c r="DG46" s="3"/>
      <c r="DH46" s="3"/>
      <c r="DI46" s="3"/>
      <c r="DJ46" s="3"/>
      <c r="DK46" s="3"/>
      <c r="DL46" s="3"/>
    </row>
    <row r="47" spans="13:116" ht="13.5" x14ac:dyDescent="0.25">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CJ47" s="3"/>
      <c r="CK47" s="3"/>
      <c r="CU47" s="3"/>
      <c r="CV47" s="3"/>
      <c r="CW47" s="3"/>
      <c r="CX47" s="3"/>
      <c r="CY47" s="3"/>
      <c r="CZ47" s="3"/>
      <c r="DA47" s="3"/>
      <c r="DB47" s="3"/>
      <c r="DC47" s="3"/>
      <c r="DD47" s="3"/>
      <c r="DE47" s="3"/>
      <c r="DF47" s="3"/>
      <c r="DG47" s="3"/>
      <c r="DH47" s="3"/>
      <c r="DI47" s="3"/>
      <c r="DJ47" s="3"/>
      <c r="DK47" s="3"/>
      <c r="DL47" s="3"/>
    </row>
    <row r="48" spans="13:116" ht="13.5" x14ac:dyDescent="0.25">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CJ48" s="3"/>
      <c r="CK48" s="3"/>
      <c r="CU48" s="3"/>
      <c r="CV48" s="3"/>
      <c r="CW48" s="3"/>
      <c r="CX48" s="3"/>
      <c r="CY48" s="3"/>
      <c r="CZ48" s="3"/>
      <c r="DA48" s="3"/>
      <c r="DB48" s="3"/>
      <c r="DC48" s="3"/>
      <c r="DD48" s="3"/>
      <c r="DE48" s="3"/>
      <c r="DF48" s="3"/>
      <c r="DG48" s="3"/>
      <c r="DH48" s="3"/>
      <c r="DI48" s="3"/>
      <c r="DJ48" s="3"/>
      <c r="DK48" s="3"/>
      <c r="DL48" s="3"/>
    </row>
    <row r="49" spans="13:116" ht="13.5" x14ac:dyDescent="0.25">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CJ49" s="3"/>
      <c r="CK49" s="3"/>
      <c r="CU49" s="3"/>
      <c r="CV49" s="3"/>
      <c r="CW49" s="3"/>
      <c r="CX49" s="3"/>
      <c r="CY49" s="3"/>
      <c r="CZ49" s="3"/>
      <c r="DA49" s="3"/>
      <c r="DB49" s="3"/>
      <c r="DC49" s="3"/>
      <c r="DD49" s="3"/>
      <c r="DE49" s="3"/>
      <c r="DF49" s="3"/>
      <c r="DG49" s="3"/>
      <c r="DH49" s="3"/>
      <c r="DI49" s="3"/>
      <c r="DJ49" s="3"/>
      <c r="DK49" s="3"/>
      <c r="DL49" s="3"/>
    </row>
    <row r="50" spans="13:116" ht="13.5" x14ac:dyDescent="0.25">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CJ50" s="3"/>
      <c r="CK50" s="3"/>
      <c r="CU50" s="3"/>
      <c r="CV50" s="3"/>
      <c r="CW50" s="3"/>
      <c r="CX50" s="3"/>
      <c r="CY50" s="3"/>
      <c r="CZ50" s="3"/>
      <c r="DA50" s="3"/>
      <c r="DB50" s="3"/>
      <c r="DC50" s="3"/>
      <c r="DD50" s="3"/>
      <c r="DE50" s="3"/>
      <c r="DF50" s="3"/>
      <c r="DG50" s="3"/>
      <c r="DH50" s="3"/>
      <c r="DI50" s="3"/>
      <c r="DJ50" s="3"/>
      <c r="DK50" s="3"/>
      <c r="DL50" s="3"/>
    </row>
    <row r="51" spans="13:116" ht="15.75" customHeight="1" x14ac:dyDescent="0.25">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CJ51" s="3"/>
      <c r="CK51" s="3"/>
      <c r="CU51" s="3"/>
      <c r="CV51" s="3"/>
      <c r="CW51" s="3"/>
      <c r="CX51" s="3"/>
      <c r="CY51" s="3"/>
      <c r="CZ51" s="3"/>
      <c r="DA51" s="3"/>
      <c r="DB51" s="3"/>
      <c r="DC51" s="3"/>
      <c r="DD51" s="3"/>
      <c r="DE51" s="3"/>
      <c r="DF51" s="3"/>
      <c r="DG51" s="3"/>
      <c r="DH51" s="3"/>
      <c r="DI51" s="3"/>
      <c r="DJ51" s="3"/>
      <c r="DK51" s="3"/>
      <c r="DL51" s="3"/>
    </row>
    <row r="52" spans="13:116" ht="15.75" customHeight="1" x14ac:dyDescent="0.25">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CJ52" s="3"/>
      <c r="CK52" s="3"/>
      <c r="CU52" s="3"/>
      <c r="CV52" s="3"/>
      <c r="CW52" s="3"/>
      <c r="CX52" s="3"/>
      <c r="CY52" s="3"/>
      <c r="CZ52" s="3"/>
      <c r="DA52" s="3"/>
      <c r="DB52" s="3"/>
      <c r="DC52" s="3"/>
      <c r="DD52" s="3"/>
      <c r="DE52" s="3"/>
      <c r="DF52" s="3"/>
      <c r="DG52" s="3"/>
      <c r="DH52" s="3"/>
      <c r="DI52" s="3"/>
      <c r="DJ52" s="3"/>
      <c r="DK52" s="3"/>
      <c r="DL52" s="3"/>
    </row>
    <row r="53" spans="13:116" ht="15.75" customHeight="1" x14ac:dyDescent="0.25">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R53" s="23"/>
      <c r="AS53" s="23"/>
      <c r="AT53" s="23"/>
      <c r="AU53" s="23"/>
      <c r="AW53" s="23"/>
      <c r="AX53" s="23"/>
      <c r="AY53" s="23"/>
      <c r="AZ53" s="23"/>
      <c r="BA53" s="23"/>
      <c r="BB53" s="23"/>
      <c r="BC53" s="23"/>
      <c r="BD53" s="23"/>
      <c r="BE53" s="23"/>
      <c r="BF53" s="23"/>
      <c r="BG53" s="23"/>
      <c r="BH53" s="23"/>
      <c r="BI53" s="23"/>
      <c r="CJ53" s="3"/>
      <c r="CK53" s="3"/>
      <c r="CU53" s="3"/>
      <c r="CV53" s="3"/>
      <c r="CW53" s="3"/>
      <c r="CX53" s="3"/>
      <c r="CY53" s="3"/>
      <c r="CZ53" s="3"/>
      <c r="DA53" s="3"/>
      <c r="DB53" s="3"/>
      <c r="DC53" s="3"/>
      <c r="DD53" s="3"/>
      <c r="DE53" s="3"/>
      <c r="DF53" s="3"/>
      <c r="DG53" s="3"/>
      <c r="DH53" s="3"/>
      <c r="DI53" s="3"/>
      <c r="DJ53" s="3"/>
      <c r="DK53" s="3"/>
      <c r="DL53" s="3"/>
    </row>
    <row r="54" spans="13:116" ht="15.75" customHeight="1" x14ac:dyDescent="0.25">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R54" s="23"/>
      <c r="AS54" s="23"/>
      <c r="AT54" s="23"/>
      <c r="AU54" s="23"/>
      <c r="AX54" s="23"/>
      <c r="AY54" s="23"/>
      <c r="AZ54" s="23"/>
      <c r="BA54" s="23"/>
      <c r="BB54" s="23"/>
      <c r="BC54" s="23"/>
      <c r="BD54" s="23"/>
      <c r="BE54" s="23"/>
      <c r="BF54" s="23"/>
      <c r="BG54" s="23"/>
      <c r="BH54" s="23"/>
      <c r="BI54" s="23"/>
      <c r="CJ54" s="3"/>
      <c r="CK54" s="3"/>
      <c r="CU54" s="3"/>
      <c r="CV54" s="3"/>
      <c r="CW54" s="3"/>
      <c r="CX54" s="3"/>
      <c r="CY54" s="3"/>
      <c r="CZ54" s="3"/>
      <c r="DA54" s="3"/>
      <c r="DB54" s="3"/>
      <c r="DC54" s="3"/>
      <c r="DD54" s="3"/>
      <c r="DE54" s="3"/>
      <c r="DF54" s="3"/>
      <c r="DG54" s="3"/>
      <c r="DH54" s="3"/>
      <c r="DI54" s="3"/>
      <c r="DJ54" s="3"/>
      <c r="DK54" s="3"/>
      <c r="DL54" s="3"/>
    </row>
    <row r="55" spans="13:116" ht="15.75" customHeight="1" x14ac:dyDescent="0.25">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R55" s="23"/>
      <c r="AS55" s="23"/>
      <c r="AX55" s="23"/>
      <c r="AY55" s="23"/>
      <c r="AZ55" s="23"/>
      <c r="BA55" s="23"/>
      <c r="BB55" s="23"/>
      <c r="BC55" s="23"/>
      <c r="BD55" s="23"/>
      <c r="BE55" s="23"/>
      <c r="BF55" s="23"/>
      <c r="BG55" s="23"/>
      <c r="BH55" s="23"/>
      <c r="BI55" s="23"/>
      <c r="CJ55" s="3"/>
      <c r="CK55" s="3"/>
      <c r="CU55" s="3"/>
      <c r="CV55" s="3"/>
      <c r="CW55" s="3"/>
      <c r="CX55" s="3"/>
      <c r="CY55" s="3"/>
      <c r="CZ55" s="3"/>
      <c r="DA55" s="3"/>
      <c r="DB55" s="3"/>
      <c r="DC55" s="3"/>
      <c r="DD55" s="3"/>
      <c r="DE55" s="3"/>
      <c r="DF55" s="3"/>
      <c r="DG55" s="3"/>
      <c r="DH55" s="3"/>
      <c r="DI55" s="3"/>
      <c r="DJ55" s="3"/>
      <c r="DK55" s="3"/>
      <c r="DL55" s="3"/>
    </row>
    <row r="56" spans="13:116" ht="15.75" customHeight="1" x14ac:dyDescent="0.25">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S56" s="23"/>
      <c r="AX56" s="23"/>
      <c r="AY56" s="23"/>
      <c r="AZ56" s="23"/>
      <c r="BA56" s="23"/>
      <c r="BB56" s="23"/>
      <c r="BC56" s="23"/>
      <c r="BD56" s="23"/>
      <c r="BE56" s="23"/>
      <c r="BF56" s="23"/>
      <c r="BG56" s="23"/>
      <c r="BH56" s="23"/>
      <c r="BI56" s="23"/>
      <c r="CJ56" s="3"/>
      <c r="CK56" s="3"/>
      <c r="CU56" s="3"/>
      <c r="CV56" s="3"/>
      <c r="CW56" s="3"/>
      <c r="CX56" s="3"/>
      <c r="CY56" s="3"/>
      <c r="CZ56" s="3"/>
      <c r="DA56" s="3"/>
      <c r="DB56" s="3"/>
      <c r="DC56" s="3"/>
      <c r="DD56" s="3"/>
      <c r="DE56" s="3"/>
      <c r="DF56" s="3"/>
      <c r="DG56" s="3"/>
      <c r="DH56" s="3"/>
      <c r="DI56" s="3"/>
      <c r="DJ56" s="3"/>
      <c r="DK56" s="3"/>
      <c r="DL56" s="3"/>
    </row>
    <row r="57" spans="13:116" ht="15.75" customHeight="1" x14ac:dyDescent="0.25">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X57" s="23"/>
      <c r="BA57" s="23"/>
      <c r="BB57" s="23"/>
      <c r="BC57" s="23"/>
      <c r="BD57" s="23"/>
      <c r="BE57" s="23"/>
      <c r="BF57" s="23"/>
      <c r="BG57" s="23"/>
      <c r="BH57" s="23"/>
      <c r="BI57" s="23"/>
      <c r="CJ57" s="3"/>
      <c r="CK57" s="3"/>
      <c r="CU57" s="3"/>
      <c r="CV57" s="3"/>
      <c r="CW57" s="3"/>
      <c r="CX57" s="3"/>
      <c r="CY57" s="3"/>
      <c r="CZ57" s="3"/>
      <c r="DA57" s="3"/>
      <c r="DB57" s="3"/>
      <c r="DC57" s="3"/>
      <c r="DD57" s="3"/>
      <c r="DE57" s="3"/>
      <c r="DF57" s="3"/>
      <c r="DG57" s="3"/>
      <c r="DH57" s="3"/>
      <c r="DI57" s="3"/>
      <c r="DJ57" s="3"/>
      <c r="DK57" s="3"/>
      <c r="DL57" s="3"/>
    </row>
    <row r="58" spans="13:116" ht="15.75" customHeight="1" x14ac:dyDescent="0.25">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X58" s="23"/>
      <c r="BA58" s="23"/>
      <c r="BB58" s="23"/>
      <c r="BC58" s="23"/>
      <c r="BD58" s="23"/>
      <c r="BE58" s="23"/>
      <c r="BF58" s="23"/>
      <c r="BG58" s="23"/>
      <c r="BH58" s="23"/>
      <c r="BI58" s="23"/>
      <c r="CJ58" s="3"/>
      <c r="CK58" s="3"/>
      <c r="CU58" s="3"/>
      <c r="CV58" s="3"/>
      <c r="CW58" s="3"/>
      <c r="CX58" s="3"/>
      <c r="CY58" s="3"/>
      <c r="CZ58" s="3"/>
      <c r="DA58" s="3"/>
      <c r="DB58" s="3"/>
      <c r="DC58" s="3"/>
      <c r="DD58" s="3"/>
      <c r="DE58" s="3"/>
      <c r="DF58" s="3"/>
      <c r="DG58" s="3"/>
      <c r="DH58" s="3"/>
      <c r="DI58" s="3"/>
      <c r="DJ58" s="3"/>
      <c r="DK58" s="3"/>
      <c r="DL58" s="3"/>
    </row>
    <row r="59" spans="13:116" ht="13.5" x14ac:dyDescent="0.25">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X59" s="23"/>
      <c r="BA59" s="23"/>
      <c r="BB59" s="23"/>
      <c r="BC59" s="23"/>
      <c r="BD59" s="23"/>
      <c r="BE59" s="23"/>
      <c r="BF59" s="23"/>
      <c r="BG59" s="23"/>
      <c r="BH59" s="23"/>
      <c r="BI59" s="23"/>
      <c r="CJ59" s="3"/>
      <c r="CK59" s="3"/>
      <c r="CU59" s="3"/>
      <c r="CV59" s="3"/>
      <c r="CW59" s="3"/>
      <c r="CX59" s="3"/>
      <c r="CY59" s="3"/>
      <c r="CZ59" s="3"/>
      <c r="DA59" s="3"/>
      <c r="DB59" s="3"/>
      <c r="DC59" s="3"/>
      <c r="DD59" s="3"/>
      <c r="DE59" s="3"/>
      <c r="DF59" s="3"/>
      <c r="DG59" s="3"/>
      <c r="DH59" s="3"/>
      <c r="DI59" s="3"/>
      <c r="DJ59" s="3"/>
      <c r="DK59" s="3"/>
      <c r="DL59" s="3"/>
    </row>
    <row r="60" spans="13:116" ht="13.5" x14ac:dyDescent="0.25">
      <c r="M60" s="23"/>
      <c r="N60" s="23"/>
      <c r="O60" s="23"/>
      <c r="P60" s="23"/>
      <c r="Q60" s="23"/>
      <c r="R60" s="23"/>
      <c r="S60" s="23"/>
      <c r="T60" s="23"/>
      <c r="U60" s="23"/>
      <c r="V60" s="23"/>
      <c r="W60" s="23"/>
      <c r="X60" s="23"/>
      <c r="Y60" s="23"/>
      <c r="Z60" s="23"/>
      <c r="AA60" s="23"/>
      <c r="AB60" s="23"/>
      <c r="AC60" s="23"/>
      <c r="AD60" s="23"/>
      <c r="AE60" s="23"/>
      <c r="AF60" s="23"/>
      <c r="AG60" s="23"/>
      <c r="AH60" s="23"/>
      <c r="AI60" s="23"/>
      <c r="AJ60" s="23"/>
      <c r="AL60" s="23"/>
      <c r="AM60" s="23"/>
      <c r="AN60" s="23"/>
      <c r="AO60" s="23"/>
      <c r="AX60" s="23"/>
      <c r="BA60" s="23"/>
      <c r="BE60" s="23"/>
      <c r="BF60" s="23"/>
      <c r="CJ60" s="3"/>
      <c r="CK60" s="3"/>
      <c r="CU60" s="3"/>
      <c r="CV60" s="3"/>
      <c r="CW60" s="3"/>
      <c r="CX60" s="3"/>
      <c r="CY60" s="3"/>
      <c r="CZ60" s="3"/>
      <c r="DA60" s="3"/>
      <c r="DB60" s="3"/>
      <c r="DC60" s="3"/>
      <c r="DD60" s="3"/>
      <c r="DE60" s="3"/>
      <c r="DF60" s="3"/>
      <c r="DG60" s="3"/>
      <c r="DH60" s="3"/>
      <c r="DI60" s="3"/>
      <c r="DJ60" s="3"/>
      <c r="DK60" s="3"/>
      <c r="DL60" s="3"/>
    </row>
    <row r="61" spans="13:116" ht="13.5" x14ac:dyDescent="0.25">
      <c r="M61" s="23"/>
      <c r="N61" s="23"/>
      <c r="O61" s="23"/>
      <c r="P61" s="23"/>
      <c r="Q61" s="23"/>
      <c r="R61" s="23"/>
      <c r="S61" s="23"/>
      <c r="T61" s="23"/>
      <c r="U61" s="23"/>
      <c r="V61" s="23"/>
      <c r="W61" s="23"/>
      <c r="X61" s="23"/>
      <c r="Y61" s="23"/>
      <c r="Z61" s="23"/>
      <c r="AA61" s="23"/>
      <c r="AB61" s="23"/>
      <c r="AC61" s="23"/>
      <c r="AD61" s="23"/>
      <c r="AE61" s="23"/>
      <c r="AF61" s="23"/>
      <c r="AG61" s="23"/>
      <c r="AH61" s="23"/>
      <c r="AI61" s="23"/>
      <c r="AJ61" s="23"/>
      <c r="AL61" s="23"/>
      <c r="AM61" s="23"/>
      <c r="AN61" s="23"/>
      <c r="AX61" s="23"/>
      <c r="BE61" s="23"/>
      <c r="BF61" s="23"/>
      <c r="CJ61" s="3"/>
      <c r="CK61" s="3"/>
      <c r="CU61" s="3"/>
      <c r="CV61" s="3"/>
      <c r="CW61" s="3"/>
      <c r="CX61" s="3"/>
      <c r="CY61" s="3"/>
      <c r="CZ61" s="3"/>
      <c r="DA61" s="3"/>
      <c r="DB61" s="3"/>
      <c r="DC61" s="3"/>
      <c r="DD61" s="3"/>
      <c r="DE61" s="3"/>
      <c r="DF61" s="3"/>
      <c r="DG61" s="3"/>
      <c r="DH61" s="3"/>
      <c r="DI61" s="3"/>
      <c r="DJ61" s="3"/>
      <c r="DK61" s="3"/>
      <c r="DL61" s="3"/>
    </row>
    <row r="62" spans="13:116" ht="13.5" x14ac:dyDescent="0.25">
      <c r="M62" s="23"/>
      <c r="N62" s="23"/>
      <c r="O62" s="23"/>
      <c r="P62" s="23"/>
      <c r="Q62" s="23"/>
      <c r="R62" s="23"/>
      <c r="S62" s="23"/>
      <c r="T62" s="23"/>
      <c r="U62" s="23"/>
      <c r="V62" s="23"/>
      <c r="W62" s="23"/>
      <c r="X62" s="23"/>
      <c r="Y62" s="23"/>
      <c r="Z62" s="23"/>
      <c r="AA62" s="23"/>
      <c r="AB62" s="23"/>
      <c r="AC62" s="23"/>
      <c r="AD62" s="23"/>
      <c r="AE62" s="23"/>
      <c r="AF62" s="23"/>
      <c r="AG62" s="23"/>
      <c r="AH62" s="23"/>
      <c r="AI62" s="23"/>
      <c r="AJ62" s="23"/>
      <c r="AL62" s="23"/>
      <c r="AM62" s="23"/>
      <c r="AN62" s="23"/>
      <c r="BE62" s="23"/>
      <c r="BF62" s="23"/>
      <c r="CJ62" s="3"/>
      <c r="CK62" s="3"/>
      <c r="CU62" s="3"/>
      <c r="CV62" s="3"/>
      <c r="CW62" s="3"/>
      <c r="CX62" s="3"/>
      <c r="CY62" s="3"/>
      <c r="CZ62" s="3"/>
      <c r="DA62" s="3"/>
      <c r="DB62" s="3"/>
      <c r="DC62" s="3"/>
      <c r="DD62" s="3"/>
      <c r="DE62" s="3"/>
      <c r="DF62" s="3"/>
      <c r="DG62" s="3"/>
      <c r="DH62" s="3"/>
      <c r="DI62" s="3"/>
      <c r="DJ62" s="3"/>
      <c r="DK62" s="3"/>
      <c r="DL62" s="3"/>
    </row>
    <row r="63" spans="13:116" ht="13.5" x14ac:dyDescent="0.25">
      <c r="M63" s="23"/>
      <c r="N63" s="23"/>
      <c r="O63" s="23"/>
      <c r="P63" s="23"/>
      <c r="Q63" s="23"/>
      <c r="R63" s="23"/>
      <c r="S63" s="23"/>
      <c r="T63" s="23"/>
      <c r="U63" s="23"/>
      <c r="V63" s="23"/>
      <c r="W63" s="23"/>
      <c r="X63" s="23"/>
      <c r="Y63" s="23"/>
      <c r="Z63" s="23"/>
      <c r="AA63" s="23"/>
      <c r="AB63" s="23"/>
      <c r="AC63" s="23"/>
      <c r="AD63" s="23"/>
      <c r="AE63" s="23"/>
      <c r="AF63" s="23"/>
      <c r="AG63" s="23"/>
      <c r="AH63" s="23"/>
      <c r="AI63" s="23"/>
      <c r="AL63" s="23"/>
      <c r="AM63" s="23"/>
      <c r="AN63" s="23"/>
      <c r="BE63" s="23"/>
      <c r="BF63" s="23"/>
      <c r="CJ63" s="3"/>
      <c r="CK63" s="3"/>
      <c r="CU63" s="3"/>
      <c r="CV63" s="3"/>
      <c r="CW63" s="3"/>
      <c r="CX63" s="3"/>
      <c r="CY63" s="3"/>
      <c r="CZ63" s="3"/>
      <c r="DA63" s="3"/>
      <c r="DB63" s="3"/>
      <c r="DC63" s="3"/>
      <c r="DD63" s="3"/>
      <c r="DE63" s="3"/>
      <c r="DF63" s="3"/>
      <c r="DG63" s="3"/>
      <c r="DH63" s="3"/>
      <c r="DI63" s="3"/>
      <c r="DJ63" s="3"/>
      <c r="DK63" s="3"/>
      <c r="DL63" s="3"/>
    </row>
    <row r="64" spans="13:116" ht="13.5" x14ac:dyDescent="0.25">
      <c r="M64" s="23"/>
      <c r="N64" s="23"/>
      <c r="O64" s="23"/>
      <c r="AL64" s="23"/>
      <c r="AM64" s="23"/>
      <c r="AN64" s="23"/>
      <c r="CJ64" s="3"/>
      <c r="CK64" s="3"/>
      <c r="CU64" s="3"/>
      <c r="CV64" s="3"/>
      <c r="CW64" s="3"/>
      <c r="CX64" s="3"/>
      <c r="CY64" s="3"/>
      <c r="CZ64" s="3"/>
      <c r="DA64" s="3"/>
      <c r="DB64" s="3"/>
      <c r="DC64" s="3"/>
      <c r="DD64" s="3"/>
      <c r="DE64" s="3"/>
      <c r="DF64" s="3"/>
      <c r="DG64" s="3"/>
      <c r="DH64" s="3"/>
      <c r="DI64" s="3"/>
      <c r="DJ64" s="3"/>
      <c r="DK64" s="3"/>
      <c r="DL64" s="3"/>
    </row>
    <row r="65" spans="13:116" ht="13.5" x14ac:dyDescent="0.25">
      <c r="M65" s="23"/>
      <c r="N65" s="23"/>
      <c r="O65" s="23"/>
      <c r="AL65" s="23"/>
      <c r="AM65" s="23"/>
      <c r="AN65" s="23"/>
      <c r="CJ65" s="3"/>
      <c r="CK65" s="3"/>
      <c r="CU65" s="3"/>
      <c r="CV65" s="3"/>
      <c r="CW65" s="3"/>
      <c r="CX65" s="3"/>
      <c r="CY65" s="3"/>
      <c r="CZ65" s="3"/>
      <c r="DA65" s="3"/>
      <c r="DB65" s="3"/>
      <c r="DC65" s="3"/>
      <c r="DD65" s="3"/>
      <c r="DE65" s="3"/>
      <c r="DF65" s="3"/>
      <c r="DG65" s="3"/>
      <c r="DH65" s="3"/>
      <c r="DI65" s="3"/>
      <c r="DJ65" s="3"/>
      <c r="DK65" s="3"/>
      <c r="DL65" s="3"/>
    </row>
    <row r="66" spans="13:116" ht="13.5" x14ac:dyDescent="0.25">
      <c r="M66" s="23"/>
      <c r="N66" s="23"/>
      <c r="O66" s="23"/>
      <c r="AL66" s="23"/>
      <c r="AM66" s="23"/>
      <c r="AN66" s="23"/>
      <c r="CJ66" s="3"/>
      <c r="CK66" s="3"/>
      <c r="CU66" s="3"/>
      <c r="CV66" s="3"/>
      <c r="CW66" s="3"/>
      <c r="CX66" s="3"/>
      <c r="CY66" s="3"/>
      <c r="CZ66" s="3"/>
      <c r="DA66" s="3"/>
      <c r="DB66" s="3"/>
      <c r="DC66" s="3"/>
      <c r="DD66" s="3"/>
      <c r="DE66" s="3"/>
      <c r="DF66" s="3"/>
      <c r="DG66" s="3"/>
      <c r="DH66" s="3"/>
      <c r="DI66" s="3"/>
      <c r="DJ66" s="3"/>
      <c r="DK66" s="3"/>
      <c r="DL66" s="3"/>
    </row>
    <row r="67" spans="13:116" ht="13.5" x14ac:dyDescent="0.25">
      <c r="CU67" s="3"/>
      <c r="CV67" s="3"/>
      <c r="CW67" s="3"/>
      <c r="CX67" s="3"/>
      <c r="CY67" s="3"/>
      <c r="CZ67" s="3"/>
      <c r="DA67" s="3"/>
      <c r="DB67" s="3"/>
      <c r="DC67" s="3"/>
      <c r="DD67" s="3"/>
      <c r="DE67" s="3"/>
      <c r="DF67" s="3"/>
      <c r="DG67" s="3"/>
      <c r="DH67" s="3"/>
      <c r="DI67" s="3"/>
      <c r="DJ67" s="3"/>
      <c r="DK67" s="3"/>
      <c r="DL67" s="3"/>
    </row>
    <row r="68" spans="13:116" ht="13.5" x14ac:dyDescent="0.25">
      <c r="CU68" s="3"/>
      <c r="CV68" s="3"/>
      <c r="CW68" s="3"/>
      <c r="CX68" s="3"/>
      <c r="CY68" s="3"/>
      <c r="CZ68" s="3"/>
      <c r="DA68" s="3"/>
      <c r="DB68" s="3"/>
      <c r="DC68" s="3"/>
      <c r="DD68" s="3"/>
      <c r="DE68" s="3"/>
      <c r="DF68" s="3"/>
      <c r="DG68" s="3"/>
      <c r="DH68" s="3"/>
      <c r="DI68" s="3"/>
      <c r="DJ68" s="3"/>
      <c r="DK68" s="3"/>
      <c r="DL68" s="3"/>
    </row>
    <row r="69" spans="13:116" ht="13.5" x14ac:dyDescent="0.25">
      <c r="CU69" s="3"/>
      <c r="CV69" s="3"/>
      <c r="CW69" s="3"/>
      <c r="CX69" s="3"/>
      <c r="CY69" s="3"/>
      <c r="CZ69" s="3"/>
      <c r="DA69" s="3"/>
      <c r="DB69" s="3"/>
      <c r="DC69" s="3"/>
      <c r="DD69" s="3"/>
      <c r="DE69" s="3"/>
      <c r="DF69" s="3"/>
      <c r="DG69" s="3"/>
      <c r="DH69" s="3"/>
      <c r="DI69" s="3"/>
      <c r="DJ69" s="3"/>
      <c r="DK69" s="3"/>
      <c r="DL69" s="3"/>
    </row>
    <row r="70" spans="13:116" ht="13.5" x14ac:dyDescent="0.25">
      <c r="CU70" s="3"/>
      <c r="CV70" s="3"/>
      <c r="CW70" s="3"/>
      <c r="CX70" s="3"/>
      <c r="CY70" s="3"/>
      <c r="CZ70" s="3"/>
      <c r="DA70" s="3"/>
      <c r="DB70" s="3"/>
      <c r="DC70" s="3"/>
      <c r="DD70" s="3"/>
      <c r="DE70" s="3"/>
      <c r="DF70" s="3"/>
      <c r="DG70" s="3"/>
      <c r="DH70" s="3"/>
      <c r="DI70" s="3"/>
      <c r="DJ70" s="3"/>
      <c r="DK70" s="3"/>
      <c r="DL70" s="3"/>
    </row>
    <row r="71" spans="13:116" ht="13.5" x14ac:dyDescent="0.25">
      <c r="CU71" s="3"/>
      <c r="CV71" s="3"/>
      <c r="CW71" s="3"/>
      <c r="CX71" s="3"/>
      <c r="CY71" s="3"/>
      <c r="CZ71" s="3"/>
      <c r="DA71" s="3"/>
      <c r="DB71" s="3"/>
      <c r="DC71" s="3"/>
      <c r="DD71" s="3"/>
      <c r="DE71" s="3"/>
      <c r="DF71" s="3"/>
      <c r="DG71" s="3"/>
      <c r="DH71" s="3"/>
      <c r="DI71" s="3"/>
      <c r="DJ71" s="3"/>
      <c r="DK71" s="3"/>
      <c r="DL71" s="3"/>
    </row>
    <row r="72" spans="13:116" ht="13.5" x14ac:dyDescent="0.25">
      <c r="CU72" s="3"/>
      <c r="CV72" s="3"/>
      <c r="CW72" s="3"/>
      <c r="CX72" s="3"/>
      <c r="CY72" s="3"/>
      <c r="CZ72" s="3"/>
      <c r="DA72" s="3"/>
      <c r="DB72" s="3"/>
      <c r="DC72" s="3"/>
      <c r="DD72" s="3"/>
      <c r="DE72" s="3"/>
      <c r="DF72" s="3"/>
      <c r="DG72" s="3"/>
      <c r="DH72" s="3"/>
      <c r="DI72" s="3"/>
      <c r="DJ72" s="3"/>
      <c r="DK72" s="3"/>
      <c r="DL72" s="3"/>
    </row>
    <row r="73" spans="13:116" ht="13.5" x14ac:dyDescent="0.25">
      <c r="CU73" s="3"/>
      <c r="CV73" s="3"/>
      <c r="CW73" s="3"/>
      <c r="CX73" s="3"/>
      <c r="CY73" s="3"/>
      <c r="CZ73" s="3"/>
      <c r="DA73" s="3"/>
      <c r="DB73" s="3"/>
      <c r="DC73" s="3"/>
      <c r="DD73" s="3"/>
      <c r="DE73" s="3"/>
      <c r="DF73" s="3"/>
      <c r="DG73" s="3"/>
      <c r="DH73" s="3"/>
      <c r="DI73" s="3"/>
      <c r="DJ73" s="3"/>
      <c r="DK73" s="3"/>
      <c r="DL73" s="3"/>
    </row>
  </sheetData>
  <phoneticPr fontId="14" type="noConversion"/>
  <conditionalFormatting sqref="G3:L3">
    <cfRule type="expression" dxfId="494" priority="19">
      <formula>$G$3&lt;&gt;0</formula>
    </cfRule>
  </conditionalFormatting>
  <conditionalFormatting sqref="S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R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11</xdr:col>
                    <xdr:colOff>1000125</xdr:colOff>
                    <xdr:row>1</xdr:row>
                    <xdr:rowOff>190500</xdr:rowOff>
                  </from>
                  <to>
                    <xdr:col>15</xdr:col>
                    <xdr:colOff>295275</xdr:colOff>
                    <xdr:row>3</xdr:row>
                    <xdr:rowOff>638175</xdr:rowOff>
                  </to>
                </anchor>
              </controlPr>
            </control>
          </mc:Choice>
        </mc:AlternateContent>
        <mc:AlternateContent xmlns:mc="http://schemas.openxmlformats.org/markup-compatibility/2006">
          <mc:Choice Requires="x14">
            <control shapeId="11275" r:id="rId5" name="Button 11">
              <controlPr defaultSize="0" print="0" autoFill="0" autoPict="0" macro="[0]!RefreshDLDForReview">
                <anchor moveWithCells="1" sizeWithCells="1">
                  <from>
                    <xdr:col>1</xdr:col>
                    <xdr:colOff>0</xdr:colOff>
                    <xdr:row>1</xdr:row>
                    <xdr:rowOff>152400</xdr:rowOff>
                  </from>
                  <to>
                    <xdr:col>3</xdr:col>
                    <xdr:colOff>800100</xdr:colOff>
                    <xdr:row>3</xdr:row>
                    <xdr:rowOff>704850</xdr:rowOff>
                  </to>
                </anchor>
              </controlPr>
            </control>
          </mc:Choice>
        </mc:AlternateContent>
      </controls>
    </mc:Choice>
  </mc:AlternateContent>
  <tableParts count="4">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D22"/>
  <sheetViews>
    <sheetView workbookViewId="0">
      <selection activeCell="J12" sqref="J12"/>
    </sheetView>
  </sheetViews>
  <sheetFormatPr defaultRowHeight="15" x14ac:dyDescent="0.25"/>
  <cols>
    <col min="1" max="1" width="7.109375" style="1" bestFit="1" customWidth="1"/>
    <col min="2" max="2" width="10.33203125" style="1" bestFit="1" customWidth="1"/>
    <col min="3" max="3" width="26.44140625" style="1" bestFit="1" customWidth="1"/>
    <col min="4" max="4" width="5.88671875" style="1" bestFit="1" customWidth="1"/>
    <col min="5" max="5" width="14.21875" style="1" bestFit="1" customWidth="1"/>
    <col min="6" max="6" width="10.33203125" style="1" bestFit="1" customWidth="1"/>
    <col min="7" max="7" width="5.88671875" style="1" bestFit="1" customWidth="1"/>
    <col min="8" max="8" width="12.109375" style="1" bestFit="1" customWidth="1"/>
    <col min="9" max="9" width="9.44140625" style="1" bestFit="1" customWidth="1"/>
    <col min="10" max="10" width="12.21875" style="1" bestFit="1" customWidth="1"/>
    <col min="11" max="12" width="80.88671875" style="1" bestFit="1" customWidth="1"/>
    <col min="13" max="13" width="24.88671875" style="1" bestFit="1" customWidth="1"/>
    <col min="14" max="14" width="13.21875" style="1" bestFit="1" customWidth="1"/>
    <col min="15" max="15" width="9.21875" style="1" bestFit="1" customWidth="1"/>
    <col min="16" max="16" width="14.21875" style="1" bestFit="1" customWidth="1"/>
    <col min="17" max="17" width="9.21875" style="1" bestFit="1" customWidth="1"/>
    <col min="18" max="18" width="14.44140625" style="1" bestFit="1" customWidth="1"/>
    <col min="19" max="21" width="9.21875" style="1" bestFit="1" customWidth="1"/>
    <col min="22" max="22" width="10.88671875" style="1" bestFit="1" customWidth="1"/>
    <col min="23" max="23" width="80.88671875" style="1" bestFit="1" customWidth="1"/>
    <col min="24" max="24" width="19" style="1" bestFit="1" customWidth="1"/>
    <col min="25" max="25" width="10.33203125" style="1" bestFit="1" customWidth="1"/>
    <col min="26" max="26" width="10.21875" style="1" bestFit="1" customWidth="1"/>
    <col min="27" max="27" width="10.88671875" style="1" bestFit="1" customWidth="1"/>
    <col min="28" max="28" width="25.88671875" style="1" bestFit="1" customWidth="1"/>
    <col min="29" max="29" width="48" style="1" bestFit="1" customWidth="1"/>
    <col min="30" max="30" width="10.88671875" style="1" bestFit="1" customWidth="1"/>
    <col min="31" max="31" width="22" style="1" bestFit="1" customWidth="1"/>
    <col min="32" max="32" width="12.5546875" style="1" bestFit="1" customWidth="1"/>
    <col min="33" max="33" width="10.88671875" style="1" bestFit="1" customWidth="1"/>
    <col min="34" max="34" width="10.33203125" style="1" bestFit="1" customWidth="1"/>
    <col min="35" max="35" width="9.21875" style="1" bestFit="1" customWidth="1"/>
    <col min="36" max="36" width="12.5546875" style="1" bestFit="1" customWidth="1"/>
    <col min="37" max="37" width="8.33203125" style="1" bestFit="1" customWidth="1"/>
    <col min="38" max="38" width="80.88671875" style="1" bestFit="1" customWidth="1"/>
    <col min="39" max="40" width="10.88671875" style="1" bestFit="1" customWidth="1"/>
    <col min="41" max="41" width="12.5546875" style="1" bestFit="1" customWidth="1"/>
    <col min="42" max="42" width="9.21875" style="1" bestFit="1" customWidth="1"/>
    <col min="43" max="43" width="14.44140625" style="1" bestFit="1" customWidth="1"/>
    <col min="44" max="44" width="9.21875" style="1" bestFit="1" customWidth="1"/>
    <col min="45" max="46" width="12.5546875" style="1" bestFit="1" customWidth="1"/>
    <col min="47" max="51" width="9.21875" style="1" bestFit="1" customWidth="1"/>
    <col min="52" max="52" width="10.33203125" style="1" bestFit="1" customWidth="1"/>
    <col min="53" max="54" width="6" style="1" bestFit="1" customWidth="1"/>
    <col min="55" max="55" width="12.6640625" style="1" bestFit="1" customWidth="1"/>
    <col min="56" max="56" width="9.21875" style="1" bestFit="1" customWidth="1"/>
    <col min="57" max="57" width="7.5546875" style="1" bestFit="1" customWidth="1"/>
    <col min="58" max="58" width="14.88671875" style="1" bestFit="1" customWidth="1"/>
    <col min="59" max="59" width="11.6640625" style="1" bestFit="1" customWidth="1"/>
    <col min="60" max="61" width="9.21875" style="1" bestFit="1" customWidth="1"/>
    <col min="62" max="62" width="12.5546875" style="1" bestFit="1" customWidth="1"/>
    <col min="63" max="63" width="31.5546875" style="1" bestFit="1" customWidth="1"/>
    <col min="64" max="64" width="10.33203125" style="1" bestFit="1" customWidth="1"/>
    <col min="65" max="65" width="10.21875" style="1" bestFit="1" customWidth="1"/>
    <col min="66" max="67" width="12" style="1" bestFit="1" customWidth="1"/>
    <col min="68" max="68" width="9.21875" style="1" bestFit="1" customWidth="1"/>
    <col min="69" max="69" width="12.5546875" style="1" bestFit="1" customWidth="1"/>
    <col min="70" max="70" width="10" style="1" bestFit="1" customWidth="1"/>
    <col min="71" max="71" width="32.109375" style="1" bestFit="1" customWidth="1"/>
    <col min="72" max="72" width="12" style="1" bestFit="1" customWidth="1"/>
    <col min="73" max="73" width="10.88671875" style="1" bestFit="1" customWidth="1"/>
    <col min="74" max="74" width="9.33203125" style="1" bestFit="1" customWidth="1"/>
    <col min="75" max="75" width="5.88671875" style="1" bestFit="1" customWidth="1"/>
    <col min="76" max="76" width="11.109375" style="1" bestFit="1" customWidth="1"/>
    <col min="77" max="77" width="10.88671875" style="1" bestFit="1" customWidth="1"/>
    <col min="78" max="78" width="14.21875" style="1" bestFit="1" customWidth="1"/>
    <col min="79" max="79" width="18.21875" style="1" bestFit="1" customWidth="1"/>
    <col min="80" max="82" width="9.21875" style="1" bestFit="1" customWidth="1"/>
    <col min="83" max="83" width="5.88671875" style="1" bestFit="1" customWidth="1"/>
    <col min="84" max="84" width="7.5546875" style="1" bestFit="1" customWidth="1"/>
    <col min="85" max="85" width="9.21875" style="1" bestFit="1" customWidth="1"/>
    <col min="86" max="86" width="6" style="1" bestFit="1" customWidth="1"/>
    <col min="87" max="87" width="9.21875" style="1" bestFit="1" customWidth="1"/>
    <col min="88" max="88" width="7.21875" style="1" bestFit="1" customWidth="1"/>
    <col min="89" max="91" width="7" style="1" bestFit="1" customWidth="1"/>
    <col min="92" max="92" width="7.5546875" style="1" bestFit="1" customWidth="1"/>
    <col min="93" max="93" width="7" style="1" bestFit="1" customWidth="1"/>
    <col min="94" max="94" width="7.5546875" style="1" bestFit="1" customWidth="1"/>
    <col min="95" max="95" width="6.5546875" style="1" bestFit="1" customWidth="1"/>
    <col min="96" max="97" width="10.88671875" style="1" bestFit="1" customWidth="1"/>
    <col min="98" max="99" width="9.21875" style="1" bestFit="1" customWidth="1"/>
    <col min="100" max="101" width="5.6640625" style="1" bestFit="1" customWidth="1"/>
    <col min="102" max="103" width="12.33203125" style="1" bestFit="1" customWidth="1"/>
    <col min="104" max="104" width="5.88671875" style="1" bestFit="1" customWidth="1"/>
    <col min="105" max="106" width="9.21875" style="1" bestFit="1" customWidth="1"/>
    <col min="107" max="107" width="5.6640625" style="1" bestFit="1" customWidth="1"/>
    <col min="108" max="108" width="20.33203125" style="1" bestFit="1" customWidth="1"/>
    <col min="109" max="109" width="11.109375" style="1" bestFit="1" customWidth="1"/>
    <col min="110" max="110" width="14.44140625" style="1" bestFit="1" customWidth="1"/>
    <col min="111" max="111" width="10" style="1" bestFit="1" customWidth="1"/>
    <col min="112" max="112" width="10.33203125" style="1" bestFit="1" customWidth="1"/>
    <col min="113" max="113" width="9.44140625" style="1" bestFit="1" customWidth="1"/>
    <col min="114" max="114" width="12.6640625" style="1" bestFit="1" customWidth="1"/>
    <col min="115" max="115" width="15.5546875" style="1" bestFit="1" customWidth="1"/>
    <col min="116" max="116" width="9.44140625" style="1" bestFit="1" customWidth="1"/>
    <col min="117" max="117" width="7.6640625" style="1" bestFit="1" customWidth="1"/>
    <col min="118" max="118" width="6.88671875" style="1" bestFit="1" customWidth="1"/>
    <col min="119" max="119" width="5.88671875" style="1" bestFit="1" customWidth="1"/>
    <col min="120" max="122" width="6.109375" style="1" bestFit="1" customWidth="1"/>
    <col min="123" max="124" width="9.44140625" style="1" bestFit="1" customWidth="1"/>
    <col min="125" max="125" width="5.88671875" style="1" bestFit="1" customWidth="1"/>
    <col min="126" max="127" width="17.44140625" style="1" bestFit="1" customWidth="1"/>
    <col min="128" max="128" width="17.44140625" style="1" customWidth="1"/>
    <col min="129" max="129" width="17.44140625" style="1" bestFit="1" customWidth="1"/>
    <col min="130" max="16384" width="8.88671875" style="1"/>
  </cols>
  <sheetData>
    <row r="1" spans="1:108" ht="46.5" x14ac:dyDescent="0.25">
      <c r="A1" s="46" t="s">
        <v>492</v>
      </c>
    </row>
    <row r="6" spans="1:108" x14ac:dyDescent="0.25">
      <c r="A6" t="s">
        <v>85</v>
      </c>
      <c r="B6" t="s">
        <v>174</v>
      </c>
      <c r="C6" t="s">
        <v>93</v>
      </c>
      <c r="D6" t="s">
        <v>43</v>
      </c>
      <c r="E6" t="s">
        <v>48</v>
      </c>
      <c r="F6" t="s">
        <v>49</v>
      </c>
      <c r="G6" t="s">
        <v>64</v>
      </c>
      <c r="H6" t="s">
        <v>490</v>
      </c>
      <c r="I6" t="s">
        <v>205</v>
      </c>
      <c r="J6" t="s">
        <v>206</v>
      </c>
      <c r="K6" t="s">
        <v>65</v>
      </c>
      <c r="L6" t="s">
        <v>74</v>
      </c>
      <c r="M6" t="s">
        <v>236</v>
      </c>
      <c r="N6" t="s">
        <v>323</v>
      </c>
      <c r="O6" t="s">
        <v>80</v>
      </c>
      <c r="P6" t="s">
        <v>81</v>
      </c>
      <c r="Q6" t="s">
        <v>104</v>
      </c>
      <c r="R6" t="s">
        <v>79</v>
      </c>
      <c r="S6" t="s">
        <v>78</v>
      </c>
      <c r="T6" t="s">
        <v>77</v>
      </c>
      <c r="U6" t="s">
        <v>76</v>
      </c>
      <c r="V6" t="s">
        <v>75</v>
      </c>
      <c r="W6" t="s">
        <v>225</v>
      </c>
      <c r="X6" t="s">
        <v>103</v>
      </c>
      <c r="Y6" t="s">
        <v>73</v>
      </c>
      <c r="Z6" t="s">
        <v>226</v>
      </c>
      <c r="AA6" t="s">
        <v>72</v>
      </c>
      <c r="AB6" t="s">
        <v>71</v>
      </c>
      <c r="AC6" t="s">
        <v>70</v>
      </c>
      <c r="AD6" t="s">
        <v>69</v>
      </c>
      <c r="AE6" t="s">
        <v>68</v>
      </c>
      <c r="AF6" t="s">
        <v>102</v>
      </c>
      <c r="AG6" t="s">
        <v>67</v>
      </c>
      <c r="AH6" t="s">
        <v>66</v>
      </c>
      <c r="AI6" t="s">
        <v>101</v>
      </c>
      <c r="AJ6" t="s">
        <v>100</v>
      </c>
      <c r="AK6" t="s">
        <v>696</v>
      </c>
      <c r="AL6" t="s">
        <v>224</v>
      </c>
      <c r="AM6" t="s">
        <v>223</v>
      </c>
      <c r="AN6" t="s">
        <v>222</v>
      </c>
      <c r="AO6" t="s">
        <v>221</v>
      </c>
      <c r="AP6" t="s">
        <v>96</v>
      </c>
      <c r="AQ6" t="s">
        <v>42</v>
      </c>
      <c r="AR6" t="s">
        <v>220</v>
      </c>
      <c r="AS6" t="s">
        <v>51</v>
      </c>
      <c r="AT6" t="s">
        <v>175</v>
      </c>
      <c r="AU6" t="s">
        <v>44</v>
      </c>
      <c r="AV6" t="s">
        <v>198</v>
      </c>
      <c r="AW6" t="s">
        <v>63</v>
      </c>
      <c r="AX6" t="s">
        <v>62</v>
      </c>
      <c r="AY6" t="s">
        <v>61</v>
      </c>
      <c r="AZ6" t="s">
        <v>131</v>
      </c>
      <c r="BA6" t="s">
        <v>46</v>
      </c>
      <c r="BB6" t="s">
        <v>45</v>
      </c>
      <c r="BC6" t="s">
        <v>94</v>
      </c>
      <c r="BD6" t="s">
        <v>60</v>
      </c>
      <c r="BE6" t="s">
        <v>59</v>
      </c>
      <c r="BF6" t="s">
        <v>56</v>
      </c>
      <c r="BG6" t="s">
        <v>55</v>
      </c>
      <c r="BH6" t="s">
        <v>237</v>
      </c>
      <c r="BI6" t="s">
        <v>322</v>
      </c>
      <c r="BJ6" t="s">
        <v>54</v>
      </c>
      <c r="BK6" t="s">
        <v>99</v>
      </c>
      <c r="BL6" t="s">
        <v>52</v>
      </c>
      <c r="BM6" t="s">
        <v>403</v>
      </c>
      <c r="BN6" t="s">
        <v>58</v>
      </c>
      <c r="BO6" t="s">
        <v>57</v>
      </c>
      <c r="BP6" t="s">
        <v>50</v>
      </c>
      <c r="BQ6" t="s">
        <v>98</v>
      </c>
      <c r="BR6" t="s">
        <v>97</v>
      </c>
      <c r="BS6" t="s">
        <v>47</v>
      </c>
      <c r="BT6" t="s">
        <v>412</v>
      </c>
      <c r="BU6" t="s">
        <v>229</v>
      </c>
      <c r="BV6" t="s">
        <v>465</v>
      </c>
      <c r="BW6" t="s">
        <v>88</v>
      </c>
      <c r="BX6" t="s">
        <v>146</v>
      </c>
      <c r="BY6" t="s">
        <v>231</v>
      </c>
      <c r="BZ6" t="s">
        <v>259</v>
      </c>
      <c r="CA6" t="s">
        <v>144</v>
      </c>
      <c r="CB6" t="s">
        <v>118</v>
      </c>
      <c r="CC6" t="s">
        <v>134</v>
      </c>
      <c r="CD6" t="s">
        <v>176</v>
      </c>
      <c r="CE6" t="s">
        <v>89</v>
      </c>
      <c r="CF6" t="s">
        <v>41</v>
      </c>
      <c r="CG6" t="s">
        <v>140</v>
      </c>
      <c r="CH6" t="s">
        <v>90</v>
      </c>
      <c r="CI6" t="s">
        <v>207</v>
      </c>
      <c r="CJ6" t="s">
        <v>816</v>
      </c>
      <c r="CK6" t="s">
        <v>84</v>
      </c>
      <c r="CL6" t="s">
        <v>105</v>
      </c>
      <c r="CM6" t="s">
        <v>108</v>
      </c>
      <c r="CN6" t="s">
        <v>172</v>
      </c>
      <c r="CO6" t="s">
        <v>173</v>
      </c>
      <c r="CP6" t="s">
        <v>210</v>
      </c>
      <c r="CQ6" t="s">
        <v>301</v>
      </c>
      <c r="CR6" t="s">
        <v>186</v>
      </c>
      <c r="CS6" t="s">
        <v>185</v>
      </c>
      <c r="CT6" t="s">
        <v>167</v>
      </c>
      <c r="CU6" t="s">
        <v>165</v>
      </c>
      <c r="CV6" t="s">
        <v>87</v>
      </c>
      <c r="CW6" t="s">
        <v>53</v>
      </c>
      <c r="CX6" t="s">
        <v>151</v>
      </c>
      <c r="CY6" t="s">
        <v>119</v>
      </c>
      <c r="CZ6" t="s">
        <v>86</v>
      </c>
      <c r="DA6" t="s">
        <v>209</v>
      </c>
      <c r="DB6" t="s">
        <v>505</v>
      </c>
      <c r="DC6" t="s">
        <v>138</v>
      </c>
      <c r="DD6" t="s">
        <v>139</v>
      </c>
    </row>
    <row r="7" spans="1:108" x14ac:dyDescent="0.25">
      <c r="A7" s="154">
        <v>16</v>
      </c>
      <c r="B7" s="154" t="s">
        <v>677</v>
      </c>
      <c r="C7" s="155" t="s">
        <v>531</v>
      </c>
      <c r="D7" s="155" t="s">
        <v>83</v>
      </c>
      <c r="E7" s="155" t="s">
        <v>994</v>
      </c>
      <c r="F7" s="153">
        <v>45226</v>
      </c>
      <c r="G7" s="155" t="s">
        <v>84</v>
      </c>
      <c r="H7" s="155" t="s">
        <v>710</v>
      </c>
      <c r="I7" s="155" t="s">
        <v>91</v>
      </c>
      <c r="J7" s="155" t="s">
        <v>91</v>
      </c>
      <c r="K7" s="155" t="s">
        <v>91</v>
      </c>
      <c r="L7" s="155" t="s">
        <v>91</v>
      </c>
      <c r="M7" s="155" t="s">
        <v>1039</v>
      </c>
      <c r="N7" s="155" t="s">
        <v>91</v>
      </c>
      <c r="O7" s="155" t="s">
        <v>734</v>
      </c>
      <c r="P7" s="155" t="s">
        <v>91</v>
      </c>
      <c r="Q7" s="155" t="s">
        <v>91</v>
      </c>
      <c r="R7" s="155" t="s">
        <v>466</v>
      </c>
      <c r="S7" s="155" t="s">
        <v>467</v>
      </c>
      <c r="T7" s="155" t="s">
        <v>733</v>
      </c>
      <c r="U7" s="155" t="s">
        <v>469</v>
      </c>
      <c r="V7" s="155" t="s">
        <v>469</v>
      </c>
      <c r="W7" s="155" t="s">
        <v>91</v>
      </c>
      <c r="X7" s="155" t="s">
        <v>91</v>
      </c>
      <c r="Y7" s="153">
        <v>45243</v>
      </c>
      <c r="Z7" s="155" t="s">
        <v>91</v>
      </c>
      <c r="AA7" s="153">
        <v>45243</v>
      </c>
      <c r="AB7" s="155" t="s">
        <v>91</v>
      </c>
      <c r="AC7" s="155" t="s">
        <v>531</v>
      </c>
      <c r="AD7" s="153">
        <v>45330</v>
      </c>
      <c r="AE7" s="155" t="s">
        <v>1031</v>
      </c>
      <c r="AF7" s="154">
        <v>6.1234000000000002</v>
      </c>
      <c r="AG7" s="153"/>
      <c r="AH7" s="153">
        <v>45243</v>
      </c>
      <c r="AI7" s="154">
        <v>2.6</v>
      </c>
      <c r="AJ7" s="154">
        <v>1000</v>
      </c>
      <c r="AK7" s="155" t="s">
        <v>1032</v>
      </c>
      <c r="AL7" s="155" t="s">
        <v>91</v>
      </c>
      <c r="AM7" s="155" t="s">
        <v>91</v>
      </c>
      <c r="AN7" s="155" t="s">
        <v>91</v>
      </c>
      <c r="AO7" s="154"/>
      <c r="AP7" s="155" t="s">
        <v>479</v>
      </c>
      <c r="AQ7" s="155" t="s">
        <v>1033</v>
      </c>
      <c r="AR7" s="154" t="s">
        <v>1034</v>
      </c>
      <c r="AS7" s="155" t="s">
        <v>91</v>
      </c>
      <c r="AT7" s="155" t="s">
        <v>472</v>
      </c>
      <c r="AU7" s="155" t="s">
        <v>508</v>
      </c>
      <c r="AV7" s="155" t="s">
        <v>325</v>
      </c>
      <c r="AW7" s="154"/>
      <c r="AX7" s="154"/>
      <c r="AY7" s="154"/>
      <c r="AZ7" s="154"/>
      <c r="BA7" s="155" t="s">
        <v>91</v>
      </c>
      <c r="BB7" s="155" t="s">
        <v>1035</v>
      </c>
      <c r="BC7" s="155" t="s">
        <v>1036</v>
      </c>
      <c r="BD7" s="154"/>
      <c r="BE7" s="154"/>
      <c r="BF7" s="155" t="s">
        <v>474</v>
      </c>
      <c r="BG7" s="155" t="s">
        <v>91</v>
      </c>
      <c r="BH7" s="155" t="s">
        <v>475</v>
      </c>
      <c r="BI7" s="155" t="s">
        <v>91</v>
      </c>
      <c r="BJ7" s="154"/>
      <c r="BK7" s="155" t="s">
        <v>109</v>
      </c>
      <c r="BL7" s="153">
        <v>45604</v>
      </c>
      <c r="BM7" s="154">
        <v>6.1234000000000002</v>
      </c>
      <c r="BN7" s="155" t="s">
        <v>1037</v>
      </c>
      <c r="BO7" s="155">
        <v>2.6</v>
      </c>
      <c r="BP7" s="155" t="s">
        <v>472</v>
      </c>
      <c r="BQ7" s="155" t="s">
        <v>487</v>
      </c>
      <c r="BR7" s="155" t="s">
        <v>488</v>
      </c>
      <c r="BS7" s="155" t="s">
        <v>1040</v>
      </c>
      <c r="BT7" s="155" t="s">
        <v>240</v>
      </c>
      <c r="BU7" s="153"/>
      <c r="BV7" s="154" t="s">
        <v>7</v>
      </c>
      <c r="BW7" s="155" t="s">
        <v>143</v>
      </c>
      <c r="BX7" s="155" t="s">
        <v>7</v>
      </c>
      <c r="BY7" s="155" t="s">
        <v>463</v>
      </c>
      <c r="BZ7" s="155" t="s">
        <v>91</v>
      </c>
      <c r="CA7" s="153"/>
      <c r="CB7" s="154">
        <v>78</v>
      </c>
      <c r="CC7" s="155" t="s">
        <v>82</v>
      </c>
      <c r="CD7" s="155" t="s">
        <v>441</v>
      </c>
      <c r="CE7" s="155" t="s">
        <v>37</v>
      </c>
      <c r="CF7" s="155" t="s">
        <v>91</v>
      </c>
      <c r="CG7" s="155" t="s">
        <v>91</v>
      </c>
      <c r="CH7" s="155" t="s">
        <v>109</v>
      </c>
      <c r="CI7" s="155" t="s">
        <v>91</v>
      </c>
      <c r="CJ7" s="156" t="s">
        <v>817</v>
      </c>
      <c r="CK7">
        <v>1</v>
      </c>
      <c r="CL7">
        <v>7.2927999999999997</v>
      </c>
      <c r="CM7">
        <v>7.8305999999999996</v>
      </c>
      <c r="CN7" s="155">
        <v>2.6</v>
      </c>
      <c r="CO7" s="155">
        <v>18.960999999999999</v>
      </c>
      <c r="CP7" s="155">
        <v>20.36</v>
      </c>
      <c r="CQ7" s="155" t="s">
        <v>91</v>
      </c>
      <c r="CR7" s="155" t="s">
        <v>7</v>
      </c>
      <c r="CS7" s="155" t="s">
        <v>7</v>
      </c>
      <c r="CT7" s="154" t="s">
        <v>980</v>
      </c>
      <c r="CU7" s="154"/>
      <c r="CV7" s="154" t="s">
        <v>91</v>
      </c>
      <c r="CW7" s="154" t="s">
        <v>91</v>
      </c>
      <c r="CX7" s="154" t="s">
        <v>1063</v>
      </c>
      <c r="CY7" s="154" t="s">
        <v>1063</v>
      </c>
      <c r="CZ7" s="154" t="s">
        <v>1064</v>
      </c>
      <c r="DA7" s="154" t="s">
        <v>1065</v>
      </c>
      <c r="DB7" t="s">
        <v>753</v>
      </c>
      <c r="DC7" t="s">
        <v>91</v>
      </c>
      <c r="DD7" s="155" t="s">
        <v>996</v>
      </c>
    </row>
    <row r="8" spans="1:108" x14ac:dyDescent="0.25">
      <c r="A8" s="154">
        <v>15</v>
      </c>
      <c r="B8" s="154" t="s">
        <v>677</v>
      </c>
      <c r="C8" s="155" t="s">
        <v>531</v>
      </c>
      <c r="D8" s="155" t="s">
        <v>83</v>
      </c>
      <c r="E8" s="155" t="s">
        <v>988</v>
      </c>
      <c r="F8" s="153">
        <v>45226</v>
      </c>
      <c r="G8" s="155" t="s">
        <v>84</v>
      </c>
      <c r="H8" s="155" t="s">
        <v>710</v>
      </c>
      <c r="I8" s="155" t="s">
        <v>91</v>
      </c>
      <c r="J8" s="155" t="s">
        <v>91</v>
      </c>
      <c r="K8" s="155" t="s">
        <v>91</v>
      </c>
      <c r="L8" s="155" t="s">
        <v>91</v>
      </c>
      <c r="M8" s="155" t="s">
        <v>1030</v>
      </c>
      <c r="N8" s="155" t="s">
        <v>91</v>
      </c>
      <c r="O8" s="155" t="s">
        <v>734</v>
      </c>
      <c r="P8" s="155" t="s">
        <v>91</v>
      </c>
      <c r="Q8" s="155" t="s">
        <v>91</v>
      </c>
      <c r="R8" s="155" t="s">
        <v>466</v>
      </c>
      <c r="S8" s="155" t="s">
        <v>467</v>
      </c>
      <c r="T8" s="155" t="s">
        <v>733</v>
      </c>
      <c r="U8" s="155" t="s">
        <v>469</v>
      </c>
      <c r="V8" s="155" t="s">
        <v>469</v>
      </c>
      <c r="W8" s="155" t="s">
        <v>91</v>
      </c>
      <c r="X8" s="155" t="s">
        <v>91</v>
      </c>
      <c r="Y8" s="153">
        <v>45243</v>
      </c>
      <c r="Z8" s="155" t="s">
        <v>91</v>
      </c>
      <c r="AA8" s="153">
        <v>45243</v>
      </c>
      <c r="AB8" s="155" t="s">
        <v>91</v>
      </c>
      <c r="AC8" s="155" t="s">
        <v>531</v>
      </c>
      <c r="AD8" s="153">
        <v>45330</v>
      </c>
      <c r="AE8" s="155" t="s">
        <v>1031</v>
      </c>
      <c r="AF8" s="154">
        <v>6.1234000000000002</v>
      </c>
      <c r="AG8" s="153"/>
      <c r="AH8" s="153">
        <v>45243</v>
      </c>
      <c r="AI8" s="154">
        <v>1.3</v>
      </c>
      <c r="AJ8" s="154">
        <v>1000</v>
      </c>
      <c r="AK8" s="155" t="s">
        <v>1032</v>
      </c>
      <c r="AL8" s="155" t="s">
        <v>91</v>
      </c>
      <c r="AM8" s="155" t="s">
        <v>91</v>
      </c>
      <c r="AN8" s="155" t="s">
        <v>91</v>
      </c>
      <c r="AO8" s="154"/>
      <c r="AP8" s="155" t="s">
        <v>479</v>
      </c>
      <c r="AQ8" s="155" t="s">
        <v>1033</v>
      </c>
      <c r="AR8" s="154" t="s">
        <v>1034</v>
      </c>
      <c r="AS8" s="155" t="s">
        <v>91</v>
      </c>
      <c r="AT8" s="155" t="s">
        <v>472</v>
      </c>
      <c r="AU8" s="155" t="s">
        <v>508</v>
      </c>
      <c r="AV8" s="155" t="s">
        <v>325</v>
      </c>
      <c r="AW8" s="154"/>
      <c r="AX8" s="154"/>
      <c r="AY8" s="154"/>
      <c r="AZ8" s="154"/>
      <c r="BA8" s="155" t="s">
        <v>91</v>
      </c>
      <c r="BB8" s="155" t="s">
        <v>1035</v>
      </c>
      <c r="BC8" s="155" t="s">
        <v>1036</v>
      </c>
      <c r="BD8" s="154"/>
      <c r="BE8" s="154"/>
      <c r="BF8" s="155" t="s">
        <v>474</v>
      </c>
      <c r="BG8" s="155" t="s">
        <v>91</v>
      </c>
      <c r="BH8" s="155" t="s">
        <v>475</v>
      </c>
      <c r="BI8" s="155" t="s">
        <v>91</v>
      </c>
      <c r="BJ8" s="154"/>
      <c r="BK8" s="155" t="s">
        <v>109</v>
      </c>
      <c r="BL8" s="153">
        <v>45604</v>
      </c>
      <c r="BM8" s="154">
        <v>6.1234000000000002</v>
      </c>
      <c r="BN8" s="155" t="s">
        <v>1037</v>
      </c>
      <c r="BO8" s="155">
        <v>1.3</v>
      </c>
      <c r="BP8" s="155" t="s">
        <v>472</v>
      </c>
      <c r="BQ8" s="155" t="s">
        <v>487</v>
      </c>
      <c r="BR8" s="155" t="s">
        <v>488</v>
      </c>
      <c r="BS8" s="155" t="s">
        <v>1038</v>
      </c>
      <c r="BT8" s="155" t="s">
        <v>240</v>
      </c>
      <c r="BU8" s="153"/>
      <c r="BV8" s="154" t="s">
        <v>7</v>
      </c>
      <c r="BW8" s="155" t="s">
        <v>143</v>
      </c>
      <c r="BX8" s="155" t="s">
        <v>7</v>
      </c>
      <c r="BY8" s="155" t="s">
        <v>463</v>
      </c>
      <c r="BZ8" s="155" t="s">
        <v>91</v>
      </c>
      <c r="CA8" s="153"/>
      <c r="CB8" s="154">
        <v>78</v>
      </c>
      <c r="CC8" s="155" t="s">
        <v>82</v>
      </c>
      <c r="CD8" s="155" t="s">
        <v>441</v>
      </c>
      <c r="CE8" s="155" t="s">
        <v>37</v>
      </c>
      <c r="CF8" s="155" t="s">
        <v>91</v>
      </c>
      <c r="CG8" s="155" t="s">
        <v>91</v>
      </c>
      <c r="CH8" s="155" t="s">
        <v>109</v>
      </c>
      <c r="CI8" s="155" t="s">
        <v>91</v>
      </c>
      <c r="CJ8" s="156" t="s">
        <v>817</v>
      </c>
      <c r="CK8">
        <v>1</v>
      </c>
      <c r="CL8">
        <v>7.2927999999999997</v>
      </c>
      <c r="CM8">
        <v>7.8305999999999996</v>
      </c>
      <c r="CN8" s="155">
        <v>1.3</v>
      </c>
      <c r="CO8" s="155">
        <v>9.4809999999999999</v>
      </c>
      <c r="CP8" s="155">
        <v>10.18</v>
      </c>
      <c r="CQ8" s="155" t="s">
        <v>91</v>
      </c>
      <c r="CR8" s="155" t="s">
        <v>7</v>
      </c>
      <c r="CS8" s="155" t="s">
        <v>7</v>
      </c>
      <c r="CT8" s="154" t="s">
        <v>980</v>
      </c>
      <c r="CU8" s="154"/>
      <c r="CV8" s="154" t="s">
        <v>91</v>
      </c>
      <c r="CW8" s="154" t="s">
        <v>91</v>
      </c>
      <c r="CX8" s="154" t="s">
        <v>1063</v>
      </c>
      <c r="CY8" s="154" t="s">
        <v>1063</v>
      </c>
      <c r="CZ8" s="154" t="s">
        <v>1064</v>
      </c>
      <c r="DA8" s="154" t="s">
        <v>1065</v>
      </c>
      <c r="DB8" t="s">
        <v>753</v>
      </c>
      <c r="DC8" t="s">
        <v>91</v>
      </c>
      <c r="DD8" s="155" t="s">
        <v>993</v>
      </c>
    </row>
    <row r="9" spans="1:108" x14ac:dyDescent="0.25">
      <c r="A9" s="154">
        <v>14</v>
      </c>
      <c r="B9" s="154" t="s">
        <v>697</v>
      </c>
      <c r="C9" s="155" t="s">
        <v>1014</v>
      </c>
      <c r="D9" s="155" t="s">
        <v>1</v>
      </c>
      <c r="E9" s="155" t="s">
        <v>1013</v>
      </c>
      <c r="F9" s="153">
        <v>45225</v>
      </c>
      <c r="G9" s="155" t="s">
        <v>84</v>
      </c>
      <c r="H9" s="155" t="s">
        <v>710</v>
      </c>
      <c r="I9" s="155" t="s">
        <v>91</v>
      </c>
      <c r="J9" s="155" t="s">
        <v>91</v>
      </c>
      <c r="K9" s="155" t="s">
        <v>91</v>
      </c>
      <c r="L9" s="155" t="s">
        <v>91</v>
      </c>
      <c r="M9" s="155" t="s">
        <v>1041</v>
      </c>
      <c r="N9" s="155" t="s">
        <v>91</v>
      </c>
      <c r="O9" s="155" t="s">
        <v>130</v>
      </c>
      <c r="P9" s="155" t="s">
        <v>91</v>
      </c>
      <c r="Q9" s="155" t="s">
        <v>91</v>
      </c>
      <c r="R9" s="155" t="s">
        <v>466</v>
      </c>
      <c r="S9" s="155" t="s">
        <v>467</v>
      </c>
      <c r="T9" s="155" t="s">
        <v>468</v>
      </c>
      <c r="U9" s="155" t="s">
        <v>469</v>
      </c>
      <c r="V9" s="155" t="s">
        <v>469</v>
      </c>
      <c r="W9" s="155" t="s">
        <v>91</v>
      </c>
      <c r="X9" s="155" t="s">
        <v>91</v>
      </c>
      <c r="Y9" s="153">
        <v>45229</v>
      </c>
      <c r="Z9" s="155" t="s">
        <v>91</v>
      </c>
      <c r="AA9" s="153">
        <v>45229</v>
      </c>
      <c r="AB9" s="155" t="s">
        <v>91</v>
      </c>
      <c r="AC9" s="155" t="s">
        <v>1014</v>
      </c>
      <c r="AD9" s="153">
        <v>45412</v>
      </c>
      <c r="AE9" s="155" t="s">
        <v>91</v>
      </c>
      <c r="AF9" s="154">
        <v>6.8</v>
      </c>
      <c r="AG9" s="153"/>
      <c r="AH9" s="153">
        <v>45229</v>
      </c>
      <c r="AI9" s="154">
        <v>1.07</v>
      </c>
      <c r="AJ9" s="154">
        <v>1000</v>
      </c>
      <c r="AK9" s="155" t="s">
        <v>1042</v>
      </c>
      <c r="AL9" s="155" t="s">
        <v>91</v>
      </c>
      <c r="AM9" s="155" t="s">
        <v>91</v>
      </c>
      <c r="AN9" s="155" t="s">
        <v>91</v>
      </c>
      <c r="AO9" s="154"/>
      <c r="AP9" s="155" t="s">
        <v>480</v>
      </c>
      <c r="AQ9" s="155" t="s">
        <v>471</v>
      </c>
      <c r="AR9" s="154" t="s">
        <v>738</v>
      </c>
      <c r="AS9" s="155" t="s">
        <v>482</v>
      </c>
      <c r="AT9" s="155" t="s">
        <v>472</v>
      </c>
      <c r="AU9" s="155" t="s">
        <v>1043</v>
      </c>
      <c r="AV9" s="155" t="s">
        <v>325</v>
      </c>
      <c r="AW9" s="154"/>
      <c r="AX9" s="154"/>
      <c r="AY9" s="154"/>
      <c r="AZ9" s="154"/>
      <c r="BA9" s="155" t="s">
        <v>91</v>
      </c>
      <c r="BB9" s="155" t="s">
        <v>1044</v>
      </c>
      <c r="BC9" s="155" t="s">
        <v>1045</v>
      </c>
      <c r="BD9" s="154"/>
      <c r="BE9" s="154">
        <v>100</v>
      </c>
      <c r="BF9" s="155" t="s">
        <v>474</v>
      </c>
      <c r="BG9" s="155" t="s">
        <v>91</v>
      </c>
      <c r="BH9" s="155" t="s">
        <v>475</v>
      </c>
      <c r="BI9" s="155" t="s">
        <v>476</v>
      </c>
      <c r="BJ9" s="154"/>
      <c r="BK9" s="155" t="s">
        <v>477</v>
      </c>
      <c r="BL9" s="153">
        <v>46325</v>
      </c>
      <c r="BM9" s="154">
        <v>6.8</v>
      </c>
      <c r="BN9" s="155" t="s">
        <v>478</v>
      </c>
      <c r="BO9" s="155">
        <v>1.07</v>
      </c>
      <c r="BP9" s="155" t="s">
        <v>472</v>
      </c>
      <c r="BQ9" s="155" t="s">
        <v>472</v>
      </c>
      <c r="BR9" s="155" t="s">
        <v>472</v>
      </c>
      <c r="BS9" s="155" t="s">
        <v>1046</v>
      </c>
      <c r="BT9" s="155" t="s">
        <v>240</v>
      </c>
      <c r="BU9" s="153"/>
      <c r="BV9" s="154" t="s">
        <v>7</v>
      </c>
      <c r="BW9" s="155" t="s">
        <v>25</v>
      </c>
      <c r="BX9" s="155" t="s">
        <v>7</v>
      </c>
      <c r="BY9" s="155" t="s">
        <v>248</v>
      </c>
      <c r="BZ9" s="155" t="s">
        <v>91</v>
      </c>
      <c r="CA9" s="153"/>
      <c r="CB9" s="154"/>
      <c r="CC9" s="155" t="s">
        <v>82</v>
      </c>
      <c r="CD9" s="155" t="s">
        <v>82</v>
      </c>
      <c r="CE9" s="155" t="s">
        <v>37</v>
      </c>
      <c r="CF9" s="155" t="s">
        <v>91</v>
      </c>
      <c r="CG9" s="155" t="s">
        <v>91</v>
      </c>
      <c r="CH9" s="155" t="s">
        <v>261</v>
      </c>
      <c r="CI9" s="155" t="s">
        <v>91</v>
      </c>
      <c r="CJ9" s="156" t="s">
        <v>817</v>
      </c>
      <c r="CK9">
        <v>1</v>
      </c>
      <c r="CL9">
        <v>7.2927999999999997</v>
      </c>
      <c r="CM9">
        <v>7.8305999999999996</v>
      </c>
      <c r="CN9" s="155">
        <v>1.07</v>
      </c>
      <c r="CO9" s="155">
        <v>7.8029999999999999</v>
      </c>
      <c r="CP9" s="155">
        <v>8.3789999999999996</v>
      </c>
      <c r="CQ9" s="155" t="s">
        <v>91</v>
      </c>
      <c r="CR9" s="155" t="s">
        <v>7</v>
      </c>
      <c r="CS9" s="155" t="s">
        <v>7</v>
      </c>
      <c r="CT9" s="154" t="s">
        <v>114</v>
      </c>
      <c r="CU9" s="154"/>
      <c r="CV9" s="154" t="s">
        <v>91</v>
      </c>
      <c r="CW9" s="154" t="s">
        <v>91</v>
      </c>
      <c r="CX9" s="154" t="s">
        <v>91</v>
      </c>
      <c r="CY9" s="154" t="s">
        <v>1066</v>
      </c>
      <c r="CZ9" s="154" t="s">
        <v>150</v>
      </c>
      <c r="DA9" s="154" t="s">
        <v>91</v>
      </c>
      <c r="DB9" t="s">
        <v>7</v>
      </c>
      <c r="DC9" t="s">
        <v>91</v>
      </c>
      <c r="DD9" s="155" t="s">
        <v>1017</v>
      </c>
    </row>
    <row r="10" spans="1:108" x14ac:dyDescent="0.25">
      <c r="A10" s="154">
        <v>13</v>
      </c>
      <c r="B10" s="154" t="s">
        <v>310</v>
      </c>
      <c r="C10" s="155" t="s">
        <v>819</v>
      </c>
      <c r="D10" s="155" t="s">
        <v>1</v>
      </c>
      <c r="E10" s="155" t="s">
        <v>818</v>
      </c>
      <c r="F10" s="153">
        <v>45225</v>
      </c>
      <c r="G10" s="155" t="s">
        <v>84</v>
      </c>
      <c r="H10" s="155" t="s">
        <v>751</v>
      </c>
      <c r="I10" s="155" t="s">
        <v>909</v>
      </c>
      <c r="J10" s="155" t="s">
        <v>908</v>
      </c>
      <c r="K10" s="155" t="s">
        <v>905</v>
      </c>
      <c r="L10" s="155" t="s">
        <v>900</v>
      </c>
      <c r="M10" s="155" t="s">
        <v>898</v>
      </c>
      <c r="N10" s="155" t="s">
        <v>91</v>
      </c>
      <c r="O10" s="155" t="s">
        <v>130</v>
      </c>
      <c r="P10" s="155" t="s">
        <v>91</v>
      </c>
      <c r="Q10" s="155" t="s">
        <v>91</v>
      </c>
      <c r="R10" s="155" t="s">
        <v>466</v>
      </c>
      <c r="S10" s="155" t="s">
        <v>467</v>
      </c>
      <c r="T10" s="155" t="s">
        <v>468</v>
      </c>
      <c r="U10" s="155" t="s">
        <v>469</v>
      </c>
      <c r="V10" s="155" t="s">
        <v>469</v>
      </c>
      <c r="W10" s="155" t="s">
        <v>899</v>
      </c>
      <c r="X10" s="155" t="s">
        <v>91</v>
      </c>
      <c r="Y10" s="153">
        <v>45232</v>
      </c>
      <c r="Z10" s="155" t="s">
        <v>901</v>
      </c>
      <c r="AA10" s="153">
        <v>45232</v>
      </c>
      <c r="AB10" s="155" t="s">
        <v>91</v>
      </c>
      <c r="AC10" s="155" t="s">
        <v>819</v>
      </c>
      <c r="AD10" s="153">
        <v>45414</v>
      </c>
      <c r="AE10" s="155" t="s">
        <v>91</v>
      </c>
      <c r="AF10" s="154">
        <v>6.7</v>
      </c>
      <c r="AG10" s="153"/>
      <c r="AH10" s="153">
        <v>45232</v>
      </c>
      <c r="AI10" s="154">
        <v>5</v>
      </c>
      <c r="AJ10" s="154">
        <v>1000</v>
      </c>
      <c r="AK10" s="155" t="s">
        <v>902</v>
      </c>
      <c r="AL10" s="155" t="s">
        <v>903</v>
      </c>
      <c r="AM10" s="155" t="s">
        <v>91</v>
      </c>
      <c r="AN10" s="155" t="s">
        <v>91</v>
      </c>
      <c r="AO10" s="154"/>
      <c r="AP10" s="155" t="s">
        <v>479</v>
      </c>
      <c r="AQ10" s="155" t="s">
        <v>471</v>
      </c>
      <c r="AR10" s="154" t="s">
        <v>1047</v>
      </c>
      <c r="AS10" s="155" t="s">
        <v>485</v>
      </c>
      <c r="AT10" s="155" t="s">
        <v>472</v>
      </c>
      <c r="AU10" s="155" t="s">
        <v>904</v>
      </c>
      <c r="AV10" s="155" t="s">
        <v>325</v>
      </c>
      <c r="AW10" s="154"/>
      <c r="AX10" s="154"/>
      <c r="AY10" s="154"/>
      <c r="AZ10" s="154"/>
      <c r="BA10" s="155" t="s">
        <v>91</v>
      </c>
      <c r="BB10" s="155" t="s">
        <v>906</v>
      </c>
      <c r="BC10" s="155" t="s">
        <v>907</v>
      </c>
      <c r="BD10" s="154"/>
      <c r="BE10" s="154">
        <v>99.941000000000003</v>
      </c>
      <c r="BF10" s="155" t="s">
        <v>474</v>
      </c>
      <c r="BG10" s="155" t="s">
        <v>91</v>
      </c>
      <c r="BH10" s="155" t="s">
        <v>475</v>
      </c>
      <c r="BI10" s="155" t="s">
        <v>476</v>
      </c>
      <c r="BJ10" s="154">
        <v>20</v>
      </c>
      <c r="BK10" s="155" t="s">
        <v>477</v>
      </c>
      <c r="BL10" s="153">
        <v>46267</v>
      </c>
      <c r="BM10" s="154">
        <v>6.7</v>
      </c>
      <c r="BN10" s="155" t="s">
        <v>910</v>
      </c>
      <c r="BO10" s="155">
        <v>5</v>
      </c>
      <c r="BP10" s="155" t="s">
        <v>472</v>
      </c>
      <c r="BQ10" s="155" t="s">
        <v>472</v>
      </c>
      <c r="BR10" s="155" t="s">
        <v>472</v>
      </c>
      <c r="BS10" s="155" t="s">
        <v>911</v>
      </c>
      <c r="BT10" s="155" t="s">
        <v>240</v>
      </c>
      <c r="BU10" s="153"/>
      <c r="BV10" s="154" t="s">
        <v>7</v>
      </c>
      <c r="BW10" s="155" t="s">
        <v>16</v>
      </c>
      <c r="BX10" s="155" t="s">
        <v>148</v>
      </c>
      <c r="BY10" s="155" t="s">
        <v>248</v>
      </c>
      <c r="BZ10" s="155" t="s">
        <v>91</v>
      </c>
      <c r="CA10" s="153"/>
      <c r="CB10" s="154"/>
      <c r="CC10" s="155" t="s">
        <v>820</v>
      </c>
      <c r="CD10" s="155" t="s">
        <v>820</v>
      </c>
      <c r="CE10" s="155" t="s">
        <v>37</v>
      </c>
      <c r="CF10" s="155" t="s">
        <v>91</v>
      </c>
      <c r="CG10" s="155" t="s">
        <v>91</v>
      </c>
      <c r="CH10" s="155" t="s">
        <v>261</v>
      </c>
      <c r="CI10" s="155" t="s">
        <v>91</v>
      </c>
      <c r="CJ10" s="156" t="s">
        <v>817</v>
      </c>
      <c r="CK10">
        <v>1</v>
      </c>
      <c r="CL10">
        <v>7.2927999999999997</v>
      </c>
      <c r="CM10">
        <v>7.8305999999999996</v>
      </c>
      <c r="CN10" s="155">
        <v>5</v>
      </c>
      <c r="CO10" s="155">
        <v>36.463999999999999</v>
      </c>
      <c r="CP10" s="155">
        <v>39.152999999999999</v>
      </c>
      <c r="CQ10" s="155" t="s">
        <v>91</v>
      </c>
      <c r="CR10" s="155" t="s">
        <v>7</v>
      </c>
      <c r="CS10" s="155" t="s">
        <v>148</v>
      </c>
      <c r="CT10" s="154" t="s">
        <v>114</v>
      </c>
      <c r="CU10" s="154">
        <v>20</v>
      </c>
      <c r="CV10" s="154" t="s">
        <v>955</v>
      </c>
      <c r="CW10" s="154" t="s">
        <v>757</v>
      </c>
      <c r="CX10" s="154" t="s">
        <v>91</v>
      </c>
      <c r="CY10" s="154" t="s">
        <v>757</v>
      </c>
      <c r="CZ10" s="154" t="s">
        <v>956</v>
      </c>
      <c r="DA10" s="154" t="s">
        <v>91</v>
      </c>
      <c r="DB10" t="s">
        <v>7</v>
      </c>
      <c r="DC10" t="s">
        <v>679</v>
      </c>
      <c r="DD10" s="155" t="s">
        <v>823</v>
      </c>
    </row>
    <row r="11" spans="1:108" x14ac:dyDescent="0.25">
      <c r="A11" s="154">
        <v>12</v>
      </c>
      <c r="B11" s="154" t="s">
        <v>677</v>
      </c>
      <c r="C11" s="155" t="s">
        <v>680</v>
      </c>
      <c r="D11" s="155" t="s">
        <v>83</v>
      </c>
      <c r="E11" s="155" t="s">
        <v>1003</v>
      </c>
      <c r="F11" s="153">
        <v>45225</v>
      </c>
      <c r="G11" s="155" t="s">
        <v>105</v>
      </c>
      <c r="H11" s="155" t="s">
        <v>710</v>
      </c>
      <c r="I11" s="155" t="s">
        <v>91</v>
      </c>
      <c r="J11" s="155" t="s">
        <v>91</v>
      </c>
      <c r="K11" s="155" t="s">
        <v>91</v>
      </c>
      <c r="L11" s="155" t="s">
        <v>91</v>
      </c>
      <c r="M11" s="155" t="s">
        <v>1048</v>
      </c>
      <c r="N11" s="155" t="s">
        <v>91</v>
      </c>
      <c r="O11" s="155" t="s">
        <v>130</v>
      </c>
      <c r="P11" s="155" t="s">
        <v>91</v>
      </c>
      <c r="Q11" s="155" t="s">
        <v>91</v>
      </c>
      <c r="R11" s="155" t="s">
        <v>1049</v>
      </c>
      <c r="S11" s="155" t="s">
        <v>467</v>
      </c>
      <c r="T11" s="155" t="s">
        <v>1050</v>
      </c>
      <c r="U11" s="155" t="s">
        <v>469</v>
      </c>
      <c r="V11" s="155" t="s">
        <v>469</v>
      </c>
      <c r="W11" s="155" t="s">
        <v>91</v>
      </c>
      <c r="X11" s="155" t="s">
        <v>91</v>
      </c>
      <c r="Y11" s="153">
        <v>45232</v>
      </c>
      <c r="Z11" s="155" t="s">
        <v>91</v>
      </c>
      <c r="AA11" s="153">
        <v>45232</v>
      </c>
      <c r="AB11" s="155" t="s">
        <v>680</v>
      </c>
      <c r="AC11" s="155" t="s">
        <v>687</v>
      </c>
      <c r="AD11" s="153">
        <v>45544</v>
      </c>
      <c r="AE11" s="155" t="s">
        <v>91</v>
      </c>
      <c r="AF11" s="154"/>
      <c r="AG11" s="153"/>
      <c r="AH11" s="153">
        <v>45232</v>
      </c>
      <c r="AI11" s="154">
        <v>0.22</v>
      </c>
      <c r="AJ11" s="154">
        <v>1000</v>
      </c>
      <c r="AK11" s="155" t="s">
        <v>686</v>
      </c>
      <c r="AL11" s="155" t="s">
        <v>91</v>
      </c>
      <c r="AM11" s="155" t="s">
        <v>91</v>
      </c>
      <c r="AN11" s="155" t="s">
        <v>91</v>
      </c>
      <c r="AO11" s="154"/>
      <c r="AP11" s="155" t="s">
        <v>480</v>
      </c>
      <c r="AQ11" s="155" t="s">
        <v>471</v>
      </c>
      <c r="AR11" s="154" t="s">
        <v>1051</v>
      </c>
      <c r="AS11" s="155" t="s">
        <v>91</v>
      </c>
      <c r="AT11" s="155" t="s">
        <v>472</v>
      </c>
      <c r="AU11" s="155" t="s">
        <v>508</v>
      </c>
      <c r="AV11" s="155" t="s">
        <v>325</v>
      </c>
      <c r="AW11" s="154"/>
      <c r="AX11" s="154"/>
      <c r="AY11" s="154"/>
      <c r="AZ11" s="154"/>
      <c r="BA11" s="155" t="s">
        <v>91</v>
      </c>
      <c r="BB11" s="155" t="s">
        <v>91</v>
      </c>
      <c r="BC11" s="155" t="s">
        <v>483</v>
      </c>
      <c r="BD11" s="154"/>
      <c r="BE11" s="154">
        <v>100</v>
      </c>
      <c r="BF11" s="155" t="s">
        <v>474</v>
      </c>
      <c r="BG11" s="155" t="s">
        <v>91</v>
      </c>
      <c r="BH11" s="155" t="s">
        <v>507</v>
      </c>
      <c r="BI11" s="155" t="s">
        <v>91</v>
      </c>
      <c r="BJ11" s="154"/>
      <c r="BK11" s="155" t="s">
        <v>109</v>
      </c>
      <c r="BL11" s="153">
        <v>46274</v>
      </c>
      <c r="BM11" s="154"/>
      <c r="BN11" s="155" t="s">
        <v>1052</v>
      </c>
      <c r="BO11" s="155">
        <v>0.22</v>
      </c>
      <c r="BP11" s="155" t="s">
        <v>472</v>
      </c>
      <c r="BQ11" s="155" t="s">
        <v>472</v>
      </c>
      <c r="BR11" s="155" t="s">
        <v>472</v>
      </c>
      <c r="BS11" s="155" t="s">
        <v>1053</v>
      </c>
      <c r="BT11" s="155" t="s">
        <v>240</v>
      </c>
      <c r="BU11" s="153"/>
      <c r="BV11" s="154" t="s">
        <v>7</v>
      </c>
      <c r="BW11" s="155" t="s">
        <v>12</v>
      </c>
      <c r="BX11" s="155" t="s">
        <v>7</v>
      </c>
      <c r="BY11" s="155" t="s">
        <v>463</v>
      </c>
      <c r="BZ11" s="155" t="s">
        <v>91</v>
      </c>
      <c r="CA11" s="153"/>
      <c r="CB11" s="154"/>
      <c r="CC11" s="155" t="s">
        <v>82</v>
      </c>
      <c r="CD11" s="155" t="s">
        <v>82</v>
      </c>
      <c r="CE11" s="155" t="s">
        <v>39</v>
      </c>
      <c r="CF11" s="155" t="s">
        <v>91</v>
      </c>
      <c r="CG11" s="155" t="s">
        <v>91</v>
      </c>
      <c r="CH11" s="155" t="s">
        <v>109</v>
      </c>
      <c r="CI11" s="155" t="s">
        <v>91</v>
      </c>
      <c r="CJ11" s="156" t="s">
        <v>817</v>
      </c>
      <c r="CK11">
        <v>0.1371</v>
      </c>
      <c r="CL11">
        <v>1</v>
      </c>
      <c r="CM11">
        <v>1.0732999999999999</v>
      </c>
      <c r="CN11" s="155">
        <v>0.03</v>
      </c>
      <c r="CO11" s="155">
        <v>0.22</v>
      </c>
      <c r="CP11" s="155">
        <v>0.23599999999999999</v>
      </c>
      <c r="CQ11" s="155" t="s">
        <v>91</v>
      </c>
      <c r="CR11" s="155" t="s">
        <v>7</v>
      </c>
      <c r="CS11" s="155" t="s">
        <v>7</v>
      </c>
      <c r="CT11" s="154" t="s">
        <v>114</v>
      </c>
      <c r="CU11" s="154"/>
      <c r="CV11" s="154" t="s">
        <v>91</v>
      </c>
      <c r="CW11" s="154" t="s">
        <v>91</v>
      </c>
      <c r="CX11" s="154" t="s">
        <v>91</v>
      </c>
      <c r="CY11" s="154" t="s">
        <v>91</v>
      </c>
      <c r="CZ11" s="154" t="s">
        <v>1067</v>
      </c>
      <c r="DA11" s="154" t="s">
        <v>91</v>
      </c>
      <c r="DB11" t="s">
        <v>7</v>
      </c>
      <c r="DC11" t="s">
        <v>91</v>
      </c>
      <c r="DD11" s="155" t="s">
        <v>1004</v>
      </c>
    </row>
    <row r="12" spans="1:108" x14ac:dyDescent="0.25">
      <c r="A12" s="154">
        <v>11</v>
      </c>
      <c r="B12" s="154" t="s">
        <v>677</v>
      </c>
      <c r="C12" s="155" t="s">
        <v>680</v>
      </c>
      <c r="D12" s="155" t="s">
        <v>83</v>
      </c>
      <c r="E12" s="155" t="s">
        <v>997</v>
      </c>
      <c r="F12" s="153">
        <v>45225</v>
      </c>
      <c r="G12" s="155" t="s">
        <v>105</v>
      </c>
      <c r="H12" s="155" t="s">
        <v>710</v>
      </c>
      <c r="I12" s="155" t="s">
        <v>91</v>
      </c>
      <c r="J12" s="155" t="s">
        <v>91</v>
      </c>
      <c r="K12" s="155" t="s">
        <v>91</v>
      </c>
      <c r="L12" s="155" t="s">
        <v>91</v>
      </c>
      <c r="M12" s="155" t="s">
        <v>1048</v>
      </c>
      <c r="N12" s="155" t="s">
        <v>91</v>
      </c>
      <c r="O12" s="155" t="s">
        <v>130</v>
      </c>
      <c r="P12" s="155" t="s">
        <v>91</v>
      </c>
      <c r="Q12" s="155" t="s">
        <v>91</v>
      </c>
      <c r="R12" s="155" t="s">
        <v>1049</v>
      </c>
      <c r="S12" s="155" t="s">
        <v>467</v>
      </c>
      <c r="T12" s="155" t="s">
        <v>1050</v>
      </c>
      <c r="U12" s="155" t="s">
        <v>469</v>
      </c>
      <c r="V12" s="155" t="s">
        <v>469</v>
      </c>
      <c r="W12" s="155" t="s">
        <v>91</v>
      </c>
      <c r="X12" s="155" t="s">
        <v>91</v>
      </c>
      <c r="Y12" s="153">
        <v>45232</v>
      </c>
      <c r="Z12" s="155" t="s">
        <v>91</v>
      </c>
      <c r="AA12" s="153">
        <v>45232</v>
      </c>
      <c r="AB12" s="155" t="s">
        <v>680</v>
      </c>
      <c r="AC12" s="155" t="s">
        <v>687</v>
      </c>
      <c r="AD12" s="153">
        <v>45544</v>
      </c>
      <c r="AE12" s="155" t="s">
        <v>91</v>
      </c>
      <c r="AF12" s="154"/>
      <c r="AG12" s="153"/>
      <c r="AH12" s="153">
        <v>45232</v>
      </c>
      <c r="AI12" s="154">
        <v>0.25700000000000001</v>
      </c>
      <c r="AJ12" s="154">
        <v>1000</v>
      </c>
      <c r="AK12" s="155" t="s">
        <v>686</v>
      </c>
      <c r="AL12" s="155" t="s">
        <v>91</v>
      </c>
      <c r="AM12" s="155" t="s">
        <v>91</v>
      </c>
      <c r="AN12" s="155" t="s">
        <v>91</v>
      </c>
      <c r="AO12" s="154"/>
      <c r="AP12" s="155" t="s">
        <v>480</v>
      </c>
      <c r="AQ12" s="155" t="s">
        <v>471</v>
      </c>
      <c r="AR12" s="154" t="s">
        <v>1051</v>
      </c>
      <c r="AS12" s="155" t="s">
        <v>91</v>
      </c>
      <c r="AT12" s="155" t="s">
        <v>472</v>
      </c>
      <c r="AU12" s="155" t="s">
        <v>508</v>
      </c>
      <c r="AV12" s="155" t="s">
        <v>325</v>
      </c>
      <c r="AW12" s="154"/>
      <c r="AX12" s="154"/>
      <c r="AY12" s="154"/>
      <c r="AZ12" s="154"/>
      <c r="BA12" s="155" t="s">
        <v>91</v>
      </c>
      <c r="BB12" s="155" t="s">
        <v>91</v>
      </c>
      <c r="BC12" s="155" t="s">
        <v>483</v>
      </c>
      <c r="BD12" s="154"/>
      <c r="BE12" s="154">
        <v>100</v>
      </c>
      <c r="BF12" s="155" t="s">
        <v>474</v>
      </c>
      <c r="BG12" s="155" t="s">
        <v>91</v>
      </c>
      <c r="BH12" s="155" t="s">
        <v>507</v>
      </c>
      <c r="BI12" s="155" t="s">
        <v>91</v>
      </c>
      <c r="BJ12" s="154"/>
      <c r="BK12" s="155" t="s">
        <v>109</v>
      </c>
      <c r="BL12" s="153">
        <v>46274</v>
      </c>
      <c r="BM12" s="154"/>
      <c r="BN12" s="155" t="s">
        <v>1052</v>
      </c>
      <c r="BO12" s="155">
        <v>0.25700000000000001</v>
      </c>
      <c r="BP12" s="155" t="s">
        <v>472</v>
      </c>
      <c r="BQ12" s="155" t="s">
        <v>472</v>
      </c>
      <c r="BR12" s="155" t="s">
        <v>472</v>
      </c>
      <c r="BS12" s="155" t="s">
        <v>1053</v>
      </c>
      <c r="BT12" s="155" t="s">
        <v>240</v>
      </c>
      <c r="BU12" s="153"/>
      <c r="BV12" s="154" t="s">
        <v>7</v>
      </c>
      <c r="BW12" s="155" t="s">
        <v>12</v>
      </c>
      <c r="BX12" s="155" t="s">
        <v>7</v>
      </c>
      <c r="BY12" s="155" t="s">
        <v>463</v>
      </c>
      <c r="BZ12" s="155" t="s">
        <v>91</v>
      </c>
      <c r="CA12" s="153"/>
      <c r="CB12" s="154"/>
      <c r="CC12" s="155" t="s">
        <v>82</v>
      </c>
      <c r="CD12" s="155" t="s">
        <v>82</v>
      </c>
      <c r="CE12" s="155" t="s">
        <v>39</v>
      </c>
      <c r="CF12" s="155" t="s">
        <v>91</v>
      </c>
      <c r="CG12" s="155" t="s">
        <v>91</v>
      </c>
      <c r="CH12" s="155" t="s">
        <v>109</v>
      </c>
      <c r="CI12" s="155" t="s">
        <v>91</v>
      </c>
      <c r="CJ12" s="156" t="s">
        <v>817</v>
      </c>
      <c r="CK12">
        <v>0.1371</v>
      </c>
      <c r="CL12">
        <v>1</v>
      </c>
      <c r="CM12">
        <v>1.0732999999999999</v>
      </c>
      <c r="CN12" s="155">
        <v>3.5000000000000003E-2</v>
      </c>
      <c r="CO12" s="155">
        <v>0.25700000000000001</v>
      </c>
      <c r="CP12" s="155">
        <v>0.27600000000000002</v>
      </c>
      <c r="CQ12" s="155" t="s">
        <v>91</v>
      </c>
      <c r="CR12" s="155" t="s">
        <v>7</v>
      </c>
      <c r="CS12" s="155" t="s">
        <v>7</v>
      </c>
      <c r="CT12" s="154" t="s">
        <v>114</v>
      </c>
      <c r="CU12" s="154"/>
      <c r="CV12" s="154" t="s">
        <v>91</v>
      </c>
      <c r="CW12" s="154" t="s">
        <v>91</v>
      </c>
      <c r="CX12" s="154" t="s">
        <v>91</v>
      </c>
      <c r="CY12" s="154" t="s">
        <v>91</v>
      </c>
      <c r="CZ12" s="154" t="s">
        <v>1067</v>
      </c>
      <c r="DA12" s="154" t="s">
        <v>91</v>
      </c>
      <c r="DB12" t="s">
        <v>7</v>
      </c>
      <c r="DC12" t="s">
        <v>91</v>
      </c>
      <c r="DD12" s="155" t="s">
        <v>998</v>
      </c>
    </row>
    <row r="13" spans="1:108" x14ac:dyDescent="0.25">
      <c r="A13" s="154">
        <v>10</v>
      </c>
      <c r="B13" s="154" t="s">
        <v>677</v>
      </c>
      <c r="C13" s="155" t="s">
        <v>680</v>
      </c>
      <c r="D13" s="155" t="s">
        <v>83</v>
      </c>
      <c r="E13" s="155" t="s">
        <v>1011</v>
      </c>
      <c r="F13" s="153">
        <v>45225</v>
      </c>
      <c r="G13" s="155" t="s">
        <v>105</v>
      </c>
      <c r="H13" s="155" t="s">
        <v>710</v>
      </c>
      <c r="I13" s="155" t="s">
        <v>91</v>
      </c>
      <c r="J13" s="155" t="s">
        <v>91</v>
      </c>
      <c r="K13" s="155" t="s">
        <v>91</v>
      </c>
      <c r="L13" s="155" t="s">
        <v>91</v>
      </c>
      <c r="M13" s="155" t="s">
        <v>1054</v>
      </c>
      <c r="N13" s="155" t="s">
        <v>91</v>
      </c>
      <c r="O13" s="155" t="s">
        <v>91</v>
      </c>
      <c r="P13" s="155" t="s">
        <v>91</v>
      </c>
      <c r="Q13" s="155" t="s">
        <v>91</v>
      </c>
      <c r="R13" s="155" t="s">
        <v>1055</v>
      </c>
      <c r="S13" s="155" t="s">
        <v>467</v>
      </c>
      <c r="T13" s="155" t="s">
        <v>468</v>
      </c>
      <c r="U13" s="155" t="s">
        <v>469</v>
      </c>
      <c r="V13" s="155" t="s">
        <v>469</v>
      </c>
      <c r="W13" s="155" t="s">
        <v>91</v>
      </c>
      <c r="X13" s="155" t="s">
        <v>91</v>
      </c>
      <c r="Y13" s="153">
        <v>45230</v>
      </c>
      <c r="Z13" s="155" t="s">
        <v>91</v>
      </c>
      <c r="AA13" s="153">
        <v>45230</v>
      </c>
      <c r="AB13" s="155" t="s">
        <v>680</v>
      </c>
      <c r="AC13" s="155" t="s">
        <v>687</v>
      </c>
      <c r="AD13" s="153">
        <v>45294</v>
      </c>
      <c r="AE13" s="155" t="s">
        <v>91</v>
      </c>
      <c r="AF13" s="154">
        <v>3</v>
      </c>
      <c r="AG13" s="153"/>
      <c r="AH13" s="153">
        <v>45230</v>
      </c>
      <c r="AI13" s="154">
        <v>0.12690000000000001</v>
      </c>
      <c r="AJ13" s="154">
        <v>10000</v>
      </c>
      <c r="AK13" s="155" t="s">
        <v>686</v>
      </c>
      <c r="AL13" s="155" t="s">
        <v>91</v>
      </c>
      <c r="AM13" s="155" t="s">
        <v>91</v>
      </c>
      <c r="AN13" s="155" t="s">
        <v>91</v>
      </c>
      <c r="AO13" s="154"/>
      <c r="AP13" s="155" t="s">
        <v>480</v>
      </c>
      <c r="AQ13" s="155" t="s">
        <v>471</v>
      </c>
      <c r="AR13" s="154" t="s">
        <v>1056</v>
      </c>
      <c r="AS13" s="155" t="s">
        <v>91</v>
      </c>
      <c r="AT13" s="155" t="s">
        <v>472</v>
      </c>
      <c r="AU13" s="155" t="s">
        <v>508</v>
      </c>
      <c r="AV13" s="155" t="s">
        <v>325</v>
      </c>
      <c r="AW13" s="154"/>
      <c r="AX13" s="154"/>
      <c r="AY13" s="154"/>
      <c r="AZ13" s="154"/>
      <c r="BA13" s="155" t="s">
        <v>91</v>
      </c>
      <c r="BB13" s="155" t="s">
        <v>91</v>
      </c>
      <c r="BC13" s="155" t="s">
        <v>483</v>
      </c>
      <c r="BD13" s="154"/>
      <c r="BE13" s="154">
        <v>100</v>
      </c>
      <c r="BF13" s="155" t="s">
        <v>474</v>
      </c>
      <c r="BG13" s="155" t="s">
        <v>91</v>
      </c>
      <c r="BH13" s="155" t="s">
        <v>507</v>
      </c>
      <c r="BI13" s="155" t="s">
        <v>476</v>
      </c>
      <c r="BJ13" s="154"/>
      <c r="BK13" s="155" t="s">
        <v>109</v>
      </c>
      <c r="BL13" s="153">
        <v>45294</v>
      </c>
      <c r="BM13" s="154">
        <v>3</v>
      </c>
      <c r="BN13" s="155" t="s">
        <v>1057</v>
      </c>
      <c r="BO13" s="155">
        <v>0.127</v>
      </c>
      <c r="BP13" s="155" t="s">
        <v>472</v>
      </c>
      <c r="BQ13" s="155" t="s">
        <v>472</v>
      </c>
      <c r="BR13" s="155" t="s">
        <v>472</v>
      </c>
      <c r="BS13" s="155" t="s">
        <v>1058</v>
      </c>
      <c r="BT13" s="155" t="s">
        <v>240</v>
      </c>
      <c r="BU13" s="153"/>
      <c r="BV13" s="154" t="s">
        <v>7</v>
      </c>
      <c r="BW13" s="155" t="s">
        <v>12</v>
      </c>
      <c r="BX13" s="155" t="s">
        <v>7</v>
      </c>
      <c r="BY13" s="155" t="s">
        <v>463</v>
      </c>
      <c r="BZ13" s="155" t="s">
        <v>91</v>
      </c>
      <c r="CA13" s="153"/>
      <c r="CB13" s="154"/>
      <c r="CC13" s="155" t="s">
        <v>82</v>
      </c>
      <c r="CD13" s="155" t="s">
        <v>82</v>
      </c>
      <c r="CE13" s="155" t="s">
        <v>39</v>
      </c>
      <c r="CF13" s="155" t="s">
        <v>91</v>
      </c>
      <c r="CG13" s="155" t="s">
        <v>91</v>
      </c>
      <c r="CH13" s="155" t="s">
        <v>109</v>
      </c>
      <c r="CI13" s="155" t="s">
        <v>91</v>
      </c>
      <c r="CJ13" s="156" t="s">
        <v>817</v>
      </c>
      <c r="CK13">
        <v>0.1371</v>
      </c>
      <c r="CL13">
        <v>1</v>
      </c>
      <c r="CM13">
        <v>1.0732999999999999</v>
      </c>
      <c r="CN13" s="155">
        <v>1.7000000000000001E-2</v>
      </c>
      <c r="CO13" s="155">
        <v>0.127</v>
      </c>
      <c r="CP13" s="155">
        <v>0.13600000000000001</v>
      </c>
      <c r="CQ13" s="155" t="s">
        <v>91</v>
      </c>
      <c r="CR13" s="155" t="s">
        <v>7</v>
      </c>
      <c r="CS13" s="155" t="s">
        <v>7</v>
      </c>
      <c r="CT13" s="154" t="s">
        <v>114</v>
      </c>
      <c r="CU13" s="154"/>
      <c r="CV13" s="154" t="s">
        <v>91</v>
      </c>
      <c r="CW13" s="154" t="s">
        <v>91</v>
      </c>
      <c r="CX13" s="154" t="s">
        <v>91</v>
      </c>
      <c r="CY13" s="154" t="s">
        <v>1068</v>
      </c>
      <c r="CZ13" s="154" t="s">
        <v>1069</v>
      </c>
      <c r="DA13" s="154" t="s">
        <v>1070</v>
      </c>
      <c r="DB13" t="s">
        <v>7</v>
      </c>
      <c r="DC13" t="s">
        <v>91</v>
      </c>
      <c r="DD13" s="155" t="s">
        <v>1012</v>
      </c>
    </row>
    <row r="14" spans="1:108" x14ac:dyDescent="0.25">
      <c r="A14" s="154">
        <v>9</v>
      </c>
      <c r="B14" s="154" t="s">
        <v>953</v>
      </c>
      <c r="C14" s="155" t="s">
        <v>844</v>
      </c>
      <c r="D14" s="155" t="s">
        <v>1</v>
      </c>
      <c r="E14" s="155" t="s">
        <v>843</v>
      </c>
      <c r="F14" s="153">
        <v>45224</v>
      </c>
      <c r="G14" s="155" t="s">
        <v>105</v>
      </c>
      <c r="H14" s="155" t="s">
        <v>710</v>
      </c>
      <c r="I14" s="155" t="s">
        <v>91</v>
      </c>
      <c r="J14" s="155" t="s">
        <v>91</v>
      </c>
      <c r="K14" s="155" t="s">
        <v>946</v>
      </c>
      <c r="L14" s="155" t="s">
        <v>91</v>
      </c>
      <c r="M14" s="155" t="s">
        <v>943</v>
      </c>
      <c r="N14" s="155" t="s">
        <v>91</v>
      </c>
      <c r="O14" s="155" t="s">
        <v>130</v>
      </c>
      <c r="P14" s="155" t="s">
        <v>91</v>
      </c>
      <c r="Q14" s="155" t="s">
        <v>91</v>
      </c>
      <c r="R14" s="155" t="s">
        <v>466</v>
      </c>
      <c r="S14" s="155" t="s">
        <v>467</v>
      </c>
      <c r="T14" s="155" t="s">
        <v>468</v>
      </c>
      <c r="U14" s="155" t="s">
        <v>469</v>
      </c>
      <c r="V14" s="155" t="s">
        <v>469</v>
      </c>
      <c r="W14" s="155" t="s">
        <v>944</v>
      </c>
      <c r="X14" s="155" t="s">
        <v>91</v>
      </c>
      <c r="Y14" s="153">
        <v>45226</v>
      </c>
      <c r="Z14" s="155" t="s">
        <v>91</v>
      </c>
      <c r="AA14" s="153">
        <v>45226</v>
      </c>
      <c r="AB14" s="155" t="s">
        <v>91</v>
      </c>
      <c r="AC14" s="155" t="s">
        <v>844</v>
      </c>
      <c r="AD14" s="153">
        <v>45409</v>
      </c>
      <c r="AE14" s="155" t="s">
        <v>91</v>
      </c>
      <c r="AF14" s="154">
        <v>7.9</v>
      </c>
      <c r="AG14" s="153"/>
      <c r="AH14" s="153">
        <v>45226</v>
      </c>
      <c r="AI14" s="154">
        <v>4.97</v>
      </c>
      <c r="AJ14" s="154">
        <v>10000</v>
      </c>
      <c r="AK14" s="155" t="s">
        <v>945</v>
      </c>
      <c r="AL14" s="155" t="s">
        <v>91</v>
      </c>
      <c r="AM14" s="155" t="s">
        <v>91</v>
      </c>
      <c r="AN14" s="155" t="s">
        <v>91</v>
      </c>
      <c r="AO14" s="154"/>
      <c r="AP14" s="155" t="s">
        <v>480</v>
      </c>
      <c r="AQ14" s="155" t="s">
        <v>471</v>
      </c>
      <c r="AR14" s="154" t="s">
        <v>737</v>
      </c>
      <c r="AS14" s="155" t="s">
        <v>482</v>
      </c>
      <c r="AT14" s="155" t="s">
        <v>472</v>
      </c>
      <c r="AU14" s="155" t="s">
        <v>473</v>
      </c>
      <c r="AV14" s="155" t="s">
        <v>325</v>
      </c>
      <c r="AW14" s="154"/>
      <c r="AX14" s="154"/>
      <c r="AY14" s="154"/>
      <c r="AZ14" s="154"/>
      <c r="BA14" s="155" t="s">
        <v>947</v>
      </c>
      <c r="BB14" s="155" t="s">
        <v>948</v>
      </c>
      <c r="BC14" s="155" t="s">
        <v>699</v>
      </c>
      <c r="BD14" s="154"/>
      <c r="BE14" s="154">
        <v>100</v>
      </c>
      <c r="BF14" s="155" t="s">
        <v>474</v>
      </c>
      <c r="BG14" s="155" t="s">
        <v>91</v>
      </c>
      <c r="BH14" s="155" t="s">
        <v>475</v>
      </c>
      <c r="BI14" s="155" t="s">
        <v>476</v>
      </c>
      <c r="BJ14" s="154"/>
      <c r="BK14" s="155" t="s">
        <v>109</v>
      </c>
      <c r="BL14" s="153">
        <v>46322</v>
      </c>
      <c r="BM14" s="154">
        <v>7.9</v>
      </c>
      <c r="BN14" s="155" t="s">
        <v>478</v>
      </c>
      <c r="BO14" s="155">
        <v>4.97</v>
      </c>
      <c r="BP14" s="155" t="s">
        <v>472</v>
      </c>
      <c r="BQ14" s="155" t="s">
        <v>472</v>
      </c>
      <c r="BR14" s="155" t="s">
        <v>472</v>
      </c>
      <c r="BS14" s="155" t="s">
        <v>949</v>
      </c>
      <c r="BT14" s="155" t="s">
        <v>240</v>
      </c>
      <c r="BU14" s="153"/>
      <c r="BV14" s="154" t="s">
        <v>7</v>
      </c>
      <c r="BW14" s="155" t="s">
        <v>19</v>
      </c>
      <c r="BX14" s="155" t="s">
        <v>7</v>
      </c>
      <c r="BY14" s="155" t="s">
        <v>248</v>
      </c>
      <c r="BZ14" s="155" t="s">
        <v>91</v>
      </c>
      <c r="CA14" s="153"/>
      <c r="CB14" s="154"/>
      <c r="CC14" s="155" t="s">
        <v>82</v>
      </c>
      <c r="CD14" s="155" t="s">
        <v>82</v>
      </c>
      <c r="CE14" s="155" t="s">
        <v>37</v>
      </c>
      <c r="CF14" s="155" t="s">
        <v>91</v>
      </c>
      <c r="CG14" s="155" t="s">
        <v>91</v>
      </c>
      <c r="CH14" s="155" t="s">
        <v>109</v>
      </c>
      <c r="CI14" s="155" t="s">
        <v>91</v>
      </c>
      <c r="CJ14" s="156" t="s">
        <v>817</v>
      </c>
      <c r="CK14">
        <v>0.1371</v>
      </c>
      <c r="CL14">
        <v>1</v>
      </c>
      <c r="CM14">
        <v>1.0732999999999999</v>
      </c>
      <c r="CN14" s="155">
        <v>0.68100000000000005</v>
      </c>
      <c r="CO14" s="155">
        <v>4.97</v>
      </c>
      <c r="CP14" s="155">
        <v>5.3339999999999996</v>
      </c>
      <c r="CQ14" s="155" t="s">
        <v>91</v>
      </c>
      <c r="CR14" s="155" t="s">
        <v>7</v>
      </c>
      <c r="CS14" s="155" t="s">
        <v>7</v>
      </c>
      <c r="CT14" s="154" t="s">
        <v>114</v>
      </c>
      <c r="CU14" s="154"/>
      <c r="CV14" s="154" t="s">
        <v>91</v>
      </c>
      <c r="CW14" s="154" t="s">
        <v>91</v>
      </c>
      <c r="CX14" s="154" t="s">
        <v>91</v>
      </c>
      <c r="CY14" s="154" t="s">
        <v>771</v>
      </c>
      <c r="CZ14" s="154" t="s">
        <v>150</v>
      </c>
      <c r="DA14" s="154" t="s">
        <v>91</v>
      </c>
      <c r="DB14" t="s">
        <v>7</v>
      </c>
      <c r="DC14" t="s">
        <v>91</v>
      </c>
      <c r="DD14" s="155" t="s">
        <v>846</v>
      </c>
    </row>
    <row r="15" spans="1:108" x14ac:dyDescent="0.25">
      <c r="A15" s="154">
        <v>8</v>
      </c>
      <c r="B15" s="154" t="s">
        <v>953</v>
      </c>
      <c r="C15" s="155" t="s">
        <v>802</v>
      </c>
      <c r="D15" s="155" t="s">
        <v>83</v>
      </c>
      <c r="E15" s="155" t="s">
        <v>847</v>
      </c>
      <c r="F15" s="153">
        <v>45224</v>
      </c>
      <c r="G15" s="155" t="s">
        <v>280</v>
      </c>
      <c r="H15" s="155" t="s">
        <v>710</v>
      </c>
      <c r="I15" s="155" t="s">
        <v>91</v>
      </c>
      <c r="J15" s="155" t="s">
        <v>91</v>
      </c>
      <c r="K15" s="155" t="s">
        <v>941</v>
      </c>
      <c r="L15" s="155" t="s">
        <v>91</v>
      </c>
      <c r="M15" s="155" t="s">
        <v>936</v>
      </c>
      <c r="N15" s="155" t="s">
        <v>91</v>
      </c>
      <c r="O15" s="155" t="s">
        <v>734</v>
      </c>
      <c r="P15" s="155" t="s">
        <v>91</v>
      </c>
      <c r="Q15" s="155" t="s">
        <v>91</v>
      </c>
      <c r="R15" s="155" t="s">
        <v>466</v>
      </c>
      <c r="S15" s="155" t="s">
        <v>467</v>
      </c>
      <c r="T15" s="155" t="s">
        <v>733</v>
      </c>
      <c r="U15" s="155" t="s">
        <v>469</v>
      </c>
      <c r="V15" s="155" t="s">
        <v>469</v>
      </c>
      <c r="W15" s="155" t="s">
        <v>937</v>
      </c>
      <c r="X15" s="155" t="s">
        <v>91</v>
      </c>
      <c r="Y15" s="153">
        <v>45232</v>
      </c>
      <c r="Z15" s="155" t="s">
        <v>91</v>
      </c>
      <c r="AA15" s="153">
        <v>45232</v>
      </c>
      <c r="AB15" s="155" t="s">
        <v>802</v>
      </c>
      <c r="AC15" s="155" t="s">
        <v>938</v>
      </c>
      <c r="AD15" s="153">
        <v>45324</v>
      </c>
      <c r="AE15" s="155" t="s">
        <v>939</v>
      </c>
      <c r="AF15" s="154">
        <v>6.8426999999999998</v>
      </c>
      <c r="AG15" s="153"/>
      <c r="AH15" s="153">
        <v>45232</v>
      </c>
      <c r="AI15" s="154">
        <v>1.5</v>
      </c>
      <c r="AJ15" s="154">
        <v>1000</v>
      </c>
      <c r="AK15" s="155" t="s">
        <v>940</v>
      </c>
      <c r="AL15" s="155" t="s">
        <v>91</v>
      </c>
      <c r="AM15" s="155" t="s">
        <v>91</v>
      </c>
      <c r="AN15" s="155" t="s">
        <v>91</v>
      </c>
      <c r="AO15" s="154"/>
      <c r="AP15" s="155" t="s">
        <v>479</v>
      </c>
      <c r="AQ15" s="155" t="s">
        <v>484</v>
      </c>
      <c r="AR15" s="154" t="s">
        <v>729</v>
      </c>
      <c r="AS15" s="155" t="s">
        <v>485</v>
      </c>
      <c r="AT15" s="155" t="s">
        <v>472</v>
      </c>
      <c r="AU15" s="155" t="s">
        <v>440</v>
      </c>
      <c r="AV15" s="155" t="s">
        <v>325</v>
      </c>
      <c r="AW15" s="154"/>
      <c r="AX15" s="154"/>
      <c r="AY15" s="154"/>
      <c r="AZ15" s="154"/>
      <c r="BA15" s="155" t="s">
        <v>91</v>
      </c>
      <c r="BB15" s="155" t="s">
        <v>486</v>
      </c>
      <c r="BC15" s="155" t="s">
        <v>483</v>
      </c>
      <c r="BD15" s="154"/>
      <c r="BE15" s="154">
        <v>100</v>
      </c>
      <c r="BF15" s="155" t="s">
        <v>474</v>
      </c>
      <c r="BG15" s="155" t="s">
        <v>91</v>
      </c>
      <c r="BH15" s="155" t="s">
        <v>507</v>
      </c>
      <c r="BI15" s="155" t="s">
        <v>476</v>
      </c>
      <c r="BJ15" s="154"/>
      <c r="BK15" s="155" t="s">
        <v>109</v>
      </c>
      <c r="BL15" s="153">
        <v>46328</v>
      </c>
      <c r="BM15" s="154">
        <v>6.8426999999999998</v>
      </c>
      <c r="BN15" s="155" t="s">
        <v>478</v>
      </c>
      <c r="BO15" s="155">
        <v>1.5</v>
      </c>
      <c r="BP15" s="155" t="s">
        <v>472</v>
      </c>
      <c r="BQ15" s="155" t="s">
        <v>487</v>
      </c>
      <c r="BR15" s="155" t="s">
        <v>488</v>
      </c>
      <c r="BS15" s="155" t="s">
        <v>942</v>
      </c>
      <c r="BT15" s="155" t="s">
        <v>240</v>
      </c>
      <c r="BU15" s="153"/>
      <c r="BV15" s="154" t="s">
        <v>7</v>
      </c>
      <c r="BW15" s="155" t="s">
        <v>12</v>
      </c>
      <c r="BX15" s="155" t="s">
        <v>7</v>
      </c>
      <c r="BY15" s="155" t="s">
        <v>849</v>
      </c>
      <c r="BZ15" s="155" t="s">
        <v>91</v>
      </c>
      <c r="CA15" s="153"/>
      <c r="CB15" s="154">
        <v>120</v>
      </c>
      <c r="CC15" s="155" t="s">
        <v>848</v>
      </c>
      <c r="CD15" s="155" t="s">
        <v>441</v>
      </c>
      <c r="CE15" s="155" t="s">
        <v>39</v>
      </c>
      <c r="CF15" s="155" t="s">
        <v>91</v>
      </c>
      <c r="CG15" s="155" t="s">
        <v>91</v>
      </c>
      <c r="CH15" s="155" t="s">
        <v>109</v>
      </c>
      <c r="CI15" s="155" t="s">
        <v>91</v>
      </c>
      <c r="CJ15" s="156" t="s">
        <v>817</v>
      </c>
      <c r="CK15">
        <v>0.5998</v>
      </c>
      <c r="CL15">
        <v>4.3754999999999997</v>
      </c>
      <c r="CM15">
        <v>4.6967999999999996</v>
      </c>
      <c r="CN15" s="155">
        <v>0.9</v>
      </c>
      <c r="CO15" s="155">
        <v>6.5629999999999997</v>
      </c>
      <c r="CP15" s="155">
        <v>7.0449999999999999</v>
      </c>
      <c r="CQ15" s="155" t="s">
        <v>91</v>
      </c>
      <c r="CR15" s="155" t="s">
        <v>7</v>
      </c>
      <c r="CS15" s="155" t="s">
        <v>7</v>
      </c>
      <c r="CT15" s="154" t="s">
        <v>984</v>
      </c>
      <c r="CU15" s="154"/>
      <c r="CV15" s="154" t="s">
        <v>91</v>
      </c>
      <c r="CW15" s="154" t="s">
        <v>91</v>
      </c>
      <c r="CX15" s="154" t="s">
        <v>986</v>
      </c>
      <c r="CY15" s="154" t="s">
        <v>986</v>
      </c>
      <c r="CZ15" s="154" t="s">
        <v>150</v>
      </c>
      <c r="DA15" s="154" t="s">
        <v>91</v>
      </c>
      <c r="DB15" t="s">
        <v>753</v>
      </c>
      <c r="DC15" t="s">
        <v>91</v>
      </c>
      <c r="DD15" s="155" t="s">
        <v>853</v>
      </c>
    </row>
    <row r="16" spans="1:108" x14ac:dyDescent="0.25">
      <c r="A16" s="154">
        <v>7</v>
      </c>
      <c r="B16" s="154" t="s">
        <v>954</v>
      </c>
      <c r="C16" s="155" t="s">
        <v>825</v>
      </c>
      <c r="D16" s="155" t="s">
        <v>2</v>
      </c>
      <c r="E16" s="155" t="s">
        <v>829</v>
      </c>
      <c r="F16" s="153">
        <v>45224</v>
      </c>
      <c r="G16" s="155" t="s">
        <v>105</v>
      </c>
      <c r="H16" s="155" t="s">
        <v>710</v>
      </c>
      <c r="I16" s="155" t="s">
        <v>91</v>
      </c>
      <c r="J16" s="155" t="s">
        <v>91</v>
      </c>
      <c r="K16" s="155" t="s">
        <v>920</v>
      </c>
      <c r="L16" s="155" t="s">
        <v>91</v>
      </c>
      <c r="M16" s="155" t="s">
        <v>914</v>
      </c>
      <c r="N16" s="155" t="s">
        <v>91</v>
      </c>
      <c r="O16" s="155" t="s">
        <v>130</v>
      </c>
      <c r="P16" s="155" t="s">
        <v>91</v>
      </c>
      <c r="Q16" s="155" t="s">
        <v>91</v>
      </c>
      <c r="R16" s="155" t="s">
        <v>915</v>
      </c>
      <c r="S16" s="155" t="s">
        <v>467</v>
      </c>
      <c r="T16" s="155" t="s">
        <v>468</v>
      </c>
      <c r="U16" s="155" t="s">
        <v>469</v>
      </c>
      <c r="V16" s="155" t="s">
        <v>469</v>
      </c>
      <c r="W16" s="155" t="s">
        <v>91</v>
      </c>
      <c r="X16" s="155" t="s">
        <v>91</v>
      </c>
      <c r="Y16" s="153">
        <v>45093</v>
      </c>
      <c r="Z16" s="155" t="s">
        <v>916</v>
      </c>
      <c r="AA16" s="153">
        <v>45093</v>
      </c>
      <c r="AB16" s="155" t="s">
        <v>91</v>
      </c>
      <c r="AC16" s="155" t="s">
        <v>917</v>
      </c>
      <c r="AD16" s="153">
        <v>45276</v>
      </c>
      <c r="AE16" s="155" t="s">
        <v>91</v>
      </c>
      <c r="AF16" s="154">
        <v>2.71</v>
      </c>
      <c r="AG16" s="153"/>
      <c r="AH16" s="153">
        <v>45226</v>
      </c>
      <c r="AI16" s="154">
        <v>50</v>
      </c>
      <c r="AJ16" s="154">
        <v>500000</v>
      </c>
      <c r="AK16" s="155" t="s">
        <v>918</v>
      </c>
      <c r="AL16" s="155" t="s">
        <v>91</v>
      </c>
      <c r="AM16" s="155" t="s">
        <v>91</v>
      </c>
      <c r="AN16" s="155" t="s">
        <v>91</v>
      </c>
      <c r="AO16" s="154"/>
      <c r="AP16" s="155" t="s">
        <v>479</v>
      </c>
      <c r="AQ16" s="155" t="s">
        <v>919</v>
      </c>
      <c r="AR16" s="154" t="s">
        <v>1059</v>
      </c>
      <c r="AS16" s="155" t="s">
        <v>91</v>
      </c>
      <c r="AT16" s="155" t="s">
        <v>472</v>
      </c>
      <c r="AU16" s="155" t="s">
        <v>698</v>
      </c>
      <c r="AV16" s="155" t="s">
        <v>250</v>
      </c>
      <c r="AW16" s="154"/>
      <c r="AX16" s="154"/>
      <c r="AY16" s="154"/>
      <c r="AZ16" s="154"/>
      <c r="BA16" s="155" t="s">
        <v>91</v>
      </c>
      <c r="BB16" s="155" t="s">
        <v>486</v>
      </c>
      <c r="BC16" s="155" t="s">
        <v>483</v>
      </c>
      <c r="BD16" s="154"/>
      <c r="BE16" s="154">
        <v>98</v>
      </c>
      <c r="BF16" s="155" t="s">
        <v>474</v>
      </c>
      <c r="BG16" s="155" t="s">
        <v>91</v>
      </c>
      <c r="BH16" s="155" t="s">
        <v>475</v>
      </c>
      <c r="BI16" s="155" t="s">
        <v>476</v>
      </c>
      <c r="BJ16" s="154"/>
      <c r="BK16" s="155" t="s">
        <v>477</v>
      </c>
      <c r="BL16" s="153">
        <v>48746</v>
      </c>
      <c r="BM16" s="154">
        <v>2.71</v>
      </c>
      <c r="BN16" s="155" t="s">
        <v>921</v>
      </c>
      <c r="BO16" s="155">
        <v>30</v>
      </c>
      <c r="BP16" s="155" t="s">
        <v>472</v>
      </c>
      <c r="BQ16" s="155" t="s">
        <v>487</v>
      </c>
      <c r="BR16" s="155" t="s">
        <v>922</v>
      </c>
      <c r="BS16" s="155" t="s">
        <v>923</v>
      </c>
      <c r="BT16" s="155" t="s">
        <v>240</v>
      </c>
      <c r="BU16" s="153"/>
      <c r="BV16" s="154" t="s">
        <v>7</v>
      </c>
      <c r="BW16" s="155" t="s">
        <v>12</v>
      </c>
      <c r="BX16" s="155" t="s">
        <v>7</v>
      </c>
      <c r="BY16" s="155" t="s">
        <v>248</v>
      </c>
      <c r="BZ16" s="155" t="s">
        <v>91</v>
      </c>
      <c r="CA16" s="153"/>
      <c r="CB16" s="154"/>
      <c r="CC16" s="155" t="s">
        <v>82</v>
      </c>
      <c r="CD16" s="155" t="s">
        <v>826</v>
      </c>
      <c r="CE16" s="155" t="s">
        <v>37</v>
      </c>
      <c r="CF16" s="155" t="s">
        <v>91</v>
      </c>
      <c r="CG16" s="155" t="s">
        <v>91</v>
      </c>
      <c r="CH16" s="155" t="s">
        <v>261</v>
      </c>
      <c r="CI16" s="155" t="s">
        <v>91</v>
      </c>
      <c r="CJ16" s="156" t="s">
        <v>817</v>
      </c>
      <c r="CK16">
        <v>0.1371</v>
      </c>
      <c r="CL16">
        <v>1</v>
      </c>
      <c r="CM16">
        <v>1.0732999999999999</v>
      </c>
      <c r="CN16" s="155">
        <v>4.1130000000000004</v>
      </c>
      <c r="CO16" s="155">
        <v>30</v>
      </c>
      <c r="CP16" s="155">
        <v>32.198999999999998</v>
      </c>
      <c r="CQ16" s="155" t="s">
        <v>91</v>
      </c>
      <c r="CR16" s="155" t="s">
        <v>7</v>
      </c>
      <c r="CS16" s="155" t="s">
        <v>149</v>
      </c>
      <c r="CT16" s="154" t="s">
        <v>114</v>
      </c>
      <c r="CU16" s="154"/>
      <c r="CV16" s="154" t="s">
        <v>91</v>
      </c>
      <c r="CW16" s="154" t="s">
        <v>91</v>
      </c>
      <c r="CX16" s="154" t="s">
        <v>91</v>
      </c>
      <c r="CY16" s="154" t="s">
        <v>916</v>
      </c>
      <c r="CZ16" s="154" t="s">
        <v>957</v>
      </c>
      <c r="DA16" s="154" t="s">
        <v>91</v>
      </c>
      <c r="DB16" t="s">
        <v>7</v>
      </c>
      <c r="DC16" t="s">
        <v>91</v>
      </c>
      <c r="DD16" s="155" t="s">
        <v>831</v>
      </c>
    </row>
    <row r="17" spans="1:108" x14ac:dyDescent="0.25">
      <c r="A17" s="154">
        <v>6</v>
      </c>
      <c r="B17" s="154" t="s">
        <v>954</v>
      </c>
      <c r="C17" s="155" t="s">
        <v>825</v>
      </c>
      <c r="D17" s="155" t="s">
        <v>2</v>
      </c>
      <c r="E17" s="155" t="s">
        <v>824</v>
      </c>
      <c r="F17" s="153">
        <v>45224</v>
      </c>
      <c r="G17" s="155" t="s">
        <v>105</v>
      </c>
      <c r="H17" s="155" t="s">
        <v>710</v>
      </c>
      <c r="I17" s="155" t="s">
        <v>91</v>
      </c>
      <c r="J17" s="155" t="s">
        <v>91</v>
      </c>
      <c r="K17" s="155" t="s">
        <v>920</v>
      </c>
      <c r="L17" s="155" t="s">
        <v>91</v>
      </c>
      <c r="M17" s="155" t="s">
        <v>932</v>
      </c>
      <c r="N17" s="155" t="s">
        <v>91</v>
      </c>
      <c r="O17" s="155" t="s">
        <v>130</v>
      </c>
      <c r="P17" s="155" t="s">
        <v>91</v>
      </c>
      <c r="Q17" s="155" t="s">
        <v>91</v>
      </c>
      <c r="R17" s="155" t="s">
        <v>466</v>
      </c>
      <c r="S17" s="155" t="s">
        <v>467</v>
      </c>
      <c r="T17" s="155" t="s">
        <v>468</v>
      </c>
      <c r="U17" s="155" t="s">
        <v>469</v>
      </c>
      <c r="V17" s="155" t="s">
        <v>469</v>
      </c>
      <c r="W17" s="155" t="s">
        <v>91</v>
      </c>
      <c r="X17" s="155" t="s">
        <v>91</v>
      </c>
      <c r="Y17" s="153">
        <v>45142</v>
      </c>
      <c r="Z17" s="155" t="s">
        <v>933</v>
      </c>
      <c r="AA17" s="153">
        <v>45142</v>
      </c>
      <c r="AB17" s="155" t="s">
        <v>91</v>
      </c>
      <c r="AC17" s="155" t="s">
        <v>917</v>
      </c>
      <c r="AD17" s="153">
        <v>45326</v>
      </c>
      <c r="AE17" s="155" t="s">
        <v>91</v>
      </c>
      <c r="AF17" s="154">
        <v>2.52</v>
      </c>
      <c r="AG17" s="153"/>
      <c r="AH17" s="153">
        <v>45226</v>
      </c>
      <c r="AI17" s="154">
        <v>70</v>
      </c>
      <c r="AJ17" s="154">
        <v>500000</v>
      </c>
      <c r="AK17" s="155" t="s">
        <v>918</v>
      </c>
      <c r="AL17" s="155" t="s">
        <v>91</v>
      </c>
      <c r="AM17" s="155" t="s">
        <v>91</v>
      </c>
      <c r="AN17" s="155" t="s">
        <v>91</v>
      </c>
      <c r="AO17" s="154"/>
      <c r="AP17" s="155" t="s">
        <v>479</v>
      </c>
      <c r="AQ17" s="155" t="s">
        <v>919</v>
      </c>
      <c r="AR17" s="154" t="s">
        <v>1060</v>
      </c>
      <c r="AS17" s="155" t="s">
        <v>91</v>
      </c>
      <c r="AT17" s="155" t="s">
        <v>472</v>
      </c>
      <c r="AU17" s="155" t="s">
        <v>698</v>
      </c>
      <c r="AV17" s="155" t="s">
        <v>250</v>
      </c>
      <c r="AW17" s="154"/>
      <c r="AX17" s="154"/>
      <c r="AY17" s="154"/>
      <c r="AZ17" s="154"/>
      <c r="BA17" s="155" t="s">
        <v>91</v>
      </c>
      <c r="BB17" s="155" t="s">
        <v>486</v>
      </c>
      <c r="BC17" s="155" t="s">
        <v>483</v>
      </c>
      <c r="BD17" s="154"/>
      <c r="BE17" s="154">
        <v>98.54</v>
      </c>
      <c r="BF17" s="155" t="s">
        <v>474</v>
      </c>
      <c r="BG17" s="155" t="s">
        <v>91</v>
      </c>
      <c r="BH17" s="155" t="s">
        <v>475</v>
      </c>
      <c r="BI17" s="155" t="s">
        <v>476</v>
      </c>
      <c r="BJ17" s="154"/>
      <c r="BK17" s="155" t="s">
        <v>109</v>
      </c>
      <c r="BL17" s="153">
        <v>46969</v>
      </c>
      <c r="BM17" s="154">
        <v>2.52</v>
      </c>
      <c r="BN17" s="155" t="s">
        <v>934</v>
      </c>
      <c r="BO17" s="155">
        <v>40</v>
      </c>
      <c r="BP17" s="155" t="s">
        <v>472</v>
      </c>
      <c r="BQ17" s="155" t="s">
        <v>487</v>
      </c>
      <c r="BR17" s="155" t="s">
        <v>922</v>
      </c>
      <c r="BS17" s="155" t="s">
        <v>935</v>
      </c>
      <c r="BT17" s="155" t="s">
        <v>240</v>
      </c>
      <c r="BU17" s="153"/>
      <c r="BV17" s="154" t="s">
        <v>7</v>
      </c>
      <c r="BW17" s="155" t="s">
        <v>12</v>
      </c>
      <c r="BX17" s="155" t="s">
        <v>7</v>
      </c>
      <c r="BY17" s="155" t="s">
        <v>248</v>
      </c>
      <c r="BZ17" s="155" t="s">
        <v>91</v>
      </c>
      <c r="CA17" s="153"/>
      <c r="CB17" s="154"/>
      <c r="CC17" s="155" t="s">
        <v>82</v>
      </c>
      <c r="CD17" s="155" t="s">
        <v>826</v>
      </c>
      <c r="CE17" s="155" t="s">
        <v>37</v>
      </c>
      <c r="CF17" s="155" t="s">
        <v>91</v>
      </c>
      <c r="CG17" s="155" t="s">
        <v>91</v>
      </c>
      <c r="CH17" s="155" t="s">
        <v>109</v>
      </c>
      <c r="CI17" s="155" t="s">
        <v>91</v>
      </c>
      <c r="CJ17" s="156" t="s">
        <v>817</v>
      </c>
      <c r="CK17">
        <v>0.1371</v>
      </c>
      <c r="CL17">
        <v>1</v>
      </c>
      <c r="CM17">
        <v>1.0732999999999999</v>
      </c>
      <c r="CN17" s="155">
        <v>5.484</v>
      </c>
      <c r="CO17" s="155">
        <v>40</v>
      </c>
      <c r="CP17" s="155">
        <v>42.932000000000002</v>
      </c>
      <c r="CQ17" s="155" t="s">
        <v>91</v>
      </c>
      <c r="CR17" s="155" t="s">
        <v>7</v>
      </c>
      <c r="CS17" s="155" t="s">
        <v>149</v>
      </c>
      <c r="CT17" s="154" t="s">
        <v>114</v>
      </c>
      <c r="CU17" s="154"/>
      <c r="CV17" s="154" t="s">
        <v>91</v>
      </c>
      <c r="CW17" s="154" t="s">
        <v>91</v>
      </c>
      <c r="CX17" s="154" t="s">
        <v>91</v>
      </c>
      <c r="CY17" s="154" t="s">
        <v>933</v>
      </c>
      <c r="CZ17" s="154" t="s">
        <v>462</v>
      </c>
      <c r="DA17" s="154" t="s">
        <v>91</v>
      </c>
      <c r="DB17" t="s">
        <v>7</v>
      </c>
      <c r="DC17" t="s">
        <v>91</v>
      </c>
      <c r="DD17" s="155" t="s">
        <v>828</v>
      </c>
    </row>
    <row r="18" spans="1:108" x14ac:dyDescent="0.25">
      <c r="A18" s="154">
        <v>5</v>
      </c>
      <c r="B18" s="154" t="s">
        <v>954</v>
      </c>
      <c r="C18" s="155" t="s">
        <v>825</v>
      </c>
      <c r="D18" s="155" t="s">
        <v>2</v>
      </c>
      <c r="E18" s="155" t="s">
        <v>832</v>
      </c>
      <c r="F18" s="153">
        <v>45224</v>
      </c>
      <c r="G18" s="155" t="s">
        <v>105</v>
      </c>
      <c r="H18" s="155" t="s">
        <v>710</v>
      </c>
      <c r="I18" s="155" t="s">
        <v>91</v>
      </c>
      <c r="J18" s="155" t="s">
        <v>91</v>
      </c>
      <c r="K18" s="155" t="s">
        <v>920</v>
      </c>
      <c r="L18" s="155" t="s">
        <v>91</v>
      </c>
      <c r="M18" s="155" t="s">
        <v>928</v>
      </c>
      <c r="N18" s="155" t="s">
        <v>91</v>
      </c>
      <c r="O18" s="155" t="s">
        <v>130</v>
      </c>
      <c r="P18" s="155" t="s">
        <v>91</v>
      </c>
      <c r="Q18" s="155" t="s">
        <v>91</v>
      </c>
      <c r="R18" s="155" t="s">
        <v>915</v>
      </c>
      <c r="S18" s="155" t="s">
        <v>467</v>
      </c>
      <c r="T18" s="155" t="s">
        <v>468</v>
      </c>
      <c r="U18" s="155" t="s">
        <v>469</v>
      </c>
      <c r="V18" s="155" t="s">
        <v>469</v>
      </c>
      <c r="W18" s="155" t="s">
        <v>91</v>
      </c>
      <c r="X18" s="155" t="s">
        <v>91</v>
      </c>
      <c r="Y18" s="153">
        <v>45093</v>
      </c>
      <c r="Z18" s="155" t="s">
        <v>929</v>
      </c>
      <c r="AA18" s="153">
        <v>45093</v>
      </c>
      <c r="AB18" s="155" t="s">
        <v>91</v>
      </c>
      <c r="AC18" s="155" t="s">
        <v>917</v>
      </c>
      <c r="AD18" s="153">
        <v>45276</v>
      </c>
      <c r="AE18" s="155" t="s">
        <v>91</v>
      </c>
      <c r="AF18" s="154">
        <v>2.2999999999999998</v>
      </c>
      <c r="AG18" s="153"/>
      <c r="AH18" s="153">
        <v>45226</v>
      </c>
      <c r="AI18" s="154">
        <v>120</v>
      </c>
      <c r="AJ18" s="154">
        <v>500000</v>
      </c>
      <c r="AK18" s="155" t="s">
        <v>918</v>
      </c>
      <c r="AL18" s="155" t="s">
        <v>91</v>
      </c>
      <c r="AM18" s="155" t="s">
        <v>91</v>
      </c>
      <c r="AN18" s="155" t="s">
        <v>91</v>
      </c>
      <c r="AO18" s="154"/>
      <c r="AP18" s="155" t="s">
        <v>479</v>
      </c>
      <c r="AQ18" s="155" t="s">
        <v>919</v>
      </c>
      <c r="AR18" s="154" t="s">
        <v>930</v>
      </c>
      <c r="AS18" s="155" t="s">
        <v>91</v>
      </c>
      <c r="AT18" s="155" t="s">
        <v>472</v>
      </c>
      <c r="AU18" s="155" t="s">
        <v>698</v>
      </c>
      <c r="AV18" s="155" t="s">
        <v>250</v>
      </c>
      <c r="AW18" s="154"/>
      <c r="AX18" s="154"/>
      <c r="AY18" s="154"/>
      <c r="AZ18" s="154"/>
      <c r="BA18" s="155" t="s">
        <v>91</v>
      </c>
      <c r="BB18" s="155" t="s">
        <v>486</v>
      </c>
      <c r="BC18" s="155" t="s">
        <v>483</v>
      </c>
      <c r="BD18" s="154"/>
      <c r="BE18" s="154">
        <v>98.87</v>
      </c>
      <c r="BF18" s="155" t="s">
        <v>474</v>
      </c>
      <c r="BG18" s="155" t="s">
        <v>91</v>
      </c>
      <c r="BH18" s="155" t="s">
        <v>475</v>
      </c>
      <c r="BI18" s="155" t="s">
        <v>476</v>
      </c>
      <c r="BJ18" s="154"/>
      <c r="BK18" s="155" t="s">
        <v>477</v>
      </c>
      <c r="BL18" s="153">
        <v>46189</v>
      </c>
      <c r="BM18" s="154">
        <v>2.2999999999999998</v>
      </c>
      <c r="BN18" s="155" t="s">
        <v>478</v>
      </c>
      <c r="BO18" s="155">
        <v>50</v>
      </c>
      <c r="BP18" s="155" t="s">
        <v>472</v>
      </c>
      <c r="BQ18" s="155" t="s">
        <v>487</v>
      </c>
      <c r="BR18" s="155" t="s">
        <v>922</v>
      </c>
      <c r="BS18" s="155" t="s">
        <v>931</v>
      </c>
      <c r="BT18" s="155" t="s">
        <v>240</v>
      </c>
      <c r="BU18" s="153"/>
      <c r="BV18" s="154" t="s">
        <v>7</v>
      </c>
      <c r="BW18" s="155" t="s">
        <v>12</v>
      </c>
      <c r="BX18" s="155" t="s">
        <v>7</v>
      </c>
      <c r="BY18" s="155" t="s">
        <v>248</v>
      </c>
      <c r="BZ18" s="155" t="s">
        <v>91</v>
      </c>
      <c r="CA18" s="153"/>
      <c r="CB18" s="154"/>
      <c r="CC18" s="155" t="s">
        <v>82</v>
      </c>
      <c r="CD18" s="155" t="s">
        <v>826</v>
      </c>
      <c r="CE18" s="155" t="s">
        <v>37</v>
      </c>
      <c r="CF18" s="155" t="s">
        <v>91</v>
      </c>
      <c r="CG18" s="155" t="s">
        <v>91</v>
      </c>
      <c r="CH18" s="155" t="s">
        <v>261</v>
      </c>
      <c r="CI18" s="155" t="s">
        <v>91</v>
      </c>
      <c r="CJ18" s="156" t="s">
        <v>817</v>
      </c>
      <c r="CK18">
        <v>0.1371</v>
      </c>
      <c r="CL18">
        <v>1</v>
      </c>
      <c r="CM18">
        <v>1.0732999999999999</v>
      </c>
      <c r="CN18" s="155">
        <v>6.8550000000000004</v>
      </c>
      <c r="CO18" s="155">
        <v>50</v>
      </c>
      <c r="CP18" s="155">
        <v>53.664999999999999</v>
      </c>
      <c r="CQ18" s="155" t="s">
        <v>91</v>
      </c>
      <c r="CR18" s="155" t="s">
        <v>7</v>
      </c>
      <c r="CS18" s="155" t="s">
        <v>149</v>
      </c>
      <c r="CT18" s="154" t="s">
        <v>114</v>
      </c>
      <c r="CU18" s="154"/>
      <c r="CV18" s="154" t="s">
        <v>91</v>
      </c>
      <c r="CW18" s="154" t="s">
        <v>91</v>
      </c>
      <c r="CX18" s="154" t="s">
        <v>91</v>
      </c>
      <c r="CY18" s="154" t="s">
        <v>929</v>
      </c>
      <c r="CZ18" s="154" t="s">
        <v>958</v>
      </c>
      <c r="DA18" s="154" t="s">
        <v>91</v>
      </c>
      <c r="DB18" t="s">
        <v>7</v>
      </c>
      <c r="DC18" t="s">
        <v>91</v>
      </c>
      <c r="DD18" s="155" t="s">
        <v>834</v>
      </c>
    </row>
    <row r="19" spans="1:108" x14ac:dyDescent="0.25">
      <c r="A19" s="154">
        <v>4</v>
      </c>
      <c r="B19" s="154" t="s">
        <v>954</v>
      </c>
      <c r="C19" s="155" t="s">
        <v>825</v>
      </c>
      <c r="D19" s="155" t="s">
        <v>2</v>
      </c>
      <c r="E19" s="155" t="s">
        <v>835</v>
      </c>
      <c r="F19" s="153">
        <v>45224</v>
      </c>
      <c r="G19" s="155" t="s">
        <v>105</v>
      </c>
      <c r="H19" s="155" t="s">
        <v>710</v>
      </c>
      <c r="I19" s="155" t="s">
        <v>91</v>
      </c>
      <c r="J19" s="155" t="s">
        <v>91</v>
      </c>
      <c r="K19" s="155" t="s">
        <v>920</v>
      </c>
      <c r="L19" s="155" t="s">
        <v>91</v>
      </c>
      <c r="M19" s="155" t="s">
        <v>924</v>
      </c>
      <c r="N19" s="155" t="s">
        <v>91</v>
      </c>
      <c r="O19" s="155" t="s">
        <v>130</v>
      </c>
      <c r="P19" s="155" t="s">
        <v>91</v>
      </c>
      <c r="Q19" s="155" t="s">
        <v>91</v>
      </c>
      <c r="R19" s="155" t="s">
        <v>915</v>
      </c>
      <c r="S19" s="155" t="s">
        <v>467</v>
      </c>
      <c r="T19" s="155" t="s">
        <v>468</v>
      </c>
      <c r="U19" s="155" t="s">
        <v>469</v>
      </c>
      <c r="V19" s="155" t="s">
        <v>469</v>
      </c>
      <c r="W19" s="155" t="s">
        <v>91</v>
      </c>
      <c r="X19" s="155" t="s">
        <v>91</v>
      </c>
      <c r="Y19" s="153">
        <v>45093</v>
      </c>
      <c r="Z19" s="155" t="s">
        <v>925</v>
      </c>
      <c r="AA19" s="153">
        <v>45093</v>
      </c>
      <c r="AB19" s="155" t="s">
        <v>91</v>
      </c>
      <c r="AC19" s="155" t="s">
        <v>917</v>
      </c>
      <c r="AD19" s="153">
        <v>45276</v>
      </c>
      <c r="AE19" s="155" t="s">
        <v>91</v>
      </c>
      <c r="AF19" s="154">
        <v>2.2000000000000002</v>
      </c>
      <c r="AG19" s="153"/>
      <c r="AH19" s="153">
        <v>45226</v>
      </c>
      <c r="AI19" s="154">
        <v>160</v>
      </c>
      <c r="AJ19" s="154">
        <v>500000</v>
      </c>
      <c r="AK19" s="155" t="s">
        <v>918</v>
      </c>
      <c r="AL19" s="155" t="s">
        <v>91</v>
      </c>
      <c r="AM19" s="155" t="s">
        <v>91</v>
      </c>
      <c r="AN19" s="155" t="s">
        <v>91</v>
      </c>
      <c r="AO19" s="154"/>
      <c r="AP19" s="155" t="s">
        <v>479</v>
      </c>
      <c r="AQ19" s="155" t="s">
        <v>919</v>
      </c>
      <c r="AR19" s="154" t="s">
        <v>926</v>
      </c>
      <c r="AS19" s="155" t="s">
        <v>91</v>
      </c>
      <c r="AT19" s="155" t="s">
        <v>472</v>
      </c>
      <c r="AU19" s="155" t="s">
        <v>698</v>
      </c>
      <c r="AV19" s="155" t="s">
        <v>250</v>
      </c>
      <c r="AW19" s="154"/>
      <c r="AX19" s="154"/>
      <c r="AY19" s="154"/>
      <c r="AZ19" s="154"/>
      <c r="BA19" s="155" t="s">
        <v>91</v>
      </c>
      <c r="BB19" s="155" t="s">
        <v>486</v>
      </c>
      <c r="BC19" s="155" t="s">
        <v>483</v>
      </c>
      <c r="BD19" s="154"/>
      <c r="BE19" s="154">
        <v>99.29</v>
      </c>
      <c r="BF19" s="155" t="s">
        <v>474</v>
      </c>
      <c r="BG19" s="155" t="s">
        <v>91</v>
      </c>
      <c r="BH19" s="155" t="s">
        <v>475</v>
      </c>
      <c r="BI19" s="155" t="s">
        <v>476</v>
      </c>
      <c r="BJ19" s="154"/>
      <c r="BK19" s="155" t="s">
        <v>477</v>
      </c>
      <c r="BL19" s="153">
        <v>45824</v>
      </c>
      <c r="BM19" s="154">
        <v>2.2000000000000002</v>
      </c>
      <c r="BN19" s="155" t="s">
        <v>730</v>
      </c>
      <c r="BO19" s="155">
        <v>40</v>
      </c>
      <c r="BP19" s="155" t="s">
        <v>472</v>
      </c>
      <c r="BQ19" s="155" t="s">
        <v>487</v>
      </c>
      <c r="BR19" s="155" t="s">
        <v>922</v>
      </c>
      <c r="BS19" s="155" t="s">
        <v>927</v>
      </c>
      <c r="BT19" s="155" t="s">
        <v>240</v>
      </c>
      <c r="BU19" s="153"/>
      <c r="BV19" s="154" t="s">
        <v>7</v>
      </c>
      <c r="BW19" s="155" t="s">
        <v>12</v>
      </c>
      <c r="BX19" s="155" t="s">
        <v>7</v>
      </c>
      <c r="BY19" s="155" t="s">
        <v>248</v>
      </c>
      <c r="BZ19" s="155" t="s">
        <v>91</v>
      </c>
      <c r="CA19" s="153"/>
      <c r="CB19" s="154"/>
      <c r="CC19" s="155" t="s">
        <v>82</v>
      </c>
      <c r="CD19" s="155" t="s">
        <v>826</v>
      </c>
      <c r="CE19" s="155" t="s">
        <v>37</v>
      </c>
      <c r="CF19" s="155" t="s">
        <v>91</v>
      </c>
      <c r="CG19" s="155" t="s">
        <v>91</v>
      </c>
      <c r="CH19" s="155" t="s">
        <v>261</v>
      </c>
      <c r="CI19" s="155" t="s">
        <v>91</v>
      </c>
      <c r="CJ19" s="156" t="s">
        <v>817</v>
      </c>
      <c r="CK19">
        <v>0.1371</v>
      </c>
      <c r="CL19">
        <v>1</v>
      </c>
      <c r="CM19">
        <v>1.0732999999999999</v>
      </c>
      <c r="CN19" s="155">
        <v>5.484</v>
      </c>
      <c r="CO19" s="155">
        <v>40</v>
      </c>
      <c r="CP19" s="155">
        <v>42.932000000000002</v>
      </c>
      <c r="CQ19" s="155" t="s">
        <v>91</v>
      </c>
      <c r="CR19" s="155" t="s">
        <v>7</v>
      </c>
      <c r="CS19" s="155" t="s">
        <v>149</v>
      </c>
      <c r="CT19" s="154" t="s">
        <v>114</v>
      </c>
      <c r="CU19" s="154"/>
      <c r="CV19" s="154" t="s">
        <v>91</v>
      </c>
      <c r="CW19" s="154" t="s">
        <v>91</v>
      </c>
      <c r="CX19" s="154" t="s">
        <v>91</v>
      </c>
      <c r="CY19" s="154" t="s">
        <v>925</v>
      </c>
      <c r="CZ19" s="154" t="s">
        <v>959</v>
      </c>
      <c r="DA19" s="154" t="s">
        <v>91</v>
      </c>
      <c r="DB19" t="s">
        <v>7</v>
      </c>
      <c r="DC19" t="s">
        <v>91</v>
      </c>
      <c r="DD19" s="155" t="s">
        <v>837</v>
      </c>
    </row>
    <row r="20" spans="1:108" x14ac:dyDescent="0.25">
      <c r="A20" s="154">
        <v>3</v>
      </c>
      <c r="B20" s="154" t="s">
        <v>677</v>
      </c>
      <c r="C20" s="155" t="s">
        <v>680</v>
      </c>
      <c r="D20" s="155" t="s">
        <v>83</v>
      </c>
      <c r="E20" s="155" t="s">
        <v>854</v>
      </c>
      <c r="F20" s="153">
        <v>45224</v>
      </c>
      <c r="G20" s="155" t="s">
        <v>105</v>
      </c>
      <c r="H20" s="155" t="s">
        <v>710</v>
      </c>
      <c r="I20" s="155" t="s">
        <v>91</v>
      </c>
      <c r="J20" s="155" t="s">
        <v>91</v>
      </c>
      <c r="K20" s="155" t="s">
        <v>685</v>
      </c>
      <c r="L20" s="155" t="s">
        <v>91</v>
      </c>
      <c r="M20" s="155" t="s">
        <v>912</v>
      </c>
      <c r="N20" s="155" t="s">
        <v>91</v>
      </c>
      <c r="O20" s="155" t="s">
        <v>91</v>
      </c>
      <c r="P20" s="155" t="s">
        <v>91</v>
      </c>
      <c r="Q20" s="155" t="s">
        <v>91</v>
      </c>
      <c r="R20" s="155" t="s">
        <v>466</v>
      </c>
      <c r="S20" s="155" t="s">
        <v>467</v>
      </c>
      <c r="T20" s="155" t="s">
        <v>468</v>
      </c>
      <c r="U20" s="155" t="s">
        <v>469</v>
      </c>
      <c r="V20" s="155" t="s">
        <v>469</v>
      </c>
      <c r="W20" s="155" t="s">
        <v>685</v>
      </c>
      <c r="X20" s="155" t="s">
        <v>91</v>
      </c>
      <c r="Y20" s="153">
        <v>45230</v>
      </c>
      <c r="Z20" s="155" t="s">
        <v>91</v>
      </c>
      <c r="AA20" s="153">
        <v>45230</v>
      </c>
      <c r="AB20" s="155" t="s">
        <v>680</v>
      </c>
      <c r="AC20" s="155" t="s">
        <v>687</v>
      </c>
      <c r="AD20" s="153">
        <v>45322</v>
      </c>
      <c r="AE20" s="155" t="s">
        <v>91</v>
      </c>
      <c r="AF20" s="154">
        <v>3.3</v>
      </c>
      <c r="AG20" s="153"/>
      <c r="AH20" s="153">
        <v>45230</v>
      </c>
      <c r="AI20" s="154">
        <v>5.3999999999999999E-2</v>
      </c>
      <c r="AJ20" s="154">
        <v>5400000</v>
      </c>
      <c r="AK20" s="155" t="s">
        <v>686</v>
      </c>
      <c r="AL20" s="155" t="s">
        <v>91</v>
      </c>
      <c r="AM20" s="155" t="s">
        <v>91</v>
      </c>
      <c r="AN20" s="155" t="s">
        <v>91</v>
      </c>
      <c r="AO20" s="154"/>
      <c r="AP20" s="155" t="s">
        <v>480</v>
      </c>
      <c r="AQ20" s="155" t="s">
        <v>471</v>
      </c>
      <c r="AR20" s="154" t="s">
        <v>1061</v>
      </c>
      <c r="AS20" s="155" t="s">
        <v>91</v>
      </c>
      <c r="AT20" s="155" t="s">
        <v>472</v>
      </c>
      <c r="AU20" s="155" t="s">
        <v>508</v>
      </c>
      <c r="AV20" s="155" t="s">
        <v>325</v>
      </c>
      <c r="AW20" s="154"/>
      <c r="AX20" s="154"/>
      <c r="AY20" s="154"/>
      <c r="AZ20" s="154"/>
      <c r="BA20" s="155" t="s">
        <v>91</v>
      </c>
      <c r="BB20" s="155" t="s">
        <v>91</v>
      </c>
      <c r="BC20" s="155" t="s">
        <v>483</v>
      </c>
      <c r="BD20" s="154"/>
      <c r="BE20" s="154">
        <v>100</v>
      </c>
      <c r="BF20" s="155" t="s">
        <v>474</v>
      </c>
      <c r="BG20" s="155" t="s">
        <v>91</v>
      </c>
      <c r="BH20" s="155" t="s">
        <v>507</v>
      </c>
      <c r="BI20" s="155" t="s">
        <v>476</v>
      </c>
      <c r="BJ20" s="154"/>
      <c r="BK20" s="155" t="s">
        <v>109</v>
      </c>
      <c r="BL20" s="153">
        <v>45322</v>
      </c>
      <c r="BM20" s="154">
        <v>3.3</v>
      </c>
      <c r="BN20" s="155" t="s">
        <v>700</v>
      </c>
      <c r="BO20" s="155">
        <v>5.3999999999999999E-2</v>
      </c>
      <c r="BP20" s="155" t="s">
        <v>472</v>
      </c>
      <c r="BQ20" s="155" t="s">
        <v>472</v>
      </c>
      <c r="BR20" s="155" t="s">
        <v>472</v>
      </c>
      <c r="BS20" s="155" t="s">
        <v>913</v>
      </c>
      <c r="BT20" s="155" t="s">
        <v>240</v>
      </c>
      <c r="BU20" s="153"/>
      <c r="BV20" s="154" t="s">
        <v>7</v>
      </c>
      <c r="BW20" s="155" t="s">
        <v>12</v>
      </c>
      <c r="BX20" s="155" t="s">
        <v>7</v>
      </c>
      <c r="BY20" s="155" t="s">
        <v>463</v>
      </c>
      <c r="BZ20" s="155" t="s">
        <v>91</v>
      </c>
      <c r="CA20" s="153"/>
      <c r="CB20" s="154"/>
      <c r="CC20" s="155" t="s">
        <v>82</v>
      </c>
      <c r="CD20" s="155" t="s">
        <v>82</v>
      </c>
      <c r="CE20" s="155" t="s">
        <v>39</v>
      </c>
      <c r="CF20" s="155" t="s">
        <v>91</v>
      </c>
      <c r="CG20" s="155" t="s">
        <v>91</v>
      </c>
      <c r="CH20" s="155" t="s">
        <v>109</v>
      </c>
      <c r="CI20" s="155" t="s">
        <v>91</v>
      </c>
      <c r="CJ20" s="156" t="s">
        <v>817</v>
      </c>
      <c r="CK20">
        <v>0.1371</v>
      </c>
      <c r="CL20">
        <v>1</v>
      </c>
      <c r="CM20">
        <v>1.0732999999999999</v>
      </c>
      <c r="CN20" s="155">
        <v>7.0000000000000001E-3</v>
      </c>
      <c r="CO20" s="155">
        <v>5.3999999999999999E-2</v>
      </c>
      <c r="CP20" s="155">
        <v>5.8000000000000003E-2</v>
      </c>
      <c r="CQ20" s="155" t="s">
        <v>91</v>
      </c>
      <c r="CR20" s="155" t="s">
        <v>7</v>
      </c>
      <c r="CS20" s="155" t="s">
        <v>7</v>
      </c>
      <c r="CT20" s="154" t="s">
        <v>114</v>
      </c>
      <c r="CU20" s="154"/>
      <c r="CV20" s="154" t="s">
        <v>91</v>
      </c>
      <c r="CW20" s="154" t="s">
        <v>91</v>
      </c>
      <c r="CX20" s="154" t="s">
        <v>91</v>
      </c>
      <c r="CY20" s="154" t="s">
        <v>960</v>
      </c>
      <c r="CZ20" s="154" t="s">
        <v>701</v>
      </c>
      <c r="DA20" s="154" t="s">
        <v>707</v>
      </c>
      <c r="DB20" t="s">
        <v>7</v>
      </c>
      <c r="DC20" t="s">
        <v>91</v>
      </c>
      <c r="DD20" s="155" t="s">
        <v>856</v>
      </c>
    </row>
    <row r="21" spans="1:108" x14ac:dyDescent="0.25">
      <c r="A21" s="154">
        <v>2</v>
      </c>
      <c r="B21" s="154" t="s">
        <v>749</v>
      </c>
      <c r="C21" s="155" t="s">
        <v>723</v>
      </c>
      <c r="D21" s="155" t="s">
        <v>1</v>
      </c>
      <c r="E21" s="155" t="s">
        <v>722</v>
      </c>
      <c r="F21" s="153">
        <v>45223</v>
      </c>
      <c r="G21" s="155" t="s">
        <v>105</v>
      </c>
      <c r="H21" s="155" t="s">
        <v>710</v>
      </c>
      <c r="I21" s="155" t="s">
        <v>91</v>
      </c>
      <c r="J21" s="155" t="s">
        <v>741</v>
      </c>
      <c r="K21" s="155" t="s">
        <v>744</v>
      </c>
      <c r="L21" s="155" t="s">
        <v>951</v>
      </c>
      <c r="M21" s="155" t="s">
        <v>739</v>
      </c>
      <c r="N21" s="155" t="s">
        <v>863</v>
      </c>
      <c r="O21" s="155" t="s">
        <v>130</v>
      </c>
      <c r="P21" s="155" t="s">
        <v>91</v>
      </c>
      <c r="Q21" s="155" t="s">
        <v>91</v>
      </c>
      <c r="R21" s="155" t="s">
        <v>466</v>
      </c>
      <c r="S21" s="155" t="s">
        <v>467</v>
      </c>
      <c r="T21" s="155" t="s">
        <v>468</v>
      </c>
      <c r="U21" s="155" t="s">
        <v>469</v>
      </c>
      <c r="V21" s="155" t="s">
        <v>469</v>
      </c>
      <c r="W21" s="155" t="s">
        <v>748</v>
      </c>
      <c r="X21" s="155" t="s">
        <v>470</v>
      </c>
      <c r="Y21" s="153">
        <v>45223</v>
      </c>
      <c r="Z21" s="155" t="s">
        <v>735</v>
      </c>
      <c r="AA21" s="153">
        <v>45223</v>
      </c>
      <c r="AB21" s="155" t="s">
        <v>723</v>
      </c>
      <c r="AC21" s="155" t="s">
        <v>747</v>
      </c>
      <c r="AD21" s="153">
        <v>45406</v>
      </c>
      <c r="AE21" s="155" t="s">
        <v>91</v>
      </c>
      <c r="AF21" s="154">
        <v>7.8</v>
      </c>
      <c r="AG21" s="153"/>
      <c r="AH21" s="153">
        <v>45229</v>
      </c>
      <c r="AI21" s="154">
        <v>2.7</v>
      </c>
      <c r="AJ21" s="154">
        <v>10000</v>
      </c>
      <c r="AK21" s="155" t="s">
        <v>746</v>
      </c>
      <c r="AL21" s="155" t="s">
        <v>745</v>
      </c>
      <c r="AM21" s="155" t="s">
        <v>91</v>
      </c>
      <c r="AN21" s="155" t="s">
        <v>91</v>
      </c>
      <c r="AO21" s="154"/>
      <c r="AP21" s="155" t="s">
        <v>480</v>
      </c>
      <c r="AQ21" s="155" t="s">
        <v>471</v>
      </c>
      <c r="AR21" s="154" t="s">
        <v>1062</v>
      </c>
      <c r="AS21" s="155" t="s">
        <v>407</v>
      </c>
      <c r="AT21" s="155" t="s">
        <v>472</v>
      </c>
      <c r="AU21" s="155" t="s">
        <v>473</v>
      </c>
      <c r="AV21" s="155" t="s">
        <v>250</v>
      </c>
      <c r="AW21" s="154"/>
      <c r="AX21" s="154"/>
      <c r="AY21" s="154"/>
      <c r="AZ21" s="154"/>
      <c r="BA21" s="155" t="s">
        <v>743</v>
      </c>
      <c r="BB21" s="155" t="s">
        <v>742</v>
      </c>
      <c r="BC21" s="155" t="s">
        <v>689</v>
      </c>
      <c r="BD21" s="154"/>
      <c r="BE21" s="154">
        <v>99.998000000000005</v>
      </c>
      <c r="BF21" s="155" t="s">
        <v>474</v>
      </c>
      <c r="BG21" s="155" t="s">
        <v>91</v>
      </c>
      <c r="BH21" s="155" t="s">
        <v>507</v>
      </c>
      <c r="BI21" s="155" t="s">
        <v>476</v>
      </c>
      <c r="BJ21" s="154"/>
      <c r="BK21" s="155" t="s">
        <v>481</v>
      </c>
      <c r="BL21" s="153">
        <v>46319</v>
      </c>
      <c r="BM21" s="154">
        <v>7.8</v>
      </c>
      <c r="BN21" s="155" t="s">
        <v>478</v>
      </c>
      <c r="BO21" s="155">
        <v>1.5</v>
      </c>
      <c r="BP21" s="155" t="s">
        <v>472</v>
      </c>
      <c r="BQ21" s="155" t="s">
        <v>472</v>
      </c>
      <c r="BR21" s="155" t="s">
        <v>472</v>
      </c>
      <c r="BS21" s="155" t="s">
        <v>740</v>
      </c>
      <c r="BT21" s="155" t="s">
        <v>240</v>
      </c>
      <c r="BU21" s="153"/>
      <c r="BV21" s="154" t="s">
        <v>7</v>
      </c>
      <c r="BW21" s="155" t="s">
        <v>10</v>
      </c>
      <c r="BX21" s="155" t="s">
        <v>7</v>
      </c>
      <c r="BY21" s="155" t="s">
        <v>724</v>
      </c>
      <c r="BZ21" s="155" t="s">
        <v>91</v>
      </c>
      <c r="CA21" s="153"/>
      <c r="CB21" s="154"/>
      <c r="CC21" s="155" t="s">
        <v>82</v>
      </c>
      <c r="CD21" s="155" t="s">
        <v>82</v>
      </c>
      <c r="CE21" s="155" t="s">
        <v>39</v>
      </c>
      <c r="CF21" s="155" t="s">
        <v>91</v>
      </c>
      <c r="CG21" s="155" t="s">
        <v>91</v>
      </c>
      <c r="CH21" s="155" t="s">
        <v>249</v>
      </c>
      <c r="CI21" s="155" t="s">
        <v>91</v>
      </c>
      <c r="CJ21" s="156" t="s">
        <v>817</v>
      </c>
      <c r="CK21">
        <v>0.1371</v>
      </c>
      <c r="CL21">
        <v>1</v>
      </c>
      <c r="CM21">
        <v>1.0732999999999999</v>
      </c>
      <c r="CN21" s="155">
        <v>0.20599999999999999</v>
      </c>
      <c r="CO21" s="155">
        <v>1.5</v>
      </c>
      <c r="CP21" s="155">
        <v>1.61</v>
      </c>
      <c r="CQ21" s="155" t="s">
        <v>91</v>
      </c>
      <c r="CR21" s="155" t="s">
        <v>7</v>
      </c>
      <c r="CS21" s="155" t="s">
        <v>7</v>
      </c>
      <c r="CT21" s="154" t="s">
        <v>114</v>
      </c>
      <c r="CU21" s="154"/>
      <c r="CV21" s="154" t="s">
        <v>91</v>
      </c>
      <c r="CW21" s="154" t="s">
        <v>735</v>
      </c>
      <c r="CX21" s="154" t="s">
        <v>91</v>
      </c>
      <c r="CY21" s="154" t="s">
        <v>735</v>
      </c>
      <c r="CZ21" s="154" t="s">
        <v>150</v>
      </c>
      <c r="DA21" s="154" t="s">
        <v>91</v>
      </c>
      <c r="DB21" t="s">
        <v>7</v>
      </c>
      <c r="DC21" t="s">
        <v>91</v>
      </c>
      <c r="DD21" s="155" t="s">
        <v>857</v>
      </c>
    </row>
    <row r="22" spans="1:108" x14ac:dyDescent="0.25">
      <c r="A22" s="154">
        <v>1</v>
      </c>
      <c r="B22" s="154" t="s">
        <v>697</v>
      </c>
      <c r="C22" s="155" t="s">
        <v>723</v>
      </c>
      <c r="D22" s="155" t="s">
        <v>1</v>
      </c>
      <c r="E22" s="155" t="s">
        <v>863</v>
      </c>
      <c r="F22" s="153">
        <v>45223</v>
      </c>
      <c r="G22" s="155" t="s">
        <v>105</v>
      </c>
      <c r="H22" s="155" t="s">
        <v>710</v>
      </c>
      <c r="I22" s="155" t="s">
        <v>91</v>
      </c>
      <c r="J22" s="155" t="s">
        <v>91</v>
      </c>
      <c r="K22" s="155" t="s">
        <v>744</v>
      </c>
      <c r="L22" s="155" t="s">
        <v>951</v>
      </c>
      <c r="M22" s="155" t="s">
        <v>739</v>
      </c>
      <c r="N22" s="155" t="s">
        <v>91</v>
      </c>
      <c r="O22" s="155" t="s">
        <v>130</v>
      </c>
      <c r="P22" s="155" t="s">
        <v>91</v>
      </c>
      <c r="Q22" s="155" t="s">
        <v>91</v>
      </c>
      <c r="R22" s="155" t="s">
        <v>466</v>
      </c>
      <c r="S22" s="155" t="s">
        <v>467</v>
      </c>
      <c r="T22" s="155" t="s">
        <v>468</v>
      </c>
      <c r="U22" s="155" t="s">
        <v>469</v>
      </c>
      <c r="V22" s="155" t="s">
        <v>469</v>
      </c>
      <c r="W22" s="155" t="s">
        <v>950</v>
      </c>
      <c r="X22" s="155" t="s">
        <v>470</v>
      </c>
      <c r="Y22" s="153">
        <v>45229</v>
      </c>
      <c r="Z22" s="155" t="s">
        <v>91</v>
      </c>
      <c r="AA22" s="153">
        <v>45229</v>
      </c>
      <c r="AB22" s="155" t="s">
        <v>723</v>
      </c>
      <c r="AC22" s="155" t="s">
        <v>747</v>
      </c>
      <c r="AD22" s="153">
        <v>45412</v>
      </c>
      <c r="AE22" s="155" t="s">
        <v>91</v>
      </c>
      <c r="AF22" s="154">
        <v>7.8</v>
      </c>
      <c r="AG22" s="153"/>
      <c r="AH22" s="153">
        <v>45229</v>
      </c>
      <c r="AI22" s="154">
        <v>1.5</v>
      </c>
      <c r="AJ22" s="154">
        <v>10000</v>
      </c>
      <c r="AK22" s="155" t="s">
        <v>746</v>
      </c>
      <c r="AL22" s="155" t="s">
        <v>91</v>
      </c>
      <c r="AM22" s="155" t="s">
        <v>91</v>
      </c>
      <c r="AN22" s="155" t="s">
        <v>91</v>
      </c>
      <c r="AO22" s="154"/>
      <c r="AP22" s="155" t="s">
        <v>480</v>
      </c>
      <c r="AQ22" s="155" t="s">
        <v>471</v>
      </c>
      <c r="AR22" s="154" t="s">
        <v>1062</v>
      </c>
      <c r="AS22" s="155" t="s">
        <v>407</v>
      </c>
      <c r="AT22" s="155" t="s">
        <v>472</v>
      </c>
      <c r="AU22" s="155" t="s">
        <v>473</v>
      </c>
      <c r="AV22" s="155" t="s">
        <v>325</v>
      </c>
      <c r="AW22" s="154"/>
      <c r="AX22" s="154"/>
      <c r="AY22" s="154"/>
      <c r="AZ22" s="154"/>
      <c r="BA22" s="155" t="s">
        <v>743</v>
      </c>
      <c r="BB22" s="155" t="s">
        <v>742</v>
      </c>
      <c r="BC22" s="155" t="s">
        <v>689</v>
      </c>
      <c r="BD22" s="154"/>
      <c r="BE22" s="154">
        <v>99.998000000000005</v>
      </c>
      <c r="BF22" s="155" t="s">
        <v>474</v>
      </c>
      <c r="BG22" s="155" t="s">
        <v>91</v>
      </c>
      <c r="BH22" s="155" t="s">
        <v>507</v>
      </c>
      <c r="BI22" s="155" t="s">
        <v>476</v>
      </c>
      <c r="BJ22" s="154"/>
      <c r="BK22" s="155" t="s">
        <v>481</v>
      </c>
      <c r="BL22" s="153">
        <v>46319</v>
      </c>
      <c r="BM22" s="154">
        <v>7.8</v>
      </c>
      <c r="BN22" s="155" t="s">
        <v>952</v>
      </c>
      <c r="BO22" s="155">
        <v>1.5</v>
      </c>
      <c r="BP22" s="155" t="s">
        <v>472</v>
      </c>
      <c r="BQ22" s="155" t="s">
        <v>472</v>
      </c>
      <c r="BR22" s="155" t="s">
        <v>472</v>
      </c>
      <c r="BS22" s="155" t="s">
        <v>740</v>
      </c>
      <c r="BT22" s="155" t="s">
        <v>240</v>
      </c>
      <c r="BU22" s="153"/>
      <c r="BV22" s="154" t="s">
        <v>7</v>
      </c>
      <c r="BW22" s="155" t="s">
        <v>10</v>
      </c>
      <c r="BX22" s="155" t="s">
        <v>7</v>
      </c>
      <c r="BY22" s="155" t="s">
        <v>724</v>
      </c>
      <c r="BZ22" s="155" t="s">
        <v>91</v>
      </c>
      <c r="CA22" s="153"/>
      <c r="CB22" s="154"/>
      <c r="CC22" s="155" t="s">
        <v>82</v>
      </c>
      <c r="CD22" s="155" t="s">
        <v>82</v>
      </c>
      <c r="CE22" s="155" t="s">
        <v>39</v>
      </c>
      <c r="CF22" s="155" t="s">
        <v>91</v>
      </c>
      <c r="CG22" s="155" t="s">
        <v>91</v>
      </c>
      <c r="CH22" s="155" t="s">
        <v>249</v>
      </c>
      <c r="CI22" s="155" t="s">
        <v>91</v>
      </c>
      <c r="CJ22" s="156" t="s">
        <v>817</v>
      </c>
      <c r="CK22">
        <v>0.1371</v>
      </c>
      <c r="CL22">
        <v>1</v>
      </c>
      <c r="CM22">
        <v>1.0732999999999999</v>
      </c>
      <c r="CN22" s="155">
        <v>0.20599999999999999</v>
      </c>
      <c r="CO22" s="155">
        <v>1.5</v>
      </c>
      <c r="CP22" s="155">
        <v>1.61</v>
      </c>
      <c r="CQ22" s="155" t="s">
        <v>91</v>
      </c>
      <c r="CR22" s="155" t="s">
        <v>7</v>
      </c>
      <c r="CS22" s="155" t="s">
        <v>7</v>
      </c>
      <c r="CT22" s="154" t="s">
        <v>114</v>
      </c>
      <c r="CU22" s="154"/>
      <c r="CV22" s="154" t="s">
        <v>91</v>
      </c>
      <c r="CW22" s="154" t="s">
        <v>91</v>
      </c>
      <c r="CX22" s="154" t="s">
        <v>91</v>
      </c>
      <c r="CY22" s="154" t="s">
        <v>735</v>
      </c>
      <c r="CZ22" s="154" t="s">
        <v>150</v>
      </c>
      <c r="DA22" s="154" t="s">
        <v>91</v>
      </c>
      <c r="DB22" t="s">
        <v>7</v>
      </c>
      <c r="DC22" t="s">
        <v>91</v>
      </c>
      <c r="DD22" s="155" t="s">
        <v>864</v>
      </c>
    </row>
  </sheetData>
  <phoneticPr fontId="1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2A7968"/>
  </sheetPr>
  <dimension ref="A1:BI52"/>
  <sheetViews>
    <sheetView tabSelected="1" topLeftCell="AN1" zoomScale="80" zoomScaleNormal="80" workbookViewId="0">
      <selection activeCell="BA22" sqref="BA22"/>
    </sheetView>
  </sheetViews>
  <sheetFormatPr defaultColWidth="8.88671875" defaultRowHeight="20.100000000000001" customHeight="1" x14ac:dyDescent="0.25"/>
  <cols>
    <col min="1" max="1" width="12.44140625" style="25" bestFit="1" customWidth="1"/>
    <col min="2" max="2" width="13.33203125" style="25" bestFit="1" customWidth="1"/>
    <col min="3" max="3" width="15.44140625" style="25" bestFit="1" customWidth="1"/>
    <col min="4" max="4" width="35.88671875" style="25" customWidth="1"/>
    <col min="5" max="5" width="9.6640625" style="25" bestFit="1" customWidth="1"/>
    <col min="6" max="6" width="18.109375" style="25" bestFit="1" customWidth="1"/>
    <col min="7" max="7" width="8.88671875" style="25" bestFit="1" customWidth="1"/>
    <col min="8" max="8" width="9" style="25" bestFit="1" customWidth="1"/>
    <col min="9" max="9" width="13.5546875" style="25" bestFit="1" customWidth="1"/>
    <col min="10" max="10" width="9.33203125" style="25" bestFit="1" customWidth="1"/>
    <col min="11" max="11" width="19.44140625" style="25" bestFit="1" customWidth="1"/>
    <col min="12" max="15" width="2.21875" style="25" customWidth="1"/>
    <col min="16" max="16" width="17.88671875" style="25" customWidth="1"/>
    <col min="17" max="17" width="36.6640625" style="25" bestFit="1" customWidth="1"/>
    <col min="18" max="18" width="9" style="25" bestFit="1" customWidth="1"/>
    <col min="19" max="19" width="15.6640625" style="25" bestFit="1" customWidth="1"/>
    <col min="20" max="20" width="13.33203125" style="25" bestFit="1" customWidth="1"/>
    <col min="21" max="21" width="11.77734375" style="1" customWidth="1"/>
    <col min="22" max="22" width="15.6640625" style="25" bestFit="1" customWidth="1"/>
    <col min="23" max="23" width="15.6640625" style="1" bestFit="1" customWidth="1"/>
    <col min="24" max="24" width="11.109375" style="1" customWidth="1"/>
    <col min="25" max="25" width="4.6640625" style="1" bestFit="1" customWidth="1"/>
    <col min="26" max="26" width="10.44140625" style="25" bestFit="1" customWidth="1"/>
    <col min="27" max="27" width="4.33203125" style="25" bestFit="1" customWidth="1"/>
    <col min="28" max="28" width="15.6640625" style="1" bestFit="1" customWidth="1"/>
    <col min="29" max="29" width="7.6640625" style="1" bestFit="1" customWidth="1"/>
    <col min="30" max="33" width="6" style="25" bestFit="1" customWidth="1"/>
    <col min="34" max="34" width="13.88671875" style="1" bestFit="1" customWidth="1"/>
    <col min="35" max="35" width="20" style="1" bestFit="1" customWidth="1"/>
    <col min="36" max="38" width="7.88671875" style="48" customWidth="1"/>
    <col min="39" max="39" width="7.88671875" style="25" customWidth="1"/>
    <col min="40" max="40" width="33.109375" style="25" customWidth="1"/>
    <col min="41" max="41" width="19.33203125" style="25" bestFit="1" customWidth="1"/>
    <col min="42" max="42" width="13.21875" style="25" bestFit="1" customWidth="1"/>
    <col min="43" max="43" width="10.33203125" style="25" bestFit="1" customWidth="1"/>
    <col min="44" max="44" width="7.6640625" style="25" bestFit="1" customWidth="1"/>
    <col min="45" max="46" width="12" style="25" bestFit="1" customWidth="1"/>
    <col min="47" max="47" width="11.5546875" style="25" bestFit="1" customWidth="1"/>
    <col min="48" max="48" width="14.44140625" style="25" customWidth="1"/>
    <col min="49" max="49" width="11.5546875" style="25" bestFit="1" customWidth="1"/>
    <col min="50" max="50" width="10.77734375" style="25" bestFit="1" customWidth="1"/>
    <col min="51" max="52" width="9.33203125" style="25" bestFit="1" customWidth="1"/>
    <col min="53" max="53" width="9.88671875" style="25" customWidth="1"/>
    <col min="54" max="56" width="4.109375" style="48" customWidth="1"/>
    <col min="57" max="57" width="4.109375" style="25" customWidth="1"/>
    <col min="58" max="58" width="36.6640625" style="25" bestFit="1" customWidth="1"/>
    <col min="59" max="59" width="15.6640625" style="25" bestFit="1" customWidth="1"/>
    <col min="60" max="60" width="10.44140625" style="25" customWidth="1"/>
    <col min="61" max="61" width="11.5546875" style="25" customWidth="1"/>
    <col min="62" max="62" width="12.44140625" style="25" bestFit="1" customWidth="1"/>
    <col min="63" max="63" width="10.77734375" style="25" bestFit="1" customWidth="1"/>
    <col min="64" max="64" width="10.33203125" style="25" bestFit="1" customWidth="1"/>
    <col min="65" max="65" width="10.77734375" style="25" bestFit="1" customWidth="1"/>
    <col min="66" max="66" width="13.109375" style="25" bestFit="1" customWidth="1"/>
    <col min="67" max="67" width="12.6640625" style="25" bestFit="1" customWidth="1"/>
    <col min="68" max="68" width="35.77734375" style="25" customWidth="1"/>
    <col min="69" max="69" width="15.6640625" style="25" customWidth="1"/>
    <col min="70" max="70" width="15.21875" style="25" customWidth="1"/>
    <col min="71" max="71" width="15.6640625" style="25" customWidth="1"/>
    <col min="72" max="73" width="15.5546875" style="25" customWidth="1"/>
    <col min="74" max="16384" width="8.88671875" style="25"/>
  </cols>
  <sheetData>
    <row r="1" spans="1:61" s="48" customFormat="1" ht="49.5" x14ac:dyDescent="0.55000000000000004">
      <c r="A1" s="47" t="s">
        <v>426</v>
      </c>
      <c r="C1" s="56" t="s">
        <v>431</v>
      </c>
      <c r="F1" s="55" t="s">
        <v>425</v>
      </c>
      <c r="G1" s="55" t="s">
        <v>89</v>
      </c>
      <c r="H1" s="55" t="s">
        <v>41</v>
      </c>
      <c r="I1" s="114" t="s">
        <v>432</v>
      </c>
      <c r="P1" s="47" t="s">
        <v>402</v>
      </c>
      <c r="Q1" s="56" t="s">
        <v>430</v>
      </c>
      <c r="R1" s="56"/>
      <c r="U1" s="55" t="s">
        <v>138</v>
      </c>
      <c r="V1" s="55" t="s">
        <v>87</v>
      </c>
      <c r="W1" s="55" t="s">
        <v>53</v>
      </c>
      <c r="Z1" s="55" t="s">
        <v>250</v>
      </c>
      <c r="AA1" s="55" t="s">
        <v>89</v>
      </c>
      <c r="AB1" s="55" t="s">
        <v>64</v>
      </c>
      <c r="AN1" s="47" t="s">
        <v>435</v>
      </c>
      <c r="AO1" s="56" t="s">
        <v>428</v>
      </c>
      <c r="AT1" s="55" t="s">
        <v>171</v>
      </c>
      <c r="AU1" s="55" t="s">
        <v>170</v>
      </c>
      <c r="AX1" s="55" t="s">
        <v>146</v>
      </c>
      <c r="AY1" s="55" t="s">
        <v>199</v>
      </c>
      <c r="AZ1" s="55" t="s">
        <v>200</v>
      </c>
      <c r="BA1" s="55" t="s">
        <v>201</v>
      </c>
      <c r="BF1" s="47" t="s">
        <v>427</v>
      </c>
      <c r="BG1" s="57" t="s">
        <v>429</v>
      </c>
      <c r="BH1" s="55" t="s">
        <v>204</v>
      </c>
      <c r="BI1" s="55" t="s">
        <v>227</v>
      </c>
    </row>
    <row r="2" spans="1:61" s="49" customFormat="1" ht="75" customHeight="1" x14ac:dyDescent="0.35">
      <c r="A2" s="115" t="s">
        <v>433</v>
      </c>
      <c r="D2" s="61"/>
      <c r="I2" s="61"/>
      <c r="J2" s="61"/>
      <c r="Q2" s="50"/>
      <c r="R2" s="61" t="s">
        <v>266</v>
      </c>
      <c r="S2" s="61" t="s">
        <v>266</v>
      </c>
      <c r="T2" s="61" t="s">
        <v>266</v>
      </c>
      <c r="U2" s="61" t="s">
        <v>266</v>
      </c>
      <c r="V2" s="61" t="s">
        <v>266</v>
      </c>
      <c r="W2" s="61" t="s">
        <v>266</v>
      </c>
      <c r="X2" s="61" t="s">
        <v>266</v>
      </c>
      <c r="Y2" s="62"/>
      <c r="Z2" s="61"/>
      <c r="AJ2" s="48"/>
      <c r="AK2" s="48"/>
      <c r="AL2" s="48"/>
      <c r="AU2" s="61"/>
      <c r="AV2" s="61"/>
      <c r="AW2" s="61"/>
      <c r="AX2" s="61"/>
      <c r="AY2" s="61"/>
      <c r="AZ2" s="61"/>
      <c r="BA2" s="61"/>
      <c r="BB2" s="48"/>
      <c r="BC2" s="48"/>
      <c r="BD2" s="48"/>
      <c r="BG2" s="61" t="s">
        <v>266</v>
      </c>
      <c r="BH2" s="61" t="s">
        <v>266</v>
      </c>
      <c r="BI2" s="61" t="s">
        <v>266</v>
      </c>
    </row>
    <row r="3" spans="1:61" s="52" customFormat="1" ht="33" customHeight="1" x14ac:dyDescent="0.25">
      <c r="A3" s="106" t="s">
        <v>425</v>
      </c>
      <c r="B3" s="51" t="s">
        <v>48</v>
      </c>
      <c r="C3" s="51" t="s">
        <v>49</v>
      </c>
      <c r="D3" s="51" t="s">
        <v>93</v>
      </c>
      <c r="E3" s="51" t="s">
        <v>134</v>
      </c>
      <c r="F3" s="51" t="s">
        <v>176</v>
      </c>
      <c r="G3" s="51" t="s">
        <v>89</v>
      </c>
      <c r="H3" s="51" t="s">
        <v>41</v>
      </c>
      <c r="I3" s="51" t="s">
        <v>185</v>
      </c>
      <c r="J3" s="51" t="s">
        <v>186</v>
      </c>
      <c r="K3" s="51" t="s">
        <v>139</v>
      </c>
      <c r="P3" s="51" t="s">
        <v>49</v>
      </c>
      <c r="Q3" s="51" t="s">
        <v>93</v>
      </c>
      <c r="R3" s="51" t="s">
        <v>138</v>
      </c>
      <c r="S3" s="51" t="s">
        <v>87</v>
      </c>
      <c r="T3" s="51" t="s">
        <v>53</v>
      </c>
      <c r="U3" s="51" t="s">
        <v>165</v>
      </c>
      <c r="V3" s="51" t="s">
        <v>167</v>
      </c>
      <c r="W3" s="51" t="s">
        <v>151</v>
      </c>
      <c r="X3" s="51" t="s">
        <v>140</v>
      </c>
      <c r="Y3" s="51" t="s">
        <v>64</v>
      </c>
      <c r="Z3" s="51" t="s">
        <v>57</v>
      </c>
      <c r="AA3" s="51" t="s">
        <v>86</v>
      </c>
      <c r="AB3" s="51" t="s">
        <v>119</v>
      </c>
      <c r="AC3" s="51" t="s">
        <v>505</v>
      </c>
      <c r="AD3" s="51" t="s">
        <v>90</v>
      </c>
      <c r="AE3" s="51" t="s">
        <v>172</v>
      </c>
      <c r="AF3" s="51" t="s">
        <v>173</v>
      </c>
      <c r="AG3" s="51" t="s">
        <v>210</v>
      </c>
      <c r="AH3" s="51" t="s">
        <v>48</v>
      </c>
      <c r="AI3" s="51" t="s">
        <v>139</v>
      </c>
      <c r="AJ3" s="48"/>
      <c r="AK3" s="48"/>
      <c r="AL3" s="48"/>
      <c r="AN3" s="51" t="s">
        <v>93</v>
      </c>
      <c r="AO3" s="51" t="s">
        <v>139</v>
      </c>
      <c r="AP3" s="51" t="s">
        <v>48</v>
      </c>
      <c r="AQ3" s="51" t="s">
        <v>49</v>
      </c>
      <c r="AR3" s="51" t="s">
        <v>203</v>
      </c>
      <c r="AS3" s="51" t="s">
        <v>187</v>
      </c>
      <c r="AT3" s="51" t="s">
        <v>171</v>
      </c>
      <c r="AU3" s="51" t="s">
        <v>170</v>
      </c>
      <c r="AV3" s="51" t="s">
        <v>181</v>
      </c>
      <c r="AW3" s="51" t="s">
        <v>169</v>
      </c>
      <c r="AX3" s="51" t="s">
        <v>146</v>
      </c>
      <c r="AY3" s="51" t="s">
        <v>199</v>
      </c>
      <c r="AZ3" s="51" t="s">
        <v>200</v>
      </c>
      <c r="BA3" s="51" t="s">
        <v>201</v>
      </c>
      <c r="BB3" s="48"/>
      <c r="BC3" s="48"/>
      <c r="BD3" s="48"/>
      <c r="BF3" s="51" t="s">
        <v>93</v>
      </c>
      <c r="BG3" s="51" t="s">
        <v>177</v>
      </c>
      <c r="BH3" s="51" t="s">
        <v>204</v>
      </c>
      <c r="BI3" s="51" t="s">
        <v>227</v>
      </c>
    </row>
    <row r="4" spans="1:61" ht="21" customHeight="1" x14ac:dyDescent="0.3">
      <c r="A4" s="44"/>
      <c r="B4" s="27" t="s">
        <v>1013</v>
      </c>
      <c r="C4" s="105">
        <v>45225</v>
      </c>
      <c r="D4" s="104" t="s">
        <v>1014</v>
      </c>
      <c r="E4" s="27" t="s">
        <v>82</v>
      </c>
      <c r="F4" s="120" t="s">
        <v>82</v>
      </c>
      <c r="G4" s="27" t="s">
        <v>37</v>
      </c>
      <c r="H4" s="27" t="s">
        <v>91</v>
      </c>
      <c r="I4" s="27" t="s">
        <v>7</v>
      </c>
      <c r="J4" s="27" t="s">
        <v>7</v>
      </c>
      <c r="K4" s="27" t="s">
        <v>1017</v>
      </c>
      <c r="P4" s="111">
        <v>45225</v>
      </c>
      <c r="Q4" s="111" t="s">
        <v>1014</v>
      </c>
      <c r="R4" s="53" t="s">
        <v>91</v>
      </c>
      <c r="S4" s="53" t="s">
        <v>91</v>
      </c>
      <c r="T4" s="53" t="s">
        <v>91</v>
      </c>
      <c r="U4" s="53"/>
      <c r="V4" s="53" t="s">
        <v>114</v>
      </c>
      <c r="W4" s="53" t="s">
        <v>91</v>
      </c>
      <c r="X4" s="112" t="s">
        <v>91</v>
      </c>
      <c r="Y4" s="53" t="s">
        <v>84</v>
      </c>
      <c r="Z4" s="54">
        <v>1.07</v>
      </c>
      <c r="AA4" s="53" t="s">
        <v>150</v>
      </c>
      <c r="AB4" s="53" t="s">
        <v>1066</v>
      </c>
      <c r="AC4" s="53" t="s">
        <v>7</v>
      </c>
      <c r="AD4" s="53" t="s">
        <v>261</v>
      </c>
      <c r="AE4" s="53">
        <v>1.07</v>
      </c>
      <c r="AF4" s="53">
        <v>7.8029999999999999</v>
      </c>
      <c r="AG4" s="53">
        <v>8.3789999999999996</v>
      </c>
      <c r="AH4" s="53" t="s">
        <v>1013</v>
      </c>
      <c r="AI4" s="53" t="s">
        <v>1017</v>
      </c>
      <c r="AN4" s="52" t="s">
        <v>819</v>
      </c>
      <c r="AO4" s="52" t="s">
        <v>823</v>
      </c>
      <c r="AP4" s="107" t="s">
        <v>818</v>
      </c>
      <c r="AQ4" s="107">
        <v>45225</v>
      </c>
      <c r="AR4" s="52" t="s">
        <v>688</v>
      </c>
      <c r="AS4" s="52" t="s">
        <v>688</v>
      </c>
      <c r="AT4" s="52" t="s">
        <v>183</v>
      </c>
      <c r="AU4" s="108" t="s">
        <v>179</v>
      </c>
      <c r="AV4" s="109" t="s">
        <v>961</v>
      </c>
      <c r="AW4" s="109" t="s">
        <v>962</v>
      </c>
      <c r="AX4" s="52" t="s">
        <v>148</v>
      </c>
      <c r="AY4" s="110"/>
      <c r="AZ4" s="108" t="s">
        <v>91</v>
      </c>
      <c r="BA4" s="108" t="s">
        <v>7</v>
      </c>
      <c r="BF4" s="52" t="s">
        <v>531</v>
      </c>
      <c r="BG4" s="52" t="s">
        <v>1076</v>
      </c>
      <c r="BH4" s="52" t="s">
        <v>194</v>
      </c>
      <c r="BI4" s="52" t="s">
        <v>255</v>
      </c>
    </row>
    <row r="5" spans="1:61" ht="21" customHeight="1" x14ac:dyDescent="0.3">
      <c r="A5" s="44"/>
      <c r="B5" s="27" t="s">
        <v>818</v>
      </c>
      <c r="C5" s="105">
        <v>45225</v>
      </c>
      <c r="D5" s="104" t="s">
        <v>819</v>
      </c>
      <c r="E5" s="27" t="s">
        <v>820</v>
      </c>
      <c r="F5" s="120" t="s">
        <v>820</v>
      </c>
      <c r="G5" s="27" t="s">
        <v>37</v>
      </c>
      <c r="H5" s="27" t="s">
        <v>91</v>
      </c>
      <c r="I5" s="27" t="s">
        <v>148</v>
      </c>
      <c r="J5" s="27" t="s">
        <v>7</v>
      </c>
      <c r="K5" s="27" t="s">
        <v>823</v>
      </c>
      <c r="P5" s="111">
        <v>45225</v>
      </c>
      <c r="Q5" s="111" t="s">
        <v>819</v>
      </c>
      <c r="R5" s="53" t="s">
        <v>705</v>
      </c>
      <c r="S5" s="53" t="s">
        <v>955</v>
      </c>
      <c r="T5" s="53" t="s">
        <v>757</v>
      </c>
      <c r="U5" s="53">
        <v>20</v>
      </c>
      <c r="V5" s="53" t="s">
        <v>114</v>
      </c>
      <c r="W5" s="53" t="s">
        <v>91</v>
      </c>
      <c r="X5" s="112" t="s">
        <v>91</v>
      </c>
      <c r="Y5" s="53" t="s">
        <v>84</v>
      </c>
      <c r="Z5" s="54">
        <v>5</v>
      </c>
      <c r="AA5" s="53" t="s">
        <v>956</v>
      </c>
      <c r="AB5" s="53" t="s">
        <v>757</v>
      </c>
      <c r="AC5" s="53" t="s">
        <v>7</v>
      </c>
      <c r="AD5" s="53" t="s">
        <v>261</v>
      </c>
      <c r="AE5" s="53">
        <v>5</v>
      </c>
      <c r="AF5" s="53">
        <v>36.463999999999999</v>
      </c>
      <c r="AG5" s="53">
        <v>39.152999999999999</v>
      </c>
      <c r="AH5" s="53" t="s">
        <v>818</v>
      </c>
      <c r="AI5" s="53" t="s">
        <v>823</v>
      </c>
      <c r="AN5" s="52"/>
      <c r="AO5" s="52"/>
      <c r="AP5" s="107"/>
      <c r="AQ5" s="107"/>
      <c r="AR5" s="52"/>
      <c r="AS5" s="52"/>
      <c r="AT5" s="52"/>
      <c r="AU5" s="108"/>
      <c r="AV5" s="109"/>
      <c r="AW5" s="109"/>
      <c r="AX5" s="52"/>
      <c r="AY5" s="110"/>
      <c r="AZ5" s="108"/>
      <c r="BA5" s="108"/>
      <c r="BF5" s="52" t="s">
        <v>1014</v>
      </c>
      <c r="BG5" s="52" t="s">
        <v>1071</v>
      </c>
      <c r="BH5" s="52" t="s">
        <v>195</v>
      </c>
      <c r="BI5" s="52" t="s">
        <v>256</v>
      </c>
    </row>
    <row r="6" spans="1:61" ht="21" customHeight="1" x14ac:dyDescent="0.3">
      <c r="A6" s="27"/>
      <c r="B6" s="27" t="s">
        <v>843</v>
      </c>
      <c r="C6" s="105">
        <v>45224</v>
      </c>
      <c r="D6" s="104" t="s">
        <v>844</v>
      </c>
      <c r="E6" s="27" t="s">
        <v>82</v>
      </c>
      <c r="F6" s="27" t="s">
        <v>82</v>
      </c>
      <c r="G6" s="27" t="s">
        <v>37</v>
      </c>
      <c r="H6" s="27" t="s">
        <v>91</v>
      </c>
      <c r="I6" s="27" t="s">
        <v>7</v>
      </c>
      <c r="J6" s="27" t="s">
        <v>7</v>
      </c>
      <c r="K6" s="27" t="s">
        <v>846</v>
      </c>
      <c r="P6" s="111">
        <v>45224</v>
      </c>
      <c r="Q6" s="111" t="s">
        <v>844</v>
      </c>
      <c r="R6" s="54" t="s">
        <v>91</v>
      </c>
      <c r="S6" s="54" t="s">
        <v>1072</v>
      </c>
      <c r="T6" s="53" t="s">
        <v>1073</v>
      </c>
      <c r="U6" s="53">
        <v>10</v>
      </c>
      <c r="V6" s="53" t="s">
        <v>114</v>
      </c>
      <c r="W6" s="53" t="s">
        <v>91</v>
      </c>
      <c r="X6" s="113" t="s">
        <v>91</v>
      </c>
      <c r="Y6" s="53" t="s">
        <v>105</v>
      </c>
      <c r="Z6" s="54">
        <v>4.97</v>
      </c>
      <c r="AA6" s="53" t="s">
        <v>150</v>
      </c>
      <c r="AB6" s="53" t="s">
        <v>771</v>
      </c>
      <c r="AC6" s="53" t="s">
        <v>7</v>
      </c>
      <c r="AD6" s="53" t="s">
        <v>109</v>
      </c>
      <c r="AE6" s="53">
        <v>0.68100000000000005</v>
      </c>
      <c r="AF6" s="53">
        <v>4.97</v>
      </c>
      <c r="AG6" s="53">
        <v>5.3339999999999996</v>
      </c>
      <c r="AH6" s="53" t="s">
        <v>843</v>
      </c>
      <c r="AI6" s="53" t="s">
        <v>846</v>
      </c>
      <c r="AN6" s="52"/>
      <c r="AO6" s="52"/>
      <c r="AP6" s="107"/>
      <c r="AQ6" s="107"/>
      <c r="AR6" s="52"/>
      <c r="AS6" s="52"/>
      <c r="AT6" s="52"/>
      <c r="AU6" s="108"/>
      <c r="AV6" s="109"/>
      <c r="AW6" s="109"/>
      <c r="AX6" s="52"/>
      <c r="AY6" s="107"/>
      <c r="AZ6" s="108"/>
      <c r="BA6" s="52"/>
      <c r="BF6" s="52" t="s">
        <v>844</v>
      </c>
      <c r="BG6" s="52" t="s">
        <v>963</v>
      </c>
      <c r="BH6" s="52" t="s">
        <v>195</v>
      </c>
      <c r="BI6" s="52" t="s">
        <v>256</v>
      </c>
    </row>
    <row r="7" spans="1:61" ht="21" customHeight="1" x14ac:dyDescent="0.3">
      <c r="A7" s="27"/>
      <c r="B7" s="27" t="s">
        <v>847</v>
      </c>
      <c r="C7" s="105">
        <v>45224</v>
      </c>
      <c r="D7" s="104" t="s">
        <v>802</v>
      </c>
      <c r="E7" s="120" t="s">
        <v>848</v>
      </c>
      <c r="F7" s="27" t="s">
        <v>441</v>
      </c>
      <c r="G7" s="27" t="s">
        <v>39</v>
      </c>
      <c r="H7" s="27" t="s">
        <v>91</v>
      </c>
      <c r="I7" s="27" t="s">
        <v>7</v>
      </c>
      <c r="J7" s="27" t="s">
        <v>7</v>
      </c>
      <c r="K7" s="27" t="s">
        <v>853</v>
      </c>
      <c r="P7" s="111">
        <v>45224</v>
      </c>
      <c r="Q7" s="111" t="s">
        <v>802</v>
      </c>
      <c r="R7" s="53" t="s">
        <v>91</v>
      </c>
      <c r="S7" s="54" t="s">
        <v>1075</v>
      </c>
      <c r="T7" s="145" t="s">
        <v>91</v>
      </c>
      <c r="U7" s="53"/>
      <c r="V7" s="53" t="s">
        <v>984</v>
      </c>
      <c r="W7" s="53" t="s">
        <v>1074</v>
      </c>
      <c r="X7" s="113" t="s">
        <v>91</v>
      </c>
      <c r="Y7" s="53" t="s">
        <v>280</v>
      </c>
      <c r="Z7" s="54">
        <v>1.5</v>
      </c>
      <c r="AA7" s="53" t="s">
        <v>150</v>
      </c>
      <c r="AB7" s="53" t="s">
        <v>986</v>
      </c>
      <c r="AC7" s="53" t="s">
        <v>753</v>
      </c>
      <c r="AD7" s="53" t="s">
        <v>109</v>
      </c>
      <c r="AE7" s="53">
        <v>0.9</v>
      </c>
      <c r="AF7" s="53">
        <v>6.5629999999999997</v>
      </c>
      <c r="AG7" s="53">
        <v>7.0449999999999999</v>
      </c>
      <c r="AH7" s="53" t="s">
        <v>847</v>
      </c>
      <c r="AI7" s="53" t="s">
        <v>853</v>
      </c>
      <c r="AN7" s="52"/>
      <c r="AO7" s="52"/>
      <c r="AP7" s="107"/>
      <c r="AQ7" s="107"/>
      <c r="AR7" s="52"/>
      <c r="AS7" s="52"/>
      <c r="AT7" s="52"/>
      <c r="AU7" s="108"/>
      <c r="AV7" s="109"/>
      <c r="AW7" s="108"/>
      <c r="AX7" s="52"/>
      <c r="AY7" s="107"/>
      <c r="AZ7" s="108"/>
      <c r="BA7" s="108"/>
      <c r="BF7" s="52"/>
      <c r="BG7" s="52"/>
      <c r="BH7" s="52"/>
      <c r="BI7" s="52"/>
    </row>
    <row r="8" spans="1:61" ht="21" customHeight="1" x14ac:dyDescent="0.25">
      <c r="A8" s="27"/>
      <c r="B8" s="27" t="s">
        <v>829</v>
      </c>
      <c r="C8" s="105">
        <v>45224</v>
      </c>
      <c r="D8" s="104" t="s">
        <v>825</v>
      </c>
      <c r="E8" s="27" t="s">
        <v>82</v>
      </c>
      <c r="F8" s="120" t="s">
        <v>826</v>
      </c>
      <c r="G8" s="27" t="s">
        <v>37</v>
      </c>
      <c r="H8" s="27" t="s">
        <v>91</v>
      </c>
      <c r="I8" s="27" t="s">
        <v>964</v>
      </c>
      <c r="J8" s="27" t="s">
        <v>7</v>
      </c>
      <c r="K8" s="27" t="s">
        <v>831</v>
      </c>
      <c r="P8" s="111">
        <v>45224</v>
      </c>
      <c r="Q8" s="111" t="s">
        <v>825</v>
      </c>
      <c r="R8" s="54" t="s">
        <v>91</v>
      </c>
      <c r="S8" s="54" t="s">
        <v>91</v>
      </c>
      <c r="T8" s="53" t="s">
        <v>91</v>
      </c>
      <c r="U8" s="53"/>
      <c r="V8" s="53" t="s">
        <v>114</v>
      </c>
      <c r="W8" s="53" t="s">
        <v>91</v>
      </c>
      <c r="X8" s="113" t="s">
        <v>250</v>
      </c>
      <c r="Y8" s="53" t="s">
        <v>105</v>
      </c>
      <c r="Z8" s="54">
        <v>30</v>
      </c>
      <c r="AA8" s="53" t="s">
        <v>957</v>
      </c>
      <c r="AB8" s="53" t="s">
        <v>916</v>
      </c>
      <c r="AC8" s="53" t="s">
        <v>7</v>
      </c>
      <c r="AD8" s="53" t="s">
        <v>261</v>
      </c>
      <c r="AE8" s="53">
        <v>4.1130000000000004</v>
      </c>
      <c r="AF8" s="53">
        <v>30</v>
      </c>
      <c r="AG8" s="53">
        <v>32.198999999999998</v>
      </c>
      <c r="AH8" s="53" t="s">
        <v>829</v>
      </c>
      <c r="AI8" s="53" t="s">
        <v>831</v>
      </c>
      <c r="AN8" s="52"/>
      <c r="AO8" s="52"/>
      <c r="AP8" s="107"/>
      <c r="AQ8" s="107"/>
      <c r="AR8" s="52"/>
      <c r="AS8" s="52"/>
      <c r="AT8" s="52"/>
      <c r="AU8" s="108"/>
      <c r="AV8" s="108"/>
      <c r="AW8" s="108"/>
      <c r="AX8" s="52"/>
      <c r="AY8" s="110"/>
      <c r="AZ8" s="108"/>
      <c r="BA8" s="52"/>
      <c r="BF8" s="52"/>
      <c r="BG8" s="52"/>
      <c r="BH8" s="52"/>
      <c r="BI8" s="52"/>
    </row>
    <row r="9" spans="1:61" ht="21" customHeight="1" x14ac:dyDescent="0.25">
      <c r="A9" s="27"/>
      <c r="B9" s="27" t="s">
        <v>824</v>
      </c>
      <c r="C9" s="105">
        <v>45224</v>
      </c>
      <c r="D9" s="104" t="s">
        <v>825</v>
      </c>
      <c r="E9" s="27" t="s">
        <v>82</v>
      </c>
      <c r="F9" s="27" t="s">
        <v>826</v>
      </c>
      <c r="G9" s="27" t="s">
        <v>37</v>
      </c>
      <c r="H9" s="27" t="s">
        <v>91</v>
      </c>
      <c r="I9" s="27" t="s">
        <v>964</v>
      </c>
      <c r="J9" s="27" t="s">
        <v>7</v>
      </c>
      <c r="K9" s="27" t="s">
        <v>828</v>
      </c>
      <c r="P9" s="111">
        <v>45224</v>
      </c>
      <c r="Q9" s="111" t="s">
        <v>825</v>
      </c>
      <c r="R9" s="54" t="s">
        <v>91</v>
      </c>
      <c r="S9" s="54" t="s">
        <v>91</v>
      </c>
      <c r="T9" s="53" t="s">
        <v>91</v>
      </c>
      <c r="U9" s="53"/>
      <c r="V9" s="53" t="s">
        <v>114</v>
      </c>
      <c r="W9" s="53" t="s">
        <v>91</v>
      </c>
      <c r="X9" s="113" t="s">
        <v>250</v>
      </c>
      <c r="Y9" s="54" t="s">
        <v>105</v>
      </c>
      <c r="Z9" s="54">
        <v>40</v>
      </c>
      <c r="AA9" s="53" t="s">
        <v>462</v>
      </c>
      <c r="AB9" s="53" t="s">
        <v>933</v>
      </c>
      <c r="AC9" s="53" t="s">
        <v>7</v>
      </c>
      <c r="AD9" s="53" t="s">
        <v>109</v>
      </c>
      <c r="AE9" s="53">
        <v>5.484</v>
      </c>
      <c r="AF9" s="53">
        <v>40</v>
      </c>
      <c r="AG9" s="53">
        <v>42.932000000000002</v>
      </c>
      <c r="AH9" s="53" t="s">
        <v>824</v>
      </c>
      <c r="AI9" s="53" t="s">
        <v>828</v>
      </c>
      <c r="AN9" s="52"/>
      <c r="AO9" s="52"/>
      <c r="AP9" s="107"/>
      <c r="AQ9" s="107"/>
      <c r="AR9" s="52"/>
      <c r="AS9" s="52"/>
      <c r="AT9" s="52"/>
      <c r="AU9" s="108"/>
      <c r="AV9" s="108"/>
      <c r="AW9" s="108"/>
      <c r="AX9" s="52"/>
      <c r="AY9" s="110"/>
      <c r="AZ9" s="108"/>
      <c r="BA9" s="52"/>
      <c r="BF9" s="52"/>
      <c r="BG9" s="52"/>
      <c r="BH9" s="52"/>
      <c r="BI9" s="52"/>
    </row>
    <row r="10" spans="1:61" ht="21" customHeight="1" x14ac:dyDescent="0.25">
      <c r="A10" s="27"/>
      <c r="B10" s="27" t="s">
        <v>832</v>
      </c>
      <c r="C10" s="105">
        <v>45224</v>
      </c>
      <c r="D10" s="104" t="s">
        <v>825</v>
      </c>
      <c r="E10" s="27" t="s">
        <v>82</v>
      </c>
      <c r="F10" s="120" t="s">
        <v>826</v>
      </c>
      <c r="G10" s="27" t="s">
        <v>37</v>
      </c>
      <c r="H10" s="27" t="s">
        <v>91</v>
      </c>
      <c r="I10" s="27" t="s">
        <v>964</v>
      </c>
      <c r="J10" s="27" t="s">
        <v>7</v>
      </c>
      <c r="K10" s="27" t="s">
        <v>834</v>
      </c>
      <c r="P10" s="111">
        <v>45224</v>
      </c>
      <c r="Q10" s="111" t="s">
        <v>825</v>
      </c>
      <c r="R10" s="54" t="s">
        <v>91</v>
      </c>
      <c r="S10" s="54" t="s">
        <v>91</v>
      </c>
      <c r="T10" s="53" t="s">
        <v>91</v>
      </c>
      <c r="U10" s="53"/>
      <c r="V10" s="53" t="s">
        <v>114</v>
      </c>
      <c r="W10" s="53" t="s">
        <v>91</v>
      </c>
      <c r="X10" s="113" t="s">
        <v>250</v>
      </c>
      <c r="Y10" s="53" t="s">
        <v>105</v>
      </c>
      <c r="Z10" s="54">
        <v>50</v>
      </c>
      <c r="AA10" s="53" t="s">
        <v>958</v>
      </c>
      <c r="AB10" s="53" t="s">
        <v>929</v>
      </c>
      <c r="AC10" s="53" t="s">
        <v>7</v>
      </c>
      <c r="AD10" s="53" t="s">
        <v>261</v>
      </c>
      <c r="AE10" s="53">
        <v>6.8550000000000004</v>
      </c>
      <c r="AF10" s="53">
        <v>50</v>
      </c>
      <c r="AG10" s="53">
        <v>53.664999999999999</v>
      </c>
      <c r="AH10" s="53" t="s">
        <v>832</v>
      </c>
      <c r="AI10" s="53" t="s">
        <v>834</v>
      </c>
      <c r="AN10" s="52"/>
      <c r="AO10" s="52"/>
      <c r="AP10" s="107"/>
      <c r="AQ10" s="107"/>
      <c r="AR10" s="52"/>
      <c r="AS10" s="52"/>
      <c r="AT10" s="52"/>
      <c r="AU10" s="108"/>
      <c r="AV10" s="52"/>
      <c r="AW10" s="52"/>
      <c r="AX10" s="52"/>
      <c r="AY10" s="110"/>
      <c r="AZ10" s="52"/>
      <c r="BA10" s="52"/>
      <c r="BF10" s="52"/>
      <c r="BG10" s="52"/>
      <c r="BH10" s="52"/>
      <c r="BI10" s="52"/>
    </row>
    <row r="11" spans="1:61" ht="21" customHeight="1" x14ac:dyDescent="0.25">
      <c r="A11" s="27"/>
      <c r="B11" s="27" t="s">
        <v>835</v>
      </c>
      <c r="C11" s="105">
        <v>45224</v>
      </c>
      <c r="D11" s="104" t="s">
        <v>825</v>
      </c>
      <c r="E11" s="27" t="s">
        <v>82</v>
      </c>
      <c r="F11" s="120" t="s">
        <v>826</v>
      </c>
      <c r="G11" s="27" t="s">
        <v>37</v>
      </c>
      <c r="H11" s="27" t="s">
        <v>91</v>
      </c>
      <c r="I11" s="27" t="s">
        <v>964</v>
      </c>
      <c r="J11" s="27" t="s">
        <v>7</v>
      </c>
      <c r="K11" s="27" t="s">
        <v>837</v>
      </c>
      <c r="P11" s="111">
        <v>45224</v>
      </c>
      <c r="Q11" s="111" t="s">
        <v>825</v>
      </c>
      <c r="R11" s="54" t="s">
        <v>91</v>
      </c>
      <c r="S11" s="54" t="s">
        <v>91</v>
      </c>
      <c r="T11" s="53" t="s">
        <v>91</v>
      </c>
      <c r="U11" s="53"/>
      <c r="V11" s="53" t="s">
        <v>114</v>
      </c>
      <c r="W11" s="113" t="s">
        <v>91</v>
      </c>
      <c r="X11" s="113" t="s">
        <v>250</v>
      </c>
      <c r="Y11" s="53" t="s">
        <v>105</v>
      </c>
      <c r="Z11" s="54">
        <v>40</v>
      </c>
      <c r="AA11" s="53" t="s">
        <v>959</v>
      </c>
      <c r="AB11" s="53" t="s">
        <v>925</v>
      </c>
      <c r="AC11" s="53" t="s">
        <v>7</v>
      </c>
      <c r="AD11" s="53" t="s">
        <v>261</v>
      </c>
      <c r="AE11" s="53">
        <v>5.484</v>
      </c>
      <c r="AF11" s="53">
        <v>40</v>
      </c>
      <c r="AG11" s="53">
        <v>42.932000000000002</v>
      </c>
      <c r="AH11" s="53" t="s">
        <v>835</v>
      </c>
      <c r="AI11" s="53" t="s">
        <v>837</v>
      </c>
      <c r="AN11" s="52"/>
      <c r="AO11" s="52"/>
      <c r="AP11" s="107"/>
      <c r="AQ11" s="107"/>
      <c r="AR11" s="52"/>
      <c r="AS11" s="52"/>
      <c r="AT11" s="52"/>
      <c r="AU11" s="108"/>
      <c r="AV11" s="52"/>
      <c r="AW11" s="52"/>
      <c r="AX11" s="52"/>
      <c r="AY11" s="107"/>
      <c r="AZ11" s="52"/>
      <c r="BA11" s="52"/>
      <c r="BF11" s="52"/>
      <c r="BG11" s="52"/>
      <c r="BH11" s="52"/>
      <c r="BI11" s="52"/>
    </row>
    <row r="12" spans="1:61" ht="21" customHeight="1" x14ac:dyDescent="0.25">
      <c r="A12" s="27" t="s">
        <v>965</v>
      </c>
      <c r="B12" s="27" t="s">
        <v>722</v>
      </c>
      <c r="C12" s="105">
        <v>45223</v>
      </c>
      <c r="D12" s="104" t="s">
        <v>723</v>
      </c>
      <c r="E12" s="27" t="s">
        <v>82</v>
      </c>
      <c r="F12" s="27" t="s">
        <v>82</v>
      </c>
      <c r="G12" s="27" t="s">
        <v>39</v>
      </c>
      <c r="H12" s="27" t="s">
        <v>91</v>
      </c>
      <c r="I12" s="27" t="s">
        <v>7</v>
      </c>
      <c r="J12" s="27" t="s">
        <v>7</v>
      </c>
      <c r="K12" s="27" t="s">
        <v>857</v>
      </c>
      <c r="P12" s="111">
        <v>45223</v>
      </c>
      <c r="Q12" s="111" t="s">
        <v>723</v>
      </c>
      <c r="R12" s="53" t="s">
        <v>91</v>
      </c>
      <c r="S12" s="54" t="s">
        <v>91</v>
      </c>
      <c r="T12" s="113"/>
      <c r="U12" s="53"/>
      <c r="V12" s="53" t="s">
        <v>114</v>
      </c>
      <c r="W12" s="53" t="s">
        <v>91</v>
      </c>
      <c r="X12" s="113" t="s">
        <v>250</v>
      </c>
      <c r="Y12" s="53" t="s">
        <v>105</v>
      </c>
      <c r="Z12" s="54">
        <v>1.5</v>
      </c>
      <c r="AA12" s="53" t="s">
        <v>150</v>
      </c>
      <c r="AB12" s="53" t="s">
        <v>735</v>
      </c>
      <c r="AC12" s="53" t="s">
        <v>7</v>
      </c>
      <c r="AD12" s="53" t="s">
        <v>249</v>
      </c>
      <c r="AE12" s="53">
        <v>0.20599999999999999</v>
      </c>
      <c r="AF12" s="53">
        <v>1.5</v>
      </c>
      <c r="AG12" s="53">
        <v>1.61</v>
      </c>
      <c r="AH12" s="53" t="s">
        <v>722</v>
      </c>
      <c r="AI12" s="53" t="s">
        <v>857</v>
      </c>
      <c r="AN12" s="52"/>
      <c r="AO12" s="52"/>
      <c r="AP12" s="107"/>
      <c r="AQ12" s="107"/>
      <c r="AR12" s="52"/>
      <c r="AS12" s="52"/>
      <c r="AT12" s="52"/>
      <c r="AU12" s="108"/>
      <c r="AV12" s="52"/>
      <c r="AW12" s="52"/>
      <c r="AX12" s="52"/>
      <c r="AY12" s="107"/>
      <c r="AZ12" s="52"/>
      <c r="BA12" s="52"/>
      <c r="BF12" s="52"/>
      <c r="BG12" s="52"/>
      <c r="BH12" s="52"/>
      <c r="BI12" s="52"/>
    </row>
    <row r="13" spans="1:61" ht="21" customHeight="1" x14ac:dyDescent="0.25">
      <c r="A13" s="27"/>
      <c r="B13" s="27" t="s">
        <v>863</v>
      </c>
      <c r="C13" s="105">
        <v>45223</v>
      </c>
      <c r="D13" s="104" t="s">
        <v>723</v>
      </c>
      <c r="E13" s="27" t="s">
        <v>82</v>
      </c>
      <c r="F13" s="27" t="s">
        <v>82</v>
      </c>
      <c r="G13" s="27" t="s">
        <v>39</v>
      </c>
      <c r="H13" s="27" t="s">
        <v>91</v>
      </c>
      <c r="I13" s="27" t="s">
        <v>7</v>
      </c>
      <c r="J13" s="27" t="s">
        <v>7</v>
      </c>
      <c r="K13" s="27" t="s">
        <v>864</v>
      </c>
      <c r="P13" s="111">
        <v>45223</v>
      </c>
      <c r="Q13" s="111" t="s">
        <v>723</v>
      </c>
      <c r="R13" s="53" t="s">
        <v>91</v>
      </c>
      <c r="S13" s="53" t="s">
        <v>91</v>
      </c>
      <c r="T13" s="53" t="s">
        <v>91</v>
      </c>
      <c r="U13" s="53"/>
      <c r="V13" s="53" t="s">
        <v>114</v>
      </c>
      <c r="W13" s="53" t="s">
        <v>91</v>
      </c>
      <c r="X13" s="113" t="s">
        <v>250</v>
      </c>
      <c r="Y13" s="53" t="s">
        <v>105</v>
      </c>
      <c r="Z13" s="54">
        <v>1.5</v>
      </c>
      <c r="AA13" s="53" t="s">
        <v>150</v>
      </c>
      <c r="AB13" s="53" t="s">
        <v>735</v>
      </c>
      <c r="AC13" s="53" t="s">
        <v>7</v>
      </c>
      <c r="AD13" s="53" t="s">
        <v>249</v>
      </c>
      <c r="AE13" s="53">
        <v>0.20599999999999999</v>
      </c>
      <c r="AF13" s="53">
        <v>1.5</v>
      </c>
      <c r="AG13" s="53">
        <v>1.61</v>
      </c>
      <c r="AH13" s="53" t="s">
        <v>863</v>
      </c>
      <c r="AI13" s="53" t="s">
        <v>864</v>
      </c>
      <c r="AZ13" s="52"/>
      <c r="BA13" s="52"/>
    </row>
    <row r="14" spans="1:61" ht="21" customHeight="1" x14ac:dyDescent="0.25">
      <c r="A14" s="27"/>
      <c r="B14" s="27"/>
      <c r="C14" s="105"/>
      <c r="D14" s="104"/>
      <c r="E14" s="27"/>
      <c r="F14" s="27"/>
      <c r="G14" s="27"/>
      <c r="H14" s="27"/>
      <c r="I14" s="27"/>
      <c r="J14" s="27"/>
      <c r="K14" s="27"/>
      <c r="P14" s="111"/>
      <c r="Q14" s="111"/>
      <c r="R14" s="53"/>
      <c r="S14" s="53"/>
      <c r="T14" s="113"/>
      <c r="U14" s="53"/>
      <c r="V14" s="53"/>
      <c r="W14" s="53"/>
      <c r="X14" s="53"/>
      <c r="Y14" s="53"/>
      <c r="Z14" s="54"/>
      <c r="AA14" s="53"/>
      <c r="AB14" s="53"/>
      <c r="AC14" s="53"/>
      <c r="AD14" s="53"/>
      <c r="AE14" s="53"/>
      <c r="AF14" s="53"/>
      <c r="AG14" s="53"/>
      <c r="AH14" s="53"/>
      <c r="AI14" s="53"/>
      <c r="BA14" s="52"/>
    </row>
    <row r="15" spans="1:61" ht="21" customHeight="1" x14ac:dyDescent="0.25">
      <c r="A15" s="27"/>
      <c r="B15" s="27"/>
      <c r="C15" s="105"/>
      <c r="D15" s="104"/>
      <c r="E15" s="27"/>
      <c r="F15" s="27"/>
      <c r="G15" s="27"/>
      <c r="H15" s="27"/>
      <c r="I15" s="27"/>
      <c r="J15" s="27"/>
      <c r="K15" s="27"/>
      <c r="P15" s="111"/>
      <c r="Q15" s="111"/>
      <c r="R15" s="53"/>
      <c r="S15" s="53"/>
      <c r="T15" s="53"/>
      <c r="U15" s="53"/>
      <c r="V15" s="53"/>
      <c r="W15" s="53"/>
      <c r="X15" s="113"/>
      <c r="Y15" s="53"/>
      <c r="Z15" s="54"/>
      <c r="AA15" s="53"/>
      <c r="AB15" s="53"/>
      <c r="AC15" s="53"/>
      <c r="AD15" s="53"/>
      <c r="AE15" s="53"/>
      <c r="AF15" s="53"/>
      <c r="AG15" s="53"/>
      <c r="AH15" s="53"/>
      <c r="AI15" s="53"/>
      <c r="BA15" s="52"/>
    </row>
    <row r="16" spans="1:61" ht="21" customHeight="1" x14ac:dyDescent="0.25">
      <c r="A16" s="27"/>
      <c r="B16" s="27"/>
      <c r="C16" s="105"/>
      <c r="D16" s="104"/>
      <c r="E16" s="27"/>
      <c r="F16" s="27"/>
      <c r="G16" s="27"/>
      <c r="H16" s="27"/>
      <c r="I16" s="27"/>
      <c r="J16" s="27"/>
      <c r="K16" s="27"/>
      <c r="P16" s="111"/>
      <c r="Q16" s="111"/>
      <c r="R16" s="53"/>
      <c r="S16" s="53"/>
      <c r="T16" s="113"/>
      <c r="U16" s="53"/>
      <c r="V16" s="53"/>
      <c r="W16" s="53"/>
      <c r="X16" s="53"/>
      <c r="Y16" s="53"/>
      <c r="Z16" s="54"/>
      <c r="AA16" s="53"/>
      <c r="AB16" s="53"/>
      <c r="AC16" s="53"/>
      <c r="AD16" s="53"/>
      <c r="AE16" s="53"/>
      <c r="AF16" s="53"/>
      <c r="AG16" s="53"/>
      <c r="AH16" s="53"/>
      <c r="AI16" s="53"/>
    </row>
    <row r="17" spans="1:51" ht="21" customHeight="1" x14ac:dyDescent="0.25">
      <c r="A17" s="27"/>
      <c r="B17" s="27"/>
      <c r="C17" s="105"/>
      <c r="D17" s="104"/>
      <c r="E17" s="27"/>
      <c r="F17" s="27"/>
      <c r="G17" s="27"/>
      <c r="H17" s="27"/>
      <c r="I17" s="27"/>
      <c r="J17" s="27"/>
      <c r="K17" s="27"/>
      <c r="P17" s="111"/>
      <c r="Q17" s="111"/>
      <c r="R17" s="53"/>
      <c r="S17" s="53"/>
      <c r="T17" s="53"/>
      <c r="U17" s="53"/>
      <c r="V17" s="53"/>
      <c r="W17" s="53"/>
      <c r="X17" s="53"/>
      <c r="Y17" s="53"/>
      <c r="Z17" s="54"/>
      <c r="AA17" s="53"/>
      <c r="AB17" s="53"/>
      <c r="AC17" s="53"/>
      <c r="AD17" s="53"/>
      <c r="AE17" s="53"/>
      <c r="AF17" s="53"/>
      <c r="AG17" s="53"/>
      <c r="AH17" s="53"/>
      <c r="AI17" s="53"/>
    </row>
    <row r="18" spans="1:51" ht="21" customHeight="1" x14ac:dyDescent="0.25">
      <c r="A18" s="27"/>
      <c r="B18" s="27"/>
      <c r="C18" s="105"/>
      <c r="D18" s="104"/>
      <c r="E18" s="27"/>
      <c r="F18" s="27"/>
      <c r="G18" s="27"/>
      <c r="H18" s="27"/>
      <c r="I18" s="27"/>
      <c r="J18" s="27"/>
      <c r="K18" s="27"/>
      <c r="P18" s="111"/>
      <c r="Q18" s="111"/>
      <c r="R18" s="53"/>
      <c r="S18" s="53"/>
      <c r="T18" s="53"/>
      <c r="U18" s="53"/>
      <c r="V18" s="53"/>
      <c r="W18" s="53"/>
      <c r="X18" s="53"/>
      <c r="Y18" s="53"/>
      <c r="Z18" s="54"/>
      <c r="AA18" s="53"/>
      <c r="AB18" s="53"/>
      <c r="AC18" s="53"/>
      <c r="AD18" s="53"/>
      <c r="AE18" s="53"/>
      <c r="AF18" s="53"/>
      <c r="AG18" s="53"/>
      <c r="AH18" s="53"/>
      <c r="AI18" s="53"/>
    </row>
    <row r="19" spans="1:51" ht="21" customHeight="1" x14ac:dyDescent="0.25">
      <c r="A19" s="27"/>
      <c r="B19" s="27"/>
      <c r="C19" s="105"/>
      <c r="D19" s="104"/>
      <c r="E19" s="27"/>
      <c r="F19" s="27"/>
      <c r="G19" s="27"/>
      <c r="H19" s="27"/>
      <c r="I19" s="27"/>
      <c r="J19" s="27"/>
      <c r="K19" s="27"/>
      <c r="P19" s="111"/>
      <c r="Q19" s="111"/>
      <c r="R19" s="53"/>
      <c r="S19" s="53"/>
      <c r="T19" s="53"/>
      <c r="U19" s="53"/>
      <c r="V19" s="53"/>
      <c r="W19" s="53"/>
      <c r="X19" s="53"/>
      <c r="Y19" s="53"/>
      <c r="Z19" s="54"/>
      <c r="AA19" s="53"/>
      <c r="AB19" s="53"/>
      <c r="AC19" s="53"/>
      <c r="AD19" s="53"/>
      <c r="AE19" s="53"/>
      <c r="AF19" s="53"/>
      <c r="AG19" s="53"/>
      <c r="AH19" s="53"/>
      <c r="AI19" s="53"/>
    </row>
    <row r="20" spans="1:51" ht="21" customHeight="1" x14ac:dyDescent="0.25">
      <c r="A20" s="27"/>
      <c r="B20" s="27"/>
      <c r="C20" s="105"/>
      <c r="D20" s="104"/>
      <c r="E20" s="27"/>
      <c r="F20" s="27"/>
      <c r="G20" s="27"/>
      <c r="H20" s="27"/>
      <c r="I20" s="27"/>
      <c r="J20" s="27"/>
      <c r="K20" s="27"/>
      <c r="P20" s="111"/>
      <c r="Q20" s="111"/>
      <c r="R20" s="53"/>
      <c r="S20" s="53"/>
      <c r="T20" s="53"/>
      <c r="U20" s="53"/>
      <c r="V20" s="53"/>
      <c r="W20" s="53"/>
      <c r="X20" s="53"/>
      <c r="Y20" s="53"/>
      <c r="Z20" s="54"/>
      <c r="AA20" s="53"/>
      <c r="AB20" s="53"/>
      <c r="AC20" s="53"/>
      <c r="AD20" s="53"/>
      <c r="AE20" s="53"/>
      <c r="AF20" s="53"/>
      <c r="AG20" s="53"/>
      <c r="AH20" s="53"/>
      <c r="AI20" s="53"/>
    </row>
    <row r="21" spans="1:51" ht="21" customHeight="1" x14ac:dyDescent="0.25">
      <c r="A21" s="27"/>
      <c r="B21" s="27"/>
      <c r="C21" s="105"/>
      <c r="D21" s="104"/>
      <c r="E21" s="27"/>
      <c r="F21" s="27"/>
      <c r="G21" s="27"/>
      <c r="H21" s="27"/>
      <c r="I21" s="27"/>
      <c r="J21" s="27"/>
      <c r="K21" s="27"/>
      <c r="P21" s="111"/>
      <c r="Q21" s="111"/>
      <c r="R21" s="53"/>
      <c r="S21" s="53"/>
      <c r="T21" s="53"/>
      <c r="U21" s="53"/>
      <c r="V21" s="53"/>
      <c r="W21" s="53"/>
      <c r="X21" s="53"/>
      <c r="Y21" s="53"/>
      <c r="Z21" s="54"/>
      <c r="AA21" s="53"/>
      <c r="AB21" s="53"/>
      <c r="AC21" s="53"/>
      <c r="AD21" s="53"/>
      <c r="AE21" s="53"/>
      <c r="AF21" s="53"/>
      <c r="AG21" s="53"/>
      <c r="AH21" s="53"/>
      <c r="AI21" s="53"/>
    </row>
    <row r="22" spans="1:51" ht="21" customHeight="1" x14ac:dyDescent="0.25">
      <c r="A22" s="27"/>
      <c r="B22" s="27"/>
      <c r="C22" s="105"/>
      <c r="D22" s="104"/>
      <c r="E22" s="27"/>
      <c r="F22" s="27"/>
      <c r="G22" s="27"/>
      <c r="H22" s="27"/>
      <c r="I22" s="27"/>
      <c r="J22" s="27"/>
      <c r="K22" s="27"/>
      <c r="P22" s="111"/>
      <c r="Q22" s="111"/>
      <c r="R22" s="53"/>
      <c r="S22" s="53"/>
      <c r="T22" s="53"/>
      <c r="U22" s="53"/>
      <c r="V22" s="53"/>
      <c r="W22" s="53"/>
      <c r="X22" s="53"/>
      <c r="Y22" s="53"/>
      <c r="Z22" s="54"/>
      <c r="AA22" s="53"/>
      <c r="AB22" s="53"/>
      <c r="AC22" s="53"/>
      <c r="AD22" s="53"/>
      <c r="AE22" s="53"/>
      <c r="AF22" s="53"/>
      <c r="AG22" s="53"/>
      <c r="AH22" s="53"/>
      <c r="AI22" s="53"/>
    </row>
    <row r="23" spans="1:51" ht="21" customHeight="1" x14ac:dyDescent="0.25">
      <c r="A23" s="27"/>
      <c r="B23" s="27"/>
      <c r="C23" s="105"/>
      <c r="D23" s="104"/>
      <c r="E23" s="27"/>
      <c r="F23" s="27"/>
      <c r="G23" s="27"/>
      <c r="H23" s="27"/>
      <c r="I23" s="27"/>
      <c r="J23" s="27"/>
      <c r="K23" s="27"/>
      <c r="P23" s="111"/>
      <c r="Q23" s="111"/>
      <c r="R23" s="53"/>
      <c r="S23" s="53"/>
      <c r="T23" s="53"/>
      <c r="U23" s="53"/>
      <c r="V23" s="53"/>
      <c r="W23" s="53"/>
      <c r="X23" s="53"/>
      <c r="Y23" s="53"/>
      <c r="Z23" s="54"/>
      <c r="AA23" s="53"/>
      <c r="AB23" s="53"/>
      <c r="AC23" s="53"/>
      <c r="AD23" s="53"/>
      <c r="AE23" s="53"/>
      <c r="AF23" s="53"/>
      <c r="AG23" s="53"/>
      <c r="AH23" s="53"/>
      <c r="AI23" s="53"/>
    </row>
    <row r="24" spans="1:51" ht="21" customHeight="1" x14ac:dyDescent="0.25">
      <c r="A24" s="27"/>
      <c r="B24" s="27"/>
      <c r="C24" s="105"/>
      <c r="D24" s="104"/>
      <c r="E24" s="27"/>
      <c r="F24" s="27"/>
      <c r="G24" s="27"/>
      <c r="H24" s="27"/>
      <c r="I24" s="27"/>
      <c r="J24" s="27"/>
      <c r="K24" s="27"/>
      <c r="P24" s="111"/>
      <c r="Q24" s="111"/>
      <c r="R24" s="53"/>
      <c r="S24" s="53"/>
      <c r="T24" s="53"/>
      <c r="U24" s="53"/>
      <c r="V24" s="53"/>
      <c r="W24" s="53"/>
      <c r="X24" s="53"/>
      <c r="Y24" s="53"/>
      <c r="Z24" s="54"/>
      <c r="AA24" s="53"/>
      <c r="AB24" s="53"/>
      <c r="AC24" s="53"/>
      <c r="AD24" s="53"/>
      <c r="AE24" s="53"/>
      <c r="AF24" s="53"/>
      <c r="AG24" s="53"/>
      <c r="AH24" s="53"/>
      <c r="AI24" s="53"/>
    </row>
    <row r="25" spans="1:51" ht="21" customHeight="1" x14ac:dyDescent="0.25">
      <c r="A25" s="27"/>
      <c r="B25" s="27"/>
      <c r="C25" s="105"/>
      <c r="D25" s="104"/>
      <c r="E25" s="27"/>
      <c r="F25" s="27"/>
      <c r="G25" s="27"/>
      <c r="H25" s="27"/>
      <c r="I25" s="27"/>
      <c r="J25" s="27"/>
      <c r="K25" s="27"/>
      <c r="P25" s="111"/>
      <c r="Q25" s="111"/>
      <c r="R25" s="53"/>
      <c r="S25" s="53"/>
      <c r="T25" s="53"/>
      <c r="U25" s="53"/>
      <c r="V25" s="53"/>
      <c r="W25" s="53"/>
      <c r="X25" s="53"/>
      <c r="Y25" s="53"/>
      <c r="Z25" s="54"/>
      <c r="AA25" s="53"/>
      <c r="AB25" s="53"/>
      <c r="AC25" s="53"/>
      <c r="AD25" s="53"/>
      <c r="AE25" s="53"/>
      <c r="AF25" s="53"/>
      <c r="AG25" s="53"/>
      <c r="AH25" s="53"/>
      <c r="AI25" s="53"/>
    </row>
    <row r="26" spans="1:51" ht="21" customHeight="1" x14ac:dyDescent="0.25">
      <c r="A26" s="27"/>
      <c r="B26" s="27"/>
      <c r="C26" s="105"/>
      <c r="D26" s="104"/>
      <c r="E26" s="27"/>
      <c r="F26" s="27"/>
      <c r="G26" s="27"/>
      <c r="H26" s="27"/>
      <c r="I26" s="27"/>
      <c r="J26" s="27"/>
      <c r="K26" s="27"/>
      <c r="P26" s="111"/>
      <c r="Q26" s="111"/>
      <c r="R26" s="53"/>
      <c r="S26" s="53"/>
      <c r="T26" s="53"/>
      <c r="U26" s="53"/>
      <c r="V26" s="53"/>
      <c r="W26" s="53"/>
      <c r="X26" s="53"/>
      <c r="Y26" s="53"/>
      <c r="Z26" s="54"/>
      <c r="AA26" s="53"/>
      <c r="AB26" s="53"/>
      <c r="AC26" s="53"/>
      <c r="AD26" s="53"/>
      <c r="AE26" s="53"/>
      <c r="AF26" s="53"/>
      <c r="AG26" s="53"/>
      <c r="AH26" s="53"/>
      <c r="AI26" s="53"/>
    </row>
    <row r="27" spans="1:51" ht="20.100000000000001" customHeight="1" x14ac:dyDescent="0.25">
      <c r="P27" s="52"/>
      <c r="Q27" s="52"/>
      <c r="R27" s="52"/>
      <c r="S27" s="52"/>
      <c r="T27" s="52"/>
      <c r="V27" s="52"/>
      <c r="Z27" s="52"/>
      <c r="AA27" s="52"/>
      <c r="AD27" s="52"/>
      <c r="AE27" s="52"/>
      <c r="AF27" s="52"/>
      <c r="AG27" s="52"/>
    </row>
    <row r="28" spans="1:51" ht="20.100000000000001" customHeight="1" x14ac:dyDescent="0.25">
      <c r="P28" s="52"/>
      <c r="Q28" s="52"/>
      <c r="R28" s="52"/>
      <c r="S28" s="52"/>
      <c r="T28" s="52"/>
      <c r="V28" s="52"/>
      <c r="Z28" s="52"/>
      <c r="AA28" s="52"/>
      <c r="AD28" s="52"/>
      <c r="AE28" s="52"/>
      <c r="AF28" s="52"/>
      <c r="AG28" s="52"/>
      <c r="AN28" s="52"/>
      <c r="AO28" s="52"/>
      <c r="AP28" s="52"/>
      <c r="AQ28" s="52"/>
      <c r="AR28" s="52"/>
      <c r="AS28" s="52"/>
      <c r="AT28" s="52"/>
      <c r="AU28" s="52"/>
      <c r="AV28" s="52"/>
      <c r="AW28" s="52"/>
      <c r="AX28" s="52"/>
      <c r="AY28" s="52"/>
    </row>
    <row r="29" spans="1:51" ht="20.100000000000001" customHeight="1" x14ac:dyDescent="0.25">
      <c r="P29" s="52"/>
      <c r="Q29" s="52"/>
      <c r="R29" s="52"/>
      <c r="S29" s="52"/>
      <c r="T29" s="52"/>
      <c r="V29" s="52"/>
      <c r="Z29" s="52"/>
      <c r="AA29" s="52"/>
      <c r="AD29" s="52"/>
      <c r="AE29" s="52"/>
      <c r="AF29" s="52"/>
      <c r="AG29" s="52"/>
      <c r="AN29" s="52"/>
      <c r="AO29" s="52"/>
      <c r="AP29" s="52"/>
      <c r="AQ29" s="52"/>
      <c r="AR29" s="52"/>
      <c r="AS29" s="52"/>
      <c r="AT29" s="52"/>
      <c r="AU29" s="52"/>
      <c r="AV29" s="52"/>
      <c r="AW29" s="52"/>
      <c r="AX29" s="52"/>
      <c r="AY29" s="52"/>
    </row>
    <row r="30" spans="1:51" ht="20.100000000000001" customHeight="1" x14ac:dyDescent="0.25">
      <c r="P30" s="52"/>
      <c r="Q30" s="52"/>
      <c r="R30" s="52"/>
      <c r="S30" s="52"/>
      <c r="T30" s="52"/>
      <c r="V30" s="52"/>
      <c r="Z30" s="52"/>
      <c r="AA30" s="52"/>
      <c r="AD30" s="52"/>
      <c r="AE30" s="52"/>
      <c r="AF30" s="52"/>
      <c r="AG30" s="52"/>
      <c r="AN30" s="52"/>
      <c r="AO30" s="52"/>
      <c r="AP30" s="52"/>
      <c r="AQ30" s="52"/>
      <c r="AR30" s="52"/>
      <c r="AS30" s="52"/>
      <c r="AT30" s="52"/>
      <c r="AU30" s="52"/>
      <c r="AV30" s="52"/>
      <c r="AW30" s="52"/>
      <c r="AX30" s="52"/>
      <c r="AY30" s="52"/>
    </row>
    <row r="31" spans="1:51" ht="20.100000000000001" customHeight="1" x14ac:dyDescent="0.25">
      <c r="P31" s="52"/>
      <c r="Q31" s="52"/>
      <c r="R31" s="52"/>
      <c r="S31" s="52"/>
      <c r="T31" s="52"/>
      <c r="V31" s="52"/>
      <c r="Z31" s="52"/>
      <c r="AA31" s="52"/>
      <c r="AD31" s="52"/>
      <c r="AE31" s="52"/>
      <c r="AF31" s="52"/>
      <c r="AG31" s="52"/>
      <c r="AN31" s="52"/>
      <c r="AO31" s="52"/>
      <c r="AP31" s="52"/>
      <c r="AQ31" s="52"/>
      <c r="AR31" s="52"/>
      <c r="AS31" s="52"/>
      <c r="AT31" s="52"/>
      <c r="AU31" s="52"/>
      <c r="AV31" s="52"/>
      <c r="AW31" s="52"/>
      <c r="AX31" s="52"/>
      <c r="AY31" s="52"/>
    </row>
    <row r="32" spans="1:51" ht="20.100000000000001" customHeight="1" x14ac:dyDescent="0.25">
      <c r="P32" s="52"/>
      <c r="Q32" s="52"/>
      <c r="R32" s="52"/>
      <c r="S32" s="52"/>
      <c r="T32" s="52"/>
      <c r="V32" s="52"/>
      <c r="Z32" s="52"/>
      <c r="AA32" s="52"/>
      <c r="AD32" s="52"/>
      <c r="AE32" s="52"/>
      <c r="AF32" s="52"/>
      <c r="AG32" s="52"/>
      <c r="AN32" s="52"/>
      <c r="AO32" s="52"/>
      <c r="AP32" s="52"/>
      <c r="AQ32" s="52"/>
      <c r="AR32" s="52"/>
      <c r="AS32" s="52"/>
      <c r="AT32" s="52"/>
      <c r="AU32" s="52"/>
      <c r="AV32" s="52"/>
      <c r="AW32" s="52"/>
      <c r="AX32" s="52"/>
      <c r="AY32" s="52"/>
    </row>
    <row r="33" spans="16:51" ht="20.100000000000001" customHeight="1" x14ac:dyDescent="0.25">
      <c r="P33" s="52"/>
      <c r="Q33" s="52"/>
      <c r="R33" s="52"/>
      <c r="S33" s="52"/>
      <c r="T33" s="52"/>
      <c r="V33" s="52"/>
      <c r="Z33" s="52"/>
      <c r="AA33" s="52"/>
      <c r="AD33" s="52"/>
      <c r="AE33" s="52"/>
      <c r="AF33" s="52"/>
      <c r="AG33" s="52"/>
      <c r="AN33" s="52"/>
      <c r="AO33" s="52"/>
      <c r="AP33" s="52"/>
      <c r="AQ33" s="52"/>
      <c r="AR33" s="52"/>
      <c r="AS33" s="52"/>
      <c r="AT33" s="52"/>
      <c r="AU33" s="52"/>
      <c r="AV33" s="52"/>
      <c r="AW33" s="52"/>
      <c r="AX33" s="52"/>
      <c r="AY33" s="52"/>
    </row>
    <row r="34" spans="16:51" ht="20.100000000000001" customHeight="1" x14ac:dyDescent="0.25">
      <c r="P34" s="52"/>
      <c r="Q34" s="52"/>
      <c r="R34" s="52"/>
      <c r="S34" s="52"/>
      <c r="T34" s="52"/>
      <c r="V34" s="52"/>
      <c r="Z34" s="52"/>
      <c r="AA34" s="52"/>
      <c r="AD34" s="52"/>
      <c r="AE34" s="52"/>
      <c r="AF34" s="52"/>
      <c r="AG34" s="52"/>
      <c r="AN34" s="52"/>
      <c r="AO34" s="52"/>
      <c r="AP34" s="52"/>
      <c r="AQ34" s="52"/>
      <c r="AR34" s="52"/>
      <c r="AS34" s="52"/>
      <c r="AT34" s="52"/>
      <c r="AU34" s="52"/>
      <c r="AV34" s="52"/>
      <c r="AW34" s="52"/>
      <c r="AX34" s="52"/>
      <c r="AY34" s="52"/>
    </row>
    <row r="35" spans="16:51" ht="20.100000000000001" customHeight="1" x14ac:dyDescent="0.25">
      <c r="P35" s="53"/>
      <c r="R35" s="37"/>
      <c r="AN35" s="52"/>
      <c r="AO35" s="52"/>
      <c r="AP35" s="52"/>
      <c r="AQ35" s="52"/>
      <c r="AR35" s="52"/>
      <c r="AS35" s="52"/>
      <c r="AT35" s="52"/>
      <c r="AU35" s="52"/>
      <c r="AV35" s="52"/>
      <c r="AW35" s="52"/>
      <c r="AX35" s="52"/>
      <c r="AY35" s="52"/>
    </row>
    <row r="36" spans="16:51" ht="20.100000000000001" customHeight="1" x14ac:dyDescent="0.25">
      <c r="P36" s="53"/>
      <c r="R36" s="37"/>
    </row>
    <row r="37" spans="16:51" ht="20.100000000000001" customHeight="1" x14ac:dyDescent="0.25">
      <c r="R37" s="37"/>
    </row>
    <row r="38" spans="16:51" ht="20.100000000000001" customHeight="1" x14ac:dyDescent="0.25">
      <c r="R38" s="37"/>
    </row>
    <row r="39" spans="16:51" ht="20.100000000000001" customHeight="1" x14ac:dyDescent="0.25">
      <c r="R39" s="37"/>
    </row>
    <row r="40" spans="16:51" ht="20.100000000000001" customHeight="1" x14ac:dyDescent="0.25">
      <c r="R40" s="37"/>
    </row>
    <row r="41" spans="16:51" ht="20.100000000000001" customHeight="1" x14ac:dyDescent="0.25">
      <c r="R41" s="37"/>
    </row>
    <row r="42" spans="16:51" ht="20.100000000000001" customHeight="1" x14ac:dyDescent="0.25">
      <c r="R42" s="37"/>
    </row>
    <row r="43" spans="16:51" ht="20.100000000000001" customHeight="1" x14ac:dyDescent="0.25">
      <c r="R43" s="37"/>
    </row>
    <row r="44" spans="16:51" ht="20.100000000000001" customHeight="1" x14ac:dyDescent="0.25">
      <c r="R44" s="37"/>
    </row>
    <row r="45" spans="16:51" ht="20.100000000000001" customHeight="1" x14ac:dyDescent="0.25">
      <c r="R45" s="37"/>
    </row>
    <row r="46" spans="16:51" ht="20.100000000000001" customHeight="1" x14ac:dyDescent="0.25">
      <c r="R46" s="37"/>
    </row>
    <row r="47" spans="16:51" ht="20.100000000000001" customHeight="1" x14ac:dyDescent="0.25">
      <c r="R47" s="37"/>
    </row>
    <row r="48" spans="16:51" ht="20.100000000000001" customHeight="1" x14ac:dyDescent="0.25">
      <c r="R48" s="37"/>
    </row>
    <row r="49" spans="18:18" ht="20.100000000000001" customHeight="1" x14ac:dyDescent="0.25">
      <c r="R49" s="37"/>
    </row>
    <row r="50" spans="18:18" ht="20.100000000000001" customHeight="1" x14ac:dyDescent="0.25">
      <c r="R50" s="37"/>
    </row>
    <row r="51" spans="18:18" ht="20.100000000000001" customHeight="1" x14ac:dyDescent="0.25">
      <c r="R51" s="37"/>
    </row>
    <row r="52" spans="18:18" ht="20.100000000000001" customHeight="1" x14ac:dyDescent="0.25">
      <c r="R52" s="37"/>
    </row>
  </sheetData>
  <phoneticPr fontId="14" type="noConversion"/>
  <conditionalFormatting sqref="AN4:AR12 AT4:BA12 BF4:BI12 P4:U26 A4:K26 W4:AI26">
    <cfRule type="containsText" dxfId="5" priority="2" operator="containsText" text="【">
      <formula>NOT(ISERROR(SEARCH("【",A4)))</formula>
    </cfRule>
  </conditionalFormatting>
  <conditionalFormatting sqref="A4:A26">
    <cfRule type="containsText" dxfId="4" priority="10" operator="containsText" text="【">
      <formula>NOT(ISERROR(SEARCH("【",A4)))</formula>
    </cfRule>
  </conditionalFormatting>
  <conditionalFormatting sqref="I1 AT4:AZ12 BG4:BI12 E4:J26 R4:X26">
    <cfRule type="notContainsBlanks" dxfId="3" priority="9">
      <formula>LEN(TRIM(E1))&gt;0</formula>
    </cfRule>
  </conditionalFormatting>
  <dataValidations count="20">
    <dataValidation type="list" allowBlank="1" showInputMessage="1" showErrorMessage="1" sqref="BH1 BH4:BH12">
      <formula1>dd_中资属性</formula1>
    </dataValidation>
    <dataValidation type="list" allowBlank="1" showInputMessage="1" showErrorMessage="1" sqref="BI1 BI5:BI12">
      <formula1>dd_板块</formula1>
    </dataValidation>
    <dataValidation type="list" allowBlank="1" showInputMessage="1" showErrorMessage="1" sqref="AY1 AY4:AY12">
      <formula1>"--,Sole,Left-lead,Lead"</formula1>
    </dataValidation>
    <dataValidation type="list" allowBlank="1" showInputMessage="1" sqref="AZ1 AZ5:AZ12">
      <formula1>"--,B&amp;D FOP,B&amp;D DvP,Arranger,DM,CCDC"</formula1>
    </dataValidation>
    <dataValidation type="list" allowBlank="1" showInputMessage="1" sqref="BA1 BA5:BA12">
      <formula1>"--,合名"</formula1>
    </dataValidation>
    <dataValidation type="list" allowBlank="1" showInputMessage="1" sqref="AX1 AX4:AX12">
      <formula1>dd_BISL_ROLE</formula1>
    </dataValidation>
    <dataValidation type="list" allowBlank="1" showInputMessage="1" sqref="BI4">
      <formula1>dd_板块</formula1>
    </dataValidation>
    <dataValidation allowBlank="1" showInputMessage="1" showErrorMessage="1" promptTitle="IPG Format" prompt="No need to write bp_x000a_Decimal follow BBG_x000a_Use &quot;a&quot; for &quot;area&quot;_x000a__x000a_3.50%a_x000a_4%a_x000a_T+120a_x000a_" sqref="V1 S4:S26"/>
    <dataValidation allowBlank="1" showInputMessage="1" showErrorMessage="1" promptTitle="FPG Format" prompt="No need to write bp_x000a_Decimal follow BBG_x000a__x000a_3.20%_x000a_3.8%_x000a_T+100_x000a_" sqref="W1 T4:T26"/>
    <dataValidation type="list" allowBlank="1" showInputMessage="1" showErrorMessage="1" sqref="Z1 X4:X26">
      <formula1>$Z$1</formula1>
    </dataValidation>
    <dataValidation type="list" allowBlank="1" showInputMessage="1" showErrorMessage="1" sqref="AT1 AT4:AT12">
      <formula1>dd_coverage</formula1>
    </dataValidation>
    <dataValidation type="list" allowBlank="1" showInputMessage="1" showErrorMessage="1" sqref="AU1 AU4:AU12">
      <formula1>dd_sfcrole</formula1>
    </dataValidation>
    <dataValidation type="list" allowBlank="1" showInputMessage="1" sqref="AB1 Y4:Y26">
      <formula1>dd_货币</formula1>
    </dataValidation>
    <dataValidation type="list" allowBlank="1" showInputMessage="1" sqref="AA1 G1 G4:G26">
      <formula1>dd_结构</formula1>
    </dataValidation>
    <dataValidation type="list" allowBlank="1" showInputMessage="1" sqref="H1 H4:H26">
      <formula1>dd_备证行</formula1>
    </dataValidation>
    <dataValidation type="list" allowBlank="1" showInputMessage="1" showErrorMessage="1" errorTitle="Clear Cell Value" error="If there is no need to hide or delete anymore" sqref="F1">
      <formula1>"【删除】,【隐藏】"</formula1>
    </dataValidation>
    <dataValidation type="list" allowBlank="1" showInputMessage="1" showErrorMessage="1" errorTitle="Clear Cell Value" error="If there is no need to hide or delete anymore" sqref="A4:A26">
      <formula1>"【FIMTN],【删除】,【隐藏】"</formula1>
    </dataValidation>
    <dataValidation type="list" allowBlank="1" showInputMessage="1" sqref="U1 R4:R26">
      <formula1>INDIRECT($R$3)</formula1>
    </dataValidation>
    <dataValidation type="list" allowBlank="1" showInputMessage="1" showErrorMessage="1" sqref="I4:J26">
      <formula1>INDIRECT($I$3)</formula1>
    </dataValidation>
    <dataValidation type="list" errorStyle="warning" allowBlank="1" showInputMessage="1" showErrorMessage="1" sqref="V4:V26">
      <formula1>INDIRECT($V$3)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_All">
                <anchor moveWithCells="1">
                  <from>
                    <xdr:col>62</xdr:col>
                    <xdr:colOff>333375</xdr:colOff>
                    <xdr:row>5</xdr:row>
                    <xdr:rowOff>171450</xdr:rowOff>
                  </from>
                  <to>
                    <xdr:col>65</xdr:col>
                    <xdr:colOff>561975</xdr:colOff>
                    <xdr:row>12</xdr:row>
                    <xdr:rowOff>114300</xdr:rowOff>
                  </to>
                </anchor>
              </controlPr>
            </control>
          </mc:Choice>
        </mc:AlternateContent>
      </controls>
    </mc:Choice>
  </mc:AlternateContent>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I13"/>
  <sheetViews>
    <sheetView zoomScaleNormal="100" workbookViewId="0">
      <selection activeCell="A7" sqref="A7:E10"/>
    </sheetView>
  </sheetViews>
  <sheetFormatPr defaultRowHeight="15" x14ac:dyDescent="0.25"/>
  <cols>
    <col min="1" max="1" width="25.21875" style="1" customWidth="1"/>
    <col min="2" max="2" width="10.88671875" style="1" customWidth="1"/>
    <col min="3" max="4" width="14.33203125" style="1" customWidth="1"/>
    <col min="5" max="5" width="80.33203125" style="1" bestFit="1" customWidth="1"/>
    <col min="6" max="6" width="113.44140625" style="1" customWidth="1"/>
    <col min="7" max="16384" width="8.88671875" style="1"/>
  </cols>
  <sheetData>
    <row r="1" spans="1:9" ht="46.5" x14ac:dyDescent="0.25">
      <c r="A1" s="21" t="s">
        <v>300</v>
      </c>
      <c r="B1" s="7"/>
      <c r="C1" s="7"/>
      <c r="D1" s="7"/>
      <c r="E1" s="7"/>
      <c r="F1" s="7"/>
      <c r="G1" s="6"/>
      <c r="H1" s="6"/>
      <c r="I1" s="6"/>
    </row>
    <row r="6" spans="1:9" x14ac:dyDescent="0.25">
      <c r="A6" t="s">
        <v>85</v>
      </c>
      <c r="B6" t="s">
        <v>678</v>
      </c>
      <c r="C6" t="s">
        <v>227</v>
      </c>
      <c r="D6" t="s">
        <v>64</v>
      </c>
      <c r="E6" t="s">
        <v>299</v>
      </c>
    </row>
    <row r="7" spans="1:9" x14ac:dyDescent="0.25">
      <c r="A7"/>
      <c r="B7"/>
      <c r="C7"/>
      <c r="D7"/>
      <c r="E7" s="44"/>
    </row>
    <row r="8" spans="1:9" ht="57" customHeight="1" x14ac:dyDescent="0.25">
      <c r="A8"/>
      <c r="B8"/>
      <c r="C8"/>
      <c r="D8"/>
      <c r="E8" s="44"/>
    </row>
    <row r="9" spans="1:9" ht="57" customHeight="1" x14ac:dyDescent="0.25">
      <c r="A9"/>
      <c r="B9"/>
      <c r="C9"/>
      <c r="D9"/>
      <c r="E9" s="44"/>
    </row>
    <row r="10" spans="1:9" ht="57" customHeight="1" x14ac:dyDescent="0.25">
      <c r="A10"/>
      <c r="B10"/>
      <c r="C10"/>
      <c r="D10"/>
      <c r="E10" s="44"/>
    </row>
    <row r="11" spans="1:9" ht="57" customHeight="1" x14ac:dyDescent="0.25"/>
    <row r="12" spans="1:9" ht="57" customHeight="1" x14ac:dyDescent="0.25"/>
    <row r="13" spans="1:9" ht="57" customHeight="1" x14ac:dyDescent="0.25"/>
  </sheetData>
  <phoneticPr fontId="14" type="noConversion"/>
  <conditionalFormatting sqref="E7:E10">
    <cfRule type="containsText" dxfId="301" priority="1" operator="containsText" text="担任">
      <formula>NOT(ISERROR(SEARCH("担任",E7)))</formula>
    </cfRule>
  </conditionalFormatting>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234473"/>
  </sheetPr>
  <dimension ref="B1:CX21"/>
  <sheetViews>
    <sheetView zoomScale="85" zoomScaleNormal="85" workbookViewId="0">
      <selection activeCell="N7" sqref="N7"/>
    </sheetView>
  </sheetViews>
  <sheetFormatPr defaultRowHeight="15" x14ac:dyDescent="0.25"/>
  <cols>
    <col min="1" max="1" width="11.109375" style="1" bestFit="1" customWidth="1"/>
    <col min="2" max="2" width="7.109375" style="1" bestFit="1" customWidth="1"/>
    <col min="3" max="3" width="10.88671875" style="1" bestFit="1" customWidth="1"/>
    <col min="4" max="4" width="26.44140625" style="1" bestFit="1" customWidth="1"/>
    <col min="5" max="5" width="14.21875" style="1" bestFit="1" customWidth="1"/>
    <col min="6" max="6" width="10.33203125" style="1" bestFit="1" customWidth="1"/>
    <col min="7" max="8" width="9.21875" style="1" bestFit="1" customWidth="1"/>
    <col min="9" max="9" width="12.5546875" style="1" bestFit="1" customWidth="1"/>
    <col min="10" max="10" width="5.88671875" style="1" bestFit="1" customWidth="1"/>
    <col min="11" max="11" width="12" style="1" bestFit="1" customWidth="1"/>
    <col min="12" max="12" width="5.88671875" style="1" bestFit="1" customWidth="1"/>
    <col min="13" max="13" width="12.33203125" style="1" bestFit="1" customWidth="1"/>
    <col min="14" max="14" width="13.33203125" style="1" bestFit="1" customWidth="1"/>
    <col min="15" max="15" width="5.77734375" style="1" bestFit="1" customWidth="1"/>
    <col min="16" max="16" width="12.33203125" style="1" bestFit="1" customWidth="1"/>
    <col min="17" max="18" width="9.21875" style="1" bestFit="1" customWidth="1"/>
    <col min="19" max="19" width="7.5546875" style="1" bestFit="1" customWidth="1"/>
    <col min="20" max="20" width="5.88671875" style="1" bestFit="1" customWidth="1"/>
    <col min="21" max="21" width="6" style="1" bestFit="1" customWidth="1"/>
    <col min="22" max="22" width="13.5546875" style="1" bestFit="1" customWidth="1"/>
    <col min="23" max="23" width="10.88671875" style="1" bestFit="1" customWidth="1"/>
    <col min="24" max="25" width="9.21875" style="1" bestFit="1" customWidth="1"/>
    <col min="26" max="26" width="10.33203125" style="1" bestFit="1" customWidth="1"/>
    <col min="27" max="27" width="10.88671875" style="1" bestFit="1" customWidth="1"/>
    <col min="28" max="28" width="10.33203125" style="1" bestFit="1" customWidth="1"/>
    <col min="29" max="29" width="7.5546875" style="1" bestFit="1" customWidth="1"/>
    <col min="30" max="30" width="7" style="1" bestFit="1" customWidth="1"/>
    <col min="31" max="31" width="7.5546875" style="1" bestFit="1" customWidth="1"/>
    <col min="32" max="32" width="8.33203125" style="1" bestFit="1" customWidth="1"/>
    <col min="33" max="33" width="10.88671875" style="1" bestFit="1" customWidth="1"/>
    <col min="34" max="34" width="14.21875" style="1" bestFit="1" customWidth="1"/>
    <col min="35" max="35" width="9.21875" style="1" bestFit="1" customWidth="1"/>
    <col min="36" max="36" width="48" style="1" bestFit="1" customWidth="1"/>
    <col min="37" max="37" width="21.33203125" style="1" bestFit="1" customWidth="1"/>
    <col min="38" max="38" width="14.21875" style="1" bestFit="1" customWidth="1"/>
    <col min="39" max="39" width="7.5546875" style="1" bestFit="1" customWidth="1"/>
    <col min="40" max="40" width="5.77734375" style="1" bestFit="1" customWidth="1"/>
    <col min="41" max="41" width="9.21875" style="1" bestFit="1" customWidth="1"/>
    <col min="42" max="42" width="5.88671875" style="1" bestFit="1" customWidth="1"/>
    <col min="43" max="43" width="9.21875" style="1" bestFit="1" customWidth="1"/>
    <col min="44" max="44" width="10" style="1" bestFit="1" customWidth="1"/>
    <col min="45" max="45" width="12.44140625" style="1" bestFit="1" customWidth="1"/>
    <col min="46" max="46" width="6.6640625" style="1" bestFit="1" customWidth="1"/>
    <col min="47" max="47" width="80.88671875" style="1" bestFit="1" customWidth="1"/>
    <col min="48" max="48" width="9.21875" style="1" bestFit="1" customWidth="1"/>
    <col min="49" max="49" width="12" style="1" bestFit="1" customWidth="1"/>
    <col min="50" max="50" width="9.33203125" style="1" bestFit="1" customWidth="1"/>
    <col min="51" max="51" width="11.5546875" style="1" bestFit="1" customWidth="1"/>
    <col min="52" max="52" width="20.33203125" style="1" bestFit="1" customWidth="1"/>
    <col min="53" max="53" width="10.5546875" style="1" bestFit="1" customWidth="1"/>
    <col min="54" max="54" width="11.109375" style="1" bestFit="1" customWidth="1"/>
    <col min="55" max="55" width="9.21875" style="1" bestFit="1" customWidth="1"/>
    <col min="56" max="56" width="8.77734375" style="1" bestFit="1" customWidth="1"/>
    <col min="57" max="58" width="9.21875" style="1" bestFit="1" customWidth="1"/>
    <col min="59" max="59" width="11.44140625" style="1" bestFit="1" customWidth="1"/>
    <col min="60" max="60" width="15.21875" style="1" bestFit="1" customWidth="1"/>
    <col min="61" max="61" width="5.88671875" style="1" bestFit="1" customWidth="1"/>
    <col min="62" max="62" width="9.21875" style="1" bestFit="1" customWidth="1"/>
    <col min="63" max="63" width="5.88671875" style="1" bestFit="1" customWidth="1"/>
    <col min="64" max="65" width="7.5546875" style="1" bestFit="1" customWidth="1"/>
    <col min="66" max="66" width="11.33203125" style="1" bestFit="1" customWidth="1"/>
    <col min="67" max="67" width="13.77734375" style="1" bestFit="1" customWidth="1"/>
    <col min="68" max="68" width="10.33203125" style="1" bestFit="1" customWidth="1"/>
    <col min="69" max="69" width="7.6640625" style="1" bestFit="1" customWidth="1"/>
    <col min="70" max="70" width="8.44140625" style="1" bestFit="1" customWidth="1"/>
    <col min="71" max="71" width="14.44140625" style="1" bestFit="1" customWidth="1"/>
    <col min="72" max="72" width="7.6640625" style="1" bestFit="1" customWidth="1"/>
    <col min="73" max="73" width="9.21875" style="1" bestFit="1" customWidth="1"/>
    <col min="74" max="74" width="5.88671875" style="1" bestFit="1" customWidth="1"/>
    <col min="75" max="76" width="6" style="1" bestFit="1" customWidth="1"/>
    <col min="77" max="77" width="10.88671875" style="1" bestFit="1" customWidth="1"/>
    <col min="78" max="78" width="13.33203125" style="1" bestFit="1" customWidth="1"/>
    <col min="79" max="79" width="5.88671875" style="1" bestFit="1" customWidth="1"/>
    <col min="80" max="80" width="9.109375" style="1" bestFit="1" customWidth="1"/>
    <col min="81" max="83" width="6.109375" style="1" bestFit="1" customWidth="1"/>
    <col min="84" max="84" width="11.109375" style="1" bestFit="1" customWidth="1"/>
    <col min="85" max="85" width="13.5546875" style="1" bestFit="1" customWidth="1"/>
    <col min="86" max="86" width="6.109375" style="1" bestFit="1" customWidth="1"/>
    <col min="87" max="87" width="9.33203125" style="1" bestFit="1" customWidth="1"/>
    <col min="88" max="88" width="9.21875" style="1" bestFit="1" customWidth="1"/>
    <col min="89" max="89" width="10.33203125" style="1" bestFit="1" customWidth="1"/>
    <col min="90" max="90" width="9.33203125" style="1" bestFit="1" customWidth="1"/>
    <col min="91" max="92" width="6" style="1" bestFit="1" customWidth="1"/>
    <col min="93" max="93" width="9.21875" style="1" bestFit="1" customWidth="1"/>
    <col min="94" max="94" width="7.5546875" style="1" bestFit="1" customWidth="1"/>
    <col min="95" max="95" width="14.88671875" style="1" bestFit="1" customWidth="1"/>
    <col min="96" max="96" width="31.5546875" style="1" bestFit="1" customWidth="1"/>
    <col min="97" max="98" width="9.21875" style="1" bestFit="1" customWidth="1"/>
    <col min="99" max="99" width="12.5546875" style="1" bestFit="1" customWidth="1"/>
    <col min="100" max="100" width="37.33203125" style="1" bestFit="1" customWidth="1"/>
    <col min="101" max="101" width="10.33203125" style="1" bestFit="1" customWidth="1"/>
    <col min="102" max="102" width="10.21875" style="1" bestFit="1" customWidth="1"/>
    <col min="103" max="103" width="12" style="1" bestFit="1" customWidth="1"/>
    <col min="104" max="104" width="9.21875" style="1" bestFit="1" customWidth="1"/>
    <col min="105" max="105" width="12.5546875" style="1" bestFit="1" customWidth="1"/>
    <col min="106" max="106" width="10" style="1" bestFit="1" customWidth="1"/>
    <col min="107" max="107" width="21.5546875" style="1" bestFit="1" customWidth="1"/>
    <col min="108" max="108" width="12" style="1" bestFit="1" customWidth="1"/>
    <col min="109" max="109" width="10.88671875" style="1" bestFit="1" customWidth="1"/>
    <col min="110" max="110" width="9.33203125" style="1" bestFit="1" customWidth="1"/>
    <col min="111" max="111" width="5.88671875" style="1" bestFit="1" customWidth="1"/>
    <col min="112" max="112" width="10.88671875" style="1" bestFit="1" customWidth="1"/>
    <col min="113" max="113" width="14.21875" style="1" bestFit="1" customWidth="1"/>
    <col min="114" max="114" width="80.88671875" style="1" bestFit="1" customWidth="1"/>
    <col min="115" max="115" width="9.21875" style="1" bestFit="1" customWidth="1"/>
    <col min="116" max="116" width="11" style="1" bestFit="1" customWidth="1"/>
    <col min="117" max="117" width="80.88671875" style="1" bestFit="1" customWidth="1"/>
    <col min="118" max="119" width="9.21875" style="1" bestFit="1" customWidth="1"/>
    <col min="120" max="120" width="7.6640625" style="1" bestFit="1" customWidth="1"/>
    <col min="121" max="122" width="6.77734375" style="1" bestFit="1" customWidth="1"/>
    <col min="123" max="123" width="5.88671875" style="1" bestFit="1" customWidth="1"/>
    <col min="124" max="124" width="7.6640625" style="1" bestFit="1" customWidth="1"/>
    <col min="125" max="126" width="6.77734375" style="1" bestFit="1" customWidth="1"/>
    <col min="127" max="127" width="6.109375" style="1" bestFit="1" customWidth="1"/>
    <col min="128" max="128" width="14.88671875" style="1" bestFit="1" customWidth="1"/>
    <col min="129" max="129" width="9.44140625" style="1" bestFit="1" customWidth="1"/>
    <col min="130" max="130" width="8.109375" style="1" bestFit="1" customWidth="1"/>
    <col min="131" max="131" width="7.33203125" style="1" bestFit="1" customWidth="1"/>
    <col min="132" max="132" width="9.44140625" style="1" bestFit="1" customWidth="1"/>
    <col min="133" max="133" width="14" style="1" bestFit="1" customWidth="1"/>
    <col min="134" max="134" width="13.109375" style="1" bestFit="1" customWidth="1"/>
    <col min="135" max="135" width="16.5546875" style="1" bestFit="1" customWidth="1"/>
    <col min="136" max="136" width="11.109375" style="1" bestFit="1" customWidth="1"/>
    <col min="137" max="137" width="14.44140625" style="1" bestFit="1" customWidth="1"/>
    <col min="138" max="138" width="10" style="1" bestFit="1" customWidth="1"/>
    <col min="139" max="139" width="10.33203125" style="1" bestFit="1" customWidth="1"/>
    <col min="140" max="140" width="9.44140625" style="1" bestFit="1" customWidth="1"/>
    <col min="141" max="141" width="12.6640625" style="1" bestFit="1" customWidth="1"/>
    <col min="142" max="142" width="15.5546875" style="1" bestFit="1" customWidth="1"/>
    <col min="143" max="143" width="9.44140625" style="1" bestFit="1" customWidth="1"/>
    <col min="144" max="144" width="7.6640625" style="1" bestFit="1" customWidth="1"/>
    <col min="145" max="145" width="8.109375" style="1" bestFit="1" customWidth="1"/>
    <col min="146" max="147" width="6.77734375" style="1" bestFit="1" customWidth="1"/>
    <col min="148" max="148" width="6.109375" style="1" bestFit="1" customWidth="1"/>
    <col min="149" max="149" width="14.88671875" style="1" bestFit="1" customWidth="1"/>
    <col min="150" max="150" width="9.44140625" style="1" bestFit="1" customWidth="1"/>
    <col min="151" max="151" width="8.109375" style="1" customWidth="1"/>
    <col min="152" max="152" width="9.44140625" style="1" bestFit="1" customWidth="1"/>
    <col min="153" max="153" width="12.77734375" style="1" bestFit="1" customWidth="1"/>
    <col min="154" max="156" width="9.44140625" style="1" bestFit="1" customWidth="1"/>
    <col min="157" max="157" width="8.33203125" style="1" bestFit="1" customWidth="1"/>
    <col min="158" max="158" width="12.77734375" style="1" bestFit="1" customWidth="1"/>
    <col min="159" max="159" width="9.33203125" style="1" bestFit="1" customWidth="1"/>
    <col min="160" max="161" width="9.44140625" style="1" bestFit="1" customWidth="1"/>
    <col min="162" max="162" width="15.33203125" style="1" bestFit="1" customWidth="1"/>
    <col min="163" max="163" width="6.109375" style="1" bestFit="1" customWidth="1"/>
    <col min="164" max="164" width="9.44140625" style="1" bestFit="1" customWidth="1"/>
    <col min="165" max="165" width="12.6640625" style="1" bestFit="1" customWidth="1"/>
    <col min="166" max="166" width="9.21875" style="1" bestFit="1" customWidth="1"/>
    <col min="167" max="168" width="10.6640625" style="1" bestFit="1" customWidth="1"/>
    <col min="169" max="169" width="6.109375" style="1" bestFit="1" customWidth="1"/>
    <col min="170" max="170" width="15.88671875" style="1" bestFit="1" customWidth="1"/>
    <col min="171" max="171" width="15.6640625" style="1" bestFit="1" customWidth="1"/>
    <col min="172" max="172" width="26.6640625" style="1" bestFit="1" customWidth="1"/>
    <col min="173" max="173" width="12.21875" style="1" bestFit="1" customWidth="1"/>
    <col min="174" max="174" width="17.44140625" style="1" bestFit="1" customWidth="1"/>
    <col min="175" max="175" width="12.21875" style="1" bestFit="1" customWidth="1"/>
    <col min="176" max="176" width="17.44140625" style="1" bestFit="1" customWidth="1"/>
    <col min="177" max="177" width="6.109375" style="1" bestFit="1" customWidth="1"/>
    <col min="178" max="178" width="9.44140625" style="1" bestFit="1" customWidth="1"/>
    <col min="179" max="179" width="12.6640625" style="1" bestFit="1" customWidth="1"/>
    <col min="180" max="180" width="9.21875" style="1" bestFit="1" customWidth="1"/>
    <col min="181" max="181" width="9.33203125" style="1" bestFit="1" customWidth="1"/>
    <col min="182" max="182" width="9.44140625" style="1" bestFit="1" customWidth="1"/>
    <col min="183" max="183" width="6.109375" style="1" bestFit="1" customWidth="1"/>
    <col min="184" max="184" width="15.88671875" style="1" bestFit="1" customWidth="1"/>
    <col min="185" max="185" width="15.6640625" style="1" bestFit="1" customWidth="1"/>
    <col min="186" max="186" width="26" style="1" bestFit="1" customWidth="1"/>
    <col min="187" max="187" width="13.77734375" style="1" bestFit="1" customWidth="1"/>
    <col min="188" max="188" width="10.77734375" style="1" bestFit="1" customWidth="1"/>
    <col min="189" max="189" width="17.44140625" style="1" bestFit="1" customWidth="1"/>
    <col min="190" max="16384" width="8.88671875" style="1"/>
  </cols>
  <sheetData>
    <row r="1" spans="2:102" ht="88.5" customHeight="1" x14ac:dyDescent="0.25"/>
    <row r="6" spans="2:102" x14ac:dyDescent="0.25">
      <c r="B6" t="s">
        <v>85</v>
      </c>
      <c r="C6" t="s">
        <v>425</v>
      </c>
      <c r="D6" t="s">
        <v>93</v>
      </c>
      <c r="E6" t="s">
        <v>48</v>
      </c>
      <c r="F6" t="s">
        <v>49</v>
      </c>
      <c r="G6" t="s">
        <v>134</v>
      </c>
      <c r="H6" t="s">
        <v>176</v>
      </c>
      <c r="I6" t="s">
        <v>51</v>
      </c>
      <c r="J6" t="s">
        <v>64</v>
      </c>
      <c r="K6" t="s">
        <v>57</v>
      </c>
      <c r="L6" t="s">
        <v>86</v>
      </c>
      <c r="M6" t="s">
        <v>119</v>
      </c>
      <c r="N6" t="s">
        <v>87</v>
      </c>
      <c r="O6" t="s">
        <v>53</v>
      </c>
      <c r="P6" t="s">
        <v>151</v>
      </c>
      <c r="Q6" t="s">
        <v>165</v>
      </c>
      <c r="R6" t="s">
        <v>167</v>
      </c>
      <c r="S6" t="s">
        <v>59</v>
      </c>
      <c r="T6" t="s">
        <v>89</v>
      </c>
      <c r="U6" t="s">
        <v>90</v>
      </c>
      <c r="V6" t="s">
        <v>185</v>
      </c>
      <c r="W6" t="s">
        <v>186</v>
      </c>
      <c r="X6" t="s">
        <v>140</v>
      </c>
      <c r="Y6" t="s">
        <v>80</v>
      </c>
      <c r="Z6" t="s">
        <v>66</v>
      </c>
      <c r="AA6" t="s">
        <v>69</v>
      </c>
      <c r="AB6" t="s">
        <v>52</v>
      </c>
      <c r="AC6" t="s">
        <v>172</v>
      </c>
      <c r="AD6" t="s">
        <v>173</v>
      </c>
      <c r="AE6" t="s">
        <v>210</v>
      </c>
      <c r="AF6" t="s">
        <v>696</v>
      </c>
      <c r="AG6" t="s">
        <v>231</v>
      </c>
      <c r="AH6" t="s">
        <v>259</v>
      </c>
      <c r="AI6" t="s">
        <v>207</v>
      </c>
      <c r="AJ6" t="s">
        <v>70</v>
      </c>
      <c r="AK6" t="s">
        <v>71</v>
      </c>
      <c r="AL6" t="s">
        <v>81</v>
      </c>
      <c r="AM6" t="s">
        <v>41</v>
      </c>
      <c r="AN6" t="s">
        <v>138</v>
      </c>
      <c r="AO6" t="s">
        <v>505</v>
      </c>
      <c r="AP6" t="s">
        <v>216</v>
      </c>
      <c r="AQ6" t="s">
        <v>209</v>
      </c>
      <c r="AR6" t="s">
        <v>217</v>
      </c>
      <c r="AS6" t="s">
        <v>218</v>
      </c>
      <c r="AT6" t="s">
        <v>301</v>
      </c>
      <c r="AU6" t="s">
        <v>224</v>
      </c>
      <c r="AV6" t="s">
        <v>198</v>
      </c>
      <c r="AW6" t="s">
        <v>412</v>
      </c>
      <c r="AX6" t="s">
        <v>168</v>
      </c>
      <c r="AY6" t="s">
        <v>219</v>
      </c>
      <c r="AZ6" t="s">
        <v>139</v>
      </c>
      <c r="BA6" t="s">
        <v>694</v>
      </c>
      <c r="BB6" t="s">
        <v>146</v>
      </c>
      <c r="BC6" t="s">
        <v>199</v>
      </c>
      <c r="BD6" t="s">
        <v>200</v>
      </c>
      <c r="BE6" t="s">
        <v>201</v>
      </c>
      <c r="BF6" t="s">
        <v>170</v>
      </c>
      <c r="BG6" t="s">
        <v>171</v>
      </c>
      <c r="BH6" t="s">
        <v>181</v>
      </c>
      <c r="BI6" t="s">
        <v>169</v>
      </c>
      <c r="BJ6" t="s">
        <v>203</v>
      </c>
      <c r="BK6" t="s">
        <v>213</v>
      </c>
      <c r="BL6" t="s">
        <v>214</v>
      </c>
      <c r="BM6" t="s">
        <v>215</v>
      </c>
      <c r="BN6" t="s">
        <v>437</v>
      </c>
      <c r="BO6" t="s">
        <v>773</v>
      </c>
      <c r="BP6" t="s">
        <v>273</v>
      </c>
      <c r="BQ6" t="s">
        <v>692</v>
      </c>
      <c r="BR6" t="s">
        <v>695</v>
      </c>
      <c r="BS6" t="s">
        <v>116</v>
      </c>
      <c r="BT6" t="s">
        <v>227</v>
      </c>
      <c r="BU6" t="s">
        <v>204</v>
      </c>
      <c r="BV6" t="s">
        <v>88</v>
      </c>
      <c r="BW6" t="s">
        <v>45</v>
      </c>
      <c r="BX6" t="s">
        <v>46</v>
      </c>
      <c r="BY6" t="s">
        <v>229</v>
      </c>
      <c r="BZ6" t="s">
        <v>192</v>
      </c>
      <c r="CA6" t="s">
        <v>43</v>
      </c>
      <c r="CB6" t="s">
        <v>693</v>
      </c>
    </row>
    <row r="7" spans="2:102" x14ac:dyDescent="0.25">
      <c r="B7">
        <v>15</v>
      </c>
      <c r="C7" t="s">
        <v>691</v>
      </c>
      <c r="D7" s="156" t="s">
        <v>531</v>
      </c>
      <c r="E7" t="s">
        <v>994</v>
      </c>
      <c r="F7" s="158">
        <v>45226</v>
      </c>
      <c r="G7" t="s">
        <v>82</v>
      </c>
      <c r="H7" t="s">
        <v>91</v>
      </c>
      <c r="I7" t="s">
        <v>7</v>
      </c>
      <c r="J7" t="s">
        <v>84</v>
      </c>
      <c r="K7">
        <v>2.6</v>
      </c>
      <c r="L7" t="s">
        <v>1064</v>
      </c>
      <c r="M7" t="s">
        <v>91</v>
      </c>
      <c r="N7" t="s">
        <v>7</v>
      </c>
      <c r="O7" t="s">
        <v>7</v>
      </c>
      <c r="P7" t="s">
        <v>7</v>
      </c>
      <c r="Q7" t="s">
        <v>7</v>
      </c>
      <c r="R7" t="s">
        <v>91</v>
      </c>
      <c r="S7"/>
      <c r="T7" t="s">
        <v>91</v>
      </c>
      <c r="U7" t="s">
        <v>7</v>
      </c>
      <c r="V7" t="s">
        <v>7</v>
      </c>
      <c r="W7" t="s">
        <v>7</v>
      </c>
      <c r="X7" t="s">
        <v>91</v>
      </c>
      <c r="Y7" t="s">
        <v>91</v>
      </c>
      <c r="Z7" s="158"/>
      <c r="AA7" s="158"/>
      <c r="AB7" s="158"/>
      <c r="AC7">
        <v>2.6</v>
      </c>
      <c r="AD7"/>
      <c r="AE7"/>
      <c r="AF7" t="s">
        <v>91</v>
      </c>
      <c r="AG7" t="s">
        <v>91</v>
      </c>
      <c r="AH7" t="s">
        <v>7</v>
      </c>
      <c r="AI7" t="s">
        <v>91</v>
      </c>
      <c r="AJ7" t="s">
        <v>91</v>
      </c>
      <c r="AK7" t="s">
        <v>7</v>
      </c>
      <c r="AL7" t="s">
        <v>91</v>
      </c>
      <c r="AM7" t="s">
        <v>7</v>
      </c>
      <c r="AN7" t="s">
        <v>91</v>
      </c>
      <c r="AO7" t="s">
        <v>91</v>
      </c>
      <c r="AP7" t="s">
        <v>91</v>
      </c>
      <c r="AQ7" t="s">
        <v>91</v>
      </c>
      <c r="AR7" t="s">
        <v>7</v>
      </c>
      <c r="AS7" t="s">
        <v>91</v>
      </c>
      <c r="AT7" t="s">
        <v>91</v>
      </c>
      <c r="AU7" t="s">
        <v>91</v>
      </c>
      <c r="AV7" t="s">
        <v>91</v>
      </c>
      <c r="AW7" t="s">
        <v>91</v>
      </c>
      <c r="AX7" t="s">
        <v>91</v>
      </c>
      <c r="AY7" s="159"/>
      <c r="AZ7" t="s">
        <v>996</v>
      </c>
      <c r="BA7" t="s">
        <v>91</v>
      </c>
      <c r="BB7" t="s">
        <v>7</v>
      </c>
      <c r="BC7" t="s">
        <v>7</v>
      </c>
      <c r="BD7" t="s">
        <v>7</v>
      </c>
      <c r="BE7" t="s">
        <v>7</v>
      </c>
      <c r="BF7" t="s">
        <v>91</v>
      </c>
      <c r="BG7" t="s">
        <v>91</v>
      </c>
      <c r="BH7" t="s">
        <v>91</v>
      </c>
      <c r="BI7" t="s">
        <v>91</v>
      </c>
      <c r="BJ7" t="s">
        <v>91</v>
      </c>
      <c r="BK7">
        <v>0</v>
      </c>
      <c r="BL7">
        <v>0</v>
      </c>
      <c r="BM7">
        <v>0</v>
      </c>
      <c r="BN7" t="s">
        <v>91</v>
      </c>
      <c r="BO7" t="s">
        <v>91</v>
      </c>
      <c r="BP7"/>
      <c r="BQ7" t="s">
        <v>91</v>
      </c>
      <c r="BR7" t="s">
        <v>677</v>
      </c>
      <c r="BS7" t="s">
        <v>1076</v>
      </c>
      <c r="BT7" t="s">
        <v>255</v>
      </c>
      <c r="BU7" t="s">
        <v>194</v>
      </c>
      <c r="BV7" t="s">
        <v>143</v>
      </c>
      <c r="BW7" t="s">
        <v>1035</v>
      </c>
      <c r="BX7" t="s">
        <v>7</v>
      </c>
      <c r="BY7" s="158"/>
      <c r="BZ7" s="158">
        <v>45064</v>
      </c>
      <c r="CA7" t="s">
        <v>83</v>
      </c>
      <c r="CB7" t="s">
        <v>677</v>
      </c>
      <c r="CP7" s="20"/>
      <c r="CX7" s="20"/>
    </row>
    <row r="8" spans="2:102" x14ac:dyDescent="0.25">
      <c r="B8">
        <v>14</v>
      </c>
      <c r="C8" t="s">
        <v>691</v>
      </c>
      <c r="D8" s="156" t="s">
        <v>531</v>
      </c>
      <c r="E8" t="s">
        <v>988</v>
      </c>
      <c r="F8" s="158">
        <v>45226</v>
      </c>
      <c r="G8" t="s">
        <v>82</v>
      </c>
      <c r="H8" t="s">
        <v>91</v>
      </c>
      <c r="I8" t="s">
        <v>7</v>
      </c>
      <c r="J8" t="s">
        <v>84</v>
      </c>
      <c r="K8">
        <v>1.3</v>
      </c>
      <c r="L8" t="s">
        <v>1064</v>
      </c>
      <c r="M8" t="s">
        <v>91</v>
      </c>
      <c r="N8" t="s">
        <v>7</v>
      </c>
      <c r="O8" t="s">
        <v>7</v>
      </c>
      <c r="P8" t="s">
        <v>7</v>
      </c>
      <c r="Q8" t="s">
        <v>7</v>
      </c>
      <c r="R8" t="s">
        <v>91</v>
      </c>
      <c r="S8"/>
      <c r="T8" t="s">
        <v>91</v>
      </c>
      <c r="U8" t="s">
        <v>7</v>
      </c>
      <c r="V8" t="s">
        <v>7</v>
      </c>
      <c r="W8" t="s">
        <v>7</v>
      </c>
      <c r="X8" t="s">
        <v>91</v>
      </c>
      <c r="Y8" t="s">
        <v>91</v>
      </c>
      <c r="Z8" s="158"/>
      <c r="AA8" s="158"/>
      <c r="AB8" s="158"/>
      <c r="AC8">
        <v>1.3</v>
      </c>
      <c r="AD8"/>
      <c r="AE8"/>
      <c r="AF8" t="s">
        <v>91</v>
      </c>
      <c r="AG8" t="s">
        <v>91</v>
      </c>
      <c r="AH8" t="s">
        <v>7</v>
      </c>
      <c r="AI8" t="s">
        <v>91</v>
      </c>
      <c r="AJ8" t="s">
        <v>91</v>
      </c>
      <c r="AK8" t="s">
        <v>7</v>
      </c>
      <c r="AL8" t="s">
        <v>91</v>
      </c>
      <c r="AM8" t="s">
        <v>7</v>
      </c>
      <c r="AN8" t="s">
        <v>91</v>
      </c>
      <c r="AO8" t="s">
        <v>91</v>
      </c>
      <c r="AP8" t="s">
        <v>91</v>
      </c>
      <c r="AQ8" t="s">
        <v>91</v>
      </c>
      <c r="AR8" t="s">
        <v>7</v>
      </c>
      <c r="AS8" t="s">
        <v>91</v>
      </c>
      <c r="AT8" t="s">
        <v>91</v>
      </c>
      <c r="AU8" t="s">
        <v>91</v>
      </c>
      <c r="AV8" t="s">
        <v>91</v>
      </c>
      <c r="AW8" t="s">
        <v>91</v>
      </c>
      <c r="AX8" t="s">
        <v>91</v>
      </c>
      <c r="AY8" s="159"/>
      <c r="AZ8" t="s">
        <v>993</v>
      </c>
      <c r="BA8" t="s">
        <v>91</v>
      </c>
      <c r="BB8" t="s">
        <v>7</v>
      </c>
      <c r="BC8" t="s">
        <v>7</v>
      </c>
      <c r="BD8" t="s">
        <v>7</v>
      </c>
      <c r="BE8" t="s">
        <v>7</v>
      </c>
      <c r="BF8" t="s">
        <v>91</v>
      </c>
      <c r="BG8" t="s">
        <v>91</v>
      </c>
      <c r="BH8" t="s">
        <v>91</v>
      </c>
      <c r="BI8" t="s">
        <v>91</v>
      </c>
      <c r="BJ8" t="s">
        <v>91</v>
      </c>
      <c r="BK8">
        <v>0</v>
      </c>
      <c r="BL8">
        <v>0</v>
      </c>
      <c r="BM8">
        <v>0</v>
      </c>
      <c r="BN8" t="s">
        <v>91</v>
      </c>
      <c r="BO8" t="s">
        <v>91</v>
      </c>
      <c r="BP8"/>
      <c r="BQ8" t="s">
        <v>91</v>
      </c>
      <c r="BR8" t="s">
        <v>677</v>
      </c>
      <c r="BS8" t="s">
        <v>1076</v>
      </c>
      <c r="BT8" t="s">
        <v>255</v>
      </c>
      <c r="BU8" t="s">
        <v>194</v>
      </c>
      <c r="BV8" t="s">
        <v>143</v>
      </c>
      <c r="BW8" t="s">
        <v>1035</v>
      </c>
      <c r="BX8" t="s">
        <v>7</v>
      </c>
      <c r="BY8" s="158"/>
      <c r="BZ8" s="158">
        <v>45064</v>
      </c>
      <c r="CA8" t="s">
        <v>83</v>
      </c>
      <c r="CB8" t="s">
        <v>677</v>
      </c>
      <c r="CP8" s="20"/>
      <c r="CX8" s="20"/>
    </row>
    <row r="9" spans="2:102" x14ac:dyDescent="0.25">
      <c r="B9">
        <v>13</v>
      </c>
      <c r="C9" t="s">
        <v>91</v>
      </c>
      <c r="D9" s="156" t="s">
        <v>1014</v>
      </c>
      <c r="E9" t="s">
        <v>1013</v>
      </c>
      <c r="F9" s="158">
        <v>45225</v>
      </c>
      <c r="G9" t="s">
        <v>82</v>
      </c>
      <c r="H9" t="s">
        <v>82</v>
      </c>
      <c r="I9" t="s">
        <v>482</v>
      </c>
      <c r="J9" t="s">
        <v>84</v>
      </c>
      <c r="K9">
        <v>1.07</v>
      </c>
      <c r="L9" t="s">
        <v>150</v>
      </c>
      <c r="M9" t="s">
        <v>1066</v>
      </c>
      <c r="N9" t="s">
        <v>7</v>
      </c>
      <c r="O9" t="s">
        <v>7</v>
      </c>
      <c r="P9" t="s">
        <v>7</v>
      </c>
      <c r="Q9" t="s">
        <v>7</v>
      </c>
      <c r="R9" t="s">
        <v>114</v>
      </c>
      <c r="S9">
        <v>100</v>
      </c>
      <c r="T9" t="s">
        <v>37</v>
      </c>
      <c r="U9" t="s">
        <v>261</v>
      </c>
      <c r="V9" t="s">
        <v>7</v>
      </c>
      <c r="W9" t="s">
        <v>7</v>
      </c>
      <c r="X9" t="s">
        <v>91</v>
      </c>
      <c r="Y9" t="s">
        <v>130</v>
      </c>
      <c r="Z9" s="158">
        <v>45229</v>
      </c>
      <c r="AA9" s="158">
        <v>45412</v>
      </c>
      <c r="AB9" s="158">
        <v>46325</v>
      </c>
      <c r="AC9">
        <v>1.07</v>
      </c>
      <c r="AD9">
        <v>7.8029999999999999</v>
      </c>
      <c r="AE9">
        <v>8.3789999999999996</v>
      </c>
      <c r="AF9" t="s">
        <v>1042</v>
      </c>
      <c r="AG9" t="s">
        <v>248</v>
      </c>
      <c r="AH9" t="s">
        <v>7</v>
      </c>
      <c r="AI9" t="s">
        <v>91</v>
      </c>
      <c r="AJ9" t="s">
        <v>1014</v>
      </c>
      <c r="AK9" t="s">
        <v>7</v>
      </c>
      <c r="AL9" t="s">
        <v>91</v>
      </c>
      <c r="AM9" t="s">
        <v>7</v>
      </c>
      <c r="AN9" t="s">
        <v>91</v>
      </c>
      <c r="AO9" t="s">
        <v>7</v>
      </c>
      <c r="AP9" t="s">
        <v>91</v>
      </c>
      <c r="AQ9" t="s">
        <v>91</v>
      </c>
      <c r="AR9" t="s">
        <v>7</v>
      </c>
      <c r="AS9" t="s">
        <v>91</v>
      </c>
      <c r="AT9" t="s">
        <v>91</v>
      </c>
      <c r="AU9" t="s">
        <v>91</v>
      </c>
      <c r="AV9" t="s">
        <v>325</v>
      </c>
      <c r="AW9" t="s">
        <v>240</v>
      </c>
      <c r="AX9" t="s">
        <v>91</v>
      </c>
      <c r="AY9" s="159"/>
      <c r="AZ9" t="s">
        <v>1017</v>
      </c>
      <c r="BA9" t="s">
        <v>677</v>
      </c>
      <c r="BB9" t="s">
        <v>7</v>
      </c>
      <c r="BC9" t="s">
        <v>7</v>
      </c>
      <c r="BD9" t="s">
        <v>7</v>
      </c>
      <c r="BE9" t="s">
        <v>7</v>
      </c>
      <c r="BF9" t="s">
        <v>91</v>
      </c>
      <c r="BG9" t="s">
        <v>91</v>
      </c>
      <c r="BH9" t="s">
        <v>91</v>
      </c>
      <c r="BI9" t="s">
        <v>91</v>
      </c>
      <c r="BJ9" t="s">
        <v>91</v>
      </c>
      <c r="BK9">
        <v>0</v>
      </c>
      <c r="BL9">
        <v>0</v>
      </c>
      <c r="BM9">
        <v>0</v>
      </c>
      <c r="BN9" t="s">
        <v>91</v>
      </c>
      <c r="BO9" t="s">
        <v>91</v>
      </c>
      <c r="BP9"/>
      <c r="BQ9" t="s">
        <v>91</v>
      </c>
      <c r="BR9"/>
      <c r="BS9" t="s">
        <v>1071</v>
      </c>
      <c r="BT9" t="s">
        <v>256</v>
      </c>
      <c r="BU9" t="s">
        <v>195</v>
      </c>
      <c r="BV9" t="s">
        <v>25</v>
      </c>
      <c r="BW9" t="s">
        <v>1044</v>
      </c>
      <c r="BX9" t="s">
        <v>7</v>
      </c>
      <c r="BY9" s="158"/>
      <c r="BZ9" s="158">
        <v>44134</v>
      </c>
      <c r="CA9" t="s">
        <v>1</v>
      </c>
      <c r="CB9" t="s">
        <v>677</v>
      </c>
      <c r="CP9" s="20"/>
      <c r="CX9" s="20"/>
    </row>
    <row r="10" spans="2:102" x14ac:dyDescent="0.25">
      <c r="B10">
        <v>12</v>
      </c>
      <c r="C10" t="s">
        <v>91</v>
      </c>
      <c r="D10" s="156" t="s">
        <v>819</v>
      </c>
      <c r="E10" t="s">
        <v>818</v>
      </c>
      <c r="F10" s="158">
        <v>45225</v>
      </c>
      <c r="G10" t="s">
        <v>820</v>
      </c>
      <c r="H10" t="s">
        <v>820</v>
      </c>
      <c r="I10" t="s">
        <v>485</v>
      </c>
      <c r="J10" t="s">
        <v>84</v>
      </c>
      <c r="K10">
        <v>5</v>
      </c>
      <c r="L10" t="s">
        <v>956</v>
      </c>
      <c r="M10" t="s">
        <v>757</v>
      </c>
      <c r="N10" t="s">
        <v>955</v>
      </c>
      <c r="O10" t="s">
        <v>757</v>
      </c>
      <c r="P10" t="s">
        <v>7</v>
      </c>
      <c r="Q10">
        <v>20</v>
      </c>
      <c r="R10" t="s">
        <v>114</v>
      </c>
      <c r="S10">
        <v>99.941000000000003</v>
      </c>
      <c r="T10" t="s">
        <v>37</v>
      </c>
      <c r="U10" t="s">
        <v>261</v>
      </c>
      <c r="V10" t="s">
        <v>148</v>
      </c>
      <c r="W10" t="s">
        <v>7</v>
      </c>
      <c r="X10" t="s">
        <v>91</v>
      </c>
      <c r="Y10" t="s">
        <v>130</v>
      </c>
      <c r="Z10" s="158">
        <v>45232</v>
      </c>
      <c r="AA10" s="158">
        <v>45414</v>
      </c>
      <c r="AB10" s="158">
        <v>46267</v>
      </c>
      <c r="AC10">
        <v>5</v>
      </c>
      <c r="AD10">
        <v>36.463999999999999</v>
      </c>
      <c r="AE10">
        <v>39.152999999999999</v>
      </c>
      <c r="AF10" t="s">
        <v>902</v>
      </c>
      <c r="AG10" t="s">
        <v>248</v>
      </c>
      <c r="AH10" t="s">
        <v>7</v>
      </c>
      <c r="AI10" t="s">
        <v>91</v>
      </c>
      <c r="AJ10" t="s">
        <v>819</v>
      </c>
      <c r="AK10" t="s">
        <v>7</v>
      </c>
      <c r="AL10" t="s">
        <v>91</v>
      </c>
      <c r="AM10" t="s">
        <v>7</v>
      </c>
      <c r="AN10" t="s">
        <v>705</v>
      </c>
      <c r="AO10" t="s">
        <v>7</v>
      </c>
      <c r="AP10" t="s">
        <v>91</v>
      </c>
      <c r="AQ10" t="s">
        <v>91</v>
      </c>
      <c r="AR10" t="s">
        <v>7</v>
      </c>
      <c r="AS10" t="s">
        <v>91</v>
      </c>
      <c r="AT10" t="s">
        <v>91</v>
      </c>
      <c r="AU10" t="s">
        <v>903</v>
      </c>
      <c r="AV10" t="s">
        <v>325</v>
      </c>
      <c r="AW10" t="s">
        <v>240</v>
      </c>
      <c r="AX10" t="s">
        <v>91</v>
      </c>
      <c r="AY10" s="159"/>
      <c r="AZ10" t="s">
        <v>823</v>
      </c>
      <c r="BA10" t="s">
        <v>677</v>
      </c>
      <c r="BB10" t="s">
        <v>148</v>
      </c>
      <c r="BC10" t="s">
        <v>7</v>
      </c>
      <c r="BD10" t="s">
        <v>7</v>
      </c>
      <c r="BE10" t="s">
        <v>7</v>
      </c>
      <c r="BF10" t="s">
        <v>179</v>
      </c>
      <c r="BG10" t="s">
        <v>183</v>
      </c>
      <c r="BH10" t="s">
        <v>961</v>
      </c>
      <c r="BI10" t="s">
        <v>962</v>
      </c>
      <c r="BJ10" t="s">
        <v>688</v>
      </c>
      <c r="BK10">
        <v>1</v>
      </c>
      <c r="BL10">
        <v>1</v>
      </c>
      <c r="BM10">
        <v>1</v>
      </c>
      <c r="BN10" t="s">
        <v>91</v>
      </c>
      <c r="BO10" t="s">
        <v>91</v>
      </c>
      <c r="BP10"/>
      <c r="BQ10" t="s">
        <v>677</v>
      </c>
      <c r="BR10"/>
      <c r="BS10" t="s">
        <v>91</v>
      </c>
      <c r="BT10" t="s">
        <v>91</v>
      </c>
      <c r="BU10" t="s">
        <v>91</v>
      </c>
      <c r="BV10" t="s">
        <v>91</v>
      </c>
      <c r="BW10" t="s">
        <v>7</v>
      </c>
      <c r="BX10" t="s">
        <v>7</v>
      </c>
      <c r="BY10" s="158"/>
      <c r="BZ10" s="158"/>
      <c r="CA10" t="s">
        <v>91</v>
      </c>
      <c r="CB10" t="s">
        <v>91</v>
      </c>
      <c r="CP10" s="20"/>
      <c r="CX10" s="20"/>
    </row>
    <row r="11" spans="2:102" x14ac:dyDescent="0.25">
      <c r="B11">
        <v>11</v>
      </c>
      <c r="C11" t="s">
        <v>691</v>
      </c>
      <c r="D11" s="156" t="s">
        <v>680</v>
      </c>
      <c r="E11" t="s">
        <v>1003</v>
      </c>
      <c r="F11" s="158">
        <v>45225</v>
      </c>
      <c r="G11" t="s">
        <v>82</v>
      </c>
      <c r="H11" t="s">
        <v>91</v>
      </c>
      <c r="I11" t="s">
        <v>7</v>
      </c>
      <c r="J11" t="s">
        <v>105</v>
      </c>
      <c r="K11">
        <v>0.22</v>
      </c>
      <c r="L11" t="s">
        <v>1067</v>
      </c>
      <c r="M11" t="s">
        <v>91</v>
      </c>
      <c r="N11" t="s">
        <v>7</v>
      </c>
      <c r="O11" t="s">
        <v>7</v>
      </c>
      <c r="P11" t="s">
        <v>7</v>
      </c>
      <c r="Q11" t="s">
        <v>7</v>
      </c>
      <c r="R11" t="s">
        <v>91</v>
      </c>
      <c r="S11"/>
      <c r="T11" t="s">
        <v>91</v>
      </c>
      <c r="U11" t="s">
        <v>7</v>
      </c>
      <c r="V11" t="s">
        <v>7</v>
      </c>
      <c r="W11" t="s">
        <v>7</v>
      </c>
      <c r="X11" t="s">
        <v>91</v>
      </c>
      <c r="Y11" t="s">
        <v>91</v>
      </c>
      <c r="Z11" s="158"/>
      <c r="AA11" s="158"/>
      <c r="AB11" s="158"/>
      <c r="AC11">
        <v>0.03</v>
      </c>
      <c r="AD11"/>
      <c r="AE11"/>
      <c r="AF11" t="s">
        <v>91</v>
      </c>
      <c r="AG11" t="s">
        <v>91</v>
      </c>
      <c r="AH11" t="s">
        <v>7</v>
      </c>
      <c r="AI11" t="s">
        <v>91</v>
      </c>
      <c r="AJ11" t="s">
        <v>91</v>
      </c>
      <c r="AK11" t="s">
        <v>7</v>
      </c>
      <c r="AL11" t="s">
        <v>91</v>
      </c>
      <c r="AM11" t="s">
        <v>7</v>
      </c>
      <c r="AN11" t="s">
        <v>91</v>
      </c>
      <c r="AO11" t="s">
        <v>91</v>
      </c>
      <c r="AP11" t="s">
        <v>91</v>
      </c>
      <c r="AQ11" t="s">
        <v>91</v>
      </c>
      <c r="AR11" t="s">
        <v>7</v>
      </c>
      <c r="AS11" t="s">
        <v>91</v>
      </c>
      <c r="AT11" t="s">
        <v>91</v>
      </c>
      <c r="AU11" t="s">
        <v>91</v>
      </c>
      <c r="AV11" t="s">
        <v>91</v>
      </c>
      <c r="AW11" t="s">
        <v>91</v>
      </c>
      <c r="AX11" t="s">
        <v>91</v>
      </c>
      <c r="AY11" s="159"/>
      <c r="AZ11" t="s">
        <v>1004</v>
      </c>
      <c r="BA11" t="s">
        <v>91</v>
      </c>
      <c r="BB11" t="s">
        <v>7</v>
      </c>
      <c r="BC11" t="s">
        <v>7</v>
      </c>
      <c r="BD11" t="s">
        <v>7</v>
      </c>
      <c r="BE11" t="s">
        <v>7</v>
      </c>
      <c r="BF11" t="s">
        <v>91</v>
      </c>
      <c r="BG11" t="s">
        <v>91</v>
      </c>
      <c r="BH11" t="s">
        <v>91</v>
      </c>
      <c r="BI11" t="s">
        <v>91</v>
      </c>
      <c r="BJ11" t="s">
        <v>91</v>
      </c>
      <c r="BK11">
        <v>0</v>
      </c>
      <c r="BL11">
        <v>0</v>
      </c>
      <c r="BM11">
        <v>0</v>
      </c>
      <c r="BN11" t="s">
        <v>91</v>
      </c>
      <c r="BO11" t="s">
        <v>91</v>
      </c>
      <c r="BP11"/>
      <c r="BQ11" t="s">
        <v>91</v>
      </c>
      <c r="BR11" t="s">
        <v>677</v>
      </c>
      <c r="BS11" t="s">
        <v>91</v>
      </c>
      <c r="BT11" t="s">
        <v>91</v>
      </c>
      <c r="BU11" t="s">
        <v>91</v>
      </c>
      <c r="BV11" t="s">
        <v>91</v>
      </c>
      <c r="BW11" t="s">
        <v>7</v>
      </c>
      <c r="BX11" t="s">
        <v>7</v>
      </c>
      <c r="BY11" s="158"/>
      <c r="BZ11" s="158"/>
      <c r="CA11" t="s">
        <v>91</v>
      </c>
      <c r="CB11" t="s">
        <v>91</v>
      </c>
      <c r="CP11" s="20"/>
      <c r="CX11" s="20"/>
    </row>
    <row r="12" spans="2:102" x14ac:dyDescent="0.25">
      <c r="B12">
        <v>10</v>
      </c>
      <c r="C12" t="s">
        <v>691</v>
      </c>
      <c r="D12" s="156" t="s">
        <v>680</v>
      </c>
      <c r="E12" t="s">
        <v>997</v>
      </c>
      <c r="F12" s="158">
        <v>45225</v>
      </c>
      <c r="G12" t="s">
        <v>82</v>
      </c>
      <c r="H12" t="s">
        <v>91</v>
      </c>
      <c r="I12" t="s">
        <v>7</v>
      </c>
      <c r="J12" t="s">
        <v>105</v>
      </c>
      <c r="K12">
        <v>0.25700000000000001</v>
      </c>
      <c r="L12" t="s">
        <v>1067</v>
      </c>
      <c r="M12" t="s">
        <v>91</v>
      </c>
      <c r="N12" t="s">
        <v>7</v>
      </c>
      <c r="O12" t="s">
        <v>7</v>
      </c>
      <c r="P12" t="s">
        <v>7</v>
      </c>
      <c r="Q12" t="s">
        <v>7</v>
      </c>
      <c r="R12" t="s">
        <v>91</v>
      </c>
      <c r="S12"/>
      <c r="T12" t="s">
        <v>91</v>
      </c>
      <c r="U12" t="s">
        <v>7</v>
      </c>
      <c r="V12" t="s">
        <v>7</v>
      </c>
      <c r="W12" t="s">
        <v>7</v>
      </c>
      <c r="X12" t="s">
        <v>91</v>
      </c>
      <c r="Y12" t="s">
        <v>91</v>
      </c>
      <c r="Z12" s="158"/>
      <c r="AA12" s="158"/>
      <c r="AB12" s="158"/>
      <c r="AC12">
        <v>3.5000000000000003E-2</v>
      </c>
      <c r="AD12"/>
      <c r="AE12"/>
      <c r="AF12" t="s">
        <v>91</v>
      </c>
      <c r="AG12" t="s">
        <v>91</v>
      </c>
      <c r="AH12" t="s">
        <v>7</v>
      </c>
      <c r="AI12" t="s">
        <v>91</v>
      </c>
      <c r="AJ12" t="s">
        <v>91</v>
      </c>
      <c r="AK12" t="s">
        <v>7</v>
      </c>
      <c r="AL12" t="s">
        <v>91</v>
      </c>
      <c r="AM12" t="s">
        <v>7</v>
      </c>
      <c r="AN12" t="s">
        <v>91</v>
      </c>
      <c r="AO12" t="s">
        <v>91</v>
      </c>
      <c r="AP12" t="s">
        <v>91</v>
      </c>
      <c r="AQ12" t="s">
        <v>91</v>
      </c>
      <c r="AR12" t="s">
        <v>7</v>
      </c>
      <c r="AS12" t="s">
        <v>91</v>
      </c>
      <c r="AT12" t="s">
        <v>91</v>
      </c>
      <c r="AU12" t="s">
        <v>91</v>
      </c>
      <c r="AV12" t="s">
        <v>91</v>
      </c>
      <c r="AW12" t="s">
        <v>91</v>
      </c>
      <c r="AX12" t="s">
        <v>91</v>
      </c>
      <c r="AY12" s="159"/>
      <c r="AZ12" t="s">
        <v>998</v>
      </c>
      <c r="BA12" t="s">
        <v>91</v>
      </c>
      <c r="BB12" t="s">
        <v>7</v>
      </c>
      <c r="BC12" t="s">
        <v>7</v>
      </c>
      <c r="BD12" t="s">
        <v>7</v>
      </c>
      <c r="BE12" t="s">
        <v>7</v>
      </c>
      <c r="BF12" t="s">
        <v>91</v>
      </c>
      <c r="BG12" t="s">
        <v>91</v>
      </c>
      <c r="BH12" t="s">
        <v>91</v>
      </c>
      <c r="BI12" t="s">
        <v>91</v>
      </c>
      <c r="BJ12" t="s">
        <v>91</v>
      </c>
      <c r="BK12">
        <v>0</v>
      </c>
      <c r="BL12">
        <v>0</v>
      </c>
      <c r="BM12">
        <v>0</v>
      </c>
      <c r="BN12" t="s">
        <v>91</v>
      </c>
      <c r="BO12" t="s">
        <v>91</v>
      </c>
      <c r="BP12"/>
      <c r="BQ12" t="s">
        <v>91</v>
      </c>
      <c r="BR12" t="s">
        <v>677</v>
      </c>
      <c r="BS12" t="s">
        <v>91</v>
      </c>
      <c r="BT12" t="s">
        <v>91</v>
      </c>
      <c r="BU12" t="s">
        <v>91</v>
      </c>
      <c r="BV12" t="s">
        <v>91</v>
      </c>
      <c r="BW12" t="s">
        <v>7</v>
      </c>
      <c r="BX12" t="s">
        <v>7</v>
      </c>
      <c r="BY12" s="158"/>
      <c r="BZ12" s="158"/>
      <c r="CA12" t="s">
        <v>91</v>
      </c>
      <c r="CB12" t="s">
        <v>91</v>
      </c>
      <c r="CP12" s="20"/>
      <c r="CX12" s="20"/>
    </row>
    <row r="13" spans="2:102" x14ac:dyDescent="0.25">
      <c r="B13">
        <v>9</v>
      </c>
      <c r="C13" t="s">
        <v>691</v>
      </c>
      <c r="D13" s="156" t="s">
        <v>680</v>
      </c>
      <c r="E13" t="s">
        <v>1011</v>
      </c>
      <c r="F13" s="158">
        <v>45225</v>
      </c>
      <c r="G13" t="s">
        <v>82</v>
      </c>
      <c r="H13" t="s">
        <v>91</v>
      </c>
      <c r="I13" t="s">
        <v>7</v>
      </c>
      <c r="J13" t="s">
        <v>105</v>
      </c>
      <c r="K13">
        <v>0.127</v>
      </c>
      <c r="L13" t="s">
        <v>1069</v>
      </c>
      <c r="M13" t="s">
        <v>91</v>
      </c>
      <c r="N13" t="s">
        <v>7</v>
      </c>
      <c r="O13" t="s">
        <v>7</v>
      </c>
      <c r="P13" t="s">
        <v>7</v>
      </c>
      <c r="Q13" t="s">
        <v>7</v>
      </c>
      <c r="R13" t="s">
        <v>91</v>
      </c>
      <c r="S13"/>
      <c r="T13" t="s">
        <v>91</v>
      </c>
      <c r="U13" t="s">
        <v>7</v>
      </c>
      <c r="V13" t="s">
        <v>7</v>
      </c>
      <c r="W13" t="s">
        <v>7</v>
      </c>
      <c r="X13" t="s">
        <v>91</v>
      </c>
      <c r="Y13" t="s">
        <v>91</v>
      </c>
      <c r="Z13" s="158"/>
      <c r="AA13" s="158"/>
      <c r="AB13" s="158"/>
      <c r="AC13">
        <v>1.7000000000000001E-2</v>
      </c>
      <c r="AD13"/>
      <c r="AE13"/>
      <c r="AF13" t="s">
        <v>91</v>
      </c>
      <c r="AG13" t="s">
        <v>91</v>
      </c>
      <c r="AH13" t="s">
        <v>7</v>
      </c>
      <c r="AI13" t="s">
        <v>91</v>
      </c>
      <c r="AJ13" t="s">
        <v>91</v>
      </c>
      <c r="AK13" t="s">
        <v>7</v>
      </c>
      <c r="AL13" t="s">
        <v>91</v>
      </c>
      <c r="AM13" t="s">
        <v>7</v>
      </c>
      <c r="AN13" t="s">
        <v>91</v>
      </c>
      <c r="AO13" t="s">
        <v>91</v>
      </c>
      <c r="AP13" t="s">
        <v>91</v>
      </c>
      <c r="AQ13" t="s">
        <v>91</v>
      </c>
      <c r="AR13" t="s">
        <v>7</v>
      </c>
      <c r="AS13" t="s">
        <v>91</v>
      </c>
      <c r="AT13" t="s">
        <v>91</v>
      </c>
      <c r="AU13" t="s">
        <v>91</v>
      </c>
      <c r="AV13" t="s">
        <v>91</v>
      </c>
      <c r="AW13" t="s">
        <v>91</v>
      </c>
      <c r="AX13" t="s">
        <v>91</v>
      </c>
      <c r="AY13" s="159"/>
      <c r="AZ13" t="s">
        <v>1012</v>
      </c>
      <c r="BA13" t="s">
        <v>91</v>
      </c>
      <c r="BB13" t="s">
        <v>7</v>
      </c>
      <c r="BC13" t="s">
        <v>7</v>
      </c>
      <c r="BD13" t="s">
        <v>7</v>
      </c>
      <c r="BE13" t="s">
        <v>7</v>
      </c>
      <c r="BF13" t="s">
        <v>91</v>
      </c>
      <c r="BG13" t="s">
        <v>91</v>
      </c>
      <c r="BH13" t="s">
        <v>91</v>
      </c>
      <c r="BI13" t="s">
        <v>91</v>
      </c>
      <c r="BJ13" t="s">
        <v>91</v>
      </c>
      <c r="BK13">
        <v>0</v>
      </c>
      <c r="BL13">
        <v>0</v>
      </c>
      <c r="BM13">
        <v>0</v>
      </c>
      <c r="BN13" t="s">
        <v>91</v>
      </c>
      <c r="BO13" t="s">
        <v>91</v>
      </c>
      <c r="BP13"/>
      <c r="BQ13" t="s">
        <v>91</v>
      </c>
      <c r="BR13" t="s">
        <v>677</v>
      </c>
      <c r="BS13" t="s">
        <v>91</v>
      </c>
      <c r="BT13" t="s">
        <v>91</v>
      </c>
      <c r="BU13" t="s">
        <v>91</v>
      </c>
      <c r="BV13" t="s">
        <v>91</v>
      </c>
      <c r="BW13" t="s">
        <v>7</v>
      </c>
      <c r="BX13" t="s">
        <v>7</v>
      </c>
      <c r="BY13" s="158"/>
      <c r="BZ13" s="158"/>
      <c r="CA13" t="s">
        <v>91</v>
      </c>
      <c r="CB13" t="s">
        <v>91</v>
      </c>
      <c r="CP13" s="20"/>
      <c r="CX13" s="20"/>
    </row>
    <row r="14" spans="2:102" x14ac:dyDescent="0.25">
      <c r="B14">
        <v>8</v>
      </c>
      <c r="C14" t="s">
        <v>91</v>
      </c>
      <c r="D14" s="156" t="s">
        <v>844</v>
      </c>
      <c r="E14" t="s">
        <v>843</v>
      </c>
      <c r="F14" s="158">
        <v>45224</v>
      </c>
      <c r="G14" t="s">
        <v>82</v>
      </c>
      <c r="H14" t="s">
        <v>82</v>
      </c>
      <c r="I14" t="s">
        <v>482</v>
      </c>
      <c r="J14" t="s">
        <v>105</v>
      </c>
      <c r="K14">
        <v>4.97</v>
      </c>
      <c r="L14" t="s">
        <v>150</v>
      </c>
      <c r="M14" t="s">
        <v>771</v>
      </c>
      <c r="N14" t="s">
        <v>1072</v>
      </c>
      <c r="O14" t="s">
        <v>771</v>
      </c>
      <c r="P14" t="s">
        <v>7</v>
      </c>
      <c r="Q14">
        <v>10</v>
      </c>
      <c r="R14" t="s">
        <v>114</v>
      </c>
      <c r="S14">
        <v>100</v>
      </c>
      <c r="T14" t="s">
        <v>37</v>
      </c>
      <c r="U14" t="s">
        <v>109</v>
      </c>
      <c r="V14" t="s">
        <v>7</v>
      </c>
      <c r="W14" t="s">
        <v>7</v>
      </c>
      <c r="X14" t="s">
        <v>91</v>
      </c>
      <c r="Y14" t="s">
        <v>130</v>
      </c>
      <c r="Z14" s="158">
        <v>45226</v>
      </c>
      <c r="AA14" s="158">
        <v>45409</v>
      </c>
      <c r="AB14" s="158">
        <v>46322</v>
      </c>
      <c r="AC14">
        <v>0.68100000000000005</v>
      </c>
      <c r="AD14">
        <v>4.97</v>
      </c>
      <c r="AE14">
        <v>5.3339999999999996</v>
      </c>
      <c r="AF14" t="s">
        <v>945</v>
      </c>
      <c r="AG14" t="s">
        <v>248</v>
      </c>
      <c r="AH14" t="s">
        <v>7</v>
      </c>
      <c r="AI14" t="s">
        <v>91</v>
      </c>
      <c r="AJ14" t="s">
        <v>844</v>
      </c>
      <c r="AK14" t="s">
        <v>7</v>
      </c>
      <c r="AL14" t="s">
        <v>91</v>
      </c>
      <c r="AM14" t="s">
        <v>7</v>
      </c>
      <c r="AN14" t="s">
        <v>91</v>
      </c>
      <c r="AO14" t="s">
        <v>7</v>
      </c>
      <c r="AP14" t="s">
        <v>91</v>
      </c>
      <c r="AQ14" t="s">
        <v>91</v>
      </c>
      <c r="AR14" t="s">
        <v>7</v>
      </c>
      <c r="AS14" t="s">
        <v>91</v>
      </c>
      <c r="AT14" t="s">
        <v>91</v>
      </c>
      <c r="AU14" t="s">
        <v>91</v>
      </c>
      <c r="AV14" t="s">
        <v>325</v>
      </c>
      <c r="AW14" t="s">
        <v>240</v>
      </c>
      <c r="AX14" t="s">
        <v>91</v>
      </c>
      <c r="AY14" s="159"/>
      <c r="AZ14" t="s">
        <v>846</v>
      </c>
      <c r="BA14" t="s">
        <v>677</v>
      </c>
      <c r="BB14" t="s">
        <v>7</v>
      </c>
      <c r="BC14" t="s">
        <v>7</v>
      </c>
      <c r="BD14" t="s">
        <v>7</v>
      </c>
      <c r="BE14" t="s">
        <v>7</v>
      </c>
      <c r="BF14" t="s">
        <v>91</v>
      </c>
      <c r="BG14" t="s">
        <v>91</v>
      </c>
      <c r="BH14" t="s">
        <v>91</v>
      </c>
      <c r="BI14" t="s">
        <v>91</v>
      </c>
      <c r="BJ14" t="s">
        <v>91</v>
      </c>
      <c r="BK14">
        <v>0</v>
      </c>
      <c r="BL14">
        <v>0</v>
      </c>
      <c r="BM14">
        <v>0</v>
      </c>
      <c r="BN14" t="s">
        <v>91</v>
      </c>
      <c r="BO14" t="s">
        <v>91</v>
      </c>
      <c r="BP14"/>
      <c r="BQ14" t="s">
        <v>91</v>
      </c>
      <c r="BR14"/>
      <c r="BS14" t="s">
        <v>963</v>
      </c>
      <c r="BT14" t="s">
        <v>256</v>
      </c>
      <c r="BU14" t="s">
        <v>195</v>
      </c>
      <c r="BV14" t="s">
        <v>19</v>
      </c>
      <c r="BW14" t="s">
        <v>948</v>
      </c>
      <c r="BX14" t="s">
        <v>947</v>
      </c>
      <c r="BY14" s="158"/>
      <c r="BZ14" s="158">
        <v>45224</v>
      </c>
      <c r="CA14" t="s">
        <v>1</v>
      </c>
      <c r="CB14" t="s">
        <v>677</v>
      </c>
      <c r="CP14" s="20"/>
      <c r="CX14" s="20"/>
    </row>
    <row r="15" spans="2:102" x14ac:dyDescent="0.25">
      <c r="B15">
        <v>7</v>
      </c>
      <c r="C15" t="s">
        <v>91</v>
      </c>
      <c r="D15" s="156" t="s">
        <v>802</v>
      </c>
      <c r="E15" t="s">
        <v>847</v>
      </c>
      <c r="F15" s="158">
        <v>45224</v>
      </c>
      <c r="G15" t="s">
        <v>848</v>
      </c>
      <c r="H15" t="s">
        <v>441</v>
      </c>
      <c r="I15" t="s">
        <v>485</v>
      </c>
      <c r="J15" t="s">
        <v>280</v>
      </c>
      <c r="K15">
        <v>1.5</v>
      </c>
      <c r="L15" t="s">
        <v>150</v>
      </c>
      <c r="M15" t="s">
        <v>986</v>
      </c>
      <c r="N15" t="s">
        <v>987</v>
      </c>
      <c r="O15" t="s">
        <v>1082</v>
      </c>
      <c r="P15" t="s">
        <v>986</v>
      </c>
      <c r="Q15">
        <v>0</v>
      </c>
      <c r="R15" t="s">
        <v>984</v>
      </c>
      <c r="S15">
        <v>100</v>
      </c>
      <c r="T15" t="s">
        <v>39</v>
      </c>
      <c r="U15" t="s">
        <v>109</v>
      </c>
      <c r="V15" t="s">
        <v>7</v>
      </c>
      <c r="W15" t="s">
        <v>7</v>
      </c>
      <c r="X15" t="s">
        <v>91</v>
      </c>
      <c r="Y15" t="s">
        <v>734</v>
      </c>
      <c r="Z15" s="158">
        <v>45232</v>
      </c>
      <c r="AA15" s="158">
        <v>45324</v>
      </c>
      <c r="AB15" s="158">
        <v>46328</v>
      </c>
      <c r="AC15">
        <v>0.9</v>
      </c>
      <c r="AD15">
        <v>6.5629999999999997</v>
      </c>
      <c r="AE15">
        <v>7.0449999999999999</v>
      </c>
      <c r="AF15" t="s">
        <v>940</v>
      </c>
      <c r="AG15" t="s">
        <v>849</v>
      </c>
      <c r="AH15" t="s">
        <v>7</v>
      </c>
      <c r="AI15" t="s">
        <v>91</v>
      </c>
      <c r="AJ15" t="s">
        <v>938</v>
      </c>
      <c r="AK15" t="s">
        <v>802</v>
      </c>
      <c r="AL15" t="s">
        <v>91</v>
      </c>
      <c r="AM15" t="s">
        <v>7</v>
      </c>
      <c r="AN15" t="s">
        <v>91</v>
      </c>
      <c r="AO15" t="s">
        <v>753</v>
      </c>
      <c r="AP15" t="s">
        <v>91</v>
      </c>
      <c r="AQ15" t="s">
        <v>91</v>
      </c>
      <c r="AR15" t="s">
        <v>7</v>
      </c>
      <c r="AS15" t="s">
        <v>91</v>
      </c>
      <c r="AT15" t="s">
        <v>91</v>
      </c>
      <c r="AU15" t="s">
        <v>91</v>
      </c>
      <c r="AV15" t="s">
        <v>325</v>
      </c>
      <c r="AW15" t="s">
        <v>240</v>
      </c>
      <c r="AX15" t="s">
        <v>91</v>
      </c>
      <c r="AY15" s="159"/>
      <c r="AZ15" t="s">
        <v>853</v>
      </c>
      <c r="BA15" t="s">
        <v>677</v>
      </c>
      <c r="BB15" t="s">
        <v>7</v>
      </c>
      <c r="BC15" t="s">
        <v>7</v>
      </c>
      <c r="BD15" t="s">
        <v>7</v>
      </c>
      <c r="BE15" t="s">
        <v>7</v>
      </c>
      <c r="BF15" t="s">
        <v>91</v>
      </c>
      <c r="BG15" t="s">
        <v>91</v>
      </c>
      <c r="BH15" t="s">
        <v>91</v>
      </c>
      <c r="BI15" t="s">
        <v>91</v>
      </c>
      <c r="BJ15" t="s">
        <v>91</v>
      </c>
      <c r="BK15">
        <v>0</v>
      </c>
      <c r="BL15">
        <v>0</v>
      </c>
      <c r="BM15">
        <v>0</v>
      </c>
      <c r="BN15" t="s">
        <v>91</v>
      </c>
      <c r="BO15" t="s">
        <v>91</v>
      </c>
      <c r="BP15"/>
      <c r="BQ15" t="s">
        <v>91</v>
      </c>
      <c r="BR15"/>
      <c r="BS15" t="s">
        <v>91</v>
      </c>
      <c r="BT15" t="s">
        <v>91</v>
      </c>
      <c r="BU15" t="s">
        <v>91</v>
      </c>
      <c r="BV15" t="s">
        <v>91</v>
      </c>
      <c r="BW15" t="s">
        <v>7</v>
      </c>
      <c r="BX15" t="s">
        <v>7</v>
      </c>
      <c r="BY15" s="158"/>
      <c r="BZ15" s="158"/>
      <c r="CA15" t="s">
        <v>91</v>
      </c>
      <c r="CB15" t="s">
        <v>91</v>
      </c>
    </row>
    <row r="16" spans="2:102" x14ac:dyDescent="0.25">
      <c r="B16">
        <v>6</v>
      </c>
      <c r="C16" t="s">
        <v>91</v>
      </c>
      <c r="D16" s="156" t="s">
        <v>825</v>
      </c>
      <c r="E16" t="s">
        <v>829</v>
      </c>
      <c r="F16" s="158">
        <v>45224</v>
      </c>
      <c r="G16" t="s">
        <v>82</v>
      </c>
      <c r="H16" t="s">
        <v>826</v>
      </c>
      <c r="I16" t="s">
        <v>7</v>
      </c>
      <c r="J16" t="s">
        <v>105</v>
      </c>
      <c r="K16">
        <v>30</v>
      </c>
      <c r="L16" t="s">
        <v>957</v>
      </c>
      <c r="M16" t="s">
        <v>916</v>
      </c>
      <c r="N16" t="s">
        <v>7</v>
      </c>
      <c r="O16" t="s">
        <v>7</v>
      </c>
      <c r="P16" t="s">
        <v>7</v>
      </c>
      <c r="Q16" t="s">
        <v>7</v>
      </c>
      <c r="R16" t="s">
        <v>114</v>
      </c>
      <c r="S16">
        <v>98</v>
      </c>
      <c r="T16" t="s">
        <v>37</v>
      </c>
      <c r="U16" t="s">
        <v>261</v>
      </c>
      <c r="V16" t="s">
        <v>964</v>
      </c>
      <c r="W16" t="s">
        <v>7</v>
      </c>
      <c r="X16" t="s">
        <v>250</v>
      </c>
      <c r="Y16" t="s">
        <v>130</v>
      </c>
      <c r="Z16" s="158">
        <v>45226</v>
      </c>
      <c r="AA16" s="158">
        <v>45276</v>
      </c>
      <c r="AB16" s="158">
        <v>48746</v>
      </c>
      <c r="AC16">
        <v>4.1130000000000004</v>
      </c>
      <c r="AD16">
        <v>30</v>
      </c>
      <c r="AE16">
        <v>32.198999999999998</v>
      </c>
      <c r="AF16" t="s">
        <v>918</v>
      </c>
      <c r="AG16" t="s">
        <v>248</v>
      </c>
      <c r="AH16" t="s">
        <v>7</v>
      </c>
      <c r="AI16" t="s">
        <v>91</v>
      </c>
      <c r="AJ16" t="s">
        <v>917</v>
      </c>
      <c r="AK16" t="s">
        <v>7</v>
      </c>
      <c r="AL16" t="s">
        <v>91</v>
      </c>
      <c r="AM16" t="s">
        <v>7</v>
      </c>
      <c r="AN16" t="s">
        <v>91</v>
      </c>
      <c r="AO16" t="s">
        <v>7</v>
      </c>
      <c r="AP16" t="s">
        <v>91</v>
      </c>
      <c r="AQ16" t="s">
        <v>91</v>
      </c>
      <c r="AR16" t="s">
        <v>7</v>
      </c>
      <c r="AS16" t="s">
        <v>91</v>
      </c>
      <c r="AT16" t="s">
        <v>91</v>
      </c>
      <c r="AU16" t="s">
        <v>91</v>
      </c>
      <c r="AV16" t="s">
        <v>250</v>
      </c>
      <c r="AW16" t="s">
        <v>240</v>
      </c>
      <c r="AX16" t="s">
        <v>91</v>
      </c>
      <c r="AY16" s="159"/>
      <c r="AZ16" t="s">
        <v>831</v>
      </c>
      <c r="BA16" t="s">
        <v>677</v>
      </c>
      <c r="BB16" t="s">
        <v>7</v>
      </c>
      <c r="BC16" t="s">
        <v>7</v>
      </c>
      <c r="BD16" t="s">
        <v>7</v>
      </c>
      <c r="BE16" t="s">
        <v>7</v>
      </c>
      <c r="BF16" t="s">
        <v>91</v>
      </c>
      <c r="BG16" t="s">
        <v>91</v>
      </c>
      <c r="BH16" t="s">
        <v>91</v>
      </c>
      <c r="BI16" t="s">
        <v>91</v>
      </c>
      <c r="BJ16" t="s">
        <v>91</v>
      </c>
      <c r="BK16">
        <v>0</v>
      </c>
      <c r="BL16">
        <v>0</v>
      </c>
      <c r="BM16">
        <v>0</v>
      </c>
      <c r="BN16" t="s">
        <v>91</v>
      </c>
      <c r="BO16" t="s">
        <v>91</v>
      </c>
      <c r="BP16"/>
      <c r="BQ16" t="s">
        <v>91</v>
      </c>
      <c r="BR16"/>
      <c r="BS16" t="s">
        <v>91</v>
      </c>
      <c r="BT16" t="s">
        <v>91</v>
      </c>
      <c r="BU16" t="s">
        <v>91</v>
      </c>
      <c r="BV16" t="s">
        <v>91</v>
      </c>
      <c r="BW16" t="s">
        <v>7</v>
      </c>
      <c r="BX16" t="s">
        <v>7</v>
      </c>
      <c r="BY16" s="158"/>
      <c r="BZ16" s="158"/>
      <c r="CA16" t="s">
        <v>91</v>
      </c>
      <c r="CB16" t="s">
        <v>91</v>
      </c>
    </row>
    <row r="17" spans="2:80" x14ac:dyDescent="0.25">
      <c r="B17">
        <v>5</v>
      </c>
      <c r="C17" t="s">
        <v>91</v>
      </c>
      <c r="D17" s="156" t="s">
        <v>825</v>
      </c>
      <c r="E17" t="s">
        <v>824</v>
      </c>
      <c r="F17" s="158">
        <v>45224</v>
      </c>
      <c r="G17" t="s">
        <v>82</v>
      </c>
      <c r="H17" t="s">
        <v>826</v>
      </c>
      <c r="I17" t="s">
        <v>7</v>
      </c>
      <c r="J17" t="s">
        <v>105</v>
      </c>
      <c r="K17">
        <v>40</v>
      </c>
      <c r="L17" t="s">
        <v>462</v>
      </c>
      <c r="M17" t="s">
        <v>933</v>
      </c>
      <c r="N17" t="s">
        <v>7</v>
      </c>
      <c r="O17" t="s">
        <v>7</v>
      </c>
      <c r="P17" t="s">
        <v>7</v>
      </c>
      <c r="Q17" t="s">
        <v>7</v>
      </c>
      <c r="R17" t="s">
        <v>114</v>
      </c>
      <c r="S17">
        <v>98.54</v>
      </c>
      <c r="T17" t="s">
        <v>37</v>
      </c>
      <c r="U17" t="s">
        <v>109</v>
      </c>
      <c r="V17" t="s">
        <v>964</v>
      </c>
      <c r="W17" t="s">
        <v>7</v>
      </c>
      <c r="X17" t="s">
        <v>250</v>
      </c>
      <c r="Y17" t="s">
        <v>130</v>
      </c>
      <c r="Z17" s="158">
        <v>45226</v>
      </c>
      <c r="AA17" s="158">
        <v>45326</v>
      </c>
      <c r="AB17" s="158">
        <v>46969</v>
      </c>
      <c r="AC17">
        <v>5.484</v>
      </c>
      <c r="AD17">
        <v>40</v>
      </c>
      <c r="AE17">
        <v>42.932000000000002</v>
      </c>
      <c r="AF17" t="s">
        <v>918</v>
      </c>
      <c r="AG17" t="s">
        <v>248</v>
      </c>
      <c r="AH17" t="s">
        <v>7</v>
      </c>
      <c r="AI17" t="s">
        <v>91</v>
      </c>
      <c r="AJ17" t="s">
        <v>917</v>
      </c>
      <c r="AK17" t="s">
        <v>7</v>
      </c>
      <c r="AL17" t="s">
        <v>91</v>
      </c>
      <c r="AM17" t="s">
        <v>7</v>
      </c>
      <c r="AN17" t="s">
        <v>91</v>
      </c>
      <c r="AO17" t="s">
        <v>7</v>
      </c>
      <c r="AP17" t="s">
        <v>91</v>
      </c>
      <c r="AQ17" t="s">
        <v>91</v>
      </c>
      <c r="AR17" t="s">
        <v>7</v>
      </c>
      <c r="AS17" t="s">
        <v>91</v>
      </c>
      <c r="AT17" t="s">
        <v>91</v>
      </c>
      <c r="AU17" t="s">
        <v>91</v>
      </c>
      <c r="AV17" t="s">
        <v>250</v>
      </c>
      <c r="AW17" t="s">
        <v>240</v>
      </c>
      <c r="AX17" t="s">
        <v>91</v>
      </c>
      <c r="AY17" s="159"/>
      <c r="AZ17" t="s">
        <v>828</v>
      </c>
      <c r="BA17" t="s">
        <v>677</v>
      </c>
      <c r="BB17" t="s">
        <v>7</v>
      </c>
      <c r="BC17" t="s">
        <v>7</v>
      </c>
      <c r="BD17" t="s">
        <v>7</v>
      </c>
      <c r="BE17" t="s">
        <v>7</v>
      </c>
      <c r="BF17" t="s">
        <v>91</v>
      </c>
      <c r="BG17" t="s">
        <v>91</v>
      </c>
      <c r="BH17" t="s">
        <v>91</v>
      </c>
      <c r="BI17" t="s">
        <v>91</v>
      </c>
      <c r="BJ17" t="s">
        <v>91</v>
      </c>
      <c r="BK17">
        <v>0</v>
      </c>
      <c r="BL17">
        <v>0</v>
      </c>
      <c r="BM17">
        <v>0</v>
      </c>
      <c r="BN17" t="s">
        <v>91</v>
      </c>
      <c r="BO17" t="s">
        <v>91</v>
      </c>
      <c r="BP17"/>
      <c r="BQ17" t="s">
        <v>91</v>
      </c>
      <c r="BR17"/>
      <c r="BS17" t="s">
        <v>91</v>
      </c>
      <c r="BT17" t="s">
        <v>91</v>
      </c>
      <c r="BU17" t="s">
        <v>91</v>
      </c>
      <c r="BV17" t="s">
        <v>91</v>
      </c>
      <c r="BW17" t="s">
        <v>7</v>
      </c>
      <c r="BX17" t="s">
        <v>7</v>
      </c>
      <c r="BY17" s="158"/>
      <c r="BZ17" s="158"/>
      <c r="CA17" t="s">
        <v>91</v>
      </c>
      <c r="CB17" t="s">
        <v>91</v>
      </c>
    </row>
    <row r="18" spans="2:80" x14ac:dyDescent="0.25">
      <c r="B18">
        <v>4</v>
      </c>
      <c r="C18" t="s">
        <v>91</v>
      </c>
      <c r="D18" s="156" t="s">
        <v>825</v>
      </c>
      <c r="E18" t="s">
        <v>832</v>
      </c>
      <c r="F18" s="158">
        <v>45224</v>
      </c>
      <c r="G18" t="s">
        <v>82</v>
      </c>
      <c r="H18" t="s">
        <v>826</v>
      </c>
      <c r="I18" t="s">
        <v>7</v>
      </c>
      <c r="J18" t="s">
        <v>105</v>
      </c>
      <c r="K18">
        <v>50</v>
      </c>
      <c r="L18" t="s">
        <v>958</v>
      </c>
      <c r="M18" t="s">
        <v>929</v>
      </c>
      <c r="N18" t="s">
        <v>7</v>
      </c>
      <c r="O18" t="s">
        <v>7</v>
      </c>
      <c r="P18" t="s">
        <v>7</v>
      </c>
      <c r="Q18" t="s">
        <v>7</v>
      </c>
      <c r="R18" t="s">
        <v>114</v>
      </c>
      <c r="S18">
        <v>98.87</v>
      </c>
      <c r="T18" t="s">
        <v>37</v>
      </c>
      <c r="U18" t="s">
        <v>261</v>
      </c>
      <c r="V18" t="s">
        <v>964</v>
      </c>
      <c r="W18" t="s">
        <v>7</v>
      </c>
      <c r="X18" t="s">
        <v>250</v>
      </c>
      <c r="Y18" t="s">
        <v>130</v>
      </c>
      <c r="Z18" s="158">
        <v>45226</v>
      </c>
      <c r="AA18" s="158">
        <v>45276</v>
      </c>
      <c r="AB18" s="158">
        <v>46189</v>
      </c>
      <c r="AC18">
        <v>6.8550000000000004</v>
      </c>
      <c r="AD18">
        <v>50</v>
      </c>
      <c r="AE18">
        <v>53.664999999999999</v>
      </c>
      <c r="AF18" t="s">
        <v>918</v>
      </c>
      <c r="AG18" t="s">
        <v>248</v>
      </c>
      <c r="AH18" t="s">
        <v>7</v>
      </c>
      <c r="AI18" t="s">
        <v>91</v>
      </c>
      <c r="AJ18" t="s">
        <v>917</v>
      </c>
      <c r="AK18" t="s">
        <v>7</v>
      </c>
      <c r="AL18" t="s">
        <v>91</v>
      </c>
      <c r="AM18" t="s">
        <v>7</v>
      </c>
      <c r="AN18" t="s">
        <v>91</v>
      </c>
      <c r="AO18" t="s">
        <v>7</v>
      </c>
      <c r="AP18" t="s">
        <v>91</v>
      </c>
      <c r="AQ18" t="s">
        <v>91</v>
      </c>
      <c r="AR18" t="s">
        <v>7</v>
      </c>
      <c r="AS18" t="s">
        <v>91</v>
      </c>
      <c r="AT18" t="s">
        <v>91</v>
      </c>
      <c r="AU18" t="s">
        <v>91</v>
      </c>
      <c r="AV18" t="s">
        <v>250</v>
      </c>
      <c r="AW18" t="s">
        <v>240</v>
      </c>
      <c r="AX18" t="s">
        <v>91</v>
      </c>
      <c r="AY18" s="159"/>
      <c r="AZ18" t="s">
        <v>834</v>
      </c>
      <c r="BA18" t="s">
        <v>677</v>
      </c>
      <c r="BB18" t="s">
        <v>7</v>
      </c>
      <c r="BC18" t="s">
        <v>7</v>
      </c>
      <c r="BD18" t="s">
        <v>7</v>
      </c>
      <c r="BE18" t="s">
        <v>7</v>
      </c>
      <c r="BF18" t="s">
        <v>91</v>
      </c>
      <c r="BG18" t="s">
        <v>91</v>
      </c>
      <c r="BH18" t="s">
        <v>91</v>
      </c>
      <c r="BI18" t="s">
        <v>91</v>
      </c>
      <c r="BJ18" t="s">
        <v>91</v>
      </c>
      <c r="BK18">
        <v>0</v>
      </c>
      <c r="BL18">
        <v>0</v>
      </c>
      <c r="BM18">
        <v>0</v>
      </c>
      <c r="BN18" t="s">
        <v>91</v>
      </c>
      <c r="BO18" t="s">
        <v>91</v>
      </c>
      <c r="BP18"/>
      <c r="BQ18" t="s">
        <v>91</v>
      </c>
      <c r="BR18"/>
      <c r="BS18" t="s">
        <v>91</v>
      </c>
      <c r="BT18" t="s">
        <v>91</v>
      </c>
      <c r="BU18" t="s">
        <v>91</v>
      </c>
      <c r="BV18" t="s">
        <v>91</v>
      </c>
      <c r="BW18" t="s">
        <v>7</v>
      </c>
      <c r="BX18" t="s">
        <v>7</v>
      </c>
      <c r="BY18" s="158"/>
      <c r="BZ18" s="158"/>
      <c r="CA18" t="s">
        <v>91</v>
      </c>
      <c r="CB18" t="s">
        <v>91</v>
      </c>
    </row>
    <row r="19" spans="2:80" x14ac:dyDescent="0.25">
      <c r="B19">
        <v>3</v>
      </c>
      <c r="C19" t="s">
        <v>91</v>
      </c>
      <c r="D19" s="156" t="s">
        <v>825</v>
      </c>
      <c r="E19" t="s">
        <v>835</v>
      </c>
      <c r="F19" s="158">
        <v>45224</v>
      </c>
      <c r="G19" t="s">
        <v>82</v>
      </c>
      <c r="H19" t="s">
        <v>826</v>
      </c>
      <c r="I19" t="s">
        <v>7</v>
      </c>
      <c r="J19" t="s">
        <v>105</v>
      </c>
      <c r="K19">
        <v>40</v>
      </c>
      <c r="L19" t="s">
        <v>959</v>
      </c>
      <c r="M19" t="s">
        <v>925</v>
      </c>
      <c r="N19" t="s">
        <v>7</v>
      </c>
      <c r="O19" t="s">
        <v>7</v>
      </c>
      <c r="P19" t="s">
        <v>7</v>
      </c>
      <c r="Q19" t="s">
        <v>7</v>
      </c>
      <c r="R19" t="s">
        <v>114</v>
      </c>
      <c r="S19">
        <v>99.29</v>
      </c>
      <c r="T19" t="s">
        <v>37</v>
      </c>
      <c r="U19" t="s">
        <v>261</v>
      </c>
      <c r="V19" t="s">
        <v>964</v>
      </c>
      <c r="W19" t="s">
        <v>7</v>
      </c>
      <c r="X19" t="s">
        <v>250</v>
      </c>
      <c r="Y19" t="s">
        <v>130</v>
      </c>
      <c r="Z19" s="158">
        <v>45226</v>
      </c>
      <c r="AA19" s="158">
        <v>45276</v>
      </c>
      <c r="AB19" s="158">
        <v>45824</v>
      </c>
      <c r="AC19">
        <v>5.484</v>
      </c>
      <c r="AD19">
        <v>40</v>
      </c>
      <c r="AE19">
        <v>42.932000000000002</v>
      </c>
      <c r="AF19" t="s">
        <v>918</v>
      </c>
      <c r="AG19" t="s">
        <v>248</v>
      </c>
      <c r="AH19" t="s">
        <v>7</v>
      </c>
      <c r="AI19" t="s">
        <v>91</v>
      </c>
      <c r="AJ19" t="s">
        <v>917</v>
      </c>
      <c r="AK19" t="s">
        <v>7</v>
      </c>
      <c r="AL19" t="s">
        <v>91</v>
      </c>
      <c r="AM19" t="s">
        <v>7</v>
      </c>
      <c r="AN19" t="s">
        <v>91</v>
      </c>
      <c r="AO19" t="s">
        <v>7</v>
      </c>
      <c r="AP19" t="s">
        <v>91</v>
      </c>
      <c r="AQ19" t="s">
        <v>91</v>
      </c>
      <c r="AR19" t="s">
        <v>7</v>
      </c>
      <c r="AS19" t="s">
        <v>91</v>
      </c>
      <c r="AT19" t="s">
        <v>91</v>
      </c>
      <c r="AU19" t="s">
        <v>91</v>
      </c>
      <c r="AV19" t="s">
        <v>250</v>
      </c>
      <c r="AW19" t="s">
        <v>240</v>
      </c>
      <c r="AX19" t="s">
        <v>91</v>
      </c>
      <c r="AY19" s="159"/>
      <c r="AZ19" t="s">
        <v>837</v>
      </c>
      <c r="BA19" t="s">
        <v>677</v>
      </c>
      <c r="BB19" t="s">
        <v>7</v>
      </c>
      <c r="BC19" t="s">
        <v>7</v>
      </c>
      <c r="BD19" t="s">
        <v>7</v>
      </c>
      <c r="BE19" t="s">
        <v>7</v>
      </c>
      <c r="BF19" t="s">
        <v>91</v>
      </c>
      <c r="BG19" t="s">
        <v>91</v>
      </c>
      <c r="BH19" t="s">
        <v>91</v>
      </c>
      <c r="BI19" t="s">
        <v>91</v>
      </c>
      <c r="BJ19" t="s">
        <v>91</v>
      </c>
      <c r="BK19">
        <v>0</v>
      </c>
      <c r="BL19">
        <v>0</v>
      </c>
      <c r="BM19">
        <v>0</v>
      </c>
      <c r="BN19" t="s">
        <v>91</v>
      </c>
      <c r="BO19" t="s">
        <v>91</v>
      </c>
      <c r="BP19"/>
      <c r="BQ19" t="s">
        <v>91</v>
      </c>
      <c r="BR19"/>
      <c r="BS19" t="s">
        <v>91</v>
      </c>
      <c r="BT19" t="s">
        <v>91</v>
      </c>
      <c r="BU19" t="s">
        <v>91</v>
      </c>
      <c r="BV19" t="s">
        <v>91</v>
      </c>
      <c r="BW19" t="s">
        <v>7</v>
      </c>
      <c r="BX19" t="s">
        <v>7</v>
      </c>
      <c r="BY19" s="158"/>
      <c r="BZ19" s="158"/>
      <c r="CA19" t="s">
        <v>91</v>
      </c>
      <c r="CB19" t="s">
        <v>91</v>
      </c>
    </row>
    <row r="20" spans="2:80" x14ac:dyDescent="0.25">
      <c r="B20">
        <v>2</v>
      </c>
      <c r="C20" t="s">
        <v>691</v>
      </c>
      <c r="D20" s="156" t="s">
        <v>680</v>
      </c>
      <c r="E20" t="s">
        <v>854</v>
      </c>
      <c r="F20" s="158">
        <v>45224</v>
      </c>
      <c r="G20" t="s">
        <v>82</v>
      </c>
      <c r="H20" t="s">
        <v>91</v>
      </c>
      <c r="I20" t="s">
        <v>7</v>
      </c>
      <c r="J20" t="s">
        <v>105</v>
      </c>
      <c r="K20">
        <v>5.3999999999999999E-2</v>
      </c>
      <c r="L20" t="s">
        <v>701</v>
      </c>
      <c r="M20" t="s">
        <v>91</v>
      </c>
      <c r="N20" t="s">
        <v>7</v>
      </c>
      <c r="O20" t="s">
        <v>7</v>
      </c>
      <c r="P20" t="s">
        <v>7</v>
      </c>
      <c r="Q20" t="s">
        <v>7</v>
      </c>
      <c r="R20" t="s">
        <v>91</v>
      </c>
      <c r="S20"/>
      <c r="T20" t="s">
        <v>91</v>
      </c>
      <c r="U20" t="s">
        <v>7</v>
      </c>
      <c r="V20" t="s">
        <v>7</v>
      </c>
      <c r="W20" t="s">
        <v>7</v>
      </c>
      <c r="X20" t="s">
        <v>91</v>
      </c>
      <c r="Y20" t="s">
        <v>91</v>
      </c>
      <c r="Z20" s="158"/>
      <c r="AA20" s="158"/>
      <c r="AB20" s="158"/>
      <c r="AC20">
        <v>7.0000000000000001E-3</v>
      </c>
      <c r="AD20"/>
      <c r="AE20"/>
      <c r="AF20" t="s">
        <v>91</v>
      </c>
      <c r="AG20" t="s">
        <v>91</v>
      </c>
      <c r="AH20" t="s">
        <v>7</v>
      </c>
      <c r="AI20" t="s">
        <v>91</v>
      </c>
      <c r="AJ20" t="s">
        <v>91</v>
      </c>
      <c r="AK20" t="s">
        <v>7</v>
      </c>
      <c r="AL20" t="s">
        <v>91</v>
      </c>
      <c r="AM20" t="s">
        <v>7</v>
      </c>
      <c r="AN20" t="s">
        <v>91</v>
      </c>
      <c r="AO20" t="s">
        <v>91</v>
      </c>
      <c r="AP20" t="s">
        <v>91</v>
      </c>
      <c r="AQ20" t="s">
        <v>91</v>
      </c>
      <c r="AR20" t="s">
        <v>7</v>
      </c>
      <c r="AS20" t="s">
        <v>91</v>
      </c>
      <c r="AT20" t="s">
        <v>91</v>
      </c>
      <c r="AU20" t="s">
        <v>91</v>
      </c>
      <c r="AV20" t="s">
        <v>91</v>
      </c>
      <c r="AW20" t="s">
        <v>91</v>
      </c>
      <c r="AX20" t="s">
        <v>91</v>
      </c>
      <c r="AY20" s="159"/>
      <c r="AZ20" t="s">
        <v>856</v>
      </c>
      <c r="BA20" t="s">
        <v>91</v>
      </c>
      <c r="BB20" t="s">
        <v>7</v>
      </c>
      <c r="BC20" t="s">
        <v>7</v>
      </c>
      <c r="BD20" t="s">
        <v>7</v>
      </c>
      <c r="BE20" t="s">
        <v>7</v>
      </c>
      <c r="BF20" t="s">
        <v>91</v>
      </c>
      <c r="BG20" t="s">
        <v>91</v>
      </c>
      <c r="BH20" t="s">
        <v>91</v>
      </c>
      <c r="BI20" t="s">
        <v>91</v>
      </c>
      <c r="BJ20" t="s">
        <v>91</v>
      </c>
      <c r="BK20">
        <v>0</v>
      </c>
      <c r="BL20">
        <v>0</v>
      </c>
      <c r="BM20">
        <v>0</v>
      </c>
      <c r="BN20" t="s">
        <v>91</v>
      </c>
      <c r="BO20" t="s">
        <v>91</v>
      </c>
      <c r="BP20"/>
      <c r="BQ20" t="s">
        <v>91</v>
      </c>
      <c r="BR20" t="s">
        <v>677</v>
      </c>
      <c r="BS20" t="s">
        <v>91</v>
      </c>
      <c r="BT20" t="s">
        <v>91</v>
      </c>
      <c r="BU20" t="s">
        <v>91</v>
      </c>
      <c r="BV20" t="s">
        <v>91</v>
      </c>
      <c r="BW20" t="s">
        <v>7</v>
      </c>
      <c r="BX20" t="s">
        <v>7</v>
      </c>
      <c r="BY20" s="158"/>
      <c r="BZ20" s="158"/>
      <c r="CA20" t="s">
        <v>91</v>
      </c>
      <c r="CB20" t="s">
        <v>91</v>
      </c>
    </row>
    <row r="21" spans="2:80" x14ac:dyDescent="0.25">
      <c r="B21">
        <v>1</v>
      </c>
      <c r="C21" t="s">
        <v>91</v>
      </c>
      <c r="D21" s="156" t="s">
        <v>723</v>
      </c>
      <c r="E21" t="s">
        <v>863</v>
      </c>
      <c r="F21" s="158">
        <v>45223</v>
      </c>
      <c r="G21" t="s">
        <v>82</v>
      </c>
      <c r="H21" t="s">
        <v>82</v>
      </c>
      <c r="I21" t="s">
        <v>407</v>
      </c>
      <c r="J21" t="s">
        <v>105</v>
      </c>
      <c r="K21">
        <v>1.5</v>
      </c>
      <c r="L21" t="s">
        <v>150</v>
      </c>
      <c r="M21" t="s">
        <v>735</v>
      </c>
      <c r="N21" t="s">
        <v>7</v>
      </c>
      <c r="O21" t="s">
        <v>7</v>
      </c>
      <c r="P21" t="s">
        <v>7</v>
      </c>
      <c r="Q21" t="s">
        <v>7</v>
      </c>
      <c r="R21" t="s">
        <v>114</v>
      </c>
      <c r="S21">
        <v>99.998000000000005</v>
      </c>
      <c r="T21" t="s">
        <v>39</v>
      </c>
      <c r="U21" t="s">
        <v>249</v>
      </c>
      <c r="V21" t="s">
        <v>7</v>
      </c>
      <c r="W21" t="s">
        <v>7</v>
      </c>
      <c r="X21" t="s">
        <v>250</v>
      </c>
      <c r="Y21" t="s">
        <v>130</v>
      </c>
      <c r="Z21" s="158">
        <v>45229</v>
      </c>
      <c r="AA21" s="158">
        <v>45412</v>
      </c>
      <c r="AB21" s="158">
        <v>46319</v>
      </c>
      <c r="AC21">
        <v>0.20599999999999999</v>
      </c>
      <c r="AD21">
        <v>1.5</v>
      </c>
      <c r="AE21">
        <v>1.61</v>
      </c>
      <c r="AF21" t="s">
        <v>746</v>
      </c>
      <c r="AG21" t="s">
        <v>724</v>
      </c>
      <c r="AH21" t="s">
        <v>7</v>
      </c>
      <c r="AI21" t="s">
        <v>91</v>
      </c>
      <c r="AJ21" t="s">
        <v>747</v>
      </c>
      <c r="AK21" t="s">
        <v>723</v>
      </c>
      <c r="AL21" t="s">
        <v>91</v>
      </c>
      <c r="AM21" t="s">
        <v>7</v>
      </c>
      <c r="AN21" t="s">
        <v>91</v>
      </c>
      <c r="AO21" t="s">
        <v>7</v>
      </c>
      <c r="AP21" t="s">
        <v>91</v>
      </c>
      <c r="AQ21" t="s">
        <v>91</v>
      </c>
      <c r="AR21" t="s">
        <v>7</v>
      </c>
      <c r="AS21" t="s">
        <v>91</v>
      </c>
      <c r="AT21" t="s">
        <v>91</v>
      </c>
      <c r="AU21" t="s">
        <v>91</v>
      </c>
      <c r="AV21" t="s">
        <v>325</v>
      </c>
      <c r="AW21" t="s">
        <v>240</v>
      </c>
      <c r="AX21" t="s">
        <v>91</v>
      </c>
      <c r="AY21" s="159"/>
      <c r="AZ21" t="s">
        <v>864</v>
      </c>
      <c r="BA21" t="s">
        <v>677</v>
      </c>
      <c r="BB21" t="s">
        <v>7</v>
      </c>
      <c r="BC21" t="s">
        <v>7</v>
      </c>
      <c r="BD21" t="s">
        <v>7</v>
      </c>
      <c r="BE21" t="s">
        <v>7</v>
      </c>
      <c r="BF21" t="s">
        <v>91</v>
      </c>
      <c r="BG21" t="s">
        <v>91</v>
      </c>
      <c r="BH21" t="s">
        <v>91</v>
      </c>
      <c r="BI21" t="s">
        <v>91</v>
      </c>
      <c r="BJ21" t="s">
        <v>91</v>
      </c>
      <c r="BK21">
        <v>0</v>
      </c>
      <c r="BL21">
        <v>0</v>
      </c>
      <c r="BM21">
        <v>0</v>
      </c>
      <c r="BN21" t="s">
        <v>91</v>
      </c>
      <c r="BO21" t="s">
        <v>91</v>
      </c>
      <c r="BP21"/>
      <c r="BQ21" t="s">
        <v>91</v>
      </c>
      <c r="BR21"/>
      <c r="BS21" t="s">
        <v>91</v>
      </c>
      <c r="BT21" t="s">
        <v>91</v>
      </c>
      <c r="BU21" t="s">
        <v>91</v>
      </c>
      <c r="BV21" t="s">
        <v>91</v>
      </c>
      <c r="BW21" t="s">
        <v>7</v>
      </c>
      <c r="BX21" t="s">
        <v>7</v>
      </c>
      <c r="BY21" s="158"/>
      <c r="BZ21" s="158"/>
      <c r="CA21" t="s">
        <v>91</v>
      </c>
      <c r="CB21" t="s">
        <v>91</v>
      </c>
    </row>
  </sheetData>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efresh_All">
                <anchor moveWithCells="1">
                  <from>
                    <xdr:col>1</xdr:col>
                    <xdr:colOff>171450</xdr:colOff>
                    <xdr:row>0</xdr:row>
                    <xdr:rowOff>57150</xdr:rowOff>
                  </from>
                  <to>
                    <xdr:col>3</xdr:col>
                    <xdr:colOff>1600200</xdr:colOff>
                    <xdr:row>3</xdr:row>
                    <xdr:rowOff>142875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AV54"/>
  <sheetViews>
    <sheetView topLeftCell="L1" zoomScale="85" zoomScaleNormal="85" workbookViewId="0">
      <selection activeCell="P9" sqref="P9:AF15"/>
    </sheetView>
  </sheetViews>
  <sheetFormatPr defaultColWidth="8.88671875" defaultRowHeight="15" x14ac:dyDescent="0.25"/>
  <cols>
    <col min="1" max="1" width="6" style="1" hidden="1" customWidth="1"/>
    <col min="2" max="2" width="4.44140625" style="1" hidden="1" customWidth="1"/>
    <col min="3" max="3" width="7.6640625" style="1" hidden="1" customWidth="1"/>
    <col min="4" max="4" width="4.33203125" style="1" hidden="1" customWidth="1"/>
    <col min="5" max="5" width="6" style="1" hidden="1" customWidth="1"/>
    <col min="6" max="7" width="4.33203125" style="1" hidden="1" customWidth="1"/>
    <col min="8" max="8" width="7.6640625" style="1" hidden="1" customWidth="1"/>
    <col min="9" max="10" width="4.33203125" style="1" hidden="1" customWidth="1"/>
    <col min="11" max="11" width="5.88671875" style="1" hidden="1" customWidth="1"/>
    <col min="12" max="12" width="2.6640625" style="1" bestFit="1" customWidth="1"/>
    <col min="13" max="13" width="9.33203125" style="1" bestFit="1" customWidth="1"/>
    <col min="14" max="14" width="7.6640625" style="1" bestFit="1" customWidth="1"/>
    <col min="15" max="15" width="8.88671875" style="1"/>
    <col min="16" max="16" width="5.5546875" style="1" bestFit="1" customWidth="1"/>
    <col min="17" max="17" width="13.33203125" style="1" bestFit="1" customWidth="1"/>
    <col min="18" max="18" width="10.33203125" style="1" bestFit="1" customWidth="1"/>
    <col min="19" max="19" width="13.88671875" style="1" bestFit="1" customWidth="1"/>
    <col min="20" max="20" width="8" style="1" bestFit="1" customWidth="1"/>
    <col min="21" max="21" width="4.6640625" style="1" bestFit="1" customWidth="1"/>
    <col min="22" max="22" width="10.44140625" style="1" bestFit="1" customWidth="1"/>
    <col min="23" max="23" width="4.33203125" style="1" bestFit="1" customWidth="1"/>
    <col min="24" max="24" width="5.77734375" style="1" bestFit="1" customWidth="1"/>
    <col min="25" max="26" width="7.6640625" style="1" bestFit="1" customWidth="1"/>
    <col min="27" max="28" width="4.33203125" style="1" bestFit="1" customWidth="1"/>
    <col min="29" max="29" width="7.6640625" style="1" bestFit="1" customWidth="1"/>
    <col min="30" max="30" width="4.33203125" style="1" bestFit="1" customWidth="1"/>
    <col min="31" max="31" width="13.5546875" style="1" bestFit="1" customWidth="1"/>
    <col min="32" max="32" width="6" style="1" bestFit="1" customWidth="1"/>
    <col min="33" max="33" width="7.77734375" style="1" bestFit="1" customWidth="1"/>
    <col min="34" max="34" width="15.109375" style="1" bestFit="1" customWidth="1"/>
    <col min="35" max="35" width="15.33203125" style="1" bestFit="1" customWidth="1"/>
    <col min="36" max="36" width="6.109375" style="1" bestFit="1" customWidth="1"/>
    <col min="37" max="37" width="5.88671875" style="1" bestFit="1" customWidth="1"/>
    <col min="38" max="38" width="9.44140625" style="1" bestFit="1" customWidth="1"/>
    <col min="39" max="39" width="36.77734375" style="1" bestFit="1" customWidth="1"/>
    <col min="40" max="40" width="12.5546875" style="1" bestFit="1" customWidth="1"/>
    <col min="41" max="41" width="9.21875" style="1" bestFit="1" customWidth="1"/>
    <col min="42" max="42" width="7.5546875" style="1" bestFit="1" customWidth="1"/>
    <col min="43" max="43" width="9.21875" style="1" bestFit="1" customWidth="1"/>
    <col min="44" max="44" width="5.88671875" style="1" bestFit="1" customWidth="1"/>
    <col min="45" max="45" width="12" style="1" bestFit="1" customWidth="1"/>
    <col min="46" max="47" width="5.88671875" style="1" bestFit="1" customWidth="1"/>
    <col min="48" max="49" width="5.77734375" style="1" bestFit="1" customWidth="1"/>
    <col min="50" max="50" width="9.21875" style="1" bestFit="1" customWidth="1"/>
    <col min="51" max="51" width="9" style="1" bestFit="1" customWidth="1"/>
    <col min="52" max="54" width="5.88671875" style="1" bestFit="1" customWidth="1"/>
    <col min="55" max="55" width="9.21875" style="1" bestFit="1" customWidth="1"/>
    <col min="56" max="56" width="7.5546875" style="1" bestFit="1" customWidth="1"/>
    <col min="57" max="57" width="7.109375" style="1" bestFit="1" customWidth="1"/>
    <col min="58" max="58" width="7.5546875" style="1" bestFit="1" customWidth="1"/>
    <col min="59" max="59" width="5.88671875" style="1" bestFit="1" customWidth="1"/>
    <col min="60" max="60" width="9.21875" style="1" bestFit="1" customWidth="1"/>
    <col min="61" max="61" width="12.5546875" style="1" bestFit="1" customWidth="1"/>
    <col min="62" max="62" width="5.88671875" style="1" bestFit="1" customWidth="1"/>
    <col min="63" max="63" width="5.77734375" style="1" bestFit="1" customWidth="1"/>
    <col min="64" max="64" width="5.44140625" style="1" bestFit="1" customWidth="1"/>
    <col min="65" max="65" width="11.109375" style="1" bestFit="1" customWidth="1"/>
    <col min="66" max="66" width="12.5546875" style="1" bestFit="1" customWidth="1"/>
    <col min="67" max="67" width="10.33203125" style="1" bestFit="1" customWidth="1"/>
    <col min="68" max="68" width="13.33203125" style="1" bestFit="1" customWidth="1"/>
    <col min="69" max="72" width="9.21875" style="1" bestFit="1" customWidth="1"/>
    <col min="73" max="73" width="11.44140625" style="1" bestFit="1" customWidth="1"/>
    <col min="74" max="74" width="9.21875" style="1" bestFit="1" customWidth="1"/>
    <col min="75" max="75" width="15.21875" style="1" bestFit="1" customWidth="1"/>
    <col min="76" max="76" width="13.5546875" style="1" bestFit="1" customWidth="1"/>
    <col min="77" max="77" width="11.109375" style="1" bestFit="1" customWidth="1"/>
    <col min="78" max="79" width="10.88671875" style="1" bestFit="1" customWidth="1"/>
    <col min="80" max="80" width="9.21875" style="1" bestFit="1" customWidth="1"/>
    <col min="81" max="81" width="8.77734375" style="1" bestFit="1" customWidth="1"/>
    <col min="82" max="82" width="9.21875" style="1" bestFit="1" customWidth="1"/>
    <col min="83" max="83" width="10.109375" style="1" bestFit="1" customWidth="1"/>
    <col min="84" max="84" width="10.33203125" style="1" bestFit="1" customWidth="1"/>
    <col min="85" max="85" width="15.109375" style="1" bestFit="1" customWidth="1"/>
    <col min="86" max="86" width="10.44140625" style="1" bestFit="1" customWidth="1"/>
    <col min="87" max="87" width="5.88671875" style="1" bestFit="1" customWidth="1"/>
    <col min="88" max="88" width="9.21875" style="1" bestFit="1" customWidth="1"/>
    <col min="89" max="89" width="10.44140625" style="1" bestFit="1" customWidth="1"/>
    <col min="90" max="90" width="14.5546875" style="1" bestFit="1" customWidth="1"/>
    <col min="91" max="91" width="16.21875" style="1" bestFit="1" customWidth="1"/>
    <col min="92" max="92" width="17.44140625" style="1" bestFit="1" customWidth="1"/>
    <col min="93" max="93" width="15.44140625" style="1" bestFit="1" customWidth="1"/>
    <col min="94" max="94" width="7.109375" style="1" bestFit="1" customWidth="1"/>
    <col min="95" max="95" width="17.44140625" style="1" bestFit="1" customWidth="1"/>
    <col min="96" max="96" width="15.44140625" style="1" bestFit="1" customWidth="1"/>
    <col min="97" max="97" width="7.109375" style="1" bestFit="1" customWidth="1"/>
    <col min="98" max="98" width="12.77734375" style="1" bestFit="1" customWidth="1"/>
    <col min="99" max="100" width="7.109375" style="1" bestFit="1" customWidth="1"/>
    <col min="101" max="101" width="7.33203125" style="1" bestFit="1" customWidth="1"/>
    <col min="102" max="102" width="9.21875" style="1" bestFit="1" customWidth="1"/>
    <col min="103" max="103" width="15.109375" style="1" bestFit="1" customWidth="1"/>
    <col min="104" max="104" width="17.44140625" style="1" bestFit="1" customWidth="1"/>
    <col min="105" max="105" width="19.109375" style="1" bestFit="1" customWidth="1"/>
    <col min="106" max="106" width="9.21875" style="1" bestFit="1" customWidth="1"/>
    <col min="107" max="107" width="7.109375" style="1" bestFit="1" customWidth="1"/>
    <col min="108" max="108" width="15.33203125" style="1" bestFit="1" customWidth="1"/>
    <col min="109" max="109" width="18.21875" style="1" bestFit="1" customWidth="1"/>
    <col min="110" max="110" width="19.109375" style="1" bestFit="1" customWidth="1"/>
    <col min="111" max="111" width="9.44140625" style="1" bestFit="1" customWidth="1"/>
    <col min="112" max="113" width="7.33203125" style="1" bestFit="1" customWidth="1"/>
    <col min="114" max="114" width="18.109375" style="1" bestFit="1" customWidth="1"/>
    <col min="115" max="115" width="19" style="1" bestFit="1" customWidth="1"/>
    <col min="116" max="116" width="9.44140625" style="1" bestFit="1" customWidth="1"/>
    <col min="117" max="117" width="7.33203125" style="1" bestFit="1" customWidth="1"/>
    <col min="118" max="16384" width="8.88671875" style="1"/>
  </cols>
  <sheetData>
    <row r="1" spans="1:48" ht="91.5" customHeight="1" x14ac:dyDescent="0.25">
      <c r="A1" s="117">
        <f>COUNTA(charts[ISIN])</f>
        <v>0</v>
      </c>
      <c r="B1" s="7" t="s">
        <v>135</v>
      </c>
      <c r="Q1" s="119">
        <f>COUNTA(Table_graph_weeklydeal[Index])</f>
        <v>0</v>
      </c>
      <c r="R1" s="118" t="s">
        <v>434</v>
      </c>
      <c r="S1" s="119">
        <f>ROUND(SUM(Table_graph_weeklydeal[亿美元]),1)</f>
        <v>0</v>
      </c>
      <c r="T1" s="118" t="s">
        <v>172</v>
      </c>
      <c r="AV1" s="4"/>
    </row>
    <row r="2" spans="1:48" ht="42" customHeight="1" x14ac:dyDescent="0.25">
      <c r="A2" s="116" t="s">
        <v>178</v>
      </c>
      <c r="Q2" s="118" t="s">
        <v>184</v>
      </c>
    </row>
    <row r="8" spans="1:48" x14ac:dyDescent="0.25">
      <c r="A8" t="s">
        <v>49</v>
      </c>
      <c r="B8" t="s">
        <v>48</v>
      </c>
      <c r="C8" t="s">
        <v>47</v>
      </c>
      <c r="D8" t="s">
        <v>86</v>
      </c>
      <c r="E8" t="s">
        <v>172</v>
      </c>
      <c r="F8" t="s">
        <v>64</v>
      </c>
      <c r="G8" t="s">
        <v>227</v>
      </c>
      <c r="H8" t="s">
        <v>92</v>
      </c>
      <c r="I8" t="s">
        <v>106</v>
      </c>
      <c r="J8" t="s">
        <v>117</v>
      </c>
      <c r="L8" t="s">
        <v>263</v>
      </c>
      <c r="M8" t="s">
        <v>264</v>
      </c>
      <c r="N8" t="s">
        <v>265</v>
      </c>
      <c r="P8" t="s">
        <v>85</v>
      </c>
      <c r="Q8" t="s">
        <v>48</v>
      </c>
      <c r="R8" t="s">
        <v>49</v>
      </c>
      <c r="S8" t="s">
        <v>164</v>
      </c>
      <c r="T8" t="s">
        <v>134</v>
      </c>
      <c r="U8" t="s">
        <v>64</v>
      </c>
      <c r="V8" t="s">
        <v>57</v>
      </c>
      <c r="W8" t="s">
        <v>86</v>
      </c>
      <c r="X8" t="s">
        <v>119</v>
      </c>
      <c r="Y8" t="s">
        <v>87</v>
      </c>
      <c r="Z8" t="s">
        <v>165</v>
      </c>
      <c r="AA8" t="s">
        <v>89</v>
      </c>
      <c r="AB8" t="s">
        <v>36</v>
      </c>
      <c r="AC8" t="s">
        <v>227</v>
      </c>
      <c r="AD8" t="s">
        <v>88</v>
      </c>
      <c r="AE8" t="s">
        <v>147</v>
      </c>
      <c r="AF8" t="s">
        <v>172</v>
      </c>
    </row>
    <row r="9" spans="1:48" x14ac:dyDescent="0.25">
      <c r="A9"/>
      <c r="B9"/>
      <c r="C9"/>
      <c r="D9"/>
      <c r="E9"/>
      <c r="F9"/>
      <c r="G9"/>
      <c r="H9"/>
      <c r="I9"/>
      <c r="J9"/>
      <c r="L9"/>
      <c r="M9"/>
      <c r="N9"/>
      <c r="P9"/>
      <c r="Q9"/>
      <c r="R9" s="45"/>
      <c r="S9"/>
      <c r="T9"/>
      <c r="U9"/>
      <c r="V9"/>
      <c r="W9"/>
      <c r="X9"/>
      <c r="Y9"/>
      <c r="Z9"/>
      <c r="AA9"/>
      <c r="AB9"/>
      <c r="AC9"/>
      <c r="AD9"/>
      <c r="AE9"/>
      <c r="AF9"/>
    </row>
    <row r="10" spans="1:48" x14ac:dyDescent="0.25">
      <c r="P10"/>
      <c r="Q10"/>
      <c r="R10" s="45"/>
      <c r="S10"/>
      <c r="T10"/>
      <c r="U10"/>
      <c r="V10"/>
      <c r="W10"/>
      <c r="X10"/>
      <c r="Y10"/>
      <c r="Z10"/>
      <c r="AA10"/>
      <c r="AB10"/>
      <c r="AC10"/>
      <c r="AD10"/>
      <c r="AE10"/>
      <c r="AF10"/>
    </row>
    <row r="11" spans="1:48" x14ac:dyDescent="0.25">
      <c r="P11"/>
      <c r="Q11"/>
      <c r="R11" s="45"/>
      <c r="S11"/>
      <c r="T11"/>
      <c r="U11"/>
      <c r="V11"/>
      <c r="W11"/>
      <c r="X11"/>
      <c r="Y11"/>
      <c r="Z11"/>
      <c r="AA11"/>
      <c r="AB11"/>
      <c r="AC11"/>
      <c r="AD11"/>
      <c r="AE11"/>
      <c r="AF11"/>
    </row>
    <row r="12" spans="1:48" x14ac:dyDescent="0.25">
      <c r="L12" t="s">
        <v>267</v>
      </c>
      <c r="M12" t="s">
        <v>264</v>
      </c>
      <c r="N12" t="s">
        <v>265</v>
      </c>
      <c r="P12"/>
      <c r="Q12"/>
      <c r="R12" s="45"/>
      <c r="S12"/>
      <c r="T12"/>
      <c r="U12"/>
      <c r="V12"/>
      <c r="W12"/>
      <c r="X12"/>
      <c r="Y12"/>
      <c r="Z12"/>
      <c r="AA12"/>
      <c r="AB12"/>
      <c r="AC12"/>
      <c r="AD12"/>
      <c r="AE12"/>
      <c r="AF12"/>
    </row>
    <row r="13" spans="1:48" x14ac:dyDescent="0.25">
      <c r="L13"/>
      <c r="M13"/>
      <c r="N13"/>
      <c r="P13"/>
      <c r="Q13"/>
      <c r="R13" s="45"/>
      <c r="S13"/>
      <c r="T13"/>
      <c r="U13"/>
      <c r="V13"/>
      <c r="W13"/>
      <c r="X13"/>
      <c r="Y13"/>
      <c r="Z13"/>
      <c r="AA13"/>
      <c r="AB13"/>
      <c r="AC13"/>
      <c r="AD13"/>
      <c r="AE13"/>
      <c r="AF13"/>
    </row>
    <row r="14" spans="1:48" x14ac:dyDescent="0.25">
      <c r="P14"/>
      <c r="Q14"/>
      <c r="R14" s="45"/>
      <c r="S14"/>
      <c r="T14"/>
      <c r="U14"/>
      <c r="V14"/>
      <c r="W14"/>
      <c r="X14"/>
      <c r="Y14"/>
      <c r="Z14"/>
      <c r="AA14"/>
      <c r="AB14"/>
      <c r="AC14"/>
      <c r="AD14"/>
      <c r="AE14"/>
      <c r="AF14"/>
    </row>
    <row r="15" spans="1:48" x14ac:dyDescent="0.25">
      <c r="P15"/>
      <c r="Q15"/>
      <c r="R15" s="45"/>
      <c r="S15"/>
      <c r="T15"/>
      <c r="U15"/>
      <c r="V15"/>
      <c r="W15"/>
      <c r="X15"/>
      <c r="Y15"/>
      <c r="Z15"/>
      <c r="AA15"/>
      <c r="AB15"/>
      <c r="AC15"/>
      <c r="AD15"/>
      <c r="AE15"/>
      <c r="AF15"/>
    </row>
    <row r="54" spans="15:15" x14ac:dyDescent="0.25">
      <c r="O54"/>
    </row>
  </sheetData>
  <phoneticPr fontId="14" type="noConversion"/>
  <pageMargins left="0.7" right="0.7" top="0.75" bottom="0.75" header="0.3" footer="0.3"/>
  <pageSetup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N14"/>
  <sheetViews>
    <sheetView workbookViewId="0">
      <selection activeCell="C12" sqref="C12"/>
    </sheetView>
  </sheetViews>
  <sheetFormatPr defaultRowHeight="15" x14ac:dyDescent="0.25"/>
  <cols>
    <col min="1" max="1" width="7.109375" style="1" bestFit="1" customWidth="1"/>
    <col min="2" max="2" width="10.88671875" style="1" bestFit="1" customWidth="1"/>
    <col min="3" max="3" width="26.44140625" style="1" bestFit="1" customWidth="1"/>
    <col min="4" max="4" width="13.88671875" style="1" bestFit="1" customWidth="1"/>
    <col min="5" max="5" width="10.33203125" style="1" bestFit="1" customWidth="1"/>
    <col min="6" max="7" width="9.21875" style="1" bestFit="1" customWidth="1"/>
    <col min="8" max="8" width="12.5546875" style="1" bestFit="1" customWidth="1"/>
    <col min="9" max="9" width="5.88671875" style="1" bestFit="1" customWidth="1"/>
    <col min="10" max="10" width="12" style="1" bestFit="1" customWidth="1"/>
    <col min="11" max="11" width="5.88671875" style="1" bestFit="1" customWidth="1"/>
    <col min="12" max="12" width="12.33203125" style="1" bestFit="1" customWidth="1"/>
    <col min="13" max="13" width="13.33203125" style="1" bestFit="1" customWidth="1"/>
    <col min="14" max="14" width="5.6640625" style="1" bestFit="1" customWidth="1"/>
    <col min="15" max="15" width="12.33203125" style="1" bestFit="1" customWidth="1"/>
    <col min="16" max="17" width="9.21875" style="1" bestFit="1" customWidth="1"/>
    <col min="18" max="18" width="7.5546875" style="1" bestFit="1" customWidth="1"/>
    <col min="19" max="19" width="5.88671875" style="1" bestFit="1" customWidth="1"/>
    <col min="20" max="20" width="6" style="1" bestFit="1" customWidth="1"/>
    <col min="21" max="21" width="13.5546875" style="1" bestFit="1" customWidth="1"/>
    <col min="22" max="22" width="10.88671875" style="1" bestFit="1" customWidth="1"/>
    <col min="23" max="24" width="9.21875" style="1" bestFit="1" customWidth="1"/>
    <col min="25" max="25" width="10.33203125" style="1" bestFit="1" customWidth="1"/>
    <col min="26" max="26" width="10.88671875" style="1" bestFit="1" customWidth="1"/>
    <col min="27" max="27" width="10.33203125" style="1" bestFit="1" customWidth="1"/>
    <col min="28" max="28" width="7.5546875" style="1" bestFit="1" customWidth="1"/>
    <col min="29" max="29" width="7" style="1" bestFit="1" customWidth="1"/>
    <col min="30" max="30" width="7.5546875" style="1" bestFit="1" customWidth="1"/>
    <col min="31" max="31" width="8.33203125" style="1" bestFit="1" customWidth="1"/>
    <col min="32" max="32" width="10.88671875" style="1" bestFit="1" customWidth="1"/>
    <col min="33" max="33" width="14.21875" style="1" bestFit="1" customWidth="1"/>
    <col min="34" max="34" width="9.21875" style="1" bestFit="1" customWidth="1"/>
    <col min="35" max="35" width="48" style="1" bestFit="1" customWidth="1"/>
    <col min="36" max="36" width="21.33203125" style="1" bestFit="1" customWidth="1"/>
    <col min="37" max="37" width="14.21875" style="1" bestFit="1" customWidth="1"/>
    <col min="38" max="38" width="7.5546875" style="1" bestFit="1" customWidth="1"/>
    <col min="39" max="39" width="5.6640625" style="1" bestFit="1" customWidth="1"/>
    <col min="40" max="40" width="9.21875" style="1" bestFit="1" customWidth="1"/>
    <col min="41" max="41" width="5.88671875" style="1" bestFit="1" customWidth="1"/>
    <col min="42" max="42" width="9.21875" style="1" bestFit="1" customWidth="1"/>
    <col min="43" max="43" width="10" style="1" bestFit="1" customWidth="1"/>
    <col min="44" max="44" width="12.44140625" style="1" bestFit="1" customWidth="1"/>
    <col min="45" max="45" width="6.5546875" style="1" bestFit="1" customWidth="1"/>
    <col min="46" max="46" width="80.88671875" style="1" bestFit="1" customWidth="1"/>
    <col min="47" max="47" width="9.21875" style="1" bestFit="1" customWidth="1"/>
    <col min="48" max="48" width="12" style="1" bestFit="1" customWidth="1"/>
    <col min="49" max="49" width="9.33203125" style="1" bestFit="1" customWidth="1"/>
    <col min="50" max="50" width="11.5546875" style="1" bestFit="1" customWidth="1"/>
    <col min="51" max="51" width="20" style="1" bestFit="1" customWidth="1"/>
    <col min="52" max="52" width="10.5546875" style="1" bestFit="1" customWidth="1"/>
    <col min="53" max="53" width="17.44140625" style="1" bestFit="1" customWidth="1"/>
    <col min="54" max="54" width="20.109375" style="1" customWidth="1"/>
    <col min="55" max="55" width="11.5546875" style="1" bestFit="1" customWidth="1"/>
    <col min="56" max="57" width="17.33203125" style="1" bestFit="1" customWidth="1"/>
    <col min="58" max="58" width="9.21875" style="1" bestFit="1" customWidth="1"/>
    <col min="59" max="59" width="15.21875" style="1" bestFit="1" customWidth="1"/>
    <col min="60" max="60" width="13.44140625" style="1" bestFit="1" customWidth="1"/>
    <col min="61" max="61" width="11.109375" style="1" bestFit="1" customWidth="1"/>
    <col min="62" max="63" width="10.88671875" style="1" bestFit="1" customWidth="1"/>
    <col min="64" max="64" width="9.21875" style="1" bestFit="1" customWidth="1"/>
    <col min="65" max="65" width="8.77734375" style="1" bestFit="1" customWidth="1"/>
    <col min="66" max="66" width="9.21875" style="1" bestFit="1" customWidth="1"/>
    <col min="67" max="67" width="14.6640625" style="1" bestFit="1" customWidth="1"/>
    <col min="68" max="68" width="9.21875" style="1" bestFit="1" customWidth="1"/>
    <col min="69" max="69" width="8.5546875" style="1" bestFit="1" customWidth="1"/>
    <col min="70" max="70" width="9.33203125" style="1" bestFit="1" customWidth="1"/>
    <col min="71" max="71" width="9.21875" style="1" bestFit="1" customWidth="1"/>
    <col min="72" max="72" width="10.109375" style="1" bestFit="1" customWidth="1"/>
    <col min="73" max="73" width="10.33203125" style="1" bestFit="1" customWidth="1"/>
    <col min="74" max="74" width="15.109375" style="1" bestFit="1" customWidth="1"/>
    <col min="75" max="75" width="10.33203125" style="1" bestFit="1" customWidth="1"/>
    <col min="76" max="76" width="5.88671875" style="1" bestFit="1" customWidth="1"/>
    <col min="77" max="77" width="9.21875" style="1" bestFit="1" customWidth="1"/>
    <col min="78" max="78" width="10.33203125" style="1" bestFit="1" customWidth="1"/>
    <col min="79" max="79" width="14.44140625" style="1" bestFit="1" customWidth="1"/>
    <col min="80" max="80" width="16.109375" style="1" bestFit="1" customWidth="1"/>
    <col min="81" max="81" width="20.6640625" style="1" bestFit="1" customWidth="1"/>
    <col min="82" max="82" width="18.88671875" style="1" bestFit="1" customWidth="1"/>
    <col min="83" max="83" width="27.109375" style="1" bestFit="1" customWidth="1"/>
    <col min="84" max="16384" width="8.88671875" style="1"/>
  </cols>
  <sheetData>
    <row r="1" spans="1:66" ht="39.75" customHeight="1" x14ac:dyDescent="0.25"/>
    <row r="2" spans="1:66" ht="39.75" customHeight="1" x14ac:dyDescent="0.25"/>
    <row r="3" spans="1:66" ht="39.75" customHeight="1" x14ac:dyDescent="0.25"/>
    <row r="4" spans="1:66" x14ac:dyDescent="0.25">
      <c r="A4" t="s">
        <v>85</v>
      </c>
      <c r="B4" t="s">
        <v>425</v>
      </c>
      <c r="C4" t="s">
        <v>93</v>
      </c>
      <c r="D4" t="s">
        <v>48</v>
      </c>
      <c r="E4" t="s">
        <v>49</v>
      </c>
      <c r="F4" t="s">
        <v>134</v>
      </c>
      <c r="G4" t="s">
        <v>176</v>
      </c>
      <c r="H4" t="s">
        <v>51</v>
      </c>
      <c r="I4" t="s">
        <v>64</v>
      </c>
      <c r="J4" t="s">
        <v>57</v>
      </c>
      <c r="K4" t="s">
        <v>86</v>
      </c>
      <c r="L4" t="s">
        <v>119</v>
      </c>
      <c r="M4" t="s">
        <v>87</v>
      </c>
      <c r="N4" t="s">
        <v>53</v>
      </c>
      <c r="O4" t="s">
        <v>151</v>
      </c>
      <c r="P4" t="s">
        <v>165</v>
      </c>
      <c r="Q4" t="s">
        <v>167</v>
      </c>
      <c r="R4" t="s">
        <v>59</v>
      </c>
      <c r="S4" t="s">
        <v>89</v>
      </c>
      <c r="T4" t="s">
        <v>90</v>
      </c>
      <c r="U4" t="s">
        <v>185</v>
      </c>
      <c r="V4" t="s">
        <v>186</v>
      </c>
      <c r="W4" t="s">
        <v>140</v>
      </c>
      <c r="X4" t="s">
        <v>80</v>
      </c>
      <c r="Y4" t="s">
        <v>66</v>
      </c>
      <c r="Z4" t="s">
        <v>69</v>
      </c>
      <c r="AA4" t="s">
        <v>52</v>
      </c>
      <c r="AB4" t="s">
        <v>172</v>
      </c>
      <c r="AC4" t="s">
        <v>173</v>
      </c>
      <c r="AD4" t="s">
        <v>210</v>
      </c>
      <c r="AE4" t="s">
        <v>696</v>
      </c>
      <c r="AF4" t="s">
        <v>231</v>
      </c>
      <c r="AG4" t="s">
        <v>259</v>
      </c>
      <c r="AH4" t="s">
        <v>207</v>
      </c>
      <c r="AI4" t="s">
        <v>70</v>
      </c>
      <c r="AJ4" t="s">
        <v>71</v>
      </c>
      <c r="AK4" t="s">
        <v>81</v>
      </c>
      <c r="AL4" t="s">
        <v>41</v>
      </c>
      <c r="AM4" t="s">
        <v>138</v>
      </c>
      <c r="AN4" t="s">
        <v>505</v>
      </c>
      <c r="AO4" t="s">
        <v>216</v>
      </c>
      <c r="AP4" t="s">
        <v>209</v>
      </c>
      <c r="AQ4" t="s">
        <v>217</v>
      </c>
      <c r="AR4" t="s">
        <v>218</v>
      </c>
      <c r="AS4" t="s">
        <v>301</v>
      </c>
      <c r="AT4" t="s">
        <v>224</v>
      </c>
      <c r="AU4" t="s">
        <v>198</v>
      </c>
      <c r="AV4" t="s">
        <v>412</v>
      </c>
      <c r="AW4" t="s">
        <v>168</v>
      </c>
      <c r="AX4" t="s">
        <v>219</v>
      </c>
      <c r="AY4" t="s">
        <v>139</v>
      </c>
      <c r="AZ4" t="s">
        <v>694</v>
      </c>
    </row>
    <row r="5" spans="1:66" x14ac:dyDescent="0.25">
      <c r="A5" s="156"/>
      <c r="B5" s="156" t="s">
        <v>91</v>
      </c>
      <c r="C5" s="156" t="s">
        <v>1014</v>
      </c>
      <c r="D5" s="156" t="s">
        <v>1013</v>
      </c>
      <c r="E5" s="158">
        <v>45225</v>
      </c>
      <c r="F5" s="156" t="s">
        <v>82</v>
      </c>
      <c r="G5" s="156" t="s">
        <v>82</v>
      </c>
      <c r="H5" s="156" t="s">
        <v>482</v>
      </c>
      <c r="I5" s="156" t="s">
        <v>84</v>
      </c>
      <c r="J5" s="156">
        <v>1.07</v>
      </c>
      <c r="K5" s="156" t="s">
        <v>150</v>
      </c>
      <c r="L5" s="156" t="s">
        <v>1066</v>
      </c>
      <c r="M5" s="156" t="s">
        <v>91</v>
      </c>
      <c r="N5" s="156" t="s">
        <v>91</v>
      </c>
      <c r="O5" s="156" t="s">
        <v>91</v>
      </c>
      <c r="P5" s="156"/>
      <c r="Q5" s="156" t="s">
        <v>114</v>
      </c>
      <c r="R5" s="156">
        <v>100</v>
      </c>
      <c r="S5" s="156" t="s">
        <v>37</v>
      </c>
      <c r="T5" s="156" t="s">
        <v>261</v>
      </c>
      <c r="U5" s="156" t="s">
        <v>7</v>
      </c>
      <c r="V5" s="156" t="s">
        <v>7</v>
      </c>
      <c r="W5" s="156" t="s">
        <v>91</v>
      </c>
      <c r="X5" s="156" t="s">
        <v>130</v>
      </c>
      <c r="Y5" s="158">
        <v>45229</v>
      </c>
      <c r="Z5" s="158">
        <v>45412</v>
      </c>
      <c r="AA5" s="158">
        <v>46325</v>
      </c>
      <c r="AB5" s="156">
        <v>1.07</v>
      </c>
      <c r="AC5" s="156">
        <v>7.8029999999999999</v>
      </c>
      <c r="AD5" s="156">
        <v>8.3789999999999996</v>
      </c>
      <c r="AE5" s="156" t="s">
        <v>1042</v>
      </c>
      <c r="AF5" s="156" t="s">
        <v>248</v>
      </c>
      <c r="AG5" s="156" t="s">
        <v>91</v>
      </c>
      <c r="AH5" t="s">
        <v>91</v>
      </c>
      <c r="AI5" s="156" t="s">
        <v>1014</v>
      </c>
      <c r="AJ5" s="156" t="s">
        <v>91</v>
      </c>
      <c r="AK5" s="156" t="s">
        <v>91</v>
      </c>
      <c r="AL5" s="156" t="s">
        <v>91</v>
      </c>
      <c r="AM5" s="156" t="s">
        <v>91</v>
      </c>
      <c r="AN5" t="s">
        <v>7</v>
      </c>
      <c r="AO5"/>
      <c r="AP5" s="156" t="s">
        <v>91</v>
      </c>
      <c r="AQ5"/>
      <c r="AR5"/>
      <c r="AS5" s="156" t="s">
        <v>91</v>
      </c>
      <c r="AT5" s="156" t="s">
        <v>91</v>
      </c>
      <c r="AU5" s="156" t="s">
        <v>325</v>
      </c>
      <c r="AV5" s="156" t="s">
        <v>240</v>
      </c>
      <c r="AW5"/>
      <c r="AX5"/>
      <c r="AY5" s="156" t="s">
        <v>1017</v>
      </c>
      <c r="AZ5" t="s">
        <v>677</v>
      </c>
      <c r="BM5" s="20"/>
    </row>
    <row r="6" spans="1:66" x14ac:dyDescent="0.25">
      <c r="A6" s="156"/>
      <c r="B6" s="156" t="s">
        <v>91</v>
      </c>
      <c r="C6" s="156" t="s">
        <v>819</v>
      </c>
      <c r="D6" s="156" t="s">
        <v>818</v>
      </c>
      <c r="E6" s="158">
        <v>45225</v>
      </c>
      <c r="F6" s="156" t="s">
        <v>820</v>
      </c>
      <c r="G6" s="156" t="s">
        <v>820</v>
      </c>
      <c r="H6" s="156" t="s">
        <v>485</v>
      </c>
      <c r="I6" s="156" t="s">
        <v>84</v>
      </c>
      <c r="J6" s="156">
        <v>5</v>
      </c>
      <c r="K6" s="156" t="s">
        <v>956</v>
      </c>
      <c r="L6" s="156" t="s">
        <v>757</v>
      </c>
      <c r="M6" s="156" t="s">
        <v>955</v>
      </c>
      <c r="N6" s="156" t="s">
        <v>757</v>
      </c>
      <c r="O6" s="156" t="s">
        <v>91</v>
      </c>
      <c r="P6" s="156">
        <v>20</v>
      </c>
      <c r="Q6" s="156" t="s">
        <v>114</v>
      </c>
      <c r="R6" s="156">
        <v>99.941000000000003</v>
      </c>
      <c r="S6" s="156" t="s">
        <v>37</v>
      </c>
      <c r="T6" s="156" t="s">
        <v>261</v>
      </c>
      <c r="U6" s="156" t="s">
        <v>148</v>
      </c>
      <c r="V6" s="156" t="s">
        <v>7</v>
      </c>
      <c r="W6" s="156" t="s">
        <v>91</v>
      </c>
      <c r="X6" s="156" t="s">
        <v>130</v>
      </c>
      <c r="Y6" s="158">
        <v>45232</v>
      </c>
      <c r="Z6" s="158">
        <v>45414</v>
      </c>
      <c r="AA6" s="158">
        <v>46267</v>
      </c>
      <c r="AB6" s="156">
        <v>5</v>
      </c>
      <c r="AC6" s="156">
        <v>36.463999999999999</v>
      </c>
      <c r="AD6" s="156">
        <v>39.152999999999999</v>
      </c>
      <c r="AE6" s="156" t="s">
        <v>902</v>
      </c>
      <c r="AF6" s="156" t="s">
        <v>248</v>
      </c>
      <c r="AG6" s="156" t="s">
        <v>91</v>
      </c>
      <c r="AH6" t="s">
        <v>91</v>
      </c>
      <c r="AI6" s="156" t="s">
        <v>819</v>
      </c>
      <c r="AJ6" s="156" t="s">
        <v>91</v>
      </c>
      <c r="AK6" s="156" t="s">
        <v>91</v>
      </c>
      <c r="AL6" s="156" t="s">
        <v>91</v>
      </c>
      <c r="AM6" s="156" t="s">
        <v>705</v>
      </c>
      <c r="AN6" t="s">
        <v>7</v>
      </c>
      <c r="AO6"/>
      <c r="AP6" s="156" t="s">
        <v>91</v>
      </c>
      <c r="AQ6"/>
      <c r="AR6"/>
      <c r="AS6" s="156" t="s">
        <v>91</v>
      </c>
      <c r="AT6" s="156" t="s">
        <v>903</v>
      </c>
      <c r="AU6" s="156" t="s">
        <v>325</v>
      </c>
      <c r="AV6" s="156" t="s">
        <v>240</v>
      </c>
      <c r="AW6"/>
      <c r="AX6"/>
      <c r="AY6" s="156" t="s">
        <v>823</v>
      </c>
      <c r="AZ6" t="s">
        <v>677</v>
      </c>
      <c r="BM6" s="20"/>
    </row>
    <row r="7" spans="1:66" x14ac:dyDescent="0.25">
      <c r="A7" s="156"/>
      <c r="B7" s="156" t="s">
        <v>91</v>
      </c>
      <c r="C7" s="156" t="s">
        <v>844</v>
      </c>
      <c r="D7" s="156" t="s">
        <v>843</v>
      </c>
      <c r="E7" s="158">
        <v>45224</v>
      </c>
      <c r="F7" s="156" t="s">
        <v>82</v>
      </c>
      <c r="G7" s="156" t="s">
        <v>82</v>
      </c>
      <c r="H7" s="156" t="s">
        <v>482</v>
      </c>
      <c r="I7" s="156" t="s">
        <v>105</v>
      </c>
      <c r="J7" s="156">
        <v>4.97</v>
      </c>
      <c r="K7" s="156" t="s">
        <v>150</v>
      </c>
      <c r="L7" s="156" t="s">
        <v>771</v>
      </c>
      <c r="M7" s="156" t="s">
        <v>1072</v>
      </c>
      <c r="N7" s="156" t="s">
        <v>771</v>
      </c>
      <c r="O7" s="156" t="s">
        <v>91</v>
      </c>
      <c r="P7" s="156">
        <v>10</v>
      </c>
      <c r="Q7" s="156" t="s">
        <v>114</v>
      </c>
      <c r="R7" s="156">
        <v>100</v>
      </c>
      <c r="S7" s="156" t="s">
        <v>37</v>
      </c>
      <c r="T7" s="156" t="s">
        <v>109</v>
      </c>
      <c r="U7" s="156" t="s">
        <v>7</v>
      </c>
      <c r="V7" s="156" t="s">
        <v>7</v>
      </c>
      <c r="W7" s="156" t="s">
        <v>91</v>
      </c>
      <c r="X7" s="156" t="s">
        <v>130</v>
      </c>
      <c r="Y7" s="158">
        <v>45226</v>
      </c>
      <c r="Z7" s="158">
        <v>45409</v>
      </c>
      <c r="AA7" s="158">
        <v>46322</v>
      </c>
      <c r="AB7" s="156">
        <v>0.68100000000000005</v>
      </c>
      <c r="AC7" s="156">
        <v>4.97</v>
      </c>
      <c r="AD7" s="156">
        <v>5.3339999999999996</v>
      </c>
      <c r="AE7" s="156" t="s">
        <v>945</v>
      </c>
      <c r="AF7" s="156" t="s">
        <v>248</v>
      </c>
      <c r="AG7" s="156" t="s">
        <v>91</v>
      </c>
      <c r="AH7" t="s">
        <v>91</v>
      </c>
      <c r="AI7" s="156" t="s">
        <v>844</v>
      </c>
      <c r="AJ7" s="156" t="s">
        <v>91</v>
      </c>
      <c r="AK7" s="156" t="s">
        <v>91</v>
      </c>
      <c r="AL7" s="156" t="s">
        <v>91</v>
      </c>
      <c r="AM7" s="156" t="s">
        <v>91</v>
      </c>
      <c r="AN7" t="s">
        <v>7</v>
      </c>
      <c r="AO7"/>
      <c r="AP7" s="156" t="s">
        <v>91</v>
      </c>
      <c r="AQ7"/>
      <c r="AR7"/>
      <c r="AS7" s="156" t="s">
        <v>91</v>
      </c>
      <c r="AT7" s="156" t="s">
        <v>91</v>
      </c>
      <c r="AU7" s="156" t="s">
        <v>325</v>
      </c>
      <c r="AV7" s="156" t="s">
        <v>240</v>
      </c>
      <c r="AW7"/>
      <c r="AX7"/>
      <c r="AY7" s="156" t="s">
        <v>846</v>
      </c>
      <c r="AZ7" t="s">
        <v>677</v>
      </c>
      <c r="BM7" s="20"/>
    </row>
    <row r="8" spans="1:66" x14ac:dyDescent="0.25">
      <c r="A8" s="156"/>
      <c r="B8" s="156" t="s">
        <v>91</v>
      </c>
      <c r="C8" s="156" t="s">
        <v>802</v>
      </c>
      <c r="D8" s="156" t="s">
        <v>847</v>
      </c>
      <c r="E8" s="158">
        <v>45224</v>
      </c>
      <c r="F8" s="156" t="s">
        <v>848</v>
      </c>
      <c r="G8" s="156" t="s">
        <v>441</v>
      </c>
      <c r="H8" s="156" t="s">
        <v>485</v>
      </c>
      <c r="I8" s="156" t="s">
        <v>280</v>
      </c>
      <c r="J8" s="156">
        <v>1.5</v>
      </c>
      <c r="K8" s="156" t="s">
        <v>150</v>
      </c>
      <c r="L8" s="156" t="s">
        <v>986</v>
      </c>
      <c r="M8" s="156" t="s">
        <v>987</v>
      </c>
      <c r="N8" s="156" t="s">
        <v>499</v>
      </c>
      <c r="O8" s="156" t="s">
        <v>986</v>
      </c>
      <c r="P8" s="156">
        <v>0</v>
      </c>
      <c r="Q8" s="156" t="s">
        <v>984</v>
      </c>
      <c r="R8" s="156">
        <v>100</v>
      </c>
      <c r="S8" s="156" t="s">
        <v>39</v>
      </c>
      <c r="T8" s="156" t="s">
        <v>109</v>
      </c>
      <c r="U8" s="156" t="s">
        <v>7</v>
      </c>
      <c r="V8" s="156" t="s">
        <v>7</v>
      </c>
      <c r="W8" s="156" t="s">
        <v>91</v>
      </c>
      <c r="X8" s="156" t="s">
        <v>734</v>
      </c>
      <c r="Y8" s="158">
        <v>45232</v>
      </c>
      <c r="Z8" s="158">
        <v>45324</v>
      </c>
      <c r="AA8" s="158">
        <v>46328</v>
      </c>
      <c r="AB8" s="156">
        <v>0.9</v>
      </c>
      <c r="AC8" s="156">
        <v>6.5629999999999997</v>
      </c>
      <c r="AD8" s="156">
        <v>7.0449999999999999</v>
      </c>
      <c r="AE8" s="156" t="s">
        <v>940</v>
      </c>
      <c r="AF8" s="156" t="s">
        <v>849</v>
      </c>
      <c r="AG8" s="156" t="s">
        <v>91</v>
      </c>
      <c r="AH8" t="s">
        <v>91</v>
      </c>
      <c r="AI8" s="156" t="s">
        <v>938</v>
      </c>
      <c r="AJ8" s="156" t="s">
        <v>802</v>
      </c>
      <c r="AK8" s="156" t="s">
        <v>91</v>
      </c>
      <c r="AL8" s="156" t="s">
        <v>91</v>
      </c>
      <c r="AM8" s="156" t="s">
        <v>91</v>
      </c>
      <c r="AN8" t="s">
        <v>753</v>
      </c>
      <c r="AO8"/>
      <c r="AP8" s="156" t="s">
        <v>91</v>
      </c>
      <c r="AQ8"/>
      <c r="AR8"/>
      <c r="AS8" s="156" t="s">
        <v>91</v>
      </c>
      <c r="AT8" s="156" t="s">
        <v>91</v>
      </c>
      <c r="AU8" s="156" t="s">
        <v>325</v>
      </c>
      <c r="AV8" s="156" t="s">
        <v>240</v>
      </c>
      <c r="AW8"/>
      <c r="AX8"/>
      <c r="AY8" s="156" t="s">
        <v>853</v>
      </c>
      <c r="AZ8" t="s">
        <v>677</v>
      </c>
      <c r="BM8" s="20"/>
    </row>
    <row r="9" spans="1:66" x14ac:dyDescent="0.25">
      <c r="A9" s="156"/>
      <c r="B9" s="156" t="s">
        <v>91</v>
      </c>
      <c r="C9" s="156" t="s">
        <v>825</v>
      </c>
      <c r="D9" s="156" t="s">
        <v>829</v>
      </c>
      <c r="E9" s="158">
        <v>45224</v>
      </c>
      <c r="F9" s="156" t="s">
        <v>82</v>
      </c>
      <c r="G9" s="156" t="s">
        <v>826</v>
      </c>
      <c r="H9" s="156" t="s">
        <v>91</v>
      </c>
      <c r="I9" s="156" t="s">
        <v>105</v>
      </c>
      <c r="J9" s="156">
        <v>30</v>
      </c>
      <c r="K9" s="156" t="s">
        <v>957</v>
      </c>
      <c r="L9" s="156" t="s">
        <v>916</v>
      </c>
      <c r="M9" s="156" t="s">
        <v>91</v>
      </c>
      <c r="N9" s="156" t="s">
        <v>91</v>
      </c>
      <c r="O9" s="156" t="s">
        <v>91</v>
      </c>
      <c r="P9" s="156"/>
      <c r="Q9" s="156" t="s">
        <v>114</v>
      </c>
      <c r="R9" s="156">
        <v>98</v>
      </c>
      <c r="S9" s="156" t="s">
        <v>37</v>
      </c>
      <c r="T9" s="156" t="s">
        <v>261</v>
      </c>
      <c r="U9" s="156" t="s">
        <v>964</v>
      </c>
      <c r="V9" s="156" t="s">
        <v>7</v>
      </c>
      <c r="W9" s="156" t="s">
        <v>250</v>
      </c>
      <c r="X9" s="156" t="s">
        <v>130</v>
      </c>
      <c r="Y9" s="158">
        <v>45226</v>
      </c>
      <c r="Z9" s="158">
        <v>45276</v>
      </c>
      <c r="AA9" s="158">
        <v>48746</v>
      </c>
      <c r="AB9" s="156">
        <v>4.1130000000000004</v>
      </c>
      <c r="AC9" s="156">
        <v>30</v>
      </c>
      <c r="AD9" s="156">
        <v>32.198999999999998</v>
      </c>
      <c r="AE9" s="156" t="s">
        <v>918</v>
      </c>
      <c r="AF9" s="156" t="s">
        <v>248</v>
      </c>
      <c r="AG9" s="156" t="s">
        <v>91</v>
      </c>
      <c r="AH9" t="s">
        <v>91</v>
      </c>
      <c r="AI9" s="156" t="s">
        <v>917</v>
      </c>
      <c r="AJ9" s="156" t="s">
        <v>91</v>
      </c>
      <c r="AK9" s="156" t="s">
        <v>91</v>
      </c>
      <c r="AL9" s="156" t="s">
        <v>91</v>
      </c>
      <c r="AM9" s="156" t="s">
        <v>91</v>
      </c>
      <c r="AN9" t="s">
        <v>7</v>
      </c>
      <c r="AO9"/>
      <c r="AP9" s="156" t="s">
        <v>91</v>
      </c>
      <c r="AQ9"/>
      <c r="AR9"/>
      <c r="AS9" s="156" t="s">
        <v>91</v>
      </c>
      <c r="AT9" s="156" t="s">
        <v>91</v>
      </c>
      <c r="AU9" s="156" t="s">
        <v>250</v>
      </c>
      <c r="AV9" s="156" t="s">
        <v>240</v>
      </c>
      <c r="AW9"/>
      <c r="AX9"/>
      <c r="AY9" s="156" t="s">
        <v>831</v>
      </c>
      <c r="AZ9" t="s">
        <v>677</v>
      </c>
      <c r="BM9" s="20"/>
    </row>
    <row r="10" spans="1:66" x14ac:dyDescent="0.25">
      <c r="A10" s="156"/>
      <c r="B10" s="156" t="s">
        <v>91</v>
      </c>
      <c r="C10" s="156" t="s">
        <v>825</v>
      </c>
      <c r="D10" s="156" t="s">
        <v>824</v>
      </c>
      <c r="E10" s="158">
        <v>45224</v>
      </c>
      <c r="F10" s="156" t="s">
        <v>82</v>
      </c>
      <c r="G10" s="156" t="s">
        <v>826</v>
      </c>
      <c r="H10" s="156" t="s">
        <v>91</v>
      </c>
      <c r="I10" s="156" t="s">
        <v>105</v>
      </c>
      <c r="J10" s="156">
        <v>40</v>
      </c>
      <c r="K10" s="156" t="s">
        <v>462</v>
      </c>
      <c r="L10" s="156" t="s">
        <v>933</v>
      </c>
      <c r="M10" s="156" t="s">
        <v>91</v>
      </c>
      <c r="N10" s="156" t="s">
        <v>91</v>
      </c>
      <c r="O10" s="156" t="s">
        <v>91</v>
      </c>
      <c r="P10" s="156"/>
      <c r="Q10" s="156" t="s">
        <v>114</v>
      </c>
      <c r="R10" s="156">
        <v>98.54</v>
      </c>
      <c r="S10" s="156" t="s">
        <v>37</v>
      </c>
      <c r="T10" s="156" t="s">
        <v>109</v>
      </c>
      <c r="U10" s="156" t="s">
        <v>964</v>
      </c>
      <c r="V10" s="156" t="s">
        <v>7</v>
      </c>
      <c r="W10" s="156" t="s">
        <v>250</v>
      </c>
      <c r="X10" s="156" t="s">
        <v>130</v>
      </c>
      <c r="Y10" s="158">
        <v>45226</v>
      </c>
      <c r="Z10" s="158">
        <v>45326</v>
      </c>
      <c r="AA10" s="158">
        <v>46969</v>
      </c>
      <c r="AB10" s="156">
        <v>5.484</v>
      </c>
      <c r="AC10" s="156">
        <v>40</v>
      </c>
      <c r="AD10" s="156">
        <v>42.932000000000002</v>
      </c>
      <c r="AE10" s="156" t="s">
        <v>918</v>
      </c>
      <c r="AF10" s="156" t="s">
        <v>248</v>
      </c>
      <c r="AG10" s="156" t="s">
        <v>91</v>
      </c>
      <c r="AH10" t="s">
        <v>91</v>
      </c>
      <c r="AI10" s="156" t="s">
        <v>917</v>
      </c>
      <c r="AJ10" s="156" t="s">
        <v>91</v>
      </c>
      <c r="AK10" s="156" t="s">
        <v>91</v>
      </c>
      <c r="AL10" s="156" t="s">
        <v>91</v>
      </c>
      <c r="AM10" s="156" t="s">
        <v>91</v>
      </c>
      <c r="AN10" t="s">
        <v>7</v>
      </c>
      <c r="AO10"/>
      <c r="AP10" s="156" t="s">
        <v>91</v>
      </c>
      <c r="AQ10"/>
      <c r="AR10"/>
      <c r="AS10" s="156" t="s">
        <v>91</v>
      </c>
      <c r="AT10" s="156" t="s">
        <v>91</v>
      </c>
      <c r="AU10" s="156" t="s">
        <v>250</v>
      </c>
      <c r="AV10" s="156" t="s">
        <v>240</v>
      </c>
      <c r="AW10"/>
      <c r="AX10"/>
      <c r="AY10" s="156" t="s">
        <v>828</v>
      </c>
      <c r="AZ10" t="s">
        <v>677</v>
      </c>
      <c r="BM10" s="20"/>
    </row>
    <row r="11" spans="1:66" x14ac:dyDescent="0.25">
      <c r="A11" s="156"/>
      <c r="B11" s="156" t="s">
        <v>91</v>
      </c>
      <c r="C11" s="156" t="s">
        <v>825</v>
      </c>
      <c r="D11" s="156" t="s">
        <v>832</v>
      </c>
      <c r="E11" s="158">
        <v>45224</v>
      </c>
      <c r="F11" s="156" t="s">
        <v>82</v>
      </c>
      <c r="G11" s="156" t="s">
        <v>826</v>
      </c>
      <c r="H11" s="156" t="s">
        <v>91</v>
      </c>
      <c r="I11" s="156" t="s">
        <v>105</v>
      </c>
      <c r="J11" s="156">
        <v>50</v>
      </c>
      <c r="K11" s="156" t="s">
        <v>958</v>
      </c>
      <c r="L11" s="156" t="s">
        <v>929</v>
      </c>
      <c r="M11" s="156" t="s">
        <v>91</v>
      </c>
      <c r="N11" s="156" t="s">
        <v>91</v>
      </c>
      <c r="O11" s="156" t="s">
        <v>91</v>
      </c>
      <c r="P11" s="156"/>
      <c r="Q11" s="156" t="s">
        <v>114</v>
      </c>
      <c r="R11" s="156">
        <v>98.87</v>
      </c>
      <c r="S11" s="156" t="s">
        <v>37</v>
      </c>
      <c r="T11" s="156" t="s">
        <v>261</v>
      </c>
      <c r="U11" s="156" t="s">
        <v>964</v>
      </c>
      <c r="V11" s="156" t="s">
        <v>7</v>
      </c>
      <c r="W11" s="156" t="s">
        <v>250</v>
      </c>
      <c r="X11" s="156" t="s">
        <v>130</v>
      </c>
      <c r="Y11" s="158">
        <v>45226</v>
      </c>
      <c r="Z11" s="158">
        <v>45276</v>
      </c>
      <c r="AA11" s="158">
        <v>46189</v>
      </c>
      <c r="AB11" s="156">
        <v>6.8550000000000004</v>
      </c>
      <c r="AC11" s="156">
        <v>50</v>
      </c>
      <c r="AD11" s="156">
        <v>53.664999999999999</v>
      </c>
      <c r="AE11" s="156" t="s">
        <v>918</v>
      </c>
      <c r="AF11" s="156" t="s">
        <v>248</v>
      </c>
      <c r="AG11" s="156" t="s">
        <v>91</v>
      </c>
      <c r="AH11" t="s">
        <v>91</v>
      </c>
      <c r="AI11" s="156" t="s">
        <v>917</v>
      </c>
      <c r="AJ11" s="156" t="s">
        <v>91</v>
      </c>
      <c r="AK11" s="156" t="s">
        <v>91</v>
      </c>
      <c r="AL11" s="156" t="s">
        <v>91</v>
      </c>
      <c r="AM11" s="156" t="s">
        <v>91</v>
      </c>
      <c r="AN11" t="s">
        <v>7</v>
      </c>
      <c r="AO11"/>
      <c r="AP11" s="156" t="s">
        <v>91</v>
      </c>
      <c r="AQ11"/>
      <c r="AR11"/>
      <c r="AS11" s="156" t="s">
        <v>91</v>
      </c>
      <c r="AT11" s="156" t="s">
        <v>91</v>
      </c>
      <c r="AU11" s="156" t="s">
        <v>250</v>
      </c>
      <c r="AV11" s="156" t="s">
        <v>240</v>
      </c>
      <c r="AW11"/>
      <c r="AX11"/>
      <c r="AY11" s="156" t="s">
        <v>834</v>
      </c>
      <c r="AZ11" t="s">
        <v>677</v>
      </c>
      <c r="BN11" s="20"/>
    </row>
    <row r="12" spans="1:66" x14ac:dyDescent="0.25">
      <c r="A12" s="156"/>
      <c r="B12" s="156" t="s">
        <v>91</v>
      </c>
      <c r="C12" s="156" t="s">
        <v>825</v>
      </c>
      <c r="D12" s="156" t="s">
        <v>835</v>
      </c>
      <c r="E12" s="158">
        <v>45224</v>
      </c>
      <c r="F12" s="156" t="s">
        <v>82</v>
      </c>
      <c r="G12" s="156" t="s">
        <v>826</v>
      </c>
      <c r="H12" s="156" t="s">
        <v>91</v>
      </c>
      <c r="I12" s="156" t="s">
        <v>105</v>
      </c>
      <c r="J12" s="156">
        <v>40</v>
      </c>
      <c r="K12" s="156" t="s">
        <v>959</v>
      </c>
      <c r="L12" s="156" t="s">
        <v>925</v>
      </c>
      <c r="M12" s="156" t="s">
        <v>91</v>
      </c>
      <c r="N12" s="156" t="s">
        <v>91</v>
      </c>
      <c r="O12" s="156" t="s">
        <v>91</v>
      </c>
      <c r="P12" s="156"/>
      <c r="Q12" s="156" t="s">
        <v>114</v>
      </c>
      <c r="R12" s="156">
        <v>99.29</v>
      </c>
      <c r="S12" s="156" t="s">
        <v>37</v>
      </c>
      <c r="T12" s="156" t="s">
        <v>261</v>
      </c>
      <c r="U12" s="156" t="s">
        <v>964</v>
      </c>
      <c r="V12" s="156" t="s">
        <v>7</v>
      </c>
      <c r="W12" s="156" t="s">
        <v>250</v>
      </c>
      <c r="X12" s="156" t="s">
        <v>130</v>
      </c>
      <c r="Y12" s="158">
        <v>45226</v>
      </c>
      <c r="Z12" s="158">
        <v>45276</v>
      </c>
      <c r="AA12" s="158">
        <v>45824</v>
      </c>
      <c r="AB12" s="156">
        <v>5.484</v>
      </c>
      <c r="AC12" s="156">
        <v>40</v>
      </c>
      <c r="AD12" s="156">
        <v>42.932000000000002</v>
      </c>
      <c r="AE12" s="156" t="s">
        <v>918</v>
      </c>
      <c r="AF12" s="156" t="s">
        <v>248</v>
      </c>
      <c r="AG12" s="156" t="s">
        <v>91</v>
      </c>
      <c r="AH12" t="s">
        <v>91</v>
      </c>
      <c r="AI12" s="156" t="s">
        <v>917</v>
      </c>
      <c r="AJ12" s="156" t="s">
        <v>91</v>
      </c>
      <c r="AK12" s="156" t="s">
        <v>91</v>
      </c>
      <c r="AL12" s="156" t="s">
        <v>91</v>
      </c>
      <c r="AM12" s="156" t="s">
        <v>91</v>
      </c>
      <c r="AN12" t="s">
        <v>7</v>
      </c>
      <c r="AO12"/>
      <c r="AP12" s="156" t="s">
        <v>91</v>
      </c>
      <c r="AQ12"/>
      <c r="AR12"/>
      <c r="AS12" s="156" t="s">
        <v>91</v>
      </c>
      <c r="AT12" s="156" t="s">
        <v>91</v>
      </c>
      <c r="AU12" s="156" t="s">
        <v>250</v>
      </c>
      <c r="AV12" s="156" t="s">
        <v>240</v>
      </c>
      <c r="AW12"/>
      <c r="AX12"/>
      <c r="AY12" s="156" t="s">
        <v>837</v>
      </c>
      <c r="AZ12" t="s">
        <v>677</v>
      </c>
      <c r="BN12" s="20"/>
    </row>
    <row r="13" spans="1:66" x14ac:dyDescent="0.25">
      <c r="A13" s="156"/>
      <c r="B13" s="156" t="s">
        <v>91</v>
      </c>
      <c r="C13" s="156" t="s">
        <v>723</v>
      </c>
      <c r="D13" s="156" t="s">
        <v>863</v>
      </c>
      <c r="E13" s="158">
        <v>45223</v>
      </c>
      <c r="F13" s="156" t="s">
        <v>82</v>
      </c>
      <c r="G13" s="156" t="s">
        <v>82</v>
      </c>
      <c r="H13" s="156" t="s">
        <v>407</v>
      </c>
      <c r="I13" s="156" t="s">
        <v>105</v>
      </c>
      <c r="J13" s="156">
        <v>1.5</v>
      </c>
      <c r="K13" s="156" t="s">
        <v>150</v>
      </c>
      <c r="L13" s="156" t="s">
        <v>735</v>
      </c>
      <c r="M13" s="156" t="s">
        <v>91</v>
      </c>
      <c r="N13" s="156" t="s">
        <v>91</v>
      </c>
      <c r="O13" s="156" t="s">
        <v>91</v>
      </c>
      <c r="P13" s="156"/>
      <c r="Q13" s="156" t="s">
        <v>114</v>
      </c>
      <c r="R13" s="156">
        <v>99.998000000000005</v>
      </c>
      <c r="S13" s="156" t="s">
        <v>39</v>
      </c>
      <c r="T13" s="156" t="s">
        <v>249</v>
      </c>
      <c r="U13" s="156" t="s">
        <v>7</v>
      </c>
      <c r="V13" s="156" t="s">
        <v>7</v>
      </c>
      <c r="W13" s="156" t="s">
        <v>250</v>
      </c>
      <c r="X13" s="156" t="s">
        <v>130</v>
      </c>
      <c r="Y13" s="158">
        <v>45229</v>
      </c>
      <c r="Z13" s="158">
        <v>45412</v>
      </c>
      <c r="AA13" s="158">
        <v>46319</v>
      </c>
      <c r="AB13" s="156">
        <v>0.20599999999999999</v>
      </c>
      <c r="AC13" s="156">
        <v>1.5</v>
      </c>
      <c r="AD13" s="156">
        <v>1.61</v>
      </c>
      <c r="AE13" s="156" t="s">
        <v>746</v>
      </c>
      <c r="AF13" s="156" t="s">
        <v>724</v>
      </c>
      <c r="AG13" s="156" t="s">
        <v>91</v>
      </c>
      <c r="AH13" t="s">
        <v>91</v>
      </c>
      <c r="AI13" s="156" t="s">
        <v>747</v>
      </c>
      <c r="AJ13" s="156" t="s">
        <v>723</v>
      </c>
      <c r="AK13" s="156" t="s">
        <v>91</v>
      </c>
      <c r="AL13" s="156" t="s">
        <v>91</v>
      </c>
      <c r="AM13" s="156" t="s">
        <v>91</v>
      </c>
      <c r="AN13" t="s">
        <v>7</v>
      </c>
      <c r="AO13"/>
      <c r="AP13" s="156" t="s">
        <v>91</v>
      </c>
      <c r="AQ13"/>
      <c r="AR13"/>
      <c r="AS13" s="156" t="s">
        <v>91</v>
      </c>
      <c r="AT13" s="156" t="s">
        <v>91</v>
      </c>
      <c r="AU13" s="156" t="s">
        <v>325</v>
      </c>
      <c r="AV13" s="156" t="s">
        <v>240</v>
      </c>
      <c r="AW13"/>
      <c r="AX13"/>
      <c r="AY13" s="156" t="s">
        <v>864</v>
      </c>
      <c r="AZ13" t="s">
        <v>677</v>
      </c>
      <c r="BN13" s="20"/>
    </row>
    <row r="14" spans="1:66" x14ac:dyDescent="0.25">
      <c r="BN14" s="20"/>
    </row>
  </sheetData>
  <phoneticPr fontId="14" type="noConversion"/>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5:V6"/>
  <sheetViews>
    <sheetView workbookViewId="0">
      <selection activeCell="T6" sqref="T6"/>
    </sheetView>
  </sheetViews>
  <sheetFormatPr defaultRowHeight="15" x14ac:dyDescent="0.25"/>
  <cols>
    <col min="1" max="1" width="7.109375" style="1" bestFit="1" customWidth="1"/>
    <col min="2" max="2" width="13.33203125" style="1" bestFit="1" customWidth="1"/>
    <col min="3" max="3" width="10.33203125" style="1" bestFit="1" customWidth="1"/>
    <col min="4" max="4" width="17.88671875" style="1" bestFit="1" customWidth="1"/>
    <col min="5" max="5" width="11.109375" style="1" bestFit="1" customWidth="1"/>
    <col min="6" max="6" width="9.21875" style="1" bestFit="1" customWidth="1"/>
    <col min="7" max="7" width="8.77734375" style="1" bestFit="1" customWidth="1"/>
    <col min="8" max="9" width="9.21875" style="1" bestFit="1" customWidth="1"/>
    <col min="10" max="10" width="11.44140625" style="1" bestFit="1" customWidth="1"/>
    <col min="11" max="11" width="15.21875" style="1" bestFit="1" customWidth="1"/>
    <col min="12" max="12" width="5.88671875" style="1" bestFit="1" customWidth="1"/>
    <col min="13" max="13" width="9.21875" style="1" bestFit="1" customWidth="1"/>
    <col min="14" max="14" width="5.88671875" style="1" bestFit="1" customWidth="1"/>
    <col min="15" max="16" width="7.5546875" style="1" bestFit="1" customWidth="1"/>
    <col min="17" max="17" width="11.33203125" style="1" bestFit="1" customWidth="1"/>
    <col min="18" max="18" width="13.77734375" style="1" bestFit="1" customWidth="1"/>
    <col min="19" max="19" width="19.44140625" style="1" bestFit="1" customWidth="1"/>
    <col min="20" max="20" width="10.33203125" style="1" bestFit="1" customWidth="1"/>
    <col min="21" max="21" width="11.5546875" style="1" bestFit="1" customWidth="1"/>
    <col min="22" max="22" width="7.6640625" style="1" bestFit="1" customWidth="1"/>
    <col min="23" max="23" width="11.33203125" style="1" bestFit="1" customWidth="1"/>
    <col min="24" max="24" width="10.33203125" style="1" bestFit="1" customWidth="1"/>
    <col min="25" max="25" width="11.109375" style="1" bestFit="1" customWidth="1"/>
    <col min="26" max="26" width="8.77734375" style="1" bestFit="1" customWidth="1"/>
    <col min="27" max="27" width="9.21875" style="1" bestFit="1" customWidth="1"/>
    <col min="28" max="16384" width="8.88671875" style="1"/>
  </cols>
  <sheetData>
    <row r="5" spans="1:22" x14ac:dyDescent="0.25">
      <c r="A5" t="s">
        <v>85</v>
      </c>
      <c r="B5" t="s">
        <v>48</v>
      </c>
      <c r="C5" t="s">
        <v>49</v>
      </c>
      <c r="D5" t="s">
        <v>93</v>
      </c>
      <c r="E5" t="s">
        <v>146</v>
      </c>
      <c r="F5" t="s">
        <v>199</v>
      </c>
      <c r="G5" t="s">
        <v>200</v>
      </c>
      <c r="H5" t="s">
        <v>201</v>
      </c>
      <c r="I5" t="s">
        <v>170</v>
      </c>
      <c r="J5" t="s">
        <v>171</v>
      </c>
      <c r="K5" t="s">
        <v>181</v>
      </c>
      <c r="L5" t="s">
        <v>169</v>
      </c>
      <c r="M5" t="s">
        <v>203</v>
      </c>
      <c r="N5" t="s">
        <v>213</v>
      </c>
      <c r="O5" t="s">
        <v>214</v>
      </c>
      <c r="P5" t="s">
        <v>215</v>
      </c>
      <c r="Q5" t="s">
        <v>437</v>
      </c>
      <c r="R5" t="s">
        <v>773</v>
      </c>
      <c r="S5" t="s">
        <v>139</v>
      </c>
      <c r="T5" t="s">
        <v>273</v>
      </c>
      <c r="U5" t="s">
        <v>219</v>
      </c>
      <c r="V5" t="s">
        <v>692</v>
      </c>
    </row>
    <row r="6" spans="1:22" x14ac:dyDescent="0.25">
      <c r="A6"/>
      <c r="B6" t="s">
        <v>818</v>
      </c>
      <c r="C6" s="45">
        <v>45225</v>
      </c>
      <c r="D6" s="156" t="s">
        <v>819</v>
      </c>
      <c r="E6" t="s">
        <v>148</v>
      </c>
      <c r="F6" t="s">
        <v>91</v>
      </c>
      <c r="G6" t="s">
        <v>91</v>
      </c>
      <c r="H6" t="s">
        <v>7</v>
      </c>
      <c r="I6" t="s">
        <v>179</v>
      </c>
      <c r="J6" t="s">
        <v>183</v>
      </c>
      <c r="K6" t="s">
        <v>961</v>
      </c>
      <c r="L6" t="s">
        <v>962</v>
      </c>
      <c r="M6" t="s">
        <v>688</v>
      </c>
      <c r="N6">
        <v>1</v>
      </c>
      <c r="O6">
        <v>1</v>
      </c>
      <c r="P6">
        <v>1</v>
      </c>
      <c r="Q6"/>
      <c r="R6"/>
      <c r="S6" t="s">
        <v>823</v>
      </c>
      <c r="T6"/>
      <c r="U6"/>
      <c r="V6" t="s">
        <v>677</v>
      </c>
    </row>
  </sheetData>
  <phoneticPr fontId="33"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234473"/>
  </sheetPr>
  <dimension ref="A1:G21"/>
  <sheetViews>
    <sheetView zoomScale="85" zoomScaleNormal="85" workbookViewId="0">
      <selection activeCell="A9" sqref="A9:F15"/>
    </sheetView>
  </sheetViews>
  <sheetFormatPr defaultColWidth="8.88671875" defaultRowHeight="15" x14ac:dyDescent="0.25"/>
  <cols>
    <col min="1" max="1" width="21.88671875" style="1" bestFit="1" customWidth="1"/>
    <col min="2" max="2" width="11" style="1" bestFit="1" customWidth="1"/>
    <col min="3" max="3" width="23.88671875" style="1" bestFit="1" customWidth="1"/>
    <col min="4" max="4" width="20.6640625" style="1" bestFit="1" customWidth="1"/>
    <col min="5" max="5" width="109" style="1" bestFit="1" customWidth="1"/>
    <col min="6" max="6" width="55.21875" style="1" bestFit="1" customWidth="1"/>
    <col min="7" max="7" width="111.33203125" style="1" customWidth="1"/>
    <col min="8" max="16384" width="8.88671875" style="1"/>
  </cols>
  <sheetData>
    <row r="1" spans="1:7" ht="60.75" customHeight="1" x14ac:dyDescent="0.25">
      <c r="A1" s="21" t="s">
        <v>137</v>
      </c>
      <c r="B1" s="7"/>
      <c r="C1" s="7"/>
      <c r="D1" s="7"/>
      <c r="E1" s="6"/>
      <c r="F1" s="6"/>
      <c r="G1" s="6"/>
    </row>
    <row r="2" spans="1:7" ht="60.75" customHeight="1" x14ac:dyDescent="0.25">
      <c r="A2" s="18"/>
    </row>
    <row r="3" spans="1:7" ht="57" customHeight="1" x14ac:dyDescent="0.25">
      <c r="A3" s="7" t="s">
        <v>83</v>
      </c>
      <c r="E3" s="19"/>
      <c r="F3" s="19"/>
      <c r="G3" s="19"/>
    </row>
    <row r="4" spans="1:7" x14ac:dyDescent="0.25">
      <c r="A4" t="s">
        <v>85</v>
      </c>
      <c r="B4" t="s">
        <v>227</v>
      </c>
      <c r="C4" t="s">
        <v>64</v>
      </c>
      <c r="D4" t="s">
        <v>164</v>
      </c>
      <c r="E4" t="s">
        <v>136</v>
      </c>
      <c r="F4" t="s">
        <v>235</v>
      </c>
    </row>
    <row r="5" spans="1:7" x14ac:dyDescent="0.25">
      <c r="A5"/>
      <c r="B5"/>
      <c r="C5"/>
      <c r="D5"/>
      <c r="E5"/>
      <c r="F5" s="44"/>
    </row>
    <row r="8" spans="1:7" ht="46.5" x14ac:dyDescent="0.25">
      <c r="A8" s="7" t="s">
        <v>105</v>
      </c>
      <c r="E8" s="19"/>
      <c r="F8" s="19"/>
      <c r="G8" s="19"/>
    </row>
    <row r="9" spans="1:7" x14ac:dyDescent="0.25">
      <c r="A9" s="44" t="s">
        <v>85</v>
      </c>
      <c r="B9" t="s">
        <v>227</v>
      </c>
      <c r="C9" s="44" t="s">
        <v>64</v>
      </c>
      <c r="D9" s="44" t="s">
        <v>164</v>
      </c>
      <c r="E9" s="44" t="s">
        <v>136</v>
      </c>
      <c r="F9" s="44" t="s">
        <v>235</v>
      </c>
    </row>
    <row r="10" spans="1:7" x14ac:dyDescent="0.25">
      <c r="A10" s="44">
        <v>14</v>
      </c>
      <c r="B10" t="s">
        <v>256</v>
      </c>
      <c r="C10" s="44" t="s">
        <v>105</v>
      </c>
      <c r="D10" s="44" t="s">
        <v>290</v>
      </c>
      <c r="E10" s="44" t="s">
        <v>293</v>
      </c>
      <c r="F10" s="44" t="s">
        <v>7</v>
      </c>
    </row>
    <row r="11" spans="1:7" x14ac:dyDescent="0.25">
      <c r="A11" s="44">
        <v>12</v>
      </c>
      <c r="B11" t="s">
        <v>228</v>
      </c>
      <c r="C11" s="44" t="s">
        <v>105</v>
      </c>
      <c r="D11" s="44" t="s">
        <v>291</v>
      </c>
      <c r="E11" s="44" t="s">
        <v>294</v>
      </c>
      <c r="F11" s="44" t="s">
        <v>7</v>
      </c>
    </row>
    <row r="12" spans="1:7" x14ac:dyDescent="0.25">
      <c r="A12" s="44">
        <v>8</v>
      </c>
      <c r="B12" t="s">
        <v>228</v>
      </c>
      <c r="C12" s="44" t="s">
        <v>105</v>
      </c>
      <c r="D12" s="44" t="s">
        <v>292</v>
      </c>
      <c r="E12" s="44" t="s">
        <v>295</v>
      </c>
      <c r="F12" s="44" t="s">
        <v>7</v>
      </c>
    </row>
    <row r="13" spans="1:7" x14ac:dyDescent="0.25">
      <c r="A13" s="44">
        <v>7</v>
      </c>
      <c r="B13" t="s">
        <v>228</v>
      </c>
      <c r="C13" s="44" t="s">
        <v>105</v>
      </c>
      <c r="D13" s="44" t="s">
        <v>292</v>
      </c>
      <c r="E13" s="44" t="s">
        <v>296</v>
      </c>
      <c r="F13" s="44" t="s">
        <v>7</v>
      </c>
    </row>
    <row r="14" spans="1:7" x14ac:dyDescent="0.25">
      <c r="A14" s="44">
        <v>6</v>
      </c>
      <c r="B14" t="s">
        <v>228</v>
      </c>
      <c r="C14" s="44" t="s">
        <v>105</v>
      </c>
      <c r="D14" s="44" t="s">
        <v>292</v>
      </c>
      <c r="E14" s="44" t="s">
        <v>297</v>
      </c>
      <c r="F14" s="44" t="s">
        <v>7</v>
      </c>
    </row>
    <row r="15" spans="1:7" x14ac:dyDescent="0.25">
      <c r="A15" s="44">
        <v>3</v>
      </c>
      <c r="B15" t="s">
        <v>256</v>
      </c>
      <c r="C15" s="44" t="s">
        <v>105</v>
      </c>
      <c r="D15" s="44" t="s">
        <v>289</v>
      </c>
      <c r="E15" s="44" t="s">
        <v>298</v>
      </c>
      <c r="F15" s="44" t="s">
        <v>7</v>
      </c>
    </row>
    <row r="19" spans="1:6" ht="46.5" x14ac:dyDescent="0.25">
      <c r="A19" s="7" t="s">
        <v>208</v>
      </c>
    </row>
    <row r="20" spans="1:6" x14ac:dyDescent="0.25">
      <c r="A20" t="s">
        <v>85</v>
      </c>
      <c r="B20" t="s">
        <v>227</v>
      </c>
      <c r="C20" t="s">
        <v>64</v>
      </c>
      <c r="D20" t="s">
        <v>164</v>
      </c>
      <c r="E20" t="s">
        <v>136</v>
      </c>
      <c r="F20" t="s">
        <v>301</v>
      </c>
    </row>
    <row r="21" spans="1:6" x14ac:dyDescent="0.25">
      <c r="A21"/>
      <c r="B21"/>
      <c r="C21"/>
      <c r="D21"/>
      <c r="E21"/>
      <c r="F21"/>
    </row>
  </sheetData>
  <phoneticPr fontId="14" type="noConversion"/>
  <conditionalFormatting sqref="G9:G11 E4:E5 E9:E15">
    <cfRule type="containsText" dxfId="219" priority="11" operator="containsText" text="担任">
      <formula>NOT(ISERROR(SEARCH("担任",E4)))</formula>
    </cfRule>
  </conditionalFormatting>
  <pageMargins left="0.7" right="0.7" top="0.75" bottom="0.75" header="0.3" footer="0.3"/>
  <pageSetup orientation="portrait" r:id="rId1"/>
  <drawing r:id="rId2"/>
  <legacyDrawing r:id="rId3"/>
  <tableParts count="3">
    <tablePart r:id="rId4"/>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69E62"/>
  </sheetPr>
  <dimension ref="A1:V53"/>
  <sheetViews>
    <sheetView zoomScale="115" zoomScaleNormal="115" workbookViewId="0">
      <selection activeCell="A13" sqref="A13:O27"/>
    </sheetView>
  </sheetViews>
  <sheetFormatPr defaultColWidth="8.88671875" defaultRowHeight="28.5" customHeight="1" x14ac:dyDescent="0.25"/>
  <cols>
    <col min="1" max="1" width="4.88671875" style="25" bestFit="1" customWidth="1"/>
    <col min="2" max="2" width="6.77734375" style="25" bestFit="1" customWidth="1"/>
    <col min="3" max="3" width="25" style="25" bestFit="1" customWidth="1"/>
    <col min="4" max="4" width="12.5546875" style="25" customWidth="1"/>
    <col min="5" max="7" width="9.33203125" style="25" bestFit="1" customWidth="1"/>
    <col min="8" max="8" width="7.33203125" style="25" bestFit="1" customWidth="1"/>
    <col min="9" max="9" width="9.21875" style="25" bestFit="1" customWidth="1"/>
    <col min="10" max="10" width="15.77734375" style="25" hidden="1" customWidth="1"/>
    <col min="11" max="11" width="10.6640625" style="25" hidden="1" customWidth="1"/>
    <col min="12" max="12" width="7.21875" style="25" hidden="1" customWidth="1"/>
    <col min="13" max="13" width="6" style="25" hidden="1" customWidth="1"/>
    <col min="14" max="14" width="11" style="25" hidden="1" customWidth="1"/>
    <col min="15" max="15" width="28.44140625" style="25" bestFit="1" customWidth="1" collapsed="1"/>
    <col min="16" max="16" width="15.5546875" style="25" bestFit="1" customWidth="1"/>
    <col min="17" max="17" width="6.77734375" style="25" customWidth="1"/>
    <col min="18" max="18" width="28.109375" style="25" bestFit="1" customWidth="1"/>
    <col min="19" max="19" width="12.6640625" style="25" bestFit="1" customWidth="1"/>
    <col min="20" max="22" width="7.6640625" style="25" customWidth="1"/>
    <col min="23" max="23" width="6.109375" style="25" bestFit="1" customWidth="1"/>
    <col min="24" max="24" width="9.44140625" style="25" bestFit="1" customWidth="1"/>
    <col min="25" max="25" width="35.109375" style="25" bestFit="1" customWidth="1"/>
    <col min="26" max="16384" width="8.88671875" style="25"/>
  </cols>
  <sheetData>
    <row r="1" spans="1:22" ht="59.25" customHeight="1" thickBot="1" x14ac:dyDescent="0.3">
      <c r="A1" s="31" t="s">
        <v>120</v>
      </c>
      <c r="I1" s="58" t="s">
        <v>152</v>
      </c>
    </row>
    <row r="2" spans="1:22" ht="17.25" thickTop="1" thickBot="1" x14ac:dyDescent="0.3">
      <c r="B2" s="26" t="s">
        <v>85</v>
      </c>
      <c r="C2" s="26" t="s">
        <v>152</v>
      </c>
      <c r="D2" s="26" t="s">
        <v>153</v>
      </c>
      <c r="E2" s="26" t="s">
        <v>154</v>
      </c>
      <c r="F2" s="26" t="s">
        <v>155</v>
      </c>
      <c r="G2" s="26" t="s">
        <v>156</v>
      </c>
      <c r="P2" s="128" t="s">
        <v>459</v>
      </c>
      <c r="Q2" s="131">
        <v>60</v>
      </c>
    </row>
    <row r="3" spans="1:22" ht="17.25" thickTop="1" thickBot="1" x14ac:dyDescent="0.3">
      <c r="B3" s="26"/>
      <c r="C3" s="27"/>
      <c r="D3" s="38"/>
      <c r="E3" s="29"/>
      <c r="F3" s="29"/>
      <c r="G3" s="29"/>
      <c r="P3" s="128" t="s">
        <v>460</v>
      </c>
      <c r="Q3" s="131">
        <v>20</v>
      </c>
    </row>
    <row r="4" spans="1:22" ht="15.75" thickTop="1" x14ac:dyDescent="0.25">
      <c r="B4" s="26"/>
      <c r="C4" s="27"/>
      <c r="D4" s="38"/>
      <c r="E4" s="29"/>
      <c r="F4" s="29"/>
      <c r="G4" s="29"/>
    </row>
    <row r="5" spans="1:22" ht="15" x14ac:dyDescent="0.25">
      <c r="B5" s="26"/>
      <c r="C5" s="27"/>
      <c r="D5" s="38"/>
      <c r="E5" s="29"/>
      <c r="F5" s="29"/>
      <c r="G5" s="29"/>
    </row>
    <row r="6" spans="1:22" ht="15" x14ac:dyDescent="0.25">
      <c r="B6" s="26"/>
      <c r="C6" s="27"/>
      <c r="D6" s="38"/>
      <c r="E6" s="29"/>
      <c r="F6" s="29"/>
      <c r="G6" s="29"/>
    </row>
    <row r="7" spans="1:22" ht="15" x14ac:dyDescent="0.25">
      <c r="B7" s="26"/>
      <c r="C7" s="27"/>
      <c r="D7" s="38"/>
      <c r="E7" s="29"/>
      <c r="F7" s="29"/>
      <c r="G7" s="29"/>
    </row>
    <row r="8" spans="1:22" ht="15" x14ac:dyDescent="0.25">
      <c r="B8" s="26"/>
      <c r="C8" s="27"/>
      <c r="D8" s="38"/>
      <c r="E8" s="29"/>
      <c r="F8" s="29"/>
      <c r="G8" s="29"/>
    </row>
    <row r="9" spans="1:22" ht="15" x14ac:dyDescent="0.25">
      <c r="Q9" s="28"/>
      <c r="R9" s="28"/>
      <c r="S9" s="28"/>
      <c r="T9" s="28"/>
      <c r="U9" s="28"/>
      <c r="V9" s="28"/>
    </row>
    <row r="10" spans="1:22" ht="15" x14ac:dyDescent="0.25">
      <c r="Q10" s="28"/>
      <c r="R10" s="28"/>
      <c r="S10" s="28"/>
      <c r="T10" s="28"/>
      <c r="U10" s="28"/>
      <c r="V10" s="28"/>
    </row>
    <row r="11" spans="1:22" ht="15" x14ac:dyDescent="0.25">
      <c r="Q11" s="28"/>
      <c r="R11" s="28"/>
      <c r="S11" s="28"/>
      <c r="T11" s="28"/>
      <c r="U11" s="28"/>
      <c r="V11" s="28"/>
    </row>
    <row r="12" spans="1:22" ht="15" x14ac:dyDescent="0.25">
      <c r="A12" s="26" t="s">
        <v>121</v>
      </c>
      <c r="B12" s="27" t="s">
        <v>157</v>
      </c>
      <c r="C12" s="27" t="s">
        <v>122</v>
      </c>
      <c r="D12" s="27" t="s">
        <v>158</v>
      </c>
      <c r="E12" s="27" t="s">
        <v>123</v>
      </c>
      <c r="F12" s="27" t="s">
        <v>124</v>
      </c>
      <c r="G12" s="27" t="s">
        <v>125</v>
      </c>
      <c r="H12" s="27" t="s">
        <v>126</v>
      </c>
      <c r="I12" s="27" t="s">
        <v>127</v>
      </c>
      <c r="J12" s="27" t="s">
        <v>128</v>
      </c>
      <c r="K12" s="27" t="s">
        <v>129</v>
      </c>
      <c r="L12" s="27" t="s">
        <v>159</v>
      </c>
      <c r="M12" s="27" t="s">
        <v>161</v>
      </c>
      <c r="N12" s="27" t="s">
        <v>162</v>
      </c>
      <c r="O12" s="27" t="s">
        <v>152</v>
      </c>
      <c r="Q12" s="28"/>
      <c r="R12" s="28"/>
      <c r="S12" s="28"/>
      <c r="T12" s="28"/>
      <c r="U12" s="28"/>
      <c r="V12" s="28"/>
    </row>
    <row r="13" spans="1:22" ht="15" x14ac:dyDescent="0.25">
      <c r="A13" s="122"/>
      <c r="B13" s="27"/>
      <c r="C13" s="27"/>
      <c r="D13" s="27"/>
      <c r="E13" s="27"/>
      <c r="F13" s="27"/>
      <c r="G13" s="27"/>
      <c r="H13" s="27"/>
      <c r="I13" s="27"/>
      <c r="J13" s="27"/>
      <c r="K13" s="123"/>
      <c r="L13" s="27"/>
      <c r="M13" s="27"/>
      <c r="N13" s="27"/>
      <c r="O13" s="27"/>
      <c r="Q13" s="28"/>
      <c r="R13" s="28"/>
      <c r="S13" s="28"/>
      <c r="T13" s="28"/>
      <c r="U13" s="28"/>
      <c r="V13" s="28"/>
    </row>
    <row r="14" spans="1:22" ht="15" x14ac:dyDescent="0.25">
      <c r="A14" s="122"/>
      <c r="B14" s="27"/>
      <c r="C14" s="27"/>
      <c r="D14" s="27"/>
      <c r="E14" s="27"/>
      <c r="F14" s="27"/>
      <c r="G14" s="27"/>
      <c r="H14" s="27"/>
      <c r="I14" s="27"/>
      <c r="J14" s="27"/>
      <c r="K14" s="123"/>
      <c r="L14" s="27"/>
      <c r="M14" s="27"/>
      <c r="N14" s="27"/>
      <c r="O14" s="27"/>
      <c r="Q14" s="28"/>
      <c r="R14" s="28"/>
      <c r="S14" s="28"/>
      <c r="T14" s="28"/>
      <c r="U14" s="28"/>
      <c r="V14" s="28"/>
    </row>
    <row r="15" spans="1:22" ht="15" x14ac:dyDescent="0.25">
      <c r="A15" s="122"/>
      <c r="B15" s="27"/>
      <c r="C15" s="27"/>
      <c r="D15" s="27"/>
      <c r="E15" s="27"/>
      <c r="F15" s="27"/>
      <c r="G15" s="27"/>
      <c r="H15" s="27"/>
      <c r="I15" s="27"/>
      <c r="J15" s="27"/>
      <c r="K15" s="123"/>
      <c r="L15" s="27"/>
      <c r="M15" s="27"/>
      <c r="N15" s="27"/>
      <c r="O15" s="27"/>
      <c r="Q15" s="28"/>
      <c r="R15" s="28"/>
      <c r="S15" s="28"/>
      <c r="T15" s="28"/>
      <c r="U15" s="28"/>
      <c r="V15" s="28"/>
    </row>
    <row r="16" spans="1:22" ht="15" x14ac:dyDescent="0.25">
      <c r="A16" s="122"/>
      <c r="B16" s="27"/>
      <c r="C16" s="27"/>
      <c r="D16" s="27"/>
      <c r="E16" s="27"/>
      <c r="F16" s="27"/>
      <c r="G16" s="27"/>
      <c r="H16" s="27"/>
      <c r="I16" s="27"/>
      <c r="J16" s="27"/>
      <c r="K16" s="123"/>
      <c r="L16" s="27"/>
      <c r="M16" s="27"/>
      <c r="N16" s="27"/>
      <c r="O16" s="27"/>
      <c r="Q16" s="28"/>
      <c r="R16" s="28"/>
      <c r="S16" s="28"/>
      <c r="T16" s="28"/>
      <c r="U16" s="28"/>
      <c r="V16" s="28"/>
    </row>
    <row r="17" spans="1:22" ht="15" x14ac:dyDescent="0.25">
      <c r="A17" s="122"/>
      <c r="B17" s="27"/>
      <c r="C17" s="27"/>
      <c r="D17" s="27"/>
      <c r="E17" s="27"/>
      <c r="F17" s="27"/>
      <c r="G17" s="27"/>
      <c r="H17" s="27"/>
      <c r="I17" s="27"/>
      <c r="J17" s="27"/>
      <c r="K17" s="123"/>
      <c r="L17" s="27"/>
      <c r="M17" s="27"/>
      <c r="N17" s="27"/>
      <c r="O17" s="27"/>
      <c r="Q17" s="28"/>
      <c r="R17" s="28"/>
      <c r="S17" s="28"/>
      <c r="T17" s="28"/>
      <c r="U17" s="28"/>
      <c r="V17" s="28"/>
    </row>
    <row r="18" spans="1:22" ht="15" x14ac:dyDescent="0.25">
      <c r="A18" s="122"/>
      <c r="B18" s="27"/>
      <c r="C18" s="27"/>
      <c r="D18" s="27"/>
      <c r="E18" s="27"/>
      <c r="F18" s="27"/>
      <c r="G18" s="27"/>
      <c r="H18" s="27"/>
      <c r="I18" s="27"/>
      <c r="J18" s="27"/>
      <c r="K18" s="123"/>
      <c r="L18" s="27"/>
      <c r="M18" s="27"/>
      <c r="N18" s="27"/>
      <c r="O18" s="27"/>
    </row>
    <row r="19" spans="1:22" ht="15" x14ac:dyDescent="0.25">
      <c r="A19" s="122"/>
      <c r="B19" s="27"/>
      <c r="C19" s="27"/>
      <c r="D19" s="27"/>
      <c r="E19" s="27"/>
      <c r="F19" s="27"/>
      <c r="G19" s="27"/>
      <c r="H19" s="27"/>
      <c r="I19" s="27"/>
      <c r="J19" s="27"/>
      <c r="K19" s="123"/>
      <c r="L19" s="27"/>
      <c r="M19" s="27"/>
      <c r="N19" s="27"/>
      <c r="O19" s="27"/>
      <c r="Q19" s="28"/>
      <c r="R19" s="28"/>
      <c r="S19" s="28"/>
      <c r="T19" s="28"/>
      <c r="U19" s="28"/>
      <c r="V19" s="28"/>
    </row>
    <row r="20" spans="1:22" ht="15" x14ac:dyDescent="0.25">
      <c r="A20" s="122"/>
      <c r="B20" s="27"/>
      <c r="C20" s="27"/>
      <c r="D20" s="27"/>
      <c r="E20" s="27"/>
      <c r="F20" s="27"/>
      <c r="G20" s="27"/>
      <c r="H20" s="27"/>
      <c r="I20" s="27"/>
      <c r="J20" s="27"/>
      <c r="K20" s="123"/>
      <c r="L20" s="27"/>
      <c r="M20" s="27"/>
      <c r="N20" s="27"/>
      <c r="O20" s="27"/>
      <c r="V20" s="28"/>
    </row>
    <row r="21" spans="1:22" ht="15" x14ac:dyDescent="0.25">
      <c r="A21" s="122"/>
      <c r="B21" s="27"/>
      <c r="C21" s="27"/>
      <c r="D21" s="27"/>
      <c r="E21" s="27"/>
      <c r="F21" s="27"/>
      <c r="G21" s="27"/>
      <c r="H21" s="27"/>
      <c r="I21" s="27"/>
      <c r="J21" s="27"/>
      <c r="K21" s="123"/>
      <c r="L21" s="27"/>
      <c r="M21" s="27"/>
      <c r="N21" s="27"/>
      <c r="O21" s="27"/>
      <c r="V21" s="28"/>
    </row>
    <row r="22" spans="1:22" ht="15" x14ac:dyDescent="0.25">
      <c r="A22" s="122"/>
      <c r="B22" s="27"/>
      <c r="C22" s="27"/>
      <c r="D22" s="27"/>
      <c r="E22" s="27"/>
      <c r="F22" s="27"/>
      <c r="G22" s="27"/>
      <c r="H22" s="27"/>
      <c r="I22" s="27"/>
      <c r="J22" s="27"/>
      <c r="K22" s="123"/>
      <c r="L22" s="27"/>
      <c r="M22" s="27"/>
      <c r="N22" s="27"/>
      <c r="O22" s="27"/>
      <c r="V22" s="28"/>
    </row>
    <row r="23" spans="1:22" ht="15" x14ac:dyDescent="0.25">
      <c r="A23" s="122"/>
      <c r="B23" s="27"/>
      <c r="C23" s="27"/>
      <c r="D23" s="27"/>
      <c r="E23" s="27"/>
      <c r="F23" s="27"/>
      <c r="G23" s="27"/>
      <c r="H23" s="27"/>
      <c r="I23" s="27"/>
      <c r="J23" s="27"/>
      <c r="K23" s="123"/>
      <c r="L23" s="27"/>
      <c r="M23" s="27"/>
      <c r="N23" s="27"/>
      <c r="O23" s="27"/>
      <c r="V23" s="28"/>
    </row>
    <row r="24" spans="1:22" ht="15" x14ac:dyDescent="0.25">
      <c r="A24" s="122"/>
      <c r="B24" s="27"/>
      <c r="C24" s="27"/>
      <c r="D24" s="27"/>
      <c r="E24" s="27"/>
      <c r="F24" s="27"/>
      <c r="G24" s="27"/>
      <c r="H24" s="27"/>
      <c r="I24" s="27"/>
      <c r="J24" s="27"/>
      <c r="K24" s="123"/>
      <c r="L24" s="27"/>
      <c r="M24" s="27"/>
      <c r="N24" s="27"/>
      <c r="O24" s="27"/>
      <c r="V24" s="28"/>
    </row>
    <row r="25" spans="1:22" ht="15" x14ac:dyDescent="0.25">
      <c r="A25" s="122"/>
      <c r="B25" s="27"/>
      <c r="C25" s="27"/>
      <c r="D25" s="27"/>
      <c r="E25" s="27"/>
      <c r="F25" s="27"/>
      <c r="G25" s="27"/>
      <c r="H25" s="27"/>
      <c r="I25" s="27"/>
      <c r="J25" s="27"/>
      <c r="K25" s="123"/>
      <c r="L25" s="27"/>
      <c r="M25" s="27"/>
      <c r="N25" s="27"/>
      <c r="O25" s="27"/>
      <c r="V25" s="28"/>
    </row>
    <row r="26" spans="1:22" ht="15" x14ac:dyDescent="0.25">
      <c r="A26" s="122"/>
      <c r="B26" s="27"/>
      <c r="C26" s="27"/>
      <c r="D26" s="27"/>
      <c r="E26" s="27"/>
      <c r="F26" s="27"/>
      <c r="G26" s="27"/>
      <c r="H26" s="27"/>
      <c r="I26" s="27"/>
      <c r="J26" s="27"/>
      <c r="K26" s="123"/>
      <c r="L26" s="27"/>
      <c r="M26" s="27"/>
      <c r="N26" s="27"/>
      <c r="O26" s="27"/>
      <c r="V26" s="28"/>
    </row>
    <row r="27" spans="1:22" ht="15" x14ac:dyDescent="0.25">
      <c r="A27" s="122"/>
      <c r="B27" s="27"/>
      <c r="C27" s="27"/>
      <c r="D27" s="27"/>
      <c r="E27" s="27"/>
      <c r="F27" s="27"/>
      <c r="G27" s="27"/>
      <c r="H27" s="27"/>
      <c r="I27" s="27"/>
      <c r="J27" s="27"/>
      <c r="K27" s="123"/>
      <c r="L27" s="27"/>
      <c r="M27" s="27"/>
      <c r="N27" s="27"/>
      <c r="O27" s="27"/>
      <c r="V27" s="28"/>
    </row>
    <row r="28" spans="1:22" ht="15" x14ac:dyDescent="0.25"/>
    <row r="29" spans="1:22" ht="15" x14ac:dyDescent="0.25"/>
    <row r="30" spans="1:22" ht="15" x14ac:dyDescent="0.25"/>
    <row r="31" spans="1:22" ht="15" x14ac:dyDescent="0.25"/>
    <row r="32" spans="1:2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sheetData>
  <phoneticPr fontId="14" type="noConversion"/>
  <conditionalFormatting sqref="I13:I27">
    <cfRule type="dataBar" priority="2">
      <dataBar>
        <cfvo type="num" val="50"/>
        <cfvo type="num" val="100"/>
        <color rgb="FFE1E1E9"/>
      </dataBar>
      <extLst>
        <ext xmlns:x14="http://schemas.microsoft.com/office/spreadsheetml/2009/9/main" uri="{B025F937-C7B1-47D3-B67F-A62EFF666E3E}">
          <x14:id>{9CA240DC-4A4E-42C1-841C-E9EAF55E2755}</x14:id>
        </ext>
      </extLst>
    </cfRule>
  </conditionalFormatting>
  <dataValidations count="3">
    <dataValidation type="list" allowBlank="1" showInputMessage="1" sqref="I1">
      <formula1>dd_econ</formula1>
    </dataValidation>
    <dataValidation type="custom" allowBlank="1" showInputMessage="1" showErrorMessage="1" errorTitle="Out of range" error="US_addon + RlvLvl cannot exceed 90" promptTitle="US ECON EVENT" prompt="Additonal relevance level required for US ECON events - on top of ECON Relevance Level" sqref="Q3">
      <formula1>Q2+Q3&lt;90</formula1>
    </dataValidation>
    <dataValidation type="whole" errorStyle="warning" allowBlank="1" showInputMessage="1" showErrorMessage="1" errorTitle="Out of range" error="50~90 only" promptTitle="ECON Event Relevance Level" prompt="Thredshold level to be relevant to include in weekly update" sqref="Q2">
      <formula1>50</formula1>
      <formula2>90</formula2>
    </dataValidation>
  </dataValidations>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9CA240DC-4A4E-42C1-841C-E9EAF55E2755}">
            <x14:dataBar minLength="0" maxLength="100" border="1" negativeBarBorderColorSameAsPositive="0">
              <x14:cfvo type="num">
                <xm:f>50</xm:f>
              </x14:cfvo>
              <x14:cfvo type="num">
                <xm:f>100</xm:f>
              </x14:cfvo>
              <x14:borderColor rgb="FF888AA6"/>
              <x14:negativeFillColor rgb="FFFF0000"/>
              <x14:negativeBorderColor rgb="FFFF0000"/>
              <x14:axisColor rgb="FF000000"/>
            </x14:dataBar>
          </x14:cfRule>
          <xm:sqref>I13:I27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69E62"/>
  </sheetPr>
  <dimension ref="A1:V37"/>
  <sheetViews>
    <sheetView zoomScale="85" zoomScaleNormal="85" workbookViewId="0">
      <selection activeCell="A11" sqref="A11:O23"/>
    </sheetView>
  </sheetViews>
  <sheetFormatPr defaultColWidth="8.88671875" defaultRowHeight="15" x14ac:dyDescent="0.25"/>
  <cols>
    <col min="1" max="1" width="10.44140625" style="25" bestFit="1" customWidth="1"/>
    <col min="2" max="2" width="8.5546875" style="25" bestFit="1" customWidth="1"/>
    <col min="3" max="3" width="25.109375" style="25" bestFit="1" customWidth="1"/>
    <col min="4" max="4" width="12.33203125" style="25" customWidth="1"/>
    <col min="5" max="5" width="8.33203125" style="25" bestFit="1" customWidth="1"/>
    <col min="6" max="6" width="8" style="25" bestFit="1" customWidth="1"/>
    <col min="7" max="7" width="7.44140625" style="25" bestFit="1" customWidth="1"/>
    <col min="8" max="8" width="9.109375" style="25" bestFit="1" customWidth="1"/>
    <col min="9" max="9" width="11" style="25" bestFit="1" customWidth="1" collapsed="1"/>
    <col min="10" max="10" width="15.5546875" style="25" bestFit="1" customWidth="1"/>
    <col min="11" max="11" width="10.77734375" style="25" bestFit="1" customWidth="1"/>
    <col min="12" max="12" width="7.33203125" style="25" bestFit="1" customWidth="1"/>
    <col min="13" max="13" width="6.109375" style="25" bestFit="1" customWidth="1"/>
    <col min="14" max="14" width="7.77734375" style="25" bestFit="1" customWidth="1"/>
    <col min="15" max="15" width="28.5546875" style="25" bestFit="1" customWidth="1" collapsed="1"/>
    <col min="16" max="16" width="6.5546875" style="25" customWidth="1"/>
    <col min="17" max="17" width="6.77734375" style="25" customWidth="1"/>
    <col min="18" max="18" width="28.109375" style="25" bestFit="1" customWidth="1"/>
    <col min="19" max="19" width="12.6640625" style="25" bestFit="1" customWidth="1"/>
    <col min="20" max="22" width="7.6640625" style="25" customWidth="1"/>
    <col min="23" max="23" width="6.109375" style="25" bestFit="1" customWidth="1"/>
    <col min="24" max="24" width="9.44140625" style="25" bestFit="1" customWidth="1"/>
    <col min="25" max="25" width="35.109375" style="25" bestFit="1" customWidth="1"/>
    <col min="26" max="16384" width="8.88671875" style="25"/>
  </cols>
  <sheetData>
    <row r="1" spans="1:22" ht="59.25" customHeight="1" x14ac:dyDescent="0.25">
      <c r="A1" s="24" t="s">
        <v>160</v>
      </c>
      <c r="H1" s="58" t="s">
        <v>163</v>
      </c>
    </row>
    <row r="2" spans="1:22" x14ac:dyDescent="0.25">
      <c r="B2" s="26" t="s">
        <v>85</v>
      </c>
      <c r="C2" s="26" t="s">
        <v>163</v>
      </c>
      <c r="D2" s="26" t="s">
        <v>166</v>
      </c>
      <c r="E2" s="26" t="s">
        <v>154</v>
      </c>
      <c r="F2" s="26" t="s">
        <v>155</v>
      </c>
      <c r="V2" s="28"/>
    </row>
    <row r="3" spans="1:22" x14ac:dyDescent="0.25">
      <c r="B3" s="26"/>
      <c r="D3" s="39"/>
      <c r="E3" s="30"/>
      <c r="F3" s="30"/>
      <c r="V3" s="33"/>
    </row>
    <row r="4" spans="1:22" x14ac:dyDescent="0.25">
      <c r="B4" s="26"/>
      <c r="D4" s="39"/>
      <c r="E4" s="30"/>
      <c r="F4" s="30"/>
      <c r="V4" s="33"/>
    </row>
    <row r="5" spans="1:22" x14ac:dyDescent="0.25">
      <c r="B5" s="26"/>
      <c r="D5" s="39"/>
      <c r="E5" s="30"/>
      <c r="F5" s="30"/>
      <c r="V5" s="33"/>
    </row>
    <row r="6" spans="1:22" x14ac:dyDescent="0.25">
      <c r="B6" s="26"/>
      <c r="D6" s="39"/>
      <c r="E6" s="30"/>
      <c r="F6" s="30"/>
      <c r="V6" s="33"/>
    </row>
    <row r="7" spans="1:22" x14ac:dyDescent="0.25">
      <c r="B7" s="26"/>
      <c r="D7" s="39"/>
      <c r="E7" s="30"/>
      <c r="F7" s="30"/>
      <c r="V7" s="33"/>
    </row>
    <row r="8" spans="1:22" x14ac:dyDescent="0.25">
      <c r="B8" s="26"/>
      <c r="D8" s="39"/>
      <c r="E8" s="30"/>
      <c r="F8" s="30"/>
      <c r="V8" s="33"/>
    </row>
    <row r="9" spans="1:22" x14ac:dyDescent="0.25">
      <c r="Q9" s="28"/>
      <c r="R9" s="28"/>
      <c r="S9" s="28"/>
      <c r="T9" s="28"/>
      <c r="U9" s="28"/>
      <c r="V9" s="28"/>
    </row>
    <row r="10" spans="1:22" x14ac:dyDescent="0.25">
      <c r="A10" s="27" t="s">
        <v>121</v>
      </c>
      <c r="B10" s="27" t="s">
        <v>157</v>
      </c>
      <c r="C10" s="27" t="s">
        <v>122</v>
      </c>
      <c r="D10" s="27" t="s">
        <v>158</v>
      </c>
      <c r="E10" s="27" t="s">
        <v>123</v>
      </c>
      <c r="F10" s="27" t="s">
        <v>124</v>
      </c>
      <c r="G10" s="27" t="s">
        <v>125</v>
      </c>
      <c r="H10" s="27" t="s">
        <v>126</v>
      </c>
      <c r="I10" s="27" t="s">
        <v>127</v>
      </c>
      <c r="J10" s="27" t="s">
        <v>128</v>
      </c>
      <c r="K10" s="27" t="s">
        <v>129</v>
      </c>
      <c r="L10" s="27" t="s">
        <v>159</v>
      </c>
      <c r="M10" s="27" t="s">
        <v>161</v>
      </c>
      <c r="N10" s="27" t="s">
        <v>162</v>
      </c>
      <c r="O10" s="27" t="s">
        <v>163</v>
      </c>
      <c r="Q10" s="28"/>
      <c r="R10" s="28"/>
      <c r="S10" s="28"/>
      <c r="T10" s="28"/>
      <c r="U10" s="28"/>
      <c r="V10" s="28"/>
    </row>
    <row r="11" spans="1:22" x14ac:dyDescent="0.25">
      <c r="A11" s="37"/>
      <c r="K11" s="35"/>
      <c r="Q11" s="28"/>
      <c r="R11" s="28"/>
      <c r="S11" s="28"/>
      <c r="T11" s="28"/>
      <c r="U11" s="28"/>
      <c r="V11" s="28"/>
    </row>
    <row r="12" spans="1:22" x14ac:dyDescent="0.25">
      <c r="A12" s="37"/>
      <c r="K12" s="35"/>
      <c r="Q12" s="28"/>
      <c r="R12" s="28"/>
      <c r="S12" s="28"/>
      <c r="T12" s="28"/>
      <c r="U12" s="28"/>
      <c r="V12" s="28"/>
    </row>
    <row r="13" spans="1:22" x14ac:dyDescent="0.25">
      <c r="A13" s="37"/>
      <c r="K13" s="35"/>
      <c r="Q13" s="28"/>
      <c r="R13" s="28"/>
      <c r="S13" s="28"/>
      <c r="T13" s="28"/>
      <c r="U13" s="28"/>
      <c r="V13" s="28"/>
    </row>
    <row r="14" spans="1:22" x14ac:dyDescent="0.25">
      <c r="A14" s="37"/>
      <c r="K14" s="35"/>
      <c r="Q14" s="28"/>
      <c r="R14" s="28"/>
      <c r="S14" s="28"/>
      <c r="T14" s="28"/>
      <c r="U14" s="28"/>
      <c r="V14" s="28"/>
    </row>
    <row r="15" spans="1:22" x14ac:dyDescent="0.25">
      <c r="A15" s="37"/>
      <c r="K15" s="35"/>
      <c r="Q15" s="28"/>
      <c r="R15" s="28"/>
      <c r="S15" s="28"/>
      <c r="T15" s="28"/>
      <c r="U15" s="28"/>
      <c r="V15" s="28"/>
    </row>
    <row r="16" spans="1:22" x14ac:dyDescent="0.25">
      <c r="A16" s="37"/>
      <c r="K16" s="35"/>
      <c r="Q16" s="28"/>
      <c r="R16" s="28"/>
      <c r="S16" s="28"/>
      <c r="T16" s="28"/>
      <c r="U16" s="28"/>
      <c r="V16" s="28"/>
    </row>
    <row r="17" spans="1:22" x14ac:dyDescent="0.25">
      <c r="A17" s="37"/>
      <c r="K17" s="35"/>
      <c r="Q17" s="28"/>
      <c r="R17" s="28"/>
      <c r="S17" s="28"/>
      <c r="T17" s="28"/>
      <c r="U17" s="28"/>
      <c r="V17" s="28"/>
    </row>
    <row r="18" spans="1:22" x14ac:dyDescent="0.25">
      <c r="A18" s="37"/>
      <c r="K18" s="35"/>
    </row>
    <row r="19" spans="1:22" x14ac:dyDescent="0.25">
      <c r="A19" s="37"/>
      <c r="K19" s="35"/>
      <c r="Q19" s="28"/>
      <c r="R19" s="28"/>
      <c r="S19" s="28"/>
      <c r="T19" s="28"/>
      <c r="U19" s="28"/>
      <c r="V19" s="28"/>
    </row>
    <row r="20" spans="1:22" x14ac:dyDescent="0.25">
      <c r="A20" s="37"/>
      <c r="K20" s="35"/>
      <c r="V20" s="28"/>
    </row>
    <row r="21" spans="1:22" x14ac:dyDescent="0.25">
      <c r="A21" s="37"/>
      <c r="K21" s="35"/>
      <c r="V21" s="28"/>
    </row>
    <row r="22" spans="1:22" x14ac:dyDescent="0.25">
      <c r="A22" s="37"/>
      <c r="K22" s="35"/>
      <c r="V22" s="28"/>
    </row>
    <row r="23" spans="1:22" x14ac:dyDescent="0.25">
      <c r="A23" s="37"/>
      <c r="K23" s="35"/>
      <c r="V23" s="28"/>
    </row>
    <row r="24" spans="1:22" x14ac:dyDescent="0.25">
      <c r="Q24" s="28"/>
      <c r="R24" s="28"/>
      <c r="S24" s="28"/>
      <c r="T24" s="28"/>
      <c r="U24" s="28"/>
      <c r="V24" s="28"/>
    </row>
    <row r="25" spans="1:22" x14ac:dyDescent="0.25">
      <c r="A25" s="37"/>
      <c r="K25" s="35"/>
      <c r="Q25" s="28"/>
      <c r="R25" s="28"/>
      <c r="S25" s="36"/>
      <c r="T25" s="33"/>
      <c r="U25" s="33"/>
      <c r="V25" s="28"/>
    </row>
    <row r="26" spans="1:22" x14ac:dyDescent="0.25">
      <c r="A26" s="37"/>
      <c r="K26" s="35"/>
      <c r="Q26" s="28"/>
      <c r="R26" s="28"/>
      <c r="S26" s="36"/>
      <c r="T26" s="33"/>
      <c r="U26" s="33"/>
      <c r="V26" s="28"/>
    </row>
    <row r="27" spans="1:22" x14ac:dyDescent="0.25">
      <c r="A27" s="37"/>
      <c r="K27" s="35"/>
      <c r="Q27" s="28"/>
      <c r="R27" s="28"/>
      <c r="S27" s="36"/>
      <c r="T27" s="33"/>
      <c r="U27" s="33"/>
      <c r="V27" s="28"/>
    </row>
    <row r="28" spans="1:22" x14ac:dyDescent="0.25">
      <c r="A28" s="37"/>
      <c r="K28" s="35"/>
      <c r="Q28" s="28"/>
      <c r="R28" s="28"/>
      <c r="S28" s="36"/>
      <c r="T28" s="33"/>
      <c r="U28" s="33"/>
    </row>
    <row r="29" spans="1:22" x14ac:dyDescent="0.25">
      <c r="A29" s="37"/>
      <c r="K29" s="35"/>
      <c r="Q29" s="28"/>
      <c r="R29" s="28"/>
      <c r="S29" s="36"/>
      <c r="T29" s="33"/>
      <c r="U29" s="33"/>
    </row>
    <row r="30" spans="1:22" x14ac:dyDescent="0.25">
      <c r="A30" s="37"/>
      <c r="K30" s="35"/>
      <c r="Q30" s="28"/>
      <c r="R30" s="28"/>
      <c r="S30" s="36"/>
      <c r="T30" s="33"/>
      <c r="U30" s="33"/>
    </row>
    <row r="31" spans="1:22" x14ac:dyDescent="0.25">
      <c r="A31" s="37"/>
      <c r="K31" s="35"/>
    </row>
    <row r="32" spans="1:22" x14ac:dyDescent="0.25">
      <c r="A32" s="37"/>
      <c r="K32" s="35"/>
    </row>
    <row r="33" spans="1:11" x14ac:dyDescent="0.25">
      <c r="A33" s="37"/>
      <c r="K33" s="35"/>
    </row>
    <row r="34" spans="1:11" x14ac:dyDescent="0.25">
      <c r="A34" s="37"/>
      <c r="K34" s="35"/>
    </row>
    <row r="35" spans="1:11" x14ac:dyDescent="0.25">
      <c r="A35" s="37"/>
      <c r="K35" s="35"/>
    </row>
    <row r="36" spans="1:11" x14ac:dyDescent="0.25">
      <c r="A36" s="37"/>
      <c r="K36" s="35"/>
    </row>
    <row r="37" spans="1:11" x14ac:dyDescent="0.25">
      <c r="A37" s="37"/>
      <c r="K37" s="35"/>
    </row>
  </sheetData>
  <phoneticPr fontId="33" type="noConversion"/>
  <conditionalFormatting sqref="I25:I37 I11:I23">
    <cfRule type="dataBar" priority="2">
      <dataBar>
        <cfvo type="num" val="50"/>
        <cfvo type="num" val="100"/>
        <color rgb="FFF4EBE0"/>
      </dataBar>
      <extLst>
        <ext xmlns:x14="http://schemas.microsoft.com/office/spreadsheetml/2009/9/main" uri="{B025F937-C7B1-47D3-B67F-A62EFF666E3E}">
          <x14:id>{40B6F04A-DD4C-48B9-9DC1-BD707B9C6366}</x14:id>
        </ext>
      </extLst>
    </cfRule>
  </conditionalFormatting>
  <dataValidations count="1">
    <dataValidation type="list" allowBlank="1" showInputMessage="1" sqref="H1">
      <formula1>dd_econfuture</formula1>
    </dataValidation>
  </dataValidations>
  <pageMargins left="0.7" right="0.7" top="0.75" bottom="0.75" header="0.3" footer="0.3"/>
  <pageSetup orientation="portrait"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dataBar" id="{40B6F04A-DD4C-48B9-9DC1-BD707B9C6366}">
            <x14:dataBar minLength="0" maxLength="100" border="1" negativeBarBorderColorSameAsPositive="0">
              <x14:cfvo type="num">
                <xm:f>50</xm:f>
              </x14:cfvo>
              <x14:cfvo type="num">
                <xm:f>100</xm:f>
              </x14:cfvo>
              <x14:borderColor rgb="FFC69E62"/>
              <x14:negativeFillColor rgb="FFFF0000"/>
              <x14:negativeBorderColor rgb="FFFF0000"/>
              <x14:axisColor rgb="FF000000"/>
            </x14:dataBar>
          </x14:cfRule>
          <xm:sqref>I25:I37 I11:I23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2:L8"/>
  <sheetViews>
    <sheetView workbookViewId="0">
      <selection activeCell="C12" sqref="C12"/>
    </sheetView>
  </sheetViews>
  <sheetFormatPr defaultRowHeight="15" x14ac:dyDescent="0.25"/>
  <cols>
    <col min="1" max="1" width="7.109375" bestFit="1" customWidth="1"/>
    <col min="2" max="2" width="10.88671875" bestFit="1" customWidth="1"/>
    <col min="3" max="3" width="10.33203125" bestFit="1" customWidth="1"/>
    <col min="4" max="4" width="14.21875" bestFit="1" customWidth="1"/>
    <col min="5" max="5" width="25.88671875" bestFit="1" customWidth="1"/>
    <col min="6" max="6" width="9.21875" bestFit="1" customWidth="1"/>
    <col min="7" max="7" width="5.88671875" bestFit="1" customWidth="1"/>
    <col min="8" max="8" width="12" bestFit="1" customWidth="1"/>
    <col min="9" max="9" width="7.5546875" bestFit="1" customWidth="1"/>
    <col min="10" max="10" width="5.88671875" bestFit="1" customWidth="1"/>
    <col min="11" max="11" width="20.33203125" bestFit="1" customWidth="1"/>
    <col min="12" max="12" width="8.44140625" bestFit="1" customWidth="1"/>
  </cols>
  <sheetData>
    <row r="2" spans="1:12" x14ac:dyDescent="0.25">
      <c r="A2" t="s">
        <v>85</v>
      </c>
      <c r="B2" t="s">
        <v>425</v>
      </c>
      <c r="C2" t="s">
        <v>49</v>
      </c>
      <c r="D2" t="s">
        <v>48</v>
      </c>
      <c r="E2" t="s">
        <v>93</v>
      </c>
      <c r="F2" t="s">
        <v>134</v>
      </c>
      <c r="G2" t="s">
        <v>64</v>
      </c>
      <c r="H2" t="s">
        <v>57</v>
      </c>
      <c r="I2" t="s">
        <v>172</v>
      </c>
      <c r="J2" t="s">
        <v>86</v>
      </c>
      <c r="K2" t="s">
        <v>139</v>
      </c>
      <c r="L2" t="s">
        <v>695</v>
      </c>
    </row>
    <row r="3" spans="1:12" x14ac:dyDescent="0.25">
      <c r="A3">
        <v>16</v>
      </c>
      <c r="B3" t="s">
        <v>691</v>
      </c>
      <c r="C3" s="45">
        <v>45226</v>
      </c>
      <c r="D3" t="s">
        <v>994</v>
      </c>
      <c r="E3" s="156" t="s">
        <v>531</v>
      </c>
      <c r="F3" t="s">
        <v>82</v>
      </c>
      <c r="G3" t="s">
        <v>84</v>
      </c>
      <c r="H3">
        <v>2.6</v>
      </c>
      <c r="I3">
        <v>2.6</v>
      </c>
      <c r="J3" t="s">
        <v>1064</v>
      </c>
      <c r="K3" t="s">
        <v>996</v>
      </c>
      <c r="L3" t="s">
        <v>677</v>
      </c>
    </row>
    <row r="4" spans="1:12" x14ac:dyDescent="0.25">
      <c r="A4">
        <v>15</v>
      </c>
      <c r="B4" t="s">
        <v>691</v>
      </c>
      <c r="C4" s="45">
        <v>45226</v>
      </c>
      <c r="D4" t="s">
        <v>988</v>
      </c>
      <c r="E4" s="156" t="s">
        <v>531</v>
      </c>
      <c r="F4" t="s">
        <v>82</v>
      </c>
      <c r="G4" t="s">
        <v>84</v>
      </c>
      <c r="H4">
        <v>1.3</v>
      </c>
      <c r="I4">
        <v>1.3</v>
      </c>
      <c r="J4" t="s">
        <v>1064</v>
      </c>
      <c r="K4" t="s">
        <v>993</v>
      </c>
      <c r="L4" t="s">
        <v>677</v>
      </c>
    </row>
    <row r="5" spans="1:12" x14ac:dyDescent="0.25">
      <c r="A5">
        <v>12</v>
      </c>
      <c r="B5" t="s">
        <v>691</v>
      </c>
      <c r="C5" s="45">
        <v>45225</v>
      </c>
      <c r="D5" t="s">
        <v>1003</v>
      </c>
      <c r="E5" s="156" t="s">
        <v>680</v>
      </c>
      <c r="F5" t="s">
        <v>82</v>
      </c>
      <c r="G5" t="s">
        <v>105</v>
      </c>
      <c r="H5">
        <v>0.22</v>
      </c>
      <c r="I5">
        <v>0.03</v>
      </c>
      <c r="J5" t="s">
        <v>1067</v>
      </c>
      <c r="K5" t="s">
        <v>1004</v>
      </c>
      <c r="L5" t="s">
        <v>677</v>
      </c>
    </row>
    <row r="6" spans="1:12" x14ac:dyDescent="0.25">
      <c r="A6">
        <v>11</v>
      </c>
      <c r="B6" t="s">
        <v>691</v>
      </c>
      <c r="C6" s="45">
        <v>45225</v>
      </c>
      <c r="D6" t="s">
        <v>997</v>
      </c>
      <c r="E6" s="156" t="s">
        <v>680</v>
      </c>
      <c r="F6" t="s">
        <v>82</v>
      </c>
      <c r="G6" t="s">
        <v>105</v>
      </c>
      <c r="H6">
        <v>0.25700000000000001</v>
      </c>
      <c r="I6">
        <v>3.5000000000000003E-2</v>
      </c>
      <c r="J6" t="s">
        <v>1067</v>
      </c>
      <c r="K6" t="s">
        <v>998</v>
      </c>
      <c r="L6" t="s">
        <v>677</v>
      </c>
    </row>
    <row r="7" spans="1:12" x14ac:dyDescent="0.25">
      <c r="A7">
        <v>10</v>
      </c>
      <c r="B7" t="s">
        <v>691</v>
      </c>
      <c r="C7" s="45">
        <v>45225</v>
      </c>
      <c r="D7" t="s">
        <v>1011</v>
      </c>
      <c r="E7" s="156" t="s">
        <v>680</v>
      </c>
      <c r="F7" t="s">
        <v>82</v>
      </c>
      <c r="G7" t="s">
        <v>105</v>
      </c>
      <c r="H7">
        <v>0.127</v>
      </c>
      <c r="I7">
        <v>1.7000000000000001E-2</v>
      </c>
      <c r="J7" t="s">
        <v>1069</v>
      </c>
      <c r="K7" t="s">
        <v>1012</v>
      </c>
      <c r="L7" t="s">
        <v>677</v>
      </c>
    </row>
    <row r="8" spans="1:12" x14ac:dyDescent="0.25">
      <c r="A8">
        <v>3</v>
      </c>
      <c r="B8" t="s">
        <v>691</v>
      </c>
      <c r="C8" s="45">
        <v>45224</v>
      </c>
      <c r="D8" t="s">
        <v>854</v>
      </c>
      <c r="E8" s="156" t="s">
        <v>680</v>
      </c>
      <c r="F8" t="s">
        <v>82</v>
      </c>
      <c r="G8" t="s">
        <v>105</v>
      </c>
      <c r="H8">
        <v>5.3999999999999999E-2</v>
      </c>
      <c r="I8">
        <v>7.0000000000000001E-3</v>
      </c>
      <c r="J8" t="s">
        <v>701</v>
      </c>
      <c r="K8" t="s">
        <v>856</v>
      </c>
      <c r="L8" t="s">
        <v>677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8"/>
  <sheetViews>
    <sheetView workbookViewId="0">
      <selection activeCell="C12" sqref="C12"/>
    </sheetView>
  </sheetViews>
  <sheetFormatPr defaultRowHeight="15" x14ac:dyDescent="0.25"/>
  <cols>
    <col min="1" max="1" width="26.44140625" style="1" bestFit="1" customWidth="1"/>
    <col min="2" max="2" width="14.44140625" style="1" bestFit="1" customWidth="1"/>
    <col min="3" max="3" width="7.6640625" style="1" bestFit="1" customWidth="1"/>
    <col min="4" max="4" width="9.21875" style="1" bestFit="1" customWidth="1"/>
    <col min="5" max="5" width="5.88671875" style="1" bestFit="1" customWidth="1"/>
    <col min="6" max="7" width="6" style="1" bestFit="1" customWidth="1"/>
    <col min="8" max="8" width="10.88671875" style="1" bestFit="1" customWidth="1"/>
    <col min="9" max="9" width="13.33203125" style="1" bestFit="1" customWidth="1"/>
    <col min="10" max="10" width="5.88671875" style="1" bestFit="1" customWidth="1"/>
    <col min="11" max="11" width="9.109375" style="1" bestFit="1" customWidth="1"/>
    <col min="12" max="14" width="6.109375" style="1" bestFit="1" customWidth="1"/>
    <col min="15" max="15" width="11.109375" style="1" bestFit="1" customWidth="1"/>
    <col min="16" max="16" width="13.5546875" style="1" bestFit="1" customWidth="1"/>
    <col min="17" max="17" width="6.109375" style="1" bestFit="1" customWidth="1"/>
    <col min="18" max="18" width="9.33203125" style="1" bestFit="1" customWidth="1"/>
    <col min="19" max="20" width="6.109375" style="1" bestFit="1" customWidth="1"/>
    <col min="21" max="21" width="4.44140625" style="1" bestFit="1" customWidth="1"/>
    <col min="22" max="22" width="11.109375" style="1" bestFit="1" customWidth="1"/>
    <col min="23" max="23" width="13.5546875" style="1" bestFit="1" customWidth="1"/>
    <col min="24" max="24" width="7.77734375" style="1" bestFit="1" customWidth="1"/>
    <col min="25" max="25" width="9.44140625" style="1" bestFit="1" customWidth="1"/>
    <col min="26" max="26" width="6.109375" style="1" bestFit="1" customWidth="1"/>
    <col min="27" max="27" width="8.109375" style="1" bestFit="1" customWidth="1"/>
    <col min="28" max="28" width="9.44140625" style="1" bestFit="1" customWidth="1"/>
    <col min="29" max="29" width="10.88671875" style="1" bestFit="1" customWidth="1"/>
    <col min="30" max="30" width="9.21875" style="1" bestFit="1" customWidth="1"/>
    <col min="31" max="31" width="10.88671875" style="1" bestFit="1" customWidth="1"/>
    <col min="32" max="32" width="12.5546875" style="1" bestFit="1" customWidth="1"/>
    <col min="33" max="33" width="9.5546875" style="1" bestFit="1" customWidth="1"/>
    <col min="34" max="35" width="11.77734375" style="1" bestFit="1" customWidth="1"/>
    <col min="36" max="36" width="11" style="1" bestFit="1" customWidth="1"/>
    <col min="37" max="37" width="9.33203125" style="1" bestFit="1" customWidth="1"/>
    <col min="38" max="38" width="11.5546875" style="1" bestFit="1" customWidth="1"/>
    <col min="39" max="39" width="5.88671875" style="1" bestFit="1" customWidth="1"/>
    <col min="40" max="40" width="9.21875" style="1" customWidth="1"/>
    <col min="41" max="41" width="5.88671875" style="1" bestFit="1" customWidth="1"/>
    <col min="42" max="43" width="9.21875" style="1" customWidth="1"/>
    <col min="44" max="46" width="5.88671875" style="1" bestFit="1" customWidth="1"/>
    <col min="47" max="47" width="9.21875" style="1" customWidth="1"/>
    <col min="48" max="48" width="4.21875" style="1" bestFit="1" customWidth="1"/>
    <col min="49" max="49" width="10.88671875" style="1" bestFit="1" customWidth="1"/>
    <col min="50" max="50" width="13.33203125" style="1" bestFit="1" customWidth="1"/>
    <col min="51" max="51" width="7.5546875" style="1" bestFit="1" customWidth="1"/>
    <col min="52" max="52" width="9.21875" style="1" customWidth="1"/>
    <col min="53" max="53" width="5.88671875" style="1" bestFit="1" customWidth="1"/>
    <col min="54" max="55" width="9.21875" style="1" customWidth="1"/>
    <col min="56" max="56" width="9.33203125" style="1" bestFit="1" customWidth="1"/>
    <col min="57" max="57" width="11.5546875" style="1" bestFit="1" customWidth="1"/>
    <col min="58" max="58" width="5.88671875" style="1" bestFit="1" customWidth="1"/>
    <col min="59" max="59" width="9.21875" style="1" bestFit="1" customWidth="1"/>
    <col min="60" max="60" width="7.6640625" style="1" bestFit="1" customWidth="1"/>
    <col min="61" max="62" width="9.21875" style="1" bestFit="1" customWidth="1"/>
    <col min="63" max="65" width="5.88671875" style="1" bestFit="1" customWidth="1"/>
    <col min="66" max="66" width="9.21875" style="1" bestFit="1" customWidth="1"/>
    <col min="67" max="67" width="4.21875" style="1" bestFit="1" customWidth="1"/>
    <col min="68" max="68" width="10.88671875" style="1" bestFit="1" customWidth="1"/>
    <col min="69" max="69" width="13.33203125" style="1" bestFit="1" customWidth="1"/>
    <col min="70" max="70" width="7.5546875" style="1" bestFit="1" customWidth="1"/>
    <col min="71" max="71" width="9.21875" style="1" bestFit="1" customWidth="1"/>
    <col min="72" max="72" width="5.88671875" style="1" bestFit="1" customWidth="1"/>
    <col min="73" max="74" width="9.21875" style="1" bestFit="1" customWidth="1"/>
    <col min="75" max="75" width="9.33203125" style="1" bestFit="1" customWidth="1"/>
    <col min="76" max="76" width="11.5546875" style="1" bestFit="1" customWidth="1"/>
    <col min="77" max="77" width="11.77734375" style="1" bestFit="1" customWidth="1"/>
    <col min="78" max="78" width="5.88671875" style="1" bestFit="1" customWidth="1"/>
    <col min="79" max="80" width="8.33203125" style="1" bestFit="1" customWidth="1"/>
    <col min="81" max="16384" width="8.88671875" style="1"/>
  </cols>
  <sheetData>
    <row r="1" spans="1:11" ht="43.5" customHeight="1" x14ac:dyDescent="0.25"/>
    <row r="2" spans="1:11" ht="43.5" customHeight="1" x14ac:dyDescent="0.25"/>
    <row r="3" spans="1:11" ht="43.5" customHeight="1" x14ac:dyDescent="0.25"/>
    <row r="4" spans="1:11" x14ac:dyDescent="0.25">
      <c r="A4" t="s">
        <v>93</v>
      </c>
      <c r="B4" t="s">
        <v>116</v>
      </c>
      <c r="C4" t="s">
        <v>227</v>
      </c>
      <c r="D4" t="s">
        <v>204</v>
      </c>
      <c r="E4" t="s">
        <v>88</v>
      </c>
      <c r="F4" t="s">
        <v>45</v>
      </c>
      <c r="G4" t="s">
        <v>46</v>
      </c>
      <c r="H4" t="s">
        <v>229</v>
      </c>
      <c r="I4" t="s">
        <v>192</v>
      </c>
      <c r="J4" t="s">
        <v>43</v>
      </c>
      <c r="K4" t="s">
        <v>693</v>
      </c>
    </row>
    <row r="5" spans="1:11" x14ac:dyDescent="0.25">
      <c r="A5" s="156" t="s">
        <v>531</v>
      </c>
      <c r="B5" t="s">
        <v>1076</v>
      </c>
      <c r="C5" t="s">
        <v>255</v>
      </c>
      <c r="D5" t="s">
        <v>194</v>
      </c>
      <c r="E5" t="s">
        <v>143</v>
      </c>
      <c r="F5" t="s">
        <v>1035</v>
      </c>
      <c r="G5" t="s">
        <v>7</v>
      </c>
      <c r="H5" s="158"/>
      <c r="I5" s="158">
        <v>45064</v>
      </c>
      <c r="J5" t="s">
        <v>83</v>
      </c>
      <c r="K5" t="s">
        <v>677</v>
      </c>
    </row>
    <row r="6" spans="1:11" x14ac:dyDescent="0.25">
      <c r="A6" s="156" t="s">
        <v>531</v>
      </c>
      <c r="B6" t="s">
        <v>1076</v>
      </c>
      <c r="C6" t="s">
        <v>255</v>
      </c>
      <c r="D6" t="s">
        <v>194</v>
      </c>
      <c r="E6" t="s">
        <v>143</v>
      </c>
      <c r="F6" t="s">
        <v>1035</v>
      </c>
      <c r="G6" t="s">
        <v>7</v>
      </c>
      <c r="H6" s="158"/>
      <c r="I6" s="158">
        <v>45064</v>
      </c>
      <c r="J6" t="s">
        <v>83</v>
      </c>
      <c r="K6" t="s">
        <v>677</v>
      </c>
    </row>
    <row r="7" spans="1:11" x14ac:dyDescent="0.25">
      <c r="A7" s="156" t="s">
        <v>1014</v>
      </c>
      <c r="B7" t="s">
        <v>1071</v>
      </c>
      <c r="C7" t="s">
        <v>256</v>
      </c>
      <c r="D7" t="s">
        <v>195</v>
      </c>
      <c r="E7" t="s">
        <v>25</v>
      </c>
      <c r="F7" t="s">
        <v>1044</v>
      </c>
      <c r="G7" t="s">
        <v>7</v>
      </c>
      <c r="H7" s="158"/>
      <c r="I7" s="158">
        <v>44134</v>
      </c>
      <c r="J7" t="s">
        <v>1</v>
      </c>
      <c r="K7" t="s">
        <v>677</v>
      </c>
    </row>
    <row r="8" spans="1:11" x14ac:dyDescent="0.25">
      <c r="A8" s="156" t="s">
        <v>844</v>
      </c>
      <c r="B8" t="s">
        <v>963</v>
      </c>
      <c r="C8" t="s">
        <v>256</v>
      </c>
      <c r="D8" t="s">
        <v>195</v>
      </c>
      <c r="E8" t="s">
        <v>19</v>
      </c>
      <c r="F8" t="s">
        <v>948</v>
      </c>
      <c r="G8" t="s">
        <v>947</v>
      </c>
      <c r="H8" s="158"/>
      <c r="I8" s="158">
        <v>45224</v>
      </c>
      <c r="J8" t="s">
        <v>1</v>
      </c>
      <c r="K8" t="s">
        <v>677</v>
      </c>
    </row>
  </sheetData>
  <phoneticPr fontId="33" type="noConversion"/>
  <pageMargins left="0.7" right="0.7" top="0.75" bottom="0.75" header="0.3" footer="0.3"/>
  <pageSetup paperSize="9"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DU88"/>
  <sheetViews>
    <sheetView topLeftCell="A11" zoomScale="85" zoomScaleNormal="85" workbookViewId="0">
      <selection activeCell="B26" sqref="B26:C59"/>
    </sheetView>
  </sheetViews>
  <sheetFormatPr defaultRowHeight="15" outlineLevelRow="1" x14ac:dyDescent="0.25"/>
  <cols>
    <col min="1" max="1" width="8.109375" style="1" customWidth="1"/>
    <col min="2" max="2" width="15.77734375" style="1" customWidth="1"/>
    <col min="3" max="3" width="27.77734375" style="1" customWidth="1"/>
    <col min="4" max="4" width="11.109375" style="72" customWidth="1"/>
    <col min="5" max="5" width="12.88671875" style="1" customWidth="1"/>
    <col min="6" max="6" width="14.109375" style="1" customWidth="1"/>
    <col min="7" max="7" width="15.77734375" style="1" customWidth="1"/>
    <col min="8" max="8" width="9.109375" style="1" customWidth="1"/>
    <col min="9" max="9" width="8.77734375" style="1" customWidth="1"/>
    <col min="10" max="10" width="22.6640625" style="1" customWidth="1"/>
    <col min="11" max="11" width="26.44140625" style="1" customWidth="1"/>
    <col min="12" max="13" width="15.77734375" style="1" customWidth="1"/>
    <col min="14" max="14" width="26.109375" style="1" customWidth="1"/>
    <col min="15" max="15" width="9.33203125" style="1" bestFit="1" customWidth="1"/>
    <col min="16" max="16" width="9.44140625" style="1" bestFit="1" customWidth="1"/>
    <col min="17" max="17" width="10.33203125" style="1" bestFit="1" customWidth="1"/>
    <col min="18" max="18" width="10.44140625" style="1" bestFit="1" customWidth="1"/>
    <col min="19" max="20" width="10.44140625" style="1" customWidth="1"/>
    <col min="21" max="21" width="15.77734375" style="1" customWidth="1"/>
    <col min="22" max="22" width="12.6640625" style="1" bestFit="1" customWidth="1"/>
    <col min="23" max="23" width="7.77734375" style="1" customWidth="1"/>
    <col min="24" max="25" width="6.109375" style="1" bestFit="1" customWidth="1"/>
    <col min="26" max="26" width="7.77734375" style="1" bestFit="1" customWidth="1"/>
    <col min="27" max="27" width="6.109375" style="1" bestFit="1" customWidth="1"/>
    <col min="28" max="28" width="12.21875" style="1" bestFit="1" customWidth="1"/>
    <col min="29" max="29" width="5.6640625" style="1" bestFit="1" customWidth="1"/>
    <col min="30" max="30" width="5.88671875" style="1" bestFit="1" customWidth="1"/>
    <col min="31" max="31" width="9.44140625" style="1" bestFit="1" customWidth="1"/>
    <col min="32" max="33" width="11.109375" style="1" bestFit="1" customWidth="1"/>
    <col min="34" max="34" width="7.77734375" style="1" bestFit="1" customWidth="1"/>
    <col min="35" max="35" width="6.109375" style="1" bestFit="1" customWidth="1"/>
    <col min="36" max="36" width="7.77734375" style="1" bestFit="1" customWidth="1"/>
    <col min="37" max="37" width="9.44140625" style="1" bestFit="1" customWidth="1"/>
    <col min="38" max="39" width="6.109375" style="1" bestFit="1" customWidth="1"/>
    <col min="40" max="40" width="5.6640625" style="1" bestFit="1" customWidth="1"/>
    <col min="41" max="41" width="5.88671875" style="1" bestFit="1" customWidth="1"/>
    <col min="42" max="42" width="6.109375" style="1" bestFit="1" customWidth="1"/>
    <col min="43" max="44" width="9.44140625" style="1" bestFit="1" customWidth="1"/>
    <col min="45" max="45" width="7.77734375" style="1" bestFit="1" customWidth="1"/>
    <col min="46" max="47" width="6.109375" style="1" bestFit="1" customWidth="1"/>
    <col min="48" max="48" width="9.44140625" style="1" bestFit="1" customWidth="1"/>
    <col min="49" max="49" width="5.88671875" style="1" bestFit="1" customWidth="1"/>
    <col min="50" max="50" width="10.5546875" style="1" bestFit="1" customWidth="1"/>
    <col min="51" max="51" width="11.33203125" style="1" bestFit="1" customWidth="1"/>
    <col min="52" max="52" width="9.44140625" style="1" bestFit="1" customWidth="1"/>
    <col min="53" max="54" width="11.109375" style="1" bestFit="1" customWidth="1"/>
    <col min="55" max="55" width="14.44140625" style="1" bestFit="1" customWidth="1"/>
    <col min="56" max="56" width="8.33203125" style="1" bestFit="1" customWidth="1"/>
    <col min="57" max="57" width="9.44140625" style="1" bestFit="1" customWidth="1"/>
    <col min="58" max="58" width="15.44140625" style="1" bestFit="1" customWidth="1"/>
    <col min="59" max="59" width="6.109375" style="1" bestFit="1" customWidth="1"/>
    <col min="60" max="60" width="15.88671875" style="1" bestFit="1" customWidth="1"/>
    <col min="61" max="61" width="11.6640625" style="1" bestFit="1" customWidth="1"/>
    <col min="62" max="62" width="6.109375" style="1" bestFit="1" customWidth="1"/>
    <col min="63" max="64" width="9.44140625" style="1" bestFit="1" customWidth="1"/>
    <col min="65" max="65" width="10.21875" style="1" bestFit="1" customWidth="1"/>
    <col min="66" max="66" width="12.6640625" style="1" bestFit="1" customWidth="1"/>
    <col min="67" max="67" width="6.77734375" style="1" bestFit="1" customWidth="1"/>
    <col min="68" max="69" width="12.77734375" style="1" bestFit="1" customWidth="1"/>
    <col min="70" max="70" width="11.33203125" style="1" bestFit="1" customWidth="1"/>
    <col min="71" max="71" width="9.44140625" style="1" bestFit="1" customWidth="1"/>
    <col min="72" max="72" width="9" style="1" bestFit="1" customWidth="1"/>
    <col min="73" max="73" width="9.44140625" style="1" bestFit="1" customWidth="1"/>
    <col min="74" max="75" width="11.109375" style="1" bestFit="1" customWidth="1"/>
    <col min="76" max="76" width="15.33203125" style="1" bestFit="1" customWidth="1"/>
    <col min="77" max="78" width="9.44140625" style="1" bestFit="1" customWidth="1"/>
    <col min="79" max="79" width="6.109375" style="1" bestFit="1" customWidth="1"/>
    <col min="80" max="81" width="7.77734375" style="1" bestFit="1" customWidth="1"/>
    <col min="82" max="82" width="10.5546875" style="1" bestFit="1" customWidth="1"/>
    <col min="83" max="83" width="19.5546875" style="1" bestFit="1" customWidth="1"/>
    <col min="84" max="84" width="23" style="1" bestFit="1" customWidth="1"/>
    <col min="85" max="85" width="11.109375" style="1" bestFit="1" customWidth="1"/>
    <col min="86" max="86" width="12.77734375" style="1" bestFit="1" customWidth="1"/>
    <col min="87" max="87" width="9.44140625" style="1" bestFit="1" customWidth="1"/>
    <col min="88" max="88" width="7.6640625" style="1" bestFit="1" customWidth="1"/>
    <col min="89" max="91" width="6.109375" style="1" bestFit="1" customWidth="1"/>
    <col min="92" max="93" width="9.44140625" style="1" bestFit="1" customWidth="1"/>
    <col min="94" max="94" width="11.109375" style="1" bestFit="1" customWidth="1"/>
    <col min="95" max="95" width="9.44140625" style="1" bestFit="1" customWidth="1"/>
    <col min="96" max="96" width="13.5546875" style="1" bestFit="1" customWidth="1"/>
    <col min="97" max="97" width="6.109375" style="1" bestFit="1" customWidth="1"/>
    <col min="98" max="98" width="9.44140625" style="1" bestFit="1" customWidth="1"/>
    <col min="99" max="100" width="4.44140625" style="1" bestFit="1" customWidth="1"/>
    <col min="101" max="102" width="4.6640625" style="1" bestFit="1" customWidth="1"/>
    <col min="103" max="103" width="7.33203125" style="1" bestFit="1" customWidth="1"/>
    <col min="104" max="105" width="12.77734375" style="1" bestFit="1" customWidth="1"/>
    <col min="106" max="106" width="7.44140625" style="1" bestFit="1" customWidth="1"/>
    <col min="107" max="107" width="14.44140625" style="1" bestFit="1" customWidth="1"/>
    <col min="108" max="108" width="10.33203125" style="1" bestFit="1" customWidth="1"/>
    <col min="109" max="109" width="23" style="1" bestFit="1" customWidth="1"/>
    <col min="110" max="110" width="11.109375" style="1" bestFit="1" customWidth="1"/>
    <col min="111" max="111" width="14.44140625" style="1" bestFit="1" customWidth="1"/>
    <col min="112" max="112" width="7.77734375" style="1" bestFit="1" customWidth="1"/>
    <col min="113" max="113" width="6.109375" style="1" bestFit="1" customWidth="1"/>
    <col min="114" max="115" width="9.44140625" style="1" bestFit="1" customWidth="1"/>
    <col min="116" max="116" width="9.21875" style="1" bestFit="1" customWidth="1"/>
    <col min="117" max="117" width="9.44140625" style="1" bestFit="1" customWidth="1"/>
    <col min="118" max="118" width="12.77734375" style="1" bestFit="1" customWidth="1"/>
    <col min="119" max="119" width="9.33203125" style="1" bestFit="1" customWidth="1"/>
    <col min="120" max="120" width="6.109375" style="1" bestFit="1" customWidth="1"/>
    <col min="121" max="121" width="9.44140625" style="1" bestFit="1" customWidth="1"/>
    <col min="122" max="122" width="19.33203125" style="1" bestFit="1" customWidth="1"/>
    <col min="123" max="123" width="13.77734375" style="1" bestFit="1" customWidth="1"/>
    <col min="124" max="124" width="10.77734375" style="1" bestFit="1" customWidth="1"/>
    <col min="125" max="125" width="18.88671875" style="1" bestFit="1" customWidth="1"/>
    <col min="126" max="126" width="7.77734375" style="1" bestFit="1" customWidth="1"/>
    <col min="127" max="127" width="15.6640625" style="1" bestFit="1" customWidth="1"/>
    <col min="128" max="128" width="9.44140625" style="1" bestFit="1" customWidth="1"/>
    <col min="129" max="129" width="12.77734375" style="1" bestFit="1" customWidth="1"/>
    <col min="130" max="131" width="9.44140625" style="1" bestFit="1" customWidth="1"/>
    <col min="132" max="132" width="6.109375" style="1" bestFit="1" customWidth="1"/>
    <col min="133" max="133" width="12.21875" style="1" bestFit="1" customWidth="1"/>
    <col min="134" max="134" width="7.77734375" style="1" bestFit="1" customWidth="1"/>
    <col min="135" max="135" width="6.109375" style="1" bestFit="1" customWidth="1"/>
    <col min="136" max="136" width="7.77734375" style="1" bestFit="1" customWidth="1"/>
    <col min="137" max="137" width="9.44140625" style="1" bestFit="1" customWidth="1"/>
    <col min="138" max="139" width="6.109375" style="1" bestFit="1" customWidth="1"/>
    <col min="140" max="140" width="5.6640625" style="1" bestFit="1" customWidth="1"/>
    <col min="141" max="141" width="5.88671875" style="1" bestFit="1" customWidth="1"/>
    <col min="142" max="142" width="6.109375" style="1" bestFit="1" customWidth="1"/>
    <col min="143" max="144" width="9.44140625" style="1" bestFit="1" customWidth="1"/>
    <col min="145" max="145" width="7.77734375" style="1" bestFit="1" customWidth="1"/>
    <col min="146" max="147" width="6.109375" style="1" bestFit="1" customWidth="1"/>
    <col min="148" max="148" width="9.44140625" style="1" bestFit="1" customWidth="1"/>
    <col min="149" max="149" width="5.88671875" style="1" bestFit="1" customWidth="1"/>
    <col min="150" max="150" width="10.5546875" style="1" bestFit="1" customWidth="1"/>
    <col min="151" max="151" width="11.33203125" style="1" bestFit="1" customWidth="1"/>
    <col min="152" max="152" width="9.44140625" style="1" bestFit="1" customWidth="1"/>
    <col min="153" max="154" width="11.109375" style="1" bestFit="1" customWidth="1"/>
    <col min="155" max="155" width="14.44140625" style="1" bestFit="1" customWidth="1"/>
    <col min="156" max="156" width="7.77734375" style="1" bestFit="1" customWidth="1"/>
    <col min="157" max="157" width="9.44140625" style="1" bestFit="1" customWidth="1"/>
    <col min="158" max="158" width="15.44140625" style="1" bestFit="1" customWidth="1"/>
    <col min="159" max="159" width="6.109375" style="1" bestFit="1" customWidth="1"/>
    <col min="160" max="160" width="15.88671875" style="1" bestFit="1" customWidth="1"/>
    <col min="161" max="161" width="11.6640625" style="1" bestFit="1" customWidth="1"/>
    <col min="162" max="162" width="6.109375" style="1" bestFit="1" customWidth="1"/>
    <col min="163" max="164" width="9.44140625" style="1" bestFit="1" customWidth="1"/>
    <col min="165" max="165" width="10.21875" style="1" bestFit="1" customWidth="1"/>
    <col min="166" max="166" width="12.6640625" style="1" bestFit="1" customWidth="1"/>
    <col min="167" max="167" width="6.77734375" style="1" bestFit="1" customWidth="1"/>
    <col min="168" max="169" width="12.77734375" style="1" bestFit="1" customWidth="1"/>
    <col min="170" max="170" width="11.33203125" style="1" bestFit="1" customWidth="1"/>
    <col min="171" max="171" width="9.44140625" style="1" bestFit="1" customWidth="1"/>
    <col min="172" max="172" width="9" style="1" bestFit="1" customWidth="1"/>
    <col min="173" max="173" width="9.44140625" style="1" bestFit="1" customWidth="1"/>
    <col min="174" max="175" width="11.109375" style="1" bestFit="1" customWidth="1"/>
    <col min="176" max="176" width="15.33203125" style="1" bestFit="1" customWidth="1"/>
    <col min="177" max="178" width="9.44140625" style="1" bestFit="1" customWidth="1"/>
    <col min="179" max="179" width="6.109375" style="1" bestFit="1" customWidth="1"/>
    <col min="180" max="181" width="7.77734375" style="1" bestFit="1" customWidth="1"/>
    <col min="182" max="182" width="10.5546875" style="1" bestFit="1" customWidth="1"/>
    <col min="183" max="183" width="19.5546875" style="1" bestFit="1" customWidth="1"/>
    <col min="184" max="184" width="23" style="1" bestFit="1" customWidth="1"/>
    <col min="185" max="185" width="11.109375" style="1" bestFit="1" customWidth="1"/>
    <col min="186" max="186" width="12.77734375" style="1" bestFit="1" customWidth="1"/>
    <col min="187" max="187" width="9.44140625" style="1" bestFit="1" customWidth="1"/>
    <col min="188" max="188" width="7.6640625" style="1" bestFit="1" customWidth="1"/>
    <col min="189" max="191" width="6.109375" style="1" bestFit="1" customWidth="1"/>
    <col min="192" max="193" width="9.44140625" style="1" bestFit="1" customWidth="1"/>
    <col min="194" max="194" width="11.109375" style="1" bestFit="1" customWidth="1"/>
    <col min="195" max="195" width="9.44140625" style="1" bestFit="1" customWidth="1"/>
    <col min="196" max="196" width="13.5546875" style="1" bestFit="1" customWidth="1"/>
    <col min="197" max="197" width="6.109375" style="1" bestFit="1" customWidth="1"/>
    <col min="198" max="198" width="9.44140625" style="1" bestFit="1" customWidth="1"/>
    <col min="199" max="200" width="4.44140625" style="1" bestFit="1" customWidth="1"/>
    <col min="201" max="202" width="4.6640625" style="1" bestFit="1" customWidth="1"/>
    <col min="203" max="203" width="7.33203125" style="1" bestFit="1" customWidth="1"/>
    <col min="204" max="205" width="12.77734375" style="1" bestFit="1" customWidth="1"/>
    <col min="206" max="206" width="7.44140625" style="1" bestFit="1" customWidth="1"/>
    <col min="207" max="207" width="14.44140625" style="1" bestFit="1" customWidth="1"/>
    <col min="208" max="208" width="10.33203125" style="1" bestFit="1" customWidth="1"/>
    <col min="209" max="209" width="23" style="1" bestFit="1" customWidth="1"/>
    <col min="210" max="210" width="11.109375" style="1" bestFit="1" customWidth="1"/>
    <col min="211" max="211" width="14.44140625" style="1" bestFit="1" customWidth="1"/>
    <col min="212" max="212" width="7.77734375" style="1" bestFit="1" customWidth="1"/>
    <col min="213" max="213" width="6.109375" style="1" bestFit="1" customWidth="1"/>
    <col min="214" max="215" width="9.44140625" style="1" bestFit="1" customWidth="1"/>
    <col min="216" max="216" width="9.21875" style="1" bestFit="1" customWidth="1"/>
    <col min="217" max="217" width="9.44140625" style="1" bestFit="1" customWidth="1"/>
    <col min="218" max="218" width="12.77734375" style="1" bestFit="1" customWidth="1"/>
    <col min="219" max="219" width="9.33203125" style="1" bestFit="1" customWidth="1"/>
    <col min="220" max="220" width="6.109375" style="1" bestFit="1" customWidth="1"/>
    <col min="221" max="221" width="9.44140625" style="1" bestFit="1" customWidth="1"/>
    <col min="222" max="222" width="19.33203125" style="1" bestFit="1" customWidth="1"/>
    <col min="223" max="223" width="13.77734375" style="1" bestFit="1" customWidth="1"/>
    <col min="224" max="224" width="10.77734375" style="1" bestFit="1" customWidth="1"/>
    <col min="225" max="225" width="18.88671875" style="1" bestFit="1" customWidth="1"/>
    <col min="226" max="16384" width="8.88671875" style="1"/>
  </cols>
  <sheetData>
    <row r="1" spans="1:125" ht="27.75" outlineLevel="1" x14ac:dyDescent="0.45">
      <c r="G1" s="66">
        <v>45167</v>
      </c>
      <c r="H1" s="63"/>
      <c r="I1" s="55" t="s">
        <v>309</v>
      </c>
      <c r="J1" s="55" t="s">
        <v>53</v>
      </c>
      <c r="K1" s="55" t="s">
        <v>65</v>
      </c>
      <c r="L1" s="55" t="s">
        <v>74</v>
      </c>
    </row>
    <row r="2" spans="1:125" ht="36" x14ac:dyDescent="0.55000000000000004">
      <c r="A2" s="80" t="s">
        <v>320</v>
      </c>
      <c r="D2" s="73"/>
      <c r="E2" s="65"/>
      <c r="F2" s="65"/>
      <c r="M2" s="65"/>
      <c r="N2" s="63"/>
      <c r="O2" s="63"/>
      <c r="P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c r="DR2" s="63"/>
      <c r="DS2" s="63"/>
      <c r="DT2" s="63"/>
      <c r="DU2" s="63"/>
    </row>
    <row r="4" spans="1:125" ht="27.75" customHeight="1" x14ac:dyDescent="0.45">
      <c r="B4" s="77" t="s">
        <v>319</v>
      </c>
      <c r="D4" s="73"/>
      <c r="E4" s="65"/>
      <c r="F4" s="65"/>
      <c r="G4" s="65"/>
      <c r="H4" s="65"/>
      <c r="I4" s="65"/>
      <c r="J4" s="65"/>
      <c r="K4" s="65"/>
      <c r="L4" s="65"/>
      <c r="M4" s="65"/>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3"/>
      <c r="AP4" s="63"/>
      <c r="AQ4" s="63"/>
      <c r="AR4" s="63"/>
      <c r="AS4" s="63"/>
      <c r="AT4" s="63"/>
      <c r="AU4" s="63"/>
      <c r="AV4" s="63"/>
      <c r="AW4" s="63"/>
      <c r="AX4" s="63"/>
      <c r="AY4" s="63"/>
      <c r="AZ4" s="63"/>
      <c r="BA4" s="63"/>
      <c r="BB4" s="63"/>
      <c r="BC4" s="63"/>
      <c r="BD4" s="63"/>
      <c r="BE4" s="63"/>
      <c r="BF4" s="63"/>
      <c r="BG4" s="63"/>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63"/>
      <c r="DA4" s="63"/>
      <c r="DB4" s="63"/>
      <c r="DC4" s="63"/>
      <c r="DD4" s="63"/>
      <c r="DE4" s="63"/>
      <c r="DF4" s="63"/>
      <c r="DG4" s="63"/>
      <c r="DH4" s="63"/>
      <c r="DI4" s="63"/>
      <c r="DJ4" s="63"/>
      <c r="DK4" s="63"/>
      <c r="DL4" s="63"/>
      <c r="DM4" s="63"/>
      <c r="DN4" s="63"/>
      <c r="DO4" s="63"/>
      <c r="DP4" s="63"/>
      <c r="DQ4" s="63"/>
      <c r="DR4" s="63"/>
      <c r="DS4" s="63"/>
      <c r="DT4" s="63"/>
      <c r="DU4" s="63"/>
    </row>
    <row r="5" spans="1:125" ht="27.75" customHeight="1" x14ac:dyDescent="0.45">
      <c r="B5" s="76" t="s">
        <v>311</v>
      </c>
      <c r="C5" s="76" t="s">
        <v>312</v>
      </c>
      <c r="D5" s="76" t="s">
        <v>317</v>
      </c>
      <c r="E5" s="65"/>
      <c r="F5" s="65"/>
      <c r="G5" s="65"/>
      <c r="H5" s="65"/>
      <c r="I5" s="65"/>
      <c r="J5" s="65"/>
      <c r="K5" s="65"/>
      <c r="L5" s="65"/>
      <c r="M5" s="65"/>
      <c r="N5" s="63"/>
      <c r="O5" s="63"/>
      <c r="P5" s="63"/>
      <c r="Q5" s="63"/>
      <c r="R5" s="63"/>
      <c r="S5" s="63"/>
      <c r="T5" s="63"/>
      <c r="U5" s="63"/>
      <c r="V5" s="63"/>
      <c r="W5" s="63"/>
      <c r="X5" s="63"/>
      <c r="Y5" s="63"/>
      <c r="Z5" s="63"/>
      <c r="AA5" s="63"/>
      <c r="AB5" s="63"/>
      <c r="AC5" s="63"/>
      <c r="AD5" s="63"/>
      <c r="AE5" s="63"/>
      <c r="AF5" s="63"/>
      <c r="AG5" s="63"/>
      <c r="AH5" s="63"/>
      <c r="AI5" s="63"/>
      <c r="AJ5" s="63"/>
      <c r="AK5" s="63"/>
      <c r="AL5" s="63"/>
      <c r="AM5" s="63"/>
      <c r="AN5" s="63"/>
      <c r="AO5" s="63"/>
      <c r="AP5" s="63"/>
      <c r="AQ5" s="63"/>
      <c r="AR5" s="63"/>
      <c r="AS5" s="63"/>
      <c r="AT5" s="63"/>
      <c r="AU5" s="63"/>
      <c r="AV5" s="63"/>
      <c r="AW5" s="63"/>
      <c r="AX5" s="63"/>
      <c r="AY5" s="63"/>
      <c r="AZ5" s="63"/>
      <c r="BA5" s="63"/>
      <c r="BB5" s="63"/>
      <c r="BC5" s="63"/>
      <c r="BD5" s="63"/>
      <c r="BE5" s="63"/>
      <c r="BF5" s="63"/>
      <c r="BG5" s="63"/>
      <c r="BH5" s="63"/>
      <c r="BI5" s="63"/>
      <c r="BJ5" s="63"/>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c r="DI5" s="63"/>
      <c r="DJ5" s="63"/>
      <c r="DK5" s="63"/>
      <c r="DL5" s="63"/>
      <c r="DM5" s="63"/>
      <c r="DN5" s="63"/>
      <c r="DO5" s="63"/>
      <c r="DP5" s="63"/>
      <c r="DQ5" s="63"/>
      <c r="DR5" s="63"/>
      <c r="DS5" s="63"/>
      <c r="DT5" s="63"/>
      <c r="DU5" s="63"/>
    </row>
    <row r="6" spans="1:125" ht="27.75" customHeight="1" x14ac:dyDescent="0.45">
      <c r="B6" s="71"/>
      <c r="C6" s="71" t="s">
        <v>440</v>
      </c>
      <c r="D6" s="71" t="s">
        <v>318</v>
      </c>
      <c r="E6" s="65"/>
      <c r="F6" s="65"/>
      <c r="G6" s="65"/>
      <c r="H6" s="65"/>
      <c r="I6" s="65"/>
      <c r="J6" s="65"/>
      <c r="K6" s="65"/>
      <c r="L6" s="65"/>
      <c r="M6" s="65"/>
      <c r="N6" s="63"/>
      <c r="O6" s="63"/>
      <c r="P6" s="63"/>
      <c r="Q6" s="63"/>
      <c r="R6" s="63"/>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c r="CE6" s="63"/>
      <c r="CF6" s="63"/>
      <c r="CG6" s="63"/>
      <c r="CH6" s="63"/>
      <c r="CI6" s="63"/>
      <c r="CJ6" s="63"/>
      <c r="CK6" s="63"/>
      <c r="CL6" s="63"/>
      <c r="CM6" s="63"/>
      <c r="CN6" s="63"/>
      <c r="CO6" s="63"/>
      <c r="CP6" s="63"/>
      <c r="CQ6" s="63"/>
      <c r="CR6" s="63"/>
      <c r="CS6" s="63"/>
      <c r="CT6" s="63"/>
      <c r="CU6" s="63"/>
      <c r="CV6" s="63"/>
      <c r="CW6" s="63"/>
      <c r="CX6" s="63"/>
      <c r="CY6" s="63"/>
      <c r="CZ6" s="63"/>
      <c r="DA6" s="63"/>
      <c r="DB6" s="63"/>
      <c r="DC6" s="63"/>
      <c r="DD6" s="63"/>
      <c r="DE6" s="63"/>
      <c r="DF6" s="63"/>
      <c r="DG6" s="63"/>
      <c r="DH6" s="63"/>
      <c r="DI6" s="63"/>
      <c r="DJ6" s="63"/>
      <c r="DK6" s="63"/>
      <c r="DL6" s="63"/>
      <c r="DM6" s="63"/>
      <c r="DN6" s="63"/>
      <c r="DO6" s="63"/>
      <c r="DP6" s="63"/>
      <c r="DQ6" s="63"/>
      <c r="DR6" s="63"/>
      <c r="DS6" s="63"/>
      <c r="DT6" s="63"/>
      <c r="DU6" s="63"/>
    </row>
    <row r="8" spans="1:125" ht="27.75" customHeight="1" x14ac:dyDescent="0.45">
      <c r="B8" s="79" t="s">
        <v>315</v>
      </c>
      <c r="C8" s="69"/>
      <c r="D8" s="74"/>
      <c r="E8" s="69"/>
      <c r="F8" s="69"/>
      <c r="G8" s="69"/>
      <c r="H8" s="69"/>
      <c r="I8" s="69"/>
      <c r="J8" s="69"/>
      <c r="K8" s="69"/>
      <c r="L8" s="69"/>
      <c r="M8" s="69"/>
      <c r="N8" s="69"/>
      <c r="O8" s="63"/>
      <c r="P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row>
    <row r="9" spans="1:125" x14ac:dyDescent="0.25">
      <c r="B9" t="s">
        <v>48</v>
      </c>
      <c r="C9" t="s">
        <v>164</v>
      </c>
      <c r="D9" s="70" t="s">
        <v>49</v>
      </c>
      <c r="E9" t="s">
        <v>134</v>
      </c>
      <c r="F9" t="s">
        <v>64</v>
      </c>
      <c r="G9" t="s">
        <v>57</v>
      </c>
      <c r="H9" t="s">
        <v>86</v>
      </c>
      <c r="I9" t="s">
        <v>119</v>
      </c>
      <c r="J9" t="s">
        <v>87</v>
      </c>
      <c r="K9" t="s">
        <v>165</v>
      </c>
    </row>
    <row r="10" spans="1:125" x14ac:dyDescent="0.25">
      <c r="B10" t="s">
        <v>712</v>
      </c>
      <c r="C10" t="s">
        <v>788</v>
      </c>
      <c r="D10" s="70">
        <v>45218</v>
      </c>
      <c r="E10" t="s">
        <v>82</v>
      </c>
      <c r="F10" t="s">
        <v>260</v>
      </c>
      <c r="G10">
        <v>106</v>
      </c>
      <c r="H10" t="s">
        <v>150</v>
      </c>
      <c r="I10" t="s">
        <v>728</v>
      </c>
      <c r="J10" t="s">
        <v>750</v>
      </c>
      <c r="K10">
        <v>30</v>
      </c>
    </row>
    <row r="11" spans="1:125" x14ac:dyDescent="0.25">
      <c r="B11" t="s">
        <v>718</v>
      </c>
      <c r="C11" t="s">
        <v>789</v>
      </c>
      <c r="D11">
        <v>45217</v>
      </c>
      <c r="E11" t="s">
        <v>770</v>
      </c>
      <c r="F11" t="s">
        <v>84</v>
      </c>
      <c r="G11">
        <v>10</v>
      </c>
      <c r="H11" t="s">
        <v>150</v>
      </c>
      <c r="I11" t="s">
        <v>442</v>
      </c>
      <c r="J11" t="s">
        <v>443</v>
      </c>
      <c r="K11">
        <v>45</v>
      </c>
    </row>
    <row r="12" spans="1:125" x14ac:dyDescent="0.25">
      <c r="B12" t="s">
        <v>716</v>
      </c>
      <c r="C12" t="s">
        <v>790</v>
      </c>
      <c r="D12">
        <v>45217</v>
      </c>
      <c r="E12" t="s">
        <v>770</v>
      </c>
      <c r="F12" t="s">
        <v>84</v>
      </c>
      <c r="G12">
        <v>5</v>
      </c>
      <c r="H12" t="s">
        <v>150</v>
      </c>
      <c r="I12" t="s">
        <v>732</v>
      </c>
      <c r="J12" t="s">
        <v>752</v>
      </c>
      <c r="K12" t="s">
        <v>7</v>
      </c>
    </row>
    <row r="13" spans="1:125" x14ac:dyDescent="0.25">
      <c r="B13" t="s">
        <v>719</v>
      </c>
      <c r="C13" t="s">
        <v>791</v>
      </c>
      <c r="D13">
        <v>45217</v>
      </c>
      <c r="E13" t="s">
        <v>770</v>
      </c>
      <c r="F13" t="s">
        <v>110</v>
      </c>
      <c r="G13">
        <v>3</v>
      </c>
      <c r="H13" t="s">
        <v>150</v>
      </c>
      <c r="I13" t="s">
        <v>731</v>
      </c>
      <c r="J13" t="s">
        <v>754</v>
      </c>
      <c r="K13">
        <v>20</v>
      </c>
    </row>
    <row r="14" spans="1:125" s="59" customFormat="1" ht="35.25" customHeight="1" x14ac:dyDescent="0.25">
      <c r="B14" t="s">
        <v>720</v>
      </c>
      <c r="C14" t="s">
        <v>792</v>
      </c>
      <c r="D14">
        <v>45217</v>
      </c>
      <c r="E14" t="s">
        <v>770</v>
      </c>
      <c r="F14" t="s">
        <v>105</v>
      </c>
      <c r="G14">
        <v>16</v>
      </c>
      <c r="H14" t="s">
        <v>504</v>
      </c>
      <c r="I14" t="s">
        <v>756</v>
      </c>
      <c r="J14" t="s">
        <v>755</v>
      </c>
      <c r="K14">
        <v>35</v>
      </c>
    </row>
    <row r="15" spans="1:125" ht="27.75" x14ac:dyDescent="0.45">
      <c r="B15" t="s">
        <v>721</v>
      </c>
      <c r="C15" t="s">
        <v>793</v>
      </c>
      <c r="D15">
        <v>45216</v>
      </c>
      <c r="E15" t="s">
        <v>82</v>
      </c>
      <c r="F15" t="s">
        <v>260</v>
      </c>
      <c r="G15">
        <v>45</v>
      </c>
      <c r="H15" t="s">
        <v>150</v>
      </c>
      <c r="I15" t="s">
        <v>736</v>
      </c>
      <c r="J15" t="s">
        <v>758</v>
      </c>
      <c r="K15">
        <v>15</v>
      </c>
      <c r="L15" s="64"/>
      <c r="M15" s="64"/>
    </row>
    <row r="16" spans="1:125" x14ac:dyDescent="0.25">
      <c r="B16" t="s">
        <v>727</v>
      </c>
      <c r="C16" t="s">
        <v>794</v>
      </c>
      <c r="D16">
        <v>45215</v>
      </c>
      <c r="E16" t="s">
        <v>82</v>
      </c>
      <c r="F16" t="s">
        <v>84</v>
      </c>
      <c r="G16">
        <v>0.3</v>
      </c>
      <c r="H16" t="s">
        <v>150</v>
      </c>
      <c r="I16" t="s">
        <v>703</v>
      </c>
      <c r="J16" t="s">
        <v>7</v>
      </c>
      <c r="K16" t="s">
        <v>7</v>
      </c>
    </row>
    <row r="17" spans="2:13" x14ac:dyDescent="0.25">
      <c r="B17" t="s">
        <v>795</v>
      </c>
      <c r="C17" t="s">
        <v>796</v>
      </c>
      <c r="D17">
        <v>45212</v>
      </c>
      <c r="E17" t="s">
        <v>82</v>
      </c>
      <c r="F17" t="s">
        <v>105</v>
      </c>
      <c r="G17">
        <v>4.0999999999999996</v>
      </c>
      <c r="H17" t="s">
        <v>797</v>
      </c>
      <c r="I17" t="s">
        <v>438</v>
      </c>
      <c r="J17" t="s">
        <v>7</v>
      </c>
      <c r="K17" t="s">
        <v>7</v>
      </c>
    </row>
    <row r="18" spans="2:13" x14ac:dyDescent="0.25">
      <c r="B18" t="s">
        <v>798</v>
      </c>
      <c r="C18" t="s">
        <v>444</v>
      </c>
      <c r="D18">
        <v>45211</v>
      </c>
      <c r="E18" t="s">
        <v>799</v>
      </c>
      <c r="F18" t="s">
        <v>110</v>
      </c>
      <c r="G18">
        <v>3</v>
      </c>
      <c r="H18" t="s">
        <v>150</v>
      </c>
      <c r="I18" t="s">
        <v>493</v>
      </c>
      <c r="J18" t="s">
        <v>754</v>
      </c>
      <c r="K18">
        <v>20</v>
      </c>
    </row>
    <row r="19" spans="2:13" ht="27.75" x14ac:dyDescent="0.45">
      <c r="B19" t="s">
        <v>800</v>
      </c>
      <c r="C19" t="s">
        <v>801</v>
      </c>
      <c r="D19">
        <v>45210</v>
      </c>
      <c r="E19" t="s">
        <v>441</v>
      </c>
      <c r="F19" t="s">
        <v>105</v>
      </c>
      <c r="G19">
        <v>16</v>
      </c>
      <c r="H19" t="s">
        <v>504</v>
      </c>
      <c r="I19" t="s">
        <v>756</v>
      </c>
      <c r="J19" t="s">
        <v>755</v>
      </c>
      <c r="K19">
        <v>35</v>
      </c>
      <c r="L19" s="65"/>
      <c r="M19" s="65"/>
    </row>
    <row r="21" spans="2:13" ht="27.75" x14ac:dyDescent="0.45">
      <c r="B21" s="78" t="s">
        <v>314</v>
      </c>
      <c r="C21" s="64"/>
      <c r="D21" s="75"/>
      <c r="E21" s="64"/>
      <c r="F21" s="64"/>
      <c r="G21" s="64"/>
      <c r="H21" s="64"/>
      <c r="I21" s="64"/>
      <c r="J21" s="64"/>
      <c r="K21" s="64"/>
    </row>
    <row r="22" spans="2:13" x14ac:dyDescent="0.25">
      <c r="B22" t="s">
        <v>307</v>
      </c>
      <c r="C22" t="s">
        <v>305</v>
      </c>
      <c r="D22" s="70" t="s">
        <v>140</v>
      </c>
      <c r="E22" t="s">
        <v>308</v>
      </c>
      <c r="F22" t="s">
        <v>49</v>
      </c>
      <c r="G22" t="s">
        <v>57</v>
      </c>
      <c r="H22" t="s">
        <v>309</v>
      </c>
      <c r="I22" t="s">
        <v>53</v>
      </c>
      <c r="J22" t="s">
        <v>399</v>
      </c>
      <c r="K22" t="s">
        <v>400</v>
      </c>
    </row>
    <row r="23" spans="2:13" ht="18.75" x14ac:dyDescent="0.25">
      <c r="B23" s="93" t="s">
        <v>404</v>
      </c>
      <c r="C23" s="93" t="s">
        <v>306</v>
      </c>
      <c r="D23" s="94" t="s">
        <v>250</v>
      </c>
      <c r="E23" s="93"/>
      <c r="F23" s="95">
        <v>45177</v>
      </c>
      <c r="G23" s="93">
        <v>1.22</v>
      </c>
      <c r="H23" s="93" t="s">
        <v>288</v>
      </c>
      <c r="I23" s="96">
        <v>6.2E-2</v>
      </c>
      <c r="J23" s="97" t="s">
        <v>234</v>
      </c>
      <c r="K23" s="97" t="s">
        <v>392</v>
      </c>
    </row>
    <row r="25" spans="2:13" ht="27.75" x14ac:dyDescent="0.45">
      <c r="B25" s="79" t="s">
        <v>316</v>
      </c>
      <c r="C25" s="65"/>
      <c r="D25" s="73"/>
      <c r="E25" s="65"/>
      <c r="F25" s="79" t="s">
        <v>321</v>
      </c>
      <c r="G25" s="65"/>
      <c r="H25" s="65"/>
      <c r="I25" s="65"/>
      <c r="J25" s="65"/>
      <c r="K25" s="65"/>
    </row>
    <row r="26" spans="2:13" x14ac:dyDescent="0.25">
      <c r="B26" t="s">
        <v>302</v>
      </c>
      <c r="C26" t="s">
        <v>304</v>
      </c>
    </row>
    <row r="27" spans="2:13" x14ac:dyDescent="0.25">
      <c r="B27" t="s">
        <v>307</v>
      </c>
      <c r="C27" s="44" t="s">
        <v>404</v>
      </c>
    </row>
    <row r="28" spans="2:13" x14ac:dyDescent="0.25">
      <c r="B28" t="s">
        <v>412</v>
      </c>
      <c r="C28" s="44" t="s">
        <v>306</v>
      </c>
    </row>
    <row r="29" spans="2:13" x14ac:dyDescent="0.25">
      <c r="B29" t="s">
        <v>140</v>
      </c>
      <c r="C29" s="44" t="s">
        <v>250</v>
      </c>
    </row>
    <row r="30" spans="2:13" x14ac:dyDescent="0.25">
      <c r="B30" t="s">
        <v>49</v>
      </c>
      <c r="C30" s="44">
        <v>45177</v>
      </c>
    </row>
    <row r="31" spans="2:13" x14ac:dyDescent="0.25">
      <c r="B31" t="s">
        <v>57</v>
      </c>
      <c r="C31" s="44">
        <v>1.22</v>
      </c>
    </row>
    <row r="32" spans="2:13" x14ac:dyDescent="0.25">
      <c r="B32" t="s">
        <v>309</v>
      </c>
      <c r="C32" s="44" t="s">
        <v>285</v>
      </c>
    </row>
    <row r="33" spans="2:3" x14ac:dyDescent="0.25">
      <c r="B33" t="s">
        <v>53</v>
      </c>
      <c r="C33" s="44" t="s">
        <v>313</v>
      </c>
    </row>
    <row r="34" spans="2:3" x14ac:dyDescent="0.25">
      <c r="B34" t="s">
        <v>65</v>
      </c>
      <c r="C34" s="44" t="s">
        <v>390</v>
      </c>
    </row>
    <row r="35" spans="2:3" x14ac:dyDescent="0.25">
      <c r="B35" t="s">
        <v>74</v>
      </c>
      <c r="C35" s="44" t="s">
        <v>394</v>
      </c>
    </row>
    <row r="36" spans="2:3" x14ac:dyDescent="0.25">
      <c r="B36" t="s">
        <v>93</v>
      </c>
      <c r="C36" s="44" t="s">
        <v>406</v>
      </c>
    </row>
    <row r="37" spans="2:3" x14ac:dyDescent="0.25">
      <c r="B37" t="s">
        <v>48</v>
      </c>
      <c r="C37" s="44" t="s">
        <v>404</v>
      </c>
    </row>
    <row r="38" spans="2:3" x14ac:dyDescent="0.25">
      <c r="B38" t="s">
        <v>134</v>
      </c>
      <c r="C38" s="44" t="s">
        <v>82</v>
      </c>
    </row>
    <row r="39" spans="2:3" x14ac:dyDescent="0.25">
      <c r="B39" t="s">
        <v>176</v>
      </c>
      <c r="C39" s="44" t="s">
        <v>82</v>
      </c>
    </row>
    <row r="40" spans="2:3" x14ac:dyDescent="0.25">
      <c r="B40" t="s">
        <v>51</v>
      </c>
      <c r="C40" s="44" t="s">
        <v>407</v>
      </c>
    </row>
    <row r="41" spans="2:3" x14ac:dyDescent="0.25">
      <c r="B41" t="s">
        <v>64</v>
      </c>
      <c r="C41" s="44" t="s">
        <v>84</v>
      </c>
    </row>
    <row r="42" spans="2:3" x14ac:dyDescent="0.25">
      <c r="B42" t="s">
        <v>86</v>
      </c>
      <c r="C42" s="44" t="s">
        <v>150</v>
      </c>
    </row>
    <row r="43" spans="2:3" x14ac:dyDescent="0.25">
      <c r="B43" t="s">
        <v>167</v>
      </c>
      <c r="C43" s="44" t="s">
        <v>114</v>
      </c>
    </row>
    <row r="44" spans="2:3" x14ac:dyDescent="0.25">
      <c r="B44" t="s">
        <v>89</v>
      </c>
      <c r="C44" s="44" t="s">
        <v>37</v>
      </c>
    </row>
    <row r="45" spans="2:3" x14ac:dyDescent="0.25">
      <c r="B45" t="s">
        <v>90</v>
      </c>
      <c r="C45" s="44" t="s">
        <v>261</v>
      </c>
    </row>
    <row r="46" spans="2:3" x14ac:dyDescent="0.25">
      <c r="B46" t="s">
        <v>80</v>
      </c>
      <c r="C46" s="44" t="s">
        <v>130</v>
      </c>
    </row>
    <row r="47" spans="2:3" x14ac:dyDescent="0.25">
      <c r="B47" t="s">
        <v>66</v>
      </c>
      <c r="C47" s="44">
        <v>44811</v>
      </c>
    </row>
    <row r="48" spans="2:3" x14ac:dyDescent="0.25">
      <c r="B48" t="s">
        <v>69</v>
      </c>
      <c r="C48" s="44">
        <v>44992</v>
      </c>
    </row>
    <row r="49" spans="2:3" x14ac:dyDescent="0.25">
      <c r="B49" t="s">
        <v>52</v>
      </c>
      <c r="C49" s="44">
        <v>45907</v>
      </c>
    </row>
    <row r="50" spans="2:3" x14ac:dyDescent="0.25">
      <c r="B50" t="s">
        <v>172</v>
      </c>
      <c r="C50" s="44">
        <v>2</v>
      </c>
    </row>
    <row r="51" spans="2:3" x14ac:dyDescent="0.25">
      <c r="B51" t="s">
        <v>173</v>
      </c>
      <c r="C51" s="44">
        <v>13.8</v>
      </c>
    </row>
    <row r="52" spans="2:3" x14ac:dyDescent="0.25">
      <c r="B52" t="s">
        <v>210</v>
      </c>
      <c r="C52" s="44">
        <v>15.7</v>
      </c>
    </row>
    <row r="53" spans="2:3" x14ac:dyDescent="0.25">
      <c r="B53" t="s">
        <v>696</v>
      </c>
      <c r="C53" s="44" t="s">
        <v>408</v>
      </c>
    </row>
    <row r="54" spans="2:3" x14ac:dyDescent="0.25">
      <c r="B54" t="s">
        <v>231</v>
      </c>
      <c r="C54" s="44" t="s">
        <v>248</v>
      </c>
    </row>
    <row r="55" spans="2:3" ht="45" x14ac:dyDescent="0.25">
      <c r="B55" t="s">
        <v>70</v>
      </c>
      <c r="C55" s="44" t="s">
        <v>409</v>
      </c>
    </row>
    <row r="56" spans="2:3" x14ac:dyDescent="0.25">
      <c r="B56" t="s">
        <v>224</v>
      </c>
      <c r="C56" s="44" t="s">
        <v>411</v>
      </c>
    </row>
    <row r="57" spans="2:3" x14ac:dyDescent="0.25">
      <c r="B57" t="s">
        <v>198</v>
      </c>
      <c r="C57" s="44" t="s">
        <v>325</v>
      </c>
    </row>
    <row r="58" spans="2:3" x14ac:dyDescent="0.25">
      <c r="B58" t="s">
        <v>139</v>
      </c>
      <c r="C58" s="44" t="s">
        <v>410</v>
      </c>
    </row>
    <row r="59" spans="2:3" x14ac:dyDescent="0.25">
      <c r="B59" t="s">
        <v>164</v>
      </c>
      <c r="C59" s="44" t="s">
        <v>405</v>
      </c>
    </row>
    <row r="60" spans="2:3" x14ac:dyDescent="0.25">
      <c r="B60" t="s">
        <v>236</v>
      </c>
      <c r="C60" s="44" t="s">
        <v>809</v>
      </c>
    </row>
    <row r="61" spans="2:3" x14ac:dyDescent="0.25">
      <c r="B61" t="s">
        <v>47</v>
      </c>
      <c r="C61" s="44" t="s">
        <v>810</v>
      </c>
    </row>
    <row r="62" spans="2:3" x14ac:dyDescent="0.25">
      <c r="B62" t="s">
        <v>97</v>
      </c>
      <c r="C62" s="44" t="s">
        <v>472</v>
      </c>
    </row>
    <row r="63" spans="2:3" x14ac:dyDescent="0.25">
      <c r="B63" t="s">
        <v>98</v>
      </c>
      <c r="C63" s="44" t="s">
        <v>472</v>
      </c>
    </row>
    <row r="64" spans="2:3" x14ac:dyDescent="0.25">
      <c r="B64" t="s">
        <v>50</v>
      </c>
      <c r="C64" s="44" t="s">
        <v>472</v>
      </c>
    </row>
    <row r="65" spans="2:3" x14ac:dyDescent="0.25">
      <c r="B65" t="s">
        <v>58</v>
      </c>
      <c r="C65" s="44" t="s">
        <v>478</v>
      </c>
    </row>
    <row r="66" spans="2:3" x14ac:dyDescent="0.25">
      <c r="B66" t="s">
        <v>99</v>
      </c>
      <c r="C66" s="44" t="s">
        <v>477</v>
      </c>
    </row>
    <row r="67" spans="2:3" x14ac:dyDescent="0.25">
      <c r="B67" t="s">
        <v>322</v>
      </c>
      <c r="C67" s="44" t="s">
        <v>476</v>
      </c>
    </row>
    <row r="68" spans="2:3" x14ac:dyDescent="0.25">
      <c r="B68" t="s">
        <v>237</v>
      </c>
      <c r="C68" s="44" t="s">
        <v>475</v>
      </c>
    </row>
    <row r="69" spans="2:3" x14ac:dyDescent="0.25">
      <c r="B69" t="s">
        <v>56</v>
      </c>
      <c r="C69" s="44" t="s">
        <v>474</v>
      </c>
    </row>
    <row r="70" spans="2:3" x14ac:dyDescent="0.25">
      <c r="B70" t="s">
        <v>94</v>
      </c>
      <c r="C70" s="44" t="s">
        <v>811</v>
      </c>
    </row>
    <row r="71" spans="2:3" x14ac:dyDescent="0.25">
      <c r="B71" t="s">
        <v>45</v>
      </c>
      <c r="C71" s="44" t="s">
        <v>812</v>
      </c>
    </row>
    <row r="72" spans="2:3" x14ac:dyDescent="0.25">
      <c r="B72" t="s">
        <v>44</v>
      </c>
      <c r="C72" s="44" t="s">
        <v>813</v>
      </c>
    </row>
    <row r="73" spans="2:3" x14ac:dyDescent="0.25">
      <c r="B73" t="s">
        <v>175</v>
      </c>
      <c r="C73" s="44" t="s">
        <v>472</v>
      </c>
    </row>
    <row r="74" spans="2:3" x14ac:dyDescent="0.25">
      <c r="B74" t="s">
        <v>43</v>
      </c>
      <c r="C74" s="44" t="s">
        <v>1</v>
      </c>
    </row>
    <row r="75" spans="2:3" x14ac:dyDescent="0.25">
      <c r="B75" t="s">
        <v>220</v>
      </c>
      <c r="C75" s="44" t="s">
        <v>814</v>
      </c>
    </row>
    <row r="76" spans="2:3" x14ac:dyDescent="0.25">
      <c r="B76" t="s">
        <v>42</v>
      </c>
      <c r="C76" s="44" t="s">
        <v>471</v>
      </c>
    </row>
    <row r="77" spans="2:3" x14ac:dyDescent="0.25">
      <c r="B77" t="s">
        <v>96</v>
      </c>
      <c r="C77" s="44" t="s">
        <v>480</v>
      </c>
    </row>
    <row r="78" spans="2:3" x14ac:dyDescent="0.25">
      <c r="B78" t="s">
        <v>100</v>
      </c>
      <c r="C78" s="44">
        <v>1000</v>
      </c>
    </row>
    <row r="79" spans="2:3" x14ac:dyDescent="0.25">
      <c r="B79" t="s">
        <v>101</v>
      </c>
      <c r="C79" s="44">
        <v>2</v>
      </c>
    </row>
    <row r="80" spans="2:3" x14ac:dyDescent="0.25">
      <c r="B80" t="s">
        <v>102</v>
      </c>
      <c r="C80" s="44">
        <v>6.9</v>
      </c>
    </row>
    <row r="81" spans="2:3" x14ac:dyDescent="0.25">
      <c r="B81" t="s">
        <v>72</v>
      </c>
      <c r="C81" s="44">
        <v>44811</v>
      </c>
    </row>
    <row r="82" spans="2:3" x14ac:dyDescent="0.25">
      <c r="B82" t="s">
        <v>73</v>
      </c>
      <c r="C82" s="44">
        <v>44811</v>
      </c>
    </row>
    <row r="83" spans="2:3" x14ac:dyDescent="0.25">
      <c r="B83" t="s">
        <v>103</v>
      </c>
      <c r="C83" s="44" t="s">
        <v>815</v>
      </c>
    </row>
    <row r="84" spans="2:3" x14ac:dyDescent="0.25">
      <c r="B84" t="s">
        <v>75</v>
      </c>
      <c r="C84" s="44" t="s">
        <v>469</v>
      </c>
    </row>
    <row r="85" spans="2:3" x14ac:dyDescent="0.25">
      <c r="B85" t="s">
        <v>76</v>
      </c>
      <c r="C85" s="44" t="s">
        <v>469</v>
      </c>
    </row>
    <row r="86" spans="2:3" x14ac:dyDescent="0.25">
      <c r="B86" t="s">
        <v>77</v>
      </c>
      <c r="C86" s="44" t="s">
        <v>468</v>
      </c>
    </row>
    <row r="87" spans="2:3" x14ac:dyDescent="0.25">
      <c r="B87" t="s">
        <v>78</v>
      </c>
      <c r="C87" s="44" t="s">
        <v>467</v>
      </c>
    </row>
    <row r="88" spans="2:3" x14ac:dyDescent="0.25">
      <c r="B88" t="s">
        <v>79</v>
      </c>
      <c r="C88" s="44" t="s">
        <v>466</v>
      </c>
    </row>
  </sheetData>
  <phoneticPr fontId="14" type="noConversion"/>
  <conditionalFormatting sqref="B10:J19">
    <cfRule type="expression" dxfId="155" priority="1">
      <formula>ISNUMBER(FIND(#REF!,"【"))</formula>
    </cfRule>
  </conditionalFormatting>
  <conditionalFormatting sqref="K10:K19">
    <cfRule type="expression" dxfId="154" priority="13">
      <formula>ISNUMBER(FIND(#REF!,"【"))</formula>
    </cfRule>
  </conditionalFormatting>
  <dataValidations count="7">
    <dataValidation type="list" allowBlank="1" showInputMessage="1" showErrorMessage="1" sqref="C23">
      <formula1>"【】,新增记录,拆分记录"</formula1>
    </dataValidation>
    <dataValidation type="list" allowBlank="1" showInputMessage="1" showErrorMessage="1" sqref="D23">
      <formula1>"【】,增发,增发(临时ISIN)"</formula1>
    </dataValidation>
    <dataValidation allowBlank="1" showInputMessage="1" showErrorMessage="1" promptTitle="FPG Format" prompt="No need to write bp_x000a_Decimal follow BBG_x000a__x000a_3.20%_x000a_3.8%_x000a_T+100_x000a_" sqref="I23 J1"/>
    <dataValidation allowBlank="1" showInputMessage="1" showErrorMessage="1" promptTitle="IPG Format" prompt="No need to write bp_x000a_Decimal follow BBG_x000a_Use &quot;a&quot; for &quot;area&quot;_x000a__x000a_3.50%a_x000a_4%a_x000a_T+120a_x000a_" sqref="H23 I1"/>
    <dataValidation type="list" allowBlank="1" showInputMessage="1" sqref="B23">
      <formula1>$B$10:$B$19</formula1>
    </dataValidation>
    <dataValidation type="list" allowBlank="1" showInputMessage="1" showErrorMessage="1" sqref="D6">
      <formula1>"Y,N"</formula1>
    </dataValidation>
    <dataValidation type="list" allowBlank="1" showInputMessage="1" sqref="K1:L1 J23:K23">
      <formula1>dd_BOCOMJLM</formula1>
    </dataValidation>
  </dataValidations>
  <pageMargins left="0.7" right="0.7" top="0.75" bottom="0.75" header="0.3" footer="0.3"/>
  <pageSetup orientation="portrait" r:id="rId1"/>
  <drawing r:id="rId2"/>
  <tableParts count="4">
    <tablePart r:id="rId3"/>
    <tablePart r:id="rId4"/>
    <tablePart r:id="rId5"/>
    <tablePart r:id="rId6"/>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2A7968"/>
  </sheetPr>
  <dimension ref="A1:C10"/>
  <sheetViews>
    <sheetView workbookViewId="0">
      <selection activeCell="C3" sqref="C3"/>
    </sheetView>
  </sheetViews>
  <sheetFormatPr defaultRowHeight="15" x14ac:dyDescent="0.25"/>
  <cols>
    <col min="1" max="1" width="9.6640625" style="1" customWidth="1"/>
    <col min="2" max="2" width="50.6640625" style="1" customWidth="1"/>
    <col min="3" max="3" width="45.5546875" style="1" customWidth="1"/>
    <col min="4" max="16384" width="8.88671875" style="1"/>
  </cols>
  <sheetData>
    <row r="1" spans="1:3" ht="40.5" customHeight="1" x14ac:dyDescent="0.45">
      <c r="A1" s="146" t="s">
        <v>774</v>
      </c>
    </row>
    <row r="2" spans="1:3" ht="40.5" customHeight="1" x14ac:dyDescent="0.25"/>
    <row r="3" spans="1:3" ht="40.5" customHeight="1" x14ac:dyDescent="0.25"/>
    <row r="4" spans="1:3" x14ac:dyDescent="0.25">
      <c r="A4" t="s">
        <v>85</v>
      </c>
      <c r="B4" t="s">
        <v>775</v>
      </c>
      <c r="C4" t="s">
        <v>776</v>
      </c>
    </row>
    <row r="5" spans="1:3" ht="105" x14ac:dyDescent="0.25">
      <c r="A5" s="148">
        <v>1</v>
      </c>
      <c r="B5" s="151" t="s">
        <v>968</v>
      </c>
      <c r="C5" s="149" t="s">
        <v>969</v>
      </c>
    </row>
    <row r="6" spans="1:3" ht="45" x14ac:dyDescent="0.25">
      <c r="A6" s="148">
        <v>2</v>
      </c>
      <c r="B6" s="151" t="s">
        <v>970</v>
      </c>
      <c r="C6" s="149" t="s">
        <v>971</v>
      </c>
    </row>
    <row r="7" spans="1:3" ht="60" x14ac:dyDescent="0.25">
      <c r="A7" s="148">
        <v>3</v>
      </c>
      <c r="B7" s="151" t="s">
        <v>972</v>
      </c>
      <c r="C7" s="149" t="s">
        <v>973</v>
      </c>
    </row>
    <row r="8" spans="1:3" ht="45" x14ac:dyDescent="0.25">
      <c r="A8" s="148">
        <v>4</v>
      </c>
      <c r="B8" s="151" t="s">
        <v>974</v>
      </c>
      <c r="C8" s="149" t="s">
        <v>975</v>
      </c>
    </row>
    <row r="9" spans="1:3" ht="60" x14ac:dyDescent="0.25">
      <c r="A9" s="148">
        <v>5</v>
      </c>
      <c r="B9" s="151" t="s">
        <v>976</v>
      </c>
      <c r="C9" s="149" t="s">
        <v>977</v>
      </c>
    </row>
    <row r="10" spans="1:3" ht="30" x14ac:dyDescent="0.25">
      <c r="A10" s="147" t="s">
        <v>786</v>
      </c>
      <c r="B10" s="152"/>
      <c r="C10" s="150"/>
    </row>
  </sheetData>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249977111117893"/>
  </sheetPr>
  <dimension ref="A1:V140"/>
  <sheetViews>
    <sheetView topLeftCell="Q1" zoomScale="115" zoomScaleNormal="115" workbookViewId="0">
      <selection activeCell="U10" sqref="U10"/>
    </sheetView>
  </sheetViews>
  <sheetFormatPr defaultColWidth="8.21875" defaultRowHeight="18" customHeight="1" outlineLevelRow="1" outlineLevelCol="1" x14ac:dyDescent="0.25"/>
  <cols>
    <col min="1" max="1" width="4.5546875" style="17" customWidth="1" outlineLevel="1"/>
    <col min="2" max="2" width="8.109375" style="16" bestFit="1" customWidth="1"/>
    <col min="3" max="3" width="8.109375" style="16" customWidth="1"/>
    <col min="4" max="4" width="17.33203125" style="17" bestFit="1" customWidth="1"/>
    <col min="5" max="5" width="10.44140625" style="10" bestFit="1" customWidth="1"/>
    <col min="6" max="6" width="15" style="10" bestFit="1" customWidth="1"/>
    <col min="7" max="7" width="23.33203125" style="10" bestFit="1" customWidth="1"/>
    <col min="8" max="8" width="8.33203125" style="10" bestFit="1" customWidth="1"/>
    <col min="9" max="9" width="7.88671875" style="10" bestFit="1" customWidth="1"/>
    <col min="10" max="10" width="7.33203125" style="10" bestFit="1" customWidth="1"/>
    <col min="11" max="11" width="10.44140625" style="10" bestFit="1" customWidth="1"/>
    <col min="12" max="12" width="7.44140625" style="10" bestFit="1" customWidth="1"/>
    <col min="13" max="13" width="12.6640625" style="10" bestFit="1" customWidth="1"/>
    <col min="14" max="14" width="16.109375" style="10" bestFit="1" customWidth="1"/>
    <col min="15" max="15" width="13.109375" style="10" bestFit="1" customWidth="1"/>
    <col min="16" max="16" width="18.109375" style="10" bestFit="1" customWidth="1"/>
    <col min="17" max="17" width="12.77734375" style="10" bestFit="1" customWidth="1"/>
    <col min="18" max="18" width="12.77734375" style="10" customWidth="1"/>
    <col min="19" max="19" width="13.44140625" style="10" bestFit="1" customWidth="1"/>
    <col min="20" max="20" width="13.44140625" style="10" customWidth="1"/>
    <col min="21" max="21" width="31.5546875" style="10" bestFit="1" customWidth="1"/>
    <col min="22" max="22" width="29.21875" style="10" bestFit="1" customWidth="1"/>
    <col min="23" max="23" width="7.88671875" style="10" bestFit="1" customWidth="1"/>
    <col min="24" max="24" width="7.5546875" style="10" bestFit="1" customWidth="1"/>
    <col min="25" max="25" width="20.44140625" style="10" bestFit="1" customWidth="1"/>
    <col min="26" max="26" width="11.88671875" style="10" bestFit="1" customWidth="1"/>
    <col min="27" max="27" width="10.6640625" style="10" bestFit="1" customWidth="1"/>
    <col min="28" max="28" width="8.88671875" style="10" bestFit="1" customWidth="1"/>
    <col min="29" max="29" width="7.109375" style="10" bestFit="1" customWidth="1"/>
    <col min="30" max="30" width="7.88671875" style="10" bestFit="1" customWidth="1"/>
    <col min="31" max="31" width="23.109375" style="10" bestFit="1" customWidth="1"/>
    <col min="32" max="32" width="7.21875" style="10" bestFit="1" customWidth="1"/>
    <col min="33" max="33" width="15.5546875" style="10" bestFit="1" customWidth="1"/>
    <col min="34" max="34" width="15.5546875" style="10" customWidth="1"/>
    <col min="35" max="35" width="8.109375" style="10" bestFit="1" customWidth="1"/>
    <col min="36" max="36" width="9" style="10" bestFit="1" customWidth="1"/>
    <col min="37" max="37" width="7.109375" style="10" bestFit="1" customWidth="1"/>
    <col min="38" max="38" width="10.6640625" style="10" bestFit="1" customWidth="1"/>
    <col min="39" max="39" width="7.109375" style="10" bestFit="1" customWidth="1"/>
    <col min="40" max="40" width="15.21875" style="10" bestFit="1" customWidth="1"/>
    <col min="41" max="41" width="7.109375" style="10" bestFit="1" customWidth="1"/>
    <col min="42" max="42" width="5.77734375" style="10" bestFit="1" customWidth="1"/>
    <col min="43" max="43" width="7.109375" style="10" bestFit="1" customWidth="1"/>
    <col min="44" max="16384" width="8.21875" style="10"/>
  </cols>
  <sheetData>
    <row r="1" spans="1:22" ht="18" customHeight="1" outlineLevel="1" x14ac:dyDescent="0.25">
      <c r="A1" s="124" t="str">
        <f ca="1" xml:space="preserve"> IF(ISNUMBER(FIND("ktkt",CELL("filename"))),"Remote",IF(ISNUMBER(FIND("http",CELL("filename"))),"Remote","Global"))</f>
        <v>Global</v>
      </c>
      <c r="B1" s="124" t="str">
        <f ca="1">CELL("filename")</f>
        <v>Q:\Team Folder\Execution Team\Weekly AM\20231030\Data\[2.Dynamic List Generator.xlsm]DOWNLOAD</v>
      </c>
      <c r="C1" s="124"/>
      <c r="D1" s="10"/>
    </row>
    <row r="2" spans="1:22" ht="18" customHeight="1" x14ac:dyDescent="0.25">
      <c r="B2" s="10"/>
      <c r="C2" s="10"/>
      <c r="D2" s="10"/>
    </row>
    <row r="3" spans="1:22" ht="18" customHeight="1" x14ac:dyDescent="0.25">
      <c r="B3" s="10"/>
      <c r="C3" s="10"/>
      <c r="D3" s="10"/>
    </row>
    <row r="4" spans="1:22" ht="18" customHeight="1" x14ac:dyDescent="0.25">
      <c r="B4" s="10"/>
      <c r="C4" s="10"/>
      <c r="D4" s="83" t="s">
        <v>397</v>
      </c>
      <c r="F4" s="83" t="s">
        <v>398</v>
      </c>
      <c r="G4" s="83"/>
      <c r="I4" s="83" t="s">
        <v>385</v>
      </c>
      <c r="M4" s="83" t="s">
        <v>416</v>
      </c>
      <c r="P4" s="83" t="s">
        <v>417</v>
      </c>
      <c r="Q4" s="83"/>
      <c r="R4" s="83" t="s">
        <v>414</v>
      </c>
      <c r="U4" s="83" t="s">
        <v>414</v>
      </c>
    </row>
    <row r="5" spans="1:22" ht="18" customHeight="1" x14ac:dyDescent="0.25">
      <c r="A5" s="8"/>
      <c r="D5" s="16"/>
      <c r="E5" s="17"/>
      <c r="I5" s="17"/>
    </row>
    <row r="6" spans="1:22" ht="15" x14ac:dyDescent="0.25">
      <c r="D6" s="81" t="s">
        <v>88</v>
      </c>
      <c r="E6" s="16"/>
      <c r="F6" s="85" t="s">
        <v>395</v>
      </c>
      <c r="G6" s="32" t="s">
        <v>396</v>
      </c>
      <c r="I6" s="32" t="s">
        <v>168</v>
      </c>
      <c r="J6" t="s">
        <v>268</v>
      </c>
      <c r="M6" t="s">
        <v>418</v>
      </c>
      <c r="N6" t="s">
        <v>419</v>
      </c>
      <c r="O6" s="1"/>
      <c r="P6" s="32" t="s">
        <v>415</v>
      </c>
      <c r="Q6" s="103"/>
      <c r="R6" s="32" t="s">
        <v>413</v>
      </c>
      <c r="S6" s="32" t="s">
        <v>302</v>
      </c>
      <c r="U6" t="s">
        <v>676</v>
      </c>
      <c r="V6" t="s">
        <v>675</v>
      </c>
    </row>
    <row r="7" spans="1:22" ht="15" x14ac:dyDescent="0.25">
      <c r="A7" s="9"/>
      <c r="D7" s="81" t="s">
        <v>12</v>
      </c>
      <c r="E7" s="16"/>
      <c r="F7" s="85" t="s">
        <v>232</v>
      </c>
      <c r="G7" s="32" t="s">
        <v>389</v>
      </c>
      <c r="I7" s="32" t="s">
        <v>0</v>
      </c>
      <c r="J7" t="s">
        <v>275</v>
      </c>
      <c r="M7" t="s">
        <v>93</v>
      </c>
      <c r="N7" t="s">
        <v>420</v>
      </c>
      <c r="O7" s="1"/>
      <c r="P7" t="s">
        <v>85</v>
      </c>
      <c r="Q7" s="1"/>
      <c r="R7" t="s">
        <v>119</v>
      </c>
      <c r="S7" t="str">
        <f>DMIRenamed[[#This Row],[DMIRenamed]]&amp;"_DMI"</f>
        <v>票息_DMI</v>
      </c>
      <c r="U7" t="s">
        <v>502</v>
      </c>
      <c r="V7" t="s">
        <v>503</v>
      </c>
    </row>
    <row r="8" spans="1:22" ht="15" x14ac:dyDescent="0.25">
      <c r="D8" s="81" t="s">
        <v>28</v>
      </c>
      <c r="E8" s="16"/>
      <c r="F8" s="85" t="s">
        <v>233</v>
      </c>
      <c r="G8" s="32" t="s">
        <v>391</v>
      </c>
      <c r="I8" s="32" t="s">
        <v>4</v>
      </c>
      <c r="J8" t="s">
        <v>269</v>
      </c>
      <c r="M8" t="s">
        <v>236</v>
      </c>
      <c r="N8" t="s">
        <v>424</v>
      </c>
      <c r="O8" s="1"/>
      <c r="P8" t="s">
        <v>425</v>
      </c>
      <c r="Q8" s="1"/>
      <c r="R8" t="s">
        <v>309</v>
      </c>
      <c r="S8" t="str">
        <f>DMIRenamed[[#This Row],[DMIRenamed]]&amp;"_DMI"</f>
        <v>IPT_DMI</v>
      </c>
      <c r="U8" t="s">
        <v>509</v>
      </c>
      <c r="V8" t="s">
        <v>511</v>
      </c>
    </row>
    <row r="9" spans="1:22" ht="15" x14ac:dyDescent="0.25">
      <c r="A9" s="14"/>
      <c r="D9" s="81" t="s">
        <v>33</v>
      </c>
      <c r="E9" s="16"/>
      <c r="F9" s="85" t="s">
        <v>234</v>
      </c>
      <c r="G9" s="32" t="s">
        <v>390</v>
      </c>
      <c r="I9" s="32" t="s">
        <v>5</v>
      </c>
      <c r="J9" t="s">
        <v>270</v>
      </c>
      <c r="M9" t="s">
        <v>48</v>
      </c>
      <c r="N9" t="s">
        <v>420</v>
      </c>
      <c r="O9" s="1"/>
      <c r="P9" t="s">
        <v>93</v>
      </c>
      <c r="Q9" s="1"/>
      <c r="R9" t="s">
        <v>53</v>
      </c>
      <c r="S9" t="str">
        <f>DMIRenamed[[#This Row],[DMIRenamed]]&amp;"_DMI"</f>
        <v>FPG_DMI</v>
      </c>
      <c r="U9" t="s">
        <v>510</v>
      </c>
      <c r="V9" t="s">
        <v>512</v>
      </c>
    </row>
    <row r="10" spans="1:22" ht="15" x14ac:dyDescent="0.25">
      <c r="D10" s="81" t="s">
        <v>29</v>
      </c>
      <c r="E10" s="16"/>
      <c r="F10" s="85" t="s">
        <v>392</v>
      </c>
      <c r="G10" s="84"/>
      <c r="I10" s="32" t="s">
        <v>6</v>
      </c>
      <c r="J10" t="s">
        <v>271</v>
      </c>
      <c r="M10" t="s">
        <v>49</v>
      </c>
      <c r="N10" t="s">
        <v>420</v>
      </c>
      <c r="O10" s="1"/>
      <c r="P10" t="s">
        <v>48</v>
      </c>
      <c r="Q10" s="1"/>
      <c r="R10" t="s">
        <v>151</v>
      </c>
      <c r="S10" t="str">
        <f>DMIRenamed[[#This Row],[DMIRenamed]]&amp;"_DMI"</f>
        <v>定价_DMI</v>
      </c>
      <c r="U10" t="s">
        <v>513</v>
      </c>
      <c r="V10" t="s">
        <v>515</v>
      </c>
    </row>
    <row r="11" spans="1:22" ht="15" x14ac:dyDescent="0.25">
      <c r="A11" s="11"/>
      <c r="D11" s="81" t="s">
        <v>34</v>
      </c>
      <c r="F11" s="85" t="s">
        <v>393</v>
      </c>
      <c r="G11" s="32"/>
      <c r="I11" s="32" t="s">
        <v>230</v>
      </c>
      <c r="J11" t="s">
        <v>272</v>
      </c>
      <c r="M11" t="s">
        <v>323</v>
      </c>
      <c r="N11" t="s">
        <v>422</v>
      </c>
      <c r="O11" s="1"/>
      <c r="P11" t="s">
        <v>49</v>
      </c>
      <c r="Q11" s="1"/>
      <c r="U11" t="s">
        <v>514</v>
      </c>
      <c r="V11" t="s">
        <v>516</v>
      </c>
    </row>
    <row r="12" spans="1:22" ht="15" x14ac:dyDescent="0.25">
      <c r="D12" s="81" t="s">
        <v>9</v>
      </c>
      <c r="F12" s="91" t="s">
        <v>7</v>
      </c>
      <c r="G12" s="91" t="s">
        <v>7</v>
      </c>
      <c r="M12" t="s">
        <v>80</v>
      </c>
      <c r="N12" t="s">
        <v>420</v>
      </c>
      <c r="O12" s="1"/>
      <c r="P12" t="s">
        <v>134</v>
      </c>
      <c r="Q12" s="1"/>
      <c r="U12" t="s">
        <v>517</v>
      </c>
      <c r="V12" t="s">
        <v>518</v>
      </c>
    </row>
    <row r="13" spans="1:22" ht="15" x14ac:dyDescent="0.25">
      <c r="A13" s="12"/>
      <c r="D13" s="81" t="s">
        <v>30</v>
      </c>
      <c r="G13" s="86"/>
      <c r="M13" t="s">
        <v>81</v>
      </c>
      <c r="N13" t="s">
        <v>420</v>
      </c>
      <c r="O13" s="1"/>
      <c r="P13" t="s">
        <v>176</v>
      </c>
      <c r="Q13" s="1"/>
      <c r="U13" t="s">
        <v>520</v>
      </c>
      <c r="V13" t="s">
        <v>519</v>
      </c>
    </row>
    <row r="14" spans="1:22" ht="15" x14ac:dyDescent="0.25">
      <c r="D14" s="81" t="s">
        <v>32</v>
      </c>
      <c r="F14" s="42" t="s">
        <v>92</v>
      </c>
      <c r="G14" s="86"/>
      <c r="I14" s="32" t="s">
        <v>204</v>
      </c>
      <c r="J14" t="s">
        <v>274</v>
      </c>
      <c r="M14" t="s">
        <v>104</v>
      </c>
      <c r="N14" t="s">
        <v>424</v>
      </c>
      <c r="O14" s="1"/>
      <c r="P14" t="s">
        <v>51</v>
      </c>
      <c r="Q14" s="1"/>
      <c r="U14" t="s">
        <v>521</v>
      </c>
      <c r="V14" t="s">
        <v>528</v>
      </c>
    </row>
    <row r="15" spans="1:22" ht="15" x14ac:dyDescent="0.25">
      <c r="A15" s="15"/>
      <c r="D15" s="81" t="s">
        <v>13</v>
      </c>
      <c r="F15" s="42" t="s">
        <v>132</v>
      </c>
      <c r="G15" s="87"/>
      <c r="I15" s="32" t="s">
        <v>193</v>
      </c>
      <c r="J15">
        <v>1</v>
      </c>
      <c r="M15" t="s">
        <v>79</v>
      </c>
      <c r="N15" t="s">
        <v>423</v>
      </c>
      <c r="O15" s="1"/>
      <c r="P15" t="s">
        <v>64</v>
      </c>
      <c r="Q15" s="1"/>
      <c r="U15" t="s">
        <v>522</v>
      </c>
      <c r="V15" t="s">
        <v>531</v>
      </c>
    </row>
    <row r="16" spans="1:22" ht="15" x14ac:dyDescent="0.25">
      <c r="D16" s="81" t="s">
        <v>17</v>
      </c>
      <c r="F16" s="42" t="s">
        <v>133</v>
      </c>
      <c r="G16" s="87"/>
      <c r="I16" s="32" t="s">
        <v>194</v>
      </c>
      <c r="J16">
        <v>2</v>
      </c>
      <c r="M16" t="s">
        <v>78</v>
      </c>
      <c r="N16" t="s">
        <v>424</v>
      </c>
      <c r="O16" s="1"/>
      <c r="P16" t="s">
        <v>57</v>
      </c>
      <c r="Q16" s="1"/>
      <c r="U16" t="s">
        <v>523</v>
      </c>
      <c r="V16" t="s">
        <v>532</v>
      </c>
    </row>
    <row r="17" spans="1:22" ht="15" x14ac:dyDescent="0.25">
      <c r="A17" s="13"/>
      <c r="D17" s="81" t="s">
        <v>8</v>
      </c>
      <c r="F17" s="42" t="s">
        <v>115</v>
      </c>
      <c r="G17" s="86"/>
      <c r="I17" s="32" t="s">
        <v>195</v>
      </c>
      <c r="J17">
        <v>3</v>
      </c>
      <c r="M17" t="s">
        <v>77</v>
      </c>
      <c r="N17" t="s">
        <v>423</v>
      </c>
      <c r="O17" s="1"/>
      <c r="P17" t="s">
        <v>86</v>
      </c>
      <c r="Q17" s="1"/>
      <c r="U17" t="s">
        <v>524</v>
      </c>
      <c r="V17" t="s">
        <v>535</v>
      </c>
    </row>
    <row r="18" spans="1:22" ht="15" x14ac:dyDescent="0.25">
      <c r="D18" s="81" t="s">
        <v>22</v>
      </c>
      <c r="G18" s="86"/>
      <c r="I18" s="32" t="s">
        <v>196</v>
      </c>
      <c r="J18">
        <v>4</v>
      </c>
      <c r="M18" t="s">
        <v>76</v>
      </c>
      <c r="N18" t="s">
        <v>424</v>
      </c>
      <c r="O18" s="1"/>
      <c r="P18" t="s">
        <v>119</v>
      </c>
      <c r="Q18" s="1"/>
      <c r="U18" t="s">
        <v>525</v>
      </c>
      <c r="V18" t="s">
        <v>539</v>
      </c>
    </row>
    <row r="19" spans="1:22" ht="15" x14ac:dyDescent="0.25">
      <c r="A19" s="14"/>
      <c r="D19" s="81" t="s">
        <v>16</v>
      </c>
      <c r="F19" s="43" t="s">
        <v>43</v>
      </c>
      <c r="I19" s="32" t="s">
        <v>2</v>
      </c>
      <c r="J19">
        <v>5</v>
      </c>
      <c r="M19" t="s">
        <v>75</v>
      </c>
      <c r="N19" t="s">
        <v>423</v>
      </c>
      <c r="O19" s="1"/>
      <c r="P19" t="s">
        <v>87</v>
      </c>
      <c r="Q19" s="1"/>
      <c r="U19" t="s">
        <v>526</v>
      </c>
      <c r="V19" t="s">
        <v>540</v>
      </c>
    </row>
    <row r="20" spans="1:22" ht="15" x14ac:dyDescent="0.25">
      <c r="D20" s="81" t="s">
        <v>20</v>
      </c>
      <c r="F20" s="43" t="s">
        <v>1</v>
      </c>
      <c r="G20" s="88"/>
      <c r="I20" s="32" t="s">
        <v>197</v>
      </c>
      <c r="J20">
        <v>6</v>
      </c>
      <c r="M20" t="s">
        <v>225</v>
      </c>
      <c r="N20" t="s">
        <v>423</v>
      </c>
      <c r="O20" s="1"/>
      <c r="P20" t="s">
        <v>53</v>
      </c>
      <c r="Q20" s="1"/>
      <c r="U20" t="s">
        <v>527</v>
      </c>
      <c r="V20" t="s">
        <v>541</v>
      </c>
    </row>
    <row r="21" spans="1:22" ht="15" x14ac:dyDescent="0.25">
      <c r="A21" s="32" t="s">
        <v>302</v>
      </c>
      <c r="D21" s="81" t="s">
        <v>10</v>
      </c>
      <c r="F21" s="43" t="s">
        <v>83</v>
      </c>
      <c r="G21" s="88"/>
      <c r="I21" s="32" t="s">
        <v>7</v>
      </c>
      <c r="J21">
        <v>7</v>
      </c>
      <c r="M21" t="s">
        <v>74</v>
      </c>
      <c r="N21" t="s">
        <v>423</v>
      </c>
      <c r="O21" s="1"/>
      <c r="P21" t="s">
        <v>151</v>
      </c>
      <c r="Q21" s="1"/>
      <c r="U21" t="s">
        <v>529</v>
      </c>
      <c r="V21" t="s">
        <v>542</v>
      </c>
    </row>
    <row r="22" spans="1:22" ht="15" x14ac:dyDescent="0.25">
      <c r="A22" s="32"/>
      <c r="D22" s="81" t="s">
        <v>26</v>
      </c>
      <c r="F22" s="81" t="s">
        <v>383</v>
      </c>
      <c r="G22" s="88"/>
      <c r="M22" t="s">
        <v>47</v>
      </c>
      <c r="N22" t="s">
        <v>423</v>
      </c>
      <c r="O22" s="1"/>
      <c r="P22" t="s">
        <v>165</v>
      </c>
      <c r="Q22" s="1"/>
      <c r="U22" t="s">
        <v>530</v>
      </c>
      <c r="V22" t="s">
        <v>543</v>
      </c>
    </row>
    <row r="23" spans="1:22" ht="15" x14ac:dyDescent="0.25">
      <c r="A23" s="127"/>
      <c r="D23" s="81" t="s">
        <v>21</v>
      </c>
      <c r="F23" s="81" t="s">
        <v>384</v>
      </c>
      <c r="G23" s="88"/>
      <c r="I23" s="32" t="s">
        <v>227</v>
      </c>
      <c r="J23" t="s">
        <v>274</v>
      </c>
      <c r="M23" t="s">
        <v>103</v>
      </c>
      <c r="N23" t="s">
        <v>423</v>
      </c>
      <c r="O23" s="1"/>
      <c r="P23" t="s">
        <v>167</v>
      </c>
      <c r="Q23" s="1"/>
      <c r="U23" t="s">
        <v>533</v>
      </c>
      <c r="V23" t="s">
        <v>546</v>
      </c>
    </row>
    <row r="24" spans="1:22" ht="15" x14ac:dyDescent="0.25">
      <c r="A24" s="32" t="s">
        <v>302</v>
      </c>
      <c r="D24" s="81" t="s">
        <v>14</v>
      </c>
      <c r="E24" s="16"/>
      <c r="F24" s="43" t="s">
        <v>2</v>
      </c>
      <c r="G24" s="88"/>
      <c r="I24" s="32" t="s">
        <v>228</v>
      </c>
      <c r="J24">
        <v>1</v>
      </c>
      <c r="M24" t="s">
        <v>73</v>
      </c>
      <c r="N24" t="s">
        <v>424</v>
      </c>
      <c r="O24" s="1"/>
      <c r="P24" t="s">
        <v>59</v>
      </c>
      <c r="Q24" s="1"/>
      <c r="U24" t="s">
        <v>534</v>
      </c>
      <c r="V24" t="s">
        <v>547</v>
      </c>
    </row>
    <row r="25" spans="1:22" ht="15" x14ac:dyDescent="0.25">
      <c r="A25" s="32"/>
      <c r="D25" s="81" t="s">
        <v>18</v>
      </c>
      <c r="E25" s="16"/>
      <c r="F25" s="43" t="s">
        <v>3</v>
      </c>
      <c r="I25" s="32" t="s">
        <v>255</v>
      </c>
      <c r="J25">
        <v>2</v>
      </c>
      <c r="M25" t="s">
        <v>151</v>
      </c>
      <c r="N25" t="s">
        <v>421</v>
      </c>
      <c r="O25" s="1"/>
      <c r="P25" t="s">
        <v>89</v>
      </c>
      <c r="Q25" s="1"/>
      <c r="U25" t="s">
        <v>536</v>
      </c>
      <c r="V25" t="s">
        <v>551</v>
      </c>
    </row>
    <row r="26" spans="1:22" ht="15" x14ac:dyDescent="0.25">
      <c r="A26" s="127"/>
      <c r="D26" s="81" t="s">
        <v>24</v>
      </c>
      <c r="E26" s="16"/>
      <c r="G26" s="88"/>
      <c r="I26" s="32" t="s">
        <v>256</v>
      </c>
      <c r="J26">
        <v>3</v>
      </c>
      <c r="M26" t="s">
        <v>72</v>
      </c>
      <c r="N26" t="s">
        <v>424</v>
      </c>
      <c r="O26" s="1"/>
      <c r="P26" t="s">
        <v>90</v>
      </c>
      <c r="Q26" s="1"/>
      <c r="U26" t="s">
        <v>537</v>
      </c>
      <c r="V26" t="s">
        <v>552</v>
      </c>
    </row>
    <row r="27" spans="1:22" ht="15" x14ac:dyDescent="0.25">
      <c r="A27" s="32" t="s">
        <v>302</v>
      </c>
      <c r="D27" s="81" t="s">
        <v>27</v>
      </c>
      <c r="E27" s="16"/>
      <c r="F27" s="32" t="s">
        <v>95</v>
      </c>
      <c r="G27" s="88"/>
      <c r="I27" s="32" t="s">
        <v>257</v>
      </c>
      <c r="J27">
        <v>4</v>
      </c>
      <c r="M27" t="s">
        <v>71</v>
      </c>
      <c r="N27" t="s">
        <v>420</v>
      </c>
      <c r="O27" s="1"/>
      <c r="P27" t="s">
        <v>185</v>
      </c>
      <c r="Q27" s="1"/>
      <c r="U27" t="s">
        <v>538</v>
      </c>
      <c r="V27" t="s">
        <v>558</v>
      </c>
    </row>
    <row r="28" spans="1:22" ht="15" x14ac:dyDescent="0.25">
      <c r="A28" s="32"/>
      <c r="D28" s="81" t="s">
        <v>11</v>
      </c>
      <c r="E28" s="16"/>
      <c r="F28" s="32" t="s">
        <v>310</v>
      </c>
      <c r="G28" s="88"/>
      <c r="I28" s="32" t="s">
        <v>258</v>
      </c>
      <c r="J28">
        <v>5</v>
      </c>
      <c r="M28" t="s">
        <v>70</v>
      </c>
      <c r="N28" t="s">
        <v>420</v>
      </c>
      <c r="O28" s="1"/>
      <c r="P28" t="s">
        <v>186</v>
      </c>
      <c r="Q28" s="1"/>
      <c r="U28" t="s">
        <v>544</v>
      </c>
      <c r="V28" t="s">
        <v>559</v>
      </c>
    </row>
    <row r="29" spans="1:22" ht="15" x14ac:dyDescent="0.25">
      <c r="A29" s="127"/>
      <c r="D29" s="81" t="s">
        <v>19</v>
      </c>
      <c r="E29" s="16"/>
      <c r="F29" s="32" t="s">
        <v>386</v>
      </c>
      <c r="G29" s="88"/>
      <c r="I29" s="32" t="s">
        <v>7</v>
      </c>
      <c r="J29">
        <v>6</v>
      </c>
      <c r="M29" t="s">
        <v>69</v>
      </c>
      <c r="N29" t="s">
        <v>420</v>
      </c>
      <c r="O29" s="1"/>
      <c r="P29" t="s">
        <v>140</v>
      </c>
      <c r="Q29" s="1"/>
      <c r="U29" t="s">
        <v>545</v>
      </c>
      <c r="V29" t="s">
        <v>561</v>
      </c>
    </row>
    <row r="30" spans="1:22" ht="15" x14ac:dyDescent="0.25">
      <c r="A30" s="32" t="s">
        <v>302</v>
      </c>
      <c r="D30" s="81" t="s">
        <v>25</v>
      </c>
      <c r="E30" s="16"/>
      <c r="F30" s="32" t="s">
        <v>387</v>
      </c>
      <c r="G30" s="89"/>
      <c r="I30" s="22"/>
      <c r="J30" s="22"/>
      <c r="M30" t="s">
        <v>68</v>
      </c>
      <c r="N30" t="s">
        <v>423</v>
      </c>
      <c r="O30" s="1"/>
      <c r="P30" t="s">
        <v>80</v>
      </c>
      <c r="Q30" s="1"/>
      <c r="U30" t="s">
        <v>548</v>
      </c>
      <c r="V30" t="s">
        <v>564</v>
      </c>
    </row>
    <row r="31" spans="1:22" ht="15" x14ac:dyDescent="0.25">
      <c r="A31" s="32"/>
      <c r="D31" s="81" t="s">
        <v>23</v>
      </c>
      <c r="E31" s="16"/>
      <c r="F31" s="32" t="s">
        <v>388</v>
      </c>
      <c r="I31" s="32" t="s">
        <v>146</v>
      </c>
      <c r="J31" t="s">
        <v>274</v>
      </c>
      <c r="M31" t="s">
        <v>102</v>
      </c>
      <c r="N31" t="s">
        <v>424</v>
      </c>
      <c r="O31" s="1"/>
      <c r="P31" t="s">
        <v>66</v>
      </c>
      <c r="Q31" s="1"/>
      <c r="U31" t="s">
        <v>549</v>
      </c>
      <c r="V31" t="s">
        <v>572</v>
      </c>
    </row>
    <row r="32" spans="1:22" ht="15" x14ac:dyDescent="0.25">
      <c r="A32" s="127"/>
      <c r="D32" s="81" t="s">
        <v>142</v>
      </c>
      <c r="E32" s="16"/>
      <c r="I32" s="32" t="s">
        <v>211</v>
      </c>
      <c r="J32">
        <v>1</v>
      </c>
      <c r="M32" t="s">
        <v>67</v>
      </c>
      <c r="N32" t="s">
        <v>423</v>
      </c>
      <c r="O32" s="1"/>
      <c r="P32" t="s">
        <v>69</v>
      </c>
      <c r="Q32" s="1"/>
      <c r="U32" t="s">
        <v>550</v>
      </c>
      <c r="V32" t="s">
        <v>577</v>
      </c>
    </row>
    <row r="33" spans="1:22" ht="15" x14ac:dyDescent="0.25">
      <c r="A33" s="32" t="s">
        <v>302</v>
      </c>
      <c r="D33" s="81" t="s">
        <v>15</v>
      </c>
      <c r="E33" s="16"/>
      <c r="F33" s="32" t="s">
        <v>171</v>
      </c>
      <c r="I33" s="32" t="s">
        <v>149</v>
      </c>
      <c r="J33">
        <v>2</v>
      </c>
      <c r="M33" t="s">
        <v>66</v>
      </c>
      <c r="N33" t="s">
        <v>420</v>
      </c>
      <c r="O33" s="1"/>
      <c r="P33" t="s">
        <v>52</v>
      </c>
      <c r="Q33" s="1"/>
      <c r="U33" t="s">
        <v>553</v>
      </c>
      <c r="V33" t="s">
        <v>581</v>
      </c>
    </row>
    <row r="34" spans="1:22" ht="15" x14ac:dyDescent="0.25">
      <c r="A34" s="32"/>
      <c r="D34" s="81" t="s">
        <v>35</v>
      </c>
      <c r="E34" s="16"/>
      <c r="F34" s="32" t="s">
        <v>180</v>
      </c>
      <c r="I34" s="32" t="s">
        <v>148</v>
      </c>
      <c r="J34">
        <v>3</v>
      </c>
      <c r="M34" t="s">
        <v>97</v>
      </c>
      <c r="N34" t="s">
        <v>423</v>
      </c>
      <c r="O34" s="1"/>
      <c r="P34" t="s">
        <v>172</v>
      </c>
      <c r="Q34" s="1"/>
      <c r="U34" t="s">
        <v>554</v>
      </c>
      <c r="V34" t="s">
        <v>584</v>
      </c>
    </row>
    <row r="35" spans="1:22" ht="15" x14ac:dyDescent="0.25">
      <c r="A35" s="127"/>
      <c r="D35" s="81" t="s">
        <v>141</v>
      </c>
      <c r="E35" s="16"/>
      <c r="F35" s="32" t="s">
        <v>183</v>
      </c>
      <c r="I35" s="32" t="s">
        <v>212</v>
      </c>
      <c r="J35">
        <v>4</v>
      </c>
      <c r="M35" t="s">
        <v>101</v>
      </c>
      <c r="N35" t="s">
        <v>424</v>
      </c>
      <c r="O35" s="1"/>
      <c r="P35" t="s">
        <v>173</v>
      </c>
      <c r="Q35" s="1"/>
      <c r="U35" t="s">
        <v>555</v>
      </c>
      <c r="V35" t="s">
        <v>585</v>
      </c>
    </row>
    <row r="36" spans="1:22" ht="15" x14ac:dyDescent="0.25">
      <c r="A36" s="32" t="s">
        <v>302</v>
      </c>
      <c r="D36" s="81" t="s">
        <v>31</v>
      </c>
      <c r="E36" s="16"/>
      <c r="F36" s="32" t="s">
        <v>191</v>
      </c>
      <c r="I36" s="32" t="s">
        <v>189</v>
      </c>
      <c r="J36">
        <v>5</v>
      </c>
      <c r="M36" t="s">
        <v>100</v>
      </c>
      <c r="N36" t="s">
        <v>424</v>
      </c>
      <c r="O36" s="1"/>
      <c r="P36" t="s">
        <v>210</v>
      </c>
      <c r="Q36" s="1"/>
      <c r="U36" t="s">
        <v>556</v>
      </c>
      <c r="V36" t="s">
        <v>586</v>
      </c>
    </row>
    <row r="37" spans="1:22" ht="15" x14ac:dyDescent="0.25">
      <c r="A37" s="32"/>
      <c r="D37" s="81" t="s">
        <v>143</v>
      </c>
      <c r="E37" s="16"/>
      <c r="F37" s="84" t="s">
        <v>7</v>
      </c>
      <c r="I37" s="32" t="s">
        <v>188</v>
      </c>
      <c r="J37">
        <v>6</v>
      </c>
      <c r="M37" t="s">
        <v>224</v>
      </c>
      <c r="N37" t="s">
        <v>420</v>
      </c>
      <c r="O37" s="1"/>
      <c r="P37" t="s">
        <v>696</v>
      </c>
      <c r="Q37" s="1"/>
      <c r="U37" t="s">
        <v>557</v>
      </c>
      <c r="V37" t="s">
        <v>588</v>
      </c>
    </row>
    <row r="38" spans="1:22" ht="15" x14ac:dyDescent="0.25">
      <c r="A38" s="127"/>
      <c r="D38" s="81" t="s">
        <v>381</v>
      </c>
      <c r="E38" s="16"/>
      <c r="M38" t="s">
        <v>223</v>
      </c>
      <c r="N38" t="s">
        <v>423</v>
      </c>
      <c r="O38" s="1"/>
      <c r="P38" t="s">
        <v>231</v>
      </c>
      <c r="Q38" s="1"/>
      <c r="U38" t="s">
        <v>560</v>
      </c>
      <c r="V38" t="s">
        <v>592</v>
      </c>
    </row>
    <row r="39" spans="1:22" ht="15" x14ac:dyDescent="0.25">
      <c r="A39" s="32" t="s">
        <v>302</v>
      </c>
      <c r="D39" s="81" t="s">
        <v>382</v>
      </c>
      <c r="E39" s="16"/>
      <c r="I39" s="32" t="s">
        <v>64</v>
      </c>
      <c r="J39" s="32" t="s">
        <v>274</v>
      </c>
      <c r="M39" t="s">
        <v>222</v>
      </c>
      <c r="N39" t="s">
        <v>423</v>
      </c>
      <c r="O39" s="1"/>
      <c r="P39" t="s">
        <v>259</v>
      </c>
      <c r="Q39" s="1"/>
      <c r="U39" t="s">
        <v>562</v>
      </c>
      <c r="V39" t="s">
        <v>594</v>
      </c>
    </row>
    <row r="40" spans="1:22" ht="15" x14ac:dyDescent="0.25">
      <c r="A40" s="32"/>
      <c r="E40" s="16"/>
      <c r="I40" s="32" t="s">
        <v>84</v>
      </c>
      <c r="J40">
        <v>1</v>
      </c>
      <c r="M40" t="s">
        <v>221</v>
      </c>
      <c r="N40" t="s">
        <v>423</v>
      </c>
      <c r="O40" s="1"/>
      <c r="P40" t="s">
        <v>207</v>
      </c>
      <c r="Q40" s="1"/>
      <c r="U40" t="s">
        <v>563</v>
      </c>
      <c r="V40" t="s">
        <v>598</v>
      </c>
    </row>
    <row r="41" spans="1:22" ht="15" x14ac:dyDescent="0.25">
      <c r="A41" s="127"/>
      <c r="D41" s="81" t="s">
        <v>41</v>
      </c>
      <c r="E41" s="16"/>
      <c r="I41" s="32" t="s">
        <v>105</v>
      </c>
      <c r="J41">
        <v>2</v>
      </c>
      <c r="M41" t="s">
        <v>96</v>
      </c>
      <c r="N41" t="s">
        <v>424</v>
      </c>
      <c r="O41" s="1"/>
      <c r="P41" t="s">
        <v>70</v>
      </c>
      <c r="Q41" s="1"/>
      <c r="U41" t="s">
        <v>565</v>
      </c>
      <c r="V41" t="s">
        <v>599</v>
      </c>
    </row>
    <row r="42" spans="1:22" ht="15" x14ac:dyDescent="0.25">
      <c r="A42" s="32" t="s">
        <v>302</v>
      </c>
      <c r="D42" s="81" t="s">
        <v>355</v>
      </c>
      <c r="E42" s="16"/>
      <c r="I42" s="32" t="s">
        <v>108</v>
      </c>
      <c r="J42">
        <v>3</v>
      </c>
      <c r="M42" t="s">
        <v>42</v>
      </c>
      <c r="N42" t="s">
        <v>420</v>
      </c>
      <c r="O42" s="1"/>
      <c r="P42" t="s">
        <v>71</v>
      </c>
      <c r="Q42" s="1"/>
      <c r="U42" t="s">
        <v>566</v>
      </c>
      <c r="V42" t="s">
        <v>602</v>
      </c>
    </row>
    <row r="43" spans="1:22" ht="15" x14ac:dyDescent="0.25">
      <c r="A43" s="32"/>
      <c r="D43" s="81" t="s">
        <v>328</v>
      </c>
      <c r="E43" s="16"/>
      <c r="I43" s="32" t="s">
        <v>110</v>
      </c>
      <c r="J43">
        <v>4</v>
      </c>
      <c r="M43" t="s">
        <v>98</v>
      </c>
      <c r="N43" t="s">
        <v>424</v>
      </c>
      <c r="O43" s="1"/>
      <c r="P43" t="s">
        <v>81</v>
      </c>
      <c r="Q43" s="1"/>
      <c r="U43" t="s">
        <v>567</v>
      </c>
      <c r="V43" t="s">
        <v>607</v>
      </c>
    </row>
    <row r="44" spans="1:22" ht="15" x14ac:dyDescent="0.25">
      <c r="A44" s="127"/>
      <c r="D44" s="81" t="s">
        <v>329</v>
      </c>
      <c r="E44" s="16"/>
      <c r="I44" s="32" t="s">
        <v>260</v>
      </c>
      <c r="J44">
        <v>5</v>
      </c>
      <c r="M44" t="s">
        <v>220</v>
      </c>
      <c r="N44" t="s">
        <v>424</v>
      </c>
      <c r="O44" s="1"/>
      <c r="P44" t="s">
        <v>41</v>
      </c>
      <c r="Q44" s="1"/>
      <c r="U44" t="s">
        <v>568</v>
      </c>
      <c r="V44" t="s">
        <v>609</v>
      </c>
    </row>
    <row r="45" spans="1:22" ht="15" x14ac:dyDescent="0.25">
      <c r="A45" s="32" t="s">
        <v>302</v>
      </c>
      <c r="D45" s="81" t="s">
        <v>330</v>
      </c>
      <c r="E45" s="16"/>
      <c r="I45" s="32" t="s">
        <v>276</v>
      </c>
      <c r="J45">
        <v>6</v>
      </c>
      <c r="M45" t="s">
        <v>43</v>
      </c>
      <c r="N45" t="s">
        <v>420</v>
      </c>
      <c r="O45" s="1"/>
      <c r="P45" t="s">
        <v>138</v>
      </c>
      <c r="Q45" s="1"/>
      <c r="U45" t="s">
        <v>569</v>
      </c>
      <c r="V45" t="s">
        <v>610</v>
      </c>
    </row>
    <row r="46" spans="1:22" ht="15" x14ac:dyDescent="0.25">
      <c r="A46" s="32"/>
      <c r="D46" s="81" t="s">
        <v>326</v>
      </c>
      <c r="E46" s="16"/>
      <c r="I46" s="32" t="s">
        <v>277</v>
      </c>
      <c r="J46">
        <v>7</v>
      </c>
      <c r="M46" t="s">
        <v>51</v>
      </c>
      <c r="N46" t="s">
        <v>420</v>
      </c>
      <c r="O46" s="1"/>
      <c r="P46" t="s">
        <v>505</v>
      </c>
      <c r="Q46" s="1"/>
      <c r="U46" t="s">
        <v>570</v>
      </c>
      <c r="V46" t="s">
        <v>619</v>
      </c>
    </row>
    <row r="47" spans="1:22" ht="15" x14ac:dyDescent="0.25">
      <c r="D47" s="81" t="s">
        <v>331</v>
      </c>
      <c r="E47" s="16"/>
      <c r="I47" s="32" t="s">
        <v>278</v>
      </c>
      <c r="J47">
        <v>8</v>
      </c>
      <c r="M47" t="s">
        <v>175</v>
      </c>
      <c r="N47" t="s">
        <v>424</v>
      </c>
      <c r="O47" s="1"/>
      <c r="P47" t="s">
        <v>216</v>
      </c>
      <c r="Q47" s="1"/>
      <c r="U47" t="s">
        <v>571</v>
      </c>
      <c r="V47" t="s">
        <v>624</v>
      </c>
    </row>
    <row r="48" spans="1:22" ht="15" x14ac:dyDescent="0.25">
      <c r="D48" s="81" t="s">
        <v>332</v>
      </c>
      <c r="E48" s="16"/>
      <c r="I48" s="32" t="s">
        <v>279</v>
      </c>
      <c r="J48">
        <v>9</v>
      </c>
      <c r="M48" t="s">
        <v>95</v>
      </c>
      <c r="N48" t="s">
        <v>423</v>
      </c>
      <c r="O48" s="1"/>
      <c r="P48" t="s">
        <v>209</v>
      </c>
      <c r="Q48" s="1"/>
      <c r="U48" t="s">
        <v>573</v>
      </c>
      <c r="V48" t="s">
        <v>626</v>
      </c>
    </row>
    <row r="49" spans="4:22" ht="15" x14ac:dyDescent="0.25">
      <c r="D49" s="81" t="s">
        <v>333</v>
      </c>
      <c r="E49" s="16"/>
      <c r="I49" s="32" t="s">
        <v>280</v>
      </c>
      <c r="J49">
        <v>10</v>
      </c>
      <c r="M49" t="s">
        <v>44</v>
      </c>
      <c r="N49" t="s">
        <v>420</v>
      </c>
      <c r="O49" s="1"/>
      <c r="P49" t="s">
        <v>217</v>
      </c>
      <c r="Q49" s="1"/>
      <c r="U49" t="s">
        <v>574</v>
      </c>
      <c r="V49" t="s">
        <v>628</v>
      </c>
    </row>
    <row r="50" spans="4:22" ht="15" x14ac:dyDescent="0.25">
      <c r="D50" s="81" t="s">
        <v>334</v>
      </c>
      <c r="E50" s="16"/>
      <c r="I50" s="32" t="s">
        <v>281</v>
      </c>
      <c r="J50">
        <v>11</v>
      </c>
      <c r="M50" t="s">
        <v>198</v>
      </c>
      <c r="N50" t="s">
        <v>420</v>
      </c>
      <c r="O50" s="1"/>
      <c r="P50" t="s">
        <v>218</v>
      </c>
      <c r="Q50" s="1"/>
      <c r="U50" t="s">
        <v>575</v>
      </c>
      <c r="V50" t="s">
        <v>634</v>
      </c>
    </row>
    <row r="51" spans="4:22" ht="15" x14ac:dyDescent="0.25">
      <c r="D51" s="81" t="s">
        <v>335</v>
      </c>
      <c r="E51" s="16"/>
      <c r="M51" t="s">
        <v>65</v>
      </c>
      <c r="N51" t="s">
        <v>423</v>
      </c>
      <c r="O51" s="1"/>
      <c r="P51" t="s">
        <v>301</v>
      </c>
      <c r="Q51" s="1"/>
      <c r="U51" t="s">
        <v>576</v>
      </c>
      <c r="V51" t="s">
        <v>644</v>
      </c>
    </row>
    <row r="52" spans="4:22" ht="15" x14ac:dyDescent="0.25">
      <c r="D52" s="81" t="s">
        <v>336</v>
      </c>
      <c r="E52" s="16"/>
      <c r="I52" s="32" t="s">
        <v>282</v>
      </c>
      <c r="J52" s="32" t="s">
        <v>274</v>
      </c>
      <c r="M52" t="s">
        <v>63</v>
      </c>
      <c r="N52" t="s">
        <v>423</v>
      </c>
      <c r="O52" s="1"/>
      <c r="P52" t="s">
        <v>224</v>
      </c>
      <c r="Q52" s="1"/>
      <c r="U52" t="s">
        <v>578</v>
      </c>
      <c r="V52" t="s">
        <v>651</v>
      </c>
    </row>
    <row r="53" spans="4:22" ht="15" x14ac:dyDescent="0.25">
      <c r="D53" s="81" t="s">
        <v>337</v>
      </c>
      <c r="E53" s="16"/>
      <c r="I53" s="32" t="s">
        <v>261</v>
      </c>
      <c r="J53">
        <v>1</v>
      </c>
      <c r="M53" t="s">
        <v>50</v>
      </c>
      <c r="N53" t="s">
        <v>423</v>
      </c>
      <c r="O53" s="1"/>
      <c r="P53" t="s">
        <v>198</v>
      </c>
      <c r="Q53" s="1"/>
      <c r="U53" t="s">
        <v>579</v>
      </c>
      <c r="V53" t="s">
        <v>659</v>
      </c>
    </row>
    <row r="54" spans="4:22" ht="15" x14ac:dyDescent="0.25">
      <c r="D54" s="81" t="s">
        <v>338</v>
      </c>
      <c r="E54" s="16"/>
      <c r="I54" s="32" t="s">
        <v>283</v>
      </c>
      <c r="J54">
        <v>2</v>
      </c>
      <c r="M54" t="s">
        <v>62</v>
      </c>
      <c r="N54" t="s">
        <v>423</v>
      </c>
      <c r="O54" s="1"/>
      <c r="P54" t="s">
        <v>412</v>
      </c>
      <c r="Q54" s="1"/>
      <c r="U54" t="s">
        <v>580</v>
      </c>
      <c r="V54" t="s">
        <v>664</v>
      </c>
    </row>
    <row r="55" spans="4:22" ht="15" x14ac:dyDescent="0.25">
      <c r="D55" s="81" t="s">
        <v>339</v>
      </c>
      <c r="E55" s="16"/>
      <c r="I55" s="32" t="s">
        <v>249</v>
      </c>
      <c r="J55">
        <v>3</v>
      </c>
      <c r="M55" t="s">
        <v>61</v>
      </c>
      <c r="N55" t="s">
        <v>423</v>
      </c>
      <c r="O55" s="1"/>
      <c r="P55" t="s">
        <v>168</v>
      </c>
      <c r="Q55" s="1"/>
      <c r="U55" t="s">
        <v>582</v>
      </c>
      <c r="V55" t="s">
        <v>620</v>
      </c>
    </row>
    <row r="56" spans="4:22" ht="15" x14ac:dyDescent="0.25">
      <c r="D56" s="81" t="s">
        <v>262</v>
      </c>
      <c r="E56" s="16"/>
      <c r="I56" s="32" t="s">
        <v>2</v>
      </c>
      <c r="J56">
        <v>4</v>
      </c>
      <c r="M56" t="s">
        <v>131</v>
      </c>
      <c r="N56" t="s">
        <v>423</v>
      </c>
      <c r="O56" s="1"/>
      <c r="P56" t="s">
        <v>219</v>
      </c>
      <c r="U56" t="s">
        <v>583</v>
      </c>
      <c r="V56"/>
    </row>
    <row r="57" spans="4:22" ht="15" x14ac:dyDescent="0.25">
      <c r="D57" s="81" t="s">
        <v>340</v>
      </c>
      <c r="E57" s="16"/>
      <c r="I57" s="32" t="s">
        <v>284</v>
      </c>
      <c r="J57">
        <v>5</v>
      </c>
      <c r="M57" t="s">
        <v>46</v>
      </c>
      <c r="N57" t="s">
        <v>420</v>
      </c>
      <c r="O57" s="1"/>
      <c r="P57" t="s">
        <v>139</v>
      </c>
      <c r="U57" t="s">
        <v>587</v>
      </c>
      <c r="V57"/>
    </row>
    <row r="58" spans="4:22" ht="15" x14ac:dyDescent="0.25">
      <c r="D58" s="81" t="s">
        <v>341</v>
      </c>
      <c r="E58" s="16"/>
      <c r="I58" s="32" t="s">
        <v>109</v>
      </c>
      <c r="J58">
        <v>6</v>
      </c>
      <c r="M58" t="s">
        <v>45</v>
      </c>
      <c r="N58" t="s">
        <v>420</v>
      </c>
      <c r="O58" s="1"/>
      <c r="U58" t="s">
        <v>589</v>
      </c>
      <c r="V58"/>
    </row>
    <row r="59" spans="4:22" ht="15" x14ac:dyDescent="0.25">
      <c r="D59" s="81" t="s">
        <v>342</v>
      </c>
      <c r="E59" s="16"/>
      <c r="I59" s="32" t="s">
        <v>7</v>
      </c>
      <c r="J59">
        <v>7</v>
      </c>
      <c r="M59" t="s">
        <v>94</v>
      </c>
      <c r="N59" t="s">
        <v>423</v>
      </c>
      <c r="O59" s="1"/>
      <c r="U59" t="s">
        <v>590</v>
      </c>
      <c r="V59"/>
    </row>
    <row r="60" spans="4:22" ht="15" x14ac:dyDescent="0.25">
      <c r="D60" s="81" t="s">
        <v>343</v>
      </c>
      <c r="E60" s="16"/>
      <c r="M60" t="s">
        <v>60</v>
      </c>
      <c r="N60" t="s">
        <v>424</v>
      </c>
      <c r="O60" s="1"/>
      <c r="U60" t="s">
        <v>591</v>
      </c>
      <c r="V60"/>
    </row>
    <row r="61" spans="4:22" ht="15" x14ac:dyDescent="0.25">
      <c r="D61" s="81" t="s">
        <v>344</v>
      </c>
      <c r="E61" s="16"/>
      <c r="I61" s="32" t="s">
        <v>170</v>
      </c>
      <c r="J61" t="s">
        <v>274</v>
      </c>
      <c r="M61" t="s">
        <v>59</v>
      </c>
      <c r="N61" t="s">
        <v>420</v>
      </c>
      <c r="O61" s="1"/>
      <c r="U61" t="s">
        <v>593</v>
      </c>
      <c r="V61"/>
    </row>
    <row r="62" spans="4:22" ht="15" x14ac:dyDescent="0.25">
      <c r="D62" s="81" t="s">
        <v>345</v>
      </c>
      <c r="E62" s="16"/>
      <c r="I62" s="32" t="s">
        <v>182</v>
      </c>
      <c r="J62">
        <v>1</v>
      </c>
      <c r="M62" t="s">
        <v>56</v>
      </c>
      <c r="N62" t="s">
        <v>423</v>
      </c>
      <c r="O62" s="1"/>
      <c r="U62" t="s">
        <v>595</v>
      </c>
      <c r="V62"/>
    </row>
    <row r="63" spans="4:22" ht="15" x14ac:dyDescent="0.25">
      <c r="D63" s="81" t="s">
        <v>346</v>
      </c>
      <c r="E63" s="16"/>
      <c r="I63" s="32" t="s">
        <v>179</v>
      </c>
      <c r="J63">
        <v>2</v>
      </c>
      <c r="M63" t="s">
        <v>57</v>
      </c>
      <c r="N63" t="s">
        <v>420</v>
      </c>
      <c r="O63" s="1"/>
      <c r="U63" t="s">
        <v>596</v>
      </c>
      <c r="V63"/>
    </row>
    <row r="64" spans="4:22" ht="15" x14ac:dyDescent="0.25">
      <c r="D64" s="81" t="s">
        <v>347</v>
      </c>
      <c r="E64" s="16"/>
      <c r="I64" s="32" t="s">
        <v>253</v>
      </c>
      <c r="J64">
        <v>3</v>
      </c>
      <c r="M64" t="s">
        <v>55</v>
      </c>
      <c r="N64" t="s">
        <v>423</v>
      </c>
      <c r="O64" s="1"/>
      <c r="U64" t="s">
        <v>597</v>
      </c>
      <c r="V64"/>
    </row>
    <row r="65" spans="4:22" ht="15" x14ac:dyDescent="0.25">
      <c r="D65" s="81" t="s">
        <v>348</v>
      </c>
      <c r="E65" s="16"/>
      <c r="I65" s="32" t="s">
        <v>252</v>
      </c>
      <c r="J65">
        <v>4</v>
      </c>
      <c r="M65" t="s">
        <v>237</v>
      </c>
      <c r="N65" t="s">
        <v>423</v>
      </c>
      <c r="O65" s="1"/>
      <c r="U65" t="s">
        <v>600</v>
      </c>
      <c r="V65"/>
    </row>
    <row r="66" spans="4:22" ht="15" x14ac:dyDescent="0.25">
      <c r="D66" s="81" t="s">
        <v>349</v>
      </c>
      <c r="E66" s="16"/>
      <c r="I66" s="32" t="s">
        <v>190</v>
      </c>
      <c r="J66">
        <v>5</v>
      </c>
      <c r="M66" t="s">
        <v>322</v>
      </c>
      <c r="N66" t="s">
        <v>423</v>
      </c>
      <c r="O66" s="1"/>
      <c r="U66" t="s">
        <v>601</v>
      </c>
      <c r="V66"/>
    </row>
    <row r="67" spans="4:22" ht="15" x14ac:dyDescent="0.25">
      <c r="D67" s="81" t="s">
        <v>324</v>
      </c>
      <c r="E67" s="16"/>
      <c r="I67" s="32" t="s">
        <v>197</v>
      </c>
      <c r="J67">
        <v>6</v>
      </c>
      <c r="M67" t="s">
        <v>54</v>
      </c>
      <c r="N67" t="s">
        <v>424</v>
      </c>
      <c r="O67" s="1"/>
      <c r="U67" t="s">
        <v>603</v>
      </c>
      <c r="V67"/>
    </row>
    <row r="68" spans="4:22" ht="15" x14ac:dyDescent="0.25">
      <c r="D68" s="81" t="s">
        <v>286</v>
      </c>
      <c r="E68" s="16"/>
      <c r="M68" t="s">
        <v>53</v>
      </c>
      <c r="N68" t="s">
        <v>421</v>
      </c>
      <c r="O68" s="1"/>
      <c r="U68" t="s">
        <v>604</v>
      </c>
      <c r="V68"/>
    </row>
    <row r="69" spans="4:22" ht="15" x14ac:dyDescent="0.25">
      <c r="D69" s="81" t="s">
        <v>350</v>
      </c>
      <c r="E69" s="16"/>
      <c r="I69" t="s">
        <v>138</v>
      </c>
      <c r="J69" t="s">
        <v>274</v>
      </c>
      <c r="M69" t="s">
        <v>309</v>
      </c>
      <c r="N69" t="s">
        <v>421</v>
      </c>
      <c r="O69" s="1"/>
      <c r="U69" t="s">
        <v>605</v>
      </c>
      <c r="V69"/>
    </row>
    <row r="70" spans="4:22" ht="15" x14ac:dyDescent="0.25">
      <c r="D70" s="81" t="s">
        <v>351</v>
      </c>
      <c r="E70" s="16"/>
      <c r="I70" t="s">
        <v>679</v>
      </c>
      <c r="J70">
        <v>1</v>
      </c>
      <c r="M70" t="s">
        <v>99</v>
      </c>
      <c r="N70" t="s">
        <v>423</v>
      </c>
      <c r="O70" s="1"/>
      <c r="U70" t="s">
        <v>606</v>
      </c>
      <c r="V70"/>
    </row>
    <row r="71" spans="4:22" ht="15" x14ac:dyDescent="0.25">
      <c r="D71" s="81" t="s">
        <v>352</v>
      </c>
      <c r="E71" s="16"/>
      <c r="I71" t="s">
        <v>702</v>
      </c>
      <c r="J71">
        <v>2</v>
      </c>
      <c r="M71" t="s">
        <v>52</v>
      </c>
      <c r="N71" t="s">
        <v>420</v>
      </c>
      <c r="O71" s="1"/>
      <c r="U71" t="s">
        <v>608</v>
      </c>
      <c r="V71"/>
    </row>
    <row r="72" spans="4:22" ht="15" x14ac:dyDescent="0.25">
      <c r="D72" s="81" t="s">
        <v>353</v>
      </c>
      <c r="E72" s="16"/>
      <c r="I72" t="s">
        <v>704</v>
      </c>
      <c r="J72">
        <v>3</v>
      </c>
      <c r="M72" t="s">
        <v>119</v>
      </c>
      <c r="N72" t="s">
        <v>421</v>
      </c>
      <c r="O72" s="1"/>
      <c r="U72" t="s">
        <v>611</v>
      </c>
      <c r="V72"/>
    </row>
    <row r="73" spans="4:22" ht="15" x14ac:dyDescent="0.25">
      <c r="D73" s="81" t="s">
        <v>354</v>
      </c>
      <c r="E73" s="16"/>
      <c r="I73" t="s">
        <v>705</v>
      </c>
      <c r="J73">
        <v>4</v>
      </c>
      <c r="M73" t="s">
        <v>64</v>
      </c>
      <c r="N73" t="s">
        <v>420</v>
      </c>
      <c r="O73" s="1"/>
      <c r="U73" t="s">
        <v>612</v>
      </c>
      <c r="V73"/>
    </row>
    <row r="74" spans="4:22" ht="15" x14ac:dyDescent="0.25">
      <c r="D74" s="81" t="s">
        <v>447</v>
      </c>
      <c r="E74" s="16"/>
      <c r="I74" t="s">
        <v>706</v>
      </c>
      <c r="J74">
        <v>5</v>
      </c>
      <c r="M74" t="s">
        <v>58</v>
      </c>
      <c r="N74" t="s">
        <v>423</v>
      </c>
      <c r="O74" s="1"/>
      <c r="U74" t="s">
        <v>613</v>
      </c>
      <c r="V74"/>
    </row>
    <row r="75" spans="4:22" ht="15" x14ac:dyDescent="0.25">
      <c r="D75" s="81" t="s">
        <v>356</v>
      </c>
      <c r="E75" s="16"/>
      <c r="I75" s="17"/>
      <c r="O75" s="1"/>
      <c r="U75" t="s">
        <v>614</v>
      </c>
      <c r="V75"/>
    </row>
    <row r="76" spans="4:22" ht="15" x14ac:dyDescent="0.25">
      <c r="D76" s="81" t="s">
        <v>357</v>
      </c>
      <c r="E76" s="16"/>
      <c r="I76" t="s">
        <v>185</v>
      </c>
      <c r="J76" t="s">
        <v>274</v>
      </c>
      <c r="Q76" s="1"/>
      <c r="U76" t="s">
        <v>615</v>
      </c>
      <c r="V76"/>
    </row>
    <row r="77" spans="4:22" ht="15" x14ac:dyDescent="0.25">
      <c r="D77" s="81" t="s">
        <v>358</v>
      </c>
      <c r="E77" s="16"/>
      <c r="I77" t="s">
        <v>149</v>
      </c>
      <c r="J77">
        <v>1</v>
      </c>
      <c r="Q77" s="1"/>
      <c r="U77" t="s">
        <v>616</v>
      </c>
      <c r="V77"/>
    </row>
    <row r="78" spans="4:22" ht="15" x14ac:dyDescent="0.25">
      <c r="D78" s="81" t="s">
        <v>359</v>
      </c>
      <c r="E78" s="16"/>
      <c r="I78" t="s">
        <v>148</v>
      </c>
      <c r="J78">
        <v>2</v>
      </c>
      <c r="Q78" s="1"/>
      <c r="U78" t="s">
        <v>617</v>
      </c>
      <c r="V78"/>
    </row>
    <row r="79" spans="4:22" ht="15" x14ac:dyDescent="0.25">
      <c r="D79" s="81" t="s">
        <v>360</v>
      </c>
      <c r="E79" s="16"/>
      <c r="I79" t="s">
        <v>964</v>
      </c>
      <c r="J79">
        <v>3</v>
      </c>
      <c r="Q79" s="1"/>
      <c r="U79" t="s">
        <v>618</v>
      </c>
      <c r="V79"/>
    </row>
    <row r="80" spans="4:22" ht="15" x14ac:dyDescent="0.25">
      <c r="D80" s="81" t="s">
        <v>361</v>
      </c>
      <c r="E80" s="16"/>
      <c r="I80" t="s">
        <v>966</v>
      </c>
      <c r="J80">
        <v>4</v>
      </c>
      <c r="Q80" s="1"/>
      <c r="U80" t="s">
        <v>621</v>
      </c>
      <c r="V80"/>
    </row>
    <row r="81" spans="4:22" ht="15" x14ac:dyDescent="0.25">
      <c r="D81" s="81" t="s">
        <v>362</v>
      </c>
      <c r="E81" s="16"/>
      <c r="I81" t="s">
        <v>967</v>
      </c>
      <c r="J81">
        <v>5</v>
      </c>
      <c r="Q81" s="1"/>
      <c r="U81" t="s">
        <v>622</v>
      </c>
      <c r="V81"/>
    </row>
    <row r="82" spans="4:22" ht="15" x14ac:dyDescent="0.25">
      <c r="D82" s="81" t="s">
        <v>363</v>
      </c>
      <c r="E82" s="16"/>
      <c r="I82" t="s">
        <v>7</v>
      </c>
      <c r="J82">
        <v>6</v>
      </c>
      <c r="Q82" s="1"/>
      <c r="U82" t="s">
        <v>623</v>
      </c>
      <c r="V82"/>
    </row>
    <row r="83" spans="4:22" ht="15" x14ac:dyDescent="0.25">
      <c r="D83" s="81" t="s">
        <v>364</v>
      </c>
      <c r="E83" s="16"/>
      <c r="I83" s="17"/>
      <c r="Q83" s="1"/>
      <c r="U83" t="s">
        <v>625</v>
      </c>
      <c r="V83"/>
    </row>
    <row r="84" spans="4:22" ht="15" x14ac:dyDescent="0.25">
      <c r="D84" s="81" t="s">
        <v>365</v>
      </c>
      <c r="E84" s="16"/>
      <c r="I84" s="81" t="s">
        <v>167</v>
      </c>
      <c r="J84" s="32" t="s">
        <v>274</v>
      </c>
      <c r="Q84" s="1"/>
      <c r="U84" t="s">
        <v>627</v>
      </c>
      <c r="V84"/>
    </row>
    <row r="85" spans="4:22" ht="15" x14ac:dyDescent="0.25">
      <c r="D85" s="81" t="s">
        <v>366</v>
      </c>
      <c r="E85" s="16"/>
      <c r="I85" s="160" t="s">
        <v>984</v>
      </c>
      <c r="J85" s="154"/>
      <c r="Q85" s="1"/>
      <c r="U85" t="s">
        <v>629</v>
      </c>
      <c r="V85"/>
    </row>
    <row r="86" spans="4:22" ht="15" x14ac:dyDescent="0.25">
      <c r="D86" s="81" t="s">
        <v>367</v>
      </c>
      <c r="E86" s="16"/>
      <c r="I86" s="160" t="s">
        <v>114</v>
      </c>
      <c r="J86" s="154">
        <v>1</v>
      </c>
      <c r="Q86" s="1"/>
      <c r="U86" t="s">
        <v>630</v>
      </c>
      <c r="V86"/>
    </row>
    <row r="87" spans="4:22" ht="15" x14ac:dyDescent="0.25">
      <c r="D87" s="81" t="s">
        <v>368</v>
      </c>
      <c r="E87" s="16"/>
      <c r="I87" s="160" t="s">
        <v>978</v>
      </c>
      <c r="J87" s="154">
        <v>2</v>
      </c>
      <c r="Q87" s="1"/>
      <c r="U87" t="s">
        <v>631</v>
      </c>
      <c r="V87"/>
    </row>
    <row r="88" spans="4:22" ht="15" x14ac:dyDescent="0.25">
      <c r="D88" s="81" t="s">
        <v>369</v>
      </c>
      <c r="E88" s="16"/>
      <c r="I88" s="160" t="s">
        <v>979</v>
      </c>
      <c r="J88" s="154">
        <v>3</v>
      </c>
      <c r="Q88" s="1"/>
      <c r="U88" t="s">
        <v>632</v>
      </c>
      <c r="V88"/>
    </row>
    <row r="89" spans="4:22" ht="15" x14ac:dyDescent="0.25">
      <c r="D89" s="81" t="s">
        <v>370</v>
      </c>
      <c r="E89" s="16"/>
      <c r="I89" s="160" t="s">
        <v>980</v>
      </c>
      <c r="J89" s="154">
        <v>4</v>
      </c>
      <c r="Q89" s="1"/>
      <c r="U89" t="s">
        <v>633</v>
      </c>
      <c r="V89"/>
    </row>
    <row r="90" spans="4:22" ht="15" x14ac:dyDescent="0.25">
      <c r="D90" s="81" t="s">
        <v>371</v>
      </c>
      <c r="E90" s="16"/>
      <c r="I90" s="160" t="s">
        <v>981</v>
      </c>
      <c r="J90" s="154">
        <v>5</v>
      </c>
      <c r="Q90" s="1"/>
      <c r="U90" t="s">
        <v>635</v>
      </c>
      <c r="V90"/>
    </row>
    <row r="91" spans="4:22" ht="15" x14ac:dyDescent="0.25">
      <c r="D91" s="81" t="s">
        <v>372</v>
      </c>
      <c r="E91" s="16"/>
      <c r="I91" s="160" t="s">
        <v>982</v>
      </c>
      <c r="J91" s="154">
        <v>6</v>
      </c>
      <c r="Q91" s="1"/>
      <c r="U91" t="s">
        <v>636</v>
      </c>
      <c r="V91"/>
    </row>
    <row r="92" spans="4:22" ht="15" x14ac:dyDescent="0.25">
      <c r="D92" s="81" t="s">
        <v>373</v>
      </c>
      <c r="E92" s="16"/>
      <c r="I92" s="160" t="s">
        <v>983</v>
      </c>
      <c r="J92" s="154">
        <v>7</v>
      </c>
      <c r="Q92" s="1"/>
      <c r="U92" t="s">
        <v>637</v>
      </c>
      <c r="V92"/>
    </row>
    <row r="93" spans="4:22" ht="15" x14ac:dyDescent="0.25">
      <c r="D93" s="81" t="s">
        <v>374</v>
      </c>
      <c r="E93" s="16"/>
      <c r="I93" s="17"/>
      <c r="Q93" s="1"/>
      <c r="U93" t="s">
        <v>638</v>
      </c>
      <c r="V93"/>
    </row>
    <row r="94" spans="4:22" ht="15" x14ac:dyDescent="0.25">
      <c r="E94" s="16"/>
      <c r="I94" s="17"/>
      <c r="Q94" s="1"/>
      <c r="U94" t="s">
        <v>639</v>
      </c>
      <c r="V94"/>
    </row>
    <row r="95" spans="4:22" ht="15" x14ac:dyDescent="0.25">
      <c r="D95" t="s">
        <v>506</v>
      </c>
      <c r="E95" s="16"/>
      <c r="Q95" s="1"/>
      <c r="U95" t="s">
        <v>640</v>
      </c>
      <c r="V95"/>
    </row>
    <row r="96" spans="4:22" ht="15" x14ac:dyDescent="0.25">
      <c r="D96" t="s">
        <v>111</v>
      </c>
      <c r="H96" s="17"/>
      <c r="P96" s="1"/>
      <c r="U96" t="s">
        <v>641</v>
      </c>
      <c r="V96"/>
    </row>
    <row r="97" spans="4:22" ht="15" x14ac:dyDescent="0.25">
      <c r="D97" t="s">
        <v>112</v>
      </c>
      <c r="H97" s="17"/>
      <c r="P97" s="1"/>
      <c r="U97" t="s">
        <v>642</v>
      </c>
      <c r="V97"/>
    </row>
    <row r="98" spans="4:22" ht="15" x14ac:dyDescent="0.25">
      <c r="D98" t="s">
        <v>287</v>
      </c>
      <c r="H98" s="17"/>
      <c r="P98" s="1"/>
      <c r="U98" t="s">
        <v>643</v>
      </c>
      <c r="V98"/>
    </row>
    <row r="99" spans="4:22" ht="15" x14ac:dyDescent="0.25">
      <c r="D99" t="s">
        <v>113</v>
      </c>
      <c r="H99" s="17"/>
      <c r="P99" s="1"/>
      <c r="U99" t="s">
        <v>645</v>
      </c>
      <c r="V99"/>
    </row>
    <row r="100" spans="4:22" ht="15" x14ac:dyDescent="0.25">
      <c r="D100" t="s">
        <v>39</v>
      </c>
      <c r="H100" s="17"/>
      <c r="P100" s="1"/>
      <c r="U100" t="s">
        <v>646</v>
      </c>
      <c r="V100"/>
    </row>
    <row r="101" spans="4:22" ht="15" x14ac:dyDescent="0.25">
      <c r="D101" t="s">
        <v>37</v>
      </c>
      <c r="H101" s="17"/>
      <c r="P101" s="1"/>
      <c r="U101" t="s">
        <v>647</v>
      </c>
      <c r="V101"/>
    </row>
    <row r="102" spans="4:22" ht="15" x14ac:dyDescent="0.25">
      <c r="D102" t="s">
        <v>254</v>
      </c>
      <c r="H102" s="17"/>
      <c r="P102" s="1"/>
      <c r="U102" t="s">
        <v>648</v>
      </c>
      <c r="V102"/>
    </row>
    <row r="103" spans="4:22" ht="15" x14ac:dyDescent="0.25">
      <c r="D103" t="s">
        <v>40</v>
      </c>
      <c r="H103" s="17"/>
      <c r="P103" s="1"/>
      <c r="U103" t="s">
        <v>649</v>
      </c>
      <c r="V103"/>
    </row>
    <row r="104" spans="4:22" ht="15" x14ac:dyDescent="0.25">
      <c r="D104" t="s">
        <v>38</v>
      </c>
      <c r="H104" s="17"/>
      <c r="P104" s="1"/>
      <c r="U104" t="s">
        <v>650</v>
      </c>
      <c r="V104"/>
    </row>
    <row r="105" spans="4:22" ht="15" x14ac:dyDescent="0.25">
      <c r="H105" s="17"/>
      <c r="I105" s="17"/>
      <c r="P105" s="1"/>
      <c r="U105" t="s">
        <v>652</v>
      </c>
      <c r="V105"/>
    </row>
    <row r="106" spans="4:22" ht="15" x14ac:dyDescent="0.25">
      <c r="D106" s="81" t="s">
        <v>450</v>
      </c>
      <c r="E106" s="16"/>
      <c r="I106" s="17"/>
      <c r="Q106" s="1"/>
      <c r="U106" t="s">
        <v>653</v>
      </c>
      <c r="V106"/>
    </row>
    <row r="107" spans="4:22" ht="15" x14ac:dyDescent="0.25">
      <c r="D107" t="s">
        <v>451</v>
      </c>
      <c r="E107" s="16"/>
      <c r="I107" s="17"/>
      <c r="Q107" s="1"/>
      <c r="U107" t="s">
        <v>654</v>
      </c>
      <c r="V107"/>
    </row>
    <row r="108" spans="4:22" ht="15" x14ac:dyDescent="0.25">
      <c r="D108" t="s">
        <v>452</v>
      </c>
      <c r="E108" s="16"/>
      <c r="I108" s="17"/>
      <c r="Q108" s="1"/>
      <c r="U108" t="s">
        <v>655</v>
      </c>
      <c r="V108"/>
    </row>
    <row r="109" spans="4:22" ht="15" x14ac:dyDescent="0.25">
      <c r="D109" t="s">
        <v>453</v>
      </c>
      <c r="E109" s="16"/>
      <c r="I109" s="17"/>
      <c r="Q109" s="1"/>
      <c r="U109" t="s">
        <v>656</v>
      </c>
      <c r="V109"/>
    </row>
    <row r="110" spans="4:22" ht="15" x14ac:dyDescent="0.25">
      <c r="D110" t="s">
        <v>461</v>
      </c>
      <c r="E110" s="16"/>
      <c r="I110" s="17"/>
      <c r="Q110" s="1"/>
      <c r="U110" t="s">
        <v>657</v>
      </c>
      <c r="V110"/>
    </row>
    <row r="111" spans="4:22" ht="15" x14ac:dyDescent="0.25">
      <c r="D111" t="s">
        <v>690</v>
      </c>
      <c r="E111" s="16"/>
      <c r="I111" s="17"/>
      <c r="Q111" s="1"/>
      <c r="U111" t="s">
        <v>658</v>
      </c>
      <c r="V111"/>
    </row>
    <row r="112" spans="4:22" ht="15" x14ac:dyDescent="0.25">
      <c r="D112" t="s">
        <v>772</v>
      </c>
      <c r="E112" s="16"/>
      <c r="I112" s="17"/>
      <c r="Q112" s="1"/>
      <c r="U112" t="s">
        <v>660</v>
      </c>
      <c r="V112"/>
    </row>
    <row r="113" spans="4:22" ht="15" x14ac:dyDescent="0.25">
      <c r="D113" t="s">
        <v>985</v>
      </c>
      <c r="E113" s="16"/>
      <c r="I113" s="17"/>
      <c r="Q113" s="1"/>
      <c r="U113" t="s">
        <v>661</v>
      </c>
      <c r="V113"/>
    </row>
    <row r="114" spans="4:22" ht="15" x14ac:dyDescent="0.25">
      <c r="E114" s="16"/>
      <c r="I114" s="17"/>
      <c r="Q114" s="1"/>
      <c r="U114" t="s">
        <v>662</v>
      </c>
      <c r="V114"/>
    </row>
    <row r="115" spans="4:22" ht="15" x14ac:dyDescent="0.25">
      <c r="D115" t="s">
        <v>784</v>
      </c>
      <c r="E115" s="16"/>
      <c r="I115" s="17"/>
      <c r="Q115" s="1"/>
      <c r="U115" t="s">
        <v>663</v>
      </c>
      <c r="V115"/>
    </row>
    <row r="116" spans="4:22" ht="15" x14ac:dyDescent="0.25">
      <c r="D116" t="s">
        <v>777</v>
      </c>
      <c r="E116" s="16"/>
      <c r="I116" s="17"/>
      <c r="Q116" s="1"/>
      <c r="U116" t="s">
        <v>665</v>
      </c>
      <c r="V116"/>
    </row>
    <row r="117" spans="4:22" ht="15" x14ac:dyDescent="0.25">
      <c r="D117" t="s">
        <v>778</v>
      </c>
      <c r="E117" s="16"/>
      <c r="I117" s="17"/>
      <c r="Q117" s="1"/>
      <c r="U117" t="s">
        <v>666</v>
      </c>
      <c r="V117"/>
    </row>
    <row r="118" spans="4:22" ht="15" x14ac:dyDescent="0.25">
      <c r="D118" t="s">
        <v>779</v>
      </c>
      <c r="E118" s="16"/>
      <c r="I118" s="17"/>
      <c r="Q118" s="1"/>
      <c r="U118" t="s">
        <v>667</v>
      </c>
      <c r="V118"/>
    </row>
    <row r="119" spans="4:22" ht="15" x14ac:dyDescent="0.25">
      <c r="D119" t="s">
        <v>783</v>
      </c>
      <c r="E119" s="16"/>
      <c r="I119" s="17"/>
      <c r="Q119" s="1"/>
      <c r="U119" t="s">
        <v>668</v>
      </c>
      <c r="V119"/>
    </row>
    <row r="120" spans="4:22" ht="15" x14ac:dyDescent="0.25">
      <c r="D120" t="s">
        <v>782</v>
      </c>
      <c r="I120" s="17"/>
      <c r="Q120" s="1"/>
      <c r="U120" t="s">
        <v>669</v>
      </c>
      <c r="V120"/>
    </row>
    <row r="121" spans="4:22" ht="15" x14ac:dyDescent="0.25">
      <c r="D121" t="s">
        <v>781</v>
      </c>
      <c r="I121" s="17"/>
      <c r="Q121" s="1"/>
      <c r="U121" t="s">
        <v>670</v>
      </c>
      <c r="V121"/>
    </row>
    <row r="122" spans="4:22" ht="15" x14ac:dyDescent="0.25">
      <c r="D122" t="s">
        <v>2</v>
      </c>
      <c r="I122" s="17"/>
      <c r="Q122" s="1"/>
      <c r="U122" t="s">
        <v>671</v>
      </c>
      <c r="V122"/>
    </row>
    <row r="123" spans="4:22" ht="15" x14ac:dyDescent="0.25">
      <c r="I123" s="17"/>
      <c r="Q123" s="1"/>
      <c r="U123" t="s">
        <v>672</v>
      </c>
      <c r="V123"/>
    </row>
    <row r="124" spans="4:22" ht="15" x14ac:dyDescent="0.25">
      <c r="D124" t="s">
        <v>785</v>
      </c>
      <c r="I124" s="17"/>
      <c r="Q124" s="1"/>
      <c r="U124" t="s">
        <v>673</v>
      </c>
      <c r="V124"/>
    </row>
    <row r="125" spans="4:22" ht="15" x14ac:dyDescent="0.25">
      <c r="D125" t="s">
        <v>401</v>
      </c>
      <c r="I125" s="17"/>
      <c r="U125" t="s">
        <v>674</v>
      </c>
      <c r="V125"/>
    </row>
    <row r="126" spans="4:22" ht="15" x14ac:dyDescent="0.25">
      <c r="D126" t="s">
        <v>780</v>
      </c>
      <c r="I126" s="17"/>
    </row>
    <row r="127" spans="4:22" ht="15" x14ac:dyDescent="0.25">
      <c r="D127" t="s">
        <v>2</v>
      </c>
      <c r="E127" s="16"/>
      <c r="I127" s="17"/>
    </row>
    <row r="128" spans="4:22" ht="11.25" x14ac:dyDescent="0.25">
      <c r="E128" s="16"/>
      <c r="I128" s="17"/>
    </row>
    <row r="129" spans="9:9" ht="11.25" x14ac:dyDescent="0.25">
      <c r="I129" s="17"/>
    </row>
    <row r="130" spans="9:9" ht="11.25" x14ac:dyDescent="0.25">
      <c r="I130" s="17"/>
    </row>
    <row r="131" spans="9:9" ht="11.25" x14ac:dyDescent="0.25">
      <c r="I131" s="17"/>
    </row>
    <row r="132" spans="9:9" ht="11.25" x14ac:dyDescent="0.25"/>
    <row r="133" spans="9:9" ht="11.25" x14ac:dyDescent="0.25"/>
    <row r="134" spans="9:9" ht="11.25" x14ac:dyDescent="0.25"/>
    <row r="135" spans="9:9" ht="11.25" x14ac:dyDescent="0.25"/>
    <row r="136" spans="9:9" ht="11.25" x14ac:dyDescent="0.25"/>
    <row r="137" spans="9:9" ht="11.25" x14ac:dyDescent="0.25"/>
    <row r="138" spans="9:9" ht="11.25" x14ac:dyDescent="0.25"/>
    <row r="139" spans="9:9" ht="11.25" x14ac:dyDescent="0.25"/>
    <row r="140" spans="9:9" ht="11.25" x14ac:dyDescent="0.25"/>
  </sheetData>
  <phoneticPr fontId="14" type="noConversion"/>
  <conditionalFormatting sqref="N7:N74">
    <cfRule type="containsText" dxfId="131" priority="1" operator="containsText" text="Reference">
      <formula>NOT(ISERROR(SEARCH("Reference",N7)))</formula>
    </cfRule>
    <cfRule type="containsText" dxfId="130" priority="2" operator="containsText" text="原始录入">
      <formula>NOT(ISERROR(SEARCH("原始录入",N7)))</formula>
    </cfRule>
    <cfRule type="containsText" dxfId="129" priority="3" operator="containsText" text="未">
      <formula>NOT(ISERROR(SEARCH("未",N7)))</formula>
    </cfRule>
  </conditionalFormatting>
  <pageMargins left="0.7" right="0.7" top="0.75" bottom="0.75" header="0.3" footer="0.3"/>
  <pageSetup orientation="portrait" r:id="rId1"/>
  <tableParts count="34">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L38"/>
  <sheetViews>
    <sheetView zoomScale="98" zoomScaleNormal="98" workbookViewId="0">
      <selection activeCell="F11" sqref="F11"/>
    </sheetView>
  </sheetViews>
  <sheetFormatPr defaultRowHeight="15" x14ac:dyDescent="0.25"/>
  <cols>
    <col min="1" max="1" width="8.88671875" style="1"/>
    <col min="2" max="2" width="25.88671875" style="1" bestFit="1" customWidth="1"/>
    <col min="3" max="3" width="13.5546875" style="1" bestFit="1" customWidth="1"/>
    <col min="4" max="5" width="12.6640625" style="1" bestFit="1" customWidth="1"/>
    <col min="6" max="6" width="30.44140625" style="1" bestFit="1" customWidth="1"/>
    <col min="7" max="7" width="10" style="1" bestFit="1" customWidth="1"/>
    <col min="8" max="8" width="12.5546875" style="1" bestFit="1" customWidth="1"/>
    <col min="9" max="10" width="8.88671875" style="1"/>
    <col min="11" max="11" width="11.109375" style="1" bestFit="1" customWidth="1"/>
    <col min="12" max="12" width="12.6640625" style="1" bestFit="1" customWidth="1"/>
    <col min="13" max="16384" width="8.88671875" style="1"/>
  </cols>
  <sheetData>
    <row r="1" spans="1:9" ht="34.5" customHeight="1" x14ac:dyDescent="0.25">
      <c r="G1" s="55" t="s">
        <v>41</v>
      </c>
      <c r="H1" s="55" t="s">
        <v>95</v>
      </c>
      <c r="I1" s="100" t="s">
        <v>237</v>
      </c>
    </row>
    <row r="2" spans="1:9" ht="36" x14ac:dyDescent="0.55000000000000004">
      <c r="A2" s="80" t="s">
        <v>375</v>
      </c>
      <c r="E2" s="1" t="s">
        <v>379</v>
      </c>
    </row>
    <row r="3" spans="1:9" ht="15.75" x14ac:dyDescent="0.25">
      <c r="B3" s="76" t="s">
        <v>312</v>
      </c>
      <c r="C3" s="76" t="s">
        <v>317</v>
      </c>
    </row>
    <row r="4" spans="1:9" x14ac:dyDescent="0.25">
      <c r="B4" s="71" t="s">
        <v>401</v>
      </c>
      <c r="C4" s="71" t="s">
        <v>318</v>
      </c>
    </row>
    <row r="6" spans="1:9" x14ac:dyDescent="0.25">
      <c r="B6" t="s">
        <v>93</v>
      </c>
    </row>
    <row r="7" spans="1:9" x14ac:dyDescent="0.25">
      <c r="B7" s="156" t="s">
        <v>802</v>
      </c>
    </row>
    <row r="8" spans="1:9" x14ac:dyDescent="0.25">
      <c r="B8" s="156" t="s">
        <v>620</v>
      </c>
    </row>
    <row r="9" spans="1:9" x14ac:dyDescent="0.25">
      <c r="B9" s="156" t="s">
        <v>717</v>
      </c>
    </row>
    <row r="10" spans="1:9" x14ac:dyDescent="0.25">
      <c r="B10" s="156" t="s">
        <v>803</v>
      </c>
    </row>
    <row r="11" spans="1:9" x14ac:dyDescent="0.25">
      <c r="B11" s="156" t="s">
        <v>804</v>
      </c>
    </row>
    <row r="12" spans="1:9" x14ac:dyDescent="0.25">
      <c r="B12" s="156" t="s">
        <v>805</v>
      </c>
    </row>
    <row r="13" spans="1:9" x14ac:dyDescent="0.25">
      <c r="B13" s="156" t="s">
        <v>806</v>
      </c>
    </row>
    <row r="14" spans="1:9" x14ac:dyDescent="0.25">
      <c r="B14" s="156" t="s">
        <v>516</v>
      </c>
    </row>
    <row r="15" spans="1:9" x14ac:dyDescent="0.25">
      <c r="B15" s="156" t="s">
        <v>807</v>
      </c>
    </row>
    <row r="16" spans="1:9" x14ac:dyDescent="0.25">
      <c r="B16" s="156" t="s">
        <v>808</v>
      </c>
    </row>
    <row r="20" spans="2:12" x14ac:dyDescent="0.25">
      <c r="K20" t="s">
        <v>395</v>
      </c>
      <c r="L20" t="s">
        <v>396</v>
      </c>
    </row>
    <row r="21" spans="2:12" x14ac:dyDescent="0.25">
      <c r="K21" t="s">
        <v>376</v>
      </c>
      <c r="L21" s="92" t="s">
        <v>66</v>
      </c>
    </row>
    <row r="22" spans="2:12" x14ac:dyDescent="0.25">
      <c r="K22" t="s">
        <v>377</v>
      </c>
      <c r="L22" s="92" t="s">
        <v>52</v>
      </c>
    </row>
    <row r="23" spans="2:12" x14ac:dyDescent="0.25">
      <c r="K23" t="s">
        <v>399</v>
      </c>
      <c r="L23" t="s">
        <v>65</v>
      </c>
    </row>
    <row r="24" spans="2:12" ht="17.25" customHeight="1" x14ac:dyDescent="0.25">
      <c r="B24" s="1" t="s">
        <v>402</v>
      </c>
      <c r="C24" s="1" t="s">
        <v>378</v>
      </c>
      <c r="K24" t="s">
        <v>400</v>
      </c>
      <c r="L24" t="s">
        <v>74</v>
      </c>
    </row>
    <row r="25" spans="2:12" ht="17.25" customHeight="1" x14ac:dyDescent="0.25">
      <c r="B25" s="90" t="s">
        <v>48</v>
      </c>
      <c r="C25" s="98"/>
      <c r="K25" t="s">
        <v>134</v>
      </c>
      <c r="L25" t="s">
        <v>238</v>
      </c>
    </row>
    <row r="26" spans="2:12" ht="17.25" customHeight="1" x14ac:dyDescent="0.25">
      <c r="B26" s="90" t="s">
        <v>49</v>
      </c>
      <c r="C26" s="98"/>
      <c r="K26" t="s">
        <v>176</v>
      </c>
      <c r="L26" t="s">
        <v>239</v>
      </c>
    </row>
    <row r="27" spans="2:12" ht="17.25" customHeight="1" x14ac:dyDescent="0.25">
      <c r="B27" s="90" t="s">
        <v>58</v>
      </c>
      <c r="C27" s="98"/>
      <c r="K27" t="s">
        <v>119</v>
      </c>
      <c r="L27" t="s">
        <v>403</v>
      </c>
    </row>
    <row r="28" spans="2:12" ht="17.25" customHeight="1" x14ac:dyDescent="0.25">
      <c r="B28" s="90" t="s">
        <v>237</v>
      </c>
      <c r="C28" s="98"/>
    </row>
    <row r="29" spans="2:12" ht="17.25" customHeight="1" x14ac:dyDescent="0.25">
      <c r="B29" s="90" t="s">
        <v>55</v>
      </c>
      <c r="C29" s="98"/>
    </row>
    <row r="30" spans="2:12" ht="17.25" customHeight="1" x14ac:dyDescent="0.25">
      <c r="B30" s="90" t="s">
        <v>399</v>
      </c>
      <c r="C30" s="98" t="s">
        <v>232</v>
      </c>
    </row>
    <row r="31" spans="2:12" ht="17.25" customHeight="1" x14ac:dyDescent="0.25">
      <c r="B31" s="90" t="s">
        <v>400</v>
      </c>
      <c r="C31" s="98" t="s">
        <v>392</v>
      </c>
    </row>
    <row r="32" spans="2:12" ht="17.25" customHeight="1" x14ac:dyDescent="0.25">
      <c r="B32" s="90" t="s">
        <v>134</v>
      </c>
      <c r="C32" s="98"/>
    </row>
    <row r="33" spans="2:3" ht="17.25" customHeight="1" x14ac:dyDescent="0.25">
      <c r="B33" s="90" t="s">
        <v>95</v>
      </c>
      <c r="C33" s="98"/>
    </row>
    <row r="34" spans="2:3" ht="17.25" customHeight="1" x14ac:dyDescent="0.25">
      <c r="B34" s="90" t="s">
        <v>119</v>
      </c>
      <c r="C34" s="99">
        <v>3.2000000000000001E-2</v>
      </c>
    </row>
    <row r="35" spans="2:3" ht="17.25" customHeight="1" x14ac:dyDescent="0.25">
      <c r="B35" s="90" t="s">
        <v>64</v>
      </c>
      <c r="C35" s="98" t="s">
        <v>84</v>
      </c>
    </row>
    <row r="36" spans="2:3" ht="17.25" customHeight="1" x14ac:dyDescent="0.25">
      <c r="B36" s="90" t="s">
        <v>57</v>
      </c>
      <c r="C36" s="98">
        <v>2</v>
      </c>
    </row>
    <row r="37" spans="2:3" ht="17.25" customHeight="1" x14ac:dyDescent="0.25">
      <c r="B37" s="90" t="s">
        <v>309</v>
      </c>
      <c r="C37" s="98" t="s">
        <v>380</v>
      </c>
    </row>
    <row r="38" spans="2:3" ht="17.25" customHeight="1" x14ac:dyDescent="0.25">
      <c r="B38" s="90" t="s">
        <v>53</v>
      </c>
      <c r="C38" s="99">
        <v>3.2000000000000001E-2</v>
      </c>
    </row>
  </sheetData>
  <dataConsolidate/>
  <dataValidations count="9">
    <dataValidation type="list" allowBlank="1" showInputMessage="1" showErrorMessage="1" sqref="C4">
      <formula1>"Y,N"</formula1>
    </dataValidation>
    <dataValidation allowBlank="1" showInputMessage="1" showErrorMessage="1" promptTitle="IPG Format" prompt="No need to write bp_x000a_Decimal follow BBG_x000a_Use &quot;a&quot; for &quot;area&quot;_x000a__x000a_3.50%a_x000a_4%a_x000a_T+120a_x000a_" sqref="C37"/>
    <dataValidation allowBlank="1" showInputMessage="1" showErrorMessage="1" promptTitle="FPG Format" prompt="No need to write bp_x000a_Decimal follow BBG_x000a__x000a_3.20%_x000a_3.8%_x000a_T+100_x000a_" sqref="C38"/>
    <dataValidation type="list" allowBlank="1" showInputMessage="1" showErrorMessage="1" sqref="C30:C32">
      <formula1>dd_BOCOMJLM</formula1>
    </dataValidation>
    <dataValidation type="list" allowBlank="1" showInputMessage="1" sqref="G1 C29">
      <formula1>dd_备证行</formula1>
    </dataValidation>
    <dataValidation type="list" allowBlank="1" showInputMessage="1" showErrorMessage="1" sqref="C35">
      <formula1>dd_货币</formula1>
    </dataValidation>
    <dataValidation allowBlank="1" showInputMessage="1" showErrorMessage="1" promptTitle="票息 Format" prompt="请输入百分号_x000a_3.20%_x000a_3.8%_x000a_" sqref="C34"/>
    <dataValidation type="list" allowBlank="1" showInputMessage="1" sqref="C33 H1">
      <formula1>dd_主题债券</formula1>
    </dataValidation>
    <dataValidation type="list" allowBlank="1" showInputMessage="1" sqref="C28 I1">
      <formula1>dd_结构</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V21"/>
  <sheetViews>
    <sheetView topLeftCell="A4" workbookViewId="0">
      <selection activeCell="D6" sqref="D6"/>
    </sheetView>
  </sheetViews>
  <sheetFormatPr defaultRowHeight="15" x14ac:dyDescent="0.25"/>
  <cols>
    <col min="1" max="1" width="26.44140625" style="1" bestFit="1" customWidth="1"/>
    <col min="2" max="2" width="24.88671875" style="1" bestFit="1" customWidth="1"/>
    <col min="3" max="3" width="14.21875" style="1" bestFit="1" customWidth="1"/>
    <col min="4" max="4" width="10.33203125" style="1" bestFit="1" customWidth="1"/>
    <col min="5" max="5" width="13.21875" style="1" bestFit="1" customWidth="1"/>
    <col min="6" max="6" width="9.21875" style="1" bestFit="1" customWidth="1"/>
    <col min="7" max="7" width="14.21875" style="1" bestFit="1" customWidth="1"/>
    <col min="8" max="8" width="9.21875" style="1" bestFit="1" customWidth="1"/>
    <col min="9" max="9" width="14.44140625" style="1" bestFit="1" customWidth="1"/>
    <col min="10" max="12" width="9.21875" style="1" bestFit="1" customWidth="1"/>
    <col min="13" max="13" width="10.88671875" style="1" bestFit="1" customWidth="1"/>
    <col min="14" max="15" width="80.88671875" style="1" bestFit="1" customWidth="1"/>
    <col min="16" max="16" width="19" style="1" bestFit="1" customWidth="1"/>
    <col min="17" max="17" width="10.33203125" style="1" bestFit="1" customWidth="1"/>
    <col min="18" max="18" width="10.21875" style="1" bestFit="1" customWidth="1"/>
    <col min="19" max="19" width="10.88671875" style="1" bestFit="1" customWidth="1"/>
    <col min="20" max="20" width="25.88671875" style="1" bestFit="1" customWidth="1"/>
    <col min="21" max="21" width="48" style="1" bestFit="1" customWidth="1"/>
    <col min="22" max="22" width="10.88671875" style="1" bestFit="1" customWidth="1"/>
    <col min="23" max="23" width="22" style="1" bestFit="1" customWidth="1"/>
    <col min="24" max="24" width="12.5546875" style="1" bestFit="1" customWidth="1"/>
    <col min="25" max="25" width="10.88671875" style="1" bestFit="1" customWidth="1"/>
    <col min="26" max="26" width="10.33203125" style="1" bestFit="1" customWidth="1"/>
    <col min="27" max="27" width="9.21875" style="1" bestFit="1" customWidth="1"/>
    <col min="28" max="28" width="12.5546875" style="1" bestFit="1" customWidth="1"/>
    <col min="29" max="29" width="8.33203125" style="1" bestFit="1" customWidth="1"/>
    <col min="30" max="30" width="80.88671875" style="1" bestFit="1" customWidth="1"/>
    <col min="31" max="32" width="10.88671875" style="1" bestFit="1" customWidth="1"/>
    <col min="33" max="33" width="12.5546875" style="1" bestFit="1" customWidth="1"/>
    <col min="34" max="34" width="9.21875" style="1" bestFit="1" customWidth="1"/>
    <col min="35" max="35" width="14.44140625" style="1" bestFit="1" customWidth="1"/>
    <col min="36" max="36" width="9.21875" style="1" bestFit="1" customWidth="1"/>
    <col min="37" max="37" width="5.88671875" style="1" bestFit="1" customWidth="1"/>
    <col min="38" max="39" width="12.5546875" style="1" bestFit="1" customWidth="1"/>
    <col min="40" max="42" width="9.21875" style="1" bestFit="1" customWidth="1"/>
    <col min="43" max="43" width="80.88671875" style="1" bestFit="1" customWidth="1"/>
    <col min="44" max="46" width="9.21875" style="1" bestFit="1" customWidth="1"/>
    <col min="47" max="47" width="10.33203125" style="1" bestFit="1" customWidth="1"/>
    <col min="48" max="49" width="6" style="1" bestFit="1" customWidth="1"/>
    <col min="50" max="50" width="12.6640625" style="1" bestFit="1" customWidth="1"/>
    <col min="51" max="51" width="9.21875" style="1" bestFit="1" customWidth="1"/>
    <col min="52" max="52" width="7.5546875" style="1" bestFit="1" customWidth="1"/>
    <col min="53" max="53" width="14.88671875" style="1" bestFit="1" customWidth="1"/>
    <col min="54" max="54" width="11.6640625" style="1" bestFit="1" customWidth="1"/>
    <col min="55" max="56" width="9.21875" style="1" bestFit="1" customWidth="1"/>
    <col min="57" max="57" width="12.5546875" style="1" bestFit="1" customWidth="1"/>
    <col min="58" max="58" width="12.21875" style="1" bestFit="1" customWidth="1"/>
    <col min="59" max="59" width="9.44140625" style="1" bestFit="1" customWidth="1"/>
    <col min="60" max="60" width="31.5546875" style="1" bestFit="1" customWidth="1"/>
    <col min="61" max="61" width="10.33203125" style="1" bestFit="1" customWidth="1"/>
    <col min="62" max="62" width="10.21875" style="1" bestFit="1" customWidth="1"/>
    <col min="63" max="63" width="5.88671875" style="1" bestFit="1" customWidth="1"/>
    <col min="64" max="65" width="12" style="1" bestFit="1" customWidth="1"/>
    <col min="66" max="66" width="9.21875" style="1" bestFit="1" customWidth="1"/>
    <col min="67" max="67" width="12.5546875" style="1" bestFit="1" customWidth="1"/>
    <col min="68" max="68" width="10" style="1" bestFit="1" customWidth="1"/>
    <col min="69" max="69" width="32.109375" style="1" bestFit="1" customWidth="1"/>
    <col min="70" max="70" width="12" style="1" bestFit="1" customWidth="1"/>
    <col min="71" max="71" width="10.88671875" style="1" bestFit="1" customWidth="1"/>
    <col min="72" max="72" width="9.33203125" style="1" bestFit="1" customWidth="1"/>
    <col min="73" max="73" width="5.88671875" style="1" bestFit="1" customWidth="1"/>
    <col min="74" max="74" width="20.33203125" style="1" bestFit="1" customWidth="1"/>
    <col min="75" max="75" width="7.6640625" style="1" bestFit="1" customWidth="1"/>
    <col min="76" max="76" width="19.44140625" style="1" bestFit="1" customWidth="1"/>
    <col min="77" max="78" width="20.21875" style="1" bestFit="1" customWidth="1"/>
    <col min="79" max="83" width="19.33203125" style="1" bestFit="1" customWidth="1"/>
    <col min="84" max="84" width="6.109375" style="1" bestFit="1" customWidth="1"/>
    <col min="85" max="85" width="19.44140625" style="1" bestFit="1" customWidth="1"/>
    <col min="86" max="16384" width="8.88671875" style="1"/>
  </cols>
  <sheetData>
    <row r="1" spans="1:74" ht="67.5" customHeight="1" x14ac:dyDescent="0.25">
      <c r="A1" s="5" t="s">
        <v>240</v>
      </c>
    </row>
    <row r="5" spans="1:74" x14ac:dyDescent="0.25">
      <c r="A5" t="s">
        <v>93</v>
      </c>
      <c r="B5" t="s">
        <v>236</v>
      </c>
      <c r="C5" t="s">
        <v>48</v>
      </c>
      <c r="D5" t="s">
        <v>49</v>
      </c>
      <c r="E5" t="s">
        <v>323</v>
      </c>
      <c r="F5" t="s">
        <v>80</v>
      </c>
      <c r="G5" t="s">
        <v>81</v>
      </c>
      <c r="H5" t="s">
        <v>104</v>
      </c>
      <c r="I5" t="s">
        <v>79</v>
      </c>
      <c r="J5" t="s">
        <v>78</v>
      </c>
      <c r="K5" t="s">
        <v>77</v>
      </c>
      <c r="L5" t="s">
        <v>76</v>
      </c>
      <c r="M5" t="s">
        <v>75</v>
      </c>
      <c r="N5" t="s">
        <v>225</v>
      </c>
      <c r="O5" t="s">
        <v>74</v>
      </c>
      <c r="P5" t="s">
        <v>103</v>
      </c>
      <c r="Q5" t="s">
        <v>73</v>
      </c>
      <c r="R5" t="s">
        <v>226</v>
      </c>
      <c r="S5" t="s">
        <v>72</v>
      </c>
      <c r="T5" t="s">
        <v>71</v>
      </c>
      <c r="U5" t="s">
        <v>70</v>
      </c>
      <c r="V5" t="s">
        <v>69</v>
      </c>
      <c r="W5" t="s">
        <v>68</v>
      </c>
      <c r="X5" t="s">
        <v>102</v>
      </c>
      <c r="Y5" t="s">
        <v>67</v>
      </c>
      <c r="Z5" t="s">
        <v>66</v>
      </c>
      <c r="AA5" t="s">
        <v>101</v>
      </c>
      <c r="AB5" t="s">
        <v>100</v>
      </c>
      <c r="AC5" t="s">
        <v>696</v>
      </c>
      <c r="AD5" t="s">
        <v>224</v>
      </c>
      <c r="AE5" t="s">
        <v>223</v>
      </c>
      <c r="AF5" t="s">
        <v>222</v>
      </c>
      <c r="AG5" t="s">
        <v>221</v>
      </c>
      <c r="AH5" t="s">
        <v>96</v>
      </c>
      <c r="AI5" t="s">
        <v>42</v>
      </c>
      <c r="AJ5" t="s">
        <v>220</v>
      </c>
      <c r="AK5" t="s">
        <v>43</v>
      </c>
      <c r="AL5" t="s">
        <v>51</v>
      </c>
      <c r="AM5" t="s">
        <v>175</v>
      </c>
      <c r="AN5" t="s">
        <v>95</v>
      </c>
      <c r="AO5" t="s">
        <v>44</v>
      </c>
      <c r="AP5" t="s">
        <v>198</v>
      </c>
      <c r="AQ5" t="s">
        <v>65</v>
      </c>
      <c r="AR5" t="s">
        <v>63</v>
      </c>
      <c r="AS5" t="s">
        <v>62</v>
      </c>
      <c r="AT5" t="s">
        <v>61</v>
      </c>
      <c r="AU5" t="s">
        <v>131</v>
      </c>
      <c r="AV5" t="s">
        <v>46</v>
      </c>
      <c r="AW5" t="s">
        <v>45</v>
      </c>
      <c r="AX5" t="s">
        <v>94</v>
      </c>
      <c r="AY5" t="s">
        <v>60</v>
      </c>
      <c r="AZ5" t="s">
        <v>59</v>
      </c>
      <c r="BA5" t="s">
        <v>56</v>
      </c>
      <c r="BB5" t="s">
        <v>55</v>
      </c>
      <c r="BC5" t="s">
        <v>237</v>
      </c>
      <c r="BD5" t="s">
        <v>322</v>
      </c>
      <c r="BE5" t="s">
        <v>54</v>
      </c>
      <c r="BF5" t="s">
        <v>206</v>
      </c>
      <c r="BG5" t="s">
        <v>205</v>
      </c>
      <c r="BH5" t="s">
        <v>99</v>
      </c>
      <c r="BI5" t="s">
        <v>52</v>
      </c>
      <c r="BJ5" t="s">
        <v>403</v>
      </c>
      <c r="BK5" t="s">
        <v>64</v>
      </c>
      <c r="BL5" t="s">
        <v>58</v>
      </c>
      <c r="BM5" t="s">
        <v>57</v>
      </c>
      <c r="BN5" t="s">
        <v>50</v>
      </c>
      <c r="BO5" t="s">
        <v>98</v>
      </c>
      <c r="BP5" t="s">
        <v>97</v>
      </c>
      <c r="BQ5" t="s">
        <v>47</v>
      </c>
      <c r="BR5" t="s">
        <v>412</v>
      </c>
      <c r="BS5" t="s">
        <v>229</v>
      </c>
      <c r="BT5" t="s">
        <v>465</v>
      </c>
      <c r="BU5" t="s">
        <v>88</v>
      </c>
      <c r="BV5" t="s">
        <v>139</v>
      </c>
    </row>
    <row r="6" spans="1:74" x14ac:dyDescent="0.25">
      <c r="A6" s="155" t="s">
        <v>531</v>
      </c>
      <c r="B6" s="155" t="s">
        <v>1039</v>
      </c>
      <c r="C6" s="154" t="s">
        <v>994</v>
      </c>
      <c r="D6" s="153">
        <v>45226</v>
      </c>
      <c r="E6" s="155" t="s">
        <v>91</v>
      </c>
      <c r="F6" s="155" t="s">
        <v>734</v>
      </c>
      <c r="G6" s="155" t="s">
        <v>91</v>
      </c>
      <c r="H6" s="155" t="s">
        <v>91</v>
      </c>
      <c r="I6" s="155" t="s">
        <v>466</v>
      </c>
      <c r="J6" s="155" t="s">
        <v>467</v>
      </c>
      <c r="K6" s="155" t="s">
        <v>733</v>
      </c>
      <c r="L6" s="155" t="s">
        <v>469</v>
      </c>
      <c r="M6" s="155" t="s">
        <v>469</v>
      </c>
      <c r="N6" s="155" t="s">
        <v>91</v>
      </c>
      <c r="O6" s="155" t="s">
        <v>91</v>
      </c>
      <c r="P6" s="155" t="s">
        <v>91</v>
      </c>
      <c r="Q6" s="153">
        <v>45243</v>
      </c>
      <c r="R6" s="155" t="s">
        <v>91</v>
      </c>
      <c r="S6" s="153">
        <v>45243</v>
      </c>
      <c r="T6" s="155" t="s">
        <v>91</v>
      </c>
      <c r="U6" s="155" t="s">
        <v>531</v>
      </c>
      <c r="V6" s="153">
        <v>45330</v>
      </c>
      <c r="W6" s="155" t="s">
        <v>1031</v>
      </c>
      <c r="X6" s="155">
        <v>6.1234000000000002</v>
      </c>
      <c r="Y6" s="153"/>
      <c r="Z6" s="153">
        <v>45243</v>
      </c>
      <c r="AA6" s="154">
        <v>2.6</v>
      </c>
      <c r="AB6" s="155">
        <v>1000</v>
      </c>
      <c r="AC6" s="154" t="s">
        <v>1032</v>
      </c>
      <c r="AD6" s="155" t="s">
        <v>91</v>
      </c>
      <c r="AE6" s="155" t="s">
        <v>91</v>
      </c>
      <c r="AF6" s="155" t="s">
        <v>91</v>
      </c>
      <c r="AG6" s="154"/>
      <c r="AH6" s="155" t="s">
        <v>479</v>
      </c>
      <c r="AI6" s="155" t="s">
        <v>1033</v>
      </c>
      <c r="AJ6" s="154" t="s">
        <v>1034</v>
      </c>
      <c r="AK6" s="155" t="s">
        <v>83</v>
      </c>
      <c r="AL6" s="155" t="s">
        <v>91</v>
      </c>
      <c r="AM6" s="155" t="s">
        <v>472</v>
      </c>
      <c r="AN6" s="155" t="s">
        <v>91</v>
      </c>
      <c r="AO6" s="155" t="s">
        <v>508</v>
      </c>
      <c r="AP6" s="155" t="s">
        <v>325</v>
      </c>
      <c r="AQ6" s="155" t="s">
        <v>91</v>
      </c>
      <c r="AR6" s="154"/>
      <c r="AS6" s="154"/>
      <c r="AT6" s="154"/>
      <c r="AU6" s="154"/>
      <c r="AV6" s="155" t="s">
        <v>91</v>
      </c>
      <c r="AW6" s="155" t="s">
        <v>1035</v>
      </c>
      <c r="AX6" s="155" t="s">
        <v>1036</v>
      </c>
      <c r="AY6" s="154"/>
      <c r="AZ6" s="154"/>
      <c r="BA6" s="155" t="s">
        <v>474</v>
      </c>
      <c r="BB6" s="155" t="s">
        <v>91</v>
      </c>
      <c r="BC6" s="155" t="s">
        <v>475</v>
      </c>
      <c r="BD6" s="155" t="s">
        <v>91</v>
      </c>
      <c r="BE6" s="154"/>
      <c r="BF6" s="155" t="s">
        <v>91</v>
      </c>
      <c r="BG6" s="155" t="s">
        <v>91</v>
      </c>
      <c r="BH6" s="155" t="s">
        <v>109</v>
      </c>
      <c r="BI6" s="153">
        <v>45604</v>
      </c>
      <c r="BJ6" s="154">
        <v>6.1234000000000002</v>
      </c>
      <c r="BK6" s="155" t="s">
        <v>84</v>
      </c>
      <c r="BL6" s="155" t="s">
        <v>1037</v>
      </c>
      <c r="BM6" s="155">
        <v>2.6</v>
      </c>
      <c r="BN6" s="155" t="s">
        <v>472</v>
      </c>
      <c r="BO6" s="155" t="s">
        <v>487</v>
      </c>
      <c r="BP6" s="155" t="s">
        <v>488</v>
      </c>
      <c r="BQ6" s="155" t="s">
        <v>1040</v>
      </c>
      <c r="BR6" s="155" t="s">
        <v>240</v>
      </c>
      <c r="BS6" s="45"/>
      <c r="BT6" t="s">
        <v>7</v>
      </c>
      <c r="BU6" s="155" t="s">
        <v>143</v>
      </c>
      <c r="BV6" s="154" t="s">
        <v>996</v>
      </c>
    </row>
    <row r="7" spans="1:74" x14ac:dyDescent="0.25">
      <c r="A7" s="155" t="s">
        <v>531</v>
      </c>
      <c r="B7" s="155" t="s">
        <v>1030</v>
      </c>
      <c r="C7" s="154" t="s">
        <v>988</v>
      </c>
      <c r="D7" s="153">
        <v>45226</v>
      </c>
      <c r="E7" s="155" t="s">
        <v>91</v>
      </c>
      <c r="F7" s="155" t="s">
        <v>734</v>
      </c>
      <c r="G7" s="155" t="s">
        <v>91</v>
      </c>
      <c r="H7" s="155" t="s">
        <v>91</v>
      </c>
      <c r="I7" s="155" t="s">
        <v>466</v>
      </c>
      <c r="J7" s="155" t="s">
        <v>467</v>
      </c>
      <c r="K7" s="155" t="s">
        <v>733</v>
      </c>
      <c r="L7" s="155" t="s">
        <v>469</v>
      </c>
      <c r="M7" s="155" t="s">
        <v>469</v>
      </c>
      <c r="N7" s="155" t="s">
        <v>91</v>
      </c>
      <c r="O7" s="155" t="s">
        <v>91</v>
      </c>
      <c r="P7" s="155" t="s">
        <v>91</v>
      </c>
      <c r="Q7" s="153">
        <v>45243</v>
      </c>
      <c r="R7" s="155" t="s">
        <v>91</v>
      </c>
      <c r="S7" s="153">
        <v>45243</v>
      </c>
      <c r="T7" s="155" t="s">
        <v>91</v>
      </c>
      <c r="U7" s="155" t="s">
        <v>531</v>
      </c>
      <c r="V7" s="153">
        <v>45330</v>
      </c>
      <c r="W7" s="155" t="s">
        <v>1031</v>
      </c>
      <c r="X7" s="155">
        <v>6.1234000000000002</v>
      </c>
      <c r="Y7" s="153"/>
      <c r="Z7" s="153">
        <v>45243</v>
      </c>
      <c r="AA7" s="154">
        <v>1.3</v>
      </c>
      <c r="AB7" s="155">
        <v>1000</v>
      </c>
      <c r="AC7" s="154" t="s">
        <v>1032</v>
      </c>
      <c r="AD7" s="155" t="s">
        <v>91</v>
      </c>
      <c r="AE7" s="155" t="s">
        <v>91</v>
      </c>
      <c r="AF7" s="155" t="s">
        <v>91</v>
      </c>
      <c r="AG7" s="154"/>
      <c r="AH7" s="155" t="s">
        <v>479</v>
      </c>
      <c r="AI7" s="155" t="s">
        <v>1033</v>
      </c>
      <c r="AJ7" s="154" t="s">
        <v>1034</v>
      </c>
      <c r="AK7" s="155" t="s">
        <v>83</v>
      </c>
      <c r="AL7" s="155" t="s">
        <v>91</v>
      </c>
      <c r="AM7" s="155" t="s">
        <v>472</v>
      </c>
      <c r="AN7" s="155" t="s">
        <v>91</v>
      </c>
      <c r="AO7" s="155" t="s">
        <v>508</v>
      </c>
      <c r="AP7" s="155" t="s">
        <v>325</v>
      </c>
      <c r="AQ7" s="155" t="s">
        <v>91</v>
      </c>
      <c r="AR7" s="154"/>
      <c r="AS7" s="154"/>
      <c r="AT7" s="154"/>
      <c r="AU7" s="154"/>
      <c r="AV7" s="155" t="s">
        <v>91</v>
      </c>
      <c r="AW7" s="155" t="s">
        <v>1035</v>
      </c>
      <c r="AX7" s="155" t="s">
        <v>1036</v>
      </c>
      <c r="AY7" s="154"/>
      <c r="AZ7" s="154"/>
      <c r="BA7" s="155" t="s">
        <v>474</v>
      </c>
      <c r="BB7" s="155" t="s">
        <v>91</v>
      </c>
      <c r="BC7" s="155" t="s">
        <v>475</v>
      </c>
      <c r="BD7" s="155" t="s">
        <v>91</v>
      </c>
      <c r="BE7" s="154"/>
      <c r="BF7" s="155" t="s">
        <v>91</v>
      </c>
      <c r="BG7" s="155" t="s">
        <v>91</v>
      </c>
      <c r="BH7" s="155" t="s">
        <v>109</v>
      </c>
      <c r="BI7" s="153">
        <v>45604</v>
      </c>
      <c r="BJ7" s="154">
        <v>6.1234000000000002</v>
      </c>
      <c r="BK7" s="155" t="s">
        <v>84</v>
      </c>
      <c r="BL7" s="155" t="s">
        <v>1037</v>
      </c>
      <c r="BM7" s="155">
        <v>1.3</v>
      </c>
      <c r="BN7" s="155" t="s">
        <v>472</v>
      </c>
      <c r="BO7" s="155" t="s">
        <v>487</v>
      </c>
      <c r="BP7" s="155" t="s">
        <v>488</v>
      </c>
      <c r="BQ7" s="155" t="s">
        <v>1038</v>
      </c>
      <c r="BR7" s="155" t="s">
        <v>240</v>
      </c>
      <c r="BS7" s="45"/>
      <c r="BT7" t="s">
        <v>7</v>
      </c>
      <c r="BU7" s="155" t="s">
        <v>143</v>
      </c>
      <c r="BV7" s="154" t="s">
        <v>993</v>
      </c>
    </row>
    <row r="8" spans="1:74" x14ac:dyDescent="0.25">
      <c r="A8" s="155" t="s">
        <v>680</v>
      </c>
      <c r="B8" s="155" t="s">
        <v>1054</v>
      </c>
      <c r="C8" s="154" t="s">
        <v>1011</v>
      </c>
      <c r="D8" s="153">
        <v>45225</v>
      </c>
      <c r="E8" s="155" t="s">
        <v>91</v>
      </c>
      <c r="F8" s="155" t="s">
        <v>91</v>
      </c>
      <c r="G8" s="155" t="s">
        <v>91</v>
      </c>
      <c r="H8" s="155" t="s">
        <v>91</v>
      </c>
      <c r="I8" s="155" t="s">
        <v>1055</v>
      </c>
      <c r="J8" s="155" t="s">
        <v>467</v>
      </c>
      <c r="K8" s="155" t="s">
        <v>468</v>
      </c>
      <c r="L8" s="155" t="s">
        <v>469</v>
      </c>
      <c r="M8" s="155" t="s">
        <v>469</v>
      </c>
      <c r="N8" s="155" t="s">
        <v>91</v>
      </c>
      <c r="O8" s="155" t="s">
        <v>91</v>
      </c>
      <c r="P8" s="155" t="s">
        <v>91</v>
      </c>
      <c r="Q8" s="153">
        <v>45230</v>
      </c>
      <c r="R8" s="155" t="s">
        <v>91</v>
      </c>
      <c r="S8" s="153">
        <v>45230</v>
      </c>
      <c r="T8" s="155" t="s">
        <v>680</v>
      </c>
      <c r="U8" s="155" t="s">
        <v>687</v>
      </c>
      <c r="V8" s="153">
        <v>45294</v>
      </c>
      <c r="W8" s="155" t="s">
        <v>91</v>
      </c>
      <c r="X8" s="155">
        <v>3</v>
      </c>
      <c r="Y8" s="153"/>
      <c r="Z8" s="153">
        <v>45230</v>
      </c>
      <c r="AA8" s="154">
        <v>0.12690000000000001</v>
      </c>
      <c r="AB8" s="155">
        <v>10000</v>
      </c>
      <c r="AC8" s="154" t="s">
        <v>686</v>
      </c>
      <c r="AD8" s="155" t="s">
        <v>91</v>
      </c>
      <c r="AE8" s="155" t="s">
        <v>91</v>
      </c>
      <c r="AF8" s="155" t="s">
        <v>91</v>
      </c>
      <c r="AG8" s="154"/>
      <c r="AH8" s="155" t="s">
        <v>480</v>
      </c>
      <c r="AI8" s="155" t="s">
        <v>471</v>
      </c>
      <c r="AJ8" s="154" t="s">
        <v>1056</v>
      </c>
      <c r="AK8" s="155" t="s">
        <v>83</v>
      </c>
      <c r="AL8" s="155" t="s">
        <v>91</v>
      </c>
      <c r="AM8" s="155" t="s">
        <v>472</v>
      </c>
      <c r="AN8" s="155" t="s">
        <v>91</v>
      </c>
      <c r="AO8" s="155" t="s">
        <v>508</v>
      </c>
      <c r="AP8" s="155" t="s">
        <v>325</v>
      </c>
      <c r="AQ8" s="155" t="s">
        <v>91</v>
      </c>
      <c r="AR8" s="154"/>
      <c r="AS8" s="154"/>
      <c r="AT8" s="154"/>
      <c r="AU8" s="154"/>
      <c r="AV8" s="155" t="s">
        <v>91</v>
      </c>
      <c r="AW8" s="155" t="s">
        <v>91</v>
      </c>
      <c r="AX8" s="155" t="s">
        <v>483</v>
      </c>
      <c r="AY8" s="154"/>
      <c r="AZ8" s="154">
        <v>100</v>
      </c>
      <c r="BA8" s="155" t="s">
        <v>474</v>
      </c>
      <c r="BB8" s="155" t="s">
        <v>91</v>
      </c>
      <c r="BC8" s="155" t="s">
        <v>507</v>
      </c>
      <c r="BD8" s="155" t="s">
        <v>476</v>
      </c>
      <c r="BE8" s="154"/>
      <c r="BF8" s="155" t="s">
        <v>91</v>
      </c>
      <c r="BG8" s="155" t="s">
        <v>91</v>
      </c>
      <c r="BH8" s="155" t="s">
        <v>109</v>
      </c>
      <c r="BI8" s="153">
        <v>45294</v>
      </c>
      <c r="BJ8" s="154">
        <v>3</v>
      </c>
      <c r="BK8" s="155" t="s">
        <v>105</v>
      </c>
      <c r="BL8" s="155" t="s">
        <v>1057</v>
      </c>
      <c r="BM8" s="155">
        <v>0.127</v>
      </c>
      <c r="BN8" s="155" t="s">
        <v>472</v>
      </c>
      <c r="BO8" s="155" t="s">
        <v>472</v>
      </c>
      <c r="BP8" s="155" t="s">
        <v>472</v>
      </c>
      <c r="BQ8" s="155" t="s">
        <v>1058</v>
      </c>
      <c r="BR8" s="155" t="s">
        <v>240</v>
      </c>
      <c r="BS8" s="45"/>
      <c r="BT8" t="s">
        <v>7</v>
      </c>
      <c r="BU8" s="155" t="s">
        <v>12</v>
      </c>
      <c r="BV8" s="154" t="s">
        <v>1012</v>
      </c>
    </row>
    <row r="9" spans="1:74" x14ac:dyDescent="0.25">
      <c r="A9" s="155" t="s">
        <v>680</v>
      </c>
      <c r="B9" s="155" t="s">
        <v>1048</v>
      </c>
      <c r="C9" s="154" t="s">
        <v>1003</v>
      </c>
      <c r="D9" s="153">
        <v>45225</v>
      </c>
      <c r="E9" s="155" t="s">
        <v>91</v>
      </c>
      <c r="F9" s="155" t="s">
        <v>130</v>
      </c>
      <c r="G9" s="155" t="s">
        <v>91</v>
      </c>
      <c r="H9" s="155" t="s">
        <v>91</v>
      </c>
      <c r="I9" s="155" t="s">
        <v>1049</v>
      </c>
      <c r="J9" s="155" t="s">
        <v>467</v>
      </c>
      <c r="K9" s="155" t="s">
        <v>1050</v>
      </c>
      <c r="L9" s="155" t="s">
        <v>469</v>
      </c>
      <c r="M9" s="155" t="s">
        <v>469</v>
      </c>
      <c r="N9" s="155" t="s">
        <v>91</v>
      </c>
      <c r="O9" s="155" t="s">
        <v>91</v>
      </c>
      <c r="P9" s="155" t="s">
        <v>91</v>
      </c>
      <c r="Q9" s="153">
        <v>45232</v>
      </c>
      <c r="R9" s="155" t="s">
        <v>91</v>
      </c>
      <c r="S9" s="153">
        <v>45232</v>
      </c>
      <c r="T9" s="155" t="s">
        <v>680</v>
      </c>
      <c r="U9" s="155" t="s">
        <v>687</v>
      </c>
      <c r="V9" s="153">
        <v>45544</v>
      </c>
      <c r="W9" s="155" t="s">
        <v>91</v>
      </c>
      <c r="X9" s="155"/>
      <c r="Y9" s="153"/>
      <c r="Z9" s="153">
        <v>45232</v>
      </c>
      <c r="AA9" s="154">
        <v>0.22</v>
      </c>
      <c r="AB9" s="155">
        <v>1000</v>
      </c>
      <c r="AC9" s="154" t="s">
        <v>686</v>
      </c>
      <c r="AD9" s="155" t="s">
        <v>91</v>
      </c>
      <c r="AE9" s="155" t="s">
        <v>91</v>
      </c>
      <c r="AF9" s="155" t="s">
        <v>91</v>
      </c>
      <c r="AG9" s="154"/>
      <c r="AH9" s="155" t="s">
        <v>480</v>
      </c>
      <c r="AI9" s="155" t="s">
        <v>471</v>
      </c>
      <c r="AJ9" s="154" t="s">
        <v>1051</v>
      </c>
      <c r="AK9" s="155" t="s">
        <v>83</v>
      </c>
      <c r="AL9" s="155" t="s">
        <v>91</v>
      </c>
      <c r="AM9" s="155" t="s">
        <v>472</v>
      </c>
      <c r="AN9" s="155" t="s">
        <v>91</v>
      </c>
      <c r="AO9" s="155" t="s">
        <v>508</v>
      </c>
      <c r="AP9" s="155" t="s">
        <v>325</v>
      </c>
      <c r="AQ9" s="155" t="s">
        <v>91</v>
      </c>
      <c r="AR9" s="154"/>
      <c r="AS9" s="154"/>
      <c r="AT9" s="154"/>
      <c r="AU9" s="154"/>
      <c r="AV9" s="155" t="s">
        <v>91</v>
      </c>
      <c r="AW9" s="155" t="s">
        <v>91</v>
      </c>
      <c r="AX9" s="155" t="s">
        <v>483</v>
      </c>
      <c r="AY9" s="154"/>
      <c r="AZ9" s="154">
        <v>100</v>
      </c>
      <c r="BA9" s="155" t="s">
        <v>474</v>
      </c>
      <c r="BB9" s="155" t="s">
        <v>91</v>
      </c>
      <c r="BC9" s="155" t="s">
        <v>507</v>
      </c>
      <c r="BD9" s="155" t="s">
        <v>91</v>
      </c>
      <c r="BE9" s="154"/>
      <c r="BF9" s="155" t="s">
        <v>91</v>
      </c>
      <c r="BG9" s="155" t="s">
        <v>91</v>
      </c>
      <c r="BH9" s="155" t="s">
        <v>109</v>
      </c>
      <c r="BI9" s="153">
        <v>46274</v>
      </c>
      <c r="BJ9" s="154"/>
      <c r="BK9" s="155" t="s">
        <v>105</v>
      </c>
      <c r="BL9" s="155" t="s">
        <v>1052</v>
      </c>
      <c r="BM9" s="155">
        <v>0.22</v>
      </c>
      <c r="BN9" s="155" t="s">
        <v>472</v>
      </c>
      <c r="BO9" s="155" t="s">
        <v>472</v>
      </c>
      <c r="BP9" s="155" t="s">
        <v>472</v>
      </c>
      <c r="BQ9" s="155" t="s">
        <v>1053</v>
      </c>
      <c r="BR9" s="155" t="s">
        <v>240</v>
      </c>
      <c r="BS9" s="45"/>
      <c r="BT9" t="s">
        <v>7</v>
      </c>
      <c r="BU9" s="155" t="s">
        <v>12</v>
      </c>
      <c r="BV9" s="154" t="s">
        <v>1004</v>
      </c>
    </row>
    <row r="10" spans="1:74" x14ac:dyDescent="0.25">
      <c r="A10" s="155" t="s">
        <v>680</v>
      </c>
      <c r="B10" s="155" t="s">
        <v>1048</v>
      </c>
      <c r="C10" s="154" t="s">
        <v>997</v>
      </c>
      <c r="D10" s="153">
        <v>45225</v>
      </c>
      <c r="E10" s="155" t="s">
        <v>91</v>
      </c>
      <c r="F10" s="155" t="s">
        <v>130</v>
      </c>
      <c r="G10" s="155" t="s">
        <v>91</v>
      </c>
      <c r="H10" s="155" t="s">
        <v>91</v>
      </c>
      <c r="I10" s="155" t="s">
        <v>1049</v>
      </c>
      <c r="J10" s="155" t="s">
        <v>467</v>
      </c>
      <c r="K10" s="155" t="s">
        <v>1050</v>
      </c>
      <c r="L10" s="155" t="s">
        <v>469</v>
      </c>
      <c r="M10" s="155" t="s">
        <v>469</v>
      </c>
      <c r="N10" s="155" t="s">
        <v>91</v>
      </c>
      <c r="O10" s="155" t="s">
        <v>91</v>
      </c>
      <c r="P10" s="155" t="s">
        <v>91</v>
      </c>
      <c r="Q10" s="153">
        <v>45232</v>
      </c>
      <c r="R10" s="155" t="s">
        <v>91</v>
      </c>
      <c r="S10" s="153">
        <v>45232</v>
      </c>
      <c r="T10" s="155" t="s">
        <v>680</v>
      </c>
      <c r="U10" s="155" t="s">
        <v>687</v>
      </c>
      <c r="V10" s="153">
        <v>45544</v>
      </c>
      <c r="W10" s="155" t="s">
        <v>91</v>
      </c>
      <c r="X10" s="155"/>
      <c r="Y10" s="153"/>
      <c r="Z10" s="153">
        <v>45232</v>
      </c>
      <c r="AA10" s="154">
        <v>0.25700000000000001</v>
      </c>
      <c r="AB10" s="155">
        <v>1000</v>
      </c>
      <c r="AC10" s="154" t="s">
        <v>686</v>
      </c>
      <c r="AD10" s="155" t="s">
        <v>91</v>
      </c>
      <c r="AE10" s="155" t="s">
        <v>91</v>
      </c>
      <c r="AF10" s="155" t="s">
        <v>91</v>
      </c>
      <c r="AG10" s="154"/>
      <c r="AH10" s="155" t="s">
        <v>480</v>
      </c>
      <c r="AI10" s="155" t="s">
        <v>471</v>
      </c>
      <c r="AJ10" s="154" t="s">
        <v>1051</v>
      </c>
      <c r="AK10" s="155" t="s">
        <v>83</v>
      </c>
      <c r="AL10" s="155" t="s">
        <v>91</v>
      </c>
      <c r="AM10" s="155" t="s">
        <v>472</v>
      </c>
      <c r="AN10" s="155" t="s">
        <v>91</v>
      </c>
      <c r="AO10" s="155" t="s">
        <v>508</v>
      </c>
      <c r="AP10" s="155" t="s">
        <v>325</v>
      </c>
      <c r="AQ10" s="155" t="s">
        <v>91</v>
      </c>
      <c r="AR10" s="154"/>
      <c r="AS10" s="154"/>
      <c r="AT10" s="154"/>
      <c r="AU10" s="154"/>
      <c r="AV10" s="155" t="s">
        <v>91</v>
      </c>
      <c r="AW10" s="155" t="s">
        <v>91</v>
      </c>
      <c r="AX10" s="155" t="s">
        <v>483</v>
      </c>
      <c r="AY10" s="154"/>
      <c r="AZ10" s="154">
        <v>100</v>
      </c>
      <c r="BA10" s="155" t="s">
        <v>474</v>
      </c>
      <c r="BB10" s="155" t="s">
        <v>91</v>
      </c>
      <c r="BC10" s="155" t="s">
        <v>507</v>
      </c>
      <c r="BD10" s="155" t="s">
        <v>91</v>
      </c>
      <c r="BE10" s="154"/>
      <c r="BF10" s="155" t="s">
        <v>91</v>
      </c>
      <c r="BG10" s="155" t="s">
        <v>91</v>
      </c>
      <c r="BH10" s="155" t="s">
        <v>109</v>
      </c>
      <c r="BI10" s="153">
        <v>46274</v>
      </c>
      <c r="BJ10" s="154"/>
      <c r="BK10" s="155" t="s">
        <v>105</v>
      </c>
      <c r="BL10" s="155" t="s">
        <v>1052</v>
      </c>
      <c r="BM10" s="155">
        <v>0.25700000000000001</v>
      </c>
      <c r="BN10" s="155" t="s">
        <v>472</v>
      </c>
      <c r="BO10" s="155" t="s">
        <v>472</v>
      </c>
      <c r="BP10" s="155" t="s">
        <v>472</v>
      </c>
      <c r="BQ10" s="155" t="s">
        <v>1053</v>
      </c>
      <c r="BR10" s="155" t="s">
        <v>240</v>
      </c>
      <c r="BS10" s="45"/>
      <c r="BT10" t="s">
        <v>7</v>
      </c>
      <c r="BU10" s="155" t="s">
        <v>12</v>
      </c>
      <c r="BV10" s="154" t="s">
        <v>998</v>
      </c>
    </row>
    <row r="11" spans="1:74" x14ac:dyDescent="0.25">
      <c r="A11" s="155" t="s">
        <v>819</v>
      </c>
      <c r="B11" s="155" t="s">
        <v>898</v>
      </c>
      <c r="C11" s="154" t="s">
        <v>818</v>
      </c>
      <c r="D11" s="153">
        <v>45225</v>
      </c>
      <c r="E11" s="155" t="s">
        <v>91</v>
      </c>
      <c r="F11" s="155" t="s">
        <v>130</v>
      </c>
      <c r="G11" s="155" t="s">
        <v>91</v>
      </c>
      <c r="H11" s="155" t="s">
        <v>91</v>
      </c>
      <c r="I11" s="155" t="s">
        <v>466</v>
      </c>
      <c r="J11" s="155" t="s">
        <v>467</v>
      </c>
      <c r="K11" s="155" t="s">
        <v>468</v>
      </c>
      <c r="L11" s="155" t="s">
        <v>469</v>
      </c>
      <c r="M11" s="155" t="s">
        <v>469</v>
      </c>
      <c r="N11" s="155" t="s">
        <v>899</v>
      </c>
      <c r="O11" s="155" t="s">
        <v>900</v>
      </c>
      <c r="P11" s="155" t="s">
        <v>91</v>
      </c>
      <c r="Q11" s="153">
        <v>45232</v>
      </c>
      <c r="R11" s="155" t="s">
        <v>901</v>
      </c>
      <c r="S11" s="153">
        <v>45232</v>
      </c>
      <c r="T11" s="155" t="s">
        <v>91</v>
      </c>
      <c r="U11" s="155" t="s">
        <v>819</v>
      </c>
      <c r="V11" s="153">
        <v>45414</v>
      </c>
      <c r="W11" s="155" t="s">
        <v>91</v>
      </c>
      <c r="X11" s="155">
        <v>6.7</v>
      </c>
      <c r="Y11" s="153"/>
      <c r="Z11" s="153">
        <v>45232</v>
      </c>
      <c r="AA11" s="154">
        <v>5</v>
      </c>
      <c r="AB11" s="155">
        <v>1000</v>
      </c>
      <c r="AC11" s="154" t="s">
        <v>902</v>
      </c>
      <c r="AD11" s="155" t="s">
        <v>903</v>
      </c>
      <c r="AE11" s="155" t="s">
        <v>91</v>
      </c>
      <c r="AF11" s="155" t="s">
        <v>91</v>
      </c>
      <c r="AG11" s="154"/>
      <c r="AH11" s="155" t="s">
        <v>479</v>
      </c>
      <c r="AI11" s="155" t="s">
        <v>471</v>
      </c>
      <c r="AJ11" s="154" t="s">
        <v>1047</v>
      </c>
      <c r="AK11" s="155" t="s">
        <v>1</v>
      </c>
      <c r="AL11" s="155" t="s">
        <v>485</v>
      </c>
      <c r="AM11" s="155" t="s">
        <v>472</v>
      </c>
      <c r="AN11" s="155" t="s">
        <v>310</v>
      </c>
      <c r="AO11" s="155" t="s">
        <v>904</v>
      </c>
      <c r="AP11" s="155" t="s">
        <v>325</v>
      </c>
      <c r="AQ11" s="155" t="s">
        <v>905</v>
      </c>
      <c r="AR11" s="154"/>
      <c r="AS11" s="154"/>
      <c r="AT11" s="154"/>
      <c r="AU11" s="154"/>
      <c r="AV11" s="155" t="s">
        <v>91</v>
      </c>
      <c r="AW11" s="155" t="s">
        <v>906</v>
      </c>
      <c r="AX11" s="155" t="s">
        <v>907</v>
      </c>
      <c r="AY11" s="154"/>
      <c r="AZ11" s="154">
        <v>99.941000000000003</v>
      </c>
      <c r="BA11" s="155" t="s">
        <v>474</v>
      </c>
      <c r="BB11" s="155" t="s">
        <v>91</v>
      </c>
      <c r="BC11" s="155" t="s">
        <v>475</v>
      </c>
      <c r="BD11" s="155" t="s">
        <v>476</v>
      </c>
      <c r="BE11" s="154">
        <v>20</v>
      </c>
      <c r="BF11" s="155" t="s">
        <v>908</v>
      </c>
      <c r="BG11" s="155" t="s">
        <v>909</v>
      </c>
      <c r="BH11" s="155" t="s">
        <v>477</v>
      </c>
      <c r="BI11" s="153">
        <v>46267</v>
      </c>
      <c r="BJ11" s="154">
        <v>6.7</v>
      </c>
      <c r="BK11" s="155" t="s">
        <v>84</v>
      </c>
      <c r="BL11" s="155" t="s">
        <v>910</v>
      </c>
      <c r="BM11" s="155">
        <v>5</v>
      </c>
      <c r="BN11" s="155" t="s">
        <v>472</v>
      </c>
      <c r="BO11" s="155" t="s">
        <v>472</v>
      </c>
      <c r="BP11" s="155" t="s">
        <v>472</v>
      </c>
      <c r="BQ11" s="155" t="s">
        <v>911</v>
      </c>
      <c r="BR11" s="155" t="s">
        <v>240</v>
      </c>
      <c r="BS11" s="45"/>
      <c r="BT11" t="s">
        <v>7</v>
      </c>
      <c r="BU11" s="155" t="s">
        <v>16</v>
      </c>
      <c r="BV11" s="154" t="s">
        <v>823</v>
      </c>
    </row>
    <row r="12" spans="1:74" x14ac:dyDescent="0.25">
      <c r="A12" s="155" t="s">
        <v>1014</v>
      </c>
      <c r="B12" s="155" t="s">
        <v>1041</v>
      </c>
      <c r="C12" s="154" t="s">
        <v>1013</v>
      </c>
      <c r="D12" s="153">
        <v>45225</v>
      </c>
      <c r="E12" s="155" t="s">
        <v>91</v>
      </c>
      <c r="F12" s="155" t="s">
        <v>130</v>
      </c>
      <c r="G12" s="155" t="s">
        <v>91</v>
      </c>
      <c r="H12" s="155" t="s">
        <v>91</v>
      </c>
      <c r="I12" s="155" t="s">
        <v>466</v>
      </c>
      <c r="J12" s="155" t="s">
        <v>467</v>
      </c>
      <c r="K12" s="155" t="s">
        <v>468</v>
      </c>
      <c r="L12" s="155" t="s">
        <v>469</v>
      </c>
      <c r="M12" s="155" t="s">
        <v>469</v>
      </c>
      <c r="N12" s="155" t="s">
        <v>91</v>
      </c>
      <c r="O12" s="155" t="s">
        <v>91</v>
      </c>
      <c r="P12" s="155" t="s">
        <v>91</v>
      </c>
      <c r="Q12" s="153">
        <v>45229</v>
      </c>
      <c r="R12" s="155" t="s">
        <v>91</v>
      </c>
      <c r="S12" s="153">
        <v>45229</v>
      </c>
      <c r="T12" s="155" t="s">
        <v>91</v>
      </c>
      <c r="U12" s="155" t="s">
        <v>1014</v>
      </c>
      <c r="V12" s="153">
        <v>45412</v>
      </c>
      <c r="W12" s="155" t="s">
        <v>91</v>
      </c>
      <c r="X12" s="155">
        <v>6.8</v>
      </c>
      <c r="Y12" s="153"/>
      <c r="Z12" s="153">
        <v>45229</v>
      </c>
      <c r="AA12" s="154">
        <v>1.07</v>
      </c>
      <c r="AB12" s="155">
        <v>1000</v>
      </c>
      <c r="AC12" s="154" t="s">
        <v>1042</v>
      </c>
      <c r="AD12" s="155" t="s">
        <v>91</v>
      </c>
      <c r="AE12" s="155" t="s">
        <v>91</v>
      </c>
      <c r="AF12" s="155" t="s">
        <v>91</v>
      </c>
      <c r="AG12" s="154"/>
      <c r="AH12" s="155" t="s">
        <v>480</v>
      </c>
      <c r="AI12" s="155" t="s">
        <v>471</v>
      </c>
      <c r="AJ12" s="154" t="s">
        <v>738</v>
      </c>
      <c r="AK12" s="155" t="s">
        <v>1</v>
      </c>
      <c r="AL12" s="155" t="s">
        <v>482</v>
      </c>
      <c r="AM12" s="155" t="s">
        <v>472</v>
      </c>
      <c r="AN12" s="155" t="s">
        <v>91</v>
      </c>
      <c r="AO12" s="155" t="s">
        <v>1043</v>
      </c>
      <c r="AP12" s="155" t="s">
        <v>325</v>
      </c>
      <c r="AQ12" s="155" t="s">
        <v>91</v>
      </c>
      <c r="AR12" s="154"/>
      <c r="AS12" s="154"/>
      <c r="AT12" s="154"/>
      <c r="AU12" s="154"/>
      <c r="AV12" s="155" t="s">
        <v>91</v>
      </c>
      <c r="AW12" s="155" t="s">
        <v>1044</v>
      </c>
      <c r="AX12" s="155" t="s">
        <v>1045</v>
      </c>
      <c r="AY12" s="154"/>
      <c r="AZ12" s="154">
        <v>100</v>
      </c>
      <c r="BA12" s="155" t="s">
        <v>474</v>
      </c>
      <c r="BB12" s="155" t="s">
        <v>91</v>
      </c>
      <c r="BC12" s="155" t="s">
        <v>475</v>
      </c>
      <c r="BD12" s="155" t="s">
        <v>476</v>
      </c>
      <c r="BE12" s="154"/>
      <c r="BF12" s="155" t="s">
        <v>91</v>
      </c>
      <c r="BG12" s="155" t="s">
        <v>91</v>
      </c>
      <c r="BH12" s="155" t="s">
        <v>477</v>
      </c>
      <c r="BI12" s="153">
        <v>46325</v>
      </c>
      <c r="BJ12" s="154">
        <v>6.8</v>
      </c>
      <c r="BK12" s="155" t="s">
        <v>84</v>
      </c>
      <c r="BL12" s="155" t="s">
        <v>478</v>
      </c>
      <c r="BM12" s="155">
        <v>1.07</v>
      </c>
      <c r="BN12" s="155" t="s">
        <v>472</v>
      </c>
      <c r="BO12" s="155" t="s">
        <v>472</v>
      </c>
      <c r="BP12" s="155" t="s">
        <v>472</v>
      </c>
      <c r="BQ12" s="155" t="s">
        <v>1046</v>
      </c>
      <c r="BR12" s="155" t="s">
        <v>240</v>
      </c>
      <c r="BS12" s="45"/>
      <c r="BT12" t="s">
        <v>7</v>
      </c>
      <c r="BU12" s="155" t="s">
        <v>25</v>
      </c>
      <c r="BV12" s="154" t="s">
        <v>1017</v>
      </c>
    </row>
    <row r="13" spans="1:74" x14ac:dyDescent="0.25">
      <c r="A13" s="155" t="s">
        <v>680</v>
      </c>
      <c r="B13" s="155" t="s">
        <v>912</v>
      </c>
      <c r="C13" s="154" t="s">
        <v>854</v>
      </c>
      <c r="D13" s="153">
        <v>45224</v>
      </c>
      <c r="E13" s="155" t="s">
        <v>91</v>
      </c>
      <c r="F13" s="155" t="s">
        <v>91</v>
      </c>
      <c r="G13" s="155" t="s">
        <v>91</v>
      </c>
      <c r="H13" s="155" t="s">
        <v>91</v>
      </c>
      <c r="I13" s="155" t="s">
        <v>466</v>
      </c>
      <c r="J13" s="155" t="s">
        <v>467</v>
      </c>
      <c r="K13" s="155" t="s">
        <v>468</v>
      </c>
      <c r="L13" s="155" t="s">
        <v>469</v>
      </c>
      <c r="M13" s="155" t="s">
        <v>469</v>
      </c>
      <c r="N13" s="155" t="s">
        <v>685</v>
      </c>
      <c r="O13" s="155" t="s">
        <v>91</v>
      </c>
      <c r="P13" s="155" t="s">
        <v>91</v>
      </c>
      <c r="Q13" s="153">
        <v>45230</v>
      </c>
      <c r="R13" s="155" t="s">
        <v>91</v>
      </c>
      <c r="S13" s="153">
        <v>45230</v>
      </c>
      <c r="T13" s="155" t="s">
        <v>680</v>
      </c>
      <c r="U13" s="155" t="s">
        <v>687</v>
      </c>
      <c r="V13" s="153">
        <v>45322</v>
      </c>
      <c r="W13" s="155" t="s">
        <v>91</v>
      </c>
      <c r="X13" s="155">
        <v>3.3</v>
      </c>
      <c r="Y13" s="153"/>
      <c r="Z13" s="153">
        <v>45230</v>
      </c>
      <c r="AA13" s="154">
        <v>5.3999999999999999E-2</v>
      </c>
      <c r="AB13" s="155">
        <v>5400000</v>
      </c>
      <c r="AC13" s="154" t="s">
        <v>686</v>
      </c>
      <c r="AD13" s="155" t="s">
        <v>91</v>
      </c>
      <c r="AE13" s="155" t="s">
        <v>91</v>
      </c>
      <c r="AF13" s="155" t="s">
        <v>91</v>
      </c>
      <c r="AG13" s="154"/>
      <c r="AH13" s="155" t="s">
        <v>480</v>
      </c>
      <c r="AI13" s="155" t="s">
        <v>471</v>
      </c>
      <c r="AJ13" s="154" t="s">
        <v>1061</v>
      </c>
      <c r="AK13" s="155" t="s">
        <v>83</v>
      </c>
      <c r="AL13" s="155" t="s">
        <v>91</v>
      </c>
      <c r="AM13" s="155" t="s">
        <v>472</v>
      </c>
      <c r="AN13" s="155" t="s">
        <v>91</v>
      </c>
      <c r="AO13" s="155" t="s">
        <v>508</v>
      </c>
      <c r="AP13" s="155" t="s">
        <v>325</v>
      </c>
      <c r="AQ13" s="155" t="s">
        <v>685</v>
      </c>
      <c r="AR13" s="154"/>
      <c r="AS13" s="154"/>
      <c r="AT13" s="154"/>
      <c r="AU13" s="154"/>
      <c r="AV13" s="155" t="s">
        <v>91</v>
      </c>
      <c r="AW13" s="155" t="s">
        <v>91</v>
      </c>
      <c r="AX13" s="155" t="s">
        <v>483</v>
      </c>
      <c r="AY13" s="154"/>
      <c r="AZ13" s="154">
        <v>100</v>
      </c>
      <c r="BA13" s="155" t="s">
        <v>474</v>
      </c>
      <c r="BB13" s="155" t="s">
        <v>91</v>
      </c>
      <c r="BC13" s="155" t="s">
        <v>507</v>
      </c>
      <c r="BD13" s="155" t="s">
        <v>476</v>
      </c>
      <c r="BE13" s="154"/>
      <c r="BF13" s="155" t="s">
        <v>91</v>
      </c>
      <c r="BG13" s="155" t="s">
        <v>91</v>
      </c>
      <c r="BH13" s="155" t="s">
        <v>109</v>
      </c>
      <c r="BI13" s="153">
        <v>45322</v>
      </c>
      <c r="BJ13" s="154">
        <v>3.3</v>
      </c>
      <c r="BK13" s="155" t="s">
        <v>105</v>
      </c>
      <c r="BL13" s="155" t="s">
        <v>700</v>
      </c>
      <c r="BM13" s="155">
        <v>5.3999999999999999E-2</v>
      </c>
      <c r="BN13" s="155" t="s">
        <v>472</v>
      </c>
      <c r="BO13" s="155" t="s">
        <v>472</v>
      </c>
      <c r="BP13" s="155" t="s">
        <v>472</v>
      </c>
      <c r="BQ13" s="155" t="s">
        <v>913</v>
      </c>
      <c r="BR13" s="155" t="s">
        <v>240</v>
      </c>
      <c r="BS13" s="45"/>
      <c r="BT13" t="s">
        <v>7</v>
      </c>
      <c r="BU13" s="155" t="s">
        <v>12</v>
      </c>
      <c r="BV13" s="154" t="s">
        <v>856</v>
      </c>
    </row>
    <row r="14" spans="1:74" x14ac:dyDescent="0.25">
      <c r="A14" s="155" t="s">
        <v>825</v>
      </c>
      <c r="B14" s="155" t="s">
        <v>914</v>
      </c>
      <c r="C14" s="154" t="s">
        <v>829</v>
      </c>
      <c r="D14" s="153">
        <v>45224</v>
      </c>
      <c r="E14" s="155" t="s">
        <v>91</v>
      </c>
      <c r="F14" s="155" t="s">
        <v>130</v>
      </c>
      <c r="G14" s="155" t="s">
        <v>91</v>
      </c>
      <c r="H14" s="155" t="s">
        <v>91</v>
      </c>
      <c r="I14" s="155" t="s">
        <v>915</v>
      </c>
      <c r="J14" s="155" t="s">
        <v>467</v>
      </c>
      <c r="K14" s="155" t="s">
        <v>468</v>
      </c>
      <c r="L14" s="155" t="s">
        <v>469</v>
      </c>
      <c r="M14" s="155" t="s">
        <v>469</v>
      </c>
      <c r="N14" s="155" t="s">
        <v>91</v>
      </c>
      <c r="O14" s="155" t="s">
        <v>91</v>
      </c>
      <c r="P14" s="155" t="s">
        <v>91</v>
      </c>
      <c r="Q14" s="153">
        <v>45093</v>
      </c>
      <c r="R14" s="155" t="s">
        <v>916</v>
      </c>
      <c r="S14" s="153">
        <v>45093</v>
      </c>
      <c r="T14" s="155" t="s">
        <v>91</v>
      </c>
      <c r="U14" s="155" t="s">
        <v>917</v>
      </c>
      <c r="V14" s="153">
        <v>45276</v>
      </c>
      <c r="W14" s="155" t="s">
        <v>91</v>
      </c>
      <c r="X14" s="155">
        <v>2.71</v>
      </c>
      <c r="Y14" s="153"/>
      <c r="Z14" s="153">
        <v>45226</v>
      </c>
      <c r="AA14" s="154">
        <v>50</v>
      </c>
      <c r="AB14" s="155">
        <v>500000</v>
      </c>
      <c r="AC14" s="154" t="s">
        <v>918</v>
      </c>
      <c r="AD14" s="155" t="s">
        <v>91</v>
      </c>
      <c r="AE14" s="155" t="s">
        <v>91</v>
      </c>
      <c r="AF14" s="155" t="s">
        <v>91</v>
      </c>
      <c r="AG14" s="154"/>
      <c r="AH14" s="155" t="s">
        <v>479</v>
      </c>
      <c r="AI14" s="155" t="s">
        <v>919</v>
      </c>
      <c r="AJ14" s="154" t="s">
        <v>1059</v>
      </c>
      <c r="AK14" s="155" t="s">
        <v>2</v>
      </c>
      <c r="AL14" s="155" t="s">
        <v>91</v>
      </c>
      <c r="AM14" s="155" t="s">
        <v>472</v>
      </c>
      <c r="AN14" s="155" t="s">
        <v>91</v>
      </c>
      <c r="AO14" s="155" t="s">
        <v>698</v>
      </c>
      <c r="AP14" s="155" t="s">
        <v>250</v>
      </c>
      <c r="AQ14" s="155" t="s">
        <v>920</v>
      </c>
      <c r="AR14" s="154"/>
      <c r="AS14" s="154"/>
      <c r="AT14" s="154"/>
      <c r="AU14" s="154"/>
      <c r="AV14" s="155" t="s">
        <v>91</v>
      </c>
      <c r="AW14" s="155" t="s">
        <v>486</v>
      </c>
      <c r="AX14" s="155" t="s">
        <v>483</v>
      </c>
      <c r="AY14" s="154"/>
      <c r="AZ14" s="154">
        <v>98</v>
      </c>
      <c r="BA14" s="155" t="s">
        <v>474</v>
      </c>
      <c r="BB14" s="155" t="s">
        <v>91</v>
      </c>
      <c r="BC14" s="155" t="s">
        <v>475</v>
      </c>
      <c r="BD14" s="155" t="s">
        <v>476</v>
      </c>
      <c r="BE14" s="154"/>
      <c r="BF14" s="155" t="s">
        <v>91</v>
      </c>
      <c r="BG14" s="155" t="s">
        <v>91</v>
      </c>
      <c r="BH14" s="155" t="s">
        <v>477</v>
      </c>
      <c r="BI14" s="153">
        <v>48746</v>
      </c>
      <c r="BJ14" s="154">
        <v>2.71</v>
      </c>
      <c r="BK14" s="155" t="s">
        <v>105</v>
      </c>
      <c r="BL14" s="155" t="s">
        <v>921</v>
      </c>
      <c r="BM14" s="155">
        <v>30</v>
      </c>
      <c r="BN14" s="155" t="s">
        <v>472</v>
      </c>
      <c r="BO14" s="155" t="s">
        <v>487</v>
      </c>
      <c r="BP14" s="155" t="s">
        <v>922</v>
      </c>
      <c r="BQ14" s="155" t="s">
        <v>923</v>
      </c>
      <c r="BR14" s="155" t="s">
        <v>240</v>
      </c>
      <c r="BS14" s="45"/>
      <c r="BT14" t="s">
        <v>7</v>
      </c>
      <c r="BU14" s="155" t="s">
        <v>12</v>
      </c>
      <c r="BV14" s="154" t="s">
        <v>831</v>
      </c>
    </row>
    <row r="15" spans="1:74" x14ac:dyDescent="0.25">
      <c r="A15" s="155" t="s">
        <v>825</v>
      </c>
      <c r="B15" s="155" t="s">
        <v>924</v>
      </c>
      <c r="C15" s="154" t="s">
        <v>835</v>
      </c>
      <c r="D15" s="153">
        <v>45224</v>
      </c>
      <c r="E15" s="155" t="s">
        <v>91</v>
      </c>
      <c r="F15" s="155" t="s">
        <v>130</v>
      </c>
      <c r="G15" s="155" t="s">
        <v>91</v>
      </c>
      <c r="H15" s="155" t="s">
        <v>91</v>
      </c>
      <c r="I15" s="155" t="s">
        <v>915</v>
      </c>
      <c r="J15" s="155" t="s">
        <v>467</v>
      </c>
      <c r="K15" s="155" t="s">
        <v>468</v>
      </c>
      <c r="L15" s="155" t="s">
        <v>469</v>
      </c>
      <c r="M15" s="155" t="s">
        <v>469</v>
      </c>
      <c r="N15" s="155" t="s">
        <v>91</v>
      </c>
      <c r="O15" s="155" t="s">
        <v>91</v>
      </c>
      <c r="P15" s="155" t="s">
        <v>91</v>
      </c>
      <c r="Q15" s="153">
        <v>45093</v>
      </c>
      <c r="R15" s="155" t="s">
        <v>925</v>
      </c>
      <c r="S15" s="153">
        <v>45093</v>
      </c>
      <c r="T15" s="155" t="s">
        <v>91</v>
      </c>
      <c r="U15" s="155" t="s">
        <v>917</v>
      </c>
      <c r="V15" s="153">
        <v>45276</v>
      </c>
      <c r="W15" s="155" t="s">
        <v>91</v>
      </c>
      <c r="X15" s="155">
        <v>2.2000000000000002</v>
      </c>
      <c r="Y15" s="153"/>
      <c r="Z15" s="153">
        <v>45226</v>
      </c>
      <c r="AA15" s="154">
        <v>160</v>
      </c>
      <c r="AB15" s="155">
        <v>500000</v>
      </c>
      <c r="AC15" s="154" t="s">
        <v>918</v>
      </c>
      <c r="AD15" s="155" t="s">
        <v>91</v>
      </c>
      <c r="AE15" s="155" t="s">
        <v>91</v>
      </c>
      <c r="AF15" s="155" t="s">
        <v>91</v>
      </c>
      <c r="AG15" s="154"/>
      <c r="AH15" s="155" t="s">
        <v>479</v>
      </c>
      <c r="AI15" s="155" t="s">
        <v>919</v>
      </c>
      <c r="AJ15" s="154" t="s">
        <v>926</v>
      </c>
      <c r="AK15" s="155" t="s">
        <v>2</v>
      </c>
      <c r="AL15" s="155" t="s">
        <v>91</v>
      </c>
      <c r="AM15" s="155" t="s">
        <v>472</v>
      </c>
      <c r="AN15" s="155" t="s">
        <v>91</v>
      </c>
      <c r="AO15" s="155" t="s">
        <v>698</v>
      </c>
      <c r="AP15" s="155" t="s">
        <v>250</v>
      </c>
      <c r="AQ15" s="155" t="s">
        <v>920</v>
      </c>
      <c r="AR15" s="154"/>
      <c r="AS15" s="154"/>
      <c r="AT15" s="154"/>
      <c r="AU15" s="154"/>
      <c r="AV15" s="155" t="s">
        <v>91</v>
      </c>
      <c r="AW15" s="155" t="s">
        <v>486</v>
      </c>
      <c r="AX15" s="155" t="s">
        <v>483</v>
      </c>
      <c r="AY15" s="154"/>
      <c r="AZ15" s="154">
        <v>99.29</v>
      </c>
      <c r="BA15" s="155" t="s">
        <v>474</v>
      </c>
      <c r="BB15" s="155" t="s">
        <v>91</v>
      </c>
      <c r="BC15" s="155" t="s">
        <v>475</v>
      </c>
      <c r="BD15" s="155" t="s">
        <v>476</v>
      </c>
      <c r="BE15" s="154"/>
      <c r="BF15" s="155" t="s">
        <v>91</v>
      </c>
      <c r="BG15" s="155" t="s">
        <v>91</v>
      </c>
      <c r="BH15" s="155" t="s">
        <v>477</v>
      </c>
      <c r="BI15" s="153">
        <v>45824</v>
      </c>
      <c r="BJ15" s="154">
        <v>2.2000000000000002</v>
      </c>
      <c r="BK15" s="155" t="s">
        <v>105</v>
      </c>
      <c r="BL15" s="155" t="s">
        <v>730</v>
      </c>
      <c r="BM15" s="155">
        <v>40</v>
      </c>
      <c r="BN15" s="155" t="s">
        <v>472</v>
      </c>
      <c r="BO15" s="155" t="s">
        <v>487</v>
      </c>
      <c r="BP15" s="155" t="s">
        <v>922</v>
      </c>
      <c r="BQ15" s="155" t="s">
        <v>927</v>
      </c>
      <c r="BR15" s="155" t="s">
        <v>240</v>
      </c>
      <c r="BS15" s="45"/>
      <c r="BT15" t="s">
        <v>7</v>
      </c>
      <c r="BU15" s="155" t="s">
        <v>12</v>
      </c>
      <c r="BV15" s="154" t="s">
        <v>837</v>
      </c>
    </row>
    <row r="16" spans="1:74" x14ac:dyDescent="0.25">
      <c r="A16" s="155" t="s">
        <v>825</v>
      </c>
      <c r="B16" s="155" t="s">
        <v>928</v>
      </c>
      <c r="C16" s="154" t="s">
        <v>832</v>
      </c>
      <c r="D16" s="153">
        <v>45224</v>
      </c>
      <c r="E16" s="155" t="s">
        <v>91</v>
      </c>
      <c r="F16" s="155" t="s">
        <v>130</v>
      </c>
      <c r="G16" s="155" t="s">
        <v>91</v>
      </c>
      <c r="H16" s="155" t="s">
        <v>91</v>
      </c>
      <c r="I16" s="155" t="s">
        <v>915</v>
      </c>
      <c r="J16" s="155" t="s">
        <v>467</v>
      </c>
      <c r="K16" s="155" t="s">
        <v>468</v>
      </c>
      <c r="L16" s="155" t="s">
        <v>469</v>
      </c>
      <c r="M16" s="155" t="s">
        <v>469</v>
      </c>
      <c r="N16" s="155" t="s">
        <v>91</v>
      </c>
      <c r="O16" s="155" t="s">
        <v>91</v>
      </c>
      <c r="P16" s="155" t="s">
        <v>91</v>
      </c>
      <c r="Q16" s="153">
        <v>45093</v>
      </c>
      <c r="R16" s="155" t="s">
        <v>929</v>
      </c>
      <c r="S16" s="153">
        <v>45093</v>
      </c>
      <c r="T16" s="155" t="s">
        <v>91</v>
      </c>
      <c r="U16" s="155" t="s">
        <v>917</v>
      </c>
      <c r="V16" s="153">
        <v>45276</v>
      </c>
      <c r="W16" s="155" t="s">
        <v>91</v>
      </c>
      <c r="X16" s="155">
        <v>2.2999999999999998</v>
      </c>
      <c r="Y16" s="153"/>
      <c r="Z16" s="153">
        <v>45226</v>
      </c>
      <c r="AA16" s="154">
        <v>120</v>
      </c>
      <c r="AB16" s="155">
        <v>500000</v>
      </c>
      <c r="AC16" s="154" t="s">
        <v>918</v>
      </c>
      <c r="AD16" s="155" t="s">
        <v>91</v>
      </c>
      <c r="AE16" s="155" t="s">
        <v>91</v>
      </c>
      <c r="AF16" s="155" t="s">
        <v>91</v>
      </c>
      <c r="AG16" s="154"/>
      <c r="AH16" s="155" t="s">
        <v>479</v>
      </c>
      <c r="AI16" s="155" t="s">
        <v>919</v>
      </c>
      <c r="AJ16" s="154" t="s">
        <v>930</v>
      </c>
      <c r="AK16" s="155" t="s">
        <v>2</v>
      </c>
      <c r="AL16" s="155" t="s">
        <v>91</v>
      </c>
      <c r="AM16" s="155" t="s">
        <v>472</v>
      </c>
      <c r="AN16" s="155" t="s">
        <v>91</v>
      </c>
      <c r="AO16" s="155" t="s">
        <v>698</v>
      </c>
      <c r="AP16" s="155" t="s">
        <v>250</v>
      </c>
      <c r="AQ16" s="155" t="s">
        <v>920</v>
      </c>
      <c r="AR16" s="154"/>
      <c r="AS16" s="154"/>
      <c r="AT16" s="154"/>
      <c r="AU16" s="154"/>
      <c r="AV16" s="155" t="s">
        <v>91</v>
      </c>
      <c r="AW16" s="155" t="s">
        <v>486</v>
      </c>
      <c r="AX16" s="155" t="s">
        <v>483</v>
      </c>
      <c r="AY16" s="154"/>
      <c r="AZ16" s="154">
        <v>98.87</v>
      </c>
      <c r="BA16" s="155" t="s">
        <v>474</v>
      </c>
      <c r="BB16" s="155" t="s">
        <v>91</v>
      </c>
      <c r="BC16" s="155" t="s">
        <v>475</v>
      </c>
      <c r="BD16" s="155" t="s">
        <v>476</v>
      </c>
      <c r="BE16" s="154"/>
      <c r="BF16" s="155" t="s">
        <v>91</v>
      </c>
      <c r="BG16" s="155" t="s">
        <v>91</v>
      </c>
      <c r="BH16" s="155" t="s">
        <v>477</v>
      </c>
      <c r="BI16" s="153">
        <v>46189</v>
      </c>
      <c r="BJ16" s="154">
        <v>2.2999999999999998</v>
      </c>
      <c r="BK16" s="155" t="s">
        <v>105</v>
      </c>
      <c r="BL16" s="155" t="s">
        <v>478</v>
      </c>
      <c r="BM16" s="155">
        <v>50</v>
      </c>
      <c r="BN16" s="155" t="s">
        <v>472</v>
      </c>
      <c r="BO16" s="155" t="s">
        <v>487</v>
      </c>
      <c r="BP16" s="155" t="s">
        <v>922</v>
      </c>
      <c r="BQ16" s="155" t="s">
        <v>931</v>
      </c>
      <c r="BR16" s="155" t="s">
        <v>240</v>
      </c>
      <c r="BS16" s="45"/>
      <c r="BT16" t="s">
        <v>7</v>
      </c>
      <c r="BU16" s="155" t="s">
        <v>12</v>
      </c>
      <c r="BV16" s="154" t="s">
        <v>834</v>
      </c>
    </row>
    <row r="17" spans="1:74" x14ac:dyDescent="0.25">
      <c r="A17" s="155" t="s">
        <v>825</v>
      </c>
      <c r="B17" s="155" t="s">
        <v>932</v>
      </c>
      <c r="C17" s="154" t="s">
        <v>824</v>
      </c>
      <c r="D17" s="153">
        <v>45224</v>
      </c>
      <c r="E17" s="155" t="s">
        <v>91</v>
      </c>
      <c r="F17" s="155" t="s">
        <v>130</v>
      </c>
      <c r="G17" s="155" t="s">
        <v>91</v>
      </c>
      <c r="H17" s="155" t="s">
        <v>91</v>
      </c>
      <c r="I17" s="155" t="s">
        <v>466</v>
      </c>
      <c r="J17" s="155" t="s">
        <v>467</v>
      </c>
      <c r="K17" s="155" t="s">
        <v>468</v>
      </c>
      <c r="L17" s="155" t="s">
        <v>469</v>
      </c>
      <c r="M17" s="155" t="s">
        <v>469</v>
      </c>
      <c r="N17" s="155" t="s">
        <v>91</v>
      </c>
      <c r="O17" s="155" t="s">
        <v>91</v>
      </c>
      <c r="P17" s="155" t="s">
        <v>91</v>
      </c>
      <c r="Q17" s="153">
        <v>45142</v>
      </c>
      <c r="R17" s="155" t="s">
        <v>933</v>
      </c>
      <c r="S17" s="153">
        <v>45142</v>
      </c>
      <c r="T17" s="155" t="s">
        <v>91</v>
      </c>
      <c r="U17" s="155" t="s">
        <v>917</v>
      </c>
      <c r="V17" s="153">
        <v>45326</v>
      </c>
      <c r="W17" s="155" t="s">
        <v>91</v>
      </c>
      <c r="X17" s="155">
        <v>2.52</v>
      </c>
      <c r="Y17" s="153"/>
      <c r="Z17" s="153">
        <v>45226</v>
      </c>
      <c r="AA17" s="154">
        <v>70</v>
      </c>
      <c r="AB17" s="155">
        <v>500000</v>
      </c>
      <c r="AC17" s="154" t="s">
        <v>918</v>
      </c>
      <c r="AD17" s="155" t="s">
        <v>91</v>
      </c>
      <c r="AE17" s="155" t="s">
        <v>91</v>
      </c>
      <c r="AF17" s="155" t="s">
        <v>91</v>
      </c>
      <c r="AG17" s="154"/>
      <c r="AH17" s="155" t="s">
        <v>479</v>
      </c>
      <c r="AI17" s="155" t="s">
        <v>919</v>
      </c>
      <c r="AJ17" s="154" t="s">
        <v>1060</v>
      </c>
      <c r="AK17" s="155" t="s">
        <v>2</v>
      </c>
      <c r="AL17" s="155" t="s">
        <v>91</v>
      </c>
      <c r="AM17" s="155" t="s">
        <v>472</v>
      </c>
      <c r="AN17" s="155" t="s">
        <v>91</v>
      </c>
      <c r="AO17" s="155" t="s">
        <v>698</v>
      </c>
      <c r="AP17" s="155" t="s">
        <v>250</v>
      </c>
      <c r="AQ17" s="155" t="s">
        <v>920</v>
      </c>
      <c r="AR17" s="154"/>
      <c r="AS17" s="154"/>
      <c r="AT17" s="154"/>
      <c r="AU17" s="154"/>
      <c r="AV17" s="155" t="s">
        <v>91</v>
      </c>
      <c r="AW17" s="155" t="s">
        <v>486</v>
      </c>
      <c r="AX17" s="155" t="s">
        <v>483</v>
      </c>
      <c r="AY17" s="154"/>
      <c r="AZ17" s="154">
        <v>98.54</v>
      </c>
      <c r="BA17" s="155" t="s">
        <v>474</v>
      </c>
      <c r="BB17" s="155" t="s">
        <v>91</v>
      </c>
      <c r="BC17" s="155" t="s">
        <v>475</v>
      </c>
      <c r="BD17" s="155" t="s">
        <v>476</v>
      </c>
      <c r="BE17" s="154"/>
      <c r="BF17" s="155" t="s">
        <v>91</v>
      </c>
      <c r="BG17" s="155" t="s">
        <v>91</v>
      </c>
      <c r="BH17" s="155" t="s">
        <v>109</v>
      </c>
      <c r="BI17" s="153">
        <v>46969</v>
      </c>
      <c r="BJ17" s="154">
        <v>2.52</v>
      </c>
      <c r="BK17" s="155" t="s">
        <v>105</v>
      </c>
      <c r="BL17" s="155" t="s">
        <v>934</v>
      </c>
      <c r="BM17" s="155">
        <v>40</v>
      </c>
      <c r="BN17" s="155" t="s">
        <v>472</v>
      </c>
      <c r="BO17" s="155" t="s">
        <v>487</v>
      </c>
      <c r="BP17" s="155" t="s">
        <v>922</v>
      </c>
      <c r="BQ17" s="155" t="s">
        <v>935</v>
      </c>
      <c r="BR17" s="155" t="s">
        <v>240</v>
      </c>
      <c r="BS17" s="45"/>
      <c r="BT17" t="s">
        <v>7</v>
      </c>
      <c r="BU17" s="155" t="s">
        <v>12</v>
      </c>
      <c r="BV17" s="154" t="s">
        <v>828</v>
      </c>
    </row>
    <row r="18" spans="1:74" x14ac:dyDescent="0.25">
      <c r="A18" s="155" t="s">
        <v>802</v>
      </c>
      <c r="B18" s="155" t="s">
        <v>936</v>
      </c>
      <c r="C18" s="154" t="s">
        <v>847</v>
      </c>
      <c r="D18" s="153">
        <v>45224</v>
      </c>
      <c r="E18" s="155" t="s">
        <v>91</v>
      </c>
      <c r="F18" s="155" t="s">
        <v>734</v>
      </c>
      <c r="G18" s="155" t="s">
        <v>91</v>
      </c>
      <c r="H18" s="155" t="s">
        <v>91</v>
      </c>
      <c r="I18" s="155" t="s">
        <v>466</v>
      </c>
      <c r="J18" s="155" t="s">
        <v>467</v>
      </c>
      <c r="K18" s="155" t="s">
        <v>733</v>
      </c>
      <c r="L18" s="155" t="s">
        <v>469</v>
      </c>
      <c r="M18" s="155" t="s">
        <v>469</v>
      </c>
      <c r="N18" s="155" t="s">
        <v>937</v>
      </c>
      <c r="O18" s="155" t="s">
        <v>91</v>
      </c>
      <c r="P18" s="155" t="s">
        <v>91</v>
      </c>
      <c r="Q18" s="153">
        <v>45232</v>
      </c>
      <c r="R18" s="155" t="s">
        <v>91</v>
      </c>
      <c r="S18" s="153">
        <v>45232</v>
      </c>
      <c r="T18" s="155" t="s">
        <v>802</v>
      </c>
      <c r="U18" s="155" t="s">
        <v>938</v>
      </c>
      <c r="V18" s="153">
        <v>45324</v>
      </c>
      <c r="W18" s="155" t="s">
        <v>939</v>
      </c>
      <c r="X18" s="155">
        <v>6.8426999999999998</v>
      </c>
      <c r="Y18" s="153"/>
      <c r="Z18" s="153">
        <v>45232</v>
      </c>
      <c r="AA18" s="154">
        <v>1.5</v>
      </c>
      <c r="AB18" s="155">
        <v>1000</v>
      </c>
      <c r="AC18" s="154" t="s">
        <v>940</v>
      </c>
      <c r="AD18" s="155" t="s">
        <v>91</v>
      </c>
      <c r="AE18" s="155" t="s">
        <v>91</v>
      </c>
      <c r="AF18" s="155" t="s">
        <v>91</v>
      </c>
      <c r="AG18" s="154"/>
      <c r="AH18" s="155" t="s">
        <v>479</v>
      </c>
      <c r="AI18" s="155" t="s">
        <v>484</v>
      </c>
      <c r="AJ18" s="154" t="s">
        <v>729</v>
      </c>
      <c r="AK18" s="155" t="s">
        <v>83</v>
      </c>
      <c r="AL18" s="155" t="s">
        <v>485</v>
      </c>
      <c r="AM18" s="155" t="s">
        <v>472</v>
      </c>
      <c r="AN18" s="155" t="s">
        <v>91</v>
      </c>
      <c r="AO18" s="155" t="s">
        <v>440</v>
      </c>
      <c r="AP18" s="155" t="s">
        <v>325</v>
      </c>
      <c r="AQ18" s="155" t="s">
        <v>941</v>
      </c>
      <c r="AR18" s="154"/>
      <c r="AS18" s="154"/>
      <c r="AT18" s="154"/>
      <c r="AU18" s="154"/>
      <c r="AV18" s="155" t="s">
        <v>91</v>
      </c>
      <c r="AW18" s="155" t="s">
        <v>486</v>
      </c>
      <c r="AX18" s="155" t="s">
        <v>483</v>
      </c>
      <c r="AY18" s="154"/>
      <c r="AZ18" s="154">
        <v>100</v>
      </c>
      <c r="BA18" s="155" t="s">
        <v>474</v>
      </c>
      <c r="BB18" s="155" t="s">
        <v>91</v>
      </c>
      <c r="BC18" s="155" t="s">
        <v>507</v>
      </c>
      <c r="BD18" s="155" t="s">
        <v>476</v>
      </c>
      <c r="BE18" s="154"/>
      <c r="BF18" s="155" t="s">
        <v>91</v>
      </c>
      <c r="BG18" s="155" t="s">
        <v>91</v>
      </c>
      <c r="BH18" s="155" t="s">
        <v>109</v>
      </c>
      <c r="BI18" s="153">
        <v>46328</v>
      </c>
      <c r="BJ18" s="154">
        <v>6.8426999999999998</v>
      </c>
      <c r="BK18" s="155" t="s">
        <v>280</v>
      </c>
      <c r="BL18" s="155" t="s">
        <v>478</v>
      </c>
      <c r="BM18" s="155">
        <v>1.5</v>
      </c>
      <c r="BN18" s="155" t="s">
        <v>472</v>
      </c>
      <c r="BO18" s="155" t="s">
        <v>487</v>
      </c>
      <c r="BP18" s="155" t="s">
        <v>488</v>
      </c>
      <c r="BQ18" s="155" t="s">
        <v>942</v>
      </c>
      <c r="BR18" s="155" t="s">
        <v>240</v>
      </c>
      <c r="BS18" s="45"/>
      <c r="BT18" t="s">
        <v>7</v>
      </c>
      <c r="BU18" s="155" t="s">
        <v>12</v>
      </c>
      <c r="BV18" s="154" t="s">
        <v>853</v>
      </c>
    </row>
    <row r="19" spans="1:74" x14ac:dyDescent="0.25">
      <c r="A19" s="155" t="s">
        <v>844</v>
      </c>
      <c r="B19" s="155" t="s">
        <v>943</v>
      </c>
      <c r="C19" s="154" t="s">
        <v>843</v>
      </c>
      <c r="D19" s="153">
        <v>45224</v>
      </c>
      <c r="E19" s="155" t="s">
        <v>91</v>
      </c>
      <c r="F19" s="155" t="s">
        <v>130</v>
      </c>
      <c r="G19" s="155" t="s">
        <v>91</v>
      </c>
      <c r="H19" s="155" t="s">
        <v>91</v>
      </c>
      <c r="I19" s="155" t="s">
        <v>466</v>
      </c>
      <c r="J19" s="155" t="s">
        <v>467</v>
      </c>
      <c r="K19" s="155" t="s">
        <v>468</v>
      </c>
      <c r="L19" s="155" t="s">
        <v>469</v>
      </c>
      <c r="M19" s="155" t="s">
        <v>469</v>
      </c>
      <c r="N19" s="155" t="s">
        <v>944</v>
      </c>
      <c r="O19" s="155" t="s">
        <v>91</v>
      </c>
      <c r="P19" s="155" t="s">
        <v>91</v>
      </c>
      <c r="Q19" s="153">
        <v>45226</v>
      </c>
      <c r="R19" s="155" t="s">
        <v>91</v>
      </c>
      <c r="S19" s="153">
        <v>45226</v>
      </c>
      <c r="T19" s="155" t="s">
        <v>91</v>
      </c>
      <c r="U19" s="155" t="s">
        <v>844</v>
      </c>
      <c r="V19" s="153">
        <v>45409</v>
      </c>
      <c r="W19" s="155" t="s">
        <v>91</v>
      </c>
      <c r="X19" s="155">
        <v>7.9</v>
      </c>
      <c r="Y19" s="153"/>
      <c r="Z19" s="153">
        <v>45226</v>
      </c>
      <c r="AA19" s="154">
        <v>4.97</v>
      </c>
      <c r="AB19" s="155">
        <v>10000</v>
      </c>
      <c r="AC19" s="154" t="s">
        <v>945</v>
      </c>
      <c r="AD19" s="155" t="s">
        <v>91</v>
      </c>
      <c r="AE19" s="155" t="s">
        <v>91</v>
      </c>
      <c r="AF19" s="155" t="s">
        <v>91</v>
      </c>
      <c r="AG19" s="154"/>
      <c r="AH19" s="155" t="s">
        <v>480</v>
      </c>
      <c r="AI19" s="155" t="s">
        <v>471</v>
      </c>
      <c r="AJ19" s="154" t="s">
        <v>737</v>
      </c>
      <c r="AK19" s="155" t="s">
        <v>1</v>
      </c>
      <c r="AL19" s="155" t="s">
        <v>482</v>
      </c>
      <c r="AM19" s="155" t="s">
        <v>472</v>
      </c>
      <c r="AN19" s="155" t="s">
        <v>91</v>
      </c>
      <c r="AO19" s="155" t="s">
        <v>473</v>
      </c>
      <c r="AP19" s="155" t="s">
        <v>325</v>
      </c>
      <c r="AQ19" s="155" t="s">
        <v>946</v>
      </c>
      <c r="AR19" s="154"/>
      <c r="AS19" s="154"/>
      <c r="AT19" s="154"/>
      <c r="AU19" s="154"/>
      <c r="AV19" s="155" t="s">
        <v>947</v>
      </c>
      <c r="AW19" s="155" t="s">
        <v>948</v>
      </c>
      <c r="AX19" s="155" t="s">
        <v>699</v>
      </c>
      <c r="AY19" s="154"/>
      <c r="AZ19" s="154">
        <v>100</v>
      </c>
      <c r="BA19" s="155" t="s">
        <v>474</v>
      </c>
      <c r="BB19" s="155" t="s">
        <v>91</v>
      </c>
      <c r="BC19" s="155" t="s">
        <v>475</v>
      </c>
      <c r="BD19" s="155" t="s">
        <v>476</v>
      </c>
      <c r="BE19" s="154"/>
      <c r="BF19" s="155" t="s">
        <v>91</v>
      </c>
      <c r="BG19" s="155" t="s">
        <v>91</v>
      </c>
      <c r="BH19" s="155" t="s">
        <v>109</v>
      </c>
      <c r="BI19" s="153">
        <v>46322</v>
      </c>
      <c r="BJ19" s="154">
        <v>7.9</v>
      </c>
      <c r="BK19" s="155" t="s">
        <v>105</v>
      </c>
      <c r="BL19" s="155" t="s">
        <v>478</v>
      </c>
      <c r="BM19" s="155">
        <v>4.97</v>
      </c>
      <c r="BN19" s="155" t="s">
        <v>472</v>
      </c>
      <c r="BO19" s="155" t="s">
        <v>472</v>
      </c>
      <c r="BP19" s="155" t="s">
        <v>472</v>
      </c>
      <c r="BQ19" s="155" t="s">
        <v>949</v>
      </c>
      <c r="BR19" s="155" t="s">
        <v>240</v>
      </c>
      <c r="BS19" s="45"/>
      <c r="BT19" t="s">
        <v>7</v>
      </c>
      <c r="BU19" s="155" t="s">
        <v>19</v>
      </c>
      <c r="BV19" s="154" t="s">
        <v>846</v>
      </c>
    </row>
    <row r="20" spans="1:74" x14ac:dyDescent="0.25">
      <c r="A20" s="155" t="s">
        <v>723</v>
      </c>
      <c r="B20" s="155" t="s">
        <v>739</v>
      </c>
      <c r="C20" s="154" t="s">
        <v>863</v>
      </c>
      <c r="D20" s="153">
        <v>45223</v>
      </c>
      <c r="E20" s="155" t="s">
        <v>91</v>
      </c>
      <c r="F20" s="155" t="s">
        <v>130</v>
      </c>
      <c r="G20" s="155" t="s">
        <v>91</v>
      </c>
      <c r="H20" s="155" t="s">
        <v>91</v>
      </c>
      <c r="I20" s="155" t="s">
        <v>466</v>
      </c>
      <c r="J20" s="155" t="s">
        <v>467</v>
      </c>
      <c r="K20" s="155" t="s">
        <v>468</v>
      </c>
      <c r="L20" s="155" t="s">
        <v>469</v>
      </c>
      <c r="M20" s="155" t="s">
        <v>469</v>
      </c>
      <c r="N20" s="155" t="s">
        <v>950</v>
      </c>
      <c r="O20" s="155" t="s">
        <v>951</v>
      </c>
      <c r="P20" s="155" t="s">
        <v>470</v>
      </c>
      <c r="Q20" s="153">
        <v>45229</v>
      </c>
      <c r="R20" s="155" t="s">
        <v>91</v>
      </c>
      <c r="S20" s="153">
        <v>45229</v>
      </c>
      <c r="T20" s="155" t="s">
        <v>723</v>
      </c>
      <c r="U20" s="155" t="s">
        <v>747</v>
      </c>
      <c r="V20" s="153">
        <v>45412</v>
      </c>
      <c r="W20" s="155" t="s">
        <v>91</v>
      </c>
      <c r="X20" s="155">
        <v>7.8</v>
      </c>
      <c r="Y20" s="153"/>
      <c r="Z20" s="153">
        <v>45229</v>
      </c>
      <c r="AA20" s="154">
        <v>1.5</v>
      </c>
      <c r="AB20" s="155">
        <v>10000</v>
      </c>
      <c r="AC20" s="154" t="s">
        <v>746</v>
      </c>
      <c r="AD20" s="155" t="s">
        <v>91</v>
      </c>
      <c r="AE20" s="155" t="s">
        <v>91</v>
      </c>
      <c r="AF20" s="155" t="s">
        <v>91</v>
      </c>
      <c r="AG20" s="154"/>
      <c r="AH20" s="155" t="s">
        <v>480</v>
      </c>
      <c r="AI20" s="155" t="s">
        <v>471</v>
      </c>
      <c r="AJ20" s="154" t="s">
        <v>1062</v>
      </c>
      <c r="AK20" s="155" t="s">
        <v>1</v>
      </c>
      <c r="AL20" s="155" t="s">
        <v>407</v>
      </c>
      <c r="AM20" s="155" t="s">
        <v>472</v>
      </c>
      <c r="AN20" s="155" t="s">
        <v>91</v>
      </c>
      <c r="AO20" s="155" t="s">
        <v>473</v>
      </c>
      <c r="AP20" s="155" t="s">
        <v>325</v>
      </c>
      <c r="AQ20" s="155" t="s">
        <v>744</v>
      </c>
      <c r="AR20" s="154"/>
      <c r="AS20" s="154"/>
      <c r="AT20" s="154"/>
      <c r="AU20" s="154"/>
      <c r="AV20" s="155" t="s">
        <v>743</v>
      </c>
      <c r="AW20" s="155" t="s">
        <v>742</v>
      </c>
      <c r="AX20" s="155" t="s">
        <v>689</v>
      </c>
      <c r="AY20" s="154"/>
      <c r="AZ20" s="154">
        <v>99.998000000000005</v>
      </c>
      <c r="BA20" s="155" t="s">
        <v>474</v>
      </c>
      <c r="BB20" s="155" t="s">
        <v>91</v>
      </c>
      <c r="BC20" s="155" t="s">
        <v>507</v>
      </c>
      <c r="BD20" s="155" t="s">
        <v>476</v>
      </c>
      <c r="BE20" s="154"/>
      <c r="BF20" s="155" t="s">
        <v>91</v>
      </c>
      <c r="BG20" s="155" t="s">
        <v>91</v>
      </c>
      <c r="BH20" s="155" t="s">
        <v>481</v>
      </c>
      <c r="BI20" s="153">
        <v>46319</v>
      </c>
      <c r="BJ20" s="154">
        <v>7.8</v>
      </c>
      <c r="BK20" s="155" t="s">
        <v>105</v>
      </c>
      <c r="BL20" s="155" t="s">
        <v>952</v>
      </c>
      <c r="BM20" s="155">
        <v>1.5</v>
      </c>
      <c r="BN20" s="155" t="s">
        <v>472</v>
      </c>
      <c r="BO20" s="155" t="s">
        <v>472</v>
      </c>
      <c r="BP20" s="155" t="s">
        <v>472</v>
      </c>
      <c r="BQ20" s="155" t="s">
        <v>740</v>
      </c>
      <c r="BR20" s="155" t="s">
        <v>240</v>
      </c>
      <c r="BS20" s="45"/>
      <c r="BT20" t="s">
        <v>7</v>
      </c>
      <c r="BU20" s="155" t="s">
        <v>10</v>
      </c>
      <c r="BV20" s="154" t="s">
        <v>864</v>
      </c>
    </row>
    <row r="21" spans="1:74" x14ac:dyDescent="0.25">
      <c r="A21" s="155" t="s">
        <v>723</v>
      </c>
      <c r="B21" s="155" t="s">
        <v>739</v>
      </c>
      <c r="C21" s="154" t="s">
        <v>722</v>
      </c>
      <c r="D21" s="153">
        <v>45223</v>
      </c>
      <c r="E21" s="155" t="s">
        <v>863</v>
      </c>
      <c r="F21" s="155" t="s">
        <v>130</v>
      </c>
      <c r="G21" s="155" t="s">
        <v>91</v>
      </c>
      <c r="H21" s="155" t="s">
        <v>91</v>
      </c>
      <c r="I21" s="155" t="s">
        <v>466</v>
      </c>
      <c r="J21" s="155" t="s">
        <v>467</v>
      </c>
      <c r="K21" s="155" t="s">
        <v>468</v>
      </c>
      <c r="L21" s="155" t="s">
        <v>469</v>
      </c>
      <c r="M21" s="155" t="s">
        <v>469</v>
      </c>
      <c r="N21" s="155" t="s">
        <v>748</v>
      </c>
      <c r="O21" s="155" t="s">
        <v>951</v>
      </c>
      <c r="P21" s="155" t="s">
        <v>470</v>
      </c>
      <c r="Q21" s="153">
        <v>45223</v>
      </c>
      <c r="R21" s="155" t="s">
        <v>735</v>
      </c>
      <c r="S21" s="153">
        <v>45223</v>
      </c>
      <c r="T21" s="155" t="s">
        <v>723</v>
      </c>
      <c r="U21" s="155" t="s">
        <v>747</v>
      </c>
      <c r="V21" s="153">
        <v>45406</v>
      </c>
      <c r="W21" s="155" t="s">
        <v>91</v>
      </c>
      <c r="X21" s="155">
        <v>7.8</v>
      </c>
      <c r="Y21" s="153"/>
      <c r="Z21" s="153">
        <v>45229</v>
      </c>
      <c r="AA21" s="154">
        <v>2.7</v>
      </c>
      <c r="AB21" s="155">
        <v>10000</v>
      </c>
      <c r="AC21" s="154" t="s">
        <v>746</v>
      </c>
      <c r="AD21" s="155" t="s">
        <v>745</v>
      </c>
      <c r="AE21" s="155" t="s">
        <v>91</v>
      </c>
      <c r="AF21" s="155" t="s">
        <v>91</v>
      </c>
      <c r="AG21" s="154"/>
      <c r="AH21" s="155" t="s">
        <v>480</v>
      </c>
      <c r="AI21" s="155" t="s">
        <v>471</v>
      </c>
      <c r="AJ21" s="154" t="s">
        <v>1062</v>
      </c>
      <c r="AK21" s="155" t="s">
        <v>1</v>
      </c>
      <c r="AL21" s="155" t="s">
        <v>407</v>
      </c>
      <c r="AM21" s="155" t="s">
        <v>472</v>
      </c>
      <c r="AN21" s="155" t="s">
        <v>91</v>
      </c>
      <c r="AO21" s="155" t="s">
        <v>473</v>
      </c>
      <c r="AP21" s="155" t="s">
        <v>250</v>
      </c>
      <c r="AQ21" s="155" t="s">
        <v>744</v>
      </c>
      <c r="AR21" s="154"/>
      <c r="AS21" s="154"/>
      <c r="AT21" s="154"/>
      <c r="AU21" s="154"/>
      <c r="AV21" s="155" t="s">
        <v>743</v>
      </c>
      <c r="AW21" s="155" t="s">
        <v>742</v>
      </c>
      <c r="AX21" s="155" t="s">
        <v>689</v>
      </c>
      <c r="AY21" s="154"/>
      <c r="AZ21" s="154">
        <v>99.998000000000005</v>
      </c>
      <c r="BA21" s="155" t="s">
        <v>474</v>
      </c>
      <c r="BB21" s="155" t="s">
        <v>91</v>
      </c>
      <c r="BC21" s="155" t="s">
        <v>507</v>
      </c>
      <c r="BD21" s="155" t="s">
        <v>476</v>
      </c>
      <c r="BE21" s="154"/>
      <c r="BF21" s="155" t="s">
        <v>741</v>
      </c>
      <c r="BG21" s="155" t="s">
        <v>91</v>
      </c>
      <c r="BH21" s="155" t="s">
        <v>481</v>
      </c>
      <c r="BI21" s="153">
        <v>46319</v>
      </c>
      <c r="BJ21" s="154">
        <v>7.8</v>
      </c>
      <c r="BK21" s="155" t="s">
        <v>105</v>
      </c>
      <c r="BL21" s="155" t="s">
        <v>478</v>
      </c>
      <c r="BM21" s="155">
        <v>1.5</v>
      </c>
      <c r="BN21" s="155" t="s">
        <v>472</v>
      </c>
      <c r="BO21" s="155" t="s">
        <v>472</v>
      </c>
      <c r="BP21" s="155" t="s">
        <v>472</v>
      </c>
      <c r="BQ21" s="155" t="s">
        <v>740</v>
      </c>
      <c r="BR21" s="155" t="s">
        <v>240</v>
      </c>
      <c r="BS21" s="45"/>
      <c r="BT21" t="s">
        <v>7</v>
      </c>
      <c r="BU21" s="155" t="s">
        <v>10</v>
      </c>
      <c r="BV21" s="154" t="s">
        <v>857</v>
      </c>
    </row>
  </sheetData>
  <phoneticPr fontId="33" type="noConversion"/>
  <pageMargins left="0.7" right="0.7" top="0.75" bottom="0.75" header="0.3" footer="0.3"/>
  <pageSetup orientation="portrait" horizontalDpi="1200" verticalDpi="120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E1E1E9"/>
  </sheetPr>
  <dimension ref="A1:Y34"/>
  <sheetViews>
    <sheetView workbookViewId="0">
      <selection activeCell="E19" sqref="E19"/>
    </sheetView>
  </sheetViews>
  <sheetFormatPr defaultRowHeight="15" x14ac:dyDescent="0.25"/>
  <cols>
    <col min="1" max="1" width="10.33203125" style="1" bestFit="1" customWidth="1"/>
    <col min="2" max="2" width="14.21875" style="1" bestFit="1" customWidth="1"/>
    <col min="3" max="3" width="26.44140625" style="1" bestFit="1" customWidth="1"/>
    <col min="4" max="4" width="18.21875" style="1" bestFit="1" customWidth="1"/>
    <col min="5" max="5" width="9.21875" style="1" bestFit="1" customWidth="1"/>
    <col min="6" max="6" width="10.88671875" style="1" bestFit="1" customWidth="1"/>
    <col min="7" max="7" width="14.21875" style="1" bestFit="1" customWidth="1"/>
    <col min="8" max="8" width="11.6640625" style="1" bestFit="1" customWidth="1"/>
    <col min="9" max="10" width="9.21875" style="1" bestFit="1" customWidth="1"/>
    <col min="11" max="11" width="31.88671875" style="1" bestFit="1" customWidth="1"/>
    <col min="12" max="12" width="52.33203125" style="1" bestFit="1" customWidth="1"/>
    <col min="13" max="13" width="27.88671875" style="1" bestFit="1" customWidth="1"/>
    <col min="14" max="15" width="10.33203125" style="1" bestFit="1" customWidth="1"/>
    <col min="16" max="16" width="10.88671875" style="1" bestFit="1" customWidth="1"/>
    <col min="17" max="17" width="18.5546875" style="1" bestFit="1" customWidth="1"/>
    <col min="18" max="18" width="5.88671875" style="1" bestFit="1" customWidth="1"/>
    <col min="19" max="19" width="8" style="1" bestFit="1" customWidth="1"/>
    <col min="20" max="20" width="12" style="1" bestFit="1" customWidth="1"/>
    <col min="21" max="21" width="20" style="1" bestFit="1" customWidth="1"/>
    <col min="22" max="22" width="19.88671875" style="1" bestFit="1" customWidth="1"/>
    <col min="23" max="23" width="13.77734375" style="1" bestFit="1" customWidth="1"/>
    <col min="24" max="24" width="20.109375" style="1" bestFit="1" customWidth="1"/>
    <col min="25" max="27" width="20.33203125" style="1" bestFit="1" customWidth="1"/>
    <col min="28" max="28" width="10.44140625" style="1" bestFit="1" customWidth="1"/>
    <col min="29" max="29" width="19.44140625" style="1" bestFit="1" customWidth="1"/>
    <col min="30" max="30" width="20.44140625" style="1" bestFit="1" customWidth="1"/>
    <col min="31" max="31" width="10.44140625" style="1" bestFit="1" customWidth="1"/>
    <col min="32" max="32" width="20.109375" style="1" bestFit="1" customWidth="1"/>
    <col min="33" max="33" width="17.44140625" style="1" bestFit="1" customWidth="1"/>
    <col min="34" max="34" width="10.44140625" style="1" bestFit="1" customWidth="1"/>
    <col min="35" max="35" width="17.44140625" style="1" bestFit="1" customWidth="1"/>
    <col min="36" max="36" width="13.33203125" style="1" bestFit="1" customWidth="1"/>
    <col min="37" max="37" width="10.21875" style="1" bestFit="1" customWidth="1"/>
    <col min="38" max="38" width="7.44140625" style="1" bestFit="1" customWidth="1"/>
    <col min="39" max="39" width="13.5546875" style="1" bestFit="1" customWidth="1"/>
    <col min="40" max="40" width="10.44140625" style="1" bestFit="1" customWidth="1"/>
    <col min="41" max="41" width="7.6640625" style="1" bestFit="1" customWidth="1"/>
    <col min="42" max="42" width="20.44140625" style="1" bestFit="1" customWidth="1"/>
    <col min="43" max="43" width="7.6640625" style="1" bestFit="1" customWidth="1"/>
    <col min="44" max="44" width="19.44140625" style="1" bestFit="1" customWidth="1"/>
    <col min="45" max="45" width="12.6640625" style="1" bestFit="1" customWidth="1"/>
    <col min="46" max="46" width="13.33203125" style="1" bestFit="1" customWidth="1"/>
    <col min="47" max="47" width="20.109375" style="1" bestFit="1" customWidth="1"/>
    <col min="48" max="48" width="20.21875" style="1" bestFit="1" customWidth="1"/>
    <col min="49" max="49" width="12.77734375" style="1" bestFit="1" customWidth="1"/>
    <col min="50" max="50" width="11.44140625" style="1" bestFit="1" customWidth="1"/>
    <col min="51" max="51" width="14.33203125" style="1" bestFit="1" customWidth="1"/>
    <col min="52" max="52" width="12.6640625" style="1" bestFit="1" customWidth="1"/>
    <col min="53" max="53" width="20.109375" style="1" bestFit="1" customWidth="1"/>
    <col min="54" max="54" width="21" style="1" bestFit="1" customWidth="1"/>
    <col min="55" max="55" width="12.21875" style="1" bestFit="1" customWidth="1"/>
    <col min="56" max="56" width="9.5546875" style="1" bestFit="1" customWidth="1"/>
    <col min="57" max="57" width="11.6640625" style="1" bestFit="1" customWidth="1"/>
    <col min="58" max="58" width="21" style="1" customWidth="1"/>
    <col min="59" max="59" width="11.6640625" style="1" customWidth="1"/>
    <col min="60" max="16384" width="8.88671875" style="1"/>
  </cols>
  <sheetData>
    <row r="1" spans="1:25" ht="67.5" customHeight="1" x14ac:dyDescent="0.25">
      <c r="A1" s="46" t="s">
        <v>491</v>
      </c>
    </row>
    <row r="5" spans="1:25" x14ac:dyDescent="0.25">
      <c r="A5" t="s">
        <v>49</v>
      </c>
      <c r="B5" t="s">
        <v>48</v>
      </c>
      <c r="C5" t="s">
        <v>93</v>
      </c>
      <c r="D5" t="s">
        <v>144</v>
      </c>
      <c r="E5" t="s">
        <v>134</v>
      </c>
      <c r="F5" t="s">
        <v>231</v>
      </c>
      <c r="G5" t="s">
        <v>259</v>
      </c>
      <c r="H5" t="s">
        <v>176</v>
      </c>
      <c r="I5" t="s">
        <v>118</v>
      </c>
      <c r="J5" t="s">
        <v>1078</v>
      </c>
      <c r="K5" t="s">
        <v>70</v>
      </c>
      <c r="L5" t="s">
        <v>71</v>
      </c>
      <c r="M5" t="s">
        <v>81</v>
      </c>
      <c r="N5" t="s">
        <v>66</v>
      </c>
      <c r="O5" t="s">
        <v>52</v>
      </c>
      <c r="P5" t="s">
        <v>67</v>
      </c>
      <c r="Q5" t="s">
        <v>119</v>
      </c>
      <c r="R5" t="s">
        <v>64</v>
      </c>
      <c r="S5" t="s">
        <v>59</v>
      </c>
      <c r="T5" t="s">
        <v>57</v>
      </c>
      <c r="U5" t="s">
        <v>445</v>
      </c>
      <c r="V5" t="s">
        <v>446</v>
      </c>
      <c r="W5" t="s">
        <v>489</v>
      </c>
      <c r="X5" t="s">
        <v>1077</v>
      </c>
      <c r="Y5" t="s">
        <v>139</v>
      </c>
    </row>
    <row r="6" spans="1:25" x14ac:dyDescent="0.25">
      <c r="A6" s="153">
        <v>45226</v>
      </c>
      <c r="B6" s="154" t="s">
        <v>988</v>
      </c>
      <c r="C6" s="155" t="s">
        <v>531</v>
      </c>
      <c r="D6" s="144"/>
      <c r="E6" s="154" t="s">
        <v>82</v>
      </c>
      <c r="F6" s="155" t="s">
        <v>463</v>
      </c>
      <c r="G6" s="155" t="s">
        <v>91</v>
      </c>
      <c r="H6" s="154" t="s">
        <v>441</v>
      </c>
      <c r="I6" s="154"/>
      <c r="J6"/>
      <c r="K6" s="154" t="s">
        <v>989</v>
      </c>
      <c r="L6" s="154" t="s">
        <v>91</v>
      </c>
      <c r="M6" s="154" t="s">
        <v>990</v>
      </c>
      <c r="N6" s="153">
        <v>45243</v>
      </c>
      <c r="O6" s="153">
        <v>45604</v>
      </c>
      <c r="P6" s="153"/>
      <c r="Q6" s="155" t="s">
        <v>991</v>
      </c>
      <c r="R6" s="155" t="s">
        <v>84</v>
      </c>
      <c r="S6" s="154"/>
      <c r="T6" s="155">
        <v>1.3</v>
      </c>
      <c r="U6" s="154" t="s">
        <v>992</v>
      </c>
      <c r="V6" s="154" t="s">
        <v>441</v>
      </c>
      <c r="W6" s="156" t="s">
        <v>710</v>
      </c>
      <c r="X6" s="156" t="s">
        <v>91</v>
      </c>
      <c r="Y6" s="154" t="s">
        <v>993</v>
      </c>
    </row>
    <row r="7" spans="1:25" x14ac:dyDescent="0.25">
      <c r="A7" s="153">
        <v>45226</v>
      </c>
      <c r="B7" s="154" t="s">
        <v>994</v>
      </c>
      <c r="C7" s="155" t="s">
        <v>531</v>
      </c>
      <c r="D7" s="144"/>
      <c r="E7" s="154" t="s">
        <v>82</v>
      </c>
      <c r="F7" s="155" t="s">
        <v>463</v>
      </c>
      <c r="G7" s="155" t="s">
        <v>91</v>
      </c>
      <c r="H7" s="154" t="s">
        <v>441</v>
      </c>
      <c r="I7" s="154"/>
      <c r="J7"/>
      <c r="K7" s="154" t="s">
        <v>989</v>
      </c>
      <c r="L7" s="154" t="s">
        <v>91</v>
      </c>
      <c r="M7" s="154" t="s">
        <v>990</v>
      </c>
      <c r="N7" s="153">
        <v>45243</v>
      </c>
      <c r="O7" s="153">
        <v>45604</v>
      </c>
      <c r="P7" s="153"/>
      <c r="Q7" s="155" t="s">
        <v>995</v>
      </c>
      <c r="R7" s="155" t="s">
        <v>84</v>
      </c>
      <c r="S7" s="154"/>
      <c r="T7" s="155">
        <v>2.6</v>
      </c>
      <c r="U7" s="154" t="s">
        <v>992</v>
      </c>
      <c r="V7" s="154" t="s">
        <v>441</v>
      </c>
      <c r="W7" s="156" t="s">
        <v>710</v>
      </c>
      <c r="X7" s="156" t="s">
        <v>91</v>
      </c>
      <c r="Y7" s="154" t="s">
        <v>996</v>
      </c>
    </row>
    <row r="8" spans="1:25" x14ac:dyDescent="0.25">
      <c r="A8" s="153">
        <v>45225</v>
      </c>
      <c r="B8" s="154" t="s">
        <v>997</v>
      </c>
      <c r="C8" s="155" t="s">
        <v>680</v>
      </c>
      <c r="D8" s="144"/>
      <c r="E8" s="154" t="s">
        <v>82</v>
      </c>
      <c r="F8" s="155" t="s">
        <v>463</v>
      </c>
      <c r="G8" s="155" t="s">
        <v>91</v>
      </c>
      <c r="H8" s="154" t="s">
        <v>82</v>
      </c>
      <c r="I8" s="154"/>
      <c r="J8"/>
      <c r="K8" s="154" t="s">
        <v>681</v>
      </c>
      <c r="L8" s="154" t="s">
        <v>682</v>
      </c>
      <c r="M8" s="154" t="s">
        <v>91</v>
      </c>
      <c r="N8" s="153">
        <v>45232</v>
      </c>
      <c r="O8" s="153">
        <v>46274</v>
      </c>
      <c r="P8" s="153">
        <v>45598</v>
      </c>
      <c r="Q8" s="155" t="s">
        <v>713</v>
      </c>
      <c r="R8" s="155" t="s">
        <v>105</v>
      </c>
      <c r="S8" s="154">
        <v>100</v>
      </c>
      <c r="T8" s="155">
        <v>0.25700000000000001</v>
      </c>
      <c r="U8" s="154" t="s">
        <v>683</v>
      </c>
      <c r="V8" s="154" t="s">
        <v>684</v>
      </c>
      <c r="W8" s="156" t="s">
        <v>710</v>
      </c>
      <c r="X8" s="156" t="s">
        <v>91</v>
      </c>
      <c r="Y8" s="154" t="s">
        <v>998</v>
      </c>
    </row>
    <row r="9" spans="1:25" x14ac:dyDescent="0.25">
      <c r="A9" s="153">
        <v>45225</v>
      </c>
      <c r="B9" s="154" t="s">
        <v>999</v>
      </c>
      <c r="C9" s="155" t="s">
        <v>517</v>
      </c>
      <c r="D9" s="144"/>
      <c r="E9" s="154" t="s">
        <v>82</v>
      </c>
      <c r="F9" s="155" t="s">
        <v>463</v>
      </c>
      <c r="G9" s="155" t="s">
        <v>91</v>
      </c>
      <c r="H9" s="154" t="s">
        <v>439</v>
      </c>
      <c r="I9" s="154"/>
      <c r="J9"/>
      <c r="K9" s="154" t="s">
        <v>1000</v>
      </c>
      <c r="L9" s="154" t="s">
        <v>91</v>
      </c>
      <c r="M9" s="154" t="s">
        <v>91</v>
      </c>
      <c r="N9" s="153">
        <v>45231</v>
      </c>
      <c r="O9" s="153">
        <v>45414</v>
      </c>
      <c r="P9" s="153">
        <v>45259</v>
      </c>
      <c r="Q9" s="155" t="s">
        <v>1001</v>
      </c>
      <c r="R9" s="155" t="s">
        <v>84</v>
      </c>
      <c r="S9" s="154">
        <v>57.480600000000003</v>
      </c>
      <c r="T9" s="155">
        <v>0.01</v>
      </c>
      <c r="U9" s="154" t="s">
        <v>860</v>
      </c>
      <c r="V9" s="154" t="s">
        <v>861</v>
      </c>
      <c r="W9" s="156" t="s">
        <v>710</v>
      </c>
      <c r="X9" s="156" t="s">
        <v>91</v>
      </c>
      <c r="Y9" s="154" t="s">
        <v>1002</v>
      </c>
    </row>
    <row r="10" spans="1:25" x14ac:dyDescent="0.25">
      <c r="A10" s="153">
        <v>45225</v>
      </c>
      <c r="B10" s="154" t="s">
        <v>1003</v>
      </c>
      <c r="C10" s="155" t="s">
        <v>680</v>
      </c>
      <c r="D10" s="144"/>
      <c r="E10" s="154" t="s">
        <v>82</v>
      </c>
      <c r="F10" s="155" t="s">
        <v>463</v>
      </c>
      <c r="G10" s="155" t="s">
        <v>91</v>
      </c>
      <c r="H10" s="154" t="s">
        <v>82</v>
      </c>
      <c r="I10" s="154"/>
      <c r="J10"/>
      <c r="K10" s="154" t="s">
        <v>681</v>
      </c>
      <c r="L10" s="154" t="s">
        <v>682</v>
      </c>
      <c r="M10" s="154" t="s">
        <v>91</v>
      </c>
      <c r="N10" s="153">
        <v>45232</v>
      </c>
      <c r="O10" s="153">
        <v>46274</v>
      </c>
      <c r="P10" s="153">
        <v>45598</v>
      </c>
      <c r="Q10" s="155" t="s">
        <v>713</v>
      </c>
      <c r="R10" s="155" t="s">
        <v>105</v>
      </c>
      <c r="S10" s="154">
        <v>100</v>
      </c>
      <c r="T10" s="155">
        <v>0.22</v>
      </c>
      <c r="U10" s="154" t="s">
        <v>683</v>
      </c>
      <c r="V10" s="154" t="s">
        <v>684</v>
      </c>
      <c r="W10" s="156" t="s">
        <v>710</v>
      </c>
      <c r="X10" s="156" t="s">
        <v>91</v>
      </c>
      <c r="Y10" s="154" t="s">
        <v>1004</v>
      </c>
    </row>
    <row r="11" spans="1:25" x14ac:dyDescent="0.25">
      <c r="A11" s="153">
        <v>45225</v>
      </c>
      <c r="B11" s="154" t="s">
        <v>1005</v>
      </c>
      <c r="C11" s="155" t="s">
        <v>1006</v>
      </c>
      <c r="D11" s="144"/>
      <c r="E11" s="154" t="s">
        <v>82</v>
      </c>
      <c r="F11" s="155" t="s">
        <v>501</v>
      </c>
      <c r="G11" s="155" t="s">
        <v>91</v>
      </c>
      <c r="H11" s="154" t="s">
        <v>439</v>
      </c>
      <c r="I11" s="154"/>
      <c r="J11"/>
      <c r="K11" s="154" t="s">
        <v>1007</v>
      </c>
      <c r="L11" s="154" t="s">
        <v>1008</v>
      </c>
      <c r="M11" s="154" t="s">
        <v>91</v>
      </c>
      <c r="N11" s="153"/>
      <c r="O11" s="153">
        <v>45322</v>
      </c>
      <c r="P11" s="153"/>
      <c r="Q11" s="155" t="s">
        <v>713</v>
      </c>
      <c r="R11" s="155" t="s">
        <v>84</v>
      </c>
      <c r="S11" s="154"/>
      <c r="T11" s="155">
        <v>0.15</v>
      </c>
      <c r="U11" s="154" t="s">
        <v>1009</v>
      </c>
      <c r="V11" s="154" t="s">
        <v>439</v>
      </c>
      <c r="W11" s="156" t="s">
        <v>710</v>
      </c>
      <c r="X11" s="156" t="s">
        <v>91</v>
      </c>
      <c r="Y11" s="154" t="s">
        <v>1010</v>
      </c>
    </row>
    <row r="12" spans="1:25" x14ac:dyDescent="0.25">
      <c r="A12" s="153">
        <v>45225</v>
      </c>
      <c r="B12" s="154" t="s">
        <v>1011</v>
      </c>
      <c r="C12" s="155" t="s">
        <v>680</v>
      </c>
      <c r="D12" s="144"/>
      <c r="E12" s="154" t="s">
        <v>82</v>
      </c>
      <c r="F12" s="155" t="s">
        <v>463</v>
      </c>
      <c r="G12" s="155" t="s">
        <v>91</v>
      </c>
      <c r="H12" s="154" t="s">
        <v>82</v>
      </c>
      <c r="I12" s="154"/>
      <c r="J12"/>
      <c r="K12" s="154" t="s">
        <v>681</v>
      </c>
      <c r="L12" s="154" t="s">
        <v>682</v>
      </c>
      <c r="M12" s="154" t="s">
        <v>91</v>
      </c>
      <c r="N12" s="153">
        <v>45230</v>
      </c>
      <c r="O12" s="153">
        <v>45294</v>
      </c>
      <c r="P12" s="153"/>
      <c r="Q12" s="155" t="s">
        <v>150</v>
      </c>
      <c r="R12" s="155" t="s">
        <v>105</v>
      </c>
      <c r="S12" s="154">
        <v>100</v>
      </c>
      <c r="T12" s="155">
        <v>0.127</v>
      </c>
      <c r="U12" s="154" t="s">
        <v>683</v>
      </c>
      <c r="V12" s="154" t="s">
        <v>684</v>
      </c>
      <c r="W12" s="156" t="s">
        <v>710</v>
      </c>
      <c r="X12" s="156" t="s">
        <v>91</v>
      </c>
      <c r="Y12" s="154" t="s">
        <v>1012</v>
      </c>
    </row>
    <row r="13" spans="1:25" x14ac:dyDescent="0.25">
      <c r="A13" s="153">
        <v>45225</v>
      </c>
      <c r="B13" s="154" t="s">
        <v>1013</v>
      </c>
      <c r="C13" s="155" t="s">
        <v>1014</v>
      </c>
      <c r="D13" s="144"/>
      <c r="E13" s="154" t="s">
        <v>82</v>
      </c>
      <c r="F13" s="155" t="s">
        <v>248</v>
      </c>
      <c r="G13" s="155" t="s">
        <v>91</v>
      </c>
      <c r="H13" s="154" t="s">
        <v>82</v>
      </c>
      <c r="I13" s="154"/>
      <c r="J13"/>
      <c r="K13" s="154" t="s">
        <v>1015</v>
      </c>
      <c r="L13" s="154" t="s">
        <v>91</v>
      </c>
      <c r="M13" s="154" t="s">
        <v>91</v>
      </c>
      <c r="N13" s="153">
        <v>45229</v>
      </c>
      <c r="O13" s="153">
        <v>46325</v>
      </c>
      <c r="P13" s="153"/>
      <c r="Q13" s="155" t="s">
        <v>1016</v>
      </c>
      <c r="R13" s="155" t="s">
        <v>84</v>
      </c>
      <c r="S13" s="154">
        <v>100</v>
      </c>
      <c r="T13" s="155">
        <v>1.07</v>
      </c>
      <c r="U13" s="154" t="s">
        <v>91</v>
      </c>
      <c r="V13" s="154" t="s">
        <v>91</v>
      </c>
      <c r="W13" s="156" t="s">
        <v>710</v>
      </c>
      <c r="X13" s="156" t="s">
        <v>91</v>
      </c>
      <c r="Y13" s="154" t="s">
        <v>1017</v>
      </c>
    </row>
    <row r="14" spans="1:25" x14ac:dyDescent="0.25">
      <c r="A14" s="153">
        <v>45225</v>
      </c>
      <c r="B14" s="154" t="s">
        <v>818</v>
      </c>
      <c r="C14" s="155" t="s">
        <v>819</v>
      </c>
      <c r="D14" s="144"/>
      <c r="E14" s="154" t="s">
        <v>820</v>
      </c>
      <c r="F14" s="155" t="s">
        <v>248</v>
      </c>
      <c r="G14" s="155" t="s">
        <v>91</v>
      </c>
      <c r="H14" s="154" t="s">
        <v>820</v>
      </c>
      <c r="I14" s="154"/>
      <c r="J14"/>
      <c r="K14" s="154" t="s">
        <v>1018</v>
      </c>
      <c r="L14" s="154" t="s">
        <v>91</v>
      </c>
      <c r="M14" s="154" t="s">
        <v>91</v>
      </c>
      <c r="N14" s="153">
        <v>45232</v>
      </c>
      <c r="O14" s="153">
        <v>46267</v>
      </c>
      <c r="P14" s="153"/>
      <c r="Q14" s="155" t="s">
        <v>821</v>
      </c>
      <c r="R14" s="155" t="s">
        <v>84</v>
      </c>
      <c r="S14" s="154">
        <v>99.941000000000003</v>
      </c>
      <c r="T14" s="155">
        <v>5</v>
      </c>
      <c r="U14" s="154" t="s">
        <v>822</v>
      </c>
      <c r="V14" s="154" t="s">
        <v>820</v>
      </c>
      <c r="W14" s="156" t="s">
        <v>710</v>
      </c>
      <c r="X14" s="156" t="s">
        <v>91</v>
      </c>
      <c r="Y14" s="154" t="s">
        <v>823</v>
      </c>
    </row>
    <row r="15" spans="1:25" x14ac:dyDescent="0.25">
      <c r="A15" s="153">
        <v>45224</v>
      </c>
      <c r="B15" s="154" t="s">
        <v>824</v>
      </c>
      <c r="C15" s="155" t="s">
        <v>825</v>
      </c>
      <c r="D15" s="144"/>
      <c r="E15" s="154" t="s">
        <v>82</v>
      </c>
      <c r="F15" s="155" t="s">
        <v>248</v>
      </c>
      <c r="G15" s="155" t="s">
        <v>91</v>
      </c>
      <c r="H15" s="154" t="s">
        <v>826</v>
      </c>
      <c r="I15" s="154"/>
      <c r="J15"/>
      <c r="K15" s="154" t="s">
        <v>917</v>
      </c>
      <c r="L15" s="154" t="s">
        <v>91</v>
      </c>
      <c r="M15" s="154" t="s">
        <v>91</v>
      </c>
      <c r="N15" s="153">
        <v>45142</v>
      </c>
      <c r="O15" s="153">
        <v>46969</v>
      </c>
      <c r="P15" s="153"/>
      <c r="Q15" s="155" t="s">
        <v>827</v>
      </c>
      <c r="R15" s="155" t="s">
        <v>105</v>
      </c>
      <c r="S15" s="154">
        <v>100</v>
      </c>
      <c r="T15" s="155">
        <v>70</v>
      </c>
      <c r="U15" s="154" t="s">
        <v>91</v>
      </c>
      <c r="V15" s="154" t="s">
        <v>91</v>
      </c>
      <c r="W15" s="156" t="s">
        <v>710</v>
      </c>
      <c r="X15" s="156" t="s">
        <v>91</v>
      </c>
      <c r="Y15" s="154" t="s">
        <v>828</v>
      </c>
    </row>
    <row r="16" spans="1:25" x14ac:dyDescent="0.25">
      <c r="A16" s="153">
        <v>45224</v>
      </c>
      <c r="B16" s="154" t="s">
        <v>829</v>
      </c>
      <c r="C16" s="155" t="s">
        <v>825</v>
      </c>
      <c r="D16" s="144"/>
      <c r="E16" s="154" t="s">
        <v>82</v>
      </c>
      <c r="F16" s="155" t="s">
        <v>248</v>
      </c>
      <c r="G16" s="155" t="s">
        <v>91</v>
      </c>
      <c r="H16" s="154" t="s">
        <v>826</v>
      </c>
      <c r="I16" s="154"/>
      <c r="J16"/>
      <c r="K16" s="154" t="s">
        <v>917</v>
      </c>
      <c r="L16" s="154" t="s">
        <v>91</v>
      </c>
      <c r="M16" s="154" t="s">
        <v>91</v>
      </c>
      <c r="N16" s="153">
        <v>45093</v>
      </c>
      <c r="O16" s="153">
        <v>48746</v>
      </c>
      <c r="P16" s="153"/>
      <c r="Q16" s="155" t="s">
        <v>830</v>
      </c>
      <c r="R16" s="155" t="s">
        <v>105</v>
      </c>
      <c r="S16" s="154">
        <v>100</v>
      </c>
      <c r="T16" s="155">
        <v>50</v>
      </c>
      <c r="U16" s="154" t="s">
        <v>91</v>
      </c>
      <c r="V16" s="154" t="s">
        <v>91</v>
      </c>
      <c r="W16" s="156" t="s">
        <v>710</v>
      </c>
      <c r="X16" s="156" t="s">
        <v>91</v>
      </c>
      <c r="Y16" s="154" t="s">
        <v>831</v>
      </c>
    </row>
    <row r="17" spans="1:25" x14ac:dyDescent="0.25">
      <c r="A17" s="153">
        <v>45224</v>
      </c>
      <c r="B17" s="154" t="s">
        <v>832</v>
      </c>
      <c r="C17" s="155" t="s">
        <v>825</v>
      </c>
      <c r="D17" s="144"/>
      <c r="E17" s="154" t="s">
        <v>82</v>
      </c>
      <c r="F17" s="155" t="s">
        <v>248</v>
      </c>
      <c r="G17" s="155" t="s">
        <v>91</v>
      </c>
      <c r="H17" s="154" t="s">
        <v>826</v>
      </c>
      <c r="I17" s="154"/>
      <c r="J17"/>
      <c r="K17" s="154" t="s">
        <v>917</v>
      </c>
      <c r="L17" s="154" t="s">
        <v>91</v>
      </c>
      <c r="M17" s="154" t="s">
        <v>91</v>
      </c>
      <c r="N17" s="153">
        <v>45093</v>
      </c>
      <c r="O17" s="153">
        <v>46189</v>
      </c>
      <c r="P17" s="153"/>
      <c r="Q17" s="155" t="s">
        <v>833</v>
      </c>
      <c r="R17" s="155" t="s">
        <v>105</v>
      </c>
      <c r="S17" s="154">
        <v>100</v>
      </c>
      <c r="T17" s="155">
        <v>120</v>
      </c>
      <c r="U17" s="154" t="s">
        <v>91</v>
      </c>
      <c r="V17" s="154" t="s">
        <v>91</v>
      </c>
      <c r="W17" s="156" t="s">
        <v>710</v>
      </c>
      <c r="X17" s="156" t="s">
        <v>91</v>
      </c>
      <c r="Y17" s="154" t="s">
        <v>834</v>
      </c>
    </row>
    <row r="18" spans="1:25" x14ac:dyDescent="0.25">
      <c r="A18" s="153">
        <v>45224</v>
      </c>
      <c r="B18" s="154" t="s">
        <v>835</v>
      </c>
      <c r="C18" s="155" t="s">
        <v>825</v>
      </c>
      <c r="D18" s="144"/>
      <c r="E18" s="154" t="s">
        <v>82</v>
      </c>
      <c r="F18" s="155" t="s">
        <v>248</v>
      </c>
      <c r="G18" s="155" t="s">
        <v>91</v>
      </c>
      <c r="H18" s="154" t="s">
        <v>826</v>
      </c>
      <c r="I18" s="154"/>
      <c r="J18"/>
      <c r="K18" s="154" t="s">
        <v>917</v>
      </c>
      <c r="L18" s="154" t="s">
        <v>91</v>
      </c>
      <c r="M18" s="154" t="s">
        <v>91</v>
      </c>
      <c r="N18" s="153">
        <v>45093</v>
      </c>
      <c r="O18" s="153">
        <v>45824</v>
      </c>
      <c r="P18" s="153"/>
      <c r="Q18" s="155" t="s">
        <v>836</v>
      </c>
      <c r="R18" s="155" t="s">
        <v>105</v>
      </c>
      <c r="S18" s="154">
        <v>100</v>
      </c>
      <c r="T18" s="155">
        <v>160</v>
      </c>
      <c r="U18" s="154" t="s">
        <v>91</v>
      </c>
      <c r="V18" s="154" t="s">
        <v>91</v>
      </c>
      <c r="W18" s="156" t="s">
        <v>710</v>
      </c>
      <c r="X18" s="156" t="s">
        <v>91</v>
      </c>
      <c r="Y18" s="154" t="s">
        <v>837</v>
      </c>
    </row>
    <row r="19" spans="1:25" x14ac:dyDescent="0.25">
      <c r="A19" s="153">
        <v>45224</v>
      </c>
      <c r="B19" s="154" t="s">
        <v>838</v>
      </c>
      <c r="C19" s="155" t="s">
        <v>503</v>
      </c>
      <c r="D19" s="144"/>
      <c r="E19" s="154" t="s">
        <v>82</v>
      </c>
      <c r="F19" s="155" t="s">
        <v>501</v>
      </c>
      <c r="G19" s="155" t="s">
        <v>91</v>
      </c>
      <c r="H19" s="154" t="s">
        <v>439</v>
      </c>
      <c r="I19" s="154"/>
      <c r="J19"/>
      <c r="K19" s="154" t="s">
        <v>1019</v>
      </c>
      <c r="L19" s="154" t="s">
        <v>839</v>
      </c>
      <c r="M19" s="154" t="s">
        <v>91</v>
      </c>
      <c r="N19" s="153"/>
      <c r="O19" s="153">
        <v>45414</v>
      </c>
      <c r="P19" s="153"/>
      <c r="Q19" s="155" t="s">
        <v>713</v>
      </c>
      <c r="R19" s="155" t="s">
        <v>84</v>
      </c>
      <c r="S19" s="154"/>
      <c r="T19" s="155">
        <v>0.14499999999999999</v>
      </c>
      <c r="U19" s="154" t="s">
        <v>840</v>
      </c>
      <c r="V19" s="154" t="s">
        <v>841</v>
      </c>
      <c r="W19" s="156" t="s">
        <v>710</v>
      </c>
      <c r="X19" s="156" t="s">
        <v>91</v>
      </c>
      <c r="Y19" s="154" t="s">
        <v>842</v>
      </c>
    </row>
    <row r="20" spans="1:25" x14ac:dyDescent="0.25">
      <c r="A20" s="153">
        <v>45224</v>
      </c>
      <c r="B20" s="154" t="s">
        <v>843</v>
      </c>
      <c r="C20" s="155" t="s">
        <v>844</v>
      </c>
      <c r="D20" s="144"/>
      <c r="E20" s="154" t="s">
        <v>82</v>
      </c>
      <c r="F20" s="155" t="s">
        <v>248</v>
      </c>
      <c r="G20" s="155" t="s">
        <v>91</v>
      </c>
      <c r="H20" s="154" t="s">
        <v>82</v>
      </c>
      <c r="I20" s="154"/>
      <c r="J20"/>
      <c r="K20" s="154" t="s">
        <v>1020</v>
      </c>
      <c r="L20" s="154" t="s">
        <v>91</v>
      </c>
      <c r="M20" s="154" t="s">
        <v>91</v>
      </c>
      <c r="N20" s="153">
        <v>45226</v>
      </c>
      <c r="O20" s="153">
        <v>46322</v>
      </c>
      <c r="P20" s="153"/>
      <c r="Q20" s="155" t="s">
        <v>845</v>
      </c>
      <c r="R20" s="155" t="s">
        <v>105</v>
      </c>
      <c r="S20" s="154">
        <v>100</v>
      </c>
      <c r="T20" s="155">
        <v>4.97</v>
      </c>
      <c r="U20" s="154" t="s">
        <v>91</v>
      </c>
      <c r="V20" s="154" t="s">
        <v>91</v>
      </c>
      <c r="W20" s="156" t="s">
        <v>710</v>
      </c>
      <c r="X20" s="156" t="s">
        <v>91</v>
      </c>
      <c r="Y20" s="154" t="s">
        <v>846</v>
      </c>
    </row>
    <row r="21" spans="1:25" x14ac:dyDescent="0.25">
      <c r="A21" s="153">
        <v>45224</v>
      </c>
      <c r="B21" s="154" t="s">
        <v>847</v>
      </c>
      <c r="C21" s="155" t="s">
        <v>802</v>
      </c>
      <c r="D21" s="144"/>
      <c r="E21" s="154" t="s">
        <v>848</v>
      </c>
      <c r="F21" s="155" t="s">
        <v>849</v>
      </c>
      <c r="G21" s="155" t="s">
        <v>91</v>
      </c>
      <c r="H21" s="154" t="s">
        <v>441</v>
      </c>
      <c r="I21" s="154"/>
      <c r="J21"/>
      <c r="K21" s="154" t="s">
        <v>1021</v>
      </c>
      <c r="L21" s="154" t="s">
        <v>850</v>
      </c>
      <c r="M21" s="154" t="s">
        <v>91</v>
      </c>
      <c r="N21" s="153">
        <v>45232</v>
      </c>
      <c r="O21" s="153">
        <v>46328</v>
      </c>
      <c r="P21" s="153"/>
      <c r="Q21" s="155" t="s">
        <v>1022</v>
      </c>
      <c r="R21" s="155" t="s">
        <v>280</v>
      </c>
      <c r="S21" s="154">
        <v>100</v>
      </c>
      <c r="T21" s="155">
        <v>1.5</v>
      </c>
      <c r="U21" s="154" t="s">
        <v>851</v>
      </c>
      <c r="V21" s="154" t="s">
        <v>852</v>
      </c>
      <c r="W21" s="156" t="s">
        <v>710</v>
      </c>
      <c r="X21" s="156" t="s">
        <v>91</v>
      </c>
      <c r="Y21" s="154" t="s">
        <v>853</v>
      </c>
    </row>
    <row r="22" spans="1:25" x14ac:dyDescent="0.25">
      <c r="A22" s="153">
        <v>45224</v>
      </c>
      <c r="B22" s="154" t="s">
        <v>854</v>
      </c>
      <c r="C22" s="155" t="s">
        <v>680</v>
      </c>
      <c r="D22" s="144"/>
      <c r="E22" s="154" t="s">
        <v>82</v>
      </c>
      <c r="F22" s="155" t="s">
        <v>463</v>
      </c>
      <c r="G22" s="155" t="s">
        <v>91</v>
      </c>
      <c r="H22" s="154" t="s">
        <v>82</v>
      </c>
      <c r="I22" s="154"/>
      <c r="J22"/>
      <c r="K22" s="154" t="s">
        <v>681</v>
      </c>
      <c r="L22" s="154" t="s">
        <v>682</v>
      </c>
      <c r="M22" s="154" t="s">
        <v>91</v>
      </c>
      <c r="N22" s="153">
        <v>45230</v>
      </c>
      <c r="O22" s="153">
        <v>45322</v>
      </c>
      <c r="P22" s="153"/>
      <c r="Q22" s="155" t="s">
        <v>855</v>
      </c>
      <c r="R22" s="155" t="s">
        <v>105</v>
      </c>
      <c r="S22" s="154">
        <v>100</v>
      </c>
      <c r="T22" s="155">
        <v>5.3999999999999999E-2</v>
      </c>
      <c r="U22" s="154" t="s">
        <v>683</v>
      </c>
      <c r="V22" s="154" t="s">
        <v>684</v>
      </c>
      <c r="W22" s="156" t="s">
        <v>710</v>
      </c>
      <c r="X22" s="156" t="s">
        <v>91</v>
      </c>
      <c r="Y22" s="154" t="s">
        <v>856</v>
      </c>
    </row>
    <row r="23" spans="1:25" x14ac:dyDescent="0.25">
      <c r="A23" s="153">
        <v>45223</v>
      </c>
      <c r="B23" s="154" t="s">
        <v>722</v>
      </c>
      <c r="C23" s="155" t="s">
        <v>723</v>
      </c>
      <c r="D23" s="144"/>
      <c r="E23" s="154" t="s">
        <v>82</v>
      </c>
      <c r="F23" s="155" t="s">
        <v>724</v>
      </c>
      <c r="G23" s="155" t="s">
        <v>91</v>
      </c>
      <c r="H23" s="154" t="s">
        <v>82</v>
      </c>
      <c r="I23" s="154"/>
      <c r="J23"/>
      <c r="K23" s="154" t="s">
        <v>725</v>
      </c>
      <c r="L23" s="154" t="s">
        <v>726</v>
      </c>
      <c r="M23" s="154" t="s">
        <v>91</v>
      </c>
      <c r="N23" s="153">
        <v>45223</v>
      </c>
      <c r="O23" s="153">
        <v>46319</v>
      </c>
      <c r="P23" s="153"/>
      <c r="Q23" s="155" t="s">
        <v>715</v>
      </c>
      <c r="R23" s="155" t="s">
        <v>105</v>
      </c>
      <c r="S23" s="154">
        <v>100</v>
      </c>
      <c r="T23" s="155">
        <v>2.7</v>
      </c>
      <c r="U23" s="154" t="s">
        <v>91</v>
      </c>
      <c r="V23" s="154" t="s">
        <v>91</v>
      </c>
      <c r="W23" s="156" t="s">
        <v>710</v>
      </c>
      <c r="X23" s="156" t="s">
        <v>91</v>
      </c>
      <c r="Y23" s="154" t="s">
        <v>857</v>
      </c>
    </row>
    <row r="24" spans="1:25" x14ac:dyDescent="0.25">
      <c r="A24" s="153">
        <v>45223</v>
      </c>
      <c r="B24" s="154" t="s">
        <v>858</v>
      </c>
      <c r="C24" s="155" t="s">
        <v>517</v>
      </c>
      <c r="D24" s="144"/>
      <c r="E24" s="154" t="s">
        <v>82</v>
      </c>
      <c r="F24" s="155" t="s">
        <v>463</v>
      </c>
      <c r="G24" s="155" t="s">
        <v>91</v>
      </c>
      <c r="H24" s="154" t="s">
        <v>439</v>
      </c>
      <c r="I24" s="154"/>
      <c r="J24"/>
      <c r="K24" s="154" t="s">
        <v>1000</v>
      </c>
      <c r="L24" s="154" t="s">
        <v>91</v>
      </c>
      <c r="M24" s="154" t="s">
        <v>91</v>
      </c>
      <c r="N24" s="153">
        <v>45230</v>
      </c>
      <c r="O24" s="153">
        <v>45412</v>
      </c>
      <c r="P24" s="153">
        <v>45259</v>
      </c>
      <c r="Q24" s="155" t="s">
        <v>859</v>
      </c>
      <c r="R24" s="155" t="s">
        <v>84</v>
      </c>
      <c r="S24" s="154">
        <v>33.902000000000001</v>
      </c>
      <c r="T24" s="155">
        <v>5.0000000000000001E-3</v>
      </c>
      <c r="U24" s="154" t="s">
        <v>860</v>
      </c>
      <c r="V24" s="154" t="s">
        <v>861</v>
      </c>
      <c r="W24" s="156" t="s">
        <v>710</v>
      </c>
      <c r="X24" s="156" t="s">
        <v>91</v>
      </c>
      <c r="Y24" s="154" t="s">
        <v>862</v>
      </c>
    </row>
    <row r="25" spans="1:25" x14ac:dyDescent="0.25">
      <c r="A25" s="153">
        <v>45223</v>
      </c>
      <c r="B25" s="154" t="s">
        <v>863</v>
      </c>
      <c r="C25" s="155" t="s">
        <v>723</v>
      </c>
      <c r="D25" s="144"/>
      <c r="E25" s="154" t="s">
        <v>82</v>
      </c>
      <c r="F25" s="155" t="s">
        <v>724</v>
      </c>
      <c r="G25" s="155" t="s">
        <v>91</v>
      </c>
      <c r="H25" s="154" t="s">
        <v>82</v>
      </c>
      <c r="I25" s="154"/>
      <c r="J25"/>
      <c r="K25" s="154" t="s">
        <v>725</v>
      </c>
      <c r="L25" s="154" t="s">
        <v>726</v>
      </c>
      <c r="M25" s="154" t="s">
        <v>91</v>
      </c>
      <c r="N25" s="153">
        <v>45223</v>
      </c>
      <c r="O25" s="153">
        <v>46319</v>
      </c>
      <c r="P25" s="153"/>
      <c r="Q25" s="155" t="s">
        <v>715</v>
      </c>
      <c r="R25" s="155" t="s">
        <v>105</v>
      </c>
      <c r="S25" s="154">
        <v>99.998000000000005</v>
      </c>
      <c r="T25" s="155">
        <v>1.5</v>
      </c>
      <c r="U25" s="154" t="s">
        <v>91</v>
      </c>
      <c r="V25" s="154" t="s">
        <v>91</v>
      </c>
      <c r="W25" s="156" t="s">
        <v>710</v>
      </c>
      <c r="X25" s="156" t="s">
        <v>91</v>
      </c>
      <c r="Y25" s="154" t="s">
        <v>864</v>
      </c>
    </row>
    <row r="26" spans="1:25" x14ac:dyDescent="0.25">
      <c r="A26" s="153">
        <v>45219</v>
      </c>
      <c r="B26" s="154" t="s">
        <v>865</v>
      </c>
      <c r="C26" s="155" t="s">
        <v>866</v>
      </c>
      <c r="D26" s="144"/>
      <c r="E26" s="154" t="s">
        <v>82</v>
      </c>
      <c r="F26" s="155" t="s">
        <v>867</v>
      </c>
      <c r="G26" s="155" t="s">
        <v>91</v>
      </c>
      <c r="H26" s="154" t="s">
        <v>82</v>
      </c>
      <c r="I26" s="154"/>
      <c r="J26"/>
      <c r="K26" s="154" t="s">
        <v>868</v>
      </c>
      <c r="L26" s="154" t="s">
        <v>91</v>
      </c>
      <c r="M26" s="154" t="s">
        <v>91</v>
      </c>
      <c r="N26" s="153">
        <v>45219</v>
      </c>
      <c r="O26" s="153">
        <v>45858</v>
      </c>
      <c r="P26" s="153">
        <v>45585</v>
      </c>
      <c r="Q26" s="155" t="s">
        <v>869</v>
      </c>
      <c r="R26" s="155" t="s">
        <v>870</v>
      </c>
      <c r="S26" s="154"/>
      <c r="T26" s="155">
        <v>11.561</v>
      </c>
      <c r="U26" s="154" t="s">
        <v>871</v>
      </c>
      <c r="V26" s="154" t="s">
        <v>872</v>
      </c>
      <c r="W26" s="156" t="s">
        <v>710</v>
      </c>
      <c r="X26" s="156" t="s">
        <v>91</v>
      </c>
      <c r="Y26" s="154" t="s">
        <v>873</v>
      </c>
    </row>
    <row r="27" spans="1:25" x14ac:dyDescent="0.25">
      <c r="A27" s="153">
        <v>45219</v>
      </c>
      <c r="B27" s="154" t="s">
        <v>874</v>
      </c>
      <c r="C27" s="155" t="s">
        <v>509</v>
      </c>
      <c r="D27" s="144"/>
      <c r="E27" s="154" t="s">
        <v>82</v>
      </c>
      <c r="F27" s="155" t="s">
        <v>463</v>
      </c>
      <c r="G27" s="155" t="s">
        <v>463</v>
      </c>
      <c r="H27" s="154" t="s">
        <v>875</v>
      </c>
      <c r="I27" s="154"/>
      <c r="J27"/>
      <c r="K27" s="154" t="s">
        <v>1023</v>
      </c>
      <c r="L27" s="154" t="s">
        <v>91</v>
      </c>
      <c r="M27" s="154" t="s">
        <v>91</v>
      </c>
      <c r="N27" s="153">
        <v>45229</v>
      </c>
      <c r="O27" s="153">
        <v>45775</v>
      </c>
      <c r="P27" s="153"/>
      <c r="Q27" s="155" t="s">
        <v>876</v>
      </c>
      <c r="R27" s="155" t="s">
        <v>108</v>
      </c>
      <c r="S27" s="154">
        <v>100</v>
      </c>
      <c r="T27" s="155">
        <v>5</v>
      </c>
      <c r="U27" s="154" t="s">
        <v>877</v>
      </c>
      <c r="V27" s="154" t="s">
        <v>878</v>
      </c>
      <c r="W27" s="156" t="s">
        <v>710</v>
      </c>
      <c r="X27" s="156" t="s">
        <v>91</v>
      </c>
      <c r="Y27" s="154" t="s">
        <v>879</v>
      </c>
    </row>
    <row r="28" spans="1:25" x14ac:dyDescent="0.25">
      <c r="A28" s="153">
        <v>45219</v>
      </c>
      <c r="B28" s="154" t="s">
        <v>880</v>
      </c>
      <c r="C28" s="155" t="s">
        <v>762</v>
      </c>
      <c r="D28" s="144"/>
      <c r="E28" s="154" t="s">
        <v>82</v>
      </c>
      <c r="F28" s="155" t="s">
        <v>463</v>
      </c>
      <c r="G28" s="155" t="s">
        <v>91</v>
      </c>
      <c r="H28" s="154" t="s">
        <v>787</v>
      </c>
      <c r="I28" s="154"/>
      <c r="J28"/>
      <c r="K28" s="154" t="s">
        <v>1024</v>
      </c>
      <c r="L28" s="154" t="s">
        <v>91</v>
      </c>
      <c r="M28" s="154" t="s">
        <v>881</v>
      </c>
      <c r="N28" s="153">
        <v>45226</v>
      </c>
      <c r="O28" s="153">
        <v>45590</v>
      </c>
      <c r="P28" s="153"/>
      <c r="Q28" s="155" t="s">
        <v>1025</v>
      </c>
      <c r="R28" s="155" t="s">
        <v>84</v>
      </c>
      <c r="S28" s="154"/>
      <c r="T28" s="155">
        <v>0.22</v>
      </c>
      <c r="U28" s="154" t="s">
        <v>882</v>
      </c>
      <c r="V28" s="154" t="s">
        <v>883</v>
      </c>
      <c r="W28" s="156" t="s">
        <v>710</v>
      </c>
      <c r="X28" s="156" t="s">
        <v>91</v>
      </c>
      <c r="Y28" s="154" t="s">
        <v>884</v>
      </c>
    </row>
    <row r="29" spans="1:25" x14ac:dyDescent="0.25">
      <c r="A29" s="153">
        <v>45219</v>
      </c>
      <c r="B29" s="154" t="s">
        <v>885</v>
      </c>
      <c r="C29" s="155" t="s">
        <v>671</v>
      </c>
      <c r="D29" s="144"/>
      <c r="E29" s="154" t="s">
        <v>82</v>
      </c>
      <c r="F29" s="155" t="s">
        <v>463</v>
      </c>
      <c r="G29" s="155" t="s">
        <v>463</v>
      </c>
      <c r="H29" s="154" t="s">
        <v>886</v>
      </c>
      <c r="I29" s="154"/>
      <c r="J29"/>
      <c r="K29" s="154" t="s">
        <v>1026</v>
      </c>
      <c r="L29" s="154" t="s">
        <v>91</v>
      </c>
      <c r="M29" s="154" t="s">
        <v>91</v>
      </c>
      <c r="N29" s="153">
        <v>45225</v>
      </c>
      <c r="O29" s="153">
        <v>45775</v>
      </c>
      <c r="P29" s="153"/>
      <c r="Q29" s="155" t="s">
        <v>887</v>
      </c>
      <c r="R29" s="155" t="s">
        <v>108</v>
      </c>
      <c r="S29" s="154">
        <v>100</v>
      </c>
      <c r="T29" s="155">
        <v>0.32700000000000001</v>
      </c>
      <c r="U29" s="154" t="s">
        <v>888</v>
      </c>
      <c r="V29" s="154" t="s">
        <v>889</v>
      </c>
      <c r="W29" s="156" t="s">
        <v>710</v>
      </c>
      <c r="X29" s="156" t="s">
        <v>91</v>
      </c>
      <c r="Y29" s="154" t="s">
        <v>890</v>
      </c>
    </row>
    <row r="30" spans="1:25" x14ac:dyDescent="0.25">
      <c r="A30" s="153">
        <v>45219</v>
      </c>
      <c r="B30" s="154" t="s">
        <v>759</v>
      </c>
      <c r="C30" s="155" t="s">
        <v>518</v>
      </c>
      <c r="D30" s="144"/>
      <c r="E30" s="154" t="s">
        <v>82</v>
      </c>
      <c r="F30" s="155" t="s">
        <v>463</v>
      </c>
      <c r="G30" s="155" t="s">
        <v>463</v>
      </c>
      <c r="H30" s="154" t="s">
        <v>439</v>
      </c>
      <c r="I30" s="154"/>
      <c r="J30"/>
      <c r="K30" s="154" t="s">
        <v>1027</v>
      </c>
      <c r="L30" s="154" t="s">
        <v>91</v>
      </c>
      <c r="M30" s="154" t="s">
        <v>91</v>
      </c>
      <c r="N30" s="153">
        <v>45225</v>
      </c>
      <c r="O30" s="153">
        <v>45408</v>
      </c>
      <c r="P30" s="153"/>
      <c r="Q30" s="155" t="s">
        <v>891</v>
      </c>
      <c r="R30" s="155" t="s">
        <v>84</v>
      </c>
      <c r="S30" s="154"/>
      <c r="T30" s="155">
        <v>0.25</v>
      </c>
      <c r="U30" s="154" t="s">
        <v>892</v>
      </c>
      <c r="V30" s="154" t="s">
        <v>439</v>
      </c>
      <c r="W30" s="156" t="s">
        <v>710</v>
      </c>
      <c r="X30" s="156" t="s">
        <v>91</v>
      </c>
      <c r="Y30" s="154" t="s">
        <v>760</v>
      </c>
    </row>
    <row r="31" spans="1:25" x14ac:dyDescent="0.25">
      <c r="A31" s="153">
        <v>45219</v>
      </c>
      <c r="B31" s="154" t="s">
        <v>761</v>
      </c>
      <c r="C31" s="155" t="s">
        <v>762</v>
      </c>
      <c r="D31" s="144"/>
      <c r="E31" s="154" t="s">
        <v>82</v>
      </c>
      <c r="F31" s="155" t="s">
        <v>463</v>
      </c>
      <c r="G31" s="155" t="s">
        <v>91</v>
      </c>
      <c r="H31" s="154" t="s">
        <v>787</v>
      </c>
      <c r="I31" s="154"/>
      <c r="J31"/>
      <c r="K31" s="154" t="s">
        <v>1024</v>
      </c>
      <c r="L31" s="154" t="s">
        <v>91</v>
      </c>
      <c r="M31" s="154" t="s">
        <v>881</v>
      </c>
      <c r="N31" s="153">
        <v>45226</v>
      </c>
      <c r="O31" s="153">
        <v>45411</v>
      </c>
      <c r="P31" s="153"/>
      <c r="Q31" s="155" t="s">
        <v>1028</v>
      </c>
      <c r="R31" s="155" t="s">
        <v>84</v>
      </c>
      <c r="S31" s="154"/>
      <c r="T31" s="155">
        <v>0.2</v>
      </c>
      <c r="U31" s="154" t="s">
        <v>882</v>
      </c>
      <c r="V31" s="154" t="s">
        <v>883</v>
      </c>
      <c r="W31" s="156" t="s">
        <v>710</v>
      </c>
      <c r="X31" s="156" t="s">
        <v>91</v>
      </c>
      <c r="Y31" s="154" t="s">
        <v>763</v>
      </c>
    </row>
    <row r="32" spans="1:25" x14ac:dyDescent="0.25">
      <c r="A32" s="153">
        <v>45219</v>
      </c>
      <c r="B32" s="154" t="s">
        <v>764</v>
      </c>
      <c r="C32" s="155" t="s">
        <v>765</v>
      </c>
      <c r="D32" s="144"/>
      <c r="E32" s="154" t="s">
        <v>82</v>
      </c>
      <c r="F32" s="155" t="s">
        <v>248</v>
      </c>
      <c r="G32" s="155" t="s">
        <v>91</v>
      </c>
      <c r="H32" s="154" t="s">
        <v>82</v>
      </c>
      <c r="I32" s="154"/>
      <c r="J32"/>
      <c r="K32" s="154" t="s">
        <v>1029</v>
      </c>
      <c r="L32" s="154" t="s">
        <v>91</v>
      </c>
      <c r="M32" s="154" t="s">
        <v>91</v>
      </c>
      <c r="N32" s="153">
        <v>45226</v>
      </c>
      <c r="O32" s="153">
        <v>46322</v>
      </c>
      <c r="P32" s="153"/>
      <c r="Q32" s="155" t="s">
        <v>845</v>
      </c>
      <c r="R32" s="155" t="s">
        <v>84</v>
      </c>
      <c r="S32" s="154">
        <v>100</v>
      </c>
      <c r="T32" s="155">
        <v>1.1000000000000001</v>
      </c>
      <c r="U32" s="154" t="s">
        <v>893</v>
      </c>
      <c r="V32" s="154" t="s">
        <v>82</v>
      </c>
      <c r="W32" s="156" t="s">
        <v>710</v>
      </c>
      <c r="X32" s="156" t="s">
        <v>91</v>
      </c>
      <c r="Y32" s="154" t="s">
        <v>766</v>
      </c>
    </row>
    <row r="33" spans="1:25" x14ac:dyDescent="0.25">
      <c r="A33" s="153">
        <v>45219</v>
      </c>
      <c r="B33" s="154" t="s">
        <v>767</v>
      </c>
      <c r="C33" s="155" t="s">
        <v>768</v>
      </c>
      <c r="D33" s="144"/>
      <c r="E33" s="154" t="s">
        <v>464</v>
      </c>
      <c r="F33" s="155" t="s">
        <v>714</v>
      </c>
      <c r="G33" s="155" t="s">
        <v>91</v>
      </c>
      <c r="H33" s="154" t="s">
        <v>464</v>
      </c>
      <c r="I33" s="154"/>
      <c r="J33"/>
      <c r="K33" s="154" t="s">
        <v>894</v>
      </c>
      <c r="L33" s="154" t="s">
        <v>895</v>
      </c>
      <c r="M33" s="154" t="s">
        <v>91</v>
      </c>
      <c r="N33" s="153">
        <v>45226</v>
      </c>
      <c r="O33" s="153">
        <v>46322</v>
      </c>
      <c r="P33" s="153"/>
      <c r="Q33" s="155" t="s">
        <v>896</v>
      </c>
      <c r="R33" s="155" t="s">
        <v>84</v>
      </c>
      <c r="S33" s="154">
        <v>100</v>
      </c>
      <c r="T33" s="155">
        <v>2.8</v>
      </c>
      <c r="U33" s="154" t="s">
        <v>897</v>
      </c>
      <c r="V33" s="154" t="s">
        <v>464</v>
      </c>
      <c r="W33" s="156" t="s">
        <v>710</v>
      </c>
      <c r="X33" s="156" t="s">
        <v>91</v>
      </c>
      <c r="Y33" s="154" t="s">
        <v>769</v>
      </c>
    </row>
    <row r="34" spans="1:25" x14ac:dyDescent="0.25">
      <c r="A34" s="153">
        <v>45219</v>
      </c>
      <c r="B34" s="154" t="s">
        <v>708</v>
      </c>
      <c r="C34" s="155" t="s">
        <v>680</v>
      </c>
      <c r="D34" s="144"/>
      <c r="E34" s="154" t="s">
        <v>82</v>
      </c>
      <c r="F34" s="155" t="s">
        <v>463</v>
      </c>
      <c r="G34" s="155" t="s">
        <v>91</v>
      </c>
      <c r="H34" s="154" t="s">
        <v>82</v>
      </c>
      <c r="I34" s="154"/>
      <c r="J34"/>
      <c r="K34" s="154" t="s">
        <v>681</v>
      </c>
      <c r="L34" s="154" t="s">
        <v>682</v>
      </c>
      <c r="M34" s="154" t="s">
        <v>91</v>
      </c>
      <c r="N34" s="153">
        <v>45224</v>
      </c>
      <c r="O34" s="153">
        <v>45316</v>
      </c>
      <c r="P34" s="153"/>
      <c r="Q34" s="155" t="s">
        <v>709</v>
      </c>
      <c r="R34" s="155" t="s">
        <v>105</v>
      </c>
      <c r="S34" s="154">
        <v>100</v>
      </c>
      <c r="T34" s="155">
        <v>0.2</v>
      </c>
      <c r="U34" s="154" t="s">
        <v>683</v>
      </c>
      <c r="V34" s="154" t="s">
        <v>684</v>
      </c>
      <c r="W34" s="156" t="s">
        <v>710</v>
      </c>
      <c r="X34" s="156" t="s">
        <v>91</v>
      </c>
      <c r="Y34" s="154" t="s">
        <v>711</v>
      </c>
    </row>
  </sheetData>
  <phoneticPr fontId="33"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DOWNLOAD</vt:lpstr>
      <vt:lpstr>load</vt:lpstr>
      <vt:lpstr>DLD_Add</vt:lpstr>
      <vt:lpstr>REVIEW_LIST</vt:lpstr>
      <vt:lpstr>NWriter</vt:lpstr>
      <vt:lpstr>【FINAL】</vt:lpstr>
      <vt:lpstr>Charts</vt:lpstr>
      <vt:lpstr>wCurated</vt:lpstr>
      <vt:lpstr>wBISL</vt:lpstr>
      <vt:lpstr>WRITER</vt:lpstr>
      <vt:lpstr>ECON</vt:lpstr>
      <vt:lpstr>FUTURE</vt:lpstr>
      <vt:lpstr>wChart</vt:lpstr>
      <vt:lpstr>wCredit</vt:lpstr>
      <vt:lpstr>AddTap</vt:lpstr>
      <vt:lpstr>NEWs</vt:lpstr>
      <vt:lpstr>MDM</vt:lpstr>
      <vt:lpstr>WIP AddNew</vt:lpstr>
      <vt:lpstr>wDMI</vt:lpstr>
      <vt:lpstr>BBG</vt:lpstr>
      <vt:lpstr>MDM!Criteria</vt:lpstr>
      <vt:lpstr>dd_BISL_ROLE</vt:lpstr>
      <vt:lpstr>dd_BOCOMJLM</vt:lpstr>
      <vt:lpstr>dd_byrtg</vt:lpstr>
      <vt:lpstr>dd_coverage</vt:lpstr>
      <vt:lpstr>dd_econ</vt:lpstr>
      <vt:lpstr>dd_econ1</vt:lpstr>
      <vt:lpstr>dd_ECONEvent</vt:lpstr>
      <vt:lpstr>dd_econfuture</vt:lpstr>
      <vt:lpstr>dd_FutureEvent</vt:lpstr>
      <vt:lpstr>dd_Monday</vt:lpstr>
      <vt:lpstr>dd_region</vt:lpstr>
      <vt:lpstr>dd_sector</vt:lpstr>
      <vt:lpstr>dd_sfcrole</vt:lpstr>
      <vt:lpstr>dd_strct</vt:lpstr>
      <vt:lpstr>dd_updator</vt:lpstr>
      <vt:lpstr>dd_上市分类</vt:lpstr>
      <vt:lpstr>dd_中资属性</vt:lpstr>
      <vt:lpstr>dd_主题债券</vt:lpstr>
      <vt:lpstr>dd_备证行</vt:lpstr>
      <vt:lpstr>dd_板块</vt:lpstr>
      <vt:lpstr>dd_结构</vt:lpstr>
      <vt:lpstr>dd_评级分类</vt:lpstr>
      <vt:lpstr>dd_货币</vt:lpstr>
      <vt:lpstr>ESG</vt:lpstr>
      <vt:lpstr>GPS</vt:lpstr>
      <vt:lpstr>GPS_FileName</vt:lpstr>
      <vt:lpstr>IS_EXCH_FILTER</vt:lpstr>
      <vt:lpstr>Monday</vt:lpstr>
      <vt:lpstr>MultiSource</vt:lpstr>
      <vt:lpstr>Name</vt:lpstr>
      <vt:lpstr>UpdatorWeekly</vt:lpstr>
      <vt:lpstr>WeeklyFilter</vt:lpstr>
      <vt:lpstr>wNews_Input_ToClear</vt:lpstr>
      <vt:lpstr>定价基准</vt:lpstr>
      <vt:lpstr>新闻分类</vt:lpstr>
      <vt:lpstr>新闻地区</vt:lpstr>
      <vt:lpstr>港分_Role</vt:lpstr>
      <vt:lpstr>澳门Filter</vt:lpstr>
      <vt:lpstr>香港Filter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2023-09-19T03:58:50Z</cp:lastPrinted>
  <dcterms:created xsi:type="dcterms:W3CDTF">2023-03-10T12:57:22Z</dcterms:created>
  <dcterms:modified xsi:type="dcterms:W3CDTF">2023-11-02T12:49:15Z</dcterms:modified>
</cp:coreProperties>
</file>