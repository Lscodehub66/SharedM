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queryTables/queryTable12.xml" ContentType="application/vnd.openxmlformats-officedocument.spreadsheetml.queryTable+xml"/>
  <Override PartName="/xl/tables/table18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6.xml" ContentType="application/vnd.openxmlformats-officedocument.drawing+xml"/>
  <Override PartName="/xl/tables/table19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7.xml" ContentType="application/vnd.openxmlformats-officedocument.drawing+xml"/>
  <Override PartName="/xl/tables/table20.xml" ContentType="application/vnd.openxmlformats-officedocument.spreadsheetml.table+xml"/>
  <Override PartName="/xl/drawings/drawing8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21.xml" ContentType="application/vnd.openxmlformats-officedocument.spreadsheetml.table+xml"/>
  <Override PartName="/xl/queryTables/queryTable15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queryTables/queryTable17.xml" ContentType="application/vnd.openxmlformats-officedocument.spreadsheetml.queryTable+xml"/>
  <Override PartName="/xl/tables/table28.xml" ContentType="application/vnd.openxmlformats-officedocument.spreadsheetml.table+xml"/>
  <Override PartName="/xl/queryTables/queryTable18.xml" ContentType="application/vnd.openxmlformats-officedocument.spreadsheetml.queryTable+xml"/>
  <Override PartName="/xl/tables/table29.xml" ContentType="application/vnd.openxmlformats-officedocument.spreadsheetml.table+xml"/>
  <Override PartName="/xl/queryTables/queryTable19.xml" ContentType="application/vnd.openxmlformats-officedocument.spreadsheetml.queryTable+xml"/>
  <Override PartName="/xl/tables/table30.xml" ContentType="application/vnd.openxmlformats-officedocument.spreadsheetml.table+xml"/>
  <Override PartName="/xl/queryTables/queryTable20.xml" ContentType="application/vnd.openxmlformats-officedocument.spreadsheetml.queryTable+xml"/>
  <Override PartName="/xl/tables/table31.xml" ContentType="application/vnd.openxmlformats-officedocument.spreadsheetml.table+xml"/>
  <Override PartName="/xl/queryTables/queryTable21.xml" ContentType="application/vnd.openxmlformats-officedocument.spreadsheetml.queryTable+xml"/>
  <Override PartName="/xl/tables/table32.xml" ContentType="application/vnd.openxmlformats-officedocument.spreadsheetml.table+xml"/>
  <Override PartName="/xl/queryTables/queryTable22.xml" ContentType="application/vnd.openxmlformats-officedocument.spreadsheetml.queryTable+xml"/>
  <Override PartName="/xl/tables/table33.xml" ContentType="application/vnd.openxmlformats-officedocument.spreadsheetml.table+xml"/>
  <Override PartName="/xl/queryTables/queryTable23.xml" ContentType="application/vnd.openxmlformats-officedocument.spreadsheetml.queryTable+xml"/>
  <Override PartName="/xl/tables/table34.xml" ContentType="application/vnd.openxmlformats-officedocument.spreadsheetml.table+xml"/>
  <Override PartName="/xl/queryTables/queryTable24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25.xml" ContentType="application/vnd.openxmlformats-officedocument.spreadsheetml.queryTable+xml"/>
  <Override PartName="/xl/tables/table37.xml" ContentType="application/vnd.openxmlformats-officedocument.spreadsheetml.table+xml"/>
  <Override PartName="/xl/queryTables/queryTable26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27.xml" ContentType="application/vnd.openxmlformats-officedocument.spreadsheetml.query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28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queryTables/queryTable29.xml" ContentType="application/vnd.openxmlformats-officedocument.spreadsheetml.queryTable+xml"/>
  <Override PartName="/xl/tables/table57.xml" ContentType="application/vnd.openxmlformats-officedocument.spreadsheetml.table+xml"/>
  <Override PartName="/xl/queryTables/queryTable30.xml" ContentType="application/vnd.openxmlformats-officedocument.spreadsheetml.queryTable+xml"/>
  <Override PartName="/xl/tables/table58.xml" ContentType="application/vnd.openxmlformats-officedocument.spreadsheetml.table+xml"/>
  <Override PartName="/xl/queryTables/queryTable31.xml" ContentType="application/vnd.openxmlformats-officedocument.spreadsheetml.queryTable+xml"/>
  <Override PartName="/xl/tables/table59.xml" ContentType="application/vnd.openxmlformats-officedocument.spreadsheetml.table+xml"/>
  <Override PartName="/xl/queryTables/queryTable32.xml" ContentType="application/vnd.openxmlformats-officedocument.spreadsheetml.queryTable+xml"/>
  <Override PartName="/xl/tables/table60.xml" ContentType="application/vnd.openxmlformats-officedocument.spreadsheetml.table+xml"/>
  <Override PartName="/xl/queryTables/queryTable33.xml" ContentType="application/vnd.openxmlformats-officedocument.spreadsheetml.queryTable+xml"/>
  <Override PartName="/xl/tables/table61.xml" ContentType="application/vnd.openxmlformats-officedocument.spreadsheetml.table+xml"/>
  <Override PartName="/xl/queryTables/queryTable34.xml" ContentType="application/vnd.openxmlformats-officedocument.spreadsheetml.queryTable+xml"/>
  <Override PartName="/xl/tables/table62.xml" ContentType="application/vnd.openxmlformats-officedocument.spreadsheetml.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Team Folder\Execution Team\DataHub\Backup\Weekly\20231127\Data\"/>
    </mc:Choice>
  </mc:AlternateContent>
  <xr:revisionPtr revIDLastSave="0" documentId="13_ncr:1_{919D83AD-FD96-4EF5-8B7D-184739DF2E3B}" xr6:coauthVersionLast="36" xr6:coauthVersionMax="47" xr10:uidLastSave="{00000000-0000-0000-0000-000000000000}"/>
  <bookViews>
    <workbookView xWindow="-120" yWindow="-120" windowWidth="29040" windowHeight="15720" tabRatio="594" xr2:uid="{00000000-000D-0000-FFFF-FFFF00000000}"/>
  </bookViews>
  <sheets>
    <sheet name="DOWNLOAD" sheetId="1" r:id="rId1"/>
    <sheet name="load" sheetId="23" r:id="rId2"/>
    <sheet name="DLD_Add" sheetId="56" state="hidden" r:id="rId3"/>
    <sheet name="REVIEW_LIST" sheetId="33" r:id="rId4"/>
    <sheet name="【FINAL】" sheetId="57" r:id="rId5"/>
    <sheet name="wCurated" sheetId="48" state="hidden" r:id="rId6"/>
    <sheet name="wChart" sheetId="58" state="hidden" r:id="rId7"/>
    <sheet name="wCredit" sheetId="46" state="hidden" r:id="rId8"/>
    <sheet name="NEWs" sheetId="59" r:id="rId9"/>
    <sheet name="WeeklyAddTap" sheetId="53" r:id="rId10"/>
    <sheet name="MDM" sheetId="27" r:id="rId11"/>
    <sheet name="wDMI" sheetId="42" state="hidden" r:id="rId12"/>
    <sheet name="wBBG" sheetId="49" state="hidden" r:id="rId13"/>
  </sheets>
  <definedNames>
    <definedName name="_xlnm._FilterDatabase" localSheetId="10" hidden="1">MDM!#REF!</definedName>
    <definedName name="_xlnm.Criteria" localSheetId="10">MDM!$R$6:$R$10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备证行全称[备证行全称]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4" hidden="1">【FINAL】!$B$6:$CL$19</definedName>
    <definedName name="ExternalData_1" localSheetId="10" hidden="1">MDM!$I$22:$J$28</definedName>
    <definedName name="ExternalData_1" localSheetId="3" hidden="1">REVIEW_LIST!$BS$3:$BT$101</definedName>
    <definedName name="ExternalData_1" localSheetId="5" hidden="1">wCurated!$A$4:$AZ$12</definedName>
    <definedName name="ExternalData_1" localSheetId="9" hidden="1">WeeklyAddTap!$B$4:$K$6</definedName>
    <definedName name="ExternalData_10" localSheetId="10" hidden="1">MDM!$D$41:$D$92</definedName>
    <definedName name="ExternalData_11" localSheetId="0" hidden="1">DOWNLOAD!#REF!</definedName>
    <definedName name="ExternalData_11" localSheetId="10" hidden="1">MDM!$D$6:$D$39</definedName>
    <definedName name="ExternalData_12" localSheetId="10" hidden="1">MDM!$M$6:$N$72</definedName>
    <definedName name="ExternalData_13" localSheetId="10" hidden="1">MDM!$P$6:$P$57</definedName>
    <definedName name="ExternalData_14" localSheetId="10" hidden="1">MDM!$D$106:$D$113</definedName>
    <definedName name="ExternalData_15" localSheetId="10" hidden="1">MDM!$I$68:$J$73</definedName>
    <definedName name="ExternalData_16" localSheetId="10" hidden="1">MDM!$I$75:$J$81</definedName>
    <definedName name="ExternalData_17" localSheetId="10" hidden="1">MDM!$I$83:$J$96</definedName>
    <definedName name="ExternalData_18" localSheetId="0" hidden="1">DOWNLOAD!#REF!</definedName>
    <definedName name="ExternalData_18" localSheetId="10" hidden="1">MDM!$I$98:$J$101</definedName>
    <definedName name="ExternalData_19" localSheetId="0" hidden="1">DOWNLOAD!#REF!</definedName>
    <definedName name="ExternalData_19" localSheetId="1" hidden="1">load!$P$5:$AI$13</definedName>
    <definedName name="ExternalData_19" localSheetId="10" hidden="1">MDM!$I$103:$J$110</definedName>
    <definedName name="ExternalData_2" localSheetId="1" hidden="1">load!$AM$5:$BA$7</definedName>
    <definedName name="ExternalData_2" localSheetId="10" hidden="1">MDM!$I$13:$J$20</definedName>
    <definedName name="ExternalData_2" localSheetId="9" hidden="1">WeeklyAddTap!$B$15:$D$51</definedName>
    <definedName name="ExternalData_20" localSheetId="0" hidden="1">DOWNLOAD!$H$16:$H$17</definedName>
    <definedName name="ExternalData_20" localSheetId="10" hidden="1">MDM!$I$112:$J$119</definedName>
    <definedName name="ExternalData_21" localSheetId="0" hidden="1">DOWNLOAD!$C$20:$C$22</definedName>
    <definedName name="ExternalData_21" localSheetId="1" hidden="1">load!$BE$5:$BN$6</definedName>
    <definedName name="ExternalData_21" localSheetId="10" hidden="1">MDM!$I$121:$J$130</definedName>
    <definedName name="ExternalData_22" localSheetId="1" hidden="1">load!$B$5:$L$13</definedName>
    <definedName name="ExternalData_22" localSheetId="10" hidden="1">MDM!$I$132:$J$139</definedName>
    <definedName name="ExternalData_23" localSheetId="2" hidden="1">DLD_Add!$A$6:$DE$19</definedName>
    <definedName name="ExternalData_23" localSheetId="0" hidden="1">DOWNLOAD!$CT$15:$DA$16</definedName>
    <definedName name="ExternalData_23" localSheetId="1" hidden="1">load!#REF!</definedName>
    <definedName name="ExternalData_23" localSheetId="6" hidden="1">wChart!$A$2:$L$7</definedName>
    <definedName name="ExternalData_24" localSheetId="0" hidden="1">DOWNLOAD!$H$15:$H$17</definedName>
    <definedName name="ExternalData_24" localSheetId="1" hidden="1">load!$A$5:$E$17</definedName>
    <definedName name="ExternalData_25" localSheetId="0" hidden="1">DOWNLOAD!$H$23:$H$25</definedName>
    <definedName name="ExternalData_26" localSheetId="0" hidden="1">DOWNLOAD!$J$15:$CO$28</definedName>
    <definedName name="ExternalData_3" localSheetId="1" hidden="1">load!#REF!</definedName>
    <definedName name="ExternalData_3" localSheetId="10" hidden="1">MDM!$I$30:$J$36</definedName>
    <definedName name="ExternalData_5" localSheetId="10" hidden="1">MDM!$I$6:$J$10</definedName>
    <definedName name="ExternalData_5" localSheetId="5" hidden="1">wCurated!$A$4:$BU$14</definedName>
    <definedName name="ExternalData_6" localSheetId="10" hidden="1">MDM!$I$60:$J$66</definedName>
    <definedName name="ExternalData_7" localSheetId="10" hidden="1">MDM!$D$95:$D$104</definedName>
    <definedName name="ExternalData_8" localSheetId="10" hidden="1">MDM!$I$38:$J$49</definedName>
    <definedName name="ExternalData_9" localSheetId="10" hidden="1">MDM!$I$51:$J$58</definedName>
    <definedName name="ExternalData_9" localSheetId="7" hidden="1">wCredit!$A$4:$N$6</definedName>
    <definedName name="GPS">MDM!$A$1</definedName>
    <definedName name="GPS_FileName">MDM!$B$1</definedName>
    <definedName name="IS_EXCH_FILTER">DOWNLOAD!$C$8</definedName>
    <definedName name="ISIN_Search_ToClear">ISIN_Search[[信用主体(备证行)]:[品种主题]]</definedName>
    <definedName name="Monday">DOWNLOAD!$C$4</definedName>
    <definedName name="MultiSource">DOWNLOAD!$C$10</definedName>
    <definedName name="Name">load!$U$4</definedName>
    <definedName name="UpdatorWeekly">DOWNLOAD!$C$5</definedName>
    <definedName name="WeeklyAddTap">DOWNLOAD!$C$11</definedName>
    <definedName name="WeeklyFilter">DOWNLOAD!$C$9</definedName>
    <definedName name="wNews_Input_ToClear">wNews_Input[[新闻]:[来源]]</definedName>
    <definedName name="地方国企">dd_地方国企[地方国企]</definedName>
    <definedName name="定价基准">dd_定价基准[定价基准]</definedName>
    <definedName name="新闻分类">dd_新闻分类[新闻分类]</definedName>
    <definedName name="新闻地区">dd_新闻地区[新闻地区]</definedName>
    <definedName name="港分_Role">dd_港分_ROLE[港分_ROLE]</definedName>
    <definedName name="澳门Filter">DOWNLOAD!$C$6</definedName>
    <definedName name="金融机构">dd_金融机构[金融机构]</definedName>
    <definedName name="银行">dd_银行[银行]</definedName>
    <definedName name="非银">dd_非银[非银]</definedName>
    <definedName name="香港Filter">DOWNLOAD!$C$7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27" l="1"/>
  <c r="S9" i="27"/>
  <c r="S8" i="27"/>
  <c r="S7" i="27"/>
  <c r="B1" i="27"/>
  <c r="A1" i="27"/>
  <c r="U4" i="23"/>
  <c r="E1" i="23"/>
  <c r="F1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S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P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2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3" xr16:uid="{B3B62E69-AEDF-481D-90D5-26B3630864B0}" keepAlive="1" name="Query - Controller" description="Connection to the 'Controller' query in the workbook." type="5" refreshedVersion="0" background="1">
    <dbPr connection="Provider=Microsoft.Mashup.OleDb.1;Data Source=$Workbook$;Location=Controller;Extended Properties=&quot;&quot;" command="SELECT * FROM [Controller]"/>
  </connection>
  <connection id="4" xr16:uid="{54072881-5248-47E6-B83A-EAE44B854E8B}" keepAlive="1" name="Query - CSOE_SASAC" description="Connection to the 'CSOE_SASAC' query in the workbook." type="5" refreshedVersion="6" background="1" saveData="1">
    <dbPr connection="Provider=Microsoft.Mashup.OleDb.1;Data Source=$Workbook$;Location=CSOE_SASAC;Extended Properties=&quot;&quot;" command="SELECT * FROM [CSOE_SASAC]"/>
  </connection>
  <connection id="5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6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7" xr16:uid="{D94501B7-36C7-43DD-BAA7-D653A0431B62}" keepAlive="1" name="Query - dd_地方国企" description="Connection to the 'dd_地方国企' query in the workbook." type="5" refreshedVersion="6" background="1" saveData="1">
    <dbPr connection="Provider=Microsoft.Mashup.OleDb.1;Data Source=$Workbook$;Location=dd_地方国企;Extended Properties=&quot;&quot;" command="SELECT * FROM [dd_地方国企]"/>
  </connection>
  <connection id="8" xr16:uid="{014FB800-D38C-4744-B615-85DCAAA604B9}" keepAlive="1" name="Query - dd_地方平台" description="Connection to the 'dd_地方平台' query in the workbook." type="5" refreshedVersion="6" background="1" saveData="1">
    <dbPr connection="Provider=Microsoft.Mashup.OleDb.1;Data Source=$Workbook$;Location=dd_地方平台;Extended Properties=&quot;&quot;" command="SELECT * FROM [dd_地方平台]"/>
  </connection>
  <connection id="9" xr16:uid="{FA72B548-B6E5-45D5-888C-62C886BAEC1F}" keepAlive="1" name="Query - dd_定价基准" description="Connection to the 'dd_定价基准' query in the workbook." type="5" refreshedVersion="6" background="1" saveData="1">
    <dbPr connection="Provider=Microsoft.Mashup.OleDb.1;Data Source=$Workbook$;Location=dd_定价基准;Extended Properties=&quot;&quot;" command="SELECT * FROM [dd_定价基准]"/>
  </connection>
  <connection id="10" xr16:uid="{04EC04FB-EA39-41C9-880E-D310A67759CB}" keepAlive="1" name="Query - dd_港分_ROLE" description="Connection to the 'dd_港分_ROLE' query in the workbook." type="5" refreshedVersion="6" background="1" saveData="1">
    <dbPr connection="Provider=Microsoft.Mashup.OleDb.1;Data Source=$Workbook$;Location=dd_港分_ROLE;Extended Properties=&quot;&quot;" command="SELECT * FROM [dd_港分_ROLE]"/>
  </connection>
  <connection id="11" xr16:uid="{94FD74BE-F408-4DAE-BC87-0B84EE3BF611}" keepAlive="1" name="Query - dd_金融机构" description="Connection to the 'dd_金融机构' query in the workbook." type="5" refreshedVersion="6" background="1" saveData="1">
    <dbPr connection="Provider=Microsoft.Mashup.OleDb.1;Data Source=$Workbook$;Location=dd_金融机构;Extended Properties=&quot;&quot;" command="SELECT * FROM [dd_金融机构]"/>
  </connection>
  <connection id="12" xr16:uid="{070CC118-65C4-4543-A807-EDB092163675}" keepAlive="1" name="Query - dd_银行" description="Connection to the 'dd_银行' query in the workbook." type="5" refreshedVersion="6" background="1" saveData="1">
    <dbPr connection="Provider=Microsoft.Mashup.OleDb.1;Data Source=$Workbook$;Location=dd_银行;Extended Properties=&quot;&quot;" command="SELECT * FROM [dd_银行]"/>
  </connection>
  <connection id="13" xr16:uid="{766544A9-5F39-4A4A-A690-AC43A0CBD112}" keepAlive="1" name="Query - dd_非银" description="Connection to the 'dd_非银' query in the workbook." type="5" refreshedVersion="6" background="1" saveData="1">
    <dbPr connection="Provider=Microsoft.Mashup.OleDb.1;Data Source=$Workbook$;Location=dd_非银;Extended Properties=&quot;&quot;" command="SELECT * FROM [dd_非银]"/>
  </connection>
  <connection id="14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5" xr16:uid="{B4C9D457-3E61-492F-833F-377DEFF635B1}" keepAlive="1" name="Query - DEALs_MASTERPQ" description="Connection to the 'DEALs_MASTERPQ' query in the workbook." type="5" refreshedVersion="6" background="1">
    <dbPr connection="Provider=Microsoft.Mashup.OleDb.1;Data Source=$Workbook$;Location=DEALs_MASTERPQ;Extended Properties=&quot;&quot;" command="SELECT * FROM [DEALs_MASTERPQ]"/>
  </connection>
  <connection id="16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7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18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19" xr16:uid="{5223AE51-58CA-4B4C-87C7-8490764DD6CC}" keepAlive="1" name="Query - DLD_Add" description="Connection to the 'DLD_Add' query in the workbook." type="5" refreshedVersion="6" background="1" saveData="1">
    <dbPr connection="Provider=Microsoft.Mashup.OleDb.1;Data Source=$Workbook$;Location=DLD_Add;Extended Properties=&quot;&quot;" command="SELECT * FROM [DLD_Add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3000000}" keepAlive="1" name="Query - DLD_BBG_Corp" description="Connection to the 'DLD_BBG_Corp' query in the workbook." type="5" refreshedVersion="6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9000000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D95A09C9-7CB9-478E-9D74-18319DB5D68C}" keepAlive="1" name="Query - DLD_DEALs" description="Connection to the 'DLD_DEALs' query in the workbook." type="5" refreshedVersion="0" background="1" saveData="1">
    <dbPr connection="Provider=Microsoft.Mashup.OleDb.1;Data Source=$Workbook$;Location=DLD_DEALs;Extended Properties=&quot;&quot;" command="SELECT * FROM [DLD_DEALs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25" xr16:uid="{00000000-0015-0000-FFFF-FFFF33000000}" keepAlive="1" name="Query - DLD_QRC_23" description="Connection to the 'DLD_QRC_23' query in the workbook." type="5" refreshedVersion="6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3E0A6FC5-BDF3-4C8C-9C97-5B6F5B25B772}" keepAlive="1" name="Query - DMI_ChangedColumn" description="Connection to the 'DMI_ChangedColumn' query in the workbook." type="5" refreshedVersion="6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E625B8BF-BE23-4834-A971-DD1142ED5E96}" keepAlive="1" name="Query - DMI_NewColumn" description="Connection to the 'DMI_NewColumn' query in the workbook." type="5" refreshedVersion="6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9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00000000-0015-0000-FFFF-FFFF0D000000}" keepAlive="1" name="Query - fx" description="Connection to the 'fx' query in the workbook." type="5" refreshedVersion="0" background="1">
    <dbPr connection="Provider=Microsoft.Mashup.OleDb.1;Data Source=$Workbook$;Location=fx;Extended Properties=&quot;&quot;" command="SELECT * FROM [fx]"/>
  </connection>
  <connection id="35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6" xr16:uid="{B5A33C46-30A6-448A-B2E9-624B9CDBE4A4}" keepAlive="1" name="Query - fxExcel_Debug" description="Connection to the 'fxExcel_Debug' query in the workbook." type="5" refreshedVersion="6" background="1" saveData="1">
    <dbPr connection="Provider=Microsoft.Mashup.OleDb.1;Data Source=$Workbook$;Location=fxExcel_Debug;Extended Properties=&quot;&quot;" command="SELECT * FROM [fxExcel_Debug]"/>
  </connection>
  <connection id="3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38" xr16:uid="{946D9EB5-C291-4728-AFD2-329689AA3D95}" keepAlive="1" name="Query - fxSource_Debug" description="Connection to the 'fxSource_Debug' query in the workbook." type="5" refreshedVersion="0" background="1">
    <dbPr connection="Provider=Microsoft.Mashup.OleDb.1;Data Source=$Workbook$;Location=fxSource_Debug;Extended Properties=&quot;&quot;" command="SELECT * FROM [fxSource_Debug]"/>
  </connection>
  <connection id="39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40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41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42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43" xr16:uid="{7AA4B715-AEC3-4585-B436-228D758A7919}" keepAlive="1" name="Query - ISIN_Search" description="Connection to the 'ISIN_Search' query in the workbook." type="5" refreshedVersion="6" background="1" saveData="1">
    <dbPr connection="Provider=Microsoft.Mashup.OleDb.1;Data Source=$Workbook$;Location=ISIN_Search;Extended Properties=&quot;&quot;" command="SELECT * FROM [ISIN_Search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988A0A5B-BE38-453C-A960-2160EAC47143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45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46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47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48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49" xr16:uid="{37E886E7-3555-40D0-87C0-23B9D1E8DA68}" keepAlive="1" name="Query - OVRDMonday" description="Connection to the 'OVRDMonday' query in the workbook." type="5" refreshedVersion="0" background="1">
    <dbPr connection="Provider=Microsoft.Mashup.OleDb.1;Data Source=$Workbook$;Location=OVRDMonday;Extended Properties=&quot;&quot;" command="SELECT * FROM [OVRDMonday]"/>
  </connection>
  <connection id="50" xr16:uid="{2B37D559-24C2-410E-B6ED-5B3135229924}" keepAlive="1" name="Query - OVRDMulti" description="Connection to the 'OVRDMulti' query in the workbook." type="5" refreshedVersion="0" background="1">
    <dbPr connection="Provider=Microsoft.Mashup.OleDb.1;Data Source=$Workbook$;Location=OVRDMulti;Extended Properties=&quot;&quot;" command="SELECT * FROM [OVRDMulti]"/>
  </connection>
  <connection id="51" xr16:uid="{19D1300C-0BAB-4E05-B057-6BE735762337}" keepAlive="1" name="Query - OVRDwFilter" description="Connection to the 'OVRDwFilter' query in the workbook." type="5" refreshedVersion="0" background="1">
    <dbPr connection="Provider=Microsoft.Mashup.OleDb.1;Data Source=$Workbook$;Location=OVRDwFilter;Extended Properties=&quot;&quot;" command="SELECT * FROM [OVRDwFilter]"/>
  </connection>
  <connection id="52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53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54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55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56" xr16:uid="{D68969FF-6704-4B2B-99CF-16282417B94C}" keepAlive="1" name="Query - wAddTap" description="Connection to the 'wAddTap' query in the workbook." type="5" refreshedVersion="6" background="1" saveData="1">
    <dbPr connection="Provider=Microsoft.Mashup.OleDb.1;Data Source=$Workbook$;Location=wAddTap;Extended Properties=&quot;&quot;" command="SELECT * FROM [wAddTap]"/>
    <extLst>
      <ext xmlns:x15="http://schemas.microsoft.com/office/spreadsheetml/2010/11/main" uri="{DE250136-89BD-433C-8126-D09CA5730AF9}">
        <x15:connection id="" excludeFromRefreshAll="1"/>
      </ext>
    </extLst>
  </connection>
  <connection id="57" xr16:uid="{8B65B2A6-19D7-4DA1-BA05-6166BEE851FF}" keepAlive="1" name="Query - wAddTapPQ" description="Connection to the 'wAddTapPQ' query in the workbook." type="5" refreshedVersion="0" background="1" saveData="1">
    <dbPr connection="Provider=Microsoft.Mashup.OleDb.1;Data Source=$Workbook$;Location=wAddTapPQ;Extended Properties=&quot;&quot;" command="SELECT * FROM [wAddTapPQ]"/>
    <extLst>
      <ext xmlns:x15="http://schemas.microsoft.com/office/spreadsheetml/2010/11/main" uri="{DE250136-89BD-433C-8126-D09CA5730AF9}">
        <x15:connection id="" excludeFromRefreshAll="1"/>
      </ext>
    </extLst>
  </connection>
  <connection id="58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59" xr16:uid="{971827E1-6218-481A-91E3-33399F88EAA3}" keepAlive="1" name="Query - wChart" description="Connection to the 'wChart' query in the workbook." type="5" refreshedVersion="6" background="1" saveData="1">
    <dbPr connection="Provider=Microsoft.Mashup.OleDb.1;Data Source=$Workbook$;Location=wChart;Extended Properties=&quot;&quot;" command="SELECT * FROM [wChart]"/>
  </connection>
  <connection id="60" xr16:uid="{0D3DC0A5-479E-46AA-9F88-A2D8D1E96299}" keepAlive="1" name="Query - wConso" description="Connection to the 'wConso' query in the workbook." type="5" refreshedVersion="6" background="1" saveData="1">
    <dbPr connection="Provider=Microsoft.Mashup.OleDb.1;Data Source=$Workbook$;Location=wConso;Extended Properties=&quot;&quot;" command="SELECT * FROM [wConso]"/>
  </connection>
  <connection id="61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62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63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64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65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66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67" xr16:uid="{11B12458-3054-4656-B5A0-28E39A6B7A7E}" keepAlive="1" name="Query - 备证行全称" description="Connection to the '备证行全称' query in the workbook." type="5" refreshedVersion="6" background="1" saveData="1">
    <dbPr connection="Provider=Microsoft.Mashup.OleDb.1;Data Source=$Workbook$;Location=备证行全称;Extended Properties=&quot;&quot;" command="SELECT * FROM [备证行全称]"/>
  </connection>
  <connection id="68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69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70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71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<sst xmlns="http://schemas.openxmlformats.org/spreadsheetml/2006/main" count="4813" uniqueCount="999">
  <si>
    <t>KT</t>
  </si>
  <si>
    <t>城投</t>
  </si>
  <si>
    <t>其他</t>
  </si>
  <si>
    <t>地产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</si>
  <si>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</si>
  <si>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</si>
  <si>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</si>
  <si>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</si>
  <si>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</si>
  <si>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</si>
  <si>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</si>
  <si>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</si>
  <si>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</si>
  <si>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</si>
  <si>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</si>
  <si>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</si>
  <si>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</si>
  <si>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</si>
  <si>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</si>
  <si>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</si>
  <si>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</si>
  <si>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</si>
  <si>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</si>
  <si>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</si>
  <si>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</si>
  <si>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</si>
  <si>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</si>
  <si>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</si>
  <si>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</si>
  <si>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</si>
  <si>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</si>
  <si>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</si>
  <si>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</si>
  <si>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</si>
  <si>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</si>
  <si>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</si>
  <si>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</si>
  <si>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</si>
  <si>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</si>
  <si>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</si>
  <si>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</si>
  <si>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</si>
  <si>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</si>
  <si>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</si>
  <si>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</si>
  <si>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</si>
  <si>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</si>
  <si>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</si>
  <si>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</si>
  <si>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</si>
  <si>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</si>
  <si>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</si>
  <si>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</si>
  <si>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</si>
  <si>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</si>
  <si>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</si>
  <si>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</si>
  <si>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</si>
  <si>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</si>
  <si>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</si>
  <si>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</si>
  <si>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</si>
  <si>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</si>
  <si>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</si>
  <si>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</si>
  <si>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</si>
  <si>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</si>
  <si>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</si>
  <si>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</si>
  <si>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</si>
  <si>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</si>
  <si>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</si>
  <si>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</si>
  <si>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</si>
  <si>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</si>
  <si>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</si>
  <si>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</si>
  <si>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</si>
  <si>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</si>
  <si>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</si>
  <si>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</si>
  <si>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</si>
  <si>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</si>
  <si>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</si>
  <si>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</si>
  <si>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</si>
  <si>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</si>
  <si>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</si>
  <si>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</si>
  <si>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</si>
  <si>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</si>
  <si>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</si>
  <si>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</si>
  <si>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</si>
  <si>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</si>
  <si>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</si>
  <si>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</si>
  <si>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</si>
  <si>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</si>
  <si>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</si>
  <si>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</si>
  <si>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</si>
  <si>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</si>
  <si>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</si>
  <si>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</si>
  <si>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</si>
  <si>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</si>
  <si>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</si>
  <si>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</si>
  <si>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</si>
  <si>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</si>
  <si>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</si>
  <si>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</si>
  <si>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定价息差</t>
  </si>
  <si>
    <t>票息</t>
  </si>
  <si>
    <t>M6</t>
  </si>
  <si>
    <t>认购额(亿)</t>
  </si>
  <si>
    <t>IG</t>
  </si>
  <si>
    <t>HY</t>
  </si>
  <si>
    <t>发行评级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</si>
  <si>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</si>
  <si>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</si>
  <si>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</si>
  <si>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</si>
  <si>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</si>
  <si>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</si>
  <si>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</si>
  <si>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</si>
  <si>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</si>
  <si>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JBR</t>
  </si>
  <si>
    <t>JGC</t>
  </si>
  <si>
    <t>3</t>
  </si>
  <si>
    <t>定价</t>
  </si>
  <si>
    <t>信用主体(备证行)</t>
  </si>
  <si>
    <t>收窄基点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</si>
  <si>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</si>
  <si>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</si>
  <si>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</si>
  <si>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</si>
  <si>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</si>
  <si>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</si>
  <si>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</si>
  <si>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</si>
  <si>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</si>
  <si>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</si>
  <si>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</si>
  <si>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SCMI</t>
  </si>
  <si>
    <t>FI组</t>
  </si>
  <si>
    <t>PROJECT_CODE</t>
  </si>
  <si>
    <t>OC</t>
  </si>
  <si>
    <t>SOE组</t>
  </si>
  <si>
    <t>港分_ROLE</t>
  </si>
  <si>
    <t>澳分_ROLE</t>
  </si>
  <si>
    <t>Project Name</t>
  </si>
  <si>
    <t>Co-Manager</t>
  </si>
  <si>
    <t>PA</t>
  </si>
  <si>
    <t>NSCMI</t>
  </si>
  <si>
    <t>POE组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</si>
  <si>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</si>
  <si>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</si>
  <si>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</si>
  <si>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</si>
  <si>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</si>
  <si>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</si>
  <si>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</si>
  <si>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</si>
  <si>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</si>
  <si>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</si>
  <si>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</si>
  <si>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</si>
  <si>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</si>
  <si>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</si>
  <si>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</si>
  <si>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期限备注</t>
  </si>
  <si>
    <t>亿港币</t>
  </si>
  <si>
    <t>SGC</t>
  </si>
  <si>
    <t>Dealer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</si>
  <si>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</si>
  <si>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</si>
  <si>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</si>
  <si>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</si>
  <si>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</si>
  <si>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</si>
  <si>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</si>
  <si>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</si>
  <si>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</si>
  <si>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</si>
  <si>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</si>
  <si>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</si>
  <si>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</si>
  <si>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</si>
  <si>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</si>
  <si>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</si>
  <si>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</si>
  <si>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</si>
  <si>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</si>
  <si>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英文简称</t>
  </si>
  <si>
    <t>发行架构</t>
  </si>
  <si>
    <t>DMI</t>
  </si>
  <si>
    <t>项目名称（集团全称）</t>
  </si>
  <si>
    <t>担任角色</t>
  </si>
  <si>
    <t>项目定价日</t>
  </si>
  <si>
    <t>QRC台账</t>
  </si>
  <si>
    <t>CN</t>
  </si>
  <si>
    <t>澳交所</t>
  </si>
  <si>
    <t>增发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</si>
  <si>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</si>
  <si>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</si>
  <si>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</si>
  <si>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</si>
  <si>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</si>
  <si>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</si>
  <si>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</si>
  <si>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</si>
  <si>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</si>
  <si>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</si>
  <si>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</si>
  <si>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Name</t>
  </si>
  <si>
    <t>刘嘉西</t>
  </si>
  <si>
    <t>孙颖芝</t>
  </si>
  <si>
    <t>余烨洁</t>
  </si>
  <si>
    <t>PRJ对账号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</si>
  <si>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</si>
  <si>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</si>
  <si>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</si>
  <si>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</si>
  <si>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</si>
  <si>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</si>
  <si>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</si>
  <si>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</si>
  <si>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</si>
  <si>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</si>
  <si>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</si>
  <si>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备证+担保+维好</t>
  </si>
  <si>
    <t>Stats</t>
  </si>
  <si>
    <t>Column1</t>
  </si>
  <si>
    <t>未检测到DMI列名有更改</t>
  </si>
  <si>
    <t>Column2</t>
  </si>
  <si>
    <t>添加增发方式</t>
  </si>
  <si>
    <t>原始ISIN</t>
  </si>
  <si>
    <t>增发ISIN</t>
  </si>
  <si>
    <t>IPT</t>
  </si>
  <si>
    <t>绿色债券</t>
  </si>
  <si>
    <t>发行规则</t>
  </si>
  <si>
    <t>新发</t>
  </si>
  <si>
    <t>Monday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</si>
  <si>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</si>
  <si>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</si>
  <si>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</si>
  <si>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</si>
  <si>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</si>
  <si>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</si>
  <si>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</si>
  <si>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</si>
  <si>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</si>
  <si>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</si>
  <si>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</si>
  <si>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</si>
  <si>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</si>
  <si>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</si>
  <si>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</si>
  <si>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</si>
  <si>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</si>
  <si>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</si>
  <si>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</si>
  <si>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</si>
  <si>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</si>
  <si>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</si>
  <si>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</si>
  <si>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</si>
  <si>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</si>
  <si>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</si>
  <si>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</si>
  <si>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</si>
  <si>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</si>
  <si>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</si>
  <si>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</si>
  <si>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</si>
  <si>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Referenced</t>
  </si>
  <si>
    <t>未参考</t>
  </si>
  <si>
    <t>删除及隐藏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</si>
  <si>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</si>
  <si>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</si>
  <si>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</si>
  <si>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</si>
  <si>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</si>
  <si>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</si>
  <si>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角色详情</t>
  </si>
  <si>
    <t>未检测到DMI有新增列</t>
  </si>
  <si>
    <t>FolderPath</t>
  </si>
  <si>
    <t>银行</t>
  </si>
  <si>
    <t>A1/A/A</t>
  </si>
  <si>
    <t>SOFR+60</t>
  </si>
  <si>
    <t>SOFR+105a</t>
  </si>
  <si>
    <t>Parameter</t>
  </si>
  <si>
    <t>Value</t>
  </si>
  <si>
    <t>DimMonday</t>
  </si>
  <si>
    <t>WeeklyFilter</t>
  </si>
  <si>
    <t>ON</t>
  </si>
  <si>
    <t>澳门Filter</t>
  </si>
  <si>
    <t>香港Filter</t>
  </si>
  <si>
    <t>MultiSource</t>
  </si>
  <si>
    <t>HK</t>
  </si>
  <si>
    <t>IS_EXCH</t>
  </si>
  <si>
    <t>普通债</t>
  </si>
  <si>
    <t>未到期</t>
  </si>
  <si>
    <t>固定利率</t>
  </si>
  <si>
    <t>否</t>
  </si>
  <si>
    <t>地方国有企业</t>
  </si>
  <si>
    <t>--/--</t>
  </si>
  <si>
    <t>Senior Unsecured</t>
  </si>
  <si>
    <t>直接发行</t>
  </si>
  <si>
    <t>RegS</t>
  </si>
  <si>
    <t>香港交易所</t>
  </si>
  <si>
    <t>3.0000</t>
  </si>
  <si>
    <t>投资级</t>
  </si>
  <si>
    <t>无评级</t>
  </si>
  <si>
    <t>中华（澳门）金融资产交易股份有限公司</t>
  </si>
  <si>
    <t>北京市</t>
  </si>
  <si>
    <t>AAA</t>
  </si>
  <si>
    <t>ESG_Indicator</t>
  </si>
  <si>
    <t>ESG_Source</t>
  </si>
  <si>
    <t>DLD_BBG</t>
  </si>
  <si>
    <t>DLD_Add</t>
  </si>
  <si>
    <t>IS_EXCH_Filter</t>
  </si>
  <si>
    <t>DMI_NewColumn</t>
  </si>
  <si>
    <t>DMI_ChangedColumn</t>
  </si>
  <si>
    <t>DLD_Conso</t>
  </si>
  <si>
    <t>香港按揭证券有限公司</t>
  </si>
  <si>
    <t>华泰国际金融控股有限公司</t>
  </si>
  <si>
    <t>2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</si>
  <si>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</si>
  <si>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</si>
  <si>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</si>
  <si>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</si>
  <si>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</si>
  <si>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</si>
  <si>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</si>
  <si>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</si>
  <si>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</si>
  <si>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</si>
  <si>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</si>
  <si>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</si>
  <si>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</si>
  <si>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</si>
  <si>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</si>
  <si>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</si>
  <si>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</si>
  <si>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</si>
  <si>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</si>
  <si>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</si>
  <si>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</si>
  <si>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</si>
  <si>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</si>
  <si>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</si>
  <si>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</si>
  <si>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</si>
  <si>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</si>
  <si>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</si>
  <si>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</si>
  <si>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</si>
  <si>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</si>
  <si>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</si>
  <si>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</si>
  <si>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</si>
  <si>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</si>
  <si>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</si>
  <si>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</si>
  <si>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</si>
  <si>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</si>
  <si>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</si>
  <si>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</si>
  <si>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</si>
  <si>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</si>
  <si>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</si>
  <si>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</si>
  <si>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</si>
  <si>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</si>
  <si>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</si>
  <si>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</si>
  <si>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</si>
  <si>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</si>
  <si>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</si>
  <si>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</si>
  <si>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</si>
  <si>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</si>
  <si>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</si>
  <si>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</si>
  <si>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</si>
  <si>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</si>
  <si>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</si>
  <si>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</si>
  <si>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</si>
  <si>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</si>
  <si>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</si>
  <si>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</si>
  <si>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</si>
  <si>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</si>
  <si>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</si>
  <si>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</si>
  <si>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</si>
  <si>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</si>
  <si>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</si>
  <si>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</si>
  <si>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</si>
  <si>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</si>
  <si>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</si>
  <si>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</si>
  <si>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</si>
  <si>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</si>
  <si>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</si>
  <si>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</si>
  <si>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</si>
  <si>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</si>
  <si>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</si>
  <si>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</si>
  <si>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</si>
  <si>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</si>
  <si>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</si>
  <si>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</si>
  <si>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</si>
  <si>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</si>
  <si>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</si>
  <si>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</si>
  <si>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</si>
  <si>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</si>
  <si>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</si>
  <si>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</si>
  <si>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</si>
  <si>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</si>
  <si>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</si>
  <si>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</si>
  <si>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</si>
  <si>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</si>
  <si>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</si>
  <si>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</si>
  <si>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</si>
  <si>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</si>
  <si>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</si>
  <si>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</si>
  <si>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</si>
  <si>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</si>
  <si>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</si>
  <si>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</si>
  <si>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</si>
  <si>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</si>
  <si>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</si>
  <si>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</si>
  <si>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</si>
  <si>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</si>
  <si>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</si>
  <si>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</si>
  <si>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</si>
  <si>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</si>
  <si>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</si>
  <si>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</si>
  <si>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</si>
  <si>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</si>
  <si>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</si>
  <si>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</si>
  <si>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</si>
  <si>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</si>
  <si>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</si>
  <si>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</si>
  <si>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</si>
  <si>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</si>
  <si>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</si>
  <si>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</si>
  <si>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</si>
  <si>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</si>
  <si>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</si>
  <si>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</si>
  <si>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</si>
  <si>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</si>
  <si>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</si>
  <si>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</si>
  <si>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</si>
  <si>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</si>
  <si>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</si>
  <si>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</si>
  <si>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</si>
  <si>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</si>
  <si>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</si>
  <si>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</si>
  <si>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</si>
  <si>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</si>
  <si>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</si>
  <si>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</si>
  <si>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</si>
  <si>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</si>
  <si>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</si>
  <si>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</si>
  <si>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</si>
  <si>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</si>
  <si>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</si>
  <si>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</si>
  <si>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</si>
  <si>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</si>
  <si>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</si>
  <si>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</si>
  <si>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</si>
  <si>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</si>
  <si>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</si>
  <si>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Y</t>
  </si>
  <si>
    <t>绿色</t>
  </si>
  <si>
    <t>中信建投(国际)金融控股有限公司</t>
  </si>
  <si>
    <t>China Securities (International) Brokerage Company Limited</t>
  </si>
  <si>
    <t>CSCIF</t>
  </si>
  <si>
    <t>CHINA SECURITIES INTERNATIONAL INVESTMENT CO LTD</t>
  </si>
  <si>
    <t>2023/10/23</t>
  </si>
  <si>
    <t>FIMTN</t>
  </si>
  <si>
    <t>mBISL</t>
  </si>
  <si>
    <t>mCredit</t>
  </si>
  <si>
    <t>mCurated</t>
  </si>
  <si>
    <t>mChart</t>
  </si>
  <si>
    <t>TICKER</t>
  </si>
  <si>
    <t>可持续</t>
  </si>
  <si>
    <t>社会责任</t>
  </si>
  <si>
    <t>蓝色</t>
  </si>
  <si>
    <t>可持续挂钩</t>
  </si>
  <si>
    <t xml:space="preserve"> </t>
  </si>
  <si>
    <t>3.01Y</t>
  </si>
  <si>
    <t>2023/10/30</t>
  </si>
  <si>
    <t>IS_KYC_DONE</t>
  </si>
  <si>
    <t>宏观新闻</t>
  </si>
  <si>
    <t>新闻</t>
  </si>
  <si>
    <t>来源</t>
  </si>
  <si>
    <t>经济数据</t>
  </si>
  <si>
    <t>政策</t>
  </si>
  <si>
    <t>官员</t>
  </si>
  <si>
    <t>美国</t>
  </si>
  <si>
    <t>焦点议题</t>
  </si>
  <si>
    <t>信用事件</t>
  </si>
  <si>
    <t>央行</t>
  </si>
  <si>
    <t>新闻分类</t>
  </si>
  <si>
    <t>新闻地区</t>
  </si>
  <si>
    <t>Over the Weekend</t>
  </si>
  <si>
    <t>YYQQ</t>
  </si>
  <si>
    <t>23Q4</t>
  </si>
  <si>
    <t>发行及交存代理*</t>
  </si>
  <si>
    <t>港分Global Advisor*</t>
  </si>
  <si>
    <t>交行参与投资未承销*</t>
  </si>
  <si>
    <t>T</t>
  </si>
  <si>
    <t>T3</t>
  </si>
  <si>
    <t>SOFR</t>
  </si>
  <si>
    <t>MS</t>
  </si>
  <si>
    <t>3mBBSW</t>
  </si>
  <si>
    <t>TONAR</t>
  </si>
  <si>
    <t>3mBKBM</t>
  </si>
  <si>
    <t>2023/11/06</t>
  </si>
  <si>
    <t>1</t>
  </si>
  <si>
    <t>Date_Onboarded</t>
  </si>
  <si>
    <t>EXE</t>
  </si>
  <si>
    <t>PROJECT_CN</t>
  </si>
  <si>
    <t>Settlement</t>
  </si>
  <si>
    <t>BOCOM下单量</t>
  </si>
  <si>
    <t>BOCOM分配量</t>
  </si>
  <si>
    <t>交行及独家订单</t>
  </si>
  <si>
    <t>项目亮点</t>
  </si>
  <si>
    <t>定价会时间</t>
  </si>
  <si>
    <t>定价会时段</t>
  </si>
  <si>
    <t>控制权变更回售@100%</t>
  </si>
  <si>
    <t>0.9945</t>
  </si>
  <si>
    <t>有IPG</t>
  </si>
  <si>
    <t>364天</t>
  </si>
  <si>
    <t>VG</t>
  </si>
  <si>
    <t>DMI行业</t>
  </si>
  <si>
    <t>2023/11/13</t>
  </si>
  <si>
    <t>T5</t>
  </si>
  <si>
    <t>A1/A</t>
  </si>
  <si>
    <t>稳定/稳定</t>
  </si>
  <si>
    <t>中央国有企业</t>
  </si>
  <si>
    <t>5.9555%</t>
  </si>
  <si>
    <t>浮动利率</t>
  </si>
  <si>
    <t>M3</t>
  </si>
  <si>
    <t>上海市</t>
  </si>
  <si>
    <t>浦东新区</t>
  </si>
  <si>
    <t>广东省</t>
  </si>
  <si>
    <t>深圳市</t>
  </si>
  <si>
    <t>香港特别行政区</t>
  </si>
  <si>
    <t>香港岛</t>
  </si>
  <si>
    <t>2.0000</t>
  </si>
  <si>
    <t>浮息</t>
  </si>
  <si>
    <t>5%</t>
  </si>
  <si>
    <t>WeeklyAddTap</t>
  </si>
  <si>
    <t>输入原始ISIN</t>
  </si>
  <si>
    <t>Column3</t>
  </si>
  <si>
    <t>AA+</t>
  </si>
  <si>
    <t>ISIN_Search</t>
  </si>
  <si>
    <t>wAddTap</t>
  </si>
  <si>
    <t>2 Fill in Tap Details</t>
  </si>
  <si>
    <t>1 Fill in Original ISIN</t>
  </si>
  <si>
    <t>3 Generate Tap Deal</t>
  </si>
  <si>
    <t>2023/11/20</t>
  </si>
  <si>
    <t>%(IPG:MS)</t>
  </si>
  <si>
    <t>HIHD</t>
  </si>
  <si>
    <t>%(IPG:T)</t>
  </si>
  <si>
    <t>L</t>
  </si>
  <si>
    <t>A1/--/--</t>
  </si>
  <si>
    <t>山东省</t>
  </si>
  <si>
    <t>5.10% 区域</t>
  </si>
  <si>
    <t>5.1%a</t>
  </si>
  <si>
    <t>Connection Only. Manual Load if needed</t>
  </si>
  <si>
    <t>【】</t>
  </si>
  <si>
    <t>板块二级</t>
  </si>
  <si>
    <t>板块三级</t>
  </si>
  <si>
    <t>级别</t>
  </si>
  <si>
    <t>非银</t>
  </si>
  <si>
    <t>金控</t>
  </si>
  <si>
    <t>政策行</t>
  </si>
  <si>
    <t>国有行</t>
  </si>
  <si>
    <t>股份行</t>
  </si>
  <si>
    <t>城商行</t>
  </si>
  <si>
    <t>农商行</t>
  </si>
  <si>
    <t>外资行</t>
  </si>
  <si>
    <t>港澳行</t>
  </si>
  <si>
    <t>金融资管</t>
  </si>
  <si>
    <t>金融租赁</t>
  </si>
  <si>
    <t>融资租赁</t>
  </si>
  <si>
    <t>保险</t>
  </si>
  <si>
    <t>证券</t>
  </si>
  <si>
    <t>信托</t>
  </si>
  <si>
    <t>投资</t>
  </si>
  <si>
    <t>省级</t>
  </si>
  <si>
    <t>国家级新区</t>
  </si>
  <si>
    <t>省级开发区</t>
  </si>
  <si>
    <t>市级</t>
  </si>
  <si>
    <t>市级开发区</t>
  </si>
  <si>
    <t>区县级</t>
  </si>
  <si>
    <t>区县级开发区</t>
  </si>
  <si>
    <t>综合</t>
  </si>
  <si>
    <t>基建</t>
  </si>
  <si>
    <t>交通</t>
  </si>
  <si>
    <t>园区</t>
  </si>
  <si>
    <t>公共事业</t>
  </si>
  <si>
    <t>地方资管</t>
  </si>
  <si>
    <t>OFF</t>
  </si>
  <si>
    <t>JBR至少4家</t>
  </si>
  <si>
    <t>重庆新双圈城市建设开发有限公司</t>
  </si>
  <si>
    <t>XS2722132672</t>
  </si>
  <si>
    <t>点心债</t>
  </si>
  <si>
    <t>4.9%</t>
  </si>
  <si>
    <t>Dingxin (Securities) Limited;Shenwan Hongyuan Securities (H.K.) Limited</t>
  </si>
  <si>
    <t>China Zheshang Bank Co., Ltd. Hong Kong Branch;Industrial Bank Co., Ltd. Hong Kong Branch;China CITIC Bank International Limited;CEB International Capital Corporation Limited;SunRiver International Securities Group Limited;Zheshang International Financial Holdings Co., Limited;Essence International Securities (Hong Kong) Limited;Founder Securities (Hong Kong) Limited;Pulsar Capital Limited</t>
  </si>
  <si>
    <t>CQSQCJ 4.9 11/23/26</t>
  </si>
  <si>
    <t>新双圈公司 4.9 2026-11-23</t>
  </si>
  <si>
    <t>新加坡交易所;香港交易所;中华（澳门）金融资产交易股份有限公司</t>
  </si>
  <si>
    <t>SBLC</t>
  </si>
  <si>
    <t>重庆三峡银行股份有限公司</t>
  </si>
  <si>
    <t>重庆市</t>
  </si>
  <si>
    <t>大足区</t>
  </si>
  <si>
    <t>贸易</t>
  </si>
  <si>
    <t>国有企业</t>
  </si>
  <si>
    <t>用于项目建设和补充营运资金</t>
  </si>
  <si>
    <t>CQSQCJ</t>
  </si>
  <si>
    <t>Zheshang International Financial Holdings Co., Limited;Shenwan Hongyuan Securities (H.K.) Limited;Industrial Bank Co., Ltd. Hong Kong Branch;China Zheshang Bank Co., Ltd. Hong Kong Branch;China CITIC Bank International Limited;CEB International Capital Corporation Limited;Essence International Securities (Hong Kong) Limited;SunRiver International Securities Group Limited;Dingxin (Securities) Limited;Pulsar Capital Limited;Founder Securities (Hong Kong) Limited</t>
  </si>
  <si>
    <t>231116XS2722132672</t>
  </si>
  <si>
    <t>成都东进淮州新城投资集团有限公司</t>
  </si>
  <si>
    <t>XS2720195176</t>
  </si>
  <si>
    <t>Yuan Tong Global Securities Limited</t>
  </si>
  <si>
    <t>Qianxing Capital Limited;Essence International Financial Holdings Limited;Donghai International Securities (Hong Kong) Limited;China Galaxy International Securities (Hong Kong) Company Limited</t>
  </si>
  <si>
    <t>CDHXIG 7.7 11/20/26</t>
  </si>
  <si>
    <t>成都东进淮投 7.7 2026-11-20</t>
  </si>
  <si>
    <t>四川省</t>
  </si>
  <si>
    <t>成都市</t>
  </si>
  <si>
    <t>CDHXIG</t>
  </si>
  <si>
    <t>Yuan Tong Global Securities Limited;Qianxing Capital Limited;China Galaxy International Securities (Hong Kong) Company Limited;Essence International Financial Holdings Limited;Donghai International Securities (Hong Kong) Limited</t>
  </si>
  <si>
    <t>231116XS2720195176</t>
  </si>
  <si>
    <t>中国农业银行股份有限公司</t>
  </si>
  <si>
    <t>XS2717885920</t>
  </si>
  <si>
    <t>SOFR COMPOUNDED INDEX + 100BPS区域</t>
  </si>
  <si>
    <t>SOFRCOMPOUNDEDINDEX+58BPS</t>
  </si>
  <si>
    <t>Agricultural Bank of China Limited Hong Kong Branch;ABCI Capital Limited;Bank of China Limited;Bank of Communications Co., Ltd. Hong Kong Branch;China Construction Bank (Asia) Corporation Limited;Industrial and Commercial Bank of China (Asia) Limited;CLSA Limited;Standard Chartered Bank;The Hongkong and Shanghai Banking Corporation Limited</t>
  </si>
  <si>
    <t>CNCB (Hong Kong) Capital Limited;China CITIC Bank International Limited;Bank of China (Hong Kong) Limited;Industrial Bank Co., Ltd. Hong Kong Branch;China Minsheng Banking Corp., Ltd., Hong Kong Branch;Crédit Agricole Corporate and Investment Bank;Hua Xia Bank Co., Limited Hong Kong Branch;China International Capital Corporation Hong Kong Securities Limited;Shanghai Pudong Development Bank Co., Ltd., Hong Kong Branch;CMB Wing Lung Bank Limited;CMB International Capital Limited;China Securities (International) Corporate Finance Company Limited;Haitong International Securities Company Limited;China Everbright Bank Co., Ltd Hong Kong Branch;BNP Paribas;Industrial and Commercial Bank of China (Macau) Limited;Huatai Financial Holdings (Hong Kong) Limited</t>
  </si>
  <si>
    <t>AGRBK FLOAT 11/24/25</t>
  </si>
  <si>
    <t>中国农业银行 FLOAT 2025-11-24</t>
  </si>
  <si>
    <t>东城区</t>
  </si>
  <si>
    <t>一般企业用途</t>
  </si>
  <si>
    <t>AGRBK</t>
  </si>
  <si>
    <t>中国农业银行股份有限公司香港分行</t>
  </si>
  <si>
    <t>SOFR Compounded Index + 58bps</t>
  </si>
  <si>
    <t>Crédit Agricole Corporate and Investment Bank;Industrial and Commercial Bank of China (Macau) Limited;Industrial Bank Co., Ltd. Hong Kong Branch;Bank of Communications Co., Ltd. Hong Kong Branch;CNCB (Hong Kong) Capital Limited;China International Capital Corporation Hong Kong Securities Limited;Huatai Financial Holdings (Hong Kong) Limited;Industrial and Commercial Bank of China (Asia) Limited;Bank of China (Hong Kong) Limited;China Securities (International) Corporate Finance Company Limited;Haitong International Securities Company Limited;CLSA Limited;Bank of China Limited;China Everbright Bank Co., Ltd Hong Kong Branch;China Minsheng Banking Corp., Ltd., Hong Kong Branch;CMB International Capital Limited;Standard Chartered Bank;Hua Xia Bank Co., Limited Hong Kong Branch;The Hongkong and Shanghai Banking Corporation Limited;China Construction Bank (Asia) Corporation Limited;China CITIC Bank International Limited;Agricultural Bank of China Limited Hong Kong Branch;Shanghai Pudong Development Bank Co., Ltd., Hong Kong Branch;CMB Wing Lung Bank Limited;ABCI Capital Limited;BNP Paribas</t>
  </si>
  <si>
    <t>231116XS2717885920</t>
  </si>
  <si>
    <t>HK0000967841</t>
  </si>
  <si>
    <t>4.75% </t>
  </si>
  <si>
    <t>Agricultural Bank of China Limited Hong Kong Branch;Bank of China (Hong Kong) Limited;Bank of China Ltd;China CITIC Bank International Limited;China Construction Bank (Asia) Corporation Limited;China Everbright Bank Hong Kong Branch;China International Capital Corporation Hong Kong Securities Limited;China Minsheng Banking Corp., Ltd., Hong Kong Branch;CLSA Limited;CMB International Capital Limited;CMB Wing Lung Bank Limited;The Hongkong and Shanghai Banking Corporation Limited;Hua Xia Bank Co., Limited Hong Kong Branch;Industrial and Commercial Bank of China (Asia) Limited;Industrial Bank Co., Ltd. Hong Kong Branch;Shanghai Pudong Development Bank Hong Kong Branch;Standard Chartered Bank</t>
  </si>
  <si>
    <t>AGRBK 4.75 11/24/25</t>
  </si>
  <si>
    <t>中国农业银行 4.75 2025-11-24</t>
  </si>
  <si>
    <t>银行/金融机构：72%
主权财富基金/其他机构投资者：16%
基金经理/保险公司：11%
私人银行：1%</t>
  </si>
  <si>
    <t>亚洲：100%</t>
  </si>
  <si>
    <t>4.75%</t>
  </si>
  <si>
    <t>CLSA Limited;Bank of China Ltd;China Minsheng Banking Corp., Ltd., Hong Kong Branch;China Everbright Bank Hong Kong Branch;CMB International Capital Limited;Standard Chartered Bank;The Hongkong and Shanghai Banking Corporation Limited;Hua Xia Bank Co., Limited Hong Kong Branch;Industrial Bank Co., Ltd. Hong Kong Branch;China Construction Bank (Asia) Corporation Limited;China International Capital Corporation Hong Kong Securities Limited;China CITIC Bank International Limited;Industrial and Commercial Bank of China (Asia) Limited;Agricultural Bank of China Limited Hong Kong Branch;Shanghai Pudong Development Bank Hong Kong Branch;CMB Wing Lung Bank Limited;Bank of China (Hong Kong) Limited</t>
  </si>
  <si>
    <t>231116HK0000967841</t>
  </si>
  <si>
    <t>XS2723585837</t>
  </si>
  <si>
    <t>CSCIF 5 05/17/24</t>
  </si>
  <si>
    <t>中信建投国际 5 2024-05-17</t>
  </si>
  <si>
    <t>0.4959</t>
  </si>
  <si>
    <t>Unsecured</t>
  </si>
  <si>
    <t>231116XS2723585837</t>
  </si>
  <si>
    <t>国泰君安证券股份有限公司</t>
  </si>
  <si>
    <t>HK0000968047</t>
  </si>
  <si>
    <t>Guotai Junan International Holdings;The Hongkong and Shanghai Banking Corporation Limited</t>
  </si>
  <si>
    <t>GTJA 3.35 11/22/26</t>
  </si>
  <si>
    <t>国泰君安 3.35 2026-11-22</t>
  </si>
  <si>
    <t>Baa1/BBB+</t>
  </si>
  <si>
    <t>国有相对控股企业</t>
  </si>
  <si>
    <t>GTJA</t>
  </si>
  <si>
    <t>GUOTAI JUNAN HOLDINGS LTD</t>
  </si>
  <si>
    <t>Baa1/BBB+/--</t>
  </si>
  <si>
    <t>231115HK0000968047</t>
  </si>
  <si>
    <t>XS2489641899</t>
  </si>
  <si>
    <t>Huatai Financial Holdings (Hong Kong) Limited</t>
  </si>
  <si>
    <t>HFHHK 0 10/08/26</t>
  </si>
  <si>
    <t>华泰国际 0 2026-10-08</t>
  </si>
  <si>
    <t>2.8795</t>
  </si>
  <si>
    <t>HFHHK</t>
  </si>
  <si>
    <t>HUATAI INTERNATIONAL FINANCIAL PRODUCTS LTD</t>
  </si>
  <si>
    <t>可调利率</t>
  </si>
  <si>
    <t>可回售债</t>
  </si>
  <si>
    <t>--/BBB+/--</t>
  </si>
  <si>
    <t>231115XS2489641899</t>
  </si>
  <si>
    <t>XS2717885847</t>
  </si>
  <si>
    <t>SOFR COMPOUNDED INDEX + 105BPS 区域</t>
  </si>
  <si>
    <t>SOFRCOMPOUNDEDINDEX+60BPS</t>
  </si>
  <si>
    <t>ABCI Capital Limited;Agricultural Bank of China Limited Hong Kong Branch;Bank of China Limited, London Branch;Bank of China (Hong Kong) Limited;Bank of Communications Co., Ltd. Hong Kong Branch;Barclays Bank PLC;Crédit Agricole Corporate and Investment Bank;The Hongkong and Shanghai Banking Corporation Limited;Industrial and Commercial Bank of China (Asia) Limited;J.P. Morgan Securities plc;Standard Chartered Bank</t>
  </si>
  <si>
    <t>Agricultural Bank of China Limited, Singapore Branch;BNP Paribas;China Construction Bank (Asia) Corporation Limited;China International Capital Corporation Hong Kong Securities Limited;CLSA Limited;CMB International Capital Limited;CNCB (Hong Kong) Capital Limited;DBS Bank Ltd.;Huatai Financial Holdings (Hong Kong) Limited;Industrial Bank Co., Ltd. Hong Kong Branch;Shanghai Pudong Development Bank Co., Ltd., Hong Kong Branch</t>
  </si>
  <si>
    <t>AGRBK FLOAT 11/22/26</t>
  </si>
  <si>
    <t>中国农业银行 FLOAT 2026-11-22</t>
  </si>
  <si>
    <t>香港交易所;伦敦证券交易所</t>
  </si>
  <si>
    <t>专门用于全额或部分融资和再融资符合绿色项目（在框架中定义）</t>
  </si>
  <si>
    <t>SOFR COMPOUNDED INDEX + 60BPS</t>
  </si>
  <si>
    <t>中国农业银行股份有限公司伦敦分行</t>
  </si>
  <si>
    <t>CLSA Limited;J.P. Morgan Securities plc;Crédit Agricole Corporate and Investment Bank;CMB International Capital Limited;Standard Chartered Bank;Barclays Bank PLC;Industrial Bank Co., Ltd. Hong Kong Branch;Bank of Communications Co., Ltd. Hong Kong Branch;The Hongkong and Shanghai Banking Corporation Limited;Bank of China Limited, London Branch;China Construction Bank (Asia) Corporation Limited;China International Capital Corporation Hong Kong Securities Limited;CNCB (Hong Kong) Capital Limited;Huatai Financial Holdings (Hong Kong) Limited;Industrial and Commercial Bank of China (Asia) Limited;Agricultural Bank of China Limited, Singapore Branch;Agricultural Bank of China Limited Hong Kong Branch;DBS Bank Ltd.;Shanghai Pudong Development Bank Co., Ltd., Hong Kong Branch;ABCI Capital Limited;Bank of China (Hong Kong) Limited;BNP Paribas</t>
  </si>
  <si>
    <t>GREEN</t>
  </si>
  <si>
    <t>231115XS2717885847</t>
  </si>
  <si>
    <t>IsBOCOM</t>
  </si>
  <si>
    <t>济南轨道交通集团有限公司</t>
  </si>
  <si>
    <t>XS2623377152</t>
  </si>
  <si>
    <t>7.10% 区域</t>
  </si>
  <si>
    <t>6.70%</t>
  </si>
  <si>
    <t>CCB International Capital Limited</t>
  </si>
  <si>
    <t>ABCI Capital Limited;Bank of Communications Co., Ltd. Hong Kong Branch;BOCOM International Securities Limited;CEB International Capital Corporation Limited;China CITIC Bank International Limited;China Everbright Bank Co., Ltd Hong Kong Branch;China Galaxy International Securities (Hong Kong) Co., Limited;China Industrial Securities International Brokerage Limited;China International Capital Corporation Hong Kong Securities Limited;China Securities (International) Corporate Finance Company Limited;CMBC Securities Company Limited;CNCB (Hong Kong) Capital Limited;Flow Capital (HK) Limited;GF Securities (Hong Kong) Brokerage Limited;Guotai Junan Securities (Hong Kong) Limited;Huatai Financial Holdings (Hong Kong) Limited;Shenwan Hongyuan Securities (H.K.) Limited;Zhongtai International Securities Limited</t>
  </si>
  <si>
    <t>JNRWVE 6.7 11/18/24</t>
  </si>
  <si>
    <t>轨道集团 6.7 2024-11-18</t>
  </si>
  <si>
    <t>济南市</t>
  </si>
  <si>
    <t>铁路运输</t>
  </si>
  <si>
    <t>对现有的离岸债务进行再融资</t>
  </si>
  <si>
    <t>JNRWVE</t>
  </si>
  <si>
    <t>JINAN SHUNTONG INTERNATIONAL CO. LIMITED</t>
  </si>
  <si>
    <t>6.7%</t>
  </si>
  <si>
    <t>Shenwan Hongyuan Securities (H.K.) Limited;China Everbright Bank Co., Ltd Hong Kong Branch;CEB International Capital Corporation Limited;CCB International Capital Limited;Flow Capital (HK) Limited;GF Securities (Hong Kong) Brokerage Limited;Zhongtai International Securities Limited;China Industrial Securities International Brokerage Limited;Bank of Communications Co., Ltd. Hong Kong Branch;BOCOM International Securities Limited;China International Capital Corporation Hong Kong Securities Limited;CNCB (Hong Kong) Capital Limited;China CITIC Bank International Limited;Huatai Financial Holdings (Hong Kong) Limited;China Galaxy International Securities (Hong Kong) Co., Limited;Guotai Junan Securities (Hong Kong) Limited;ABCI Capital Limited;CMBC Securities Company Limited;China Securities (International) Corporate Finance Company Limited</t>
  </si>
  <si>
    <t>--/--/A-</t>
  </si>
  <si>
    <t>231114XS2623377152</t>
  </si>
  <si>
    <t>XS2722175994</t>
  </si>
  <si>
    <t>CSCIF 5.8 12/15/23</t>
  </si>
  <si>
    <t>中信建投国际 5.8 2023-12-15</t>
  </si>
  <si>
    <t>0.0795</t>
  </si>
  <si>
    <t>231114XS2722175994</t>
  </si>
  <si>
    <t>中信证券国际有限公司</t>
  </si>
  <si>
    <t>HK0000968211</t>
  </si>
  <si>
    <t>CLSA Limited</t>
  </si>
  <si>
    <t>CSILTD 0 02/20/24</t>
  </si>
  <si>
    <t>中信证券国际 0 2024-02-20</t>
  </si>
  <si>
    <t>--/BBB+</t>
  </si>
  <si>
    <t>--/稳定</t>
  </si>
  <si>
    <t>CSILTD</t>
  </si>
  <si>
    <t>CSI MTN LTD</t>
  </si>
  <si>
    <t>231113HK0000968211</t>
  </si>
  <si>
    <t>nil</t>
  </si>
  <si>
    <t>港交所;新交所;澳交所</t>
  </si>
  <si>
    <t>7.7%</t>
  </si>
  <si>
    <t>SOFR+100a</t>
  </si>
  <si>
    <t>SOFR+58</t>
  </si>
  <si>
    <t>港交所;伦交所</t>
  </si>
  <si>
    <t>7.1%a</t>
  </si>
  <si>
    <t xml:space="preserve"> 点心债</t>
  </si>
  <si>
    <t>0.5</t>
  </si>
  <si>
    <t>6个月</t>
  </si>
  <si>
    <t>3.35%</t>
  </si>
  <si>
    <t>2.9</t>
  </si>
  <si>
    <t>GREEN绿色债券</t>
  </si>
  <si>
    <t>5.8%</t>
  </si>
  <si>
    <t>0.1</t>
  </si>
  <si>
    <t>1个月</t>
  </si>
  <si>
    <t>Connection</t>
  </si>
  <si>
    <t>信用主体简称</t>
  </si>
  <si>
    <t>DEBUT_DATE</t>
  </si>
  <si>
    <t>2023</t>
  </si>
  <si>
    <t>重庆新双圈城开</t>
  </si>
  <si>
    <t>备证行分行</t>
  </si>
  <si>
    <t>备证行全称</t>
  </si>
  <si>
    <t>国家开发银行</t>
  </si>
  <si>
    <t>中国工商银行股份有限公司</t>
  </si>
  <si>
    <t>中国银行股份有限公司</t>
  </si>
  <si>
    <t>中国建设银行股份有限公司</t>
  </si>
  <si>
    <t>中国邮政储蓄银行股份有限公司</t>
  </si>
  <si>
    <t>招商银行股份有限公司</t>
  </si>
  <si>
    <t>上海浦东发展银行股份有限公司</t>
  </si>
  <si>
    <t>兴业银行股份有限公司</t>
  </si>
  <si>
    <t>中信银行股份有限公司</t>
  </si>
  <si>
    <t>华夏银行股份有限公司</t>
  </si>
  <si>
    <t>浙商银行股份有限公司</t>
  </si>
  <si>
    <t>渤海银行股份有限公司</t>
  </si>
  <si>
    <t>恒丰银行股份有限公司</t>
  </si>
  <si>
    <t>北京银行股份有限公司</t>
  </si>
  <si>
    <t>江苏银行股份有限公司</t>
  </si>
  <si>
    <t>上海银行股份有限公司</t>
  </si>
  <si>
    <t>宁波银行股份有限公司</t>
  </si>
  <si>
    <t>南京银行股份有限公司</t>
  </si>
  <si>
    <t>杭州银行股份有限公司</t>
  </si>
  <si>
    <t>成都银行股份有限公司</t>
  </si>
  <si>
    <t>重庆银行股份有限公司</t>
  </si>
  <si>
    <t>长沙银行股份有限公司</t>
  </si>
  <si>
    <t>郑州银行股份有限公司</t>
  </si>
  <si>
    <t>青岛银行股份有限公司</t>
  </si>
  <si>
    <t>齐鲁银行股份有限公司</t>
  </si>
  <si>
    <t>西安银行股份有限公司</t>
  </si>
  <si>
    <t>徽商银行股份有限公司</t>
  </si>
  <si>
    <t>中原银行股份有限公司</t>
  </si>
  <si>
    <t>天津银行股份有限公司</t>
  </si>
  <si>
    <t>江西银行股份有限公司</t>
  </si>
  <si>
    <t>湖南银行股份有限公司</t>
  </si>
  <si>
    <t>广西北部湾银行股份有限公司</t>
  </si>
  <si>
    <t>湖北银行股份有限公司</t>
  </si>
  <si>
    <t>齐商银行股份有限公司</t>
  </si>
  <si>
    <t>长安银行股份有限公司</t>
  </si>
  <si>
    <t>绵阳市商业银行股份有限公司</t>
  </si>
  <si>
    <t>九江银行股份有限公司</t>
  </si>
  <si>
    <t>绍兴银行股份有限公司</t>
  </si>
  <si>
    <t>桂林银行股份有限公司</t>
  </si>
  <si>
    <t>河北银行股份有限公司</t>
  </si>
  <si>
    <t>嘉兴银行股份有限公司</t>
  </si>
  <si>
    <t>富滇银行股份有限公司</t>
  </si>
  <si>
    <t>厦门国际银行股份有限公司</t>
  </si>
  <si>
    <t>东莞银行股份有限公司</t>
  </si>
  <si>
    <t>合肥科技农村商业银行股份有限公司</t>
  </si>
  <si>
    <t>成都农村商业银行股份有限公司</t>
  </si>
  <si>
    <t>重庆农村商业银行股份有限公司</t>
  </si>
  <si>
    <t>南洋商业银行(中国)有限公司</t>
  </si>
  <si>
    <t>招商永隆银行有限公司</t>
  </si>
  <si>
    <t>企业(集团)名称</t>
  </si>
  <si>
    <t>中国核工业集团有限公司</t>
  </si>
  <si>
    <t>中国航天科技集团有限公司</t>
  </si>
  <si>
    <t>中国航天科工集团有限公司</t>
  </si>
  <si>
    <t>中国航空工业集团有限公司</t>
  </si>
  <si>
    <t>中国船舶集团有限公司</t>
  </si>
  <si>
    <t>中国兵器工业集团有限公司</t>
  </si>
  <si>
    <t>中国兵器装备集团有限公司</t>
  </si>
  <si>
    <t>中国电子科技集团有限公司</t>
  </si>
  <si>
    <t>中国航空发动机集团有限公司</t>
  </si>
  <si>
    <t>中国融通资产管理集团有限公司</t>
  </si>
  <si>
    <t>中国石油天然气集团有限公司</t>
  </si>
  <si>
    <t>中国石油化工集团有限公司</t>
  </si>
  <si>
    <t>中国海洋石油集团有限公司</t>
  </si>
  <si>
    <t>国家石油天然气管网集团有限公司</t>
  </si>
  <si>
    <t>国家电网有限公司</t>
  </si>
  <si>
    <t>中国南方电网有限责任公司</t>
  </si>
  <si>
    <t>中国华能集团有限公司</t>
  </si>
  <si>
    <t>中国大唐集团有限公司</t>
  </si>
  <si>
    <t>中国华电集团有限公司</t>
  </si>
  <si>
    <t>国家电力投资集团有限公司</t>
  </si>
  <si>
    <t>中国长江三峡集团有限公司</t>
  </si>
  <si>
    <t>国家能源投资集团有限责任公司</t>
  </si>
  <si>
    <t>中国电信集团有限公司</t>
  </si>
  <si>
    <t>中国联合网络通信集团有限公司</t>
  </si>
  <si>
    <t>中国移动通信集团有限公司</t>
  </si>
  <si>
    <t>中国卫星网络集团有限公司</t>
  </si>
  <si>
    <t>中国电子信息产业集团有限公司</t>
  </si>
  <si>
    <t>中国第一汽车集团有限公司</t>
  </si>
  <si>
    <t>东风汽车集团有限公司</t>
  </si>
  <si>
    <t>中国一重集团有限公司</t>
  </si>
  <si>
    <t>中国机械工业集团有限公司</t>
  </si>
  <si>
    <t>哈尔滨电气集团有限公司</t>
  </si>
  <si>
    <t>中国东方电气集团有限公司</t>
  </si>
  <si>
    <t>鞍钢集团有限公司</t>
  </si>
  <si>
    <t>中国宝武钢铁集团有限公司</t>
  </si>
  <si>
    <t>中国矿产资源集团有限公司</t>
  </si>
  <si>
    <t>中国铝业集团有限公司</t>
  </si>
  <si>
    <t>中国远洋海运集团有限公司</t>
  </si>
  <si>
    <t>中国航空集团有限公司</t>
  </si>
  <si>
    <t>中国东方航空集团有限公司</t>
  </si>
  <si>
    <t>中国南方航空集团有限公司</t>
  </si>
  <si>
    <t>中国中化控股有限责任公司</t>
  </si>
  <si>
    <t>中粮集团有限公司</t>
  </si>
  <si>
    <t>中国五矿集团有限公司</t>
  </si>
  <si>
    <t>中国建筑集团有限公司</t>
  </si>
  <si>
    <t>中国储备粮管理集团有限公司</t>
  </si>
  <si>
    <t>中国南水北调集团有限公司</t>
  </si>
  <si>
    <t>国家开发投资集团有限公司</t>
  </si>
  <si>
    <t>招商局集团有限公司</t>
  </si>
  <si>
    <t>中国商用飞机有限责任公司</t>
  </si>
  <si>
    <t>中国节能环保集团有限公司</t>
  </si>
  <si>
    <t>中国国际工程咨询有限公司</t>
  </si>
  <si>
    <t>中国诚通控股集团有限公司</t>
  </si>
  <si>
    <t>中国中煤能源集团有限公司</t>
  </si>
  <si>
    <t>中国煤炭科工集团有限公司</t>
  </si>
  <si>
    <t>中国机械科学研究总院集团有限公司</t>
  </si>
  <si>
    <t>中国钢研科技集团有限公司</t>
  </si>
  <si>
    <t>中国化学工程集团有限公司</t>
  </si>
  <si>
    <t>中国盐业集团有限公司</t>
  </si>
  <si>
    <t>中国建材集团有限公司</t>
  </si>
  <si>
    <t>中国有色矿业集团有限公司</t>
  </si>
  <si>
    <t>中国稀土集团有限公司</t>
  </si>
  <si>
    <t>中国有研科技集团有限公司</t>
  </si>
  <si>
    <t>矿冶科技集团有限公司</t>
  </si>
  <si>
    <t>中国国际技术智力合作集团有限公司</t>
  </si>
  <si>
    <t>中国建筑科学研究院有限公司</t>
  </si>
  <si>
    <t>中国中车集团有限公司</t>
  </si>
  <si>
    <t>中国铁路通信信号集团有限公司</t>
  </si>
  <si>
    <t>中国铁路工程集团有限公司</t>
  </si>
  <si>
    <t>中国铁道建筑集团有限公司</t>
  </si>
  <si>
    <t>中国交通建设集团有限公司</t>
  </si>
  <si>
    <t>中国信息通信科技集团有限公司</t>
  </si>
  <si>
    <t>中国农业发展集团有限公司</t>
  </si>
  <si>
    <t>中国林业集团有限公司</t>
  </si>
  <si>
    <t>中国医药集团有限公司</t>
  </si>
  <si>
    <t>中国保利集团有限公司</t>
  </si>
  <si>
    <t>中国建设科技有限公司</t>
  </si>
  <si>
    <t>中国冶金地质总局</t>
  </si>
  <si>
    <t>中国煤炭地质总局</t>
  </si>
  <si>
    <t>新兴际华集团有限公司</t>
  </si>
  <si>
    <t>中国民航信息集团有限公司</t>
  </si>
  <si>
    <t>中国航空油料集团有限公司</t>
  </si>
  <si>
    <t>中国航空器材集团有限公司</t>
  </si>
  <si>
    <t>中国电力建设集团有限公司</t>
  </si>
  <si>
    <t>中国能源建设集团有限公司</t>
  </si>
  <si>
    <t>中国安能建设集团有限公司</t>
  </si>
  <si>
    <t>中国黄金集团有限公司</t>
  </si>
  <si>
    <t>中国广核集团有限公司</t>
  </si>
  <si>
    <t>中国华录集团有限公司</t>
  </si>
  <si>
    <t>华侨城集团有限公司</t>
  </si>
  <si>
    <t>中国电气装备集团有限公司</t>
  </si>
  <si>
    <t>中国物流集团有限公司</t>
  </si>
  <si>
    <t>中国国新控股有限责任公司</t>
  </si>
  <si>
    <t>主体详情</t>
  </si>
  <si>
    <t>评级及承销</t>
  </si>
  <si>
    <t>CSOE_SASAC</t>
  </si>
  <si>
    <t>国务院国资委央企名录</t>
  </si>
  <si>
    <t>中国通用技术(集团)控股有限责任公司</t>
  </si>
  <si>
    <t>华润(集团)有限公司</t>
  </si>
  <si>
    <t>中国旅游集团有限公司[香港中旅(集团)有限公司]</t>
  </si>
  <si>
    <t>南光(集团)有限公司[中国南光集团有限公司]</t>
  </si>
  <si>
    <t>中国检验认证(集团)有限公司</t>
  </si>
  <si>
    <t>2023/11/27</t>
  </si>
  <si>
    <t>2023/12/04</t>
  </si>
  <si>
    <t>74</t>
  </si>
  <si>
    <t>有FPG</t>
  </si>
  <si>
    <t>合肥兴泰金融控股(集团)有限公司</t>
  </si>
  <si>
    <t>XS2712417711</t>
  </si>
  <si>
    <t>6.48%</t>
  </si>
  <si>
    <t>ICBC International Securities Limited</t>
  </si>
  <si>
    <t>CMBC Capital Holdings;Hua Xia Bank Co., Limited Hong Kong Branch;Industrial Bank Co., Ltd. Hong Kong Branch;CNCB (Hong Kong) Capital Limited;China International Capital Corporation;Guotai Junan Securities (Hong Kong) Limited</t>
  </si>
  <si>
    <t>XINGTA 6.48 11/24/26</t>
  </si>
  <si>
    <t>合肥兴泰 6.48 2026-11-24</t>
  </si>
  <si>
    <t>新加坡交易所</t>
  </si>
  <si>
    <t>安徽省</t>
  </si>
  <si>
    <t>合肥市</t>
  </si>
  <si>
    <t>房地产开发</t>
  </si>
  <si>
    <t>偿还于2023年12月到期的中长期离岸债券</t>
  </si>
  <si>
    <t>XINGTA</t>
  </si>
  <si>
    <t>控制权变更回售@101%</t>
  </si>
  <si>
    <t>CMBC Capital Holdings;Hua Xia Bank Co., Limited Hong Kong Branch;Industrial Bank Co., Ltd. Hong Kong Branch;CNCB (Hong Kong) Capital Limited;China International Capital Corporation;ICBC International Securities Limited;Guotai Junan Securities (Hong Kong) Limited</t>
  </si>
  <si>
    <t>231117XS2712417711</t>
  </si>
  <si>
    <t>金堂县</t>
  </si>
  <si>
    <t>3.0Y</t>
  </si>
  <si>
    <t>A1/--</t>
  </si>
  <si>
    <t>2.01Y</t>
  </si>
  <si>
    <t>179D</t>
  </si>
  <si>
    <t>1D+2.88Y</t>
  </si>
  <si>
    <t>364D</t>
  </si>
  <si>
    <t>25D</t>
  </si>
  <si>
    <t>92D</t>
  </si>
  <si>
    <t>桓台县金海公有资产经营有限公司</t>
  </si>
  <si>
    <t>HK0000968435</t>
  </si>
  <si>
    <t>HUANTAI JINRUN INVESTMENT BVI</t>
  </si>
  <si>
    <t>SHANDONG HUANTAI STATE-OWNED ASSET MANAGEMENT BUREAU</t>
  </si>
  <si>
    <t>BBG</t>
  </si>
  <si>
    <t>【--/--/--】</t>
  </si>
  <si>
    <t>231117HK0000968435</t>
  </si>
  <si>
    <t xml:space="preserve"> 【】</t>
  </si>
  <si>
    <t>4.7%</t>
  </si>
  <si>
    <t>桓台金海资产经营</t>
  </si>
  <si>
    <t>淄博市</t>
  </si>
  <si>
    <t>恒台县</t>
  </si>
  <si>
    <t>11月14日（周二），美国劳工统计局最新公布数据显示，美国10月消费者价格指数（CPI）以及核心CPI全面降温，核心CPI降至两年多以来的低点。10月CPI环比与上月持平，为一年多年来首次环比持平，低于此前市场预期的增长0.1%；同比增长3.2%，低于市场预期，也低于9月的3.7%。受CPI数据提振，美国三大股指周二收盘时大幅上涨。</t>
  </si>
  <si>
    <t>https://finance.sina.com.cn/jjxw/2023-11-15/doc-imzusnss5421728.shtml</t>
  </si>
  <si>
    <t>美国总统拜登（Joe Biden）与中国国家主席习近平周三（15日）在旧金山举行峰会，取得了一定成果，包括恢复两国高层军事方面的交流。拜登在峰会后的记者会上表示，他与中国领导人习近平的会谈是“迄今为止最具建设性、最富有成效的讨论。”</t>
  </si>
  <si>
    <t>https://www.bbc.com/zhongwen/simp/world-67435527</t>
  </si>
  <si>
    <t>美国商务部当地时间15日公布数据显示，10月美国零售销售额环比下降0.1%，是自今年3月以来首次出现下降。数据显示，9月零售销售额修正后为环比增长0.9%，10月零售销售额环比下降0.1%，结束了连续6个月的增长，但降幅小于预期。</t>
  </si>
  <si>
    <t>http://usa.people.com.cn/n1/2023/1117/c241376-40120178.html</t>
  </si>
  <si>
    <t>生产者物价指数 (PPI) 经历四个月的重新加速后在上月意外下跌，主因是受到汽油价格下滑影响，单月跌幅为 2020 年 4 月以来最大，进一步表明美国整体通膨压力正在减弱。10 月PPI 年增1.3% 低于经济学家预期的1.9% 与前值2.2%；按月来看下跌0.5%，远低于预期的成长0.1% 与修正后前值0.2%。</t>
  </si>
  <si>
    <t>https://hk.finance.yahoo.com/news/%E7%BE%8E10%E6%9C%88ppi%E6%9C%88%E5%A2%9E%E7%8E%87%E8%B6%85%E9%A0%90%E6%9C%9F%E6%94%BE%E7%B7%A9%E8%87%B3-0-5-%E5%89%B52020%E5%B9%B44%E6%9C%88%E4%BB%A5%E4%BE%86%E6%9C%80%E5%A4%A7%E9%99%8D%E5%B9%85-133449699.html</t>
  </si>
  <si>
    <t>发行人成立地</t>
  </si>
  <si>
    <t>SOFRIX +58.000</t>
  </si>
  <si>
    <t>【Y】</t>
  </si>
  <si>
    <t>超21个账户参与，认购额超19亿港币，超额认购约1.3倍；
地区分布：亚洲100%；
类型分布：银行/金融机构72%，主权基金/其他16%，基金/保险11%，私行1%</t>
  </si>
  <si>
    <t>23/11/23 9:00</t>
  </si>
  <si>
    <t>香港分行</t>
  </si>
  <si>
    <t>伦敦分行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</si>
</sst>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yyyy/m/d;@"/>
    <numFmt numFmtId="165" formatCode="0.000%"/>
    <numFmt numFmtId="166" formatCode="[$-F400]h:mm:ss\ AM/PM"/>
    <numFmt numFmtId="167" formatCode="0.0%"/>
  </numFmts>
  <fonts count="64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0"/>
      <color theme="1"/>
      <name val="Microsoft JhengHei UI"/>
      <family val="2"/>
      <scheme val="minor"/>
    </font>
    <font>
      <sz val="11"/>
      <color rgb="FF0000FF"/>
      <name val="Microsoft JhengHei UI"/>
      <family val="2"/>
      <scheme val="minor"/>
    </font>
    <font>
      <sz val="11"/>
      <color rgb="FFAFB6C4"/>
      <name val="Consolas"/>
      <family val="3"/>
    </font>
    <font>
      <sz val="24"/>
      <color rgb="FFFF9900"/>
      <name val="Microsoft JhengHei UI"/>
      <family val="2"/>
    </font>
    <font>
      <sz val="24"/>
      <color rgb="FF000080"/>
      <name val="Microsoft JhengHei UI"/>
      <family val="2"/>
    </font>
    <font>
      <u/>
      <sz val="11"/>
      <color theme="10"/>
      <name val="Microsoft JhengHei UI"/>
      <family val="2"/>
      <scheme val="minor"/>
    </font>
    <font>
      <sz val="11"/>
      <color rgb="FFFF0000"/>
      <name val="Microsoft JhengHei UI"/>
      <family val="2"/>
      <scheme val="minor"/>
    </font>
    <font>
      <u/>
      <sz val="14"/>
      <color rgb="FF800080"/>
      <name val="Microsoft JhengHei UI"/>
      <family val="2"/>
    </font>
    <font>
      <sz val="14"/>
      <color rgb="FF800080"/>
      <name val="Microsoft JhengHei UI"/>
      <family val="2"/>
    </font>
    <font>
      <u/>
      <sz val="14"/>
      <color rgb="FF0000FF"/>
      <name val="Microsoft JhengHei UI"/>
      <family val="2"/>
    </font>
    <font>
      <sz val="14"/>
      <color rgb="FF0000FF"/>
      <name val="Microsoft JhengHei UI"/>
      <family val="2"/>
    </font>
    <font>
      <sz val="24"/>
      <color rgb="FF008080"/>
      <name val="Microsoft JhengHei UI"/>
      <family val="2"/>
    </font>
    <font>
      <u/>
      <sz val="18"/>
      <color rgb="FF888AA6"/>
      <name val="Microsoft JhengHei U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1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17" fillId="0" borderId="0"/>
    <xf numFmtId="0" fontId="21" fillId="14" borderId="3" applyNumberFormat="0" applyAlignment="0" applyProtection="0"/>
    <xf numFmtId="0" fontId="24" fillId="14" borderId="4" applyNumberFormat="0" applyAlignment="0" applyProtection="0"/>
    <xf numFmtId="0" fontId="47" fillId="16" borderId="6" applyNumberFormat="0" applyAlignment="0" applyProtection="0"/>
    <xf numFmtId="0" fontId="56" fillId="0" borderId="0" applyNumberFormat="0" applyFill="0" applyBorder="0" applyAlignment="0" applyProtection="0"/>
  </cellStyleXfs>
  <cellXfs count="130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14" fontId="0" fillId="3" borderId="0" xfId="0" applyNumberFormat="1" applyFill="1" applyProtection="1">
      <protection locked="0"/>
    </xf>
    <xf numFmtId="0" fontId="22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8" fillId="3" borderId="0" xfId="0" applyFont="1" applyFill="1" applyAlignment="1">
      <alignment vertical="center"/>
    </xf>
    <xf numFmtId="0" fontId="19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26" fillId="14" borderId="5" xfId="8" applyFont="1" applyBorder="1" applyAlignment="1" applyProtection="1">
      <alignment horizontal="center" vertical="center"/>
      <protection locked="0"/>
    </xf>
    <xf numFmtId="0" fontId="20" fillId="3" borderId="0" xfId="0" applyFont="1" applyFill="1" applyAlignment="1" applyProtection="1">
      <alignment wrapText="1"/>
      <protection locked="0"/>
    </xf>
    <xf numFmtId="0" fontId="20" fillId="3" borderId="0" xfId="0" applyFont="1" applyFill="1" applyAlignment="1" applyProtection="1">
      <alignment vertical="center" wrapText="1"/>
      <protection locked="0"/>
    </xf>
    <xf numFmtId="0" fontId="25" fillId="3" borderId="0" xfId="0" applyFont="1" applyFill="1" applyAlignment="1">
      <alignment vertical="center"/>
    </xf>
    <xf numFmtId="0" fontId="25" fillId="3" borderId="0" xfId="0" applyFont="1" applyFill="1" applyAlignment="1">
      <alignment horizontal="left" vertical="center"/>
    </xf>
    <xf numFmtId="0" fontId="30" fillId="3" borderId="0" xfId="0" applyFont="1" applyFill="1" applyAlignment="1" applyProtection="1">
      <alignment horizontal="center" wrapText="1"/>
      <protection locked="0"/>
    </xf>
    <xf numFmtId="0" fontId="30" fillId="3" borderId="0" xfId="0" applyFont="1" applyFill="1" applyAlignment="1" applyProtection="1">
      <alignment horizontal="center" vertical="center"/>
      <protection locked="0"/>
    </xf>
    <xf numFmtId="0" fontId="32" fillId="3" borderId="0" xfId="0" applyFont="1" applyFill="1"/>
    <xf numFmtId="0" fontId="33" fillId="3" borderId="0" xfId="0" applyFont="1" applyFill="1"/>
    <xf numFmtId="0" fontId="34" fillId="3" borderId="0" xfId="0" applyFont="1" applyFill="1"/>
    <xf numFmtId="164" fontId="26" fillId="14" borderId="5" xfId="8" applyNumberFormat="1" applyFont="1" applyBorder="1" applyAlignment="1" applyProtection="1">
      <alignment horizontal="center" vertical="center"/>
      <protection locked="0"/>
    </xf>
    <xf numFmtId="0" fontId="35" fillId="3" borderId="0" xfId="0" applyFont="1" applyFill="1" applyAlignment="1">
      <alignment horizontal="center"/>
    </xf>
    <xf numFmtId="164" fontId="0" fillId="0" borderId="0" xfId="0" applyNumberFormat="1"/>
    <xf numFmtId="164" fontId="0" fillId="3" borderId="0" xfId="0" applyNumberFormat="1" applyFill="1"/>
    <xf numFmtId="164" fontId="34" fillId="3" borderId="0" xfId="0" applyNumberFormat="1" applyFont="1" applyFill="1"/>
    <xf numFmtId="164" fontId="35" fillId="3" borderId="0" xfId="0" applyNumberFormat="1" applyFont="1" applyFill="1" applyAlignment="1">
      <alignment horizontal="center"/>
    </xf>
    <xf numFmtId="164" fontId="33" fillId="3" borderId="0" xfId="0" applyNumberFormat="1" applyFont="1" applyFill="1"/>
    <xf numFmtId="0" fontId="36" fillId="3" borderId="0" xfId="0" applyFont="1" applyFill="1"/>
    <xf numFmtId="0" fontId="37" fillId="3" borderId="0" xfId="0" applyFont="1" applyFill="1"/>
    <xf numFmtId="0" fontId="38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0" fontId="39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2" fillId="0" borderId="0" xfId="0" quotePrefix="1" applyFont="1" applyAlignment="1">
      <alignment horizontal="center" vertical="center" wrapText="1"/>
    </xf>
    <xf numFmtId="0" fontId="25" fillId="12" borderId="0" xfId="0" applyFont="1" applyFill="1" applyAlignment="1">
      <alignment vertical="center"/>
    </xf>
    <xf numFmtId="164" fontId="25" fillId="12" borderId="0" xfId="0" applyNumberFormat="1" applyFont="1" applyFill="1" applyAlignment="1">
      <alignment vertical="center"/>
    </xf>
    <xf numFmtId="164" fontId="25" fillId="12" borderId="0" xfId="8" applyNumberFormat="1" applyFont="1" applyFill="1" applyBorder="1" applyAlignment="1" applyProtection="1">
      <alignment horizontal="center" vertical="center"/>
      <protection locked="0"/>
    </xf>
    <xf numFmtId="165" fontId="25" fillId="12" borderId="0" xfId="0" applyNumberFormat="1" applyFont="1" applyFill="1" applyAlignment="1">
      <alignment vertical="center"/>
    </xf>
    <xf numFmtId="0" fontId="25" fillId="12" borderId="0" xfId="0" applyFont="1" applyFill="1" applyAlignment="1">
      <alignment vertical="center" wrapText="1"/>
    </xf>
    <xf numFmtId="0" fontId="40" fillId="3" borderId="0" xfId="0" applyFont="1" applyFill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42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2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44" fillId="3" borderId="0" xfId="0" applyFont="1" applyFill="1" applyAlignment="1">
      <alignment horizontal="center" vertical="center"/>
    </xf>
    <xf numFmtId="0" fontId="21" fillId="14" borderId="3" xfId="7" applyAlignment="1">
      <alignment horizontal="left" vertical="center"/>
    </xf>
    <xf numFmtId="0" fontId="45" fillId="3" borderId="0" xfId="0" applyFont="1" applyFill="1" applyAlignment="1">
      <alignment horizontal="center" vertical="center"/>
    </xf>
    <xf numFmtId="0" fontId="48" fillId="17" borderId="7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4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0" fillId="17" borderId="7" xfId="9" applyFont="1" applyFill="1" applyBorder="1" applyAlignment="1">
      <alignment horizontal="center" vertical="center"/>
    </xf>
    <xf numFmtId="0" fontId="49" fillId="3" borderId="7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45" fillId="3" borderId="0" xfId="0" applyFont="1" applyFill="1" applyAlignment="1">
      <alignment vertical="center"/>
    </xf>
    <xf numFmtId="0" fontId="50" fillId="3" borderId="0" xfId="0" applyFont="1" applyFill="1" applyAlignment="1">
      <alignment vertical="center"/>
    </xf>
    <xf numFmtId="9" fontId="0" fillId="3" borderId="0" xfId="0" applyNumberFormat="1" applyFill="1" applyAlignment="1" applyProtection="1">
      <alignment horizontal="center" vertical="center"/>
      <protection locked="0"/>
    </xf>
    <xf numFmtId="0" fontId="51" fillId="3" borderId="0" xfId="0" applyFont="1" applyFill="1"/>
    <xf numFmtId="0" fontId="0" fillId="13" borderId="0" xfId="0" applyFill="1" applyAlignment="1">
      <alignment horizontal="center" wrapText="1"/>
    </xf>
    <xf numFmtId="0" fontId="20" fillId="13" borderId="0" xfId="0" applyFont="1" applyFill="1" applyAlignment="1">
      <alignment wrapText="1"/>
    </xf>
    <xf numFmtId="0" fontId="52" fillId="13" borderId="0" xfId="0" applyFont="1" applyFill="1" applyAlignment="1">
      <alignment wrapText="1"/>
    </xf>
    <xf numFmtId="0" fontId="53" fillId="0" borderId="0" xfId="0" applyFont="1" applyAlignment="1">
      <alignment vertical="center"/>
    </xf>
    <xf numFmtId="0" fontId="5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7" fontId="0" fillId="3" borderId="0" xfId="0" applyNumberFormat="1" applyFill="1" applyAlignment="1" applyProtection="1">
      <alignment horizontal="center" vertical="center"/>
      <protection locked="0"/>
    </xf>
    <xf numFmtId="0" fontId="56" fillId="0" borderId="0" xfId="10" applyAlignment="1">
      <alignment horizontal="left" vertical="top" wrapText="1"/>
    </xf>
    <xf numFmtId="0" fontId="25" fillId="12" borderId="0" xfId="0" quotePrefix="1" applyFont="1" applyFill="1" applyAlignment="1">
      <alignment vertical="center"/>
    </xf>
    <xf numFmtId="0" fontId="0" fillId="15" borderId="0" xfId="0" applyFill="1"/>
    <xf numFmtId="0" fontId="57" fillId="15" borderId="0" xfId="0" applyFont="1" applyFill="1"/>
    <xf numFmtId="0" fontId="0" fillId="15" borderId="0" xfId="0" applyFill="1" applyAlignment="1">
      <alignment wrapText="1"/>
    </xf>
    <xf numFmtId="14" fontId="0" fillId="3" borderId="0" xfId="0" applyNumberFormat="1" applyFill="1" applyAlignment="1">
      <alignment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3" borderId="2" xfId="0" applyFill="1" applyBorder="1" applyAlignment="1">
      <alignment horizontal="center" vertical="center"/>
    </xf>
    <xf numFmtId="166" fontId="0" fillId="0" borderId="0" xfId="0" applyNumberFormat="1"/>
    <xf numFmtId="0" fontId="16" fillId="3" borderId="0" xfId="0" applyFont="1" applyFill="1" applyAlignment="1" applyProtection="1">
      <alignment horizontal="left" vertical="center"/>
      <protection locked="0"/>
    </xf>
    <xf numFmtId="0" fontId="63" fillId="3" borderId="0" xfId="0" applyFont="1" applyFill="1" applyAlignment="1" applyProtection="1">
      <alignment horizontal="left" vertical="center"/>
      <protection locked="0"/>
    </xf>
    <xf numFmtId="164" fontId="0" fillId="0" borderId="0" xfId="0" applyNumberFormat="1" applyAlignment="1">
      <alignment horizontal="left" vertical="center"/>
    </xf>
    <xf numFmtId="22" fontId="0" fillId="0" borderId="0" xfId="0" applyNumberFormat="1"/>
    <xf numFmtId="0" fontId="0" fillId="12" borderId="0" xfId="0" applyFill="1" applyAlignment="1">
      <alignment wrapText="1"/>
    </xf>
    <xf numFmtId="14" fontId="0" fillId="0" borderId="0" xfId="0" applyNumberFormat="1" applyAlignment="1">
      <alignment horizontal="left"/>
    </xf>
    <xf numFmtId="0" fontId="0" fillId="12" borderId="0" xfId="0" applyFill="1" applyAlignment="1">
      <alignment horizontal="left" wrapText="1"/>
    </xf>
    <xf numFmtId="0" fontId="0" fillId="0" borderId="0" xfId="0" applyNumberFormat="1"/>
  </cellXfs>
  <cellStyles count="11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Hyperlink" xfId="10" builtinId="8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508">
    <dxf>
      <numFmt numFmtId="27" formatCode="m/d/yyyy\ h:mm"/>
    </dxf>
    <dxf>
      <numFmt numFmtId="27" formatCode="m/d/yyyy\ h:mm"/>
    </dxf>
    <dxf>
      <numFmt numFmtId="166" formatCode="[$-F400]h:mm:ss\ AM/PM"/>
    </dxf>
    <dxf>
      <numFmt numFmtId="19" formatCode="m/d/yyyy"/>
    </dxf>
    <dxf>
      <numFmt numFmtId="27" formatCode="m/d/yyyy\ h:mm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bottom" textRotation="0" wrapText="1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9" formatCode="m/d/yyyy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2" tint="0.499984740745262"/>
        <name val="Microsoft JhengHei UI"/>
        <family val="2"/>
        <scheme val="minor"/>
      </font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Microsoft JhengHei UI"/>
        <family val="2"/>
        <scheme val="minor"/>
      </font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507"/>
      <tableStyleElement type="headerRow" dxfId="506"/>
      <tableStyleElement type="totalRow" dxfId="505"/>
    </tableStyle>
    <tableStyle name="BISL_Directory" pivot="0" count="4" xr9:uid="{CF694ADA-B24E-4A9B-A4CF-440A866B1DFE}">
      <tableStyleElement type="wholeTable" dxfId="504"/>
      <tableStyleElement type="headerRow" dxfId="503"/>
      <tableStyleElement type="firstRowStripe" dxfId="502"/>
      <tableStyleElement type="secondRowStripe" dxfId="501"/>
    </tableStyle>
    <tableStyle name="Blank" pivot="0" count="1" xr9:uid="{00000000-0011-0000-FFFF-FFFF00000000}">
      <tableStyleElement type="wholeTable" dxfId="500"/>
    </tableStyle>
    <tableStyle name="DimSum" pivot="0" count="4" xr9:uid="{C064D3B7-4B8F-409A-AB9E-51AC3AD0F8B5}">
      <tableStyleElement type="wholeTable" dxfId="499"/>
      <tableStyleElement type="headerRow" dxfId="498"/>
      <tableStyleElement type="totalRow" dxfId="497"/>
      <tableStyleElement type="secondRowStripe" dxfId="496"/>
    </tableStyle>
    <tableStyle name="ECON" pivot="0" count="2" xr9:uid="{00000000-0011-0000-FFFF-FFFF01000000}">
      <tableStyleElement type="wholeTable" dxfId="495"/>
      <tableStyleElement type="headerRow" dxfId="494"/>
    </tableStyle>
    <tableStyle name="Load Style" pivot="0" count="2" xr9:uid="{00000000-0011-0000-FFFF-FFFF0F000000}">
      <tableStyleElement type="wholeTable" dxfId="493"/>
      <tableStyleElement type="headerRow" dxfId="492"/>
    </tableStyle>
    <tableStyle name="mFTZ" pivot="0" count="4" xr9:uid="{F9D19170-5D53-4CC9-B6DA-01874D40D6CB}">
      <tableStyleElement type="wholeTable" dxfId="491"/>
      <tableStyleElement type="headerRow" dxfId="490"/>
      <tableStyleElement type="totalRow" dxfId="489"/>
      <tableStyleElement type="secondRowStripe" dxfId="488"/>
    </tableStyle>
    <tableStyle name="Named_dd" pivot="0" count="2" xr9:uid="{00000000-0011-0000-FFFF-FFFF02000000}">
      <tableStyleElement type="wholeTable" dxfId="487"/>
      <tableStyleElement type="headerRow" dxfId="486"/>
    </tableStyle>
    <tableStyle name="PRJ Style" pivot="0" count="4" xr9:uid="{00000000-0011-0000-FFFF-FFFF11000000}">
      <tableStyleElement type="wholeTable" dxfId="485"/>
      <tableStyleElement type="headerRow" dxfId="484"/>
      <tableStyleElement type="firstRowStripe" dxfId="483"/>
      <tableStyleElement type="secondRowStripe" dxfId="482"/>
    </tableStyle>
    <tableStyle name="Qry Load" pivot="0" count="3" xr9:uid="{00000000-0011-0000-FFFF-FFFF05000000}">
      <tableStyleElement type="wholeTable" dxfId="481"/>
      <tableStyleElement type="headerRow" dxfId="480"/>
      <tableStyleElement type="totalRow" dxfId="479"/>
    </tableStyle>
    <tableStyle name="Qry Load 2" pivot="0" count="3" xr9:uid="{00000000-0011-0000-FFFF-FFFF06000000}">
      <tableStyleElement type="wholeTable" dxfId="478"/>
      <tableStyleElement type="headerRow" dxfId="477"/>
      <tableStyleElement type="totalRow" dxfId="476"/>
    </tableStyle>
    <tableStyle name="Qry Load 3" pivot="0" count="3" xr9:uid="{00000000-0011-0000-FFFF-FFFF07000000}">
      <tableStyleElement type="wholeTable" dxfId="475"/>
      <tableStyleElement type="headerRow" dxfId="474"/>
      <tableStyleElement type="totalRow" dxfId="473"/>
    </tableStyle>
    <tableStyle name="Qry Load 3 2" pivot="0" count="3" xr9:uid="{39E27C42-0E7B-4337-87F7-A7AC3E9F7517}">
      <tableStyleElement type="wholeTable" dxfId="472"/>
      <tableStyleElement type="headerRow" dxfId="471"/>
      <tableStyleElement type="totalRow" dxfId="470"/>
    </tableStyle>
    <tableStyle name="Qry Load 3 3" pivot="0" count="3" xr9:uid="{00000000-0011-0000-FFFF-FFFF08000000}">
      <tableStyleElement type="wholeTable" dxfId="469"/>
      <tableStyleElement type="headerRow" dxfId="468"/>
      <tableStyleElement type="totalRow" dxfId="467"/>
    </tableStyle>
    <tableStyle name="Qry Load 4" pivot="0" count="3" xr9:uid="{00000000-0011-0000-FFFF-FFFF08000000}">
      <tableStyleElement type="wholeTable" dxfId="466"/>
      <tableStyleElement type="headerRow" dxfId="465"/>
      <tableStyleElement type="totalRow" dxfId="464"/>
    </tableStyle>
    <tableStyle name="Qry Load 5" pivot="0" count="3" xr9:uid="{00000000-0011-0000-FFFF-FFFF09000000}">
      <tableStyleElement type="wholeTable" dxfId="463"/>
      <tableStyleElement type="headerRow" dxfId="462"/>
      <tableStyleElement type="totalRow" dxfId="461"/>
    </tableStyle>
    <tableStyle name="Qry Load 6" pivot="0" count="3" xr9:uid="{8540037C-F48A-45D6-B06D-3E416FD50039}">
      <tableStyleElement type="wholeTable" dxfId="460"/>
      <tableStyleElement type="headerRow" dxfId="459"/>
      <tableStyleElement type="totalRow" dxfId="458"/>
    </tableStyle>
    <tableStyle name="Qry Source" pivot="0" count="2" xr9:uid="{00000000-0011-0000-FFFF-FFFF0A000000}">
      <tableStyleElement type="wholeTable" dxfId="457"/>
      <tableStyleElement type="headerRow" dxfId="456"/>
    </tableStyle>
    <tableStyle name="Qry Source 2" pivot="0" count="2" xr9:uid="{00000000-0011-0000-FFFF-FFFF0B000000}">
      <tableStyleElement type="wholeTable" dxfId="455"/>
      <tableStyleElement type="headerRow" dxfId="454"/>
    </tableStyle>
    <tableStyle name="Qry Source 2 2" pivot="0" count="3" xr9:uid="{00000000-0011-0000-FFFF-FFFF0C000000}">
      <tableStyleElement type="wholeTable" dxfId="453"/>
      <tableStyleElement type="headerRow" dxfId="452"/>
      <tableStyleElement type="secondRowStripe" dxfId="451"/>
    </tableStyle>
    <tableStyle name="review" pivot="0" count="3" xr9:uid="{00000000-0011-0000-FFFF-FFFF0C000000}">
      <tableStyleElement type="wholeTable" dxfId="450"/>
      <tableStyleElement type="headerRow" dxfId="449"/>
      <tableStyleElement type="totalRow" dxfId="448"/>
    </tableStyle>
    <tableStyle name="review 2" pivot="0" count="3" xr9:uid="{7E48D373-8BD3-405C-AC0B-582D578C48DF}">
      <tableStyleElement type="wholeTable" dxfId="447"/>
      <tableStyleElement type="headerRow" dxfId="446"/>
      <tableStyleElement type="totalRow" dxfId="445"/>
    </tableStyle>
    <tableStyle name="Table Style 1 2" pivot="0" count="4" xr9:uid="{00000000-0011-0000-FFFF-FFFF10000000}">
      <tableStyleElement type="wholeTable" dxfId="444"/>
      <tableStyleElement type="headerRow" dxfId="443"/>
      <tableStyleElement type="firstRowStripe" dxfId="442"/>
      <tableStyleElement type="secondRowStripe" dxfId="441"/>
    </tableStyle>
  </tableStyles>
  <colors>
    <mruColors>
      <color rgb="FF0000FF"/>
      <color rgb="FF234473"/>
      <color rgb="FFF4EBE0"/>
      <color rgb="FF2A7968"/>
      <color rgb="FF888AA6"/>
      <color rgb="FF0071BA"/>
      <color rgb="FFE1E1E9"/>
      <color rgb="FF379E4E"/>
      <color rgb="FFC69E62"/>
      <color rgb="FFEDF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76200</xdr:rowOff>
        </xdr:from>
        <xdr:to>
          <xdr:col>8</xdr:col>
          <xdr:colOff>438150</xdr:colOff>
          <xdr:row>7</xdr:row>
          <xdr:rowOff>47625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145676</xdr:colOff>
      <xdr:row>2</xdr:row>
      <xdr:rowOff>11206</xdr:rowOff>
    </xdr:from>
    <xdr:to>
      <xdr:col>8</xdr:col>
      <xdr:colOff>551473</xdr:colOff>
      <xdr:row>4</xdr:row>
      <xdr:rowOff>323509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2558" y="1647265"/>
          <a:ext cx="3431750" cy="1141538"/>
        </a:xfrm>
        <a:prstGeom prst="leftArrow">
          <a:avLst/>
        </a:prstGeom>
        <a:solidFill>
          <a:srgbClr val="FFBA5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Set Parameters</a:t>
          </a:r>
        </a:p>
      </xdr:txBody>
    </xdr:sp>
    <xdr:clientData/>
  </xdr:twoCellAnchor>
  <xdr:oneCellAnchor>
    <xdr:from>
      <xdr:col>13</xdr:col>
      <xdr:colOff>1034142</xdr:colOff>
      <xdr:row>8</xdr:row>
      <xdr:rowOff>231322</xdr:rowOff>
    </xdr:from>
    <xdr:ext cx="9756322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6546285" y="4313465"/>
          <a:ext cx="9756322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36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36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36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36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511882" y="1877786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1000125</xdr:colOff>
          <xdr:row>1</xdr:row>
          <xdr:rowOff>190500</xdr:rowOff>
        </xdr:from>
        <xdr:to>
          <xdr:col>15</xdr:col>
          <xdr:colOff>657225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18324</xdr:colOff>
      <xdr:row>3</xdr:row>
      <xdr:rowOff>0</xdr:rowOff>
    </xdr:from>
    <xdr:to>
      <xdr:col>18</xdr:col>
      <xdr:colOff>759069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0320181" y="1877786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3</xdr:col>
          <xdr:colOff>800100</xdr:colOff>
          <xdr:row>3</xdr:row>
          <xdr:rowOff>704850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467362</xdr:colOff>
      <xdr:row>3</xdr:row>
      <xdr:rowOff>0</xdr:rowOff>
    </xdr:from>
    <xdr:to>
      <xdr:col>39</xdr:col>
      <xdr:colOff>1374323</xdr:colOff>
      <xdr:row>3</xdr:row>
      <xdr:rowOff>711201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39302148" y="1877786"/>
          <a:ext cx="906961" cy="711201"/>
          <a:chOff x="4143374" y="1933574"/>
          <a:chExt cx="911699" cy="714376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</a:p>
        </xdr:txBody>
      </xdr:sp>
      <xdr:pic>
        <xdr:nvPicPr>
          <xdr:cNvPr id="21" name="Graphic 20" descr="Repeat outline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57</xdr:col>
      <xdr:colOff>331290</xdr:colOff>
      <xdr:row>3</xdr:row>
      <xdr:rowOff>0</xdr:rowOff>
    </xdr:from>
    <xdr:to>
      <xdr:col>57</xdr:col>
      <xdr:colOff>1238251</xdr:colOff>
      <xdr:row>3</xdr:row>
      <xdr:rowOff>711201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4242790" y="1877786"/>
          <a:ext cx="906961" cy="711201"/>
          <a:chOff x="4143374" y="1933574"/>
          <a:chExt cx="911699" cy="714376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  <a:r>
              <a:rPr lang="en-US" altLang="zh-CN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endParaRPr lang="en-US" sz="1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pic>
        <xdr:nvPicPr>
          <xdr:cNvPr id="24" name="Graphic 23" descr="Repeat outline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387070</xdr:colOff>
      <xdr:row>14</xdr:row>
      <xdr:rowOff>137954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34315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9578875" y="781050"/>
          <a:ext cx="234315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45</xdr:col>
      <xdr:colOff>13608</xdr:colOff>
      <xdr:row>1</xdr:row>
      <xdr:rowOff>400049</xdr:rowOff>
    </xdr:from>
    <xdr:ext cx="7824107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8536679" y="1162049"/>
          <a:ext cx="7824107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1294389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73</xdr:col>
      <xdr:colOff>692945</xdr:colOff>
      <xdr:row>0</xdr:row>
      <xdr:rowOff>103908</xdr:rowOff>
    </xdr:from>
    <xdr:to>
      <xdr:col>79</xdr:col>
      <xdr:colOff>716758</xdr:colOff>
      <xdr:row>14</xdr:row>
      <xdr:rowOff>160549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77526358" y="103908"/>
          <a:ext cx="4533900" cy="4021422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133350</xdr:colOff>
          <xdr:row>11</xdr:row>
          <xdr:rowOff>9525</xdr:rowOff>
        </xdr:from>
        <xdr:to>
          <xdr:col>79</xdr:col>
          <xdr:colOff>47625</xdr:colOff>
          <xdr:row>17</xdr:row>
          <xdr:rowOff>171450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57150</xdr:rowOff>
        </xdr:from>
        <xdr:to>
          <xdr:col>3</xdr:col>
          <xdr:colOff>1606923</xdr:colOff>
          <xdr:row>3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62865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28575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8100" y="542925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228600</xdr:rowOff>
        </xdr:from>
        <xdr:to>
          <xdr:col>2</xdr:col>
          <xdr:colOff>2181225</xdr:colOff>
          <xdr:row>2</xdr:row>
          <xdr:rowOff>295275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1 Fill in Original ISIN</a:t>
              </a: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then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12</xdr:row>
          <xdr:rowOff>0</xdr:rowOff>
        </xdr:from>
        <xdr:to>
          <xdr:col>2</xdr:col>
          <xdr:colOff>2171700</xdr:colOff>
          <xdr:row>13</xdr:row>
          <xdr:rowOff>552450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2  Fill in Tap Details</a:t>
              </a:r>
              <a:endParaRPr lang="en-US" sz="1400" b="0" i="0" u="none" strike="noStrike" baseline="0">
                <a:solidFill>
                  <a:srgbClr val="0000FF"/>
                </a:solidFill>
                <a:latin typeface="Microsoft JhengHei UI"/>
                <a:ea typeface="Microsoft JhengHei UI"/>
              </a:endParaRP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then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5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7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1" xr16:uid="{EEAFBD7B-3B0E-47A5-8787-C257354BD8E3}" autoFormatId="16" applyNumberFormats="0" applyBorderFormats="0" applyFontFormats="0" applyPatternFormats="0" applyAlignmentFormats="0" applyWidthHeightFormats="0">
  <queryTableRefresh nextId="106">
    <queryTableFields count="84">
      <queryTableField id="1" name="Index" tableColumnId="1"/>
      <queryTableField id="2" name="信用主体" tableColumnId="2"/>
      <queryTableField id="4" name="ISIN" tableColumnId="4"/>
      <queryTableField id="5" name="定价日" tableColumnId="5"/>
      <queryTableField id="83" name="IS_FIMTN" tableColumnId="83"/>
      <queryTableField id="16" name="IPT_DMI" tableColumnId="16"/>
      <queryTableField id="17" name="FPG_DMI" tableColumnId="17"/>
      <queryTableField id="28" name="认购额(亿)" tableColumnId="28"/>
      <queryTableField id="42" name="投资者账户数" tableColumnId="42"/>
      <queryTableField id="43" name="投资者类型" tableColumnId="43"/>
      <queryTableField id="44" name="投资者分布" tableColumnId="44"/>
      <queryTableField id="11" name="货币" tableColumnId="11"/>
      <queryTableField id="37" name="主题债券" tableColumnId="37"/>
      <queryTableField id="32" name="联席全球协调人" tableColumnId="32"/>
      <queryTableField id="60" name="牵头经办人" tableColumnId="60"/>
      <queryTableField id="3" name="英文简称" tableColumnId="3"/>
      <queryTableField id="6" name="债券简称" tableColumnId="6"/>
      <queryTableField id="7" name="穆迪/标普" tableColumnId="7"/>
      <queryTableField id="8" name="主体评级展望" tableColumnId="8"/>
      <queryTableField id="9" name="债项评级" tableColumnId="9"/>
      <queryTableField id="10" name="发行规模(亿)" tableColumnId="10"/>
      <queryTableField id="12" name="发行期限(年)" tableColumnId="12"/>
      <queryTableField id="13" name="票息_DMI" tableColumnId="13"/>
      <queryTableField id="14" name="兑付日" tableColumnId="14"/>
      <queryTableField id="15" name="发行场所" tableColumnId="15"/>
      <queryTableField id="18" name="收窄幅度(bp)" tableColumnId="18"/>
      <queryTableField id="19" name="发行规则" tableColumnId="19"/>
      <queryTableField id="20" name="发行架构" tableColumnId="20"/>
      <queryTableField id="21" name="SBLC提供者" tableColumnId="21"/>
      <queryTableField id="22" name="偿还顺位" tableColumnId="22"/>
      <queryTableField id="23" name="发行价" tableColumnId="23"/>
      <queryTableField id="24" name="首日涨跌" tableColumnId="24"/>
      <queryTableField id="25" name="省份" tableColumnId="25"/>
      <queryTableField id="26" name="城市" tableColumnId="26"/>
      <queryTableField id="27" name="区县" tableColumnId="27"/>
      <queryTableField id="29" name="认购倍数" tableColumnId="29"/>
      <queryTableField id="30" name="亚洲占比" tableColumnId="30"/>
      <queryTableField id="31" name="基金占比" tableColumnId="31"/>
      <queryTableField id="33" name="发行方式" tableColumnId="33"/>
      <queryTableField id="34" name="细分行业" tableColumnId="34"/>
      <queryTableField id="35" name="债项初始评级" tableColumnId="35"/>
      <queryTableField id="36" name="境内主体评级" tableColumnId="36"/>
      <queryTableField id="38" name="DMI行业" tableColumnId="38"/>
      <queryTableField id="39" name="剩余期限" tableColumnId="39"/>
      <queryTableField id="40" name="公司类型" tableColumnId="40"/>
      <queryTableField id="41" name="评级类型" tableColumnId="41"/>
      <queryTableField id="45" name="筹款用途" tableColumnId="45"/>
      <queryTableField id="46" name="TICKER" tableColumnId="46"/>
      <queryTableField id="47" name="债券最新面值" tableColumnId="47"/>
      <queryTableField id="48" name="债券余额" tableColumnId="48"/>
      <queryTableField id="49" name="起息日期" tableColumnId="49"/>
      <queryTableField id="50" name="行权兑付日" tableColumnId="50"/>
      <queryTableField id="51" name="最新票面利率" tableColumnId="51"/>
      <queryTableField id="52" name="计息基准" tableColumnId="52"/>
      <queryTableField id="53" name="首次付息日" tableColumnId="53"/>
      <queryTableField id="54" name="发行人" tableColumnId="54"/>
      <queryTableField id="55" name="担保人" tableColumnId="55"/>
      <queryTableField id="56" name="发行起始日" tableColumnId="56"/>
      <queryTableField id="57" name="定价_DMI" tableColumnId="57"/>
      <queryTableField id="58" name="上市日期" tableColumnId="58"/>
      <queryTableField id="59" name="特殊条款说明" tableColumnId="59"/>
      <queryTableField id="61" name="联席账簿管理人" tableColumnId="61"/>
      <queryTableField id="62" name="是否永续债" tableColumnId="62"/>
      <queryTableField id="63" name="是否存单" tableColumnId="63"/>
      <queryTableField id="64" name="利率类型" tableColumnId="64"/>
      <queryTableField id="65" name="交易状态" tableColumnId="65"/>
      <queryTableField id="66" name="债券类型" tableColumnId="66"/>
      <queryTableField id="67" name="特殊条款" tableColumnId="67"/>
      <queryTableField id="68" name="付息频率" tableColumnId="68"/>
      <queryTableField id="69" name="维好协议提供者" tableColumnId="69"/>
      <queryTableField id="71" name="DataSource" tableColumnId="71"/>
      <queryTableField id="72" name="首次违约日" tableColumnId="72"/>
      <queryTableField id="73" name="IS_EXCH" tableColumnId="73"/>
      <queryTableField id="74" name="地区" tableColumnId="74"/>
      <queryTableField id="75" name="BISL_ROLE" tableColumnId="75"/>
      <queryTableField id="77" name="发行人主上市地" tableColumnId="77"/>
      <queryTableField id="78" name="补充OMAS updates" tableColumnId="78"/>
      <queryTableField id="79" name="定价息差" tableColumnId="79"/>
      <queryTableField id="80" name="发行评级" tableColumnId="80"/>
      <queryTableField id="81" name="主体评级" tableColumnId="81"/>
      <queryTableField id="82" name="ESG_Indicator" tableColumnId="82"/>
      <queryTableField id="84" name="Check" tableColumnId="84"/>
      <queryTableField id="95" name="OTHER_ISIN" tableColumnId="85"/>
      <queryTableField id="96" name="发行人成立地" tableColumnId="7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3" xr16:uid="{00000000-0016-0000-0200-000003000000}" autoFormatId="16" applyNumberFormats="0" applyBorderFormats="0" applyFontFormats="0" applyPatternFormats="0" applyAlignmentFormats="0" applyWidthHeightFormats="0">
  <queryTableRefresh nextId="133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131" name="定价基准" tableColumnId="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129" name="品种主题" tableColumnId="3"/>
      <queryTableField id="73" name="上市" tableColumnId="33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1" xr16:uid="{00000000-0016-0000-0200-000004000000}" autoFormatId="16" applyNumberFormats="0" applyBorderFormats="0" applyFontFormats="0" applyPatternFormats="0" applyAlignmentFormats="0" applyWidthHeightFormats="0">
  <queryTableRefresh nextId="74">
    <queryTableFields count="15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72" name="EXE" tableColumnId="6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2" xr16:uid="{00000000-0016-0000-0200-000005000000}" autoFormatId="16" applyNumberFormats="0" applyBorderFormats="0" applyFontFormats="0" applyPatternFormats="0" applyAlignmentFormats="0" applyWidthHeightFormats="0">
  <queryTableRefresh nextId="18">
    <queryTableFields count="10">
      <queryTableField id="1" name="信用主体" tableColumnId="1"/>
      <queryTableField id="3" name="SHORTNAMER" tableColumnId="3"/>
      <queryTableField id="8" name="板块" tableColumnId="4"/>
      <queryTableField id="9" name="板块二级" tableColumnId="5"/>
      <queryTableField id="10" name="板块三级" tableColumnId="6"/>
      <queryTableField id="6" name="中资属性" tableColumnId="2"/>
      <queryTableField id="11" name="级别" tableColumnId="7"/>
      <queryTableField id="12" name="地区" tableColumnId="8"/>
      <queryTableField id="13" name="城市" tableColumnId="9"/>
      <queryTableField id="14" name="区县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30" xr16:uid="{92972967-9496-427B-9BFA-83AE3DFDDFF6}" autoFormatId="16" applyNumberFormats="0" applyBorderFormats="0" applyFontFormats="0" applyPatternFormats="0" applyAlignmentFormats="0" applyWidthHeightFormats="0">
  <queryTableRefresh nextId="14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12" name="备证行全称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9" xr16:uid="{CCBC90C1-EC75-4CFF-AE53-0DD8206070E0}" autoFormatId="16" applyNumberFormats="0" applyBorderFormats="0" applyFontFormats="0" applyPatternFormats="0" applyAlignmentFormats="0" applyWidthHeightFormats="0">
  <queryTableRefresh nextId="238">
    <queryTableFields count="109">
      <queryTableField id="1" name="Index" tableColumnId="1"/>
      <queryTableField id="3" name="信用主体" tableColumnId="3"/>
      <queryTableField id="5" name="ISIN" tableColumnId="5"/>
      <queryTableField id="6" name="定价日" tableColumnId="6"/>
      <queryTableField id="2" name="IS_FIMTN" tableColumnId="2"/>
      <queryTableField id="9" name="IPT_DMI" tableColumnId="9"/>
      <queryTableField id="10" name="FPG_DMI" tableColumnId="10"/>
      <queryTableField id="52" name="认购额(亿)" tableColumnId="52"/>
      <queryTableField id="41" name="投资者账户数" tableColumnId="41"/>
      <queryTableField id="40" name="投资者类型" tableColumnId="40"/>
      <queryTableField id="39" name="投资者分布" tableColumnId="39"/>
      <queryTableField id="7" name="货币" tableColumnId="7"/>
      <queryTableField id="8" name="ESG_Source" tableColumnId="8"/>
      <queryTableField id="11" name="联席全球协调人" tableColumnId="11"/>
      <queryTableField id="12" name="牵头经办人" tableColumnId="12"/>
      <queryTableField id="13" name="英文简称" tableColumnId="13"/>
      <queryTableField id="71" name="债券简称" tableColumnId="71"/>
      <queryTableField id="70" name="穆迪/标普" tableColumnId="70"/>
      <queryTableField id="69" name="主体评级展望" tableColumnId="69"/>
      <queryTableField id="68" name="债项评级" tableColumnId="68"/>
      <queryTableField id="67" name="发行规模(亿)" tableColumnId="67"/>
      <queryTableField id="66" name="发行期限(年)" tableColumnId="66"/>
      <queryTableField id="65" name="票息_DMI" tableColumnId="65"/>
      <queryTableField id="64" name="兑付日" tableColumnId="64"/>
      <queryTableField id="63" name="发行场所" tableColumnId="63"/>
      <queryTableField id="62" name="收窄幅度(bp)" tableColumnId="62"/>
      <queryTableField id="61" name="发行规则" tableColumnId="61"/>
      <queryTableField id="60" name="发行架构" tableColumnId="60"/>
      <queryTableField id="59" name="SBLC提供者" tableColumnId="59"/>
      <queryTableField id="58" name="偿还顺位" tableColumnId="58"/>
      <queryTableField id="57" name="发行价" tableColumnId="57"/>
      <queryTableField id="56" name="首日涨跌" tableColumnId="56"/>
      <queryTableField id="55" name="省份" tableColumnId="55"/>
      <queryTableField id="54" name="城市" tableColumnId="54"/>
      <queryTableField id="53" name="区县" tableColumnId="53"/>
      <queryTableField id="51" name="认购倍数" tableColumnId="51"/>
      <queryTableField id="50" name="亚洲占比" tableColumnId="50"/>
      <queryTableField id="49" name="基金占比" tableColumnId="49"/>
      <queryTableField id="48" name="发行方式" tableColumnId="48"/>
      <queryTableField id="47" name="细分行业" tableColumnId="47"/>
      <queryTableField id="46" name="债项初始评级" tableColumnId="46"/>
      <queryTableField id="45" name="境内主体评级" tableColumnId="45"/>
      <queryTableField id="158" name="DMI行业" tableColumnId="4"/>
      <queryTableField id="44" name="剩余期限" tableColumnId="44"/>
      <queryTableField id="43" name="公司类型" tableColumnId="43"/>
      <queryTableField id="42" name="评级类型" tableColumnId="42"/>
      <queryTableField id="38" name="筹款用途" tableColumnId="38"/>
      <queryTableField id="37" name="ticker" tableColumnId="37"/>
      <queryTableField id="36" name="债券最新面值" tableColumnId="36"/>
      <queryTableField id="35" name="债券余额" tableColumnId="35"/>
      <queryTableField id="34" name="起息日期" tableColumnId="34"/>
      <queryTableField id="33" name="行权兑付日" tableColumnId="33"/>
      <queryTableField id="32" name="最新票面利率" tableColumnId="32"/>
      <queryTableField id="31" name="计息基准" tableColumnId="31"/>
      <queryTableField id="30" name="首次付息日" tableColumnId="30"/>
      <queryTableField id="29" name="发行人" tableColumnId="29"/>
      <queryTableField id="28" name="担保人" tableColumnId="28"/>
      <queryTableField id="27" name="发行起始日" tableColumnId="27"/>
      <queryTableField id="26" name="定价_DMI" tableColumnId="26"/>
      <queryTableField id="25" name="上市日期" tableColumnId="25"/>
      <queryTableField id="24" name="特殊条款说明" tableColumnId="24"/>
      <queryTableField id="23" name="联席账簿管理人" tableColumnId="23"/>
      <queryTableField id="22" name="是否永续债" tableColumnId="22"/>
      <queryTableField id="21" name="是否存单" tableColumnId="21"/>
      <queryTableField id="20" name="利率类型" tableColumnId="20"/>
      <queryTableField id="19" name="交易状态" tableColumnId="19"/>
      <queryTableField id="18" name="债券类型" tableColumnId="18"/>
      <queryTableField id="17" name="特殊条款" tableColumnId="17"/>
      <queryTableField id="15" name="付息频率" tableColumnId="15"/>
      <queryTableField id="16" name="维好协议提供者" tableColumnId="16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221" name="OTHER_ISIN" tableColumnId="108"/>
      <queryTableField id="227" name="发行人成立地" tableColumnId="77"/>
      <queryTableField id="83" name="结构" tableColumnId="83"/>
      <queryTableField id="90" name="增发判定" tableColumnId="90"/>
      <queryTableField id="223" name="备证行分行" tableColumnId="14"/>
      <queryTableField id="224" name="备证行全称" tableColumnId="84"/>
      <queryTableField id="85" name="上市" tableColumnId="85"/>
      <queryTableField id="86" name="通过分行" tableColumnId="86"/>
      <queryTableField id="147" name="YYQQ" tableColumnId="103"/>
      <queryTableField id="148" name="USD" tableColumnId="105"/>
      <queryTableField id="149" name="CNH" tableColumnId="106"/>
      <queryTableField id="150" name="HKD" tableColumnId="107"/>
      <queryTableField id="87" name="亿美元" tableColumnId="87"/>
      <queryTableField id="88" name="亿元" tableColumnId="88"/>
      <queryTableField id="89" name="亿港币" tableColumnId="89"/>
      <queryTableField id="91" name="Stats" tableColumnId="91"/>
      <queryTableField id="92" name="澳分_ROLE" tableColumnId="92"/>
      <queryTableField id="93" name="港分_ROLE" tableColumnId="93"/>
      <queryTableField id="94" name="定价基准" tableColumnId="94"/>
      <queryTableField id="95" name="收窄基点" tableColumnId="95"/>
      <queryTableField id="96" name="IPG" tableColumnId="96"/>
      <queryTableField id="97" name="FPG" tableColumnId="97"/>
      <queryTableField id="98" name="定价" tableColumnId="98"/>
      <queryTableField id="99" name="票息" tableColumnId="99"/>
      <queryTableField id="100" name="年期" tableColumnId="100"/>
      <queryTableField id="101" name="期限备注" tableColumnId="101"/>
      <queryTableField id="105" name="品种主题" tableColumnId="102"/>
      <queryTableField id="145" name="ESG" tableColumnId="124"/>
      <queryTableField id="104" name="Check" tableColumnId="10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C463BFE-1E17-451F-9AD0-3F8DC7127C74}" autoFormatId="16" applyNumberFormats="0" applyBorderFormats="0" applyFontFormats="0" applyPatternFormats="0" applyAlignmentFormats="0" applyWidthHeightFormats="0">
  <queryTableRefresh nextId="3">
    <queryTableFields count="2">
      <queryTableField id="1" name="Index" tableColumnId="1"/>
      <queryTableField id="2" name="企业(集团)名称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0" xr16:uid="{902DE114-C6DA-43B0-BA02-B7E12B185B20}" autoFormatId="16" applyNumberFormats="0" applyBorderFormats="0" applyFontFormats="0" applyPatternFormats="0" applyAlignmentFormats="0" applyWidthHeightFormats="0">
  <queryTableRefresh nextId="167">
    <queryTableFields count="89">
      <queryTableField id="1" name="Index" tableColumnId="1"/>
      <queryTableField id="2" name="删除及隐藏" tableColumnId="2"/>
      <queryTableField id="3" name="信用主体" tableColumnId="3"/>
      <queryTableField id="4" name="ISIN" tableColumnId="4"/>
      <queryTableField id="5" name="定价日" tableColumnId="5"/>
      <queryTableField id="6" name="发行评级" tableColumnId="6"/>
      <queryTableField id="7" name="主体评级" tableColumnId="7"/>
      <queryTableField id="8" name="境内主体评级" tableColumnId="8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4" name="FPG" tableColumnId="14"/>
      <queryTableField id="15" name="定价" tableColumnId="15"/>
      <queryTableField id="16" name="收窄基点" tableColumnId="16"/>
      <queryTableField id="17" name="定价基准" tableColumnId="17"/>
      <queryTableField id="18" name="发行价" tableColumnId="18"/>
      <queryTableField id="19" name="结构" tableColumnId="19"/>
      <queryTableField id="20" name="上市" tableColumnId="20"/>
      <queryTableField id="21" name="港分_ROLE" tableColumnId="21"/>
      <queryTableField id="22" name="澳分_ROLE" tableColumnId="22"/>
      <queryTableField id="23" name="增发判定" tableColumnId="23"/>
      <queryTableField id="24" name="付息频率" tableColumnId="24"/>
      <queryTableField id="25" name="起息日期" tableColumnId="25"/>
      <queryTableField id="26" name="首次付息日" tableColumnId="26"/>
      <queryTableField id="27" name="兑付日" tableColumnId="27"/>
      <queryTableField id="28" name="亿美元" tableColumnId="28"/>
      <queryTableField id="29" name="亿元" tableColumnId="29"/>
      <queryTableField id="30" name="亿港币" tableColumnId="30"/>
      <queryTableField id="31" name="ticker" tableColumnId="31"/>
      <queryTableField id="32" name="注册成立地" tableColumnId="32"/>
      <queryTableField id="33" name="发行人主上市地" tableColumnId="33"/>
      <queryTableField id="34" name="通过分行" tableColumnId="34"/>
      <queryTableField id="35" name="发行人" tableColumnId="35"/>
      <queryTableField id="36" name="担保人" tableColumnId="36"/>
      <queryTableField id="37" name="维好协议提供者" tableColumnId="37"/>
      <queryTableField id="165" name="备证行全称" tableColumnId="38"/>
      <queryTableField id="39" name="ESG" tableColumnId="39"/>
      <queryTableField id="40" name="品种主题" tableColumnId="40"/>
      <queryTableField id="41" name="亮点" tableColumnId="41"/>
      <queryTableField id="42" name="期限备注" tableColumnId="42"/>
      <queryTableField id="43" name="SPECIALs" tableColumnId="43"/>
      <queryTableField id="44" name="OTHER_ISIN" tableColumnId="44"/>
      <queryTableField id="45" name="Stats" tableColumnId="45"/>
      <queryTableField id="46" name="筹款用途" tableColumnId="46"/>
      <queryTableField id="47" name="发行方式" tableColumnId="47"/>
      <queryTableField id="48" name="DataSource" tableColumnId="48"/>
      <queryTableField id="49" name="Updator" tableColumnId="49"/>
      <queryTableField id="50" name="Timestamp" tableColumnId="50"/>
      <queryTableField id="51" name="Check" tableColumnId="51"/>
      <queryTableField id="52" name="mCurated" tableColumnId="52"/>
      <queryTableField id="123" name="Date_Onboarded" tableColumnId="80"/>
      <queryTableField id="124" name="EXE" tableColumnId="81"/>
      <queryTableField id="125" name="PROJECT_CN" tableColumnId="82"/>
      <queryTableField id="59" name="PROJECT_CODE" tableColumnId="59"/>
      <queryTableField id="60" name="期数" tableColumnId="60"/>
      <queryTableField id="53" name="BISL_ROLE" tableColumnId="53"/>
      <queryTableField id="57" name="新规角色" tableColumnId="57"/>
      <queryTableField id="55" name="IS_B&amp;D" tableColumnId="55"/>
      <queryTableField id="54" name="IS_LEAD" tableColumnId="54"/>
      <queryTableField id="56" name="是否合名" tableColumnId="56"/>
      <queryTableField id="58" name="COVERAGE" tableColumnId="58"/>
      <queryTableField id="126" name="Settlement" tableColumnId="83"/>
      <queryTableField id="127" name="BOCOM下单量" tableColumnId="84"/>
      <queryTableField id="128" name="BOCOM分配量" tableColumnId="85"/>
      <queryTableField id="129" name="交行及独家订单" tableColumnId="86"/>
      <queryTableField id="130" name="项目亮点" tableColumnId="87"/>
      <queryTableField id="131" name="定价会时间" tableColumnId="88"/>
      <queryTableField id="132" name="定价会时段" tableColumnId="89"/>
      <queryTableField id="61" name="台账序号" tableColumnId="61"/>
      <queryTableField id="65" name="FolderPath" tableColumnId="65"/>
      <queryTableField id="107" name="IS_KYC_DONE" tableColumnId="79"/>
      <queryTableField id="66" name="PRJ对账号" tableColumnId="66"/>
      <queryTableField id="67" name="mBISL" tableColumnId="67"/>
      <queryTableField id="68" name="mChart" tableColumnId="68"/>
      <queryTableField id="157" name="信用主体简称" tableColumnId="62"/>
      <queryTableField id="70" name="板块" tableColumnId="70"/>
      <queryTableField id="151" name="板块二级" tableColumnId="63"/>
      <queryTableField id="152" name="板块三级" tableColumnId="64"/>
      <queryTableField id="71" name="中资属性" tableColumnId="71"/>
      <queryTableField id="153" name="级别" tableColumnId="77"/>
      <queryTableField id="110" name="地区" tableColumnId="72"/>
      <queryTableField id="111" name="城市" tableColumnId="73"/>
      <queryTableField id="112" name="区县" tableColumnId="74"/>
      <queryTableField id="158" name="首次违约日" tableColumnId="69"/>
      <queryTableField id="159" name="DEBUT_DATE" tableColumnId="75"/>
      <queryTableField id="160" name="DMI行业" tableColumnId="76"/>
      <queryTableField id="78" name="mCredit" tableColumnId="7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2" xr16:uid="{9A83D6E5-8028-451F-81EB-6106800FC1B7}" autoFormatId="16" applyNumberFormats="0" applyBorderFormats="0" applyFontFormats="0" applyPatternFormats="0" applyAlignmentFormats="0" applyWidthHeightFormats="0">
  <queryTableRefresh nextId="126">
    <queryTableFields count="52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124" name="备证行全称" tableColumnId="28"/>
      <queryTableField id="29" name="ESG" tableColumnId="29"/>
      <queryTableField id="121" name="品种主题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  <queryTableField id="123" name="mCurated" tableColumnId="5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59" xr16:uid="{CD7C4381-7052-4CA4-91F6-996BF768CCF2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6" name="发行评级" tableColumnId="6"/>
      <queryTableField id="7" name="货币" tableColumnId="7"/>
      <queryTableField id="8" name="发行规模(亿)" tableColumnId="8"/>
      <queryTableField id="9" name="亿美元" tableColumnId="9"/>
      <queryTableField id="10" name="年期" tableColumnId="10"/>
      <queryTableField id="11" name="Check" tableColumnId="11"/>
      <queryTableField id="12" name="mChart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1" xr16:uid="{00000000-0016-0000-0400-00000A000000}" autoFormatId="16" applyNumberFormats="0" applyBorderFormats="0" applyFontFormats="0" applyPatternFormats="0" applyAlignmentFormats="0" applyWidthHeightFormats="0">
  <queryTableRefresh nextId="175">
    <queryTableFields count="14">
      <queryTableField id="7" name="信用主体" tableColumnId="7"/>
      <queryTableField id="167" name="信用主体简称" tableColumnId="4"/>
      <queryTableField id="22" name="板块" tableColumnId="3"/>
      <queryTableField id="161" name="板块二级" tableColumnId="12"/>
      <queryTableField id="162" name="板块三级" tableColumnId="13"/>
      <queryTableField id="12" name="中资属性" tableColumnId="2"/>
      <queryTableField id="163" name="级别" tableColumnId="14"/>
      <queryTableField id="148" name="地区" tableColumnId="5"/>
      <queryTableField id="149" name="城市" tableColumnId="6"/>
      <queryTableField id="150" name="区县" tableColumnId="8"/>
      <queryTableField id="168" name="首次违约日" tableColumnId="9"/>
      <queryTableField id="169" name="DEBUT_DATE" tableColumnId="10"/>
      <queryTableField id="170" name="DMI行业" tableColumnId="11"/>
      <queryTableField id="128" name="mCredit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43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输入原始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ESG" tableColumnId="9"/>
      <queryTableField id="10" name="品种主题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56" xr16:uid="{9C2F7955-BCCD-428B-AD7B-252CCB02224B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23"/>
      <queryTableField id="2" name="Column2" tableColumnId="24"/>
      <queryTableField id="3" name="Column3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65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1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5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68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70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69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71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64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7" xr16:uid="{FE569CA9-74BD-4077-94C4-9DED6F655009}" autoFormatId="16" applyNumberFormats="0" applyBorderFormats="0" applyFontFormats="0" applyPatternFormats="0" applyAlignmentFormats="0" applyWidthHeightFormats="0">
  <queryTableRefresh nextId="3">
    <queryTableFields count="1">
      <queryTableField id="2" name="备证行全称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66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9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7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0" xr16:uid="{965395F6-617C-4046-9082-DAD00500E2C1}" autoFormatId="16" applyNumberFormats="0" applyBorderFormats="0" applyFontFormats="0" applyPatternFormats="0" applyAlignmentFormats="0" applyWidthHeightFormats="0">
  <queryTableRefresh nextId="3">
    <queryTableFields count="2">
      <queryTableField id="1" name="港分_ROLE" tableColumnId="1"/>
      <queryTableField id="2" name="Sort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FE4AD6C7-ECC8-4327-8028-676E272D43AE}" autoFormatId="16" applyNumberFormats="0" applyBorderFormats="0" applyFontFormats="0" applyPatternFormats="0" applyAlignmentFormats="0" applyWidthHeightFormats="0">
  <queryTableRefresh nextId="3">
    <queryTableFields count="2">
      <queryTableField id="1" name="定价基准" tableColumnId="1"/>
      <queryTableField id="2" name="SortValue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1" xr16:uid="{C5B2A8B4-C35B-43FA-A7B5-1C72072344E1}" autoFormatId="16" applyNumberFormats="0" applyBorderFormats="0" applyFontFormats="0" applyPatternFormats="0" applyAlignmentFormats="0" applyWidthHeightFormats="0">
  <queryTableRefresh nextId="3">
    <queryTableFields count="2">
      <queryTableField id="1" name="金融机构" tableColumnId="1"/>
      <queryTableField id="2" name="Sort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2" xr16:uid="{163BFA38-EE8E-4D18-943E-F53F5D0FDA52}" autoFormatId="16" applyNumberFormats="0" applyBorderFormats="0" applyFontFormats="0" applyPatternFormats="0" applyAlignmentFormats="0" applyWidthHeightFormats="0">
  <queryTableRefresh nextId="3">
    <queryTableFields count="2">
      <queryTableField id="1" name="银行" tableColumnId="1"/>
      <queryTableField id="2" name="SortValue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" xr16:uid="{BA54D58A-7796-4DBE-A1E6-A43B0ACEF975}" autoFormatId="16" applyNumberFormats="0" applyBorderFormats="0" applyFontFormats="0" applyPatternFormats="0" applyAlignmentFormats="0" applyWidthHeightFormats="0">
  <queryTableRefresh nextId="3">
    <queryTableFields count="2">
      <queryTableField id="1" name="非银" tableColumnId="1"/>
      <queryTableField id="2" name="SortValue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7" xr16:uid="{55D85DE4-8967-4AAC-B3C4-D2AEBF7625EB}" autoFormatId="16" applyNumberFormats="0" applyBorderFormats="0" applyFontFormats="0" applyPatternFormats="0" applyAlignmentFormats="0" applyWidthHeightFormats="0">
  <queryTableRefresh nextId="3">
    <queryTableFields count="2">
      <queryTableField id="1" name="地方国企" tableColumnId="1"/>
      <queryTableField id="2" name="SortValue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8" xr16:uid="{83708DD9-BA06-4239-A310-ED71281EE81C}" autoFormatId="16" applyNumberFormats="0" applyBorderFormats="0" applyFontFormats="0" applyPatternFormats="0" applyAlignmentFormats="0" applyWidthHeightFormats="0">
  <queryTableRefresh nextId="3">
    <queryTableFields count="2">
      <queryTableField id="1" name="地方平台" tableColumnId="1"/>
      <queryTableField id="2" name="Sort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11" totalsRowShown="0" headerRowDxfId="433" dataDxfId="432">
  <autoFilter ref="A3:C11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431"/>
    <tableColumn id="4" xr3:uid="{01BB5857-C8A7-4203-A587-04BFC8573813}" name="Parameter" dataDxfId="430"/>
    <tableColumn id="5" xr3:uid="{D010838C-EEEF-40BF-9135-662BB9B0DB52}" name="Value" dataDxfId="429"/>
  </tableColumns>
  <tableStyleInfo name="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T15:DA16" tableType="queryTable" totalsRowShown="0">
  <autoFilter ref="CT15:DA16" xr:uid="{2241697C-73A8-4C22-B4FA-5F2C3A02E1B7}"/>
  <tableColumns count="8">
    <tableColumn id="1" xr3:uid="{9DAC8948-DAFD-470D-BBBB-7438AE890060}" uniqueName="1" name="Project Name" queryTableFieldId="1"/>
    <tableColumn id="2" xr3:uid="{E0D19AF5-9F56-420C-BE6F-5792D31C8F10}" uniqueName="2" name="ISIN" queryTableFieldId="2"/>
    <tableColumn id="3" xr3:uid="{1B386BC7-C983-4E5C-A2D3-54DF24835F23}" uniqueName="3" name="项目名称（集团全称）" queryTableFieldId="3"/>
    <tableColumn id="4" xr3:uid="{E1C4CAD1-CBD0-41E3-AF73-79A611F3403A}" uniqueName="4" name="台账序号" queryTableFieldId="4"/>
    <tableColumn id="5" xr3:uid="{E978DEAB-FE96-4F72-9EEE-2D8009EF9D54}" uniqueName="5" name="担任角色" queryTableFieldId="5" dataDxfId="125"/>
    <tableColumn id="6" xr3:uid="{1BC26FCE-CF9B-4873-82CF-EC4F556D7E26}" uniqueName="6" name="新规角色" queryTableFieldId="6"/>
    <tableColumn id="7" xr3:uid="{2C8EA1EC-5FFC-4C17-9004-497BCB6D4E2A}" uniqueName="7" name="COVERAGE" queryTableFieldId="7"/>
    <tableColumn id="8" xr3:uid="{1BC42834-1C57-40F4-B31F-F9924832E77D}" uniqueName="8" name="项目定价日" queryTableFieldId="8" dataDxfId="124"/>
  </tableColumns>
  <tableStyleInfo name="Qry Loa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H15:H17" tableType="queryTable" totalsRowShown="0">
  <autoFilter ref="H15:H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H23:H25" tableType="queryTable" totalsRowShown="0" dataDxfId="428">
  <autoFilter ref="H23:H25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427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E10983-7C13-4202-A573-C7FB31CAD2C7}" name="DLD_Conso" displayName="DLD_Conso" ref="J15:CO28" tableType="queryTable" totalsRowShown="0">
  <autoFilter ref="J15:CO28" xr:uid="{5DE10983-7C13-4202-A573-C7FB31CAD2C7}"/>
  <tableColumns count="84">
    <tableColumn id="1" xr3:uid="{5B4AC918-37BD-4D6A-A9AA-A522558D3C7F}" uniqueName="1" name="Index" queryTableFieldId="1" dataDxfId="426"/>
    <tableColumn id="2" xr3:uid="{F9BD5A5E-F48A-45D7-A04F-69A74FCDB42E}" uniqueName="2" name="信用主体" queryTableFieldId="2" dataDxfId="123"/>
    <tableColumn id="4" xr3:uid="{15D8E7BD-A6E4-4077-9FA4-1897827C2FE7}" uniqueName="4" name="ISIN" queryTableFieldId="4" dataDxfId="122"/>
    <tableColumn id="5" xr3:uid="{FFF01188-D1AE-44AD-95AE-6D825003F05E}" uniqueName="5" name="定价日" queryTableFieldId="5" dataDxfId="121"/>
    <tableColumn id="83" xr3:uid="{212E4B14-8F1A-4DA6-B354-14DDC9AFB795}" uniqueName="83" name="IS_FIMTN" queryTableFieldId="83" dataDxfId="120"/>
    <tableColumn id="16" xr3:uid="{C43FAA61-23EB-49D5-8A53-0F78E5CD8F18}" uniqueName="16" name="IPT_DMI" queryTableFieldId="16" dataDxfId="119"/>
    <tableColumn id="17" xr3:uid="{5C2C8E6E-E875-4023-8277-9229E82F2138}" uniqueName="17" name="FPG_DMI" queryTableFieldId="17" dataDxfId="118"/>
    <tableColumn id="28" xr3:uid="{A87B1779-023D-4CC2-9A6F-BAB908ADCD6B}" uniqueName="28" name="认购额(亿)" queryTableFieldId="28" dataDxfId="117"/>
    <tableColumn id="42" xr3:uid="{15491A7B-A9A5-4CED-AFBA-3EFA6233958D}" uniqueName="42" name="投资者账户数" queryTableFieldId="42" dataDxfId="116"/>
    <tableColumn id="43" xr3:uid="{EF53E3CC-3554-4228-A921-22389DAF4C7C}" uniqueName="43" name="投资者类型" queryTableFieldId="43" dataDxfId="115"/>
    <tableColumn id="44" xr3:uid="{9DFCAC18-897D-4074-B4C6-E42FF6325ED5}" uniqueName="44" name="投资者分布" queryTableFieldId="44" dataDxfId="114"/>
    <tableColumn id="11" xr3:uid="{748D9A80-AB13-407D-AB06-7DDE3F86CA00}" uniqueName="11" name="货币" queryTableFieldId="11" dataDxfId="113"/>
    <tableColumn id="37" xr3:uid="{BF1E550F-A848-4203-8578-F5865833D4D7}" uniqueName="37" name="主题债券" queryTableFieldId="37" dataDxfId="112"/>
    <tableColumn id="32" xr3:uid="{A2301668-E167-403A-8530-424F70A4D86F}" uniqueName="32" name="联席全球协调人" queryTableFieldId="32" dataDxfId="111"/>
    <tableColumn id="60" xr3:uid="{C8DFD0B3-D71A-4820-8F5F-306CF96CE86D}" uniqueName="60" name="牵头经办人" queryTableFieldId="60" dataDxfId="110"/>
    <tableColumn id="3" xr3:uid="{F3CFCDEA-530D-48C4-98E1-DD9D0348E42F}" uniqueName="3" name="英文简称" queryTableFieldId="3" dataDxfId="109"/>
    <tableColumn id="6" xr3:uid="{88FECB12-C119-4603-8848-4784F71BF91F}" uniqueName="6" name="债券简称" queryTableFieldId="6" dataDxfId="108"/>
    <tableColumn id="7" xr3:uid="{514DEAC5-5FC2-45D9-8856-9748BE0CE91F}" uniqueName="7" name="穆迪/标普" queryTableFieldId="7" dataDxfId="107"/>
    <tableColumn id="8" xr3:uid="{12E425AF-AD90-4240-A396-EBACCE2BEC7F}" uniqueName="8" name="主体评级展望" queryTableFieldId="8" dataDxfId="106"/>
    <tableColumn id="9" xr3:uid="{4E741411-8F53-4D25-8049-3A8A4354E048}" uniqueName="9" name="债项评级" queryTableFieldId="9" dataDxfId="105"/>
    <tableColumn id="10" xr3:uid="{8010553D-F4C2-412F-9DFF-D6BC851164A9}" uniqueName="10" name="发行规模(亿)" queryTableFieldId="10" dataDxfId="425"/>
    <tableColumn id="12" xr3:uid="{A674AC76-EBD9-4735-B3C3-E75062DF2A9F}" uniqueName="12" name="发行期限(年)" queryTableFieldId="12" dataDxfId="424"/>
    <tableColumn id="13" xr3:uid="{656FD505-0E0A-47DF-95D0-52AE1DAF1E15}" uniqueName="13" name="票息_DMI" queryTableFieldId="13" dataDxfId="423"/>
    <tableColumn id="14" xr3:uid="{9D676D9A-D35D-4E6C-93D8-9A828E0FF4CD}" uniqueName="14" name="兑付日" queryTableFieldId="14" dataDxfId="104"/>
    <tableColumn id="15" xr3:uid="{2E0DFF7B-2254-4675-9028-EADF7D448319}" uniqueName="15" name="发行场所" queryTableFieldId="15" dataDxfId="103"/>
    <tableColumn id="18" xr3:uid="{E99BF545-AFA4-46B6-91FC-C670C4A7DB2F}" uniqueName="18" name="收窄幅度(bp)" queryTableFieldId="18" dataDxfId="422"/>
    <tableColumn id="19" xr3:uid="{7EFA6A4C-B9C4-49A2-B06F-7BF3C9764F78}" uniqueName="19" name="发行规则" queryTableFieldId="19" dataDxfId="102"/>
    <tableColumn id="20" xr3:uid="{0BB234DC-7E67-4E3E-AB36-BF6CC53D40BC}" uniqueName="20" name="发行架构" queryTableFieldId="20" dataDxfId="101"/>
    <tableColumn id="21" xr3:uid="{021ED268-0876-4BD2-8FCB-537ED973CD41}" uniqueName="21" name="SBLC提供者" queryTableFieldId="21" dataDxfId="100"/>
    <tableColumn id="22" xr3:uid="{980A3764-7F90-4D6B-BABE-38EE112C3912}" uniqueName="22" name="偿还顺位" queryTableFieldId="22" dataDxfId="99"/>
    <tableColumn id="23" xr3:uid="{1C64666A-E6BD-47D4-8710-7440C94482AE}" uniqueName="23" name="发行价" queryTableFieldId="23" dataDxfId="421"/>
    <tableColumn id="24" xr3:uid="{DFF9335F-4F86-40D7-ACC5-122F65A6F72D}" uniqueName="24" name="首日涨跌" queryTableFieldId="24" dataDxfId="420"/>
    <tableColumn id="25" xr3:uid="{C1ABA94D-07C3-403E-B547-26DFF4A22D4D}" uniqueName="25" name="省份" queryTableFieldId="25" dataDxfId="98"/>
    <tableColumn id="26" xr3:uid="{3DD7EB65-610F-4671-94BD-8039DE55469F}" uniqueName="26" name="城市" queryTableFieldId="26" dataDxfId="97"/>
    <tableColumn id="27" xr3:uid="{949135C8-6856-4928-9400-5196B1622868}" uniqueName="27" name="区县" queryTableFieldId="27" dataDxfId="96"/>
    <tableColumn id="29" xr3:uid="{8FC1C17D-0446-4B94-AA2C-F518CF9AFD67}" uniqueName="29" name="认购倍数" queryTableFieldId="29" dataDxfId="419"/>
    <tableColumn id="30" xr3:uid="{1F5FB267-EA1B-44CB-BB61-4619DA7FE17C}" uniqueName="30" name="亚洲占比" queryTableFieldId="30" dataDxfId="418"/>
    <tableColumn id="31" xr3:uid="{E6EAAED3-3D09-4A0F-9CC3-E28796BA138D}" uniqueName="31" name="基金占比" queryTableFieldId="31" dataDxfId="417"/>
    <tableColumn id="33" xr3:uid="{63595274-A0DA-4874-81FA-A650CC73EC2D}" uniqueName="33" name="发行方式" queryTableFieldId="33" dataDxfId="95"/>
    <tableColumn id="34" xr3:uid="{ABEA3544-88AC-4B84-B303-31DCB818DD9A}" uniqueName="34" name="细分行业" queryTableFieldId="34" dataDxfId="94"/>
    <tableColumn id="35" xr3:uid="{DAE43DAE-5158-469E-82A3-27E2A1E98984}" uniqueName="35" name="债项初始评级" queryTableFieldId="35" dataDxfId="93"/>
    <tableColumn id="36" xr3:uid="{1FA4C1A0-22F0-4013-9B3C-9713853A98C1}" uniqueName="36" name="境内主体评级" queryTableFieldId="36" dataDxfId="92"/>
    <tableColumn id="38" xr3:uid="{C08594C0-E3FD-4865-AC41-85790095F045}" uniqueName="38" name="DMI行业" queryTableFieldId="38" dataDxfId="91"/>
    <tableColumn id="39" xr3:uid="{8B0B0068-F249-42C3-ADB9-7317919970E3}" uniqueName="39" name="剩余期限" queryTableFieldId="39" dataDxfId="90"/>
    <tableColumn id="40" xr3:uid="{923EB214-F8DF-469F-8570-90D70D0F8EF8}" uniqueName="40" name="公司类型" queryTableFieldId="40" dataDxfId="89"/>
    <tableColumn id="41" xr3:uid="{3C3EB5F5-C8C2-495C-A789-D4302A966EA0}" uniqueName="41" name="评级类型" queryTableFieldId="41" dataDxfId="88"/>
    <tableColumn id="45" xr3:uid="{D0600A8D-061A-4455-B18D-1EDBB9B9D1E5}" uniqueName="45" name="筹款用途" queryTableFieldId="45" dataDxfId="87"/>
    <tableColumn id="46" xr3:uid="{7EC1A8F9-18AA-415B-B2D0-2BC78FE11ACD}" uniqueName="46" name="TICKER" queryTableFieldId="46" dataDxfId="86"/>
    <tableColumn id="47" xr3:uid="{998B1260-6DB9-4F80-81B7-D994D5024315}" uniqueName="47" name="债券最新面值" queryTableFieldId="47" dataDxfId="416"/>
    <tableColumn id="48" xr3:uid="{4B00D82A-5B28-4AE7-B1E3-7A4B4FDF34A3}" uniqueName="48" name="债券余额" queryTableFieldId="48" dataDxfId="415"/>
    <tableColumn id="49" xr3:uid="{BD567DDD-B834-4C96-AC0C-12C1C17C0308}" uniqueName="49" name="起息日期" queryTableFieldId="49" dataDxfId="85"/>
    <tableColumn id="50" xr3:uid="{D31B7310-0AE7-4BDE-A254-A96DFEAC1DFE}" uniqueName="50" name="行权兑付日" queryTableFieldId="50" dataDxfId="84"/>
    <tableColumn id="51" xr3:uid="{49FE00AA-64AF-4DB4-A70F-6F70D57FB9C1}" uniqueName="51" name="最新票面利率" queryTableFieldId="51" dataDxfId="414"/>
    <tableColumn id="52" xr3:uid="{F97D6B83-2403-4063-9B86-D63DBCC5EBB7}" uniqueName="52" name="计息基准" queryTableFieldId="52" dataDxfId="83"/>
    <tableColumn id="53" xr3:uid="{1087E705-93CE-43F7-9176-90F32930B92F}" uniqueName="53" name="首次付息日" queryTableFieldId="53" dataDxfId="82"/>
    <tableColumn id="54" xr3:uid="{3119E7A9-F120-451B-818E-BDB8B2538B7C}" uniqueName="54" name="发行人" queryTableFieldId="54" dataDxfId="81"/>
    <tableColumn id="55" xr3:uid="{CE899D90-AF75-4945-94A2-E7B4324E06E6}" uniqueName="55" name="担保人" queryTableFieldId="55" dataDxfId="80"/>
    <tableColumn id="56" xr3:uid="{3CF8F69A-4EDA-462D-9DFC-8763E467EAAD}" uniqueName="56" name="发行起始日" queryTableFieldId="56" dataDxfId="79"/>
    <tableColumn id="57" xr3:uid="{CE50FFC2-FEB9-48F9-8A67-53BB3AEDD01E}" uniqueName="57" name="定价_DMI" queryTableFieldId="57" dataDxfId="78"/>
    <tableColumn id="58" xr3:uid="{6131BB60-3A2B-4519-8007-0080DF48E567}" uniqueName="58" name="上市日期" queryTableFieldId="58" dataDxfId="77"/>
    <tableColumn id="59" xr3:uid="{4826C77C-1256-4558-BBA1-F14A62786E31}" uniqueName="59" name="特殊条款说明" queryTableFieldId="59" dataDxfId="76"/>
    <tableColumn id="61" xr3:uid="{F3D3069B-892D-462E-848D-D1520D13C6B4}" uniqueName="61" name="联席账簿管理人" queryTableFieldId="61" dataDxfId="75"/>
    <tableColumn id="62" xr3:uid="{C9405520-5754-488F-9B2F-9DCEE751DDF1}" uniqueName="62" name="是否永续债" queryTableFieldId="62" dataDxfId="74"/>
    <tableColumn id="63" xr3:uid="{EA36CDCC-B24B-4915-B88B-915FD3CA45BF}" uniqueName="63" name="是否存单" queryTableFieldId="63" dataDxfId="73"/>
    <tableColumn id="64" xr3:uid="{464ADBD4-A5B0-4841-8BA4-8077E2D7543F}" uniqueName="64" name="利率类型" queryTableFieldId="64" dataDxfId="72"/>
    <tableColumn id="65" xr3:uid="{BBE152A3-C48E-4530-8099-D8B9E7367856}" uniqueName="65" name="交易状态" queryTableFieldId="65" dataDxfId="71"/>
    <tableColumn id="66" xr3:uid="{6E4EE89B-0D90-460F-8669-2423695ADB83}" uniqueName="66" name="债券类型" queryTableFieldId="66" dataDxfId="70"/>
    <tableColumn id="67" xr3:uid="{C7CF4945-DACF-4862-9DF7-1D48F5653EF9}" uniqueName="67" name="特殊条款" queryTableFieldId="67" dataDxfId="69"/>
    <tableColumn id="68" xr3:uid="{12320A46-A196-46A7-A947-F10F385932E2}" uniqueName="68" name="付息频率" queryTableFieldId="68" dataDxfId="68"/>
    <tableColumn id="69" xr3:uid="{99B8A5AC-8638-4583-8A3A-E6AAFFDD7498}" uniqueName="69" name="维好协议提供者" queryTableFieldId="69" dataDxfId="67"/>
    <tableColumn id="71" xr3:uid="{78E0FE67-73E7-4373-BD7E-D2939C000866}" uniqueName="71" name="DataSource" queryTableFieldId="71" dataDxfId="66"/>
    <tableColumn id="72" xr3:uid="{5BC88393-B624-4029-96B9-5ABBEE8B3A47}" uniqueName="72" name="首次违约日" queryTableFieldId="72" dataDxfId="65"/>
    <tableColumn id="73" xr3:uid="{55FA349D-E074-41BF-8441-D5CAC3F93362}" uniqueName="73" name="IS_EXCH" queryTableFieldId="73" dataDxfId="64"/>
    <tableColumn id="74" xr3:uid="{9B912B4D-B95F-461E-B2C7-AC0B2731A7D9}" uniqueName="74" name="地区" queryTableFieldId="74" dataDxfId="63"/>
    <tableColumn id="75" xr3:uid="{77A97F76-F78D-49EE-A135-0B44C468C663}" uniqueName="75" name="BISL_ROLE" queryTableFieldId="75" dataDxfId="62"/>
    <tableColumn id="77" xr3:uid="{DFD74504-BE23-409C-A426-555BA89DA3CC}" uniqueName="77" name="发行人主上市地" queryTableFieldId="77" dataDxfId="61"/>
    <tableColumn id="78" xr3:uid="{5F92E4DD-0D17-46B8-A6AB-08937C9972D9}" uniqueName="78" name="补充OMAS updates" queryTableFieldId="78" dataDxfId="60"/>
    <tableColumn id="79" xr3:uid="{ED16B4A3-6606-4FFA-896F-8E7D37A85C54}" uniqueName="79" name="定价息差" queryTableFieldId="79" dataDxfId="413"/>
    <tableColumn id="80" xr3:uid="{999D5454-F1CD-4D76-8A97-E6CE2FC72590}" uniqueName="80" name="发行评级" queryTableFieldId="80" dataDxfId="59"/>
    <tableColumn id="81" xr3:uid="{F260417E-7952-4DA1-97C6-854B34894029}" uniqueName="81" name="主体评级" queryTableFieldId="81" dataDxfId="58"/>
    <tableColumn id="82" xr3:uid="{C4A16EEC-D011-40B5-BFA7-2A7A67601F78}" uniqueName="82" name="ESG_Indicator" queryTableFieldId="82" dataDxfId="57"/>
    <tableColumn id="84" xr3:uid="{B399C842-C243-4CF1-AA5D-4BA4EB279093}" uniqueName="84" name="Check" queryTableFieldId="84" dataDxfId="412"/>
    <tableColumn id="85" xr3:uid="{84C0ECED-34C3-4F74-AABD-54F25A834F63}" uniqueName="85" name="OTHER_ISIN" queryTableFieldId="95" dataDxfId="411"/>
    <tableColumn id="70" xr3:uid="{37065CD8-2B91-42F1-83B0-CB19C5FB4D77}" uniqueName="70" name="发行人成立地" queryTableFieldId="96" dataDxfId="410"/>
  </tableColumns>
  <tableStyleInfo name="Qry Loa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I13" tableType="queryTable" totalsRowShown="0">
  <autoFilter ref="P5:AI13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43"/>
    <tableColumn id="2" xr3:uid="{00000000-0010-0000-1700-000002000000}" uniqueName="2" name="信用主体" queryTableFieldId="2" dataDxfId="408"/>
    <tableColumn id="15" xr3:uid="{E24E777A-D49C-4B3E-93AA-DFAEBA57F42B}" uniqueName="15" name="ESG" queryTableFieldId="55" dataDxfId="407"/>
    <tableColumn id="12" xr3:uid="{00000000-0010-0000-1700-00000C000000}" uniqueName="12" name="IPG" queryTableFieldId="12" dataDxfId="406"/>
    <tableColumn id="13" xr3:uid="{00000000-0010-0000-1700-00000D000000}" uniqueName="13" name="FPG" queryTableFieldId="13" dataDxfId="405"/>
    <tableColumn id="14" xr3:uid="{00000000-0010-0000-1700-00000E000000}" uniqueName="14" name="收窄基点" queryTableFieldId="14" dataDxfId="404"/>
    <tableColumn id="4" xr3:uid="{6C7FD7BE-8D8C-4280-8400-F9D8BA7FAAB5}" uniqueName="4" name="定价基准" queryTableFieldId="131" dataDxfId="403"/>
    <tableColumn id="25" xr3:uid="{00000000-0010-0000-1700-000019000000}" uniqueName="25" name="定价" queryTableFieldId="25" dataDxfId="402"/>
    <tableColumn id="31" xr3:uid="{FFCE47EB-D5CF-4D34-81FA-065EDA65F5D5}" uniqueName="31" name="增发判定" queryTableFieldId="72" dataDxfId="401"/>
    <tableColumn id="8" xr3:uid="{00000000-0010-0000-1700-000008000000}" uniqueName="8" name="货币" queryTableFieldId="8" dataDxfId="400"/>
    <tableColumn id="9" xr3:uid="{00000000-0010-0000-1700-000009000000}" uniqueName="9" name="发行规模(亿)" queryTableFieldId="9" dataDxfId="399"/>
    <tableColumn id="5" xr3:uid="{A465A109-439B-46CC-B8D9-8536815366D7}" uniqueName="5" name="年期" queryTableFieldId="52" dataDxfId="398"/>
    <tableColumn id="11" xr3:uid="{00000000-0010-0000-1700-00000B000000}" uniqueName="11" name="票息" queryTableFieldId="11" dataDxfId="397"/>
    <tableColumn id="3" xr3:uid="{24F0DFD7-9531-4CB3-A79F-E21707EF0921}" uniqueName="3" name="品种主题" queryTableFieldId="129" dataDxfId="396"/>
    <tableColumn id="33" xr3:uid="{F7F8C15B-103F-4121-B909-0AA998B5A268}" uniqueName="33" name="上市" queryTableFieldId="73" dataDxfId="395"/>
    <tableColumn id="23" xr3:uid="{00000000-0010-0000-1700-000017000000}" uniqueName="23" name="亿美元" queryTableFieldId="23" dataDxfId="394"/>
    <tableColumn id="24" xr3:uid="{00000000-0010-0000-1700-000018000000}" uniqueName="24" name="亿元" queryTableFieldId="24" dataDxfId="393"/>
    <tableColumn id="21" xr3:uid="{02205151-A1BC-4641-96CA-0A9C736A8B39}" uniqueName="21" name="亿港币" queryTableFieldId="84" dataDxfId="392"/>
    <tableColumn id="35" xr3:uid="{00000000-0010-0000-1700-000023000000}" uniqueName="35" name="ISIN" queryTableFieldId="35" dataDxfId="391"/>
    <tableColumn id="19" xr3:uid="{00000000-0010-0000-1700-000013000000}" uniqueName="19" name="Check" queryTableFieldId="49" dataDxfId="390"/>
  </tableColumns>
  <tableStyleInfo name="Qry Loa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M5:BA7" tableType="queryTable" totalsRowShown="0">
  <autoFilter ref="AM5:BA7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4" xr3:uid="{01FA5C76-E4A2-4330-BE15-F2BBFE12C458}" uniqueName="4" name="信用主体" queryTableFieldId="69" dataDxfId="389"/>
    <tableColumn id="1" xr3:uid="{00000000-0010-0000-1800-000001000000}" uniqueName="1" name="Check" queryTableFieldId="1" dataDxfId="56"/>
    <tableColumn id="2" xr3:uid="{00000000-0010-0000-1800-000002000000}" uniqueName="2" name="ISIN" queryTableFieldId="2" dataDxfId="55"/>
    <tableColumn id="3" xr3:uid="{00000000-0010-0000-1800-000003000000}" uniqueName="3" name="定价日" queryTableFieldId="3" dataDxfId="54"/>
    <tableColumn id="18" xr3:uid="{CE8319FC-590C-4EDF-A68D-FBC91063B4F2}" uniqueName="18" name="台账序号" queryTableFieldId="38" dataDxfId="53"/>
    <tableColumn id="10" xr3:uid="{00000000-0010-0000-1800-00000A000000}" uniqueName="10" name="Project Name" queryTableFieldId="22" dataDxfId="52"/>
    <tableColumn id="6" xr3:uid="{C97C7999-7946-4BA8-B939-62252A2FA544}" uniqueName="6" name="EXE" queryTableFieldId="72" dataDxfId="388"/>
    <tableColumn id="8" xr3:uid="{00000000-0010-0000-1800-000008000000}" uniqueName="8" name="COVERAGE" queryTableFieldId="16" dataDxfId="51"/>
    <tableColumn id="12" xr3:uid="{00000000-0010-0000-1800-00000C000000}" uniqueName="12" name="新规角色" queryTableFieldId="12" dataDxfId="50"/>
    <tableColumn id="9" xr3:uid="{00000000-0010-0000-1800-000009000000}" uniqueName="9" name="PROJECT_CODE" queryTableFieldId="17" dataDxfId="49"/>
    <tableColumn id="15" xr3:uid="{00000000-0010-0000-1800-00000F000000}" uniqueName="15" name="期数" queryTableFieldId="15" dataDxfId="48"/>
    <tableColumn id="5" xr3:uid="{00000000-0010-0000-1800-000005000000}" uniqueName="5" name="BISL_ROLE" queryTableFieldId="5" dataDxfId="47"/>
    <tableColumn id="11" xr3:uid="{00000000-0010-0000-1800-00000B000000}" uniqueName="11" name="IS_LEAD" queryTableFieldId="30" dataDxfId="46"/>
    <tableColumn id="13" xr3:uid="{00000000-0010-0000-1800-00000D000000}" uniqueName="13" name="IS_B&amp;D" queryTableFieldId="31" dataDxfId="45"/>
    <tableColumn id="14" xr3:uid="{00000000-0010-0000-1800-00000E000000}" uniqueName="14" name="是否合名" queryTableFieldId="32" dataDxfId="44"/>
  </tableColumns>
  <tableStyleInfo name="Qry Loa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E5:BN6" tableType="queryTable" insertRow="1" totalsRowShown="0">
  <autoFilter ref="BE5:BN6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4" xr3:uid="{5D8C0826-4749-4B80-BE52-B2AE7B522193}" uniqueName="4" name="板块" queryTableFieldId="8"/>
    <tableColumn id="5" xr3:uid="{BF84519F-AA73-46FB-A9FF-2D27EF1E5179}" uniqueName="5" name="板块二级" queryTableFieldId="9"/>
    <tableColumn id="6" xr3:uid="{C1BF62F6-15E9-4CB0-AEF8-C0CB2436A363}" uniqueName="6" name="板块三级" queryTableFieldId="10"/>
    <tableColumn id="2" xr3:uid="{067E2B2D-938B-409B-BBB9-BD65FC38D959}" uniqueName="2" name="中资属性" queryTableFieldId="6"/>
    <tableColumn id="7" xr3:uid="{1D1B38A5-B3EF-4481-8F33-4CF9539186F7}" uniqueName="7" name="级别" queryTableFieldId="11"/>
    <tableColumn id="8" xr3:uid="{800D0F85-2095-49BE-9029-4FCC906AA585}" uniqueName="8" name="地区" queryTableFieldId="12"/>
    <tableColumn id="9" xr3:uid="{FA583856-35C7-4F60-92E4-D675E7D4C0EB}" uniqueName="9" name="城市" queryTableFieldId="13"/>
    <tableColumn id="10" xr3:uid="{BD817CF1-4219-44CF-908A-2290B91B8649}" uniqueName="10" name="区县" queryTableFieldId="14"/>
  </tableColumns>
  <tableStyleInfo name="review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13" tableType="queryTable" totalsRowShown="0">
  <autoFilter ref="B5:L13" xr:uid="{5C4B1B8C-A0D4-4D02-A871-15DC30D8DA09}"/>
  <tableColumns count="11">
    <tableColumn id="1" xr3:uid="{3E9647E3-CCA2-4EE2-BC8F-94A72BF1C6FB}" uniqueName="1" name="删除及隐藏" queryTableFieldId="1" dataDxfId="387"/>
    <tableColumn id="2" xr3:uid="{2989A5DB-032C-4A61-9F1B-232A1392CB59}" uniqueName="2" name="ISIN" queryTableFieldId="2" dataDxfId="386"/>
    <tableColumn id="3" xr3:uid="{54C99E76-3C90-4DC7-B18C-794479F768ED}" uniqueName="3" name="定价日" queryTableFieldId="3" dataDxfId="33"/>
    <tableColumn id="4" xr3:uid="{505BB7FB-E263-483A-AC0A-0AE9317B9D8F}" uniqueName="4" name="信用主体" queryTableFieldId="4" dataDxfId="385"/>
    <tableColumn id="5" xr3:uid="{315B6BA9-3BCB-45C2-9A6C-9FBD75E934D6}" uniqueName="5" name="发行评级" queryTableFieldId="5" dataDxfId="384"/>
    <tableColumn id="6" xr3:uid="{ACB704AC-62D4-40E7-A2F0-002B6341CEAF}" uniqueName="6" name="主体评级" queryTableFieldId="6" dataDxfId="383"/>
    <tableColumn id="7" xr3:uid="{D73EE109-D3A9-4E56-A56C-D8807776759C}" uniqueName="7" name="结构" queryTableFieldId="7" dataDxfId="382"/>
    <tableColumn id="8" xr3:uid="{EBA5E71C-883A-47C5-BE9D-DE2534C5C933}" uniqueName="8" name="备证行全称" queryTableFieldId="12" dataDxfId="381"/>
    <tableColumn id="9" xr3:uid="{0B451F54-19BB-415D-8E9F-1F0685BB9AD2}" uniqueName="9" name="港分_ROLE" queryTableFieldId="9" dataDxfId="380"/>
    <tableColumn id="10" xr3:uid="{26B4736D-076D-4E30-9954-6491DC39F40B}" uniqueName="10" name="澳分_ROLE" queryTableFieldId="10" dataDxfId="379"/>
    <tableColumn id="11" xr3:uid="{A1D5D74A-E135-4039-9984-BA315ECFEBA2}" uniqueName="11" name="Check" queryTableFieldId="11" dataDxfId="378"/>
  </tableColumns>
  <tableStyleInfo name="Qry Loa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DE19" tableType="queryTable" totalsRowShown="0">
  <autoFilter ref="A6:DE19" xr:uid="{CDDF5528-447C-443B-AF7C-674545284801}"/>
  <tableColumns count="109">
    <tableColumn id="1" xr3:uid="{C0844C81-13FB-48BE-BDE9-F0D29D54269E}" uniqueName="1" name="Index" queryTableFieldId="1" dataDxfId="377"/>
    <tableColumn id="3" xr3:uid="{AC1BC36F-CCDC-477B-832E-1E8CE6730098}" uniqueName="3" name="信用主体" queryTableFieldId="3" dataDxfId="376"/>
    <tableColumn id="5" xr3:uid="{9BB249D6-B921-409C-BD25-1143AD7E4A15}" uniqueName="5" name="ISIN" queryTableFieldId="5" dataDxfId="375"/>
    <tableColumn id="6" xr3:uid="{92748992-E149-4DC2-9B29-E2EFE1DB117C}" uniqueName="6" name="定价日" queryTableFieldId="6" dataDxfId="42"/>
    <tableColumn id="2" xr3:uid="{4A568699-9719-499E-BA66-35A7C05B513F}" uniqueName="2" name="IS_FIMTN" queryTableFieldId="2" dataDxfId="374"/>
    <tableColumn id="9" xr3:uid="{8F4A4264-E4EB-465C-95BF-43829C64E429}" uniqueName="9" name="IPT_DMI" queryTableFieldId="9" dataDxfId="373"/>
    <tableColumn id="10" xr3:uid="{452A448D-CFA5-4DB8-AD7B-CCADF1BC6711}" uniqueName="10" name="FPG_DMI" queryTableFieldId="10" dataDxfId="372"/>
    <tableColumn id="52" xr3:uid="{5A03D882-1ECF-4876-A9AC-28A8D78CED8C}" uniqueName="52" name="认购额(亿)" queryTableFieldId="52" dataDxfId="371"/>
    <tableColumn id="41" xr3:uid="{8AF16E58-A015-418C-8513-49EBB27EDBF4}" uniqueName="41" name="投资者账户数" queryTableFieldId="41" dataDxfId="370"/>
    <tableColumn id="40" xr3:uid="{9E7A2765-F24C-4E03-9D4C-AF98B2BE6AC5}" uniqueName="40" name="投资者类型" queryTableFieldId="40" dataDxfId="369"/>
    <tableColumn id="39" xr3:uid="{52CCEFB4-75D0-4445-91A7-112CAC632FBE}" uniqueName="39" name="投资者分布" queryTableFieldId="39" dataDxfId="368"/>
    <tableColumn id="7" xr3:uid="{2876D30C-814B-43A4-B8F6-8C4DA856FC56}" uniqueName="7" name="货币" queryTableFieldId="7" dataDxfId="367"/>
    <tableColumn id="8" xr3:uid="{64D6EB2D-7AC6-4160-962B-80870A88FE9C}" uniqueName="8" name="ESG_Source" queryTableFieldId="8" dataDxfId="366"/>
    <tableColumn id="11" xr3:uid="{CE87F2C8-60A7-4F20-A21A-839EEE9168C7}" uniqueName="11" name="联席全球协调人" queryTableFieldId="11" dataDxfId="365"/>
    <tableColumn id="12" xr3:uid="{08EB1D31-2036-4406-B445-E8F3BF86B96D}" uniqueName="12" name="牵头经办人" queryTableFieldId="12" dataDxfId="364"/>
    <tableColumn id="13" xr3:uid="{BBA949DC-8CFA-4955-8128-ADB18AEF6B87}" uniqueName="13" name="英文简称" queryTableFieldId="13" dataDxfId="363"/>
    <tableColumn id="71" xr3:uid="{904F8824-A527-4DD3-A91E-090295245807}" uniqueName="71" name="债券简称" queryTableFieldId="71" dataDxfId="362"/>
    <tableColumn id="70" xr3:uid="{F9720734-02A9-4BCF-90D7-93CF9F1A9A77}" uniqueName="70" name="穆迪/标普" queryTableFieldId="70" dataDxfId="361"/>
    <tableColumn id="69" xr3:uid="{E39B5F07-4C36-4BFD-BCED-77021B12F7EC}" uniqueName="69" name="主体评级展望" queryTableFieldId="69" dataDxfId="360"/>
    <tableColumn id="68" xr3:uid="{98BF047E-6060-4684-871F-830B4E0B249C}" uniqueName="68" name="债项评级" queryTableFieldId="68" dataDxfId="359"/>
    <tableColumn id="67" xr3:uid="{BE8D6084-916D-4133-B3A2-D2905CFDDD76}" uniqueName="67" name="发行规模(亿)" queryTableFieldId="67" dataDxfId="358"/>
    <tableColumn id="66" xr3:uid="{656A4809-8342-40A9-84C6-D5F07C399DCE}" uniqueName="66" name="发行期限(年)" queryTableFieldId="66" dataDxfId="357"/>
    <tableColumn id="65" xr3:uid="{09A5C30C-729A-48CC-B4EB-3B865E699265}" uniqueName="65" name="票息_DMI" queryTableFieldId="65" dataDxfId="356"/>
    <tableColumn id="64" xr3:uid="{3A8EE787-58D6-40FA-A8E0-C1EE401DE4B9}" uniqueName="64" name="兑付日" queryTableFieldId="64" dataDxfId="41"/>
    <tableColumn id="63" xr3:uid="{48856535-C351-461C-B64D-8FC779702C24}" uniqueName="63" name="发行场所" queryTableFieldId="63" dataDxfId="355"/>
    <tableColumn id="62" xr3:uid="{8B44A811-8D8C-4FBA-AEB0-B2A31EA1AD09}" uniqueName="62" name="收窄幅度(bp)" queryTableFieldId="62" dataDxfId="354"/>
    <tableColumn id="61" xr3:uid="{00F8644A-D6DA-4985-8E6B-73B8DCB4459B}" uniqueName="61" name="发行规则" queryTableFieldId="61" dataDxfId="353"/>
    <tableColumn id="60" xr3:uid="{9AFC4BEF-D3CB-4B94-A996-8556C6B34025}" uniqueName="60" name="发行架构" queryTableFieldId="60" dataDxfId="352"/>
    <tableColumn id="59" xr3:uid="{4D39C025-1DCB-4366-9CF7-30ADF8318EC5}" uniqueName="59" name="SBLC提供者" queryTableFieldId="59" dataDxfId="351"/>
    <tableColumn id="58" xr3:uid="{C20545BE-F0E3-4358-96EB-833986AFB640}" uniqueName="58" name="偿还顺位" queryTableFieldId="58" dataDxfId="350"/>
    <tableColumn id="57" xr3:uid="{A279FC67-8893-466D-A727-00889FD4AD1E}" uniqueName="57" name="发行价" queryTableFieldId="57" dataDxfId="349"/>
    <tableColumn id="56" xr3:uid="{6EE32153-3E0D-4C3C-94C7-7FE691EB6D02}" uniqueName="56" name="首日涨跌" queryTableFieldId="56" dataDxfId="348"/>
    <tableColumn id="55" xr3:uid="{76931474-83FB-4867-AF9C-D7E65B44B26F}" uniqueName="55" name="省份" queryTableFieldId="55" dataDxfId="347"/>
    <tableColumn id="54" xr3:uid="{4CEE06E0-A31E-4018-BEFE-442BA305B966}" uniqueName="54" name="城市" queryTableFieldId="54" dataDxfId="346"/>
    <tableColumn id="53" xr3:uid="{70ABA819-A038-4323-839D-97C08EEF63CD}" uniqueName="53" name="区县" queryTableFieldId="53" dataDxfId="345"/>
    <tableColumn id="51" xr3:uid="{5C000353-D0CB-4F5B-A11B-638B87E5E1B7}" uniqueName="51" name="认购倍数" queryTableFieldId="51" dataDxfId="344"/>
    <tableColumn id="50" xr3:uid="{3A7E0BC9-8420-4B67-8EEF-8F0A5A3DAA50}" uniqueName="50" name="亚洲占比" queryTableFieldId="50" dataDxfId="343"/>
    <tableColumn id="49" xr3:uid="{7AD1ADFE-896F-47FF-A6B9-438BBA7FEC00}" uniqueName="49" name="基金占比" queryTableFieldId="49" dataDxfId="342"/>
    <tableColumn id="48" xr3:uid="{0E271067-DA5D-4EBA-9454-332850429252}" uniqueName="48" name="发行方式" queryTableFieldId="48" dataDxfId="341"/>
    <tableColumn id="47" xr3:uid="{199FFD36-853A-43EA-B94A-48E44C24CB23}" uniqueName="47" name="细分行业" queryTableFieldId="47" dataDxfId="340"/>
    <tableColumn id="46" xr3:uid="{22C27A75-0B9A-4C70-92F0-CB323071B28F}" uniqueName="46" name="债项初始评级" queryTableFieldId="46" dataDxfId="339"/>
    <tableColumn id="45" xr3:uid="{603C7CC9-59E6-482A-A158-925ABF70B72E}" uniqueName="45" name="境内主体评级" queryTableFieldId="45" dataDxfId="338"/>
    <tableColumn id="4" xr3:uid="{45C997D1-1F05-4CCD-B643-8ADCA6DC40EB}" uniqueName="4" name="DMI行业" queryTableFieldId="158"/>
    <tableColumn id="44" xr3:uid="{15AD3519-B16C-49DD-99DF-A71C1D2B3038}" uniqueName="44" name="剩余期限" queryTableFieldId="44" dataDxfId="337"/>
    <tableColumn id="43" xr3:uid="{1CB6CFDB-15FC-4372-91FF-32B5ACF96887}" uniqueName="43" name="公司类型" queryTableFieldId="43" dataDxfId="336"/>
    <tableColumn id="42" xr3:uid="{19823FC0-944D-47BA-8510-F821401D7848}" uniqueName="42" name="评级类型" queryTableFieldId="42" dataDxfId="335"/>
    <tableColumn id="38" xr3:uid="{75CD578C-1F6A-49BE-A807-22D0A211955A}" uniqueName="38" name="筹款用途" queryTableFieldId="38" dataDxfId="334"/>
    <tableColumn id="37" xr3:uid="{514DDF5A-DDA1-4CB3-8126-EC129D7C9ACA}" uniqueName="37" name="TICKER" queryTableFieldId="37" dataDxfId="333"/>
    <tableColumn id="36" xr3:uid="{6548ED30-3A02-441C-BCC5-B75D134C2FE2}" uniqueName="36" name="债券最新面值" queryTableFieldId="36" dataDxfId="332"/>
    <tableColumn id="35" xr3:uid="{4EF15B80-BCC6-4F99-8109-08B4F9A13EB4}" uniqueName="35" name="债券余额" queryTableFieldId="35" dataDxfId="331"/>
    <tableColumn id="34" xr3:uid="{E3854E03-8195-4691-9B35-F53C79A07D5F}" uniqueName="34" name="起息日期" queryTableFieldId="34" dataDxfId="40"/>
    <tableColumn id="33" xr3:uid="{695DA9AF-3950-4624-88E4-0BD1A253DC7F}" uniqueName="33" name="行权兑付日" queryTableFieldId="33" dataDxfId="39"/>
    <tableColumn id="32" xr3:uid="{B6E85873-8F4C-4565-8097-7B038054A199}" uniqueName="32" name="最新票面利率" queryTableFieldId="32" dataDxfId="330"/>
    <tableColumn id="31" xr3:uid="{D3781C9C-3707-41FB-8F6D-766D1ACE952A}" uniqueName="31" name="计息基准" queryTableFieldId="31" dataDxfId="329"/>
    <tableColumn id="30" xr3:uid="{39392E72-E631-4B30-9315-002E2790687A}" uniqueName="30" name="首次付息日" queryTableFieldId="30" dataDxfId="38"/>
    <tableColumn id="29" xr3:uid="{7C19D6E4-E675-4348-BF0E-C18ECC98656C}" uniqueName="29" name="发行人" queryTableFieldId="29" dataDxfId="328"/>
    <tableColumn id="28" xr3:uid="{F441BC3E-ED42-4AB1-8228-1B6924DBA6CA}" uniqueName="28" name="担保人" queryTableFieldId="28" dataDxfId="327"/>
    <tableColumn id="27" xr3:uid="{7BEF2D8D-31E3-42F9-B2F8-1285A8AEA53A}" uniqueName="27" name="发行起始日" queryTableFieldId="27" dataDxfId="37"/>
    <tableColumn id="26" xr3:uid="{2023C00C-A429-4931-BDDA-17ECE8CD2384}" uniqueName="26" name="定价_DMI" queryTableFieldId="26" dataDxfId="326"/>
    <tableColumn id="25" xr3:uid="{717F72D8-0F14-4058-A303-D5D8C035AF0D}" uniqueName="25" name="上市日期" queryTableFieldId="25" dataDxfId="36"/>
    <tableColumn id="24" xr3:uid="{845A41CB-6954-43DF-B920-27D89360F0AC}" uniqueName="24" name="特殊条款说明" queryTableFieldId="24" dataDxfId="325"/>
    <tableColumn id="23" xr3:uid="{53CAA8EF-4AEC-46A8-9E27-441717E56129}" uniqueName="23" name="联席账簿管理人" queryTableFieldId="23" dataDxfId="324"/>
    <tableColumn id="22" xr3:uid="{FA3F4F21-7EFE-4A67-82FF-76BB902BB391}" uniqueName="22" name="是否永续债" queryTableFieldId="22" dataDxfId="323"/>
    <tableColumn id="21" xr3:uid="{5AD7D3DC-431C-4D40-A998-715A4B5D4ED3}" uniqueName="21" name="是否存单" queryTableFieldId="21" dataDxfId="322"/>
    <tableColumn id="20" xr3:uid="{EB39CAED-E998-4724-A29F-9923AA8E87CD}" uniqueName="20" name="利率类型" queryTableFieldId="20" dataDxfId="321"/>
    <tableColumn id="19" xr3:uid="{160E00C3-CA1D-4E34-AFFB-500E27DD7358}" uniqueName="19" name="交易状态" queryTableFieldId="19" dataDxfId="320"/>
    <tableColumn id="18" xr3:uid="{D5F5D2FD-2D1D-4C73-9503-B08C22459B30}" uniqueName="18" name="债券类型" queryTableFieldId="18" dataDxfId="319"/>
    <tableColumn id="17" xr3:uid="{4F6E8B26-AA02-4350-8D29-EE5F63183020}" uniqueName="17" name="特殊条款" queryTableFieldId="17" dataDxfId="318"/>
    <tableColumn id="15" xr3:uid="{DD880CCD-C32F-4426-8544-CD57679F31FB}" uniqueName="15" name="付息频率" queryTableFieldId="15" dataDxfId="317"/>
    <tableColumn id="16" xr3:uid="{EC267DCA-B7BB-4080-B715-A81622734B97}" uniqueName="16" name="维好协议提供者" queryTableFieldId="16" dataDxfId="316"/>
    <tableColumn id="72" xr3:uid="{36609404-44F5-4DF0-BDD0-C17E6084BB98}" uniqueName="72" name="DataSource" queryTableFieldId="72" dataDxfId="315"/>
    <tableColumn id="73" xr3:uid="{4D85F51E-D29E-4116-94CC-E00DFE58D5BF}" uniqueName="73" name="首次违约日" queryTableFieldId="73" dataDxfId="35"/>
    <tableColumn id="74" xr3:uid="{4A571569-1D0E-4C48-859E-A52D4AAE080A}" uniqueName="74" name="IS_EXCH" queryTableFieldId="74" dataDxfId="314"/>
    <tableColumn id="75" xr3:uid="{6CD67985-9A55-4359-8E30-3955714BAAE8}" uniqueName="75" name="地区" queryTableFieldId="75" dataDxfId="313"/>
    <tableColumn id="76" xr3:uid="{5B53AACC-5E76-4DB6-99B8-B2C4410F91B2}" uniqueName="76" name="BISL_ROLE" queryTableFieldId="76" dataDxfId="312"/>
    <tableColumn id="78" xr3:uid="{6806FE0C-2F89-4FCB-9CD5-22A9BE33B59D}" uniqueName="78" name="发行人主上市地" queryTableFieldId="78" dataDxfId="311"/>
    <tableColumn id="79" xr3:uid="{38EED0C3-EE66-4A96-A601-0BBBDEB18E44}" uniqueName="79" name="补充OMAS updates" queryTableFieldId="79" dataDxfId="34"/>
    <tableColumn id="80" xr3:uid="{2AA2F95F-67EF-49FE-90BA-65856DA12BEA}" uniqueName="80" name="定价息差" queryTableFieldId="80" dataDxfId="310"/>
    <tableColumn id="81" xr3:uid="{E71EC63D-EBDC-4FF6-A877-995A9CD60C2B}" uniqueName="81" name="发行评级" queryTableFieldId="81" dataDxfId="309"/>
    <tableColumn id="82" xr3:uid="{98DF1031-C7F2-4850-9922-C4A7E135D979}" uniqueName="82" name="主体评级" queryTableFieldId="82" dataDxfId="308"/>
    <tableColumn id="108" xr3:uid="{2698A87F-AD67-4A1D-80AC-F5AE2E5294FB}" uniqueName="108" name="OTHER_ISIN" queryTableFieldId="221" dataDxfId="307"/>
    <tableColumn id="77" xr3:uid="{3695A1EA-9E10-4392-BA84-45ED27DDC5AF}" uniqueName="77" name="发行人成立地" queryTableFieldId="227" dataDxfId="306"/>
    <tableColumn id="83" xr3:uid="{2A5CE70B-57D3-4AAD-9D97-84E3D2E342CB}" uniqueName="83" name="结构" queryTableFieldId="83" dataDxfId="305"/>
    <tableColumn id="90" xr3:uid="{51E8488C-A4C5-46E0-968E-7BAEC9AF5102}" uniqueName="90" name="增发判定" queryTableFieldId="90" dataDxfId="304"/>
    <tableColumn id="14" xr3:uid="{76E268C8-0D56-44C5-900D-075631C60857}" uniqueName="14" name="备证行分行" queryTableFieldId="223" dataDxfId="303"/>
    <tableColumn id="84" xr3:uid="{18AF4D7C-DAAD-408B-93D4-F8839CD79F9F}" uniqueName="84" name="备证行全称" queryTableFieldId="224" dataDxfId="302"/>
    <tableColumn id="85" xr3:uid="{07222D66-BA37-4381-9F23-B87C506C86D7}" uniqueName="85" name="上市" queryTableFieldId="85" dataDxfId="301"/>
    <tableColumn id="86" xr3:uid="{9F0CE7F1-E4E4-4A27-B3FB-E740BE1932AB}" uniqueName="86" name="通过分行" queryTableFieldId="86" dataDxfId="300"/>
    <tableColumn id="103" xr3:uid="{E19CB8A6-0ED0-445D-9823-E7B95FAB3D17}" uniqueName="103" name="YYQQ" queryTableFieldId="147" dataDxfId="299"/>
    <tableColumn id="105" xr3:uid="{BC52A170-3E8D-49D3-AF5C-C5B002F15749}" uniqueName="105" name="USD" queryTableFieldId="148"/>
    <tableColumn id="106" xr3:uid="{59FFA814-7B91-4CB0-9843-A1F8F172B6B6}" uniqueName="106" name="CNH" queryTableFieldId="149"/>
    <tableColumn id="107" xr3:uid="{1533B589-DEE0-480D-8770-FFC3316F52EE}" uniqueName="107" name="HKD" queryTableFieldId="150"/>
    <tableColumn id="87" xr3:uid="{E1E52557-E125-48BE-85E0-86E4AA479955}" uniqueName="87" name="亿美元" queryTableFieldId="87" dataDxfId="298"/>
    <tableColumn id="88" xr3:uid="{1154296F-F3FC-4CA0-98AF-8D22E01B8000}" uniqueName="88" name="亿元" queryTableFieldId="88" dataDxfId="297"/>
    <tableColumn id="89" xr3:uid="{EF573876-F515-4239-978A-01B791677A7F}" uniqueName="89" name="亿港币" queryTableFieldId="89" dataDxfId="296"/>
    <tableColumn id="91" xr3:uid="{E281CCBC-4E73-4172-9B3E-940FB0855D6C}" uniqueName="91" name="Stats" queryTableFieldId="91" dataDxfId="295"/>
    <tableColumn id="92" xr3:uid="{A4554850-5480-4186-9DE3-8DE2D4EB8508}" uniqueName="92" name="澳分_ROLE" queryTableFieldId="92" dataDxfId="294"/>
    <tableColumn id="93" xr3:uid="{2DDB51B6-1CC9-4F1C-8FC4-133D6813C8DB}" uniqueName="93" name="港分_ROLE" queryTableFieldId="93" dataDxfId="293"/>
    <tableColumn id="94" xr3:uid="{53730C2E-59B8-4BDD-9DD2-58D88D639803}" uniqueName="94" name="定价基准" queryTableFieldId="94" dataDxfId="292"/>
    <tableColumn id="95" xr3:uid="{C50074D1-2A77-4129-95DA-E6F5C1646D8F}" uniqueName="95" name="收窄基点" queryTableFieldId="95" dataDxfId="291"/>
    <tableColumn id="96" xr3:uid="{ED22D00F-0374-4021-9E1C-9F55BB0F5DC8}" uniqueName="96" name="IPG" queryTableFieldId="96" dataDxfId="290"/>
    <tableColumn id="97" xr3:uid="{5F496631-96B8-4DC5-B5FB-DA8AE719C716}" uniqueName="97" name="FPG" queryTableFieldId="97" dataDxfId="289"/>
    <tableColumn id="98" xr3:uid="{5F4C16F3-DCCB-42C8-A380-52393FD186EF}" uniqueName="98" name="定价" queryTableFieldId="98" dataDxfId="288"/>
    <tableColumn id="99" xr3:uid="{EA26FB25-CA11-410B-B694-EFE2B2B204BF}" uniqueName="99" name="票息" queryTableFieldId="99" dataDxfId="287"/>
    <tableColumn id="100" xr3:uid="{DDE5A8BA-8BC7-4900-BD81-D30DC22E753F}" uniqueName="100" name="年期" queryTableFieldId="100" dataDxfId="286"/>
    <tableColumn id="101" xr3:uid="{964E4155-2518-4B85-89DF-A54AA3A83296}" uniqueName="101" name="期限备注" queryTableFieldId="101" dataDxfId="285"/>
    <tableColumn id="102" xr3:uid="{8A4F6F8B-4B3F-42B0-BFC9-50EE9505184A}" uniqueName="102" name="品种主题" queryTableFieldId="105" dataDxfId="284"/>
    <tableColumn id="124" xr3:uid="{B9E27D4F-FAA9-4BEA-8354-1A1DBF0E8943}" uniqueName="124" name="ESG" queryTableFieldId="145" dataDxfId="283"/>
    <tableColumn id="104" xr3:uid="{19CE9159-6664-4EC8-A1AC-08A9A2A1392E}" uniqueName="104" name="Check" queryTableFieldId="104" dataDxfId="28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268" dataDxfId="267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266"/>
    <tableColumn id="2" xr3:uid="{00000000-0010-0000-1A00-000002000000}" name="信用主体" dataDxfId="265"/>
    <tableColumn id="3" xr3:uid="{00000000-0010-0000-1A00-000003000000}" name="ESG" dataDxfId="264"/>
    <tableColumn id="4" xr3:uid="{00000000-0010-0000-1A00-000004000000}" name="IPG" dataDxfId="263"/>
    <tableColumn id="6" xr3:uid="{00000000-0010-0000-1A00-000006000000}" name="FPG" dataDxfId="262"/>
    <tableColumn id="16" xr3:uid="{00000000-0010-0000-1A00-000010000000}" name="收窄基点" dataDxfId="261"/>
    <tableColumn id="11" xr3:uid="{00000000-0010-0000-1A00-00000B000000}" name="定价基准" dataDxfId="260"/>
    <tableColumn id="12" xr3:uid="{00000000-0010-0000-1A00-00000C000000}" name="定价" dataDxfId="259"/>
    <tableColumn id="13" xr3:uid="{00000000-0010-0000-1A00-00000D000000}" name="增发判定" dataDxfId="258"/>
    <tableColumn id="14" xr3:uid="{00000000-0010-0000-1A00-00000E000000}" name="货币" dataDxfId="257"/>
    <tableColumn id="19" xr3:uid="{00000000-0010-0000-1A00-000013000000}" name="发行规模(亿)" dataDxfId="256"/>
    <tableColumn id="5" xr3:uid="{00000000-0010-0000-1A00-000005000000}" name="年期" dataDxfId="255"/>
    <tableColumn id="7" xr3:uid="{00000000-0010-0000-1A00-000007000000}" name="票息" dataDxfId="254"/>
    <tableColumn id="8" xr3:uid="{00000000-0010-0000-1A00-000008000000}" name="品种主题" dataDxfId="253"/>
    <tableColumn id="9" xr3:uid="{00000000-0010-0000-1A00-000009000000}" name="上市" dataDxfId="252"/>
    <tableColumn id="10" xr3:uid="{00000000-0010-0000-1A00-00000A000000}" name="亿美元" dataDxfId="251"/>
    <tableColumn id="17" xr3:uid="{00000000-0010-0000-1A00-000011000000}" name="亿元" dataDxfId="250"/>
    <tableColumn id="18" xr3:uid="{00000000-0010-0000-1A00-000012000000}" name="亿港币" dataDxfId="249"/>
    <tableColumn id="15" xr3:uid="{00000000-0010-0000-1A00-00000F000000}" name="ISIN" dataDxfId="248"/>
    <tableColumn id="20" xr3:uid="{00000000-0010-0000-1A00-000014000000}" name="Check" dataDxfId="247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B12" totalsRowShown="0" headerRowDxfId="246" dataDxfId="245">
  <tableColumns count="15">
    <tableColumn id="1" xr3:uid="{00000000-0010-0000-1B00-000001000000}" name="信用主体" dataDxfId="244"/>
    <tableColumn id="2" xr3:uid="{00000000-0010-0000-1B00-000002000000}" name="Check" dataDxfId="243"/>
    <tableColumn id="3" xr3:uid="{00000000-0010-0000-1B00-000003000000}" name="ISIN" dataDxfId="242"/>
    <tableColumn id="4" xr3:uid="{00000000-0010-0000-1B00-000004000000}" name="定价日" dataDxfId="241"/>
    <tableColumn id="5" xr3:uid="{00000000-0010-0000-1B00-000005000000}" name="台账序号" dataDxfId="240"/>
    <tableColumn id="6" xr3:uid="{00000000-0010-0000-1B00-000006000000}" name="Project Name" dataDxfId="239"/>
    <tableColumn id="15" xr3:uid="{BECA38D8-2DF3-4ECC-82ED-1396C2EE9C70}" name="EXE" dataDxfId="238"/>
    <tableColumn id="7" xr3:uid="{00000000-0010-0000-1B00-000007000000}" name="COVERAGE" dataDxfId="237"/>
    <tableColumn id="8" xr3:uid="{00000000-0010-0000-1B00-000008000000}" name="新规角色" dataDxfId="236"/>
    <tableColumn id="9" xr3:uid="{00000000-0010-0000-1B00-000009000000}" name="PROJECT_CODE" dataDxfId="235"/>
    <tableColumn id="10" xr3:uid="{00000000-0010-0000-1B00-00000A000000}" name="期数" dataDxfId="234"/>
    <tableColumn id="11" xr3:uid="{00000000-0010-0000-1B00-00000B000000}" name="BISL_ROLE" dataDxfId="233"/>
    <tableColumn id="12" xr3:uid="{00000000-0010-0000-1B00-00000C000000}" name="IS_LEAD" dataDxfId="232"/>
    <tableColumn id="13" xr3:uid="{00000000-0010-0000-1B00-00000D000000}" name="IS_B&amp;D" dataDxfId="231"/>
    <tableColumn id="14" xr3:uid="{00000000-0010-0000-1B00-00000E000000}" name="是否合名" dataDxfId="230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O12" totalsRowShown="0" headerRowDxfId="229" dataDxfId="228">
  <autoFilter ref="BF3:BO12" xr:uid="{00000000-0009-0000-0100-00000A000000}">
    <filterColumn colId="0" hiddenButton="1"/>
    <filterColumn colId="1" hiddenButton="1"/>
    <filterColumn colId="2" hiddenButton="1"/>
    <filterColumn colId="5" hiddenButton="1"/>
  </autoFilter>
  <tableColumns count="10">
    <tableColumn id="1" xr3:uid="{00000000-0010-0000-1C00-000001000000}" name="信用主体" dataDxfId="227"/>
    <tableColumn id="2" xr3:uid="{00000000-0010-0000-1C00-000002000000}" name="SHORTNAMER" dataDxfId="226"/>
    <tableColumn id="4" xr3:uid="{00000000-0010-0000-1C00-000004000000}" name="板块" dataDxfId="225"/>
    <tableColumn id="8" xr3:uid="{E8CD06B3-E62E-4FF9-AF10-BB24D4EF76D4}" name="板块二级" dataDxfId="224"/>
    <tableColumn id="7" xr3:uid="{8D15ACAE-2815-40D2-9E27-91C4692416F1}" name="板块三级" dataDxfId="223"/>
    <tableColumn id="3" xr3:uid="{00000000-0010-0000-1C00-000003000000}" name="中资属性" dataDxfId="222"/>
    <tableColumn id="9" xr3:uid="{EAEB71EA-4450-47B8-AB31-76AE2DBE446C}" name="级别" dataDxfId="221"/>
    <tableColumn id="10" xr3:uid="{6C513D7C-FDEF-42E3-8EE7-E039B70D041E}" name="地区" dataDxfId="220"/>
    <tableColumn id="11" xr3:uid="{B8FCD552-27E4-4C66-9FB7-771E2AB04DE8}" name="城市" dataDxfId="219"/>
    <tableColumn id="12" xr3:uid="{DB69F4A0-3BC6-4E89-AB21-CE02354F84CD}" name="区县" dataDxfId="218"/>
  </tableColumns>
  <tableStyleInfo name="review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217"/>
    <tableColumn id="4" xr3:uid="{0C203217-F646-4D3C-BCC1-CB5D146D778A}" name="信用主体" dataDxfId="216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全称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986145-72E7-4F12-91C8-2EF1FE25B67D}" name="CSOE_SASAC" displayName="CSOE_SASAC" ref="BS3:BT101" tableType="queryTable" totalsRowShown="0">
  <autoFilter ref="BS3:BT101" xr:uid="{9E986145-72E7-4F12-91C8-2EF1FE25B67D}"/>
  <tableColumns count="2">
    <tableColumn id="1" xr3:uid="{137209D8-484F-4750-A804-82A38820308A}" uniqueName="1" name="Index" queryTableFieldId="1"/>
    <tableColumn id="2" xr3:uid="{017CA49A-F4C1-4023-A8CE-48349C47548A}" uniqueName="2" name="企业(集团)名称" queryTableFieldId="2" dataDxfId="32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CL19" tableType="queryTable" totalsRowShown="0">
  <autoFilter ref="B6:CL19" xr:uid="{11C6B267-9841-4AFA-84D0-7B04A87D3DA9}"/>
  <tableColumns count="89">
    <tableColumn id="1" xr3:uid="{49C84CFB-F7A2-42E9-A567-E78D80A6A9EB}" uniqueName="1" name="Index" queryTableFieldId="1"/>
    <tableColumn id="2" xr3:uid="{5391C6C1-694E-4B38-B0E7-1D036FC97B80}" uniqueName="2" name="删除及隐藏" queryTableFieldId="2"/>
    <tableColumn id="3" xr3:uid="{30AEE88C-F7D8-4915-9C60-E7FB9D2B6B0A}" uniqueName="3" name="信用主体" queryTableFieldId="3"/>
    <tableColumn id="4" xr3:uid="{E4016D6D-F47F-44C4-BE9A-6B665A4B3B74}" uniqueName="4" name="ISIN" queryTableFieldId="4"/>
    <tableColumn id="5" xr3:uid="{C5F3905A-7503-4C09-8BC2-F8F75FB787E2}" uniqueName="5" name="定价日" queryTableFieldId="5" dataDxfId="9"/>
    <tableColumn id="6" xr3:uid="{56423A97-32F1-4BA5-8F25-D70A4FA34F74}" uniqueName="6" name="发行评级" queryTableFieldId="6"/>
    <tableColumn id="7" xr3:uid="{16AAB038-B673-4A11-9D4F-C69C2FBCA8F8}" uniqueName="7" name="主体评级" queryTableFieldId="7"/>
    <tableColumn id="8" xr3:uid="{1968EBC8-5A19-45E9-AF08-5218615579D8}" uniqueName="8" name="境内主体评级" queryTableFieldId="8"/>
    <tableColumn id="9" xr3:uid="{A650CF03-5030-46F2-82E5-B6F54676C743}" uniqueName="9" name="货币" queryTableFieldId="9"/>
    <tableColumn id="10" xr3:uid="{21E51DCC-7040-45E3-A2B9-978FB679C460}" uniqueName="10" name="发行规模(亿)" queryTableFieldId="10"/>
    <tableColumn id="11" xr3:uid="{EB439C5C-BAB2-4AFF-A57D-0318D4B8B590}" uniqueName="11" name="年期" queryTableFieldId="11"/>
    <tableColumn id="12" xr3:uid="{802F46BB-319C-44D3-9FAD-4431BE10BF59}" uniqueName="12" name="票息" queryTableFieldId="12"/>
    <tableColumn id="13" xr3:uid="{5636182E-856B-46D0-9A63-7E79773603D1}" uniqueName="13" name="IPG" queryTableFieldId="13"/>
    <tableColumn id="14" xr3:uid="{75243A32-D580-486D-9826-B7B5135977DE}" uniqueName="14" name="FPG" queryTableFieldId="14"/>
    <tableColumn id="15" xr3:uid="{B864466F-CF3D-4CA7-BFB3-976E3124C961}" uniqueName="15" name="定价" queryTableFieldId="15"/>
    <tableColumn id="16" xr3:uid="{19734BE8-7A34-422B-87BC-EA6F796132A4}" uniqueName="16" name="收窄基点" queryTableFieldId="16"/>
    <tableColumn id="17" xr3:uid="{7D768D0B-CF3E-47CB-A9C5-CAE9ED2FE7EE}" uniqueName="17" name="定价基准" queryTableFieldId="17"/>
    <tableColumn id="18" xr3:uid="{BED07932-948A-44FA-AF6B-8B9CA8B3715E}" uniqueName="18" name="发行价" queryTableFieldId="18"/>
    <tableColumn id="19" xr3:uid="{0A94885E-7247-426C-A1BA-829EE9864EFA}" uniqueName="19" name="结构" queryTableFieldId="19"/>
    <tableColumn id="20" xr3:uid="{4C650ED6-C9D0-4B5B-BD04-4920F327DE76}" uniqueName="20" name="上市" queryTableFieldId="20"/>
    <tableColumn id="21" xr3:uid="{9BB36B2D-00DF-46AB-A552-027C6B9E6698}" uniqueName="21" name="港分_ROLE" queryTableFieldId="21"/>
    <tableColumn id="22" xr3:uid="{FCE5B259-E893-4D15-A23E-D3B85BC84284}" uniqueName="22" name="澳分_ROLE" queryTableFieldId="22"/>
    <tableColumn id="23" xr3:uid="{DAD00B99-E16D-46F9-BBFE-C39B5E51F8B4}" uniqueName="23" name="增发判定" queryTableFieldId="23"/>
    <tableColumn id="24" xr3:uid="{7E76AE3B-E535-4875-926F-50D9B0BD9CA3}" uniqueName="24" name="付息频率" queryTableFieldId="24"/>
    <tableColumn id="25" xr3:uid="{D210E24B-6303-4F5B-964F-F043F84EADC0}" uniqueName="25" name="起息日期" queryTableFieldId="25" dataDxfId="8"/>
    <tableColumn id="26" xr3:uid="{3503A059-19B5-4994-AA31-2EB00F65C20D}" uniqueName="26" name="首次付息日" queryTableFieldId="26" dataDxfId="7"/>
    <tableColumn id="27" xr3:uid="{7BA8DB13-6078-4A5F-920B-455C89B692E8}" uniqueName="27" name="兑付日" queryTableFieldId="27" dataDxfId="6"/>
    <tableColumn id="28" xr3:uid="{34F18E86-AE88-43DF-A931-58B145B8C31B}" uniqueName="28" name="亿美元" queryTableFieldId="28"/>
    <tableColumn id="29" xr3:uid="{5F450BB9-0D6C-4278-B44C-CE58B9AF8AD2}" uniqueName="29" name="亿元" queryTableFieldId="29"/>
    <tableColumn id="30" xr3:uid="{89AFE930-1F34-4FBB-B11C-D71C795B0FE6}" uniqueName="30" name="亿港币" queryTableFieldId="30"/>
    <tableColumn id="31" xr3:uid="{11137EDA-E209-4DE4-89EF-BFBC5F28196A}" uniqueName="31" name="TICKER" queryTableFieldId="31"/>
    <tableColumn id="32" xr3:uid="{36301663-8F58-4550-84FE-8696F73CB6CA}" uniqueName="32" name="注册成立地" queryTableFieldId="32" dataDxfId="5"/>
    <tableColumn id="33" xr3:uid="{6725112C-5597-436E-8E0E-AA13B66F2F8E}" uniqueName="33" name="发行人主上市地" queryTableFieldId="33"/>
    <tableColumn id="34" xr3:uid="{2C2BB375-0A4F-4358-B6A3-28775B7A1032}" uniqueName="34" name="通过分行" queryTableFieldId="34"/>
    <tableColumn id="35" xr3:uid="{8D9845ED-E6A1-4236-9925-21C027C59C8B}" uniqueName="35" name="发行人" queryTableFieldId="35"/>
    <tableColumn id="36" xr3:uid="{3E5B4170-3625-4006-8A05-027F6A1A926E}" uniqueName="36" name="担保人" queryTableFieldId="36"/>
    <tableColumn id="37" xr3:uid="{9C047B2A-73C7-4782-9019-E64A80C8942B}" uniqueName="37" name="维好协议提供者" queryTableFieldId="37"/>
    <tableColumn id="38" xr3:uid="{BFA43F42-4F5D-4149-B18A-06E3B5DC1EB0}" uniqueName="38" name="备证行全称" queryTableFieldId="165" dataDxfId="215"/>
    <tableColumn id="39" xr3:uid="{308E3923-7218-4F54-942A-5F3AE05A87D3}" uniqueName="39" name="ESG" queryTableFieldId="39"/>
    <tableColumn id="40" xr3:uid="{A8274D6B-F485-4D0B-AA5A-F76DB3BD48F9}" uniqueName="40" name="品种主题" queryTableFieldId="40"/>
    <tableColumn id="41" xr3:uid="{450B9AE7-BD9C-4B5A-A014-DFCF4E39A058}" uniqueName="41" name="亮点" queryTableFieldId="41"/>
    <tableColumn id="42" xr3:uid="{F468E57E-4B4B-49F0-9B1A-643846561B90}" uniqueName="42" name="期限备注" queryTableFieldId="42"/>
    <tableColumn id="43" xr3:uid="{416DE0C2-D39B-4398-A881-FFB4F6F3DBED}" uniqueName="43" name="SPECIALs" queryTableFieldId="43"/>
    <tableColumn id="44" xr3:uid="{A9A61A03-BCDF-47BC-8A88-6DD60BDA0D48}" uniqueName="44" name="OTHER_ISIN" queryTableFieldId="44"/>
    <tableColumn id="45" xr3:uid="{3D555690-F5C6-4DEC-9A61-61FE5F3B393B}" uniqueName="45" name="Stats" queryTableFieldId="45"/>
    <tableColumn id="46" xr3:uid="{1D4468C1-FE0C-47B6-A9B3-426D283F795B}" uniqueName="46" name="筹款用途" queryTableFieldId="46"/>
    <tableColumn id="47" xr3:uid="{249E466B-DC8F-4E1C-87C7-318025F34396}" uniqueName="47" name="发行方式" queryTableFieldId="47"/>
    <tableColumn id="48" xr3:uid="{0778CABD-2A27-4DD9-B44D-3F26DBDA112A}" uniqueName="48" name="DataSource" queryTableFieldId="48"/>
    <tableColumn id="49" xr3:uid="{AE89ED19-4403-409F-BF1D-1BC079FC0AE7}" uniqueName="49" name="Updator" queryTableFieldId="49"/>
    <tableColumn id="50" xr3:uid="{4515DAF1-F030-4E39-B35F-0CCBF6CBA330}" uniqueName="50" name="Timestamp" queryTableFieldId="50" dataDxfId="4"/>
    <tableColumn id="51" xr3:uid="{A1C8DF4C-5627-413A-9669-A64708A1B7E0}" uniqueName="51" name="Check" queryTableFieldId="51"/>
    <tableColumn id="52" xr3:uid="{A7543B36-AE90-4A7B-84A9-58743741DDEA}" uniqueName="52" name="mCurated" queryTableFieldId="52"/>
    <tableColumn id="80" xr3:uid="{0EDE92D2-BE78-43F6-A2BE-C53BD533C9B4}" uniqueName="80" name="Date_Onboarded" queryTableFieldId="123" dataDxfId="3"/>
    <tableColumn id="81" xr3:uid="{64DA84B6-5E56-41A0-A132-67C22B68F820}" uniqueName="81" name="EXE" queryTableFieldId="124"/>
    <tableColumn id="82" xr3:uid="{6FAE94C7-D5D3-4ACF-B580-F861963930D3}" uniqueName="82" name="PROJECT_CN" queryTableFieldId="125"/>
    <tableColumn id="59" xr3:uid="{8A2D9D71-A110-4C20-BE9E-24107E2E6717}" uniqueName="59" name="PROJECT_CODE" queryTableFieldId="59"/>
    <tableColumn id="60" xr3:uid="{0BC8C201-9A40-4BF4-A9DF-D8E8ED230357}" uniqueName="60" name="期数" queryTableFieldId="60"/>
    <tableColumn id="53" xr3:uid="{C3E4DE16-F266-4E37-B887-201A1994C79F}" uniqueName="53" name="BISL_ROLE" queryTableFieldId="53"/>
    <tableColumn id="57" xr3:uid="{26FC0C70-3C7E-438F-A4C8-A26B0B8A7776}" uniqueName="57" name="新规角色" queryTableFieldId="57"/>
    <tableColumn id="55" xr3:uid="{EEA635BE-DB56-4DCA-83D6-2C9208EF96FF}" uniqueName="55" name="IS_B&amp;D" queryTableFieldId="55"/>
    <tableColumn id="54" xr3:uid="{0A1F1C73-ADAF-49EE-B732-FBE4F8EA6EC3}" uniqueName="54" name="IS_LEAD" queryTableFieldId="54"/>
    <tableColumn id="56" xr3:uid="{142DAE2B-1A5B-4ACB-9A5A-4D94A060AC5B}" uniqueName="56" name="是否合名" queryTableFieldId="56"/>
    <tableColumn id="58" xr3:uid="{C859D04F-8FF3-4AE5-B54E-4C1238A4CF2D}" uniqueName="58" name="COVERAGE" queryTableFieldId="58"/>
    <tableColumn id="83" xr3:uid="{A8B23CF4-AB6B-44D3-B837-6B559208B86B}" uniqueName="83" name="Settlement" queryTableFieldId="126"/>
    <tableColumn id="84" xr3:uid="{3308990B-6F24-4F97-B43F-5DF02DE253A0}" uniqueName="84" name="BOCOM下单量" queryTableFieldId="127"/>
    <tableColumn id="85" xr3:uid="{6DE0CC37-30BF-4531-A9F1-E08BB46B2251}" uniqueName="85" name="BOCOM分配量" queryTableFieldId="128"/>
    <tableColumn id="86" xr3:uid="{1FE47D55-24D0-4645-9BC3-C1BE2BB95698}" uniqueName="86" name="交行及独家订单" queryTableFieldId="129"/>
    <tableColumn id="87" xr3:uid="{F0C9CB5A-AF36-42C5-AB40-B25447A8586D}" uniqueName="87" name="项目亮点" queryTableFieldId="130"/>
    <tableColumn id="88" xr3:uid="{AD457361-C0A0-488D-AFC1-EA99E86DF6B0}" uniqueName="88" name="定价会时间" queryTableFieldId="131" dataDxfId="2"/>
    <tableColumn id="89" xr3:uid="{C660E4ED-6344-42AE-A451-BC48BD37290C}" uniqueName="89" name="定价会时段" queryTableFieldId="132"/>
    <tableColumn id="61" xr3:uid="{DF3C96F0-686A-48A2-A3F7-9E54CBC5E9BC}" uniqueName="61" name="台账序号" queryTableFieldId="61"/>
    <tableColumn id="65" xr3:uid="{5215B6A6-D323-45D0-A2D3-8F20033772D9}" uniqueName="65" name="FolderPath" queryTableFieldId="65"/>
    <tableColumn id="79" xr3:uid="{0345E64D-DCE4-48D5-9233-2022919D13FA}" uniqueName="79" name="IS_KYC_DONE" queryTableFieldId="107"/>
    <tableColumn id="66" xr3:uid="{66FFF509-430F-4747-B1AA-3A099312B9FE}" uniqueName="66" name="PRJ对账号" queryTableFieldId="66"/>
    <tableColumn id="67" xr3:uid="{E64E3C6B-E113-4763-B283-E7849DBD809B}" uniqueName="67" name="mBISL" queryTableFieldId="67"/>
    <tableColumn id="68" xr3:uid="{4632AE26-2302-43CF-83AA-F156C643C478}" uniqueName="68" name="mChart" queryTableFieldId="68"/>
    <tableColumn id="62" xr3:uid="{C65C4076-7CEF-49F4-82D6-A7F72AF0162E}" uniqueName="62" name="信用主体简称" queryTableFieldId="157"/>
    <tableColumn id="70" xr3:uid="{EE9EE208-9F60-4444-B350-6176976954DF}" uniqueName="70" name="板块" queryTableFieldId="70"/>
    <tableColumn id="63" xr3:uid="{AEC83FCF-C394-4B60-B872-839B8A88BD6E}" uniqueName="63" name="板块二级" queryTableFieldId="151"/>
    <tableColumn id="64" xr3:uid="{A3B017AB-49B2-4786-85B1-086473B55973}" uniqueName="64" name="板块三级" queryTableFieldId="152"/>
    <tableColumn id="71" xr3:uid="{E7031E0E-77AC-458C-B331-6C7CCE830EBB}" uniqueName="71" name="中资属性" queryTableFieldId="71"/>
    <tableColumn id="77" xr3:uid="{6BB25898-2A9D-418A-8251-7057A6B851A3}" uniqueName="77" name="级别" queryTableFieldId="153"/>
    <tableColumn id="72" xr3:uid="{4C278638-5A20-41A0-9C40-A873B957F011}" uniqueName="72" name="地区" queryTableFieldId="110"/>
    <tableColumn id="73" xr3:uid="{798741A1-F625-432A-BC2E-9E1B244BBDA1}" uniqueName="73" name="城市" queryTableFieldId="111"/>
    <tableColumn id="74" xr3:uid="{C4C97C64-1B22-48CA-965F-674CD3E6D746}" uniqueName="74" name="区县" queryTableFieldId="112"/>
    <tableColumn id="69" xr3:uid="{5360A332-E8EB-43A6-A6A8-A18F32AC864E}" uniqueName="69" name="首次违约日" queryTableFieldId="158" dataDxfId="1"/>
    <tableColumn id="75" xr3:uid="{D8F064BE-E5FC-4FAB-8305-D3D50066C00B}" uniqueName="75" name="DEBUT_DATE" queryTableFieldId="159" dataDxfId="0"/>
    <tableColumn id="76" xr3:uid="{468F8BAE-DA88-4D0F-93A4-5D62A5390E72}" uniqueName="76" name="DMI行业" queryTableFieldId="160"/>
    <tableColumn id="78" xr3:uid="{E9C5B3D7-1F65-42A2-B490-4540C81D2036}" uniqueName="78" name="mCredit" queryTableFieldId="78"/>
  </tableColumns>
  <tableStyleInfo name="Table Style 1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Z12" tableType="queryTable" totalsRowShown="0">
  <autoFilter ref="A4:AZ12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8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2">
    <tableColumn id="1" xr3:uid="{791E5B07-BD81-4C7D-914D-F61E0BD81704}" uniqueName="1" name="Index" queryTableFieldId="1" dataDxfId="214"/>
    <tableColumn id="50" xr3:uid="{56AFA799-4BDB-4EF4-B64C-858A5DD46BD4}" uniqueName="50" name="删除及隐藏" queryTableFieldId="70" dataDxfId="213"/>
    <tableColumn id="2" xr3:uid="{E4F1AA1A-4561-4DCC-BD36-6E0C0BF9681D}" uniqueName="2" name="信用主体" queryTableFieldId="2" dataDxfId="212"/>
    <tableColumn id="3" xr3:uid="{BCA724F0-8962-4CF8-9F27-DFAB5A7EE57F}" uniqueName="3" name="ISIN" queryTableFieldId="3" dataDxfId="211"/>
    <tableColumn id="4" xr3:uid="{7B86C8AE-E7F7-4B8E-A455-4336C7F9D6D4}" uniqueName="4" name="定价日" queryTableFieldId="4" dataDxfId="31"/>
    <tableColumn id="5" xr3:uid="{8479A384-B664-40C5-817C-35D95E248CA9}" uniqueName="5" name="发行评级" queryTableFieldId="5" dataDxfId="210"/>
    <tableColumn id="6" xr3:uid="{560F1DF2-A9DC-4732-81D4-617CC1DDABEC}" uniqueName="6" name="主体评级" queryTableFieldId="6" dataDxfId="209"/>
    <tableColumn id="7" xr3:uid="{78286578-0202-44D4-898F-7BC8053C30D1}" uniqueName="7" name="境内主体评级" queryTableFieldId="7" dataDxfId="208"/>
    <tableColumn id="8" xr3:uid="{11202A1D-7F53-4AFC-889F-FD580FC6F359}" uniqueName="8" name="货币" queryTableFieldId="8" dataDxfId="207"/>
    <tableColumn id="9" xr3:uid="{00F822E0-673A-426E-97E0-C7C03264A9B7}" uniqueName="9" name="发行规模(亿)" queryTableFieldId="9" dataDxfId="206"/>
    <tableColumn id="10" xr3:uid="{A4600EBC-E807-4C67-B01C-5CD1E3909F2C}" uniqueName="10" name="年期" queryTableFieldId="10" dataDxfId="205"/>
    <tableColumn id="11" xr3:uid="{3882855A-6F78-4733-843C-A5CCC8C71BBE}" uniqueName="11" name="票息" queryTableFieldId="11" dataDxfId="204"/>
    <tableColumn id="12" xr3:uid="{AA7813E9-B7C0-4485-97E4-3E4D3C485DA4}" uniqueName="12" name="IPG" queryTableFieldId="12" dataDxfId="203"/>
    <tableColumn id="13" xr3:uid="{6BC3F1E2-AC4E-42E4-8B1C-4FFDBF40A64D}" uniqueName="13" name="FPG" queryTableFieldId="13" dataDxfId="202"/>
    <tableColumn id="14" xr3:uid="{A56676CE-514E-4236-AF6A-12F9A2068657}" uniqueName="14" name="定价" queryTableFieldId="14" dataDxfId="201"/>
    <tableColumn id="15" xr3:uid="{8DC4F8E2-94E1-4CA7-8249-B35B934BB7A7}" uniqueName="15" name="收窄基点" queryTableFieldId="15" dataDxfId="200"/>
    <tableColumn id="16" xr3:uid="{2A30FA30-EA68-445A-B3B2-07A216AE817C}" uniqueName="16" name="定价基准" queryTableFieldId="16" dataDxfId="199"/>
    <tableColumn id="18" xr3:uid="{68B928C8-F110-4275-943D-B563184CF448}" uniqueName="18" name="发行价" queryTableFieldId="39" dataDxfId="198"/>
    <tableColumn id="17" xr3:uid="{0ACF0E03-B0D4-4057-BF46-E322F4936C17}" uniqueName="17" name="结构" queryTableFieldId="17" dataDxfId="197"/>
    <tableColumn id="19" xr3:uid="{979EE12C-AD42-4833-8A99-EC817C6F2D45}" uniqueName="19" name="上市" queryTableFieldId="19" dataDxfId="196"/>
    <tableColumn id="20" xr3:uid="{E6204F0C-29FB-48D4-9E0E-4731335D7A28}" uniqueName="20" name="港分_ROLE" queryTableFieldId="20" dataDxfId="195"/>
    <tableColumn id="21" xr3:uid="{DBF246C1-9F14-46AE-BBC3-92DB6B28A9F5}" uniqueName="21" name="澳分_ROLE" queryTableFieldId="21" dataDxfId="194"/>
    <tableColumn id="22" xr3:uid="{A427B15A-1E3B-4176-8AAF-3C66C694FA16}" uniqueName="22" name="增发判定" queryTableFieldId="22" dataDxfId="193"/>
    <tableColumn id="26" xr3:uid="{D81B8EC4-1E43-4536-91C9-D9443CB5B5E6}" uniqueName="26" name="付息频率" queryTableFieldId="40" dataDxfId="192"/>
    <tableColumn id="27" xr3:uid="{1B4F1862-A915-4343-BD42-60FE8D9C5914}" uniqueName="27" name="起息日期" queryTableFieldId="41" dataDxfId="30"/>
    <tableColumn id="39" xr3:uid="{63B90420-8840-4507-9FE7-AEEA98D3C1EA}" uniqueName="39" name="首次付息日" queryTableFieldId="42" dataDxfId="29"/>
    <tableColumn id="40" xr3:uid="{BD1F8AC9-D7AC-4D02-8E73-E640E429EA37}" uniqueName="40" name="兑付日" queryTableFieldId="43" dataDxfId="28"/>
    <tableColumn id="23" xr3:uid="{32278D46-AAFB-46AC-B876-F0B2F5B3D38C}" uniqueName="23" name="亿美元" queryTableFieldId="23" dataDxfId="191"/>
    <tableColumn id="24" xr3:uid="{1F885E33-0B82-4272-882B-8A2CC2097721}" uniqueName="24" name="亿元" queryTableFieldId="24" dataDxfId="190"/>
    <tableColumn id="25" xr3:uid="{636B29DB-50B6-49B5-9EE5-519500C5F4C5}" uniqueName="25" name="亿港币" queryTableFieldId="25" dataDxfId="189"/>
    <tableColumn id="41" xr3:uid="{88894D22-D148-449D-8AFE-C1E41A6237D0}" uniqueName="41" name="TICKER" queryTableFieldId="44" dataDxfId="188"/>
    <tableColumn id="45" xr3:uid="{D35F78CD-33DF-4BE5-B09E-5792350E6F5E}" uniqueName="45" name="注册成立地" queryTableFieldId="57" dataDxfId="27"/>
    <tableColumn id="46" xr3:uid="{8292EA6A-E652-4AD6-980B-A367229A037B}" uniqueName="46" name="发行人主上市地" queryTableFieldId="59" dataDxfId="187"/>
    <tableColumn id="32" xr3:uid="{DF9610CA-17E8-4B49-910E-BA6EB58E92E6}" uniqueName="32" name="通过分行" queryTableFieldId="32" dataDxfId="186"/>
    <tableColumn id="42" xr3:uid="{A2CC7DB9-0BC7-4182-BD08-B5982994B9A6}" uniqueName="42" name="发行人" queryTableFieldId="45" dataDxfId="185"/>
    <tableColumn id="43" xr3:uid="{D8401749-5222-4202-B6A6-652D8A1D8E68}" uniqueName="43" name="担保人" queryTableFieldId="46" dataDxfId="184"/>
    <tableColumn id="44" xr3:uid="{38FFC5B5-8532-438A-9D5B-F9205283973B}" uniqueName="44" name="维好协议提供者" queryTableFieldId="47" dataDxfId="183"/>
    <tableColumn id="28" xr3:uid="{0F85E453-F403-4A22-9631-315EB2496013}" uniqueName="28" name="备证行全称" queryTableFieldId="124" dataDxfId="182"/>
    <tableColumn id="29" xr3:uid="{22C55275-6BA9-4912-9032-F35F16DFEF5E}" uniqueName="29" name="ESG" queryTableFieldId="29" dataDxfId="181"/>
    <tableColumn id="30" xr3:uid="{2EB27555-D39E-4DC6-9B68-30D70AC527E0}" uniqueName="30" name="品种主题" queryTableFieldId="121" dataDxfId="180"/>
    <tableColumn id="31" xr3:uid="{C11B3DB5-9721-4EF1-B0A1-D0EB6C66C057}" uniqueName="31" name="亮点" queryTableFieldId="31"/>
    <tableColumn id="33" xr3:uid="{F3F9AA75-29DA-43EE-BB6E-5BA6DF5BB1E3}" uniqueName="33" name="期限备注" queryTableFieldId="33" dataDxfId="179"/>
    <tableColumn id="34" xr3:uid="{4A3208F5-5206-4EA3-95FD-A6BD27F0D520}" uniqueName="34" name="SPECIALs" queryTableFieldId="34"/>
    <tableColumn id="35" xr3:uid="{73AAEBCD-2442-42BC-AB08-3A3863CB5C99}" uniqueName="35" name="OTHER_ISIN" queryTableFieldId="35" dataDxfId="178"/>
    <tableColumn id="47" xr3:uid="{33FE7EE0-D247-4253-A49C-D22E34625FB1}" uniqueName="47" name="Stats" queryTableFieldId="63" dataDxfId="177"/>
    <tableColumn id="48" xr3:uid="{E1E50F04-1EEC-4969-9690-F77BC431406E}" uniqueName="48" name="筹款用途" queryTableFieldId="65" dataDxfId="176"/>
    <tableColumn id="49" xr3:uid="{F1995DCC-88E7-4FCF-A524-C4324C258A84}" uniqueName="49" name="发行方式" queryTableFieldId="66" dataDxfId="175"/>
    <tableColumn id="51" xr3:uid="{220C35B1-5CBF-43F8-8977-7181DB08812C}" uniqueName="51" name="DataSource" queryTableFieldId="71" dataDxfId="174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173"/>
    <tableColumn id="52" xr3:uid="{6F545A79-7795-4ADD-BD59-AFD3E9558D2C}" uniqueName="52" name="mCurated" queryTableFieldId="123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wChart" displayName="wChart" ref="A2:L7" tableType="queryTable" totalsRowShown="0">
  <autoFilter ref="A2:L7" xr:uid="{0929954B-29C3-4504-9EDC-67D1EAAC0BE8}"/>
  <tableColumns count="12">
    <tableColumn id="1" xr3:uid="{00A1FE7B-CB1B-450B-96D4-A7C2A44816C1}" uniqueName="1" name="Index" queryTableFieldId="1"/>
    <tableColumn id="2" xr3:uid="{6D843772-2F42-4B9B-8361-6FE369712A82}" uniqueName="2" name="删除及隐藏" queryTableFieldId="2"/>
    <tableColumn id="3" xr3:uid="{DC7C4A45-AE89-46C2-B5CC-263D46714208}" uniqueName="3" name="定价日" queryTableFieldId="3" dataDxfId="18"/>
    <tableColumn id="4" xr3:uid="{56972BF7-D0A2-45BE-85AF-42CD4BC0C07C}" uniqueName="4" name="ISIN" queryTableFieldId="4" dataDxfId="172"/>
    <tableColumn id="5" xr3:uid="{3EE9FE56-784A-465A-8A3D-D0760F10D723}" uniqueName="5" name="信用主体" queryTableFieldId="5" dataDxfId="171"/>
    <tableColumn id="6" xr3:uid="{71FEB4EC-9A23-48FE-B427-FA17FB83724A}" uniqueName="6" name="发行评级" queryTableFieldId="6" dataDxfId="170"/>
    <tableColumn id="7" xr3:uid="{388B22D6-7275-4674-9DBA-38C93EED0C40}" uniqueName="7" name="货币" queryTableFieldId="7" dataDxfId="169"/>
    <tableColumn id="8" xr3:uid="{48A8B314-ED6E-4C50-B982-A04C001710A3}" uniqueName="8" name="发行规模(亿)" queryTableFieldId="8" dataDxfId="168"/>
    <tableColumn id="9" xr3:uid="{CF1C7724-269B-4B37-A402-12011F9DAA4D}" uniqueName="9" name="亿美元" queryTableFieldId="9" dataDxfId="167"/>
    <tableColumn id="10" xr3:uid="{54EB0500-BD9E-471F-9AB8-E19DC72A9E2D}" uniqueName="10" name="年期" queryTableFieldId="10" dataDxfId="166"/>
    <tableColumn id="11" xr3:uid="{F5D65BA1-355C-4FF2-AD0B-4320F6653F25}" uniqueName="11" name="Check" queryTableFieldId="11" dataDxfId="165"/>
    <tableColumn id="12" xr3:uid="{BB656818-0EBD-4E1B-A4BF-8E4CC6793ED8}" uniqueName="12" name="mChart" queryTableFieldId="1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N6" tableType="queryTable" totalsRowShown="0">
  <autoFilter ref="A4:N6" xr:uid="{00000000-0009-0000-0100-00001E000000}">
    <filterColumn colId="0" hiddenButton="1"/>
    <filterColumn colId="2" hiddenButton="1"/>
    <filterColumn colId="5" hiddenButton="1"/>
  </autoFilter>
  <tableColumns count="14">
    <tableColumn id="7" xr3:uid="{00000000-0010-0000-2100-000007000000}" uniqueName="7" name="信用主体" queryTableFieldId="7"/>
    <tableColumn id="4" xr3:uid="{02E3BC88-3DDE-4FA9-82BE-2079F7686A3D}" uniqueName="4" name="信用主体简称" queryTableFieldId="167"/>
    <tableColumn id="3" xr3:uid="{B0A40063-19C6-436A-B9D7-8F869CBB7078}" uniqueName="3" name="板块" queryTableFieldId="22"/>
    <tableColumn id="12" xr3:uid="{6D7E5816-D1BF-45D9-91C6-AF3277553B23}" uniqueName="12" name="板块二级" queryTableFieldId="161" dataDxfId="164"/>
    <tableColumn id="13" xr3:uid="{B186311D-88E9-419F-8F09-BA4ABE0887E2}" uniqueName="13" name="板块三级" queryTableFieldId="162" dataDxfId="163"/>
    <tableColumn id="2" xr3:uid="{2E2AEFE9-AB5E-4BE5-BAE0-A95DCF912FA9}" uniqueName="2" name="中资属性" queryTableFieldId="12"/>
    <tableColumn id="14" xr3:uid="{7C9990E4-DCCC-40F7-A396-FE62D827940A}" uniqueName="14" name="级别" queryTableFieldId="163" dataDxfId="162"/>
    <tableColumn id="5" xr3:uid="{94336C94-549F-40DB-9C8A-CA16D021854B}" uniqueName="5" name="地区" queryTableFieldId="148"/>
    <tableColumn id="6" xr3:uid="{A4098B58-9AD2-48B8-A87F-3AE0FF659A4E}" uniqueName="6" name="城市" queryTableFieldId="149"/>
    <tableColumn id="8" xr3:uid="{007F0818-DC3B-4CC1-B291-45D265094FB4}" uniqueName="8" name="区县" queryTableFieldId="150"/>
    <tableColumn id="9" xr3:uid="{E4026524-1999-4E39-975A-DF1266BE1A1B}" uniqueName="9" name="首次违约日" queryTableFieldId="168" dataDxfId="21"/>
    <tableColumn id="10" xr3:uid="{A48ADFA0-B1F0-472D-9B7D-1AAD791324E3}" uniqueName="10" name="DEBUT_DATE" queryTableFieldId="169" dataDxfId="20"/>
    <tableColumn id="11" xr3:uid="{56741CC0-7896-4D4C-A202-7AD64A6DED10}" uniqueName="11" name="DMI行业" queryTableFieldId="170"/>
    <tableColumn id="1" xr3:uid="{84BDBED0-D7D1-404F-9B76-BF5093CAA233}" uniqueName="1" name="mCredit" queryTableFieldId="12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EAB2CA1-646B-48B9-9A2D-DD0EB31DE521}" name="wNews_Input" displayName="wNews_Input" ref="A4:C10" totalsRowShown="0" dataDxfId="161">
  <tableColumns count="3">
    <tableColumn id="1" xr3:uid="{D2575DE4-269F-4959-A577-39811CF1BAA4}" name="Index" dataDxfId="160"/>
    <tableColumn id="3" xr3:uid="{7AC0BB8C-CC34-429C-8AF1-376F90827DC0}" name="新闻" dataDxfId="159"/>
    <tableColumn id="4" xr3:uid="{08C05BDA-0D65-4471-B3AB-B4ACFF300E8B}" name="来源" dataDxfId="158"/>
  </tableColumns>
  <tableStyleInfo name="Qry Load 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ISIN_Search" displayName="ISIN_Search" ref="B4:K6" tableType="queryTable" totalsRowShown="0">
  <autoFilter ref="B4:K6" xr:uid="{EBCC410E-B113-4403-8BE3-6147650C9697}"/>
  <tableColumns count="10">
    <tableColumn id="1" xr3:uid="{918E5562-9E80-480A-907F-106230CEFA7F}" uniqueName="1" name="输入原始ISIN" queryTableFieldId="1"/>
    <tableColumn id="2" xr3:uid="{87C18CA6-2C56-4766-ACC2-D219007651D3}" uniqueName="2" name="信用主体(备证行)" queryTableFieldId="2"/>
    <tableColumn id="3" xr3:uid="{DE2536DE-32F8-4119-BEF7-6055C2DB2D80}" uniqueName="3" name="定价日" queryTableFieldId="3" dataDxfId="156"/>
    <tableColumn id="4" xr3:uid="{71CC3EE7-31D3-4A40-A8CD-88E9118648E6}" uniqueName="4" name="发行评级" queryTableFieldId="4"/>
    <tableColumn id="5" xr3:uid="{A0F9DE10-A3AC-4456-BFDC-ED04F0F71422}" uniqueName="5" name="货币" queryTableFieldId="5"/>
    <tableColumn id="6" xr3:uid="{BC905FA2-020E-4E39-86F7-8CE9B477E36F}" uniqueName="6" name="发行规模(亿)" queryTableFieldId="6"/>
    <tableColumn id="7" xr3:uid="{BD1DD0E7-D994-41F4-8828-CB96018D5961}" uniqueName="7" name="年期" queryTableFieldId="7"/>
    <tableColumn id="8" xr3:uid="{7153ED7A-A192-464A-B70A-C5028B03241E}" uniqueName="8" name="票息" queryTableFieldId="8"/>
    <tableColumn id="9" xr3:uid="{F2E11E11-CB05-4438-89B3-AE96803B9A73}" uniqueName="9" name="ESG" queryTableFieldId="9"/>
    <tableColumn id="10" xr3:uid="{092836AB-06BE-4721-9E12-EFB2C26D5BC2}" uniqueName="10" name="品种主题" queryTableFieldId="10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9:K11" totalsRowShown="0" dataDxfId="155">
  <autoFilter ref="B9:K11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154"/>
    <tableColumn id="10" xr3:uid="{C2C4EF50-FD6F-4B1E-A545-2ECC96F9A905}" name="添加增发方式" dataDxfId="153"/>
    <tableColumn id="11" xr3:uid="{79B76218-E0E4-4A89-BE76-301D01940875}" name="增发判定" dataDxfId="152"/>
    <tableColumn id="12" xr3:uid="{EDA4F6FC-E9AF-428D-8455-7CAE58E2C730}" name="增发ISIN" dataDxfId="151"/>
    <tableColumn id="2" xr3:uid="{27B5EFE8-4072-49BD-B6A9-5FF970467B1C}" name="定价日" dataDxfId="150"/>
    <tableColumn id="3" xr3:uid="{AD0350DC-2C22-4D91-9AA2-3F091B8A9FED}" name="发行规模(亿)" dataDxfId="149"/>
    <tableColumn id="4" xr3:uid="{C498A0CC-CED1-41FB-877E-641A32287CEF}" name="IPT" dataDxfId="148"/>
    <tableColumn id="5" xr3:uid="{EDF855A7-BA7A-40AF-8D1C-50F6E2692F36}" name="FPG" dataDxfId="147"/>
    <tableColumn id="6" xr3:uid="{19553095-3CC0-4C17-9C9F-D62F43223F22}" name="BOCOM_JGC" dataDxfId="146"/>
    <tableColumn id="8" xr3:uid="{2ABEAA2D-F8C8-4F6E-BB0B-5ED3A2C55235}" name="BOCOM_JBR" dataDxfId="145"/>
  </tableColumns>
  <tableStyleInfo name="review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wAddTap" displayName="wAddTap" ref="B15:D51" tableType="queryTable" totalsRowShown="0">
  <autoFilter ref="B15:D51" xr:uid="{13E57BC5-5381-4B21-915A-56BB1155E16E}"/>
  <tableColumns count="3">
    <tableColumn id="23" xr3:uid="{2B4F470D-5393-407C-81AA-C0830E8F96A1}" uniqueName="23" name="Column1" queryTableFieldId="1" dataDxfId="144"/>
    <tableColumn id="24" xr3:uid="{EAD53C83-0843-49F8-80DF-27B7042770D9}" uniqueName="24" name="Column2" queryTableFieldId="2" dataDxfId="143"/>
    <tableColumn id="1" xr3:uid="{F282A052-A8EF-4A2E-A674-03BAE3B51694}" uniqueName="1" name="Column3" queryTableFieldId="3"/>
  </tableColumns>
  <tableStyleInfo name="Qry Load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3:J20" tableType="queryTable" totalsRowShown="0">
  <autoFilter ref="I13:J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10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0:J36" tableType="queryTable" totalsRowShown="0">
  <autoFilter ref="I30:J36" xr:uid="{FF208760-EA58-4FEC-8BFC-A2D10CC56FD3}">
    <filterColumn colId="0" hiddenButton="1"/>
  </autoFilter>
  <tableColumns count="2">
    <tableColumn id="1" xr3:uid="{E8A08C19-4FDD-411B-A6E1-3AEE07FBDDD9}" uniqueName="1" name="BISL_ROLE" queryTableFieldId="1" dataDxfId="11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0" tableType="queryTable" totalsRowShown="0">
  <autoFilter ref="I6:J10" xr:uid="{999A9F35-E4E0-4D85-AD86-43F048CB5B5A}">
    <filterColumn colId="0" hiddenButton="1"/>
  </autoFilter>
  <tableColumns count="2">
    <tableColumn id="1" xr3:uid="{2AA3E575-2017-4E83-9753-495BF623DBCA}" uniqueName="1" name="Updator" queryTableFieldId="1" dataDxfId="12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0:J66" tableType="queryTable" totalsRowShown="0">
  <autoFilter ref="I60:J66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13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D95:D104" tableType="queryTable" totalsRowShown="0">
  <autoFilter ref="D95:D104" xr:uid="{C59B98D9-DE6D-4FBE-945C-51BABF760B41}"/>
  <tableColumns count="1">
    <tableColumn id="1" xr3:uid="{A6F299EA-476D-4DD5-BED2-A486CAE02C36}" uniqueName="1" name="dd_结构" queryTableFieldId="2" dataDxfId="139"/>
  </tableColumns>
  <tableStyleInfo name="Named_dd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2:J28" tableType="queryTable" totalsRowShown="0">
  <autoFilter ref="I22:J28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14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8:J49" tableType="queryTable" totalsRowShown="0">
  <autoFilter ref="I38:J49" xr:uid="{AF8038FA-F5FD-4B93-A069-021973B2B269}"/>
  <tableColumns count="2">
    <tableColumn id="1" xr3:uid="{DD06F972-EA09-468A-B735-0CEFD18E493E}" uniqueName="1" name="货币" queryTableFieldId="1" dataDxfId="15"/>
    <tableColumn id="2" xr3:uid="{6DB657FB-E1F1-4EA3-83FA-7AC2169895B1}" uniqueName="2" name="SortValue" queryTableFieldId="2" dataDxfId="138"/>
  </tableColumns>
  <tableStyleInfo name="Named_dd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1:J58" tableType="queryTable" totalsRowShown="0">
  <autoFilter ref="I51:J58" xr:uid="{6603B9A1-E294-40E5-AD4D-4E9927CD4CAF}"/>
  <tableColumns count="2">
    <tableColumn id="1" xr3:uid="{369F5811-C952-4951-A1BB-EF52B7DFEE11}" uniqueName="1" name="上市分类" queryTableFieldId="1" dataDxfId="17"/>
    <tableColumn id="2" xr3:uid="{C1D12E41-5DFD-4B2B-90E5-92838B701E0D}" uniqueName="2" name="SortValue" queryTableFieldId="2" dataDxfId="137"/>
  </tableColumns>
  <tableStyleInfo name="Named_d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136"/>
    <tableColumn id="1" xr3:uid="{FFDAFF75-50D1-41BB-9E49-2BB8B082E04A}" name="Replace"/>
  </tableColumns>
  <tableStyleInfo name="Qry Source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全称" displayName="备证行全称" ref="D41:D92" tableType="queryTable" totalsRowShown="0">
  <autoFilter ref="D41:D92" xr:uid="{3D15E97E-A96B-46C8-8F14-CDD4B9B5EBE7}"/>
  <tableColumns count="1">
    <tableColumn id="1" xr3:uid="{0D22FE4A-EE51-441D-9EA1-1C403407ED0B}" uniqueName="1" name="备证行全称" queryTableFieldId="2" dataDxfId="135"/>
  </tableColumns>
  <tableStyleInfo name="Named_dd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19"/>
  </tableColumns>
  <tableStyleInfo name="Named_dd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M6:N72" tableType="queryTable" totalsRowShown="0">
  <autoFilter ref="M6:N72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R6:S10" totalsRowShown="0">
  <autoFilter ref="R6:S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P6:P57" totalsRowShown="0">
  <autoFilter ref="P6:P57" xr:uid="{67EDE75D-B77F-479E-AE38-E240ED6FF7A1}"/>
  <tableColumns count="1">
    <tableColumn id="1" xr3:uid="{570EC7CC-3877-428E-B59C-EA2EA4EFCDAE}" name="ColNow_mCurated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6:D113" tableType="queryTable" totalsRowShown="0">
  <autoFilter ref="D106:D113" xr:uid="{1DC51F1B-1F4F-4981-99A0-790DB39684D9}">
    <filterColumn colId="0" hiddenButton="1"/>
  </autoFilter>
  <tableColumns count="1">
    <tableColumn id="1" xr3:uid="{80691C07-9984-443C-A245-A32A722F8460}" uniqueName="1" name="DimMonday" queryTableFieldId="1" dataDxfId="134"/>
  </tableColumns>
  <tableStyleInfo name="Named_d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U6:V125" totalsRowShown="0">
  <autoFilter ref="U6:V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8:J73" totalsRowShown="0">
  <autoFilter ref="I68:J73" xr:uid="{111DFADF-F3AE-49D9-BC2B-5E6AD4CE759F}"/>
  <tableColumns count="2">
    <tableColumn id="1" xr3:uid="{F689DC6D-5E70-49EB-A51C-BB9EF30556B5}" name="ESG" dataDxfId="133"/>
    <tableColumn id="2" xr3:uid="{6D7F5D52-78BC-4D49-A292-F6AF87AE5339}" name="SortValue" dataDxfId="132"/>
  </tableColumns>
  <tableStyleInfo name="Named_d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1BF747A-3099-4AC8-98BB-86A7AE61C531}" name="dd_新闻分类" displayName="dd_新闻分类" ref="D115:D122" totalsRowShown="0">
  <autoFilter ref="D115:D122" xr:uid="{2CCC43E2-BC45-47E5-B24A-579E315DAFB4}"/>
  <tableColumns count="1">
    <tableColumn id="1" xr3:uid="{C6821DF5-A99A-432D-93A6-E8A1E26A9881}" name="新闻分类"/>
  </tableColumns>
  <tableStyleInfo name="Named_dd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B9827B1-D7B3-4824-8ABC-EFDB5F91689B}" name="dd_新闻地区" displayName="dd_新闻地区" ref="D124:D127" totalsRowShown="0">
  <autoFilter ref="D124:D127" xr:uid="{9E8E6DC3-51E5-47C4-9340-B324AE8AB7F6}"/>
  <tableColumns count="1">
    <tableColumn id="1" xr3:uid="{41C07ED1-0B41-4718-A93D-5AA15F4B6E7B}" name="新闻地区"/>
  </tableColumns>
  <tableStyleInfo name="Named_dd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A189EFD-B11D-4A1B-887A-94C203DA521A}" name="dd_港分_ROLE" displayName="dd_港分_ROLE" ref="I75:J81" tableType="queryTable" totalsRowShown="0">
  <autoFilter ref="I75:J81" xr:uid="{DA189EFD-B11D-4A1B-887A-94C203DA521A}"/>
  <tableColumns count="2">
    <tableColumn id="1" xr3:uid="{FEA200F6-24EA-45F2-A61B-12C4A2B04526}" uniqueName="1" name="港分_ROLE" queryTableFieldId="1"/>
    <tableColumn id="2" xr3:uid="{C4627043-0314-4861-B5B0-B520C30756E7}" uniqueName="2" name="SortValue" queryTableFieldId="2"/>
  </tableColumns>
  <tableStyleInfo name="Named_dd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27AD7AD-EA1D-4E1B-AA8B-78E95EAAB59F}" name="dd_定价基准" displayName="dd_定价基准" ref="I83:J96" tableType="queryTable" totalsRowShown="0">
  <autoFilter ref="I83:J96" xr:uid="{227AD7AD-EA1D-4E1B-AA8B-78E95EAAB59F}"/>
  <tableColumns count="2">
    <tableColumn id="1" xr3:uid="{420ECBF4-BE2B-4A66-942D-3210F6729A3C}" uniqueName="1" name="定价基准" queryTableFieldId="1" dataDxfId="16"/>
    <tableColumn id="2" xr3:uid="{4B0DED31-4087-4A25-AFC9-0AEEA9BA8F37}" uniqueName="2" name="SortValue" queryTableFieldId="2" dataDxfId="131"/>
  </tableColumns>
  <tableStyleInfo name="Named_dd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5B6F2C-4607-4D60-A974-E5F5AD80363D}" name="dd_金融机构" displayName="dd_金融机构" ref="I98:J101" tableType="queryTable" totalsRowShown="0">
  <autoFilter ref="I98:J101" xr:uid="{B96CDCA4-F775-4C94-B48D-5B8C029D19DC}"/>
  <tableColumns count="2">
    <tableColumn id="1" xr3:uid="{38F2EBF6-953C-4322-9270-C39CF960874E}" uniqueName="1" name="金融机构" queryTableFieldId="1" dataDxfId="23"/>
    <tableColumn id="2" xr3:uid="{0177D021-4B5C-41CB-BF55-D7BDCC537CC7}" uniqueName="2" name="SortValue" queryTableFieldId="2" dataDxfId="130"/>
  </tableColumns>
  <tableStyleInfo name="Named_dd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897B07-E296-4D67-994F-D2BBAF6B6517}" name="dd_银行" displayName="dd_银行" ref="I103:J110" tableType="queryTable" totalsRowShown="0">
  <autoFilter ref="I103:J110" xr:uid="{895F477F-5398-4905-B711-9D08A0AE63F2}"/>
  <tableColumns count="2">
    <tableColumn id="1" xr3:uid="{CBD54E84-4C92-4EAE-970C-3C1316817AF7}" uniqueName="1" name="银行" queryTableFieldId="1" dataDxfId="24"/>
    <tableColumn id="2" xr3:uid="{701EE089-E5FF-4453-88E0-3FD1862F322B}" uniqueName="2" name="SortValue" queryTableFieldId="2" dataDxfId="129"/>
  </tableColumns>
  <tableStyleInfo name="Named_dd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0283A-179D-4255-9427-C9D89B48AA14}" name="dd_非银" displayName="dd_非银" ref="I112:J119" tableType="queryTable" totalsRowShown="0">
  <autoFilter ref="I112:J119" xr:uid="{4B56C168-E314-4D78-9AE6-782588FC9B3F}"/>
  <tableColumns count="2">
    <tableColumn id="1" xr3:uid="{43766378-2A24-4FC2-889F-92EC3A5F8D1B}" uniqueName="1" name="非银" queryTableFieldId="1" dataDxfId="22"/>
    <tableColumn id="2" xr3:uid="{F6459280-4FCD-49BB-8F50-3807E8480254}" uniqueName="2" name="SortValue" queryTableFieldId="2" dataDxfId="128"/>
  </tableColumns>
  <tableStyleInfo name="Named_d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BE7BABB-B1BA-4A30-BCA9-E174E4673414}" name="dd_地方国企" displayName="dd_地方国企" ref="I121:J130" tableType="queryTable" totalsRowShown="0">
  <autoFilter ref="I121:J130" xr:uid="{DD985421-3214-4F7B-9909-C193B2759E4A}"/>
  <tableColumns count="2">
    <tableColumn id="1" xr3:uid="{0074168B-68EC-4B98-AA66-F0CA7BFC3BB8}" uniqueName="1" name="地方国企" queryTableFieldId="1" dataDxfId="25"/>
    <tableColumn id="2" xr3:uid="{279DD6A2-1C35-438C-B8D1-ACA1F06BE526}" uniqueName="2" name="SortValue" queryTableFieldId="2" dataDxfId="127"/>
  </tableColumns>
  <tableStyleInfo name="Named_d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6EB48F-5DB2-447E-B1CE-14799D2E70A9}" name="dd_地方平台" displayName="dd_地方平台" ref="I132:J139" tableType="queryTable" totalsRowShown="0">
  <autoFilter ref="I132:J139" xr:uid="{9663CCD6-FC26-4C72-9829-E352207CE37F}"/>
  <tableColumns count="2">
    <tableColumn id="1" xr3:uid="{927233F5-7BF1-4B1B-AAAC-9EF5E718B6DE}" uniqueName="1" name="地方平台" queryTableFieldId="1" dataDxfId="26"/>
    <tableColumn id="2" xr3:uid="{C9C4447F-F30F-41BD-8CDD-83D83F16DBA0}" uniqueName="2" name="SortValue" queryTableFieldId="2" dataDxfId="126"/>
  </tableColumns>
  <tableStyleInfo name="Named_dd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k.finance.yahoo.com/news/%E7%BE%8E10%E6%9C%88ppi%E6%9C%88%E5%A2%9E%E7%8E%87%E8%B6%85%E9%A0%90%E6%9C%9F%E6%94%BE%E7%B7%A9%E8%87%B3-0-5-%E5%89%B52020%E5%B9%B44%E6%9C%88%E4%BB%A5%E4%BE%86%E6%9C%80%E5%A4%A7%E9%99%8D%E5%B9%85-133449699.html" TargetMode="External"/><Relationship Id="rId4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5.xml"/><Relationship Id="rId18" Type="http://schemas.openxmlformats.org/officeDocument/2006/relationships/table" Target="../tables/table40.xml"/><Relationship Id="rId26" Type="http://schemas.openxmlformats.org/officeDocument/2006/relationships/table" Target="../tables/table48.xml"/><Relationship Id="rId39" Type="http://schemas.openxmlformats.org/officeDocument/2006/relationships/table" Target="../tables/table61.xml"/><Relationship Id="rId21" Type="http://schemas.openxmlformats.org/officeDocument/2006/relationships/table" Target="../tables/table43.xml"/><Relationship Id="rId34" Type="http://schemas.openxmlformats.org/officeDocument/2006/relationships/table" Target="../tables/table56.xml"/><Relationship Id="rId7" Type="http://schemas.openxmlformats.org/officeDocument/2006/relationships/table" Target="../tables/table29.xml"/><Relationship Id="rId12" Type="http://schemas.openxmlformats.org/officeDocument/2006/relationships/table" Target="../tables/table34.xml"/><Relationship Id="rId17" Type="http://schemas.openxmlformats.org/officeDocument/2006/relationships/table" Target="../tables/table39.xml"/><Relationship Id="rId25" Type="http://schemas.openxmlformats.org/officeDocument/2006/relationships/table" Target="../tables/table47.xml"/><Relationship Id="rId33" Type="http://schemas.openxmlformats.org/officeDocument/2006/relationships/table" Target="../tables/table55.xml"/><Relationship Id="rId38" Type="http://schemas.openxmlformats.org/officeDocument/2006/relationships/table" Target="../tables/table60.xml"/><Relationship Id="rId2" Type="http://schemas.openxmlformats.org/officeDocument/2006/relationships/table" Target="../tables/table24.xml"/><Relationship Id="rId16" Type="http://schemas.openxmlformats.org/officeDocument/2006/relationships/table" Target="../tables/table38.xml"/><Relationship Id="rId20" Type="http://schemas.openxmlformats.org/officeDocument/2006/relationships/table" Target="../tables/table42.xml"/><Relationship Id="rId29" Type="http://schemas.openxmlformats.org/officeDocument/2006/relationships/table" Target="../tables/table5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24" Type="http://schemas.openxmlformats.org/officeDocument/2006/relationships/table" Target="../tables/table46.xml"/><Relationship Id="rId32" Type="http://schemas.openxmlformats.org/officeDocument/2006/relationships/table" Target="../tables/table54.xml"/><Relationship Id="rId37" Type="http://schemas.openxmlformats.org/officeDocument/2006/relationships/table" Target="../tables/table59.xml"/><Relationship Id="rId40" Type="http://schemas.openxmlformats.org/officeDocument/2006/relationships/table" Target="../tables/table62.xml"/><Relationship Id="rId5" Type="http://schemas.openxmlformats.org/officeDocument/2006/relationships/table" Target="../tables/table27.xml"/><Relationship Id="rId15" Type="http://schemas.openxmlformats.org/officeDocument/2006/relationships/table" Target="../tables/table37.xml"/><Relationship Id="rId23" Type="http://schemas.openxmlformats.org/officeDocument/2006/relationships/table" Target="../tables/table45.xml"/><Relationship Id="rId28" Type="http://schemas.openxmlformats.org/officeDocument/2006/relationships/table" Target="../tables/table50.xml"/><Relationship Id="rId36" Type="http://schemas.openxmlformats.org/officeDocument/2006/relationships/table" Target="../tables/table58.xml"/><Relationship Id="rId10" Type="http://schemas.openxmlformats.org/officeDocument/2006/relationships/table" Target="../tables/table32.xml"/><Relationship Id="rId19" Type="http://schemas.openxmlformats.org/officeDocument/2006/relationships/table" Target="../tables/table41.xml"/><Relationship Id="rId31" Type="http://schemas.openxmlformats.org/officeDocument/2006/relationships/table" Target="../tables/table53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Relationship Id="rId14" Type="http://schemas.openxmlformats.org/officeDocument/2006/relationships/table" Target="../tables/table36.xml"/><Relationship Id="rId22" Type="http://schemas.openxmlformats.org/officeDocument/2006/relationships/table" Target="../tables/table44.xml"/><Relationship Id="rId27" Type="http://schemas.openxmlformats.org/officeDocument/2006/relationships/table" Target="../tables/table49.xml"/><Relationship Id="rId30" Type="http://schemas.openxmlformats.org/officeDocument/2006/relationships/table" Target="../tables/table52.xml"/><Relationship Id="rId35" Type="http://schemas.openxmlformats.org/officeDocument/2006/relationships/table" Target="../tables/table57.xml"/><Relationship Id="rId8" Type="http://schemas.openxmlformats.org/officeDocument/2006/relationships/table" Target="../tables/table30.xml"/><Relationship Id="rId3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K44"/>
  <sheetViews>
    <sheetView tabSelected="1" topLeftCell="H5" zoomScale="85" zoomScaleNormal="85" workbookViewId="0">
      <selection activeCell="P16" sqref="P16"/>
    </sheetView>
  </sheetViews>
  <sheetFormatPr defaultColWidth="8.88671875" defaultRowHeight="18" customHeight="1" outlineLevelCol="1" x14ac:dyDescent="0.25"/>
  <cols>
    <col min="1" max="1" width="6.21875" style="2" customWidth="1"/>
    <col min="2" max="2" width="15.5546875" style="2" customWidth="1"/>
    <col min="3" max="3" width="16" style="2" customWidth="1"/>
    <col min="4" max="4" width="4" style="97" customWidth="1"/>
    <col min="5" max="7" width="4" style="2" customWidth="1"/>
    <col min="8" max="8" width="19.44140625" style="2" bestFit="1" customWidth="1"/>
    <col min="9" max="9" width="7.88671875" style="2" customWidth="1"/>
    <col min="10" max="10" width="7.109375" style="2" bestFit="1" customWidth="1"/>
    <col min="11" max="11" width="28.21875" style="2" bestFit="1" customWidth="1"/>
    <col min="12" max="12" width="13.44140625" style="2" bestFit="1" customWidth="1"/>
    <col min="13" max="13" width="10.44140625" style="2" bestFit="1" customWidth="1"/>
    <col min="14" max="14" width="10.33203125" style="2" bestFit="1" customWidth="1"/>
    <col min="15" max="15" width="36.109375" style="2" bestFit="1" customWidth="1"/>
    <col min="16" max="16" width="29.33203125" style="2" bestFit="1" customWidth="1"/>
    <col min="17" max="17" width="10.33203125" style="2" bestFit="1" customWidth="1"/>
    <col min="18" max="18" width="12.5546875" style="2" bestFit="1" customWidth="1"/>
    <col min="19" max="19" width="12.109375" style="2" bestFit="1" customWidth="1"/>
    <col min="20" max="20" width="10.88671875" style="2" bestFit="1" customWidth="1"/>
    <col min="21" max="21" width="5.88671875" style="1" bestFit="1" customWidth="1"/>
    <col min="22" max="22" width="9.21875" style="1" bestFit="1" customWidth="1"/>
    <col min="23" max="23" width="80.88671875" style="1" bestFit="1" customWidth="1"/>
    <col min="24" max="24" width="80.88671875" style="2" bestFit="1" customWidth="1" outlineLevel="1"/>
    <col min="25" max="25" width="20.109375" style="2" bestFit="1" customWidth="1" outlineLevel="1"/>
    <col min="26" max="26" width="26.88671875" style="2" bestFit="1" customWidth="1" outlineLevel="1"/>
    <col min="27" max="27" width="10" style="2" bestFit="1" customWidth="1" outlineLevel="1"/>
    <col min="28" max="28" width="12.5546875" style="2" bestFit="1" customWidth="1" outlineLevel="1"/>
    <col min="29" max="29" width="9.21875" style="2" bestFit="1" customWidth="1" outlineLevel="1"/>
    <col min="30" max="31" width="12" style="2" bestFit="1" customWidth="1" outlineLevel="1"/>
    <col min="32" max="32" width="10.21875" style="2" bestFit="1" customWidth="1" outlineLevel="1"/>
    <col min="33" max="33" width="10.44140625" style="2" bestFit="1" customWidth="1" outlineLevel="1"/>
    <col min="34" max="34" width="51.21875" style="2" bestFit="1" customWidth="1" outlineLevel="1"/>
    <col min="35" max="35" width="12.5546875" style="2" bestFit="1" customWidth="1" outlineLevel="1"/>
    <col min="36" max="37" width="9.21875" style="2" bestFit="1" customWidth="1" outlineLevel="1"/>
    <col min="38" max="38" width="21.44140625" style="2" bestFit="1" customWidth="1" outlineLevel="1"/>
    <col min="39" max="39" width="15" style="2" bestFit="1" customWidth="1" outlineLevel="1"/>
    <col min="40" max="40" width="7.5546875" style="2" bestFit="1" customWidth="1" outlineLevel="1"/>
    <col min="41" max="41" width="9.21875" style="2" bestFit="1" customWidth="1" outlineLevel="1"/>
    <col min="42" max="42" width="12.77734375" style="2" bestFit="1" customWidth="1" outlineLevel="1"/>
    <col min="43" max="43" width="7.77734375" style="2" bestFit="1" customWidth="1" outlineLevel="1"/>
    <col min="44" max="44" width="6.109375" style="2" bestFit="1" customWidth="1" outlineLevel="1"/>
    <col min="45" max="48" width="9.21875" style="2" bestFit="1" customWidth="1" outlineLevel="1"/>
    <col min="49" max="49" width="9.44140625" style="2" bestFit="1" customWidth="1" outlineLevel="1"/>
    <col min="50" max="51" width="12.5546875" style="2" bestFit="1" customWidth="1" outlineLevel="1"/>
    <col min="52" max="52" width="9.44140625" style="2" bestFit="1" customWidth="1" outlineLevel="1"/>
    <col min="53" max="53" width="9.21875" style="2" bestFit="1" customWidth="1" outlineLevel="1"/>
    <col min="54" max="54" width="14.5546875" style="2" bestFit="1" customWidth="1" outlineLevel="1"/>
    <col min="55" max="55" width="9.21875" style="2" bestFit="1" customWidth="1" outlineLevel="1"/>
    <col min="56" max="56" width="50.5546875" style="2" bestFit="1" customWidth="1" outlineLevel="1"/>
    <col min="57" max="57" width="8.33203125" style="2" bestFit="1" customWidth="1" outlineLevel="1"/>
    <col min="58" max="58" width="12.5546875" style="2" bestFit="1" customWidth="1" outlineLevel="1"/>
    <col min="59" max="59" width="9.21875" style="2" bestFit="1" customWidth="1" outlineLevel="1"/>
    <col min="60" max="60" width="10.44140625" style="2" bestFit="1" customWidth="1" outlineLevel="1"/>
    <col min="61" max="61" width="10.88671875" style="2" bestFit="1" customWidth="1" outlineLevel="1"/>
    <col min="62" max="62" width="12.5546875" style="2" bestFit="1" customWidth="1" outlineLevel="1"/>
    <col min="63" max="63" width="31.21875" style="2" bestFit="1" customWidth="1" outlineLevel="1"/>
    <col min="64" max="64" width="10.88671875" style="2" bestFit="1" customWidth="1" outlineLevel="1"/>
    <col min="65" max="65" width="47.44140625" style="2" bestFit="1" customWidth="1" outlineLevel="1"/>
    <col min="66" max="66" width="56.88671875" style="2" bestFit="1" customWidth="1" outlineLevel="1"/>
    <col min="67" max="67" width="10.88671875" style="2" bestFit="1" customWidth="1" outlineLevel="1"/>
    <col min="68" max="68" width="28.6640625" style="2" bestFit="1" customWidth="1" outlineLevel="1"/>
    <col min="69" max="69" width="10.44140625" style="2" bestFit="1" customWidth="1" outlineLevel="1"/>
    <col min="70" max="70" width="19.109375" style="2" bestFit="1" customWidth="1" outlineLevel="1"/>
    <col min="71" max="71" width="80.88671875" style="2" bestFit="1" customWidth="1" outlineLevel="1"/>
    <col min="72" max="72" width="10.88671875" style="2" bestFit="1" customWidth="1" outlineLevel="1"/>
    <col min="73" max="77" width="9.21875" style="2" bestFit="1" customWidth="1" outlineLevel="1"/>
    <col min="78" max="78" width="9.21875" style="1" bestFit="1" customWidth="1" outlineLevel="1"/>
    <col min="79" max="79" width="14.21875" style="1" bestFit="1" customWidth="1" outlineLevel="1"/>
    <col min="80" max="80" width="12" style="1" bestFit="1" customWidth="1" outlineLevel="1"/>
    <col min="81" max="81" width="10.88671875" style="2" bestFit="1" customWidth="1" outlineLevel="1"/>
    <col min="82" max="82" width="9.33203125" style="1" bestFit="1" customWidth="1" outlineLevel="1"/>
    <col min="83" max="83" width="5.88671875" style="2" bestFit="1" customWidth="1" outlineLevel="1"/>
    <col min="84" max="84" width="11.109375" style="2" bestFit="1" customWidth="1" outlineLevel="1"/>
    <col min="85" max="85" width="14.21875" style="2" bestFit="1" customWidth="1" outlineLevel="1"/>
    <col min="86" max="86" width="18.21875" style="2" bestFit="1" customWidth="1" outlineLevel="1"/>
    <col min="87" max="87" width="9.21875" style="2" bestFit="1" customWidth="1" outlineLevel="1"/>
    <col min="88" max="88" width="9.77734375" style="2" bestFit="1" customWidth="1" outlineLevel="1"/>
    <col min="89" max="89" width="11.77734375" style="1" bestFit="1" customWidth="1" outlineLevel="1"/>
    <col min="90" max="90" width="13.77734375" style="1" bestFit="1" customWidth="1" outlineLevel="1"/>
    <col min="91" max="91" width="19.5546875" style="1" bestFit="1" customWidth="1" outlineLevel="1"/>
    <col min="92" max="92" width="12.44140625" style="1" bestFit="1" customWidth="1" outlineLevel="1" collapsed="1"/>
    <col min="93" max="93" width="12.5546875" style="1" bestFit="1" customWidth="1" outlineLevel="1"/>
    <col min="94" max="94" width="19.5546875" style="1" bestFit="1" customWidth="1" outlineLevel="1"/>
    <col min="95" max="95" width="12.44140625" style="1" bestFit="1" customWidth="1"/>
    <col min="96" max="96" width="12.5546875" style="1" bestFit="1" customWidth="1"/>
    <col min="97" max="97" width="12.6640625" style="1" bestFit="1" customWidth="1"/>
    <col min="98" max="98" width="13.5546875" style="1" bestFit="1" customWidth="1"/>
    <col min="99" max="99" width="13.33203125" style="1" bestFit="1" customWidth="1"/>
    <col min="100" max="100" width="21.44140625" style="1" bestFit="1" customWidth="1"/>
    <col min="101" max="103" width="9.21875" style="1" bestFit="1" customWidth="1"/>
    <col min="104" max="104" width="11.44140625" style="1" bestFit="1" customWidth="1"/>
    <col min="105" max="105" width="10.88671875" style="1" bestFit="1" customWidth="1"/>
    <col min="106" max="107" width="9.44140625" style="1" bestFit="1" customWidth="1"/>
    <col min="108" max="108" width="11.6640625" style="1" bestFit="1" customWidth="1"/>
    <col min="109" max="109" width="11.109375" style="1" bestFit="1" customWidth="1"/>
    <col min="110" max="111" width="10.88671875" style="2" bestFit="1" customWidth="1"/>
    <col min="112" max="113" width="11.109375" style="2" bestFit="1" customWidth="1"/>
    <col min="114" max="114" width="11.109375" style="1" bestFit="1" customWidth="1"/>
    <col min="115" max="115" width="7.77734375" style="1" bestFit="1" customWidth="1"/>
    <col min="116" max="116" width="6" style="2" bestFit="1" customWidth="1"/>
    <col min="117" max="117" width="8.88671875" style="2" bestFit="1" customWidth="1"/>
    <col min="118" max="120" width="19.5546875" style="2" bestFit="1" customWidth="1"/>
    <col min="121" max="121" width="8.88671875" style="2" bestFit="1" customWidth="1"/>
    <col min="122" max="122" width="10.5546875" style="2" bestFit="1" customWidth="1"/>
    <col min="123" max="124" width="10.33203125" style="2" bestFit="1" customWidth="1"/>
    <col min="125" max="125" width="10.5546875" style="2" bestFit="1" customWidth="1"/>
    <col min="126" max="126" width="19.5546875" style="2" bestFit="1" customWidth="1"/>
    <col min="127" max="127" width="10.5546875" style="2" bestFit="1" customWidth="1"/>
    <col min="128" max="128" width="10.33203125" style="2" bestFit="1" customWidth="1"/>
    <col min="129" max="130" width="10.5546875" style="2" bestFit="1" customWidth="1"/>
    <col min="131" max="131" width="16.6640625" style="2" bestFit="1" customWidth="1"/>
    <col min="132" max="132" width="7.6640625" style="2" bestFit="1" customWidth="1"/>
    <col min="133" max="134" width="10.44140625" style="2" bestFit="1" customWidth="1"/>
    <col min="135" max="135" width="17.33203125" style="2" bestFit="1" customWidth="1"/>
    <col min="136" max="137" width="10.109375" style="2" bestFit="1" customWidth="1"/>
    <col min="138" max="139" width="12.44140625" style="2" bestFit="1" customWidth="1"/>
    <col min="140" max="140" width="8.6640625" style="2" bestFit="1" customWidth="1"/>
    <col min="141" max="143" width="8.6640625" style="2" customWidth="1"/>
    <col min="144" max="144" width="9.21875" style="2" customWidth="1"/>
    <col min="145" max="145" width="28.6640625" style="2" customWidth="1"/>
    <col min="146" max="146" width="9" style="2" customWidth="1"/>
    <col min="147" max="147" width="11.6640625" style="2" customWidth="1"/>
    <col min="148" max="149" width="9.21875" style="2" customWidth="1"/>
    <col min="150" max="150" width="10.44140625" style="2" customWidth="1"/>
    <col min="151" max="151" width="11.6640625" style="2" customWidth="1"/>
    <col min="152" max="152" width="9.21875" style="2" customWidth="1"/>
    <col min="153" max="153" width="10.44140625" style="2" customWidth="1"/>
    <col min="154" max="154" width="20.109375" style="2" customWidth="1"/>
    <col min="155" max="155" width="37.77734375" style="2" customWidth="1"/>
    <col min="156" max="156" width="43.21875" style="2" customWidth="1"/>
    <col min="157" max="157" width="9.21875" style="2" customWidth="1"/>
    <col min="158" max="158" width="13.77734375" style="2" customWidth="1"/>
    <col min="159" max="159" width="37.109375" style="2" customWidth="1"/>
    <col min="160" max="160" width="10.44140625" style="2" customWidth="1"/>
    <col min="161" max="166" width="9.21875" style="2" customWidth="1"/>
    <col min="167" max="167" width="12.33203125" style="2" bestFit="1" customWidth="1"/>
    <col min="168" max="168" width="11.109375" style="2" customWidth="1"/>
    <col min="169" max="169" width="11.6640625" style="2" bestFit="1" customWidth="1"/>
    <col min="170" max="170" width="11.6640625" style="2" customWidth="1"/>
    <col min="171" max="171" width="4.77734375" style="2" bestFit="1" customWidth="1"/>
    <col min="172" max="172" width="7.44140625" style="2" bestFit="1" customWidth="1"/>
    <col min="173" max="16384" width="8.88671875" style="2"/>
  </cols>
  <sheetData>
    <row r="1" spans="1:115" ht="64.5" customHeight="1" x14ac:dyDescent="0.25">
      <c r="A1" s="26" t="s">
        <v>167</v>
      </c>
      <c r="N1" s="100"/>
      <c r="U1" s="2"/>
      <c r="V1" s="2"/>
      <c r="W1" s="2"/>
      <c r="BZ1" s="2"/>
      <c r="CA1" s="2"/>
      <c r="CB1" s="2"/>
      <c r="CD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J1" s="2"/>
      <c r="DK1" s="2"/>
    </row>
    <row r="2" spans="1:115" ht="64.5" customHeight="1" x14ac:dyDescent="0.25">
      <c r="A2" s="27" t="s">
        <v>104</v>
      </c>
      <c r="N2" s="100"/>
      <c r="U2" s="2"/>
      <c r="V2" s="2"/>
      <c r="W2" s="2"/>
      <c r="BZ2" s="2"/>
      <c r="CA2" s="2"/>
      <c r="CB2" s="2"/>
      <c r="CD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J2" s="2"/>
      <c r="DK2" s="2"/>
    </row>
    <row r="3" spans="1:115" ht="32.25" customHeight="1" thickBot="1" x14ac:dyDescent="0.3">
      <c r="A3" s="93" t="s">
        <v>83</v>
      </c>
      <c r="B3" s="93" t="s">
        <v>294</v>
      </c>
      <c r="C3" s="93" t="s">
        <v>295</v>
      </c>
      <c r="I3" s="102"/>
      <c r="J3" s="102"/>
      <c r="K3" s="102"/>
      <c r="L3" s="102"/>
      <c r="M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32" t="s">
        <v>202</v>
      </c>
      <c r="CX3" s="102"/>
      <c r="CY3" s="102"/>
      <c r="DA3" s="32"/>
      <c r="DB3" s="102"/>
      <c r="DC3" s="102"/>
      <c r="DD3" s="2"/>
      <c r="DE3" s="2"/>
      <c r="DJ3" s="2"/>
      <c r="DK3" s="2"/>
    </row>
    <row r="4" spans="1:115" ht="32.25" customHeight="1" thickTop="1" thickBot="1" x14ac:dyDescent="0.3">
      <c r="A4" s="93">
        <v>1</v>
      </c>
      <c r="B4" s="96" t="s">
        <v>245</v>
      </c>
      <c r="C4" s="98" t="s">
        <v>593</v>
      </c>
      <c r="K4" s="32" t="s">
        <v>327</v>
      </c>
      <c r="U4" s="2"/>
      <c r="V4" s="2"/>
      <c r="W4" s="2"/>
      <c r="BZ4" s="2"/>
      <c r="CA4" s="2"/>
      <c r="CB4" s="2"/>
      <c r="CD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J4" s="2"/>
      <c r="DK4" s="2"/>
    </row>
    <row r="5" spans="1:115" ht="32.25" customHeight="1" thickTop="1" thickBot="1" x14ac:dyDescent="0.3">
      <c r="A5" s="93">
        <v>2</v>
      </c>
      <c r="B5" s="96" t="s">
        <v>136</v>
      </c>
      <c r="C5" s="94" t="s">
        <v>5</v>
      </c>
      <c r="U5" s="2"/>
      <c r="V5" s="2"/>
      <c r="W5" s="2"/>
      <c r="BZ5" s="2"/>
      <c r="CA5" s="2"/>
      <c r="CB5" s="2"/>
      <c r="CD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J5" s="2"/>
      <c r="DK5" s="2"/>
    </row>
    <row r="6" spans="1:115" ht="32.25" customHeight="1" thickTop="1" thickBot="1" x14ac:dyDescent="0.3">
      <c r="A6" s="93">
        <v>3</v>
      </c>
      <c r="B6" s="96" t="s">
        <v>299</v>
      </c>
      <c r="C6" s="99" t="s">
        <v>298</v>
      </c>
      <c r="U6" s="2"/>
      <c r="V6" s="2"/>
      <c r="W6" s="2"/>
      <c r="BZ6" s="2"/>
      <c r="CA6" s="2"/>
      <c r="CB6" s="2"/>
      <c r="CD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J6" s="2"/>
      <c r="DK6" s="2"/>
    </row>
    <row r="7" spans="1:115" ht="32.25" customHeight="1" thickTop="1" thickBot="1" x14ac:dyDescent="0.3">
      <c r="A7" s="93">
        <v>4</v>
      </c>
      <c r="B7" s="96" t="s">
        <v>300</v>
      </c>
      <c r="C7" s="99" t="s">
        <v>298</v>
      </c>
      <c r="U7" s="2"/>
      <c r="V7" s="2"/>
      <c r="W7" s="2"/>
      <c r="BZ7" s="2"/>
      <c r="CA7" s="2"/>
      <c r="CB7" s="2"/>
      <c r="CD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J7" s="2"/>
      <c r="DK7" s="2"/>
    </row>
    <row r="8" spans="1:115" ht="32.25" customHeight="1" thickTop="1" thickBot="1" x14ac:dyDescent="0.3">
      <c r="A8" s="93">
        <v>5</v>
      </c>
      <c r="B8" s="96" t="s">
        <v>324</v>
      </c>
      <c r="C8" s="99" t="s">
        <v>298</v>
      </c>
      <c r="U8" s="2"/>
      <c r="V8" s="2"/>
      <c r="W8" s="2"/>
      <c r="BZ8" s="2"/>
      <c r="CA8" s="2"/>
      <c r="CB8" s="2"/>
      <c r="CD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95"/>
      <c r="CZ8" s="2"/>
      <c r="DA8" s="2"/>
      <c r="DB8" s="2"/>
      <c r="DC8" s="2"/>
      <c r="DD8" s="2"/>
      <c r="DE8" s="2"/>
      <c r="DJ8" s="2"/>
      <c r="DK8" s="2"/>
    </row>
    <row r="9" spans="1:115" ht="32.25" customHeight="1" thickTop="1" thickBot="1" x14ac:dyDescent="0.3">
      <c r="A9" s="93">
        <v>6</v>
      </c>
      <c r="B9" s="96" t="s">
        <v>297</v>
      </c>
      <c r="C9" s="99" t="s">
        <v>298</v>
      </c>
      <c r="D9" s="2"/>
      <c r="U9" s="2"/>
      <c r="V9" s="2"/>
      <c r="W9" s="2"/>
      <c r="BZ9" s="2"/>
      <c r="CA9" s="2"/>
      <c r="CB9" s="2"/>
      <c r="CD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J9" s="2"/>
      <c r="DK9" s="2"/>
    </row>
    <row r="10" spans="1:115" ht="32.25" customHeight="1" thickTop="1" thickBot="1" x14ac:dyDescent="0.3">
      <c r="A10" s="93">
        <v>7</v>
      </c>
      <c r="B10" s="96" t="s">
        <v>301</v>
      </c>
      <c r="C10" s="99" t="s">
        <v>298</v>
      </c>
      <c r="D10" s="2"/>
      <c r="U10" s="2"/>
      <c r="V10" s="2"/>
      <c r="W10" s="2"/>
      <c r="BZ10" s="2"/>
      <c r="CA10" s="2"/>
      <c r="CB10" s="2"/>
      <c r="CD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J10" s="2"/>
      <c r="DK10" s="2"/>
    </row>
    <row r="11" spans="1:115" ht="32.25" customHeight="1" thickTop="1" thickBot="1" x14ac:dyDescent="0.3">
      <c r="A11" s="93">
        <v>8</v>
      </c>
      <c r="B11" s="96" t="s">
        <v>584</v>
      </c>
      <c r="C11" s="99" t="s">
        <v>636</v>
      </c>
      <c r="D11" s="2"/>
      <c r="G11" s="45"/>
      <c r="U11" s="2"/>
      <c r="V11" s="2"/>
      <c r="W11" s="2"/>
      <c r="BZ11" s="2"/>
      <c r="CA11" s="2"/>
      <c r="CB11" s="2"/>
      <c r="CD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J11" s="2"/>
      <c r="DK11" s="2"/>
    </row>
    <row r="12" spans="1:115" ht="47.25" thickTop="1" x14ac:dyDescent="0.35">
      <c r="A12" s="93"/>
      <c r="B12" s="96"/>
      <c r="D12" s="2"/>
      <c r="N12" s="46" t="s">
        <v>216</v>
      </c>
      <c r="O12" s="46" t="s">
        <v>216</v>
      </c>
      <c r="P12" s="46" t="s">
        <v>216</v>
      </c>
      <c r="Q12" s="46" t="s">
        <v>216</v>
      </c>
      <c r="R12" s="46" t="s">
        <v>216</v>
      </c>
      <c r="S12" s="46" t="s">
        <v>216</v>
      </c>
      <c r="T12" s="46" t="s">
        <v>216</v>
      </c>
      <c r="U12" s="2"/>
      <c r="V12" s="2"/>
      <c r="W12" s="2"/>
      <c r="BW12" s="1"/>
      <c r="BX12" s="1"/>
      <c r="BY12" s="1"/>
      <c r="BZ12" s="2"/>
      <c r="CB12" s="2"/>
      <c r="CD12" s="2"/>
      <c r="CH12" s="1"/>
      <c r="CI12" s="1"/>
      <c r="CJ12" s="1"/>
      <c r="CW12" s="2"/>
      <c r="CX12" s="2"/>
      <c r="CY12" s="2"/>
      <c r="CZ12" s="2"/>
      <c r="DA12" s="2"/>
      <c r="DB12" s="2"/>
      <c r="DC12" s="2"/>
      <c r="DD12" s="2"/>
      <c r="DE12" s="2"/>
      <c r="DJ12" s="2"/>
      <c r="DK12" s="2"/>
    </row>
    <row r="13" spans="1:115" ht="32.25" hidden="1" customHeight="1" thickTop="1" x14ac:dyDescent="0.25">
      <c r="A13" s="93"/>
      <c r="B13" s="96"/>
      <c r="D13" s="2"/>
      <c r="U13" s="2"/>
      <c r="V13" s="2"/>
      <c r="W13" s="2"/>
      <c r="BW13" s="1"/>
      <c r="BX13" s="1"/>
      <c r="BY13" s="1"/>
      <c r="BZ13" s="2"/>
      <c r="CB13" s="2"/>
      <c r="CD13" s="2"/>
      <c r="CH13" s="1"/>
      <c r="CI13" s="1"/>
      <c r="CJ13" s="1"/>
      <c r="CW13" s="2"/>
      <c r="CX13" s="2"/>
      <c r="CY13" s="2"/>
      <c r="CZ13" s="2"/>
      <c r="DA13" s="2"/>
      <c r="DB13" s="2"/>
      <c r="DC13" s="2"/>
      <c r="DD13" s="2"/>
      <c r="DE13" s="2"/>
      <c r="DJ13" s="2"/>
      <c r="DK13" s="2"/>
    </row>
    <row r="14" spans="1:115" ht="32.25" hidden="1" customHeight="1" x14ac:dyDescent="0.25">
      <c r="D14" s="2"/>
      <c r="U14" s="2"/>
      <c r="V14" s="2"/>
      <c r="W14" s="2"/>
      <c r="BW14" s="1"/>
      <c r="BX14" s="1"/>
      <c r="BY14" s="1"/>
      <c r="BZ14" s="2"/>
      <c r="CB14" s="2"/>
      <c r="CD14" s="2"/>
      <c r="CH14" s="1"/>
      <c r="CI14" s="1"/>
      <c r="CJ14" s="1"/>
      <c r="CY14" s="2"/>
      <c r="CZ14" s="2"/>
      <c r="DA14" s="2"/>
      <c r="DB14" s="2"/>
      <c r="DC14" s="2"/>
      <c r="DD14" s="2"/>
      <c r="DE14" s="2"/>
      <c r="DJ14" s="2"/>
      <c r="DK14" s="2"/>
    </row>
    <row r="15" spans="1:115" ht="18.75" x14ac:dyDescent="0.25">
      <c r="D15" s="2"/>
      <c r="G15" s="44"/>
      <c r="H15" s="22" t="s">
        <v>325</v>
      </c>
      <c r="J15" s="119" t="s">
        <v>83</v>
      </c>
      <c r="K15" s="119" t="s">
        <v>91</v>
      </c>
      <c r="L15" s="119" t="s">
        <v>46</v>
      </c>
      <c r="M15" s="119" t="s">
        <v>47</v>
      </c>
      <c r="N15" s="119" t="s">
        <v>142</v>
      </c>
      <c r="O15" s="119" t="s">
        <v>170</v>
      </c>
      <c r="P15" s="119" t="s">
        <v>171</v>
      </c>
      <c r="Q15" s="119" t="s">
        <v>116</v>
      </c>
      <c r="R15" s="119" t="s">
        <v>182</v>
      </c>
      <c r="S15" s="119" t="s">
        <v>183</v>
      </c>
      <c r="T15" s="119" t="s">
        <v>184</v>
      </c>
      <c r="U15" s="119" t="s">
        <v>62</v>
      </c>
      <c r="V15" s="119" t="s">
        <v>93</v>
      </c>
      <c r="W15" s="119" t="s">
        <v>63</v>
      </c>
      <c r="X15" s="119" t="s">
        <v>72</v>
      </c>
      <c r="Y15" s="119" t="s">
        <v>196</v>
      </c>
      <c r="Z15" s="119" t="s">
        <v>45</v>
      </c>
      <c r="AA15" s="119" t="s">
        <v>95</v>
      </c>
      <c r="AB15" s="119" t="s">
        <v>96</v>
      </c>
      <c r="AC15" s="119" t="s">
        <v>48</v>
      </c>
      <c r="AD15" s="119" t="s">
        <v>55</v>
      </c>
      <c r="AE15" s="119" t="s">
        <v>56</v>
      </c>
      <c r="AF15" s="119" t="s">
        <v>267</v>
      </c>
      <c r="AG15" s="119" t="s">
        <v>50</v>
      </c>
      <c r="AH15" s="119" t="s">
        <v>97</v>
      </c>
      <c r="AI15" s="119" t="s">
        <v>52</v>
      </c>
      <c r="AJ15" s="119" t="s">
        <v>243</v>
      </c>
      <c r="AK15" s="119" t="s">
        <v>197</v>
      </c>
      <c r="AL15" s="119" t="s">
        <v>53</v>
      </c>
      <c r="AM15" s="119" t="s">
        <v>54</v>
      </c>
      <c r="AN15" s="119" t="s">
        <v>57</v>
      </c>
      <c r="AO15" s="119" t="s">
        <v>58</v>
      </c>
      <c r="AP15" s="119" t="s">
        <v>92</v>
      </c>
      <c r="AQ15" s="119" t="s">
        <v>43</v>
      </c>
      <c r="AR15" s="119" t="s">
        <v>44</v>
      </c>
      <c r="AS15" s="119" t="s">
        <v>59</v>
      </c>
      <c r="AT15" s="119" t="s">
        <v>60</v>
      </c>
      <c r="AU15" s="119" t="s">
        <v>61</v>
      </c>
      <c r="AV15" s="119" t="s">
        <v>163</v>
      </c>
      <c r="AW15" s="119" t="s">
        <v>42</v>
      </c>
      <c r="AX15" s="119" t="s">
        <v>143</v>
      </c>
      <c r="AY15" s="119" t="s">
        <v>49</v>
      </c>
      <c r="AZ15" s="119" t="s">
        <v>566</v>
      </c>
      <c r="BA15" s="119" t="s">
        <v>181</v>
      </c>
      <c r="BB15" s="119" t="s">
        <v>40</v>
      </c>
      <c r="BC15" s="119" t="s">
        <v>94</v>
      </c>
      <c r="BD15" s="119" t="s">
        <v>185</v>
      </c>
      <c r="BE15" s="119" t="s">
        <v>515</v>
      </c>
      <c r="BF15" s="119" t="s">
        <v>98</v>
      </c>
      <c r="BG15" s="119" t="s">
        <v>99</v>
      </c>
      <c r="BH15" s="119" t="s">
        <v>64</v>
      </c>
      <c r="BI15" s="119" t="s">
        <v>65</v>
      </c>
      <c r="BJ15" s="119" t="s">
        <v>100</v>
      </c>
      <c r="BK15" s="119" t="s">
        <v>66</v>
      </c>
      <c r="BL15" s="119" t="s">
        <v>67</v>
      </c>
      <c r="BM15" s="119" t="s">
        <v>68</v>
      </c>
      <c r="BN15" s="119" t="s">
        <v>69</v>
      </c>
      <c r="BO15" s="119" t="s">
        <v>70</v>
      </c>
      <c r="BP15" s="119" t="s">
        <v>187</v>
      </c>
      <c r="BQ15" s="119" t="s">
        <v>71</v>
      </c>
      <c r="BR15" s="119" t="s">
        <v>101</v>
      </c>
      <c r="BS15" s="119" t="s">
        <v>186</v>
      </c>
      <c r="BT15" s="119" t="s">
        <v>73</v>
      </c>
      <c r="BU15" s="119" t="s">
        <v>74</v>
      </c>
      <c r="BV15" s="119" t="s">
        <v>75</v>
      </c>
      <c r="BW15" s="119" t="s">
        <v>76</v>
      </c>
      <c r="BX15" s="119" t="s">
        <v>77</v>
      </c>
      <c r="BY15" s="119" t="s">
        <v>102</v>
      </c>
      <c r="BZ15" s="119" t="s">
        <v>78</v>
      </c>
      <c r="CA15" s="119" t="s">
        <v>79</v>
      </c>
      <c r="CB15" s="119" t="s">
        <v>268</v>
      </c>
      <c r="CC15" s="119" t="s">
        <v>190</v>
      </c>
      <c r="CD15" s="119" t="s">
        <v>303</v>
      </c>
      <c r="CE15" s="119" t="s">
        <v>86</v>
      </c>
      <c r="CF15" s="119" t="s">
        <v>128</v>
      </c>
      <c r="CG15" s="119" t="s">
        <v>213</v>
      </c>
      <c r="CH15" s="119" t="s">
        <v>126</v>
      </c>
      <c r="CI15" s="119" t="s">
        <v>113</v>
      </c>
      <c r="CJ15" s="119" t="s">
        <v>119</v>
      </c>
      <c r="CK15" s="119" t="s">
        <v>144</v>
      </c>
      <c r="CL15" s="119" t="s">
        <v>320</v>
      </c>
      <c r="CM15" s="119" t="s">
        <v>121</v>
      </c>
      <c r="CN15" t="s">
        <v>179</v>
      </c>
      <c r="CO15" t="s">
        <v>992</v>
      </c>
      <c r="CS15" s="2"/>
      <c r="CT15" s="22" t="s">
        <v>153</v>
      </c>
      <c r="CU15" s="22" t="s">
        <v>46</v>
      </c>
      <c r="CV15" s="22" t="s">
        <v>199</v>
      </c>
      <c r="CW15" s="22" t="s">
        <v>168</v>
      </c>
      <c r="CX15" s="22" t="s">
        <v>200</v>
      </c>
      <c r="CY15" s="22" t="s">
        <v>138</v>
      </c>
      <c r="CZ15" s="22" t="s">
        <v>139</v>
      </c>
      <c r="DA15" s="22" t="s">
        <v>201</v>
      </c>
      <c r="DB15" s="2"/>
      <c r="DC15" s="2"/>
      <c r="DD15" s="2"/>
      <c r="DE15" s="2"/>
      <c r="DJ15" s="2"/>
      <c r="DK15" s="2"/>
    </row>
    <row r="16" spans="1:115" ht="18.75" x14ac:dyDescent="0.25">
      <c r="D16" s="2"/>
      <c r="G16" s="44"/>
      <c r="H16" t="s">
        <v>996</v>
      </c>
      <c r="J16">
        <v>13</v>
      </c>
      <c r="K16" s="119" t="s">
        <v>972</v>
      </c>
      <c r="L16" s="119" t="s">
        <v>973</v>
      </c>
      <c r="M16" s="127">
        <v>45247</v>
      </c>
      <c r="N16" s="128" t="s">
        <v>6</v>
      </c>
      <c r="O16" s="128" t="s">
        <v>603</v>
      </c>
      <c r="P16" s="128" t="s">
        <v>603</v>
      </c>
      <c r="Q16" s="126"/>
      <c r="R16" s="126"/>
      <c r="S16" s="128" t="s">
        <v>89</v>
      </c>
      <c r="T16" s="128" t="s">
        <v>89</v>
      </c>
      <c r="U16" s="119" t="s">
        <v>103</v>
      </c>
      <c r="V16" s="119" t="s">
        <v>603</v>
      </c>
      <c r="W16" s="119" t="s">
        <v>603</v>
      </c>
      <c r="X16" s="119" t="s">
        <v>89</v>
      </c>
      <c r="Y16" s="119" t="s">
        <v>89</v>
      </c>
      <c r="Z16" s="119" t="s">
        <v>89</v>
      </c>
      <c r="AA16" s="119" t="s">
        <v>89</v>
      </c>
      <c r="AB16" s="119" t="s">
        <v>89</v>
      </c>
      <c r="AC16" s="119" t="s">
        <v>89</v>
      </c>
      <c r="AD16">
        <v>3.34</v>
      </c>
      <c r="AE16" t="s">
        <v>89</v>
      </c>
      <c r="AF16">
        <v>4.7</v>
      </c>
      <c r="AG16" s="127">
        <v>46350</v>
      </c>
      <c r="AH16" s="119" t="s">
        <v>89</v>
      </c>
      <c r="AI16"/>
      <c r="AJ16" s="119" t="s">
        <v>89</v>
      </c>
      <c r="AK16" s="119" t="s">
        <v>603</v>
      </c>
      <c r="AL16" s="119" t="s">
        <v>89</v>
      </c>
      <c r="AM16" s="119" t="s">
        <v>89</v>
      </c>
      <c r="AN16">
        <v>100</v>
      </c>
      <c r="AO16"/>
      <c r="AP16" s="119" t="s">
        <v>89</v>
      </c>
      <c r="AQ16" s="119" t="s">
        <v>89</v>
      </c>
      <c r="AR16" s="119" t="s">
        <v>89</v>
      </c>
      <c r="AS16"/>
      <c r="AT16"/>
      <c r="AU16"/>
      <c r="AV16" s="119" t="s">
        <v>89</v>
      </c>
      <c r="AW16" s="119" t="s">
        <v>89</v>
      </c>
      <c r="AX16" s="119" t="s">
        <v>89</v>
      </c>
      <c r="AY16" s="119" t="s">
        <v>89</v>
      </c>
      <c r="AZ16" s="119"/>
      <c r="BA16" s="119"/>
      <c r="BB16" s="119" t="s">
        <v>89</v>
      </c>
      <c r="BC16" s="119" t="s">
        <v>89</v>
      </c>
      <c r="BD16" s="119" t="s">
        <v>89</v>
      </c>
      <c r="BE16" s="119" t="s">
        <v>89</v>
      </c>
      <c r="BF16"/>
      <c r="BG16"/>
      <c r="BH16" s="127">
        <v>45254</v>
      </c>
      <c r="BI16" s="127"/>
      <c r="BJ16"/>
      <c r="BK16" s="119" t="s">
        <v>89</v>
      </c>
      <c r="BL16" s="127"/>
      <c r="BM16" s="119" t="s">
        <v>974</v>
      </c>
      <c r="BN16" s="119" t="s">
        <v>975</v>
      </c>
      <c r="BO16" s="127"/>
      <c r="BP16" s="119" t="s">
        <v>89</v>
      </c>
      <c r="BQ16" s="127"/>
      <c r="BR16" s="119" t="s">
        <v>89</v>
      </c>
      <c r="BS16" s="119" t="s">
        <v>89</v>
      </c>
      <c r="BT16" s="119" t="s">
        <v>89</v>
      </c>
      <c r="BU16" s="119" t="s">
        <v>89</v>
      </c>
      <c r="BV16" s="119" t="s">
        <v>89</v>
      </c>
      <c r="BW16" s="119" t="s">
        <v>89</v>
      </c>
      <c r="BX16" s="119" t="s">
        <v>89</v>
      </c>
      <c r="BY16" s="119" t="s">
        <v>89</v>
      </c>
      <c r="BZ16" s="119" t="s">
        <v>89</v>
      </c>
      <c r="CA16" s="119" t="s">
        <v>89</v>
      </c>
      <c r="CB16" s="119" t="s">
        <v>976</v>
      </c>
      <c r="CC16" s="127"/>
      <c r="CD16" s="119" t="s">
        <v>6</v>
      </c>
      <c r="CE16" s="119" t="s">
        <v>89</v>
      </c>
      <c r="CF16" s="119" t="s">
        <v>603</v>
      </c>
      <c r="CG16" s="119" t="s">
        <v>89</v>
      </c>
      <c r="CH16" s="127"/>
      <c r="CI16"/>
      <c r="CJ16" s="119" t="s">
        <v>977</v>
      </c>
      <c r="CK16" s="119" t="s">
        <v>977</v>
      </c>
      <c r="CL16" s="119" t="s">
        <v>520</v>
      </c>
      <c r="CM16" t="s">
        <v>978</v>
      </c>
      <c r="CN16" t="s">
        <v>89</v>
      </c>
      <c r="CO16" t="s">
        <v>565</v>
      </c>
      <c r="CS16" s="2"/>
      <c r="CT16" t="s">
        <v>784</v>
      </c>
      <c r="CU16" t="s">
        <v>737</v>
      </c>
      <c r="CV16" t="s">
        <v>736</v>
      </c>
      <c r="CW16" t="s">
        <v>945</v>
      </c>
      <c r="CX16" s="22" t="s">
        <v>129</v>
      </c>
      <c r="CY16" t="s">
        <v>146</v>
      </c>
      <c r="CZ16" t="s">
        <v>150</v>
      </c>
      <c r="DA16" s="31">
        <v>45244</v>
      </c>
      <c r="DB16" s="2"/>
      <c r="DC16" s="2"/>
      <c r="DD16" s="2"/>
      <c r="DE16" s="2"/>
      <c r="DJ16" s="2"/>
      <c r="DK16" s="2"/>
    </row>
    <row r="17" spans="2:115" ht="15" x14ac:dyDescent="0.25">
      <c r="B17"/>
      <c r="H17" t="s">
        <v>288</v>
      </c>
      <c r="J17">
        <v>12</v>
      </c>
      <c r="K17" s="119" t="s">
        <v>947</v>
      </c>
      <c r="L17" s="119" t="s">
        <v>948</v>
      </c>
      <c r="M17" s="127">
        <v>45247</v>
      </c>
      <c r="N17" s="128" t="s">
        <v>946</v>
      </c>
      <c r="O17" s="128" t="s">
        <v>89</v>
      </c>
      <c r="P17" s="128" t="s">
        <v>949</v>
      </c>
      <c r="Q17" s="126"/>
      <c r="R17" s="126"/>
      <c r="S17" s="128" t="s">
        <v>89</v>
      </c>
      <c r="T17" s="128" t="s">
        <v>89</v>
      </c>
      <c r="U17" s="119" t="s">
        <v>82</v>
      </c>
      <c r="V17" s="119" t="s">
        <v>89</v>
      </c>
      <c r="W17" s="119" t="s">
        <v>950</v>
      </c>
      <c r="X17" s="119" t="s">
        <v>951</v>
      </c>
      <c r="Y17" s="119" t="s">
        <v>952</v>
      </c>
      <c r="Z17" s="119" t="s">
        <v>953</v>
      </c>
      <c r="AA17" s="119" t="s">
        <v>309</v>
      </c>
      <c r="AB17" s="119" t="s">
        <v>309</v>
      </c>
      <c r="AC17" s="119" t="s">
        <v>309</v>
      </c>
      <c r="AD17">
        <v>1</v>
      </c>
      <c r="AE17" t="s">
        <v>314</v>
      </c>
      <c r="AF17">
        <v>6.48</v>
      </c>
      <c r="AG17" s="127">
        <v>46350</v>
      </c>
      <c r="AH17" s="119" t="s">
        <v>954</v>
      </c>
      <c r="AI17"/>
      <c r="AJ17" s="119" t="s">
        <v>312</v>
      </c>
      <c r="AK17" s="119" t="s">
        <v>311</v>
      </c>
      <c r="AL17" s="119" t="s">
        <v>89</v>
      </c>
      <c r="AM17" s="119" t="s">
        <v>310</v>
      </c>
      <c r="AN17">
        <v>100</v>
      </c>
      <c r="AO17"/>
      <c r="AP17" s="119" t="s">
        <v>955</v>
      </c>
      <c r="AQ17" s="119" t="s">
        <v>956</v>
      </c>
      <c r="AR17" s="119" t="s">
        <v>89</v>
      </c>
      <c r="AS17"/>
      <c r="AT17"/>
      <c r="AU17"/>
      <c r="AV17" s="119" t="s">
        <v>244</v>
      </c>
      <c r="AW17" s="119" t="s">
        <v>957</v>
      </c>
      <c r="AX17" s="119" t="s">
        <v>309</v>
      </c>
      <c r="AY17" s="119" t="s">
        <v>319</v>
      </c>
      <c r="AZ17" s="119" t="s">
        <v>3</v>
      </c>
      <c r="BA17" s="119" t="s">
        <v>521</v>
      </c>
      <c r="BB17" s="119" t="s">
        <v>308</v>
      </c>
      <c r="BC17" s="119" t="s">
        <v>316</v>
      </c>
      <c r="BD17" s="119" t="s">
        <v>958</v>
      </c>
      <c r="BE17" s="119" t="s">
        <v>959</v>
      </c>
      <c r="BF17">
        <v>1000</v>
      </c>
      <c r="BG17">
        <v>1</v>
      </c>
      <c r="BH17" s="127">
        <v>45254</v>
      </c>
      <c r="BI17" s="127"/>
      <c r="BJ17">
        <v>6.48</v>
      </c>
      <c r="BK17" s="119" t="s">
        <v>89</v>
      </c>
      <c r="BL17" s="127">
        <v>45436</v>
      </c>
      <c r="BM17" s="119" t="s">
        <v>947</v>
      </c>
      <c r="BN17" s="119" t="s">
        <v>89</v>
      </c>
      <c r="BO17" s="127">
        <v>45254</v>
      </c>
      <c r="BP17" s="119" t="s">
        <v>949</v>
      </c>
      <c r="BQ17" s="127">
        <v>45254</v>
      </c>
      <c r="BR17" s="119" t="s">
        <v>960</v>
      </c>
      <c r="BS17" s="119" t="s">
        <v>961</v>
      </c>
      <c r="BT17" s="119" t="s">
        <v>307</v>
      </c>
      <c r="BU17" s="119" t="s">
        <v>307</v>
      </c>
      <c r="BV17" s="119" t="s">
        <v>306</v>
      </c>
      <c r="BW17" s="119" t="s">
        <v>305</v>
      </c>
      <c r="BX17" s="119" t="s">
        <v>304</v>
      </c>
      <c r="BY17" s="119" t="s">
        <v>89</v>
      </c>
      <c r="BZ17" s="119" t="s">
        <v>115</v>
      </c>
      <c r="CA17" s="119" t="s">
        <v>89</v>
      </c>
      <c r="CB17" s="119" t="s">
        <v>198</v>
      </c>
      <c r="CC17" s="127"/>
      <c r="CD17" s="119" t="s">
        <v>6</v>
      </c>
      <c r="CE17" s="119" t="s">
        <v>21</v>
      </c>
      <c r="CF17" s="119" t="s">
        <v>6</v>
      </c>
      <c r="CG17" s="119" t="s">
        <v>89</v>
      </c>
      <c r="CH17" s="127"/>
      <c r="CI17"/>
      <c r="CJ17" s="119" t="s">
        <v>80</v>
      </c>
      <c r="CK17" s="119" t="s">
        <v>80</v>
      </c>
      <c r="CL17" s="119" t="s">
        <v>520</v>
      </c>
      <c r="CM17" t="s">
        <v>962</v>
      </c>
      <c r="CN17" t="s">
        <v>89</v>
      </c>
      <c r="CO17" t="s">
        <v>203</v>
      </c>
      <c r="CV17" s="2"/>
      <c r="CW17" s="2"/>
      <c r="CX17" s="2"/>
      <c r="CY17" s="2"/>
      <c r="DB17" s="2"/>
      <c r="DC17" s="2"/>
      <c r="DD17" s="2"/>
      <c r="DE17" s="2"/>
      <c r="DJ17" s="2"/>
      <c r="DK17" s="2"/>
    </row>
    <row r="18" spans="2:115" ht="18.75" x14ac:dyDescent="0.25">
      <c r="G18" s="44"/>
      <c r="J18">
        <v>11</v>
      </c>
      <c r="K18" s="119" t="s">
        <v>638</v>
      </c>
      <c r="L18" s="119" t="s">
        <v>639</v>
      </c>
      <c r="M18" s="127">
        <v>45246</v>
      </c>
      <c r="N18" s="128" t="s">
        <v>637</v>
      </c>
      <c r="O18" s="128" t="s">
        <v>89</v>
      </c>
      <c r="P18" s="128" t="s">
        <v>641</v>
      </c>
      <c r="Q18" s="126"/>
      <c r="R18" s="126"/>
      <c r="S18" s="128" t="s">
        <v>89</v>
      </c>
      <c r="T18" s="128" t="s">
        <v>89</v>
      </c>
      <c r="U18" s="119" t="s">
        <v>103</v>
      </c>
      <c r="V18" s="119" t="s">
        <v>640</v>
      </c>
      <c r="W18" s="119" t="s">
        <v>642</v>
      </c>
      <c r="X18" s="119" t="s">
        <v>643</v>
      </c>
      <c r="Y18" s="119" t="s">
        <v>644</v>
      </c>
      <c r="Z18" s="119" t="s">
        <v>645</v>
      </c>
      <c r="AA18" s="119" t="s">
        <v>309</v>
      </c>
      <c r="AB18" s="119" t="s">
        <v>309</v>
      </c>
      <c r="AC18" s="119" t="s">
        <v>309</v>
      </c>
      <c r="AD18">
        <v>6.08</v>
      </c>
      <c r="AE18" t="s">
        <v>314</v>
      </c>
      <c r="AF18">
        <v>4.9000000000000004</v>
      </c>
      <c r="AG18" s="127">
        <v>46349</v>
      </c>
      <c r="AH18" s="119" t="s">
        <v>646</v>
      </c>
      <c r="AI18"/>
      <c r="AJ18" s="119" t="s">
        <v>312</v>
      </c>
      <c r="AK18" s="119" t="s">
        <v>647</v>
      </c>
      <c r="AL18" s="119" t="s">
        <v>648</v>
      </c>
      <c r="AM18" s="119" t="s">
        <v>310</v>
      </c>
      <c r="AN18">
        <v>100</v>
      </c>
      <c r="AO18"/>
      <c r="AP18" s="119" t="s">
        <v>649</v>
      </c>
      <c r="AQ18" s="119" t="s">
        <v>650</v>
      </c>
      <c r="AR18" s="119" t="s">
        <v>89</v>
      </c>
      <c r="AS18"/>
      <c r="AT18"/>
      <c r="AU18"/>
      <c r="AV18" s="119" t="s">
        <v>244</v>
      </c>
      <c r="AW18" s="119" t="s">
        <v>651</v>
      </c>
      <c r="AX18" s="119" t="s">
        <v>309</v>
      </c>
      <c r="AY18" s="119" t="s">
        <v>587</v>
      </c>
      <c r="AZ18" s="119" t="s">
        <v>1</v>
      </c>
      <c r="BA18" s="119" t="s">
        <v>521</v>
      </c>
      <c r="BB18" s="119" t="s">
        <v>652</v>
      </c>
      <c r="BC18" s="119" t="s">
        <v>316</v>
      </c>
      <c r="BD18" s="119" t="s">
        <v>653</v>
      </c>
      <c r="BE18" s="119" t="s">
        <v>654</v>
      </c>
      <c r="BF18">
        <v>10000</v>
      </c>
      <c r="BG18">
        <v>6.08</v>
      </c>
      <c r="BH18" s="127">
        <v>45253</v>
      </c>
      <c r="BI18" s="127"/>
      <c r="BJ18">
        <v>4.9000000000000004</v>
      </c>
      <c r="BK18" s="119" t="s">
        <v>89</v>
      </c>
      <c r="BL18" s="127">
        <v>45435</v>
      </c>
      <c r="BM18" s="119" t="s">
        <v>638</v>
      </c>
      <c r="BN18" s="119" t="s">
        <v>89</v>
      </c>
      <c r="BO18" s="127">
        <v>45253</v>
      </c>
      <c r="BP18" s="119" t="s">
        <v>641</v>
      </c>
      <c r="BQ18" s="127">
        <v>45253</v>
      </c>
      <c r="BR18" s="119" t="s">
        <v>561</v>
      </c>
      <c r="BS18" s="119" t="s">
        <v>655</v>
      </c>
      <c r="BT18" s="119" t="s">
        <v>307</v>
      </c>
      <c r="BU18" s="119" t="s">
        <v>307</v>
      </c>
      <c r="BV18" s="119" t="s">
        <v>306</v>
      </c>
      <c r="BW18" s="119" t="s">
        <v>305</v>
      </c>
      <c r="BX18" s="119" t="s">
        <v>304</v>
      </c>
      <c r="BY18" s="119" t="s">
        <v>89</v>
      </c>
      <c r="BZ18" s="119" t="s">
        <v>115</v>
      </c>
      <c r="CA18" s="119" t="s">
        <v>89</v>
      </c>
      <c r="CB18" s="119" t="s">
        <v>198</v>
      </c>
      <c r="CC18" s="127"/>
      <c r="CD18" s="119" t="s">
        <v>6</v>
      </c>
      <c r="CE18" s="119" t="s">
        <v>10</v>
      </c>
      <c r="CF18" s="119" t="s">
        <v>6</v>
      </c>
      <c r="CG18" s="119" t="s">
        <v>89</v>
      </c>
      <c r="CH18" s="127"/>
      <c r="CI18"/>
      <c r="CJ18" s="119" t="s">
        <v>80</v>
      </c>
      <c r="CK18" s="119" t="s">
        <v>80</v>
      </c>
      <c r="CL18" s="119" t="s">
        <v>520</v>
      </c>
      <c r="CM18" t="s">
        <v>656</v>
      </c>
      <c r="CN18" t="s">
        <v>89</v>
      </c>
      <c r="CO18" t="s">
        <v>203</v>
      </c>
      <c r="CV18" s="2"/>
      <c r="CW18" s="2"/>
      <c r="CX18" s="2"/>
      <c r="CY18" s="2"/>
      <c r="DB18" s="2"/>
      <c r="DC18" s="2"/>
      <c r="DD18" s="2"/>
      <c r="DE18" s="2"/>
      <c r="DJ18" s="2"/>
      <c r="DK18" s="2"/>
    </row>
    <row r="19" spans="2:115" ht="15.75" x14ac:dyDescent="0.25">
      <c r="E19" s="101"/>
      <c r="F19" s="101"/>
      <c r="J19">
        <v>10</v>
      </c>
      <c r="K19" s="119" t="s">
        <v>657</v>
      </c>
      <c r="L19" s="119" t="s">
        <v>658</v>
      </c>
      <c r="M19" s="127">
        <v>45246</v>
      </c>
      <c r="N19" s="128" t="s">
        <v>637</v>
      </c>
      <c r="O19" s="128" t="s">
        <v>89</v>
      </c>
      <c r="P19" s="128" t="s">
        <v>89</v>
      </c>
      <c r="Q19" s="126"/>
      <c r="R19" s="126"/>
      <c r="S19" s="128" t="s">
        <v>89</v>
      </c>
      <c r="T19" s="128" t="s">
        <v>89</v>
      </c>
      <c r="U19" s="119" t="s">
        <v>103</v>
      </c>
      <c r="V19" s="119" t="s">
        <v>89</v>
      </c>
      <c r="W19" s="119" t="s">
        <v>659</v>
      </c>
      <c r="X19" s="119" t="s">
        <v>660</v>
      </c>
      <c r="Y19" s="119" t="s">
        <v>661</v>
      </c>
      <c r="Z19" s="119" t="s">
        <v>662</v>
      </c>
      <c r="AA19" s="119" t="s">
        <v>309</v>
      </c>
      <c r="AB19" s="119" t="s">
        <v>309</v>
      </c>
      <c r="AC19" s="119" t="s">
        <v>309</v>
      </c>
      <c r="AD19">
        <v>1.9</v>
      </c>
      <c r="AE19" t="s">
        <v>314</v>
      </c>
      <c r="AF19">
        <v>7.7</v>
      </c>
      <c r="AG19" s="127">
        <v>46346</v>
      </c>
      <c r="AH19" s="119" t="s">
        <v>317</v>
      </c>
      <c r="AI19"/>
      <c r="AJ19" s="119" t="s">
        <v>312</v>
      </c>
      <c r="AK19" s="119" t="s">
        <v>311</v>
      </c>
      <c r="AL19" s="119" t="s">
        <v>89</v>
      </c>
      <c r="AM19" s="119" t="s">
        <v>310</v>
      </c>
      <c r="AN19">
        <v>100</v>
      </c>
      <c r="AO19"/>
      <c r="AP19" s="119" t="s">
        <v>663</v>
      </c>
      <c r="AQ19" s="119" t="s">
        <v>664</v>
      </c>
      <c r="AR19" s="119" t="s">
        <v>963</v>
      </c>
      <c r="AS19"/>
      <c r="AT19"/>
      <c r="AU19"/>
      <c r="AV19" s="119" t="s">
        <v>244</v>
      </c>
      <c r="AW19" s="119" t="s">
        <v>334</v>
      </c>
      <c r="AX19" s="119" t="s">
        <v>309</v>
      </c>
      <c r="AY19" s="119" t="s">
        <v>89</v>
      </c>
      <c r="AZ19" s="119" t="s">
        <v>1</v>
      </c>
      <c r="BA19" s="119" t="s">
        <v>964</v>
      </c>
      <c r="BB19" s="119" t="s">
        <v>308</v>
      </c>
      <c r="BC19" s="119" t="s">
        <v>316</v>
      </c>
      <c r="BD19" s="119" t="s">
        <v>89</v>
      </c>
      <c r="BE19" s="119" t="s">
        <v>665</v>
      </c>
      <c r="BF19">
        <v>10000</v>
      </c>
      <c r="BG19">
        <v>1.9</v>
      </c>
      <c r="BH19" s="127">
        <v>45250</v>
      </c>
      <c r="BI19" s="127"/>
      <c r="BJ19">
        <v>7.7</v>
      </c>
      <c r="BK19" s="119" t="s">
        <v>89</v>
      </c>
      <c r="BL19" s="127">
        <v>45432</v>
      </c>
      <c r="BM19" s="119" t="s">
        <v>657</v>
      </c>
      <c r="BN19" s="119" t="s">
        <v>89</v>
      </c>
      <c r="BO19" s="127">
        <v>45250</v>
      </c>
      <c r="BP19" s="119" t="s">
        <v>89</v>
      </c>
      <c r="BQ19" s="127">
        <v>45250</v>
      </c>
      <c r="BR19" s="119" t="s">
        <v>89</v>
      </c>
      <c r="BS19" s="119" t="s">
        <v>666</v>
      </c>
      <c r="BT19" s="119" t="s">
        <v>307</v>
      </c>
      <c r="BU19" s="119" t="s">
        <v>307</v>
      </c>
      <c r="BV19" s="119" t="s">
        <v>306</v>
      </c>
      <c r="BW19" s="119" t="s">
        <v>305</v>
      </c>
      <c r="BX19" s="119" t="s">
        <v>304</v>
      </c>
      <c r="BY19" s="119" t="s">
        <v>89</v>
      </c>
      <c r="BZ19" s="119" t="s">
        <v>115</v>
      </c>
      <c r="CA19" s="119" t="s">
        <v>89</v>
      </c>
      <c r="CB19" s="119" t="s">
        <v>198</v>
      </c>
      <c r="CC19" s="127"/>
      <c r="CD19" s="119" t="s">
        <v>6</v>
      </c>
      <c r="CE19" s="119" t="s">
        <v>18</v>
      </c>
      <c r="CF19" s="119" t="s">
        <v>6</v>
      </c>
      <c r="CG19" s="119" t="s">
        <v>89</v>
      </c>
      <c r="CH19" s="127"/>
      <c r="CI19"/>
      <c r="CJ19" s="119" t="s">
        <v>80</v>
      </c>
      <c r="CK19" s="119" t="s">
        <v>80</v>
      </c>
      <c r="CL19" s="119" t="s">
        <v>520</v>
      </c>
      <c r="CM19" t="s">
        <v>667</v>
      </c>
      <c r="CN19" t="s">
        <v>89</v>
      </c>
      <c r="CO19" t="s">
        <v>203</v>
      </c>
      <c r="CV19" s="2"/>
      <c r="CW19" s="2"/>
      <c r="CX19" s="2"/>
      <c r="CY19" s="2"/>
      <c r="DB19" s="2"/>
      <c r="DC19" s="2"/>
      <c r="DD19" s="2"/>
      <c r="DE19" s="2"/>
      <c r="DJ19" s="2"/>
      <c r="DK19" s="2"/>
    </row>
    <row r="20" spans="2:115" ht="15" x14ac:dyDescent="0.25">
      <c r="J20">
        <v>9</v>
      </c>
      <c r="K20" s="119" t="s">
        <v>668</v>
      </c>
      <c r="L20" s="119" t="s">
        <v>669</v>
      </c>
      <c r="M20" s="127">
        <v>45246</v>
      </c>
      <c r="N20" s="128" t="s">
        <v>563</v>
      </c>
      <c r="O20" s="128" t="s">
        <v>670</v>
      </c>
      <c r="P20" s="128" t="s">
        <v>671</v>
      </c>
      <c r="Q20" s="126"/>
      <c r="R20" s="126"/>
      <c r="S20" s="128" t="s">
        <v>89</v>
      </c>
      <c r="T20" s="128" t="s">
        <v>89</v>
      </c>
      <c r="U20" s="119" t="s">
        <v>82</v>
      </c>
      <c r="V20" s="119" t="s">
        <v>89</v>
      </c>
      <c r="W20" s="119" t="s">
        <v>672</v>
      </c>
      <c r="X20" s="119" t="s">
        <v>673</v>
      </c>
      <c r="Y20" s="119" t="s">
        <v>674</v>
      </c>
      <c r="Z20" s="119" t="s">
        <v>675</v>
      </c>
      <c r="AA20" s="119" t="s">
        <v>569</v>
      </c>
      <c r="AB20" s="119" t="s">
        <v>570</v>
      </c>
      <c r="AC20" s="119" t="s">
        <v>965</v>
      </c>
      <c r="AD20">
        <v>3</v>
      </c>
      <c r="AE20" t="s">
        <v>581</v>
      </c>
      <c r="AF20">
        <v>1.6890000000000001</v>
      </c>
      <c r="AG20" s="127">
        <v>45985</v>
      </c>
      <c r="AH20" s="119" t="s">
        <v>313</v>
      </c>
      <c r="AI20">
        <v>42</v>
      </c>
      <c r="AJ20" s="119" t="s">
        <v>312</v>
      </c>
      <c r="AK20" s="119" t="s">
        <v>311</v>
      </c>
      <c r="AL20" s="119" t="s">
        <v>89</v>
      </c>
      <c r="AM20" s="119" t="s">
        <v>310</v>
      </c>
      <c r="AN20">
        <v>100</v>
      </c>
      <c r="AO20"/>
      <c r="AP20" s="119" t="s">
        <v>318</v>
      </c>
      <c r="AQ20" s="119" t="s">
        <v>676</v>
      </c>
      <c r="AR20" s="119" t="s">
        <v>89</v>
      </c>
      <c r="AS20"/>
      <c r="AT20"/>
      <c r="AU20"/>
      <c r="AV20" s="119" t="s">
        <v>244</v>
      </c>
      <c r="AW20" s="119" t="s">
        <v>290</v>
      </c>
      <c r="AX20" s="119" t="s">
        <v>965</v>
      </c>
      <c r="AY20" s="119" t="s">
        <v>319</v>
      </c>
      <c r="AZ20" s="119" t="s">
        <v>81</v>
      </c>
      <c r="BA20" s="119" t="s">
        <v>966</v>
      </c>
      <c r="BB20" s="119" t="s">
        <v>571</v>
      </c>
      <c r="BC20" s="119" t="s">
        <v>315</v>
      </c>
      <c r="BD20" s="119" t="s">
        <v>677</v>
      </c>
      <c r="BE20" s="119" t="s">
        <v>678</v>
      </c>
      <c r="BF20">
        <v>1000</v>
      </c>
      <c r="BG20">
        <v>3</v>
      </c>
      <c r="BH20" s="127">
        <v>45254</v>
      </c>
      <c r="BI20" s="127"/>
      <c r="BJ20">
        <v>1.6890000000000001</v>
      </c>
      <c r="BK20" s="119" t="s">
        <v>993</v>
      </c>
      <c r="BL20" s="127">
        <v>45346</v>
      </c>
      <c r="BM20" s="119" t="s">
        <v>679</v>
      </c>
      <c r="BN20" s="119" t="s">
        <v>89</v>
      </c>
      <c r="BO20" s="127">
        <v>45254</v>
      </c>
      <c r="BP20" s="119" t="s">
        <v>680</v>
      </c>
      <c r="BQ20" s="127">
        <v>45254</v>
      </c>
      <c r="BR20" s="119" t="s">
        <v>89</v>
      </c>
      <c r="BS20" s="119" t="s">
        <v>681</v>
      </c>
      <c r="BT20" s="119" t="s">
        <v>307</v>
      </c>
      <c r="BU20" s="119" t="s">
        <v>307</v>
      </c>
      <c r="BV20" s="119" t="s">
        <v>573</v>
      </c>
      <c r="BW20" s="119" t="s">
        <v>305</v>
      </c>
      <c r="BX20" s="119" t="s">
        <v>304</v>
      </c>
      <c r="BY20" s="119" t="s">
        <v>89</v>
      </c>
      <c r="BZ20" s="119" t="s">
        <v>574</v>
      </c>
      <c r="CA20" s="119" t="s">
        <v>89</v>
      </c>
      <c r="CB20" s="119" t="s">
        <v>198</v>
      </c>
      <c r="CC20" s="127"/>
      <c r="CD20" s="119" t="s">
        <v>6</v>
      </c>
      <c r="CE20" s="119" t="s">
        <v>11</v>
      </c>
      <c r="CF20" s="119" t="s">
        <v>6</v>
      </c>
      <c r="CG20" s="119" t="s">
        <v>89</v>
      </c>
      <c r="CH20" s="127"/>
      <c r="CI20"/>
      <c r="CJ20" s="119" t="s">
        <v>598</v>
      </c>
      <c r="CK20" s="119" t="s">
        <v>291</v>
      </c>
      <c r="CL20" s="119" t="s">
        <v>520</v>
      </c>
      <c r="CM20" t="s">
        <v>682</v>
      </c>
      <c r="CN20" t="s">
        <v>89</v>
      </c>
      <c r="CO20" t="s">
        <v>203</v>
      </c>
      <c r="CV20" s="2"/>
      <c r="CW20" s="2"/>
      <c r="CX20" s="2"/>
      <c r="CY20" s="2"/>
      <c r="DB20" s="2"/>
      <c r="DC20" s="2"/>
      <c r="DD20" s="2"/>
      <c r="DE20" s="2"/>
      <c r="DJ20" s="2"/>
      <c r="DK20" s="2"/>
    </row>
    <row r="21" spans="2:115" ht="120" x14ac:dyDescent="0.25">
      <c r="J21">
        <v>8</v>
      </c>
      <c r="K21" s="119" t="s">
        <v>668</v>
      </c>
      <c r="L21" s="119" t="s">
        <v>683</v>
      </c>
      <c r="M21" s="127">
        <v>45246</v>
      </c>
      <c r="N21" s="128" t="s">
        <v>563</v>
      </c>
      <c r="O21" s="128" t="s">
        <v>600</v>
      </c>
      <c r="P21" s="128" t="s">
        <v>684</v>
      </c>
      <c r="Q21" s="126">
        <v>19</v>
      </c>
      <c r="R21" s="126">
        <v>21</v>
      </c>
      <c r="S21" s="128" t="s">
        <v>688</v>
      </c>
      <c r="T21" s="128" t="s">
        <v>689</v>
      </c>
      <c r="U21" s="119" t="s">
        <v>105</v>
      </c>
      <c r="V21" s="119" t="s">
        <v>89</v>
      </c>
      <c r="W21" s="119" t="s">
        <v>89</v>
      </c>
      <c r="X21" s="119" t="s">
        <v>685</v>
      </c>
      <c r="Y21" s="119" t="s">
        <v>686</v>
      </c>
      <c r="Z21" s="119" t="s">
        <v>687</v>
      </c>
      <c r="AA21" s="119" t="s">
        <v>569</v>
      </c>
      <c r="AB21" s="119" t="s">
        <v>570</v>
      </c>
      <c r="AC21" s="119" t="s">
        <v>965</v>
      </c>
      <c r="AD21">
        <v>15</v>
      </c>
      <c r="AE21" t="s">
        <v>581</v>
      </c>
      <c r="AF21">
        <v>4.75</v>
      </c>
      <c r="AG21" s="127">
        <v>45985</v>
      </c>
      <c r="AH21" s="119" t="s">
        <v>313</v>
      </c>
      <c r="AI21">
        <v>35</v>
      </c>
      <c r="AJ21" s="119" t="s">
        <v>312</v>
      </c>
      <c r="AK21" s="119" t="s">
        <v>311</v>
      </c>
      <c r="AL21" s="119" t="s">
        <v>89</v>
      </c>
      <c r="AM21" s="119" t="s">
        <v>310</v>
      </c>
      <c r="AN21">
        <v>100</v>
      </c>
      <c r="AO21"/>
      <c r="AP21" s="119" t="s">
        <v>318</v>
      </c>
      <c r="AQ21" s="119" t="s">
        <v>676</v>
      </c>
      <c r="AR21" s="119" t="s">
        <v>89</v>
      </c>
      <c r="AS21"/>
      <c r="AT21">
        <v>1</v>
      </c>
      <c r="AU21">
        <v>0.16</v>
      </c>
      <c r="AV21" s="119" t="s">
        <v>244</v>
      </c>
      <c r="AW21" s="119" t="s">
        <v>290</v>
      </c>
      <c r="AX21" s="119" t="s">
        <v>965</v>
      </c>
      <c r="AY21" s="119" t="s">
        <v>319</v>
      </c>
      <c r="AZ21" s="119" t="s">
        <v>81</v>
      </c>
      <c r="BA21" s="119" t="s">
        <v>966</v>
      </c>
      <c r="BB21" s="119" t="s">
        <v>571</v>
      </c>
      <c r="BC21" s="119" t="s">
        <v>315</v>
      </c>
      <c r="BD21" s="119" t="s">
        <v>677</v>
      </c>
      <c r="BE21" s="119" t="s">
        <v>678</v>
      </c>
      <c r="BF21">
        <v>500000</v>
      </c>
      <c r="BG21">
        <v>15</v>
      </c>
      <c r="BH21" s="127">
        <v>45254</v>
      </c>
      <c r="BI21" s="127"/>
      <c r="BJ21">
        <v>4.75</v>
      </c>
      <c r="BK21" s="119" t="s">
        <v>89</v>
      </c>
      <c r="BL21" s="127">
        <v>45436</v>
      </c>
      <c r="BM21" s="119" t="s">
        <v>679</v>
      </c>
      <c r="BN21" s="119" t="s">
        <v>89</v>
      </c>
      <c r="BO21" s="127">
        <v>45254</v>
      </c>
      <c r="BP21" s="119" t="s">
        <v>690</v>
      </c>
      <c r="BQ21" s="127">
        <v>45254</v>
      </c>
      <c r="BR21" s="119" t="s">
        <v>89</v>
      </c>
      <c r="BS21" s="119" t="s">
        <v>691</v>
      </c>
      <c r="BT21" s="119" t="s">
        <v>307</v>
      </c>
      <c r="BU21" s="119" t="s">
        <v>307</v>
      </c>
      <c r="BV21" s="119" t="s">
        <v>306</v>
      </c>
      <c r="BW21" s="119" t="s">
        <v>305</v>
      </c>
      <c r="BX21" s="119" t="s">
        <v>304</v>
      </c>
      <c r="BY21" s="119" t="s">
        <v>89</v>
      </c>
      <c r="BZ21" s="119" t="s">
        <v>115</v>
      </c>
      <c r="CA21" s="119" t="s">
        <v>89</v>
      </c>
      <c r="CB21" s="119" t="s">
        <v>198</v>
      </c>
      <c r="CC21" s="127"/>
      <c r="CD21" s="119" t="s">
        <v>6</v>
      </c>
      <c r="CE21" s="119" t="s">
        <v>11</v>
      </c>
      <c r="CF21" s="119" t="s">
        <v>6</v>
      </c>
      <c r="CG21" s="119" t="s">
        <v>89</v>
      </c>
      <c r="CH21" s="127"/>
      <c r="CI21"/>
      <c r="CJ21" s="119" t="s">
        <v>598</v>
      </c>
      <c r="CK21" s="119" t="s">
        <v>291</v>
      </c>
      <c r="CL21" s="119" t="s">
        <v>520</v>
      </c>
      <c r="CM21" t="s">
        <v>692</v>
      </c>
      <c r="CN21" t="s">
        <v>89</v>
      </c>
      <c r="CO21" t="s">
        <v>203</v>
      </c>
      <c r="CV21" s="2"/>
      <c r="CW21" s="2"/>
      <c r="CX21" s="2"/>
      <c r="CY21" s="2"/>
      <c r="DB21" s="2"/>
      <c r="DC21" s="2"/>
      <c r="DD21" s="2"/>
      <c r="DE21" s="2"/>
      <c r="DJ21" s="2"/>
      <c r="DK21" s="2"/>
    </row>
    <row r="22" spans="2:115" ht="15" x14ac:dyDescent="0.25">
      <c r="J22">
        <v>7</v>
      </c>
      <c r="K22" s="119" t="s">
        <v>505</v>
      </c>
      <c r="L22" s="119" t="s">
        <v>693</v>
      </c>
      <c r="M22" s="127">
        <v>45246</v>
      </c>
      <c r="N22" s="128" t="s">
        <v>994</v>
      </c>
      <c r="O22" s="128" t="s">
        <v>89</v>
      </c>
      <c r="P22" s="128" t="s">
        <v>89</v>
      </c>
      <c r="Q22" s="126"/>
      <c r="R22" s="126"/>
      <c r="S22" s="128" t="s">
        <v>89</v>
      </c>
      <c r="T22" s="128" t="s">
        <v>89</v>
      </c>
      <c r="U22" s="119" t="s">
        <v>82</v>
      </c>
      <c r="V22" s="119" t="s">
        <v>89</v>
      </c>
      <c r="W22" s="119" t="s">
        <v>506</v>
      </c>
      <c r="X22" s="119" t="s">
        <v>89</v>
      </c>
      <c r="Y22" s="119" t="s">
        <v>694</v>
      </c>
      <c r="Z22" s="119" t="s">
        <v>695</v>
      </c>
      <c r="AA22" s="119" t="s">
        <v>309</v>
      </c>
      <c r="AB22" s="119" t="s">
        <v>309</v>
      </c>
      <c r="AC22" s="119" t="s">
        <v>309</v>
      </c>
      <c r="AD22">
        <v>2E-3</v>
      </c>
      <c r="AE22" t="s">
        <v>696</v>
      </c>
      <c r="AF22">
        <v>5</v>
      </c>
      <c r="AG22" s="127">
        <v>45429</v>
      </c>
      <c r="AH22" s="119" t="s">
        <v>106</v>
      </c>
      <c r="AI22"/>
      <c r="AJ22" s="119" t="s">
        <v>312</v>
      </c>
      <c r="AK22" s="119" t="s">
        <v>333</v>
      </c>
      <c r="AL22" s="119" t="s">
        <v>89</v>
      </c>
      <c r="AM22" s="119" t="s">
        <v>697</v>
      </c>
      <c r="AN22">
        <v>100</v>
      </c>
      <c r="AO22"/>
      <c r="AP22" s="119" t="s">
        <v>318</v>
      </c>
      <c r="AQ22" s="119" t="s">
        <v>89</v>
      </c>
      <c r="AR22" s="119" t="s">
        <v>89</v>
      </c>
      <c r="AS22"/>
      <c r="AT22"/>
      <c r="AU22"/>
      <c r="AV22" s="119" t="s">
        <v>244</v>
      </c>
      <c r="AW22" s="119" t="s">
        <v>334</v>
      </c>
      <c r="AX22" s="119" t="s">
        <v>309</v>
      </c>
      <c r="AY22" s="119" t="s">
        <v>89</v>
      </c>
      <c r="AZ22" s="119" t="s">
        <v>81</v>
      </c>
      <c r="BA22" s="119" t="s">
        <v>967</v>
      </c>
      <c r="BB22" s="119" t="s">
        <v>308</v>
      </c>
      <c r="BC22" s="119" t="s">
        <v>316</v>
      </c>
      <c r="BD22" s="119" t="s">
        <v>89</v>
      </c>
      <c r="BE22" s="119" t="s">
        <v>507</v>
      </c>
      <c r="BF22">
        <v>200000</v>
      </c>
      <c r="BG22">
        <v>2E-3</v>
      </c>
      <c r="BH22" s="127">
        <v>45247</v>
      </c>
      <c r="BI22" s="127"/>
      <c r="BJ22">
        <v>5</v>
      </c>
      <c r="BK22" s="119" t="s">
        <v>89</v>
      </c>
      <c r="BL22" s="127">
        <v>45429</v>
      </c>
      <c r="BM22" s="119" t="s">
        <v>508</v>
      </c>
      <c r="BN22" s="119" t="s">
        <v>505</v>
      </c>
      <c r="BO22" s="127">
        <v>45247</v>
      </c>
      <c r="BP22" s="119" t="s">
        <v>89</v>
      </c>
      <c r="BQ22" s="127">
        <v>45247</v>
      </c>
      <c r="BR22" s="119" t="s">
        <v>89</v>
      </c>
      <c r="BS22" s="119" t="s">
        <v>506</v>
      </c>
      <c r="BT22" s="119" t="s">
        <v>307</v>
      </c>
      <c r="BU22" s="119" t="s">
        <v>307</v>
      </c>
      <c r="BV22" s="119" t="s">
        <v>306</v>
      </c>
      <c r="BW22" s="119" t="s">
        <v>305</v>
      </c>
      <c r="BX22" s="119" t="s">
        <v>304</v>
      </c>
      <c r="BY22" s="119" t="s">
        <v>89</v>
      </c>
      <c r="BZ22" s="119" t="s">
        <v>89</v>
      </c>
      <c r="CA22" s="119" t="s">
        <v>89</v>
      </c>
      <c r="CB22" s="119" t="s">
        <v>198</v>
      </c>
      <c r="CC22" s="127"/>
      <c r="CD22" s="119" t="s">
        <v>6</v>
      </c>
      <c r="CE22" s="119" t="s">
        <v>11</v>
      </c>
      <c r="CF22" s="119" t="s">
        <v>6</v>
      </c>
      <c r="CG22" s="119" t="s">
        <v>89</v>
      </c>
      <c r="CH22" s="127"/>
      <c r="CI22"/>
      <c r="CJ22" s="119" t="s">
        <v>80</v>
      </c>
      <c r="CK22" s="119" t="s">
        <v>80</v>
      </c>
      <c r="CL22" s="119" t="s">
        <v>520</v>
      </c>
      <c r="CM22" t="s">
        <v>698</v>
      </c>
      <c r="CN22" t="s">
        <v>89</v>
      </c>
      <c r="CO22" t="s">
        <v>302</v>
      </c>
      <c r="CW22" s="2"/>
      <c r="CX22" s="2"/>
      <c r="CY22" s="2"/>
      <c r="CZ22" s="2"/>
      <c r="DB22" s="2"/>
      <c r="DC22" s="2"/>
      <c r="DD22" s="2"/>
      <c r="DE22" s="2"/>
      <c r="DJ22" s="2"/>
      <c r="DK22" s="2"/>
    </row>
    <row r="23" spans="2:115" ht="15.75" x14ac:dyDescent="0.25">
      <c r="D23" s="93"/>
      <c r="E23" s="93"/>
      <c r="F23" s="93"/>
      <c r="H23" s="22" t="s">
        <v>326</v>
      </c>
      <c r="J23">
        <v>6</v>
      </c>
      <c r="K23" s="119" t="s">
        <v>699</v>
      </c>
      <c r="L23" s="119" t="s">
        <v>700</v>
      </c>
      <c r="M23" s="127">
        <v>45245</v>
      </c>
      <c r="N23" s="128" t="s">
        <v>994</v>
      </c>
      <c r="O23" s="128" t="s">
        <v>89</v>
      </c>
      <c r="P23" s="128" t="s">
        <v>89</v>
      </c>
      <c r="Q23" s="126"/>
      <c r="R23" s="126"/>
      <c r="S23" s="128" t="s">
        <v>89</v>
      </c>
      <c r="T23" s="128" t="s">
        <v>89</v>
      </c>
      <c r="U23" s="119" t="s">
        <v>103</v>
      </c>
      <c r="V23" s="119" t="s">
        <v>89</v>
      </c>
      <c r="W23" s="119" t="s">
        <v>701</v>
      </c>
      <c r="X23" s="119" t="s">
        <v>89</v>
      </c>
      <c r="Y23" s="119" t="s">
        <v>702</v>
      </c>
      <c r="Z23" s="119" t="s">
        <v>703</v>
      </c>
      <c r="AA23" s="119" t="s">
        <v>704</v>
      </c>
      <c r="AB23" s="119" t="s">
        <v>570</v>
      </c>
      <c r="AC23" s="119" t="s">
        <v>309</v>
      </c>
      <c r="AD23">
        <v>5.2</v>
      </c>
      <c r="AE23" t="s">
        <v>314</v>
      </c>
      <c r="AF23">
        <v>3.35</v>
      </c>
      <c r="AG23" s="127">
        <v>46348</v>
      </c>
      <c r="AH23" s="119" t="s">
        <v>106</v>
      </c>
      <c r="AI23"/>
      <c r="AJ23" s="119" t="s">
        <v>312</v>
      </c>
      <c r="AK23" s="119" t="s">
        <v>333</v>
      </c>
      <c r="AL23" s="119" t="s">
        <v>89</v>
      </c>
      <c r="AM23" s="119" t="s">
        <v>310</v>
      </c>
      <c r="AN23"/>
      <c r="AO23"/>
      <c r="AP23" s="119" t="s">
        <v>575</v>
      </c>
      <c r="AQ23" s="119" t="s">
        <v>576</v>
      </c>
      <c r="AR23" s="119" t="s">
        <v>89</v>
      </c>
      <c r="AS23"/>
      <c r="AT23"/>
      <c r="AU23"/>
      <c r="AV23" s="119" t="s">
        <v>244</v>
      </c>
      <c r="AW23" s="119" t="s">
        <v>620</v>
      </c>
      <c r="AX23" s="119" t="s">
        <v>309</v>
      </c>
      <c r="AY23" s="119" t="s">
        <v>319</v>
      </c>
      <c r="AZ23" s="119" t="s">
        <v>81</v>
      </c>
      <c r="BA23" s="119" t="s">
        <v>964</v>
      </c>
      <c r="BB23" s="119" t="s">
        <v>705</v>
      </c>
      <c r="BC23" s="119" t="s">
        <v>315</v>
      </c>
      <c r="BD23" s="119" t="s">
        <v>89</v>
      </c>
      <c r="BE23" s="119" t="s">
        <v>706</v>
      </c>
      <c r="BF23">
        <v>10000</v>
      </c>
      <c r="BG23">
        <v>5.2</v>
      </c>
      <c r="BH23" s="127">
        <v>45252</v>
      </c>
      <c r="BI23" s="127"/>
      <c r="BJ23">
        <v>3.35</v>
      </c>
      <c r="BK23" s="119" t="s">
        <v>89</v>
      </c>
      <c r="BL23" s="127">
        <v>45434</v>
      </c>
      <c r="BM23" s="119" t="s">
        <v>707</v>
      </c>
      <c r="BN23" s="119" t="s">
        <v>699</v>
      </c>
      <c r="BO23" s="127">
        <v>45252</v>
      </c>
      <c r="BP23" s="119" t="s">
        <v>89</v>
      </c>
      <c r="BQ23" s="127">
        <v>45252</v>
      </c>
      <c r="BR23" s="119" t="s">
        <v>89</v>
      </c>
      <c r="BS23" s="119" t="s">
        <v>701</v>
      </c>
      <c r="BT23" s="119" t="s">
        <v>307</v>
      </c>
      <c r="BU23" s="119" t="s">
        <v>307</v>
      </c>
      <c r="BV23" s="119" t="s">
        <v>306</v>
      </c>
      <c r="BW23" s="119" t="s">
        <v>305</v>
      </c>
      <c r="BX23" s="119" t="s">
        <v>304</v>
      </c>
      <c r="BY23" s="119" t="s">
        <v>89</v>
      </c>
      <c r="BZ23" s="119" t="s">
        <v>115</v>
      </c>
      <c r="CA23" s="119" t="s">
        <v>89</v>
      </c>
      <c r="CB23" s="119" t="s">
        <v>198</v>
      </c>
      <c r="CC23" s="127"/>
      <c r="CD23" s="119" t="s">
        <v>6</v>
      </c>
      <c r="CE23" s="119" t="s">
        <v>12</v>
      </c>
      <c r="CF23" s="119" t="s">
        <v>6</v>
      </c>
      <c r="CG23" s="119" t="s">
        <v>89</v>
      </c>
      <c r="CH23" s="127"/>
      <c r="CI23"/>
      <c r="CJ23" s="119" t="s">
        <v>80</v>
      </c>
      <c r="CK23" s="119" t="s">
        <v>708</v>
      </c>
      <c r="CL23" s="119" t="s">
        <v>520</v>
      </c>
      <c r="CM23" t="s">
        <v>709</v>
      </c>
      <c r="CN23" t="s">
        <v>89</v>
      </c>
      <c r="CO23" t="s">
        <v>565</v>
      </c>
      <c r="CW23" s="2"/>
      <c r="CX23" s="2"/>
      <c r="CY23" s="2"/>
      <c r="CZ23" s="2"/>
      <c r="DB23" s="2"/>
      <c r="DC23" s="2"/>
      <c r="DD23" s="2"/>
      <c r="DE23" s="2"/>
      <c r="DJ23" s="2"/>
      <c r="DK23" s="2"/>
    </row>
    <row r="24" spans="2:115" ht="15.75" x14ac:dyDescent="0.25">
      <c r="D24" s="93"/>
      <c r="E24" s="93"/>
      <c r="F24" s="93"/>
      <c r="H24" t="s">
        <v>996</v>
      </c>
      <c r="J24">
        <v>5</v>
      </c>
      <c r="K24" s="119" t="s">
        <v>329</v>
      </c>
      <c r="L24" s="119" t="s">
        <v>710</v>
      </c>
      <c r="M24" s="127">
        <v>45245</v>
      </c>
      <c r="N24" s="128" t="s">
        <v>994</v>
      </c>
      <c r="O24" s="128" t="s">
        <v>89</v>
      </c>
      <c r="P24" s="128" t="s">
        <v>89</v>
      </c>
      <c r="Q24" s="126"/>
      <c r="R24" s="126"/>
      <c r="S24" s="128" t="s">
        <v>89</v>
      </c>
      <c r="T24" s="128" t="s">
        <v>89</v>
      </c>
      <c r="U24" s="119" t="s">
        <v>103</v>
      </c>
      <c r="V24" s="119" t="s">
        <v>89</v>
      </c>
      <c r="W24" s="119" t="s">
        <v>711</v>
      </c>
      <c r="X24" s="119" t="s">
        <v>89</v>
      </c>
      <c r="Y24" s="119" t="s">
        <v>712</v>
      </c>
      <c r="Z24" s="119" t="s">
        <v>713</v>
      </c>
      <c r="AA24" s="119" t="s">
        <v>309</v>
      </c>
      <c r="AB24" s="119" t="s">
        <v>309</v>
      </c>
      <c r="AC24" s="119" t="s">
        <v>309</v>
      </c>
      <c r="AD24">
        <v>0.86299999999999999</v>
      </c>
      <c r="AE24" t="s">
        <v>714</v>
      </c>
      <c r="AF24">
        <v>0</v>
      </c>
      <c r="AG24" s="127">
        <v>46303</v>
      </c>
      <c r="AH24" s="119" t="s">
        <v>106</v>
      </c>
      <c r="AI24"/>
      <c r="AJ24" s="119" t="s">
        <v>312</v>
      </c>
      <c r="AK24" s="119" t="s">
        <v>333</v>
      </c>
      <c r="AL24" s="119" t="s">
        <v>89</v>
      </c>
      <c r="AM24" s="119" t="s">
        <v>310</v>
      </c>
      <c r="AN24">
        <v>99.35</v>
      </c>
      <c r="AO24"/>
      <c r="AP24" s="119" t="s">
        <v>579</v>
      </c>
      <c r="AQ24" s="119" t="s">
        <v>580</v>
      </c>
      <c r="AR24" s="119" t="s">
        <v>89</v>
      </c>
      <c r="AS24"/>
      <c r="AT24"/>
      <c r="AU24"/>
      <c r="AV24" s="119" t="s">
        <v>244</v>
      </c>
      <c r="AW24" s="119" t="s">
        <v>334</v>
      </c>
      <c r="AX24" s="119" t="s">
        <v>309</v>
      </c>
      <c r="AY24" s="119" t="s">
        <v>89</v>
      </c>
      <c r="AZ24" s="119" t="s">
        <v>81</v>
      </c>
      <c r="BA24" s="119" t="s">
        <v>968</v>
      </c>
      <c r="BB24" s="119" t="s">
        <v>308</v>
      </c>
      <c r="BC24" s="119" t="s">
        <v>316</v>
      </c>
      <c r="BD24" s="119" t="s">
        <v>89</v>
      </c>
      <c r="BE24" s="119" t="s">
        <v>715</v>
      </c>
      <c r="BF24">
        <v>100000</v>
      </c>
      <c r="BG24">
        <v>0.86299999999999999</v>
      </c>
      <c r="BH24" s="127">
        <v>45251</v>
      </c>
      <c r="BI24" s="127">
        <v>45251</v>
      </c>
      <c r="BJ24">
        <v>0</v>
      </c>
      <c r="BK24" s="119" t="s">
        <v>89</v>
      </c>
      <c r="BL24" s="127">
        <v>45384</v>
      </c>
      <c r="BM24" s="119" t="s">
        <v>716</v>
      </c>
      <c r="BN24" s="119" t="s">
        <v>329</v>
      </c>
      <c r="BO24" s="127">
        <v>45251</v>
      </c>
      <c r="BP24" s="119" t="s">
        <v>89</v>
      </c>
      <c r="BQ24" s="127">
        <v>45251</v>
      </c>
      <c r="BR24" s="119" t="s">
        <v>89</v>
      </c>
      <c r="BS24" s="119" t="s">
        <v>711</v>
      </c>
      <c r="BT24" s="119" t="s">
        <v>307</v>
      </c>
      <c r="BU24" s="119" t="s">
        <v>307</v>
      </c>
      <c r="BV24" s="119" t="s">
        <v>717</v>
      </c>
      <c r="BW24" s="119" t="s">
        <v>305</v>
      </c>
      <c r="BX24" s="119" t="s">
        <v>718</v>
      </c>
      <c r="BY24" s="119" t="s">
        <v>89</v>
      </c>
      <c r="BZ24" s="119" t="s">
        <v>115</v>
      </c>
      <c r="CA24" s="119" t="s">
        <v>89</v>
      </c>
      <c r="CB24" s="119" t="s">
        <v>198</v>
      </c>
      <c r="CC24" s="127"/>
      <c r="CD24" s="119" t="s">
        <v>6</v>
      </c>
      <c r="CE24" s="119" t="s">
        <v>125</v>
      </c>
      <c r="CF24" s="119" t="s">
        <v>6</v>
      </c>
      <c r="CG24" s="119" t="s">
        <v>89</v>
      </c>
      <c r="CH24" s="127"/>
      <c r="CI24"/>
      <c r="CJ24" s="119" t="s">
        <v>80</v>
      </c>
      <c r="CK24" s="119" t="s">
        <v>719</v>
      </c>
      <c r="CL24" s="119" t="s">
        <v>520</v>
      </c>
      <c r="CM24" t="s">
        <v>720</v>
      </c>
      <c r="CN24" t="s">
        <v>89</v>
      </c>
      <c r="CO24" t="s">
        <v>565</v>
      </c>
      <c r="CW24" s="2"/>
      <c r="CX24" s="2"/>
      <c r="CY24" s="2"/>
      <c r="CZ24" s="2"/>
      <c r="DC24" s="2"/>
      <c r="DD24" s="2"/>
      <c r="DE24" s="2"/>
      <c r="DJ24" s="2"/>
      <c r="DK24" s="2"/>
    </row>
    <row r="25" spans="2:115" ht="15.75" x14ac:dyDescent="0.25">
      <c r="D25" s="93"/>
      <c r="E25" s="93"/>
      <c r="F25" s="93"/>
      <c r="H25" t="s">
        <v>236</v>
      </c>
      <c r="J25">
        <v>4</v>
      </c>
      <c r="K25" s="119" t="s">
        <v>668</v>
      </c>
      <c r="L25" s="119" t="s">
        <v>721</v>
      </c>
      <c r="M25" s="127">
        <v>45245</v>
      </c>
      <c r="N25" s="128" t="s">
        <v>242</v>
      </c>
      <c r="O25" s="128" t="s">
        <v>722</v>
      </c>
      <c r="P25" s="128" t="s">
        <v>723</v>
      </c>
      <c r="Q25" s="126"/>
      <c r="R25" s="126"/>
      <c r="S25" s="128" t="s">
        <v>89</v>
      </c>
      <c r="T25" s="128" t="s">
        <v>89</v>
      </c>
      <c r="U25" s="119" t="s">
        <v>82</v>
      </c>
      <c r="V25" s="119" t="s">
        <v>242</v>
      </c>
      <c r="W25" s="119" t="s">
        <v>724</v>
      </c>
      <c r="X25" s="119" t="s">
        <v>725</v>
      </c>
      <c r="Y25" s="119" t="s">
        <v>726</v>
      </c>
      <c r="Z25" s="119" t="s">
        <v>727</v>
      </c>
      <c r="AA25" s="119" t="s">
        <v>569</v>
      </c>
      <c r="AB25" s="119" t="s">
        <v>570</v>
      </c>
      <c r="AC25" s="119" t="s">
        <v>309</v>
      </c>
      <c r="AD25">
        <v>3</v>
      </c>
      <c r="AE25" t="s">
        <v>314</v>
      </c>
      <c r="AF25">
        <v>5.9554999999999998</v>
      </c>
      <c r="AG25" s="127">
        <v>46348</v>
      </c>
      <c r="AH25" s="119" t="s">
        <v>728</v>
      </c>
      <c r="AI25">
        <v>45</v>
      </c>
      <c r="AJ25" s="119" t="s">
        <v>312</v>
      </c>
      <c r="AK25" s="119" t="s">
        <v>311</v>
      </c>
      <c r="AL25" s="119" t="s">
        <v>89</v>
      </c>
      <c r="AM25" s="119" t="s">
        <v>310</v>
      </c>
      <c r="AN25">
        <v>100</v>
      </c>
      <c r="AO25"/>
      <c r="AP25" s="119" t="s">
        <v>318</v>
      </c>
      <c r="AQ25" s="119" t="s">
        <v>676</v>
      </c>
      <c r="AR25" s="119" t="s">
        <v>89</v>
      </c>
      <c r="AS25"/>
      <c r="AT25"/>
      <c r="AU25"/>
      <c r="AV25" s="119" t="s">
        <v>244</v>
      </c>
      <c r="AW25" s="119" t="s">
        <v>290</v>
      </c>
      <c r="AX25" s="119" t="s">
        <v>309</v>
      </c>
      <c r="AY25" s="119" t="s">
        <v>319</v>
      </c>
      <c r="AZ25" s="119" t="s">
        <v>81</v>
      </c>
      <c r="BA25" s="119" t="s">
        <v>964</v>
      </c>
      <c r="BB25" s="119" t="s">
        <v>571</v>
      </c>
      <c r="BC25" s="119" t="s">
        <v>315</v>
      </c>
      <c r="BD25" s="119" t="s">
        <v>729</v>
      </c>
      <c r="BE25" s="119" t="s">
        <v>678</v>
      </c>
      <c r="BF25">
        <v>1000</v>
      </c>
      <c r="BG25">
        <v>3</v>
      </c>
      <c r="BH25" s="127">
        <v>45252</v>
      </c>
      <c r="BI25" s="127"/>
      <c r="BJ25">
        <v>5.9554999999999998</v>
      </c>
      <c r="BK25" s="119" t="s">
        <v>730</v>
      </c>
      <c r="BL25" s="127">
        <v>45344</v>
      </c>
      <c r="BM25" s="119" t="s">
        <v>731</v>
      </c>
      <c r="BN25" s="119" t="s">
        <v>89</v>
      </c>
      <c r="BO25" s="127">
        <v>45252</v>
      </c>
      <c r="BP25" s="119" t="s">
        <v>572</v>
      </c>
      <c r="BQ25" s="127">
        <v>45252</v>
      </c>
      <c r="BR25" s="119" t="s">
        <v>89</v>
      </c>
      <c r="BS25" s="119" t="s">
        <v>732</v>
      </c>
      <c r="BT25" s="119" t="s">
        <v>307</v>
      </c>
      <c r="BU25" s="119" t="s">
        <v>307</v>
      </c>
      <c r="BV25" s="119" t="s">
        <v>573</v>
      </c>
      <c r="BW25" s="119" t="s">
        <v>305</v>
      </c>
      <c r="BX25" s="119" t="s">
        <v>304</v>
      </c>
      <c r="BY25" s="119" t="s">
        <v>89</v>
      </c>
      <c r="BZ25" s="119" t="s">
        <v>574</v>
      </c>
      <c r="CA25" s="119" t="s">
        <v>89</v>
      </c>
      <c r="CB25" s="119" t="s">
        <v>198</v>
      </c>
      <c r="CC25" s="127"/>
      <c r="CD25" s="119" t="s">
        <v>6</v>
      </c>
      <c r="CE25" s="119" t="s">
        <v>11</v>
      </c>
      <c r="CF25" s="119" t="s">
        <v>6</v>
      </c>
      <c r="CG25" s="119" t="s">
        <v>89</v>
      </c>
      <c r="CH25" s="127"/>
      <c r="CI25"/>
      <c r="CJ25" s="119" t="s">
        <v>598</v>
      </c>
      <c r="CK25" s="119" t="s">
        <v>291</v>
      </c>
      <c r="CL25" s="119" t="s">
        <v>733</v>
      </c>
      <c r="CM25" t="s">
        <v>734</v>
      </c>
      <c r="CN25" t="s">
        <v>89</v>
      </c>
      <c r="CO25" t="s">
        <v>203</v>
      </c>
      <c r="CW25" s="2"/>
      <c r="CX25" s="2"/>
      <c r="CY25" s="2"/>
      <c r="CZ25" s="2"/>
      <c r="DC25" s="2"/>
      <c r="DD25" s="2"/>
      <c r="DE25" s="2"/>
      <c r="DJ25" s="2"/>
      <c r="DK25" s="2"/>
    </row>
    <row r="26" spans="2:115" ht="15.75" x14ac:dyDescent="0.25">
      <c r="D26" s="93"/>
      <c r="E26" s="93"/>
      <c r="F26" s="93"/>
      <c r="J26">
        <v>3</v>
      </c>
      <c r="K26" s="119" t="s">
        <v>736</v>
      </c>
      <c r="L26" s="119" t="s">
        <v>737</v>
      </c>
      <c r="M26" s="127">
        <v>45244</v>
      </c>
      <c r="N26" s="128" t="s">
        <v>735</v>
      </c>
      <c r="O26" s="128" t="s">
        <v>738</v>
      </c>
      <c r="P26" s="128" t="s">
        <v>739</v>
      </c>
      <c r="Q26" s="126"/>
      <c r="R26" s="126"/>
      <c r="S26" s="128" t="s">
        <v>89</v>
      </c>
      <c r="T26" s="128" t="s">
        <v>89</v>
      </c>
      <c r="U26" s="119" t="s">
        <v>82</v>
      </c>
      <c r="V26" s="119" t="s">
        <v>89</v>
      </c>
      <c r="W26" s="119" t="s">
        <v>740</v>
      </c>
      <c r="X26" s="119" t="s">
        <v>741</v>
      </c>
      <c r="Y26" s="119" t="s">
        <v>742</v>
      </c>
      <c r="Z26" s="119" t="s">
        <v>743</v>
      </c>
      <c r="AA26" s="119" t="s">
        <v>309</v>
      </c>
      <c r="AB26" s="119" t="s">
        <v>309</v>
      </c>
      <c r="AC26" s="119" t="s">
        <v>309</v>
      </c>
      <c r="AD26">
        <v>2.1</v>
      </c>
      <c r="AE26" t="s">
        <v>562</v>
      </c>
      <c r="AF26">
        <v>6.7</v>
      </c>
      <c r="AG26" s="127">
        <v>45614</v>
      </c>
      <c r="AH26" s="119" t="s">
        <v>313</v>
      </c>
      <c r="AI26">
        <v>40</v>
      </c>
      <c r="AJ26" s="119" t="s">
        <v>312</v>
      </c>
      <c r="AK26" s="119" t="s">
        <v>333</v>
      </c>
      <c r="AL26" s="119" t="s">
        <v>89</v>
      </c>
      <c r="AM26" s="119" t="s">
        <v>310</v>
      </c>
      <c r="AN26">
        <v>100</v>
      </c>
      <c r="AO26"/>
      <c r="AP26" s="119" t="s">
        <v>599</v>
      </c>
      <c r="AQ26" s="119" t="s">
        <v>744</v>
      </c>
      <c r="AR26" s="119" t="s">
        <v>89</v>
      </c>
      <c r="AS26"/>
      <c r="AT26"/>
      <c r="AU26"/>
      <c r="AV26" s="119" t="s">
        <v>244</v>
      </c>
      <c r="AW26" s="119" t="s">
        <v>745</v>
      </c>
      <c r="AX26" s="119" t="s">
        <v>309</v>
      </c>
      <c r="AY26" s="119" t="s">
        <v>319</v>
      </c>
      <c r="AZ26" s="119" t="s">
        <v>1</v>
      </c>
      <c r="BA26" s="119" t="s">
        <v>969</v>
      </c>
      <c r="BB26" s="119" t="s">
        <v>308</v>
      </c>
      <c r="BC26" s="119" t="s">
        <v>315</v>
      </c>
      <c r="BD26" s="119" t="s">
        <v>746</v>
      </c>
      <c r="BE26" s="119" t="s">
        <v>747</v>
      </c>
      <c r="BF26">
        <v>1000</v>
      </c>
      <c r="BG26">
        <v>2.1</v>
      </c>
      <c r="BH26" s="127">
        <v>45250</v>
      </c>
      <c r="BI26" s="127"/>
      <c r="BJ26">
        <v>6.7</v>
      </c>
      <c r="BK26" s="119" t="s">
        <v>89</v>
      </c>
      <c r="BL26" s="127">
        <v>45432</v>
      </c>
      <c r="BM26" s="119" t="s">
        <v>748</v>
      </c>
      <c r="BN26" s="119" t="s">
        <v>736</v>
      </c>
      <c r="BO26" s="127">
        <v>45250</v>
      </c>
      <c r="BP26" s="119" t="s">
        <v>749</v>
      </c>
      <c r="BQ26" s="127">
        <v>45250</v>
      </c>
      <c r="BR26" s="119" t="s">
        <v>89</v>
      </c>
      <c r="BS26" s="119" t="s">
        <v>750</v>
      </c>
      <c r="BT26" s="119" t="s">
        <v>307</v>
      </c>
      <c r="BU26" s="119" t="s">
        <v>307</v>
      </c>
      <c r="BV26" s="119" t="s">
        <v>306</v>
      </c>
      <c r="BW26" s="119" t="s">
        <v>305</v>
      </c>
      <c r="BX26" s="119" t="s">
        <v>304</v>
      </c>
      <c r="BY26" s="119" t="s">
        <v>89</v>
      </c>
      <c r="BZ26" s="119" t="s">
        <v>115</v>
      </c>
      <c r="CA26" s="119" t="s">
        <v>89</v>
      </c>
      <c r="CB26" s="119" t="s">
        <v>198</v>
      </c>
      <c r="CC26" s="127"/>
      <c r="CD26" s="119" t="s">
        <v>6</v>
      </c>
      <c r="CE26" s="119" t="s">
        <v>9</v>
      </c>
      <c r="CF26" s="119" t="s">
        <v>129</v>
      </c>
      <c r="CG26" s="119" t="s">
        <v>89</v>
      </c>
      <c r="CH26" s="127"/>
      <c r="CI26"/>
      <c r="CJ26" s="119" t="s">
        <v>751</v>
      </c>
      <c r="CK26" s="119" t="s">
        <v>751</v>
      </c>
      <c r="CL26" s="119" t="s">
        <v>520</v>
      </c>
      <c r="CM26" t="s">
        <v>752</v>
      </c>
      <c r="CN26" t="s">
        <v>89</v>
      </c>
      <c r="CO26" t="s">
        <v>302</v>
      </c>
      <c r="CX26" s="2"/>
      <c r="CY26" s="2"/>
      <c r="CZ26" s="2"/>
      <c r="DA26" s="2"/>
      <c r="DD26" s="2"/>
      <c r="DE26" s="2"/>
      <c r="DJ26" s="2"/>
      <c r="DK26" s="2"/>
    </row>
    <row r="27" spans="2:115" ht="15.75" x14ac:dyDescent="0.25">
      <c r="D27" s="93"/>
      <c r="E27" s="93"/>
      <c r="F27" s="93"/>
      <c r="J27">
        <v>2</v>
      </c>
      <c r="K27" s="119" t="s">
        <v>505</v>
      </c>
      <c r="L27" s="119" t="s">
        <v>753</v>
      </c>
      <c r="M27" s="127">
        <v>45244</v>
      </c>
      <c r="N27" s="128" t="s">
        <v>994</v>
      </c>
      <c r="O27" s="128" t="s">
        <v>89</v>
      </c>
      <c r="P27" s="128" t="s">
        <v>89</v>
      </c>
      <c r="Q27" s="126"/>
      <c r="R27" s="126"/>
      <c r="S27" s="128" t="s">
        <v>89</v>
      </c>
      <c r="T27" s="128" t="s">
        <v>89</v>
      </c>
      <c r="U27" s="119" t="s">
        <v>82</v>
      </c>
      <c r="V27" s="119" t="s">
        <v>89</v>
      </c>
      <c r="W27" s="119" t="s">
        <v>506</v>
      </c>
      <c r="X27" s="119" t="s">
        <v>89</v>
      </c>
      <c r="Y27" s="119" t="s">
        <v>754</v>
      </c>
      <c r="Z27" s="119" t="s">
        <v>755</v>
      </c>
      <c r="AA27" s="119" t="s">
        <v>309</v>
      </c>
      <c r="AB27" s="119" t="s">
        <v>309</v>
      </c>
      <c r="AC27" s="119" t="s">
        <v>309</v>
      </c>
      <c r="AD27">
        <v>0.05</v>
      </c>
      <c r="AE27" t="s">
        <v>756</v>
      </c>
      <c r="AF27">
        <v>5.8</v>
      </c>
      <c r="AG27" s="127">
        <v>45275</v>
      </c>
      <c r="AH27" s="119" t="s">
        <v>106</v>
      </c>
      <c r="AI27"/>
      <c r="AJ27" s="119" t="s">
        <v>312</v>
      </c>
      <c r="AK27" s="119" t="s">
        <v>333</v>
      </c>
      <c r="AL27" s="119" t="s">
        <v>89</v>
      </c>
      <c r="AM27" s="119" t="s">
        <v>697</v>
      </c>
      <c r="AN27">
        <v>100</v>
      </c>
      <c r="AO27"/>
      <c r="AP27" s="119" t="s">
        <v>318</v>
      </c>
      <c r="AQ27" s="119" t="s">
        <v>89</v>
      </c>
      <c r="AR27" s="119" t="s">
        <v>89</v>
      </c>
      <c r="AS27"/>
      <c r="AT27"/>
      <c r="AU27"/>
      <c r="AV27" s="119" t="s">
        <v>244</v>
      </c>
      <c r="AW27" s="119" t="s">
        <v>334</v>
      </c>
      <c r="AX27" s="119" t="s">
        <v>309</v>
      </c>
      <c r="AY27" s="119" t="s">
        <v>89</v>
      </c>
      <c r="AZ27" s="119" t="s">
        <v>81</v>
      </c>
      <c r="BA27" s="119" t="s">
        <v>970</v>
      </c>
      <c r="BB27" s="119" t="s">
        <v>308</v>
      </c>
      <c r="BC27" s="119" t="s">
        <v>316</v>
      </c>
      <c r="BD27" s="119" t="s">
        <v>89</v>
      </c>
      <c r="BE27" s="119" t="s">
        <v>507</v>
      </c>
      <c r="BF27">
        <v>5000000</v>
      </c>
      <c r="BG27">
        <v>0.05</v>
      </c>
      <c r="BH27" s="127">
        <v>45246</v>
      </c>
      <c r="BI27" s="127"/>
      <c r="BJ27">
        <v>5.8</v>
      </c>
      <c r="BK27" s="119" t="s">
        <v>89</v>
      </c>
      <c r="BL27" s="127">
        <v>45275</v>
      </c>
      <c r="BM27" s="119" t="s">
        <v>508</v>
      </c>
      <c r="BN27" s="119" t="s">
        <v>505</v>
      </c>
      <c r="BO27" s="127">
        <v>45246</v>
      </c>
      <c r="BP27" s="119" t="s">
        <v>89</v>
      </c>
      <c r="BQ27" s="127">
        <v>45246</v>
      </c>
      <c r="BR27" s="119" t="s">
        <v>89</v>
      </c>
      <c r="BS27" s="119" t="s">
        <v>506</v>
      </c>
      <c r="BT27" s="119" t="s">
        <v>307</v>
      </c>
      <c r="BU27" s="119" t="s">
        <v>307</v>
      </c>
      <c r="BV27" s="119" t="s">
        <v>306</v>
      </c>
      <c r="BW27" s="119" t="s">
        <v>305</v>
      </c>
      <c r="BX27" s="119" t="s">
        <v>304</v>
      </c>
      <c r="BY27" s="119" t="s">
        <v>89</v>
      </c>
      <c r="BZ27" s="119" t="s">
        <v>89</v>
      </c>
      <c r="CA27" s="119" t="s">
        <v>89</v>
      </c>
      <c r="CB27" s="119" t="s">
        <v>198</v>
      </c>
      <c r="CC27" s="127"/>
      <c r="CD27" s="119" t="s">
        <v>6</v>
      </c>
      <c r="CE27" s="119" t="s">
        <v>11</v>
      </c>
      <c r="CF27" s="119" t="s">
        <v>6</v>
      </c>
      <c r="CG27" s="119" t="s">
        <v>89</v>
      </c>
      <c r="CH27" s="127"/>
      <c r="CI27"/>
      <c r="CJ27" s="119" t="s">
        <v>80</v>
      </c>
      <c r="CK27" s="119" t="s">
        <v>80</v>
      </c>
      <c r="CL27" s="119" t="s">
        <v>520</v>
      </c>
      <c r="CM27" t="s">
        <v>757</v>
      </c>
      <c r="CN27" t="s">
        <v>89</v>
      </c>
      <c r="CO27" t="s">
        <v>302</v>
      </c>
      <c r="CY27" s="2"/>
      <c r="CZ27" s="2"/>
      <c r="DA27" s="2"/>
      <c r="DB27" s="2"/>
      <c r="DE27" s="2"/>
      <c r="DJ27" s="2"/>
      <c r="DK27" s="2"/>
    </row>
    <row r="28" spans="2:115" ht="15.75" x14ac:dyDescent="0.25">
      <c r="D28" s="93"/>
      <c r="E28" s="93"/>
      <c r="F28" s="93"/>
      <c r="J28">
        <v>1</v>
      </c>
      <c r="K28" s="119" t="s">
        <v>758</v>
      </c>
      <c r="L28" s="119" t="s">
        <v>759</v>
      </c>
      <c r="M28" s="127">
        <v>45243</v>
      </c>
      <c r="N28" s="128" t="s">
        <v>994</v>
      </c>
      <c r="O28" s="128" t="s">
        <v>89</v>
      </c>
      <c r="P28" s="128" t="s">
        <v>89</v>
      </c>
      <c r="Q28" s="126"/>
      <c r="R28" s="126"/>
      <c r="S28" s="128" t="s">
        <v>89</v>
      </c>
      <c r="T28" s="128" t="s">
        <v>89</v>
      </c>
      <c r="U28" s="119" t="s">
        <v>82</v>
      </c>
      <c r="V28" s="119" t="s">
        <v>89</v>
      </c>
      <c r="W28" s="119" t="s">
        <v>760</v>
      </c>
      <c r="X28" s="119" t="s">
        <v>89</v>
      </c>
      <c r="Y28" s="119" t="s">
        <v>761</v>
      </c>
      <c r="Z28" s="119" t="s">
        <v>762</v>
      </c>
      <c r="AA28" s="119" t="s">
        <v>763</v>
      </c>
      <c r="AB28" s="119" t="s">
        <v>764</v>
      </c>
      <c r="AC28" s="119" t="s">
        <v>309</v>
      </c>
      <c r="AD28">
        <v>0.05</v>
      </c>
      <c r="AE28" t="s">
        <v>6</v>
      </c>
      <c r="AF28">
        <v>0</v>
      </c>
      <c r="AG28" s="127">
        <v>45342</v>
      </c>
      <c r="AH28" s="119" t="s">
        <v>106</v>
      </c>
      <c r="AI28"/>
      <c r="AJ28" s="119" t="s">
        <v>89</v>
      </c>
      <c r="AK28" s="119" t="s">
        <v>333</v>
      </c>
      <c r="AL28" s="119" t="s">
        <v>89</v>
      </c>
      <c r="AM28" s="119" t="s">
        <v>310</v>
      </c>
      <c r="AN28"/>
      <c r="AO28"/>
      <c r="AP28" s="119" t="s">
        <v>577</v>
      </c>
      <c r="AQ28" s="119" t="s">
        <v>578</v>
      </c>
      <c r="AR28" s="119" t="s">
        <v>89</v>
      </c>
      <c r="AS28"/>
      <c r="AT28"/>
      <c r="AU28"/>
      <c r="AV28" s="119" t="s">
        <v>244</v>
      </c>
      <c r="AW28" s="119" t="s">
        <v>620</v>
      </c>
      <c r="AX28" s="119" t="s">
        <v>309</v>
      </c>
      <c r="AY28" s="119" t="s">
        <v>89</v>
      </c>
      <c r="AZ28" s="119" t="s">
        <v>81</v>
      </c>
      <c r="BA28" s="119" t="s">
        <v>971</v>
      </c>
      <c r="BB28" s="119" t="s">
        <v>705</v>
      </c>
      <c r="BC28" s="119" t="s">
        <v>315</v>
      </c>
      <c r="BD28" s="119" t="s">
        <v>89</v>
      </c>
      <c r="BE28" s="119" t="s">
        <v>765</v>
      </c>
      <c r="BF28">
        <v>100000</v>
      </c>
      <c r="BG28">
        <v>0.05</v>
      </c>
      <c r="BH28" s="127"/>
      <c r="BI28" s="127"/>
      <c r="BJ28">
        <v>0</v>
      </c>
      <c r="BK28" s="119" t="s">
        <v>89</v>
      </c>
      <c r="BL28" s="127"/>
      <c r="BM28" s="119" t="s">
        <v>766</v>
      </c>
      <c r="BN28" s="119" t="s">
        <v>758</v>
      </c>
      <c r="BO28" s="127"/>
      <c r="BP28" s="119" t="s">
        <v>89</v>
      </c>
      <c r="BQ28" s="127"/>
      <c r="BR28" s="119" t="s">
        <v>89</v>
      </c>
      <c r="BS28" s="119" t="s">
        <v>760</v>
      </c>
      <c r="BT28" s="119" t="s">
        <v>307</v>
      </c>
      <c r="BU28" s="119" t="s">
        <v>307</v>
      </c>
      <c r="BV28" s="119" t="s">
        <v>306</v>
      </c>
      <c r="BW28" s="119" t="s">
        <v>305</v>
      </c>
      <c r="BX28" s="119" t="s">
        <v>304</v>
      </c>
      <c r="BY28" s="119" t="s">
        <v>89</v>
      </c>
      <c r="BZ28" s="119" t="s">
        <v>89</v>
      </c>
      <c r="CA28" s="119" t="s">
        <v>89</v>
      </c>
      <c r="CB28" s="119" t="s">
        <v>198</v>
      </c>
      <c r="CC28" s="127"/>
      <c r="CD28" s="119" t="s">
        <v>6</v>
      </c>
      <c r="CE28" s="119" t="s">
        <v>17</v>
      </c>
      <c r="CF28" s="119" t="s">
        <v>6</v>
      </c>
      <c r="CG28" s="119" t="s">
        <v>89</v>
      </c>
      <c r="CH28" s="127"/>
      <c r="CI28"/>
      <c r="CJ28" s="119" t="s">
        <v>80</v>
      </c>
      <c r="CK28" s="119" t="s">
        <v>719</v>
      </c>
      <c r="CL28" s="119" t="s">
        <v>520</v>
      </c>
      <c r="CM28" t="s">
        <v>767</v>
      </c>
      <c r="CN28" t="s">
        <v>89</v>
      </c>
      <c r="CO28" t="s">
        <v>565</v>
      </c>
      <c r="DA28" s="2"/>
      <c r="DB28" s="2"/>
      <c r="DC28" s="2"/>
      <c r="DD28" s="2"/>
      <c r="DF28" s="1"/>
      <c r="DJ28" s="2"/>
      <c r="DK28" s="2"/>
    </row>
    <row r="29" spans="2:115" ht="15" x14ac:dyDescent="0.25">
      <c r="DE29" s="2"/>
      <c r="DI29" s="1"/>
      <c r="DK29" s="2"/>
    </row>
    <row r="30" spans="2:115" ht="15" x14ac:dyDescent="0.25"/>
    <row r="31" spans="2:115" ht="15" x14ac:dyDescent="0.25"/>
    <row r="32" spans="2:115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9.5" customHeight="1" x14ac:dyDescent="0.25"/>
    <row r="41" ht="19.5" customHeight="1" x14ac:dyDescent="0.25"/>
    <row r="42" ht="19.5" customHeight="1" x14ac:dyDescent="0.25"/>
    <row r="43" ht="19.5" customHeight="1" x14ac:dyDescent="0.25"/>
    <row r="44" ht="19.5" customHeight="1" x14ac:dyDescent="0.25"/>
  </sheetData>
  <phoneticPr fontId="14" type="noConversion"/>
  <conditionalFormatting sqref="G11">
    <cfRule type="iconSet" priority="25">
      <iconSet showValue="0">
        <cfvo type="percent" val="0"/>
        <cfvo type="num" val="-1"/>
        <cfvo type="num" val="0"/>
      </iconSet>
    </cfRule>
  </conditionalFormatting>
  <conditionalFormatting sqref="C5">
    <cfRule type="containsText" dxfId="440" priority="18" operator="containsText" text="KT">
      <formula>NOT(ISERROR(SEARCH("KT",C5)))</formula>
    </cfRule>
    <cfRule type="containsText" dxfId="439" priority="19" operator="containsText" text="JH">
      <formula>NOT(ISERROR(SEARCH("JH",C5)))</formula>
    </cfRule>
    <cfRule type="containsText" dxfId="438" priority="20" operator="containsText" text="CL">
      <formula>NOT(ISERROR(SEARCH("CL",C5)))</formula>
    </cfRule>
    <cfRule type="containsText" dxfId="437" priority="21" operator="containsText" text="CY">
      <formula>NOT(ISERROR(SEARCH("CY",C5)))</formula>
    </cfRule>
    <cfRule type="containsText" dxfId="436" priority="22" operator="containsText" text="ES">
      <formula>NOT(ISERROR(SEARCH("ES",C5)))</formula>
    </cfRule>
  </conditionalFormatting>
  <conditionalFormatting sqref="N16:T28">
    <cfRule type="containsText" dxfId="435" priority="3" operator="containsText" text="【">
      <formula>NOT(ISERROR(SEARCH("【",N16)))</formula>
    </cfRule>
  </conditionalFormatting>
  <conditionalFormatting sqref="C11">
    <cfRule type="containsText" dxfId="434" priority="2" operator="containsText" text="ON">
      <formula>NOT(ISERROR(SEARCH("ON",C11)))</formula>
    </cfRule>
  </conditionalFormatting>
  <dataValidations count="9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8:C9" xr:uid="{A80797E9-1E83-4191-8030-5056F54365C4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C6" xr:uid="{DABD8501-D4B1-4495-B925-F4098D9932D3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C7" xr:uid="{09D54662-5BA4-488A-B1D2-D58E08F4086C}">
      <formula1>"ON,OFF"</formula1>
    </dataValidation>
    <dataValidation type="list" allowBlank="1" showInputMessage="1" showErrorMessage="1" promptTitle="Need to add tap deal?" prompt="Please spark when needed" sqref="C11" xr:uid="{D786BBAC-8B85-4826-8AFB-917C888E43CA}">
      <formula1>"ON,OFF"</formula1>
    </dataValidation>
    <dataValidation type="list" allowBlank="1" showInputMessage="1" showErrorMessage="1" promptTitle="DMI only or DMI+BBG+台账?" prompt="If set to OFF - only DMI data will be loaded" sqref="C10:C11" xr:uid="{7354D1B4-C643-4336-B89D-A74F904D673A}">
      <formula1>"ON,OFF"</formula1>
    </dataValidation>
    <dataValidation type="list" allowBlank="1" showInputMessage="1" showErrorMessage="1" sqref="N16:N28" xr:uid="{DB4DAF89-C876-4A80-8B87-F3FF22B16AC6}">
      <formula1>"【Y】,Y,--"</formula1>
    </dataValidation>
    <dataValidation type="decimal" operator="notEqual" allowBlank="1" showInputMessage="1" showErrorMessage="1" sqref="Q16:R28" xr:uid="{37E87E8C-51FF-44D3-BFA5-74F0A9FDFFD8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4</xdr:col>
                    <xdr:colOff>0</xdr:colOff>
                    <xdr:row>4</xdr:row>
                    <xdr:rowOff>76200</xdr:rowOff>
                  </from>
                  <to>
                    <xdr:col>8</xdr:col>
                    <xdr:colOff>438150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P73"/>
  <sheetViews>
    <sheetView topLeftCell="B1" zoomScale="70" zoomScaleNormal="70" workbookViewId="0">
      <selection activeCell="E9" sqref="E9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33203125" style="3" bestFit="1" customWidth="1"/>
    <col min="3" max="3" width="13.44140625" style="3" bestFit="1" customWidth="1"/>
    <col min="4" max="4" width="10.44140625" style="3" bestFit="1" customWidth="1"/>
    <col min="5" max="5" width="28.21875" style="3" bestFit="1" customWidth="1"/>
    <col min="6" max="6" width="10.109375" style="3" bestFit="1" customWidth="1"/>
    <col min="7" max="7" width="10.109375" style="3" bestFit="1" customWidth="1" outlineLevel="1"/>
    <col min="8" max="8" width="6.6640625" style="3" bestFit="1" customWidth="1" outlineLevel="1"/>
    <col min="9" max="9" width="21.44140625" style="3" bestFit="1" customWidth="1" outlineLevel="1"/>
    <col min="10" max="11" width="12.6640625" style="3" bestFit="1" customWidth="1" outlineLevel="1"/>
    <col min="12" max="12" width="19.5546875" style="3" bestFit="1" customWidth="1" outlineLevel="1"/>
    <col min="13" max="13" width="19.5546875" style="3" bestFit="1" customWidth="1"/>
    <col min="14" max="15" width="3.6640625" style="3" customWidth="1"/>
    <col min="16" max="16" width="10.44140625" style="3" bestFit="1" customWidth="1"/>
    <col min="17" max="17" width="28.21875" style="3" bestFit="1" customWidth="1"/>
    <col min="18" max="18" width="5.33203125" style="3" bestFit="1" customWidth="1"/>
    <col min="19" max="19" width="10.5546875" style="3" bestFit="1" customWidth="1"/>
    <col min="20" max="20" width="8.6640625" style="3" bestFit="1" customWidth="1"/>
    <col min="21" max="21" width="7.77734375" style="3" bestFit="1" customWidth="1" outlineLevel="1"/>
    <col min="22" max="22" width="9.77734375" style="3" bestFit="1" customWidth="1" outlineLevel="1"/>
    <col min="23" max="23" width="8.6640625" style="3" bestFit="1" customWidth="1" outlineLevel="1"/>
    <col min="24" max="24" width="7.77734375" style="3" bestFit="1" customWidth="1" outlineLevel="1"/>
    <col min="25" max="25" width="4.77734375" style="3" bestFit="1" customWidth="1" outlineLevel="1"/>
    <col min="26" max="26" width="10.5546875" style="3" bestFit="1" customWidth="1" outlineLevel="1"/>
    <col min="27" max="27" width="4.5546875" style="3" bestFit="1" customWidth="1" outlineLevel="1"/>
    <col min="28" max="28" width="8.6640625" style="3" bestFit="1" customWidth="1" outlineLevel="1"/>
    <col min="29" max="29" width="7.77734375" style="3" bestFit="1" customWidth="1" outlineLevel="1"/>
    <col min="30" max="30" width="16.88671875" style="3" bestFit="1" customWidth="1" outlineLevel="1"/>
    <col min="31" max="31" width="6.109375" style="3" bestFit="1" customWidth="1" outlineLevel="1"/>
    <col min="32" max="33" width="7.109375" style="3" bestFit="1" customWidth="1" outlineLevel="1"/>
    <col min="34" max="34" width="13.44140625" style="3" bestFit="1" customWidth="1" outlineLevel="1"/>
    <col min="35" max="35" width="19.5546875" style="3" bestFit="1" customWidth="1" outlineLevel="1"/>
    <col min="36" max="36" width="19.5546875" style="3" bestFit="1" customWidth="1"/>
    <col min="37" max="38" width="2" style="3" customWidth="1"/>
    <col min="39" max="39" width="26.44140625" style="3" bestFit="1" customWidth="1"/>
    <col min="40" max="40" width="19.44140625" style="3" bestFit="1" customWidth="1"/>
    <col min="41" max="41" width="13.33203125" style="3" bestFit="1" customWidth="1"/>
    <col min="42" max="42" width="10.33203125" style="3" bestFit="1" customWidth="1"/>
    <col min="43" max="43" width="7.6640625" style="3" bestFit="1" customWidth="1"/>
    <col min="44" max="44" width="13.33203125" style="3" bestFit="1" customWidth="1"/>
    <col min="45" max="45" width="4.88671875" style="3" bestFit="1" customWidth="1"/>
    <col min="46" max="46" width="11.5546875" style="3" bestFit="1" customWidth="1"/>
    <col min="47" max="47" width="7.6640625" style="3" bestFit="1" customWidth="1" outlineLevel="1"/>
    <col min="48" max="48" width="16.109375" style="3" bestFit="1" customWidth="1" outlineLevel="1"/>
    <col min="49" max="49" width="4.44140625" style="3" bestFit="1" customWidth="1" outlineLevel="1"/>
    <col min="50" max="50" width="11.5546875" style="3" bestFit="1" customWidth="1" outlineLevel="1"/>
    <col min="51" max="51" width="9" style="3" bestFit="1" customWidth="1" outlineLevel="1"/>
    <col min="52" max="52" width="8" style="3" bestFit="1" customWidth="1" outlineLevel="1"/>
    <col min="53" max="55" width="7.6640625" style="3" bestFit="1" customWidth="1"/>
    <col min="56" max="57" width="7.77734375" style="3" bestFit="1" customWidth="1"/>
    <col min="58" max="58" width="24.6640625" style="3" bestFit="1" customWidth="1"/>
    <col min="59" max="59" width="21.33203125" style="3" bestFit="1" customWidth="1"/>
    <col min="60" max="60" width="13.109375" style="19" bestFit="1" customWidth="1"/>
    <col min="61" max="61" width="7.21875" style="19" bestFit="1" customWidth="1"/>
    <col min="62" max="67" width="7.21875" style="19" customWidth="1"/>
    <col min="68" max="69" width="7.6640625" style="19" bestFit="1" customWidth="1"/>
    <col min="70" max="70" width="9.21875" style="19" bestFit="1" customWidth="1"/>
    <col min="71" max="72" width="9.44140625" style="19" bestFit="1" customWidth="1"/>
    <col min="73" max="74" width="11.109375" style="19" bestFit="1" customWidth="1"/>
    <col min="75" max="75" width="9.44140625" style="19" bestFit="1" customWidth="1"/>
    <col min="76" max="76" width="9" style="19" bestFit="1" customWidth="1"/>
    <col min="77" max="78" width="9.44140625" style="19" bestFit="1" customWidth="1"/>
    <col min="79" max="79" width="9.21875" style="19" bestFit="1" customWidth="1"/>
    <col min="80" max="80" width="8.77734375" style="19" bestFit="1" customWidth="1"/>
    <col min="81" max="81" width="9.21875" style="19" bestFit="1" customWidth="1"/>
    <col min="82" max="82" width="42.77734375" style="19" bestFit="1" customWidth="1"/>
    <col min="83" max="83" width="9.21875" style="19" bestFit="1" customWidth="1"/>
    <col min="84" max="84" width="9.44140625" style="19" bestFit="1" customWidth="1"/>
    <col min="85" max="85" width="8.77734375" style="19" bestFit="1" customWidth="1"/>
    <col min="86" max="86" width="9.21875" style="19" bestFit="1" customWidth="1"/>
    <col min="87" max="87" width="15.21875" style="19" bestFit="1" customWidth="1"/>
    <col min="88" max="88" width="5.88671875" style="19" bestFit="1" customWidth="1"/>
    <col min="89" max="89" width="10.77734375" style="19" bestFit="1" customWidth="1"/>
    <col min="90" max="90" width="10.88671875" style="19" bestFit="1" customWidth="1"/>
    <col min="91" max="91" width="11.44140625" style="19" bestFit="1" customWidth="1"/>
    <col min="92" max="92" width="13.5546875" style="19" bestFit="1" customWidth="1"/>
    <col min="93" max="93" width="42.77734375" style="19" bestFit="1" customWidth="1"/>
    <col min="94" max="94" width="9.21875" style="19" bestFit="1" customWidth="1"/>
    <col min="95" max="95" width="10.88671875" style="19" bestFit="1" customWidth="1"/>
    <col min="96" max="96" width="11.44140625" style="19" bestFit="1" customWidth="1"/>
    <col min="97" max="97" width="13.5546875" style="19" bestFit="1" customWidth="1"/>
    <col min="98" max="98" width="51.44140625" style="19" bestFit="1" customWidth="1"/>
    <col min="99" max="99" width="9.21875" style="19" bestFit="1" customWidth="1"/>
    <col min="100" max="100" width="51.44140625" style="19" bestFit="1" customWidth="1"/>
    <col min="101" max="101" width="9.21875" style="19" bestFit="1" customWidth="1"/>
    <col min="102" max="102" width="11.6640625" style="19" bestFit="1" customWidth="1"/>
    <col min="103" max="103" width="15.5546875" style="19" bestFit="1" customWidth="1"/>
    <col min="104" max="104" width="9.44140625" style="19" bestFit="1" customWidth="1"/>
    <col min="105" max="105" width="11.6640625" style="19" bestFit="1" customWidth="1"/>
    <col min="106" max="106" width="15.5546875" style="19" bestFit="1" customWidth="1"/>
    <col min="107" max="107" width="9.44140625" style="19" bestFit="1" customWidth="1"/>
    <col min="108" max="108" width="15.44140625" style="19" bestFit="1" customWidth="1"/>
    <col min="109" max="109" width="6.109375" style="19" bestFit="1" customWidth="1"/>
    <col min="110" max="110" width="15.21875" style="19" bestFit="1" customWidth="1"/>
    <col min="111" max="111" width="5.88671875" style="19" bestFit="1" customWidth="1"/>
    <col min="112" max="112" width="13.109375" style="19" bestFit="1" customWidth="1"/>
    <col min="113" max="113" width="5.88671875" style="19" bestFit="1" customWidth="1"/>
    <col min="114" max="114" width="9.6640625" style="19" bestFit="1" customWidth="1"/>
    <col min="115" max="115" width="14" style="19" bestFit="1" customWidth="1"/>
    <col min="116" max="116" width="14.109375" style="19" bestFit="1" customWidth="1"/>
    <col min="117" max="117" width="13.33203125" style="19" bestFit="1" customWidth="1"/>
    <col min="118" max="119" width="8.109375" style="19" customWidth="1"/>
    <col min="120" max="120" width="8.88671875" style="19" bestFit="1" customWidth="1"/>
    <col min="121" max="141" width="8.109375" style="3" customWidth="1"/>
    <col min="142" max="145" width="9" style="3" customWidth="1"/>
    <col min="146" max="146" width="2.88671875" style="3" customWidth="1"/>
    <col min="147" max="147" width="8.109375" style="3" customWidth="1"/>
    <col min="148" max="148" width="9" style="3" customWidth="1"/>
    <col min="149" max="149" width="6.109375" style="3" bestFit="1" customWidth="1"/>
    <col min="150" max="150" width="7.77734375" style="3" bestFit="1" customWidth="1"/>
    <col min="151" max="16384" width="8.88671875" style="3"/>
  </cols>
  <sheetData>
    <row r="1" spans="1:120" s="1" customFormat="1" ht="49.5" customHeight="1" x14ac:dyDescent="0.25">
      <c r="A1" s="24" t="s">
        <v>127</v>
      </c>
      <c r="C1" s="5"/>
      <c r="E1" s="91">
        <f>COUNTA(ForReview_Issuer[#Headers])</f>
        <v>11</v>
      </c>
      <c r="F1" s="75">
        <f>IF(E1&lt;=11,1,IF(E1&gt;13,-5,0))</f>
        <v>1</v>
      </c>
      <c r="R1" s="6"/>
      <c r="S1" s="91"/>
      <c r="T1" s="75"/>
      <c r="AP1" s="91"/>
      <c r="AQ1" s="75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</row>
    <row r="2" spans="1:120" s="1" customFormat="1" ht="49.5" customHeight="1" x14ac:dyDescent="0.25">
      <c r="AF2" s="108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</row>
    <row r="3" spans="1:120" s="1" customFormat="1" ht="49.5" customHeight="1" x14ac:dyDescent="0.25">
      <c r="I3" s="76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</row>
    <row r="4" spans="1:120" ht="61.5" customHeight="1" x14ac:dyDescent="0.25">
      <c r="Q4" s="4"/>
      <c r="R4" s="6"/>
      <c r="S4" s="6"/>
      <c r="U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20" ht="15" x14ac:dyDescent="0.25">
      <c r="B5" t="s">
        <v>280</v>
      </c>
      <c r="C5" t="s">
        <v>46</v>
      </c>
      <c r="D5" t="s">
        <v>47</v>
      </c>
      <c r="E5" t="s">
        <v>91</v>
      </c>
      <c r="F5" t="s">
        <v>119</v>
      </c>
      <c r="G5" t="s">
        <v>144</v>
      </c>
      <c r="H5" t="s">
        <v>87</v>
      </c>
      <c r="I5" t="s">
        <v>790</v>
      </c>
      <c r="J5" t="s">
        <v>151</v>
      </c>
      <c r="K5" t="s">
        <v>152</v>
      </c>
      <c r="L5" t="s">
        <v>121</v>
      </c>
      <c r="P5" t="s">
        <v>47</v>
      </c>
      <c r="Q5" t="s">
        <v>91</v>
      </c>
      <c r="R5" t="s">
        <v>120</v>
      </c>
      <c r="S5" t="s">
        <v>85</v>
      </c>
      <c r="T5" t="s">
        <v>51</v>
      </c>
      <c r="U5" t="s">
        <v>134</v>
      </c>
      <c r="V5" t="s">
        <v>135</v>
      </c>
      <c r="W5" t="s">
        <v>132</v>
      </c>
      <c r="X5" t="s">
        <v>122</v>
      </c>
      <c r="Y5" t="s">
        <v>62</v>
      </c>
      <c r="Z5" t="s">
        <v>55</v>
      </c>
      <c r="AA5" t="s">
        <v>84</v>
      </c>
      <c r="AB5" t="s">
        <v>114</v>
      </c>
      <c r="AC5" t="s">
        <v>331</v>
      </c>
      <c r="AD5" t="s">
        <v>88</v>
      </c>
      <c r="AE5" t="s">
        <v>140</v>
      </c>
      <c r="AF5" t="s">
        <v>141</v>
      </c>
      <c r="AG5" t="s">
        <v>174</v>
      </c>
      <c r="AH5" t="s">
        <v>46</v>
      </c>
      <c r="AI5" t="s">
        <v>121</v>
      </c>
      <c r="AM5" t="s">
        <v>91</v>
      </c>
      <c r="AN5" s="118" t="s">
        <v>121</v>
      </c>
      <c r="AO5" s="118" t="s">
        <v>46</v>
      </c>
      <c r="AP5" s="118" t="s">
        <v>47</v>
      </c>
      <c r="AQ5" s="119" t="s">
        <v>168</v>
      </c>
      <c r="AR5" s="119" t="s">
        <v>153</v>
      </c>
      <c r="AS5" t="s">
        <v>552</v>
      </c>
      <c r="AT5" s="119" t="s">
        <v>139</v>
      </c>
      <c r="AU5" s="118" t="s">
        <v>138</v>
      </c>
      <c r="AV5" s="119" t="s">
        <v>148</v>
      </c>
      <c r="AW5" s="119" t="s">
        <v>137</v>
      </c>
      <c r="AX5" s="118" t="s">
        <v>128</v>
      </c>
      <c r="AY5" s="119" t="s">
        <v>164</v>
      </c>
      <c r="AZ5" s="119" t="s">
        <v>165</v>
      </c>
      <c r="BA5" s="119" t="s">
        <v>166</v>
      </c>
      <c r="BE5" t="s">
        <v>91</v>
      </c>
      <c r="BF5" t="s">
        <v>145</v>
      </c>
      <c r="BG5" t="s">
        <v>188</v>
      </c>
      <c r="BH5" t="s">
        <v>604</v>
      </c>
      <c r="BI5" t="s">
        <v>605</v>
      </c>
      <c r="BJ5" t="s">
        <v>169</v>
      </c>
      <c r="BK5" t="s">
        <v>606</v>
      </c>
      <c r="BL5" t="s">
        <v>86</v>
      </c>
      <c r="BM5" t="s">
        <v>43</v>
      </c>
      <c r="BN5" t="s">
        <v>44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</row>
    <row r="6" spans="1:120" ht="15" x14ac:dyDescent="0.25">
      <c r="B6"/>
      <c r="C6" t="s">
        <v>973</v>
      </c>
      <c r="D6" s="31">
        <v>45247</v>
      </c>
      <c r="E6" t="s">
        <v>972</v>
      </c>
      <c r="F6" t="s">
        <v>977</v>
      </c>
      <c r="G6" t="s">
        <v>977</v>
      </c>
      <c r="H6" t="s">
        <v>603</v>
      </c>
      <c r="I6" t="s">
        <v>89</v>
      </c>
      <c r="J6" t="s">
        <v>6</v>
      </c>
      <c r="K6" t="s">
        <v>6</v>
      </c>
      <c r="L6" t="s">
        <v>978</v>
      </c>
      <c r="P6" s="31">
        <v>45247</v>
      </c>
      <c r="Q6" t="s">
        <v>972</v>
      </c>
      <c r="R6" t="s">
        <v>89</v>
      </c>
      <c r="S6" t="s">
        <v>603</v>
      </c>
      <c r="T6" t="s">
        <v>603</v>
      </c>
      <c r="U6"/>
      <c r="V6" t="s">
        <v>603</v>
      </c>
      <c r="W6" t="s">
        <v>603</v>
      </c>
      <c r="X6" t="s">
        <v>89</v>
      </c>
      <c r="Y6" t="s">
        <v>103</v>
      </c>
      <c r="Z6">
        <v>3.34</v>
      </c>
      <c r="AA6" t="s">
        <v>131</v>
      </c>
      <c r="AB6" t="s">
        <v>980</v>
      </c>
      <c r="AC6" t="s">
        <v>6</v>
      </c>
      <c r="AD6" t="s">
        <v>89</v>
      </c>
      <c r="AE6">
        <v>0.45800000000000002</v>
      </c>
      <c r="AF6">
        <v>3.34</v>
      </c>
      <c r="AG6">
        <v>3.585</v>
      </c>
      <c r="AH6" t="s">
        <v>973</v>
      </c>
      <c r="AI6" t="s">
        <v>978</v>
      </c>
      <c r="AM6" t="s">
        <v>972</v>
      </c>
      <c r="AN6" s="119" t="s">
        <v>978</v>
      </c>
      <c r="AO6" s="118" t="s">
        <v>973</v>
      </c>
      <c r="AP6" s="124">
        <v>45247</v>
      </c>
      <c r="AQ6" s="119" t="s">
        <v>768</v>
      </c>
      <c r="AR6" s="119" t="s">
        <v>768</v>
      </c>
      <c r="AS6" t="s">
        <v>603</v>
      </c>
      <c r="AT6" s="119" t="s">
        <v>603</v>
      </c>
      <c r="AU6" s="119" t="s">
        <v>603</v>
      </c>
      <c r="AV6" s="119" t="s">
        <v>603</v>
      </c>
      <c r="AW6" s="119" t="s">
        <v>603</v>
      </c>
      <c r="AX6" s="119" t="s">
        <v>603</v>
      </c>
      <c r="AY6" s="119" t="s">
        <v>603</v>
      </c>
      <c r="AZ6" s="119" t="s">
        <v>603</v>
      </c>
      <c r="BA6" s="119" t="s">
        <v>6</v>
      </c>
      <c r="BE6"/>
      <c r="BF6"/>
      <c r="BG6"/>
      <c r="BH6"/>
      <c r="BI6"/>
      <c r="BJ6"/>
      <c r="BK6"/>
      <c r="BL6"/>
      <c r="BM6"/>
      <c r="BN6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</row>
    <row r="7" spans="1:120" ht="15" x14ac:dyDescent="0.25">
      <c r="B7"/>
      <c r="C7" t="s">
        <v>948</v>
      </c>
      <c r="D7" s="31">
        <v>45247</v>
      </c>
      <c r="E7" t="s">
        <v>947</v>
      </c>
      <c r="F7" t="s">
        <v>80</v>
      </c>
      <c r="G7" t="s">
        <v>80</v>
      </c>
      <c r="H7" t="s">
        <v>35</v>
      </c>
      <c r="I7" t="s">
        <v>89</v>
      </c>
      <c r="J7" t="s">
        <v>6</v>
      </c>
      <c r="K7" t="s">
        <v>6</v>
      </c>
      <c r="L7" t="s">
        <v>962</v>
      </c>
      <c r="P7" s="31">
        <v>45247</v>
      </c>
      <c r="Q7" t="s">
        <v>947</v>
      </c>
      <c r="R7" t="s">
        <v>89</v>
      </c>
      <c r="S7" t="s">
        <v>89</v>
      </c>
      <c r="T7" t="s">
        <v>949</v>
      </c>
      <c r="U7"/>
      <c r="V7" t="s">
        <v>111</v>
      </c>
      <c r="W7" t="s">
        <v>89</v>
      </c>
      <c r="X7" t="s">
        <v>89</v>
      </c>
      <c r="Y7" t="s">
        <v>82</v>
      </c>
      <c r="Z7">
        <v>1</v>
      </c>
      <c r="AA7" t="s">
        <v>131</v>
      </c>
      <c r="AB7" t="s">
        <v>949</v>
      </c>
      <c r="AC7" t="s">
        <v>6</v>
      </c>
      <c r="AD7" t="s">
        <v>231</v>
      </c>
      <c r="AE7">
        <v>1</v>
      </c>
      <c r="AF7">
        <v>7.2930000000000001</v>
      </c>
      <c r="AG7">
        <v>7.8310000000000004</v>
      </c>
      <c r="AH7" t="s">
        <v>948</v>
      </c>
      <c r="AI7" t="s">
        <v>962</v>
      </c>
      <c r="AM7" t="s">
        <v>736</v>
      </c>
      <c r="AN7" s="119" t="s">
        <v>752</v>
      </c>
      <c r="AO7" s="118" t="s">
        <v>737</v>
      </c>
      <c r="AP7" s="124">
        <v>45244</v>
      </c>
      <c r="AQ7" s="119" t="s">
        <v>945</v>
      </c>
      <c r="AR7" s="119" t="s">
        <v>784</v>
      </c>
      <c r="AS7" t="s">
        <v>603</v>
      </c>
      <c r="AT7" s="119" t="s">
        <v>150</v>
      </c>
      <c r="AU7" s="119" t="s">
        <v>146</v>
      </c>
      <c r="AV7" s="119" t="s">
        <v>603</v>
      </c>
      <c r="AW7" s="119" t="s">
        <v>603</v>
      </c>
      <c r="AX7" s="119" t="s">
        <v>129</v>
      </c>
      <c r="AY7" s="119" t="s">
        <v>89</v>
      </c>
      <c r="AZ7" s="119" t="s">
        <v>89</v>
      </c>
      <c r="BA7" s="119" t="s">
        <v>6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</row>
    <row r="8" spans="1:120" ht="15" x14ac:dyDescent="0.25">
      <c r="B8"/>
      <c r="C8" t="s">
        <v>639</v>
      </c>
      <c r="D8" s="31">
        <v>45246</v>
      </c>
      <c r="E8" t="s">
        <v>638</v>
      </c>
      <c r="F8" t="s">
        <v>80</v>
      </c>
      <c r="G8" t="s">
        <v>80</v>
      </c>
      <c r="H8" t="s">
        <v>108</v>
      </c>
      <c r="I8" t="s">
        <v>648</v>
      </c>
      <c r="J8" t="s">
        <v>6</v>
      </c>
      <c r="K8" t="s">
        <v>6</v>
      </c>
      <c r="L8" t="s">
        <v>656</v>
      </c>
      <c r="P8" s="31">
        <v>45246</v>
      </c>
      <c r="Q8" t="s">
        <v>638</v>
      </c>
      <c r="R8" t="s">
        <v>89</v>
      </c>
      <c r="S8" t="s">
        <v>89</v>
      </c>
      <c r="T8" t="s">
        <v>641</v>
      </c>
      <c r="U8"/>
      <c r="V8" t="s">
        <v>111</v>
      </c>
      <c r="W8" t="s">
        <v>89</v>
      </c>
      <c r="X8" t="s">
        <v>89</v>
      </c>
      <c r="Y8" t="s">
        <v>103</v>
      </c>
      <c r="Z8">
        <v>6.08</v>
      </c>
      <c r="AA8" t="s">
        <v>131</v>
      </c>
      <c r="AB8" t="s">
        <v>641</v>
      </c>
      <c r="AC8" t="s">
        <v>6</v>
      </c>
      <c r="AD8" t="s">
        <v>769</v>
      </c>
      <c r="AE8">
        <v>0.83399999999999996</v>
      </c>
      <c r="AF8">
        <v>6.08</v>
      </c>
      <c r="AG8">
        <v>6.5259999999999998</v>
      </c>
      <c r="AH8" t="s">
        <v>639</v>
      </c>
      <c r="AI8" t="s">
        <v>656</v>
      </c>
      <c r="AV8" s="19"/>
      <c r="AW8" s="19"/>
      <c r="AX8" s="19"/>
      <c r="AY8" s="19"/>
      <c r="AZ8" s="19"/>
      <c r="BA8" s="19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</row>
    <row r="9" spans="1:120" ht="15" x14ac:dyDescent="0.25">
      <c r="B9"/>
      <c r="C9" t="s">
        <v>658</v>
      </c>
      <c r="D9" s="31">
        <v>45246</v>
      </c>
      <c r="E9" t="s">
        <v>657</v>
      </c>
      <c r="F9" t="s">
        <v>80</v>
      </c>
      <c r="G9" t="s">
        <v>80</v>
      </c>
      <c r="H9" t="s">
        <v>35</v>
      </c>
      <c r="I9" t="s">
        <v>89</v>
      </c>
      <c r="J9" t="s">
        <v>6</v>
      </c>
      <c r="K9" t="s">
        <v>6</v>
      </c>
      <c r="L9" t="s">
        <v>667</v>
      </c>
      <c r="P9" s="31">
        <v>45246</v>
      </c>
      <c r="Q9" t="s">
        <v>657</v>
      </c>
      <c r="R9" t="s">
        <v>89</v>
      </c>
      <c r="S9" t="s">
        <v>89</v>
      </c>
      <c r="T9" t="s">
        <v>89</v>
      </c>
      <c r="U9"/>
      <c r="V9" t="s">
        <v>111</v>
      </c>
      <c r="W9" t="s">
        <v>89</v>
      </c>
      <c r="X9" t="s">
        <v>89</v>
      </c>
      <c r="Y9" t="s">
        <v>103</v>
      </c>
      <c r="Z9">
        <v>1.9</v>
      </c>
      <c r="AA9" t="s">
        <v>131</v>
      </c>
      <c r="AB9" t="s">
        <v>770</v>
      </c>
      <c r="AC9" t="s">
        <v>6</v>
      </c>
      <c r="AD9" t="s">
        <v>204</v>
      </c>
      <c r="AE9">
        <v>0.26</v>
      </c>
      <c r="AF9">
        <v>1.9</v>
      </c>
      <c r="AG9">
        <v>2.0390000000000001</v>
      </c>
      <c r="AH9" t="s">
        <v>658</v>
      </c>
      <c r="AI9" t="s">
        <v>667</v>
      </c>
      <c r="AV9" s="19"/>
      <c r="AW9" s="19"/>
      <c r="AX9" s="19"/>
      <c r="AY9" s="19"/>
      <c r="AZ9" s="19"/>
      <c r="BA9" s="19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</row>
    <row r="10" spans="1:120" ht="15" x14ac:dyDescent="0.25">
      <c r="B10"/>
      <c r="C10" t="s">
        <v>669</v>
      </c>
      <c r="D10" s="31">
        <v>45246</v>
      </c>
      <c r="E10" t="s">
        <v>668</v>
      </c>
      <c r="F10" t="s">
        <v>598</v>
      </c>
      <c r="G10" t="s">
        <v>291</v>
      </c>
      <c r="H10" t="s">
        <v>35</v>
      </c>
      <c r="I10" t="s">
        <v>89</v>
      </c>
      <c r="J10" t="s">
        <v>130</v>
      </c>
      <c r="K10" t="s">
        <v>6</v>
      </c>
      <c r="L10" t="s">
        <v>682</v>
      </c>
      <c r="P10" s="31">
        <v>45246</v>
      </c>
      <c r="Q10" t="s">
        <v>668</v>
      </c>
      <c r="R10" t="s">
        <v>89</v>
      </c>
      <c r="S10" t="s">
        <v>771</v>
      </c>
      <c r="T10" t="s">
        <v>772</v>
      </c>
      <c r="U10">
        <v>42</v>
      </c>
      <c r="V10" t="s">
        <v>544</v>
      </c>
      <c r="W10" t="s">
        <v>772</v>
      </c>
      <c r="X10" t="s">
        <v>89</v>
      </c>
      <c r="Y10" t="s">
        <v>82</v>
      </c>
      <c r="Z10">
        <v>3</v>
      </c>
      <c r="AA10" t="s">
        <v>330</v>
      </c>
      <c r="AB10" t="s">
        <v>772</v>
      </c>
      <c r="AC10" t="s">
        <v>582</v>
      </c>
      <c r="AD10" t="s">
        <v>215</v>
      </c>
      <c r="AE10">
        <v>3</v>
      </c>
      <c r="AF10">
        <v>21.878</v>
      </c>
      <c r="AG10">
        <v>23.492000000000001</v>
      </c>
      <c r="AH10" t="s">
        <v>669</v>
      </c>
      <c r="AI10" t="s">
        <v>682</v>
      </c>
      <c r="AO10" s="19"/>
      <c r="AP10" s="19"/>
      <c r="AQ10" s="19"/>
      <c r="AR10" s="19"/>
      <c r="AV10" s="19"/>
      <c r="AW10" s="19"/>
      <c r="AX10" s="19"/>
      <c r="AY10" s="19"/>
      <c r="AZ10" s="19"/>
      <c r="BA10" s="19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</row>
    <row r="11" spans="1:120" ht="15" x14ac:dyDescent="0.25">
      <c r="B11"/>
      <c r="C11" t="s">
        <v>683</v>
      </c>
      <c r="D11" s="31">
        <v>45246</v>
      </c>
      <c r="E11" t="s">
        <v>668</v>
      </c>
      <c r="F11" t="s">
        <v>598</v>
      </c>
      <c r="G11" t="s">
        <v>291</v>
      </c>
      <c r="H11" t="s">
        <v>35</v>
      </c>
      <c r="I11" t="s">
        <v>89</v>
      </c>
      <c r="J11" t="s">
        <v>6</v>
      </c>
      <c r="K11" t="s">
        <v>6</v>
      </c>
      <c r="L11" t="s">
        <v>692</v>
      </c>
      <c r="P11" s="31">
        <v>45246</v>
      </c>
      <c r="Q11" t="s">
        <v>668</v>
      </c>
      <c r="R11" t="s">
        <v>89</v>
      </c>
      <c r="S11" t="s">
        <v>601</v>
      </c>
      <c r="T11" t="s">
        <v>690</v>
      </c>
      <c r="U11">
        <v>35</v>
      </c>
      <c r="V11" t="s">
        <v>111</v>
      </c>
      <c r="W11" t="s">
        <v>89</v>
      </c>
      <c r="X11" t="s">
        <v>89</v>
      </c>
      <c r="Y11" t="s">
        <v>105</v>
      </c>
      <c r="Z11">
        <v>15</v>
      </c>
      <c r="AA11" t="s">
        <v>330</v>
      </c>
      <c r="AB11" t="s">
        <v>690</v>
      </c>
      <c r="AC11" t="s">
        <v>6</v>
      </c>
      <c r="AD11" t="s">
        <v>215</v>
      </c>
      <c r="AE11">
        <v>1.9159999999999999</v>
      </c>
      <c r="AF11">
        <v>13.974</v>
      </c>
      <c r="AG11">
        <v>15</v>
      </c>
      <c r="AH11" t="s">
        <v>683</v>
      </c>
      <c r="AI11" t="s">
        <v>692</v>
      </c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23"/>
      <c r="BC11" s="19"/>
      <c r="BD11" s="19"/>
      <c r="BE11" s="19"/>
      <c r="BG11" s="19"/>
      <c r="BH11" s="3"/>
      <c r="BI11" s="3"/>
      <c r="BJ11" s="3"/>
      <c r="BK11" s="3"/>
      <c r="BL11" s="3"/>
      <c r="BM11" s="3"/>
      <c r="BN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</row>
    <row r="12" spans="1:120" ht="15" x14ac:dyDescent="0.25">
      <c r="B12"/>
      <c r="C12" t="s">
        <v>721</v>
      </c>
      <c r="D12" s="31">
        <v>45245</v>
      </c>
      <c r="E12" t="s">
        <v>668</v>
      </c>
      <c r="F12" t="s">
        <v>598</v>
      </c>
      <c r="G12" t="s">
        <v>291</v>
      </c>
      <c r="H12" t="s">
        <v>35</v>
      </c>
      <c r="I12" t="s">
        <v>89</v>
      </c>
      <c r="J12" t="s">
        <v>130</v>
      </c>
      <c r="K12" t="s">
        <v>6</v>
      </c>
      <c r="L12" t="s">
        <v>734</v>
      </c>
      <c r="M12" s="19"/>
      <c r="P12" s="31">
        <v>45245</v>
      </c>
      <c r="Q12" t="s">
        <v>668</v>
      </c>
      <c r="R12" t="s">
        <v>504</v>
      </c>
      <c r="S12" t="s">
        <v>293</v>
      </c>
      <c r="T12" t="s">
        <v>292</v>
      </c>
      <c r="U12">
        <v>45</v>
      </c>
      <c r="V12" t="s">
        <v>544</v>
      </c>
      <c r="W12" t="s">
        <v>292</v>
      </c>
      <c r="X12" t="s">
        <v>89</v>
      </c>
      <c r="Y12" t="s">
        <v>82</v>
      </c>
      <c r="Z12">
        <v>3</v>
      </c>
      <c r="AA12" t="s">
        <v>131</v>
      </c>
      <c r="AB12" t="s">
        <v>292</v>
      </c>
      <c r="AC12" t="s">
        <v>582</v>
      </c>
      <c r="AD12" t="s">
        <v>773</v>
      </c>
      <c r="AE12">
        <v>3</v>
      </c>
      <c r="AF12">
        <v>21.878</v>
      </c>
      <c r="AG12">
        <v>23.492000000000001</v>
      </c>
      <c r="AH12" t="s">
        <v>721</v>
      </c>
      <c r="AI12" t="s">
        <v>734</v>
      </c>
      <c r="AJ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E12" s="19"/>
      <c r="BF12" s="19"/>
      <c r="BG12" s="19"/>
      <c r="BH12" s="3"/>
      <c r="BP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</row>
    <row r="13" spans="1:120" ht="15" x14ac:dyDescent="0.25">
      <c r="B13"/>
      <c r="C13" t="s">
        <v>737</v>
      </c>
      <c r="D13" s="31">
        <v>45244</v>
      </c>
      <c r="E13" t="s">
        <v>736</v>
      </c>
      <c r="F13" t="s">
        <v>751</v>
      </c>
      <c r="G13" t="s">
        <v>751</v>
      </c>
      <c r="H13" t="s">
        <v>37</v>
      </c>
      <c r="I13" t="s">
        <v>89</v>
      </c>
      <c r="J13" t="s">
        <v>129</v>
      </c>
      <c r="K13" t="s">
        <v>6</v>
      </c>
      <c r="L13" t="s">
        <v>752</v>
      </c>
      <c r="M13" s="19"/>
      <c r="P13" s="31">
        <v>45244</v>
      </c>
      <c r="Q13" t="s">
        <v>736</v>
      </c>
      <c r="R13" t="s">
        <v>89</v>
      </c>
      <c r="S13" t="s">
        <v>774</v>
      </c>
      <c r="T13" t="s">
        <v>749</v>
      </c>
      <c r="U13">
        <v>40</v>
      </c>
      <c r="V13" t="s">
        <v>111</v>
      </c>
      <c r="W13" t="s">
        <v>89</v>
      </c>
      <c r="X13" t="s">
        <v>89</v>
      </c>
      <c r="Y13" t="s">
        <v>82</v>
      </c>
      <c r="Z13">
        <v>2.1</v>
      </c>
      <c r="AA13" t="s">
        <v>550</v>
      </c>
      <c r="AB13" t="s">
        <v>749</v>
      </c>
      <c r="AC13" t="s">
        <v>6</v>
      </c>
      <c r="AD13" t="s">
        <v>215</v>
      </c>
      <c r="AE13">
        <v>2.1</v>
      </c>
      <c r="AF13">
        <v>15.315</v>
      </c>
      <c r="AG13">
        <v>16.443999999999999</v>
      </c>
      <c r="AH13" t="s">
        <v>737</v>
      </c>
      <c r="AI13" t="s">
        <v>752</v>
      </c>
      <c r="AJ13" s="19"/>
      <c r="AL13" s="19"/>
      <c r="AO13" s="19"/>
      <c r="AP13" s="19"/>
      <c r="AQ13" s="19"/>
      <c r="AR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G13" s="19"/>
      <c r="BH13" s="3"/>
      <c r="BI13" s="3"/>
      <c r="BJ13" s="3"/>
      <c r="BK13" s="3"/>
      <c r="BL13" s="3"/>
      <c r="BM13" s="3"/>
      <c r="BN13" s="3"/>
      <c r="BO13" s="3"/>
      <c r="BP13" s="3"/>
      <c r="BQ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</row>
    <row r="14" spans="1:120" ht="13.5" x14ac:dyDescent="0.25">
      <c r="K14" s="19"/>
      <c r="L14" s="19"/>
      <c r="M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R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G14" s="19"/>
      <c r="BH14" s="3"/>
      <c r="BI14" s="3"/>
      <c r="BJ14" s="3"/>
      <c r="BK14" s="3"/>
      <c r="BL14" s="3"/>
      <c r="BM14" s="3"/>
      <c r="BN14" s="3"/>
      <c r="BO14" s="3"/>
      <c r="BP14" s="3"/>
      <c r="BQ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</row>
    <row r="15" spans="1:120" ht="13.5" x14ac:dyDescent="0.25">
      <c r="M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M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</row>
    <row r="16" spans="1:120" ht="13.5" x14ac:dyDescent="0.25">
      <c r="M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O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</row>
    <row r="17" spans="13:120" ht="13.5" x14ac:dyDescent="0.25">
      <c r="M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M17" s="19"/>
      <c r="AO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</row>
    <row r="18" spans="13:120" ht="13.5" x14ac:dyDescent="0.25">
      <c r="M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</row>
    <row r="19" spans="13:120" ht="13.5" x14ac:dyDescent="0.25">
      <c r="M19" s="19"/>
      <c r="N19" s="19"/>
      <c r="O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X19" s="3"/>
      <c r="BZ19" s="3"/>
      <c r="CA19" s="3"/>
      <c r="CB19" s="3"/>
      <c r="CC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</row>
    <row r="20" spans="13:120" ht="13.5" x14ac:dyDescent="0.25">
      <c r="M20" s="19"/>
      <c r="N20" s="19"/>
      <c r="O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CG20" s="3"/>
      <c r="CH20" s="3"/>
      <c r="CK20" s="3"/>
      <c r="CL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</row>
    <row r="21" spans="13:120" ht="13.5" x14ac:dyDescent="0.25"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CG21" s="3"/>
      <c r="CH21" s="3"/>
      <c r="CK21" s="3"/>
      <c r="CL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</row>
    <row r="22" spans="13:120" ht="13.5" x14ac:dyDescent="0.25"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CL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</row>
    <row r="23" spans="13:120" ht="13.5" x14ac:dyDescent="0.25"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CL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</row>
    <row r="24" spans="13:120" ht="13.5" x14ac:dyDescent="0.25"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CL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</row>
    <row r="25" spans="13:120" ht="13.5" x14ac:dyDescent="0.25"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CL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</row>
    <row r="26" spans="13:120" ht="13.5" x14ac:dyDescent="0.25"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CL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</row>
    <row r="27" spans="13:120" ht="13.5" x14ac:dyDescent="0.25"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CM27" s="3"/>
      <c r="CN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</row>
    <row r="28" spans="13:120" ht="13.5" x14ac:dyDescent="0.25"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CM28" s="3"/>
      <c r="CN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</row>
    <row r="29" spans="13:120" ht="13.5" x14ac:dyDescent="0.25"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CM29" s="3"/>
      <c r="CN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</row>
    <row r="30" spans="13:120" ht="13.5" x14ac:dyDescent="0.25"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CM30" s="3"/>
      <c r="CN30" s="3"/>
      <c r="CP30" s="3"/>
      <c r="CQ30" s="3"/>
      <c r="CR30" s="3"/>
      <c r="CS30" s="3"/>
      <c r="CT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</row>
    <row r="31" spans="13:120" ht="13.5" x14ac:dyDescent="0.25"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CM31" s="3"/>
      <c r="CN31" s="3"/>
      <c r="CP31" s="3"/>
      <c r="CQ31" s="3"/>
      <c r="CR31" s="3"/>
      <c r="CS31" s="3"/>
      <c r="CT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</row>
    <row r="32" spans="13:120" ht="13.5" x14ac:dyDescent="0.25"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CM32" s="3"/>
      <c r="CN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</row>
    <row r="33" spans="14:120" ht="13.5" x14ac:dyDescent="0.25"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CM33" s="3"/>
      <c r="CN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</row>
    <row r="34" spans="14:120" ht="13.5" x14ac:dyDescent="0.25"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CN34" s="3"/>
      <c r="CO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</row>
    <row r="35" spans="14:120" ht="13.5" x14ac:dyDescent="0.25"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CN35" s="3"/>
      <c r="CO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</row>
    <row r="36" spans="14:120" ht="13.5" x14ac:dyDescent="0.25"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CN36" s="3"/>
      <c r="CO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</row>
    <row r="37" spans="14:120" ht="13.5" x14ac:dyDescent="0.25"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CN37" s="3"/>
      <c r="CO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</row>
    <row r="38" spans="14:120" ht="13.5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CN38" s="3"/>
      <c r="CO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</row>
    <row r="39" spans="14:120" ht="13.5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CN39" s="3"/>
      <c r="CO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</row>
    <row r="40" spans="14:120" ht="13.5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CN40" s="3"/>
      <c r="CO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</row>
    <row r="41" spans="14:120" ht="13.5" x14ac:dyDescent="0.25"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CN41" s="3"/>
      <c r="CO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</row>
    <row r="42" spans="14:120" ht="13.5" x14ac:dyDescent="0.25"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CN42" s="3"/>
      <c r="CO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</row>
    <row r="43" spans="14:120" ht="13.5" x14ac:dyDescent="0.25"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CN43" s="3"/>
      <c r="CO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</row>
    <row r="44" spans="14:120" ht="13.5" x14ac:dyDescent="0.25"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CN44" s="3"/>
      <c r="CO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</row>
    <row r="45" spans="14:120" ht="13.5" x14ac:dyDescent="0.25"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CN45" s="3"/>
      <c r="CO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</row>
    <row r="46" spans="14:120" ht="13.5" x14ac:dyDescent="0.25"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CN46" s="3"/>
      <c r="CO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</row>
    <row r="47" spans="14:120" ht="13.5" x14ac:dyDescent="0.25"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CN47" s="3"/>
      <c r="CO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</row>
    <row r="48" spans="14:120" ht="13.5" x14ac:dyDescent="0.25"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CN48" s="3"/>
      <c r="CO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</row>
    <row r="49" spans="14:120" ht="13.5" x14ac:dyDescent="0.25"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CN49" s="3"/>
      <c r="CO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</row>
    <row r="50" spans="14:120" ht="13.5" x14ac:dyDescent="0.25"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CN50" s="3"/>
      <c r="CO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</row>
    <row r="51" spans="14:120" ht="15.75" customHeight="1" x14ac:dyDescent="0.25"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CN51" s="3"/>
      <c r="CO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</row>
    <row r="52" spans="14:120" ht="15.75" customHeight="1" x14ac:dyDescent="0.25"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CN52" s="3"/>
      <c r="CO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</row>
    <row r="53" spans="14:120" ht="15.75" customHeight="1" x14ac:dyDescent="0.25"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CN53" s="3"/>
      <c r="CO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</row>
    <row r="54" spans="14:120" ht="15.75" customHeight="1" x14ac:dyDescent="0.25"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Q54" s="19"/>
      <c r="AR54" s="19"/>
      <c r="AS54" s="19"/>
      <c r="AT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CN54" s="3"/>
      <c r="CO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</row>
    <row r="55" spans="14:120" ht="15.75" customHeight="1" x14ac:dyDescent="0.25"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Q55" s="19"/>
      <c r="AR55" s="19"/>
      <c r="AS55" s="19"/>
      <c r="AT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CN55" s="3"/>
      <c r="CO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</row>
    <row r="56" spans="14:120" ht="15.75" customHeight="1" x14ac:dyDescent="0.25"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Q56" s="19"/>
      <c r="AR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CN56" s="3"/>
      <c r="CO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</row>
    <row r="57" spans="14:120" ht="15.75" customHeight="1" x14ac:dyDescent="0.25"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R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CN57" s="3"/>
      <c r="CO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</row>
    <row r="58" spans="14:120" ht="15.75" customHeight="1" x14ac:dyDescent="0.25"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W58" s="19"/>
      <c r="AZ58" s="19"/>
      <c r="BA58" s="19"/>
      <c r="BB58" s="19"/>
      <c r="BC58" s="19"/>
      <c r="BD58" s="19"/>
      <c r="BE58" s="19"/>
      <c r="BF58" s="19"/>
      <c r="BG58" s="19"/>
      <c r="CN58" s="3"/>
      <c r="CO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</row>
    <row r="59" spans="14:120" ht="13.5" x14ac:dyDescent="0.25"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W59" s="19"/>
      <c r="AZ59" s="19"/>
      <c r="BA59" s="19"/>
      <c r="BB59" s="19"/>
      <c r="BC59" s="19"/>
      <c r="BD59" s="19"/>
      <c r="BE59" s="19"/>
      <c r="BF59" s="19"/>
      <c r="BG59" s="19"/>
      <c r="CN59" s="3"/>
      <c r="CO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</row>
    <row r="60" spans="14:120" ht="13.5" x14ac:dyDescent="0.25"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K60" s="19"/>
      <c r="AL60" s="19"/>
      <c r="AM60" s="19"/>
      <c r="AN60" s="19"/>
      <c r="AW60" s="19"/>
      <c r="AZ60" s="19"/>
      <c r="BA60" s="19"/>
      <c r="BD60" s="19"/>
      <c r="CN60" s="3"/>
      <c r="CO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</row>
    <row r="61" spans="14:120" ht="13.5" x14ac:dyDescent="0.25"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K61" s="19"/>
      <c r="AL61" s="19"/>
      <c r="AM61" s="19"/>
      <c r="AN61" s="19"/>
      <c r="AW61" s="19"/>
      <c r="AZ61" s="19"/>
      <c r="BD61" s="19"/>
      <c r="CN61" s="3"/>
      <c r="CO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</row>
    <row r="62" spans="14:120" ht="13.5" x14ac:dyDescent="0.25">
      <c r="N62" s="19"/>
      <c r="O62" s="19"/>
      <c r="P62" s="19"/>
      <c r="AK62" s="19"/>
      <c r="AL62" s="19"/>
      <c r="AM62" s="19"/>
      <c r="AW62" s="19"/>
      <c r="BD62" s="19"/>
      <c r="CN62" s="3"/>
      <c r="CO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</row>
    <row r="63" spans="14:120" ht="13.5" x14ac:dyDescent="0.25">
      <c r="N63" s="19"/>
      <c r="O63" s="19"/>
      <c r="P63" s="19"/>
      <c r="AK63" s="19"/>
      <c r="AL63" s="19"/>
      <c r="AM63" s="19"/>
      <c r="BD63" s="19"/>
      <c r="CN63" s="3"/>
      <c r="CO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</row>
    <row r="64" spans="14:120" ht="13.5" x14ac:dyDescent="0.25">
      <c r="N64" s="19"/>
      <c r="O64" s="19"/>
      <c r="P64" s="19"/>
      <c r="AK64" s="19"/>
      <c r="AL64" s="19"/>
      <c r="AM64" s="19"/>
      <c r="CN64" s="3"/>
      <c r="CO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</row>
    <row r="65" spans="14:120" ht="13.5" x14ac:dyDescent="0.25">
      <c r="N65" s="19"/>
      <c r="O65" s="19"/>
      <c r="P65" s="19"/>
      <c r="AK65" s="19"/>
      <c r="AL65" s="19"/>
      <c r="AM65" s="19"/>
      <c r="CN65" s="3"/>
      <c r="CO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</row>
    <row r="66" spans="14:120" ht="13.5" x14ac:dyDescent="0.25">
      <c r="N66" s="19"/>
      <c r="O66" s="19"/>
      <c r="P66" s="19"/>
      <c r="AK66" s="19"/>
      <c r="AL66" s="19"/>
      <c r="AM66" s="19"/>
      <c r="CN66" s="3"/>
      <c r="CO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</row>
    <row r="67" spans="14:120" ht="13.5" x14ac:dyDescent="0.25">
      <c r="P67" s="19"/>
      <c r="AM67" s="19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</row>
    <row r="68" spans="14:120" ht="13.5" x14ac:dyDescent="0.25">
      <c r="P68" s="19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</row>
    <row r="69" spans="14:120" ht="13.5" x14ac:dyDescent="0.25"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</row>
    <row r="70" spans="14:120" ht="13.5" x14ac:dyDescent="0.25"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</row>
    <row r="71" spans="14:120" ht="13.5" x14ac:dyDescent="0.25"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</row>
    <row r="72" spans="14:120" ht="13.5" x14ac:dyDescent="0.25"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</row>
    <row r="73" spans="14:120" ht="13.5" x14ac:dyDescent="0.25"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</row>
  </sheetData>
  <phoneticPr fontId="14" type="noConversion"/>
  <conditionalFormatting sqref="G3:M3">
    <cfRule type="expression" dxfId="409" priority="19">
      <formula>$G$3&lt;&gt;0</formula>
    </cfRule>
  </conditionalFormatting>
  <conditionalFormatting sqref="T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Q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12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657225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efreshDLDForReview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3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DE19"/>
  <sheetViews>
    <sheetView workbookViewId="0">
      <selection activeCell="J12" sqref="J12"/>
    </sheetView>
  </sheetViews>
  <sheetFormatPr defaultRowHeight="15" x14ac:dyDescent="0.25"/>
  <cols>
    <col min="1" max="1" width="7.109375" style="1" bestFit="1" customWidth="1"/>
    <col min="2" max="2" width="28.109375" style="1" bestFit="1" customWidth="1"/>
    <col min="3" max="3" width="13.33203125" style="1" bestFit="1" customWidth="1"/>
    <col min="4" max="5" width="10.33203125" style="1" bestFit="1" customWidth="1"/>
    <col min="6" max="6" width="36" style="1" bestFit="1" customWidth="1"/>
    <col min="7" max="7" width="29.21875" style="1" bestFit="1" customWidth="1"/>
    <col min="8" max="8" width="10.33203125" style="1" bestFit="1" customWidth="1"/>
    <col min="9" max="9" width="12.5546875" style="1" bestFit="1" customWidth="1"/>
    <col min="10" max="10" width="75.88671875" style="1" bestFit="1" customWidth="1"/>
    <col min="11" max="11" width="10.88671875" style="1" bestFit="1" customWidth="1"/>
    <col min="12" max="12" width="5.88671875" style="1" bestFit="1" customWidth="1"/>
    <col min="13" max="13" width="13.21875" style="1" bestFit="1" customWidth="1"/>
    <col min="14" max="15" width="80.88671875" style="1" bestFit="1" customWidth="1"/>
    <col min="16" max="16" width="20" style="1" bestFit="1" customWidth="1"/>
    <col min="17" max="17" width="26.77734375" style="1" bestFit="1" customWidth="1"/>
    <col min="18" max="18" width="10" style="1" bestFit="1" customWidth="1"/>
    <col min="19" max="19" width="12.5546875" style="1" bestFit="1" customWidth="1"/>
    <col min="20" max="20" width="9.21875" style="1" bestFit="1" customWidth="1"/>
    <col min="21" max="22" width="12" style="1" bestFit="1" customWidth="1"/>
    <col min="23" max="23" width="10.21875" style="1" bestFit="1" customWidth="1"/>
    <col min="24" max="24" width="10.33203125" style="1" bestFit="1" customWidth="1"/>
    <col min="25" max="25" width="51.109375" style="1" bestFit="1" customWidth="1"/>
    <col min="26" max="26" width="12.5546875" style="1" bestFit="1" customWidth="1"/>
    <col min="27" max="28" width="9.21875" style="1" bestFit="1" customWidth="1"/>
    <col min="29" max="29" width="21.33203125" style="1" bestFit="1" customWidth="1"/>
    <col min="30" max="30" width="14.88671875" style="1" bestFit="1" customWidth="1"/>
    <col min="31" max="31" width="7.5546875" style="1" bestFit="1" customWidth="1"/>
    <col min="32" max="32" width="9.21875" style="1" bestFit="1" customWidth="1"/>
    <col min="33" max="33" width="12.6640625" style="1" bestFit="1" customWidth="1"/>
    <col min="34" max="34" width="7.6640625" style="1" bestFit="1" customWidth="1"/>
    <col min="35" max="35" width="6" style="1" bestFit="1" customWidth="1"/>
    <col min="36" max="39" width="9.21875" style="1" bestFit="1" customWidth="1"/>
    <col min="40" max="40" width="9.33203125" style="1" bestFit="1" customWidth="1"/>
    <col min="41" max="42" width="12.5546875" style="1" bestFit="1" customWidth="1"/>
    <col min="43" max="43" width="9.44140625" style="1" bestFit="1" customWidth="1"/>
    <col min="44" max="44" width="9.21875" style="1" bestFit="1" customWidth="1"/>
    <col min="45" max="45" width="14.44140625" style="1" bestFit="1" customWidth="1"/>
    <col min="46" max="46" width="9.21875" style="1" bestFit="1" customWidth="1"/>
    <col min="47" max="47" width="50.44140625" style="1" bestFit="1" customWidth="1"/>
    <col min="48" max="48" width="8.33203125" style="1" bestFit="1" customWidth="1"/>
    <col min="49" max="49" width="12.5546875" style="1" bestFit="1" customWidth="1"/>
    <col min="50" max="50" width="9.21875" style="1" bestFit="1" customWidth="1"/>
    <col min="51" max="51" width="10.33203125" style="1" bestFit="1" customWidth="1"/>
    <col min="52" max="52" width="10.88671875" style="1" bestFit="1" customWidth="1"/>
    <col min="53" max="53" width="12.5546875" style="1" bestFit="1" customWidth="1"/>
    <col min="54" max="54" width="31.109375" style="1" bestFit="1" customWidth="1"/>
    <col min="55" max="55" width="10.88671875" style="1" bestFit="1" customWidth="1"/>
    <col min="56" max="56" width="47.33203125" style="1" bestFit="1" customWidth="1"/>
    <col min="57" max="57" width="56.77734375" style="1" bestFit="1" customWidth="1"/>
    <col min="58" max="58" width="10.88671875" style="1" bestFit="1" customWidth="1"/>
    <col min="59" max="59" width="28.5546875" style="1" bestFit="1" customWidth="1"/>
    <col min="60" max="60" width="10.33203125" style="1" bestFit="1" customWidth="1"/>
    <col min="61" max="61" width="19" style="1" bestFit="1" customWidth="1"/>
    <col min="62" max="62" width="80.88671875" style="1" bestFit="1" customWidth="1"/>
    <col min="63" max="63" width="10.88671875" style="1" bestFit="1" customWidth="1"/>
    <col min="64" max="69" width="9.21875" style="1" bestFit="1" customWidth="1"/>
    <col min="70" max="70" width="14.21875" style="1" bestFit="1" customWidth="1"/>
    <col min="71" max="71" width="12" style="1" bestFit="1" customWidth="1"/>
    <col min="72" max="72" width="10.88671875" style="1" bestFit="1" customWidth="1"/>
    <col min="73" max="73" width="9.33203125" style="1" bestFit="1" customWidth="1"/>
    <col min="74" max="74" width="5.88671875" style="1" bestFit="1" customWidth="1"/>
    <col min="75" max="75" width="11.109375" style="1" bestFit="1" customWidth="1"/>
    <col min="76" max="76" width="14.21875" style="1" bestFit="1" customWidth="1"/>
    <col min="77" max="77" width="18.21875" style="1" bestFit="1" customWidth="1"/>
    <col min="78" max="78" width="9.21875" style="1" bestFit="1" customWidth="1"/>
    <col min="79" max="79" width="9.6640625" style="1" bestFit="1" customWidth="1"/>
    <col min="80" max="80" width="11.6640625" style="1" bestFit="1" customWidth="1"/>
    <col min="81" max="81" width="12.44140625" style="1" bestFit="1" customWidth="1"/>
    <col min="82" max="82" width="12.5546875" style="1" bestFit="1" customWidth="1"/>
    <col min="83" max="83" width="5.88671875" style="1" bestFit="1" customWidth="1"/>
    <col min="84" max="84" width="9.21875" style="1" bestFit="1" customWidth="1"/>
    <col min="85" max="85" width="10.88671875" style="1" bestFit="1" customWidth="1"/>
    <col min="86" max="86" width="21.33203125" style="1" bestFit="1" customWidth="1"/>
    <col min="87" max="87" width="16.77734375" style="1" bestFit="1" customWidth="1"/>
    <col min="88" max="88" width="9.21875" style="1" bestFit="1" customWidth="1"/>
    <col min="89" max="89" width="7.21875" style="1" bestFit="1" customWidth="1"/>
    <col min="90" max="92" width="7" style="1" bestFit="1" customWidth="1"/>
    <col min="93" max="93" width="7.5546875" style="1" bestFit="1" customWidth="1"/>
    <col min="94" max="94" width="7" style="1" bestFit="1" customWidth="1"/>
    <col min="95" max="95" width="7.5546875" style="1" bestFit="1" customWidth="1"/>
    <col min="96" max="96" width="80.88671875" style="1" bestFit="1" customWidth="1"/>
    <col min="97" max="98" width="10.88671875" style="1" bestFit="1" customWidth="1"/>
    <col min="99" max="100" width="9.21875" style="1" bestFit="1" customWidth="1"/>
    <col min="101" max="101" width="10.44140625" style="1" bestFit="1" customWidth="1"/>
    <col min="102" max="104" width="8.5546875" style="1" bestFit="1" customWidth="1"/>
    <col min="105" max="105" width="5.88671875" style="1" bestFit="1" customWidth="1"/>
    <col min="106" max="107" width="9.21875" style="1" bestFit="1" customWidth="1"/>
    <col min="108" max="108" width="5.6640625" style="1" bestFit="1" customWidth="1"/>
    <col min="109" max="111" width="19.44140625" style="1" bestFit="1" customWidth="1"/>
    <col min="112" max="115" width="20" style="1" bestFit="1" customWidth="1"/>
    <col min="116" max="116" width="19.44140625" style="1" bestFit="1" customWidth="1"/>
    <col min="117" max="117" width="11.109375" style="1" bestFit="1" customWidth="1"/>
    <col min="118" max="118" width="14.44140625" style="1" bestFit="1" customWidth="1"/>
    <col min="119" max="119" width="10" style="1" bestFit="1" customWidth="1"/>
    <col min="120" max="120" width="10.33203125" style="1" bestFit="1" customWidth="1"/>
    <col min="121" max="121" width="9.44140625" style="1" bestFit="1" customWidth="1"/>
    <col min="122" max="122" width="12.6640625" style="1" bestFit="1" customWidth="1"/>
    <col min="123" max="123" width="15.5546875" style="1" bestFit="1" customWidth="1"/>
    <col min="124" max="124" width="9.44140625" style="1" bestFit="1" customWidth="1"/>
    <col min="125" max="125" width="7.6640625" style="1" bestFit="1" customWidth="1"/>
    <col min="126" max="126" width="6.88671875" style="1" bestFit="1" customWidth="1"/>
    <col min="127" max="127" width="5.88671875" style="1" bestFit="1" customWidth="1"/>
    <col min="128" max="130" width="6.109375" style="1" bestFit="1" customWidth="1"/>
    <col min="131" max="132" width="9.44140625" style="1" bestFit="1" customWidth="1"/>
    <col min="133" max="133" width="5.88671875" style="1" bestFit="1" customWidth="1"/>
    <col min="134" max="135" width="17.44140625" style="1" bestFit="1" customWidth="1"/>
    <col min="136" max="136" width="17.44140625" style="1" customWidth="1"/>
    <col min="137" max="137" width="17.44140625" style="1" bestFit="1" customWidth="1"/>
    <col min="138" max="16384" width="8.88671875" style="1"/>
  </cols>
  <sheetData>
    <row r="1" spans="1:109" ht="46.5" x14ac:dyDescent="0.25">
      <c r="A1" s="32" t="s">
        <v>323</v>
      </c>
    </row>
    <row r="6" spans="1:109" x14ac:dyDescent="0.25">
      <c r="A6" t="s">
        <v>83</v>
      </c>
      <c r="B6" t="s">
        <v>91</v>
      </c>
      <c r="C6" t="s">
        <v>46</v>
      </c>
      <c r="D6" t="s">
        <v>47</v>
      </c>
      <c r="E6" t="s">
        <v>142</v>
      </c>
      <c r="F6" t="s">
        <v>170</v>
      </c>
      <c r="G6" t="s">
        <v>171</v>
      </c>
      <c r="H6" t="s">
        <v>116</v>
      </c>
      <c r="I6" t="s">
        <v>182</v>
      </c>
      <c r="J6" t="s">
        <v>183</v>
      </c>
      <c r="K6" t="s">
        <v>184</v>
      </c>
      <c r="L6" t="s">
        <v>62</v>
      </c>
      <c r="M6" t="s">
        <v>321</v>
      </c>
      <c r="N6" t="s">
        <v>63</v>
      </c>
      <c r="O6" t="s">
        <v>72</v>
      </c>
      <c r="P6" t="s">
        <v>196</v>
      </c>
      <c r="Q6" t="s">
        <v>45</v>
      </c>
      <c r="R6" t="s">
        <v>95</v>
      </c>
      <c r="S6" t="s">
        <v>96</v>
      </c>
      <c r="T6" t="s">
        <v>48</v>
      </c>
      <c r="U6" t="s">
        <v>55</v>
      </c>
      <c r="V6" t="s">
        <v>56</v>
      </c>
      <c r="W6" t="s">
        <v>267</v>
      </c>
      <c r="X6" t="s">
        <v>50</v>
      </c>
      <c r="Y6" t="s">
        <v>97</v>
      </c>
      <c r="Z6" t="s">
        <v>52</v>
      </c>
      <c r="AA6" t="s">
        <v>243</v>
      </c>
      <c r="AB6" t="s">
        <v>197</v>
      </c>
      <c r="AC6" t="s">
        <v>53</v>
      </c>
      <c r="AD6" t="s">
        <v>54</v>
      </c>
      <c r="AE6" t="s">
        <v>57</v>
      </c>
      <c r="AF6" t="s">
        <v>58</v>
      </c>
      <c r="AG6" t="s">
        <v>92</v>
      </c>
      <c r="AH6" t="s">
        <v>43</v>
      </c>
      <c r="AI6" t="s">
        <v>44</v>
      </c>
      <c r="AJ6" t="s">
        <v>59</v>
      </c>
      <c r="AK6" t="s">
        <v>60</v>
      </c>
      <c r="AL6" t="s">
        <v>61</v>
      </c>
      <c r="AM6" t="s">
        <v>163</v>
      </c>
      <c r="AN6" t="s">
        <v>42</v>
      </c>
      <c r="AO6" t="s">
        <v>143</v>
      </c>
      <c r="AP6" t="s">
        <v>49</v>
      </c>
      <c r="AQ6" t="s">
        <v>566</v>
      </c>
      <c r="AR6" t="s">
        <v>181</v>
      </c>
      <c r="AS6" t="s">
        <v>40</v>
      </c>
      <c r="AT6" t="s">
        <v>94</v>
      </c>
      <c r="AU6" t="s">
        <v>185</v>
      </c>
      <c r="AV6" t="s">
        <v>515</v>
      </c>
      <c r="AW6" t="s">
        <v>98</v>
      </c>
      <c r="AX6" t="s">
        <v>99</v>
      </c>
      <c r="AY6" t="s">
        <v>64</v>
      </c>
      <c r="AZ6" t="s">
        <v>65</v>
      </c>
      <c r="BA6" t="s">
        <v>100</v>
      </c>
      <c r="BB6" t="s">
        <v>66</v>
      </c>
      <c r="BC6" t="s">
        <v>67</v>
      </c>
      <c r="BD6" t="s">
        <v>68</v>
      </c>
      <c r="BE6" t="s">
        <v>69</v>
      </c>
      <c r="BF6" t="s">
        <v>70</v>
      </c>
      <c r="BG6" t="s">
        <v>187</v>
      </c>
      <c r="BH6" t="s">
        <v>71</v>
      </c>
      <c r="BI6" t="s">
        <v>101</v>
      </c>
      <c r="BJ6" t="s">
        <v>186</v>
      </c>
      <c r="BK6" t="s">
        <v>73</v>
      </c>
      <c r="BL6" t="s">
        <v>74</v>
      </c>
      <c r="BM6" t="s">
        <v>75</v>
      </c>
      <c r="BN6" t="s">
        <v>76</v>
      </c>
      <c r="BO6" t="s">
        <v>77</v>
      </c>
      <c r="BP6" t="s">
        <v>102</v>
      </c>
      <c r="BQ6" t="s">
        <v>78</v>
      </c>
      <c r="BR6" t="s">
        <v>79</v>
      </c>
      <c r="BS6" t="s">
        <v>268</v>
      </c>
      <c r="BT6" t="s">
        <v>190</v>
      </c>
      <c r="BU6" t="s">
        <v>303</v>
      </c>
      <c r="BV6" t="s">
        <v>86</v>
      </c>
      <c r="BW6" t="s">
        <v>128</v>
      </c>
      <c r="BX6" t="s">
        <v>213</v>
      </c>
      <c r="BY6" t="s">
        <v>126</v>
      </c>
      <c r="BZ6" t="s">
        <v>113</v>
      </c>
      <c r="CA6" t="s">
        <v>119</v>
      </c>
      <c r="CB6" t="s">
        <v>144</v>
      </c>
      <c r="CC6" t="s">
        <v>179</v>
      </c>
      <c r="CD6" t="s">
        <v>992</v>
      </c>
      <c r="CE6" t="s">
        <v>87</v>
      </c>
      <c r="CF6" t="s">
        <v>122</v>
      </c>
      <c r="CG6" t="s">
        <v>789</v>
      </c>
      <c r="CH6" t="s">
        <v>790</v>
      </c>
      <c r="CI6" t="s">
        <v>88</v>
      </c>
      <c r="CJ6" t="s">
        <v>172</v>
      </c>
      <c r="CK6" t="s">
        <v>537</v>
      </c>
      <c r="CL6" t="s">
        <v>82</v>
      </c>
      <c r="CM6" t="s">
        <v>103</v>
      </c>
      <c r="CN6" t="s">
        <v>105</v>
      </c>
      <c r="CO6" t="s">
        <v>140</v>
      </c>
      <c r="CP6" t="s">
        <v>141</v>
      </c>
      <c r="CQ6" t="s">
        <v>174</v>
      </c>
      <c r="CR6" t="s">
        <v>234</v>
      </c>
      <c r="CS6" t="s">
        <v>152</v>
      </c>
      <c r="CT6" t="s">
        <v>151</v>
      </c>
      <c r="CU6" t="s">
        <v>135</v>
      </c>
      <c r="CV6" t="s">
        <v>134</v>
      </c>
      <c r="CW6" t="s">
        <v>85</v>
      </c>
      <c r="CX6" t="s">
        <v>51</v>
      </c>
      <c r="CY6" t="s">
        <v>132</v>
      </c>
      <c r="CZ6" t="s">
        <v>114</v>
      </c>
      <c r="DA6" t="s">
        <v>84</v>
      </c>
      <c r="DB6" t="s">
        <v>173</v>
      </c>
      <c r="DC6" t="s">
        <v>331</v>
      </c>
      <c r="DD6" t="s">
        <v>120</v>
      </c>
      <c r="DE6" t="s">
        <v>121</v>
      </c>
    </row>
    <row r="7" spans="1:109" x14ac:dyDescent="0.25">
      <c r="A7">
        <v>13</v>
      </c>
      <c r="B7" t="s">
        <v>972</v>
      </c>
      <c r="C7" t="s">
        <v>973</v>
      </c>
      <c r="D7" s="31">
        <v>45247</v>
      </c>
      <c r="E7" t="s">
        <v>6</v>
      </c>
      <c r="F7" t="s">
        <v>603</v>
      </c>
      <c r="G7" t="s">
        <v>603</v>
      </c>
      <c r="H7"/>
      <c r="I7"/>
      <c r="J7" t="s">
        <v>89</v>
      </c>
      <c r="K7" t="s">
        <v>89</v>
      </c>
      <c r="L7" t="s">
        <v>103</v>
      </c>
      <c r="M7" t="s">
        <v>979</v>
      </c>
      <c r="N7" t="s">
        <v>603</v>
      </c>
      <c r="O7" t="s">
        <v>89</v>
      </c>
      <c r="P7" t="s">
        <v>89</v>
      </c>
      <c r="Q7" t="s">
        <v>89</v>
      </c>
      <c r="R7" t="s">
        <v>89</v>
      </c>
      <c r="S7" t="s">
        <v>89</v>
      </c>
      <c r="T7" t="s">
        <v>89</v>
      </c>
      <c r="U7">
        <v>3.34</v>
      </c>
      <c r="V7" t="s">
        <v>89</v>
      </c>
      <c r="W7">
        <v>4.7</v>
      </c>
      <c r="X7" s="31">
        <v>46350</v>
      </c>
      <c r="Y7" t="s">
        <v>89</v>
      </c>
      <c r="Z7"/>
      <c r="AA7" t="s">
        <v>89</v>
      </c>
      <c r="AB7" t="s">
        <v>603</v>
      </c>
      <c r="AC7" t="s">
        <v>89</v>
      </c>
      <c r="AD7" t="s">
        <v>89</v>
      </c>
      <c r="AE7">
        <v>100</v>
      </c>
      <c r="AF7"/>
      <c r="AG7" t="s">
        <v>89</v>
      </c>
      <c r="AH7" t="s">
        <v>89</v>
      </c>
      <c r="AI7" t="s">
        <v>89</v>
      </c>
      <c r="AJ7"/>
      <c r="AK7"/>
      <c r="AL7"/>
      <c r="AM7" t="s">
        <v>89</v>
      </c>
      <c r="AN7" t="s">
        <v>89</v>
      </c>
      <c r="AO7" t="s">
        <v>89</v>
      </c>
      <c r="AP7" t="s">
        <v>89</v>
      </c>
      <c r="AQ7"/>
      <c r="AR7"/>
      <c r="AS7" t="s">
        <v>89</v>
      </c>
      <c r="AT7" t="s">
        <v>89</v>
      </c>
      <c r="AU7" t="s">
        <v>89</v>
      </c>
      <c r="AV7" t="s">
        <v>89</v>
      </c>
      <c r="AW7"/>
      <c r="AX7"/>
      <c r="AY7" s="31">
        <v>45254</v>
      </c>
      <c r="AZ7" s="31"/>
      <c r="BA7"/>
      <c r="BB7" t="s">
        <v>89</v>
      </c>
      <c r="BC7" s="31"/>
      <c r="BD7" t="s">
        <v>974</v>
      </c>
      <c r="BE7" t="s">
        <v>975</v>
      </c>
      <c r="BF7" s="31"/>
      <c r="BG7" t="s">
        <v>89</v>
      </c>
      <c r="BH7" s="31"/>
      <c r="BI7" t="s">
        <v>89</v>
      </c>
      <c r="BJ7" t="s">
        <v>89</v>
      </c>
      <c r="BK7" t="s">
        <v>89</v>
      </c>
      <c r="BL7" t="s">
        <v>89</v>
      </c>
      <c r="BM7" t="s">
        <v>89</v>
      </c>
      <c r="BN7" t="s">
        <v>89</v>
      </c>
      <c r="BO7" t="s">
        <v>89</v>
      </c>
      <c r="BP7" t="s">
        <v>89</v>
      </c>
      <c r="BQ7" t="s">
        <v>89</v>
      </c>
      <c r="BR7" t="s">
        <v>89</v>
      </c>
      <c r="BS7" t="s">
        <v>976</v>
      </c>
      <c r="BT7" s="31"/>
      <c r="BU7" t="s">
        <v>6</v>
      </c>
      <c r="BV7" t="s">
        <v>89</v>
      </c>
      <c r="BW7" t="s">
        <v>603</v>
      </c>
      <c r="BX7" t="s">
        <v>89</v>
      </c>
      <c r="BY7" s="31"/>
      <c r="BZ7"/>
      <c r="CA7" t="s">
        <v>977</v>
      </c>
      <c r="CB7" t="s">
        <v>977</v>
      </c>
      <c r="CC7" t="s">
        <v>89</v>
      </c>
      <c r="CD7" t="s">
        <v>565</v>
      </c>
      <c r="CE7" t="s">
        <v>603</v>
      </c>
      <c r="CF7" t="s">
        <v>89</v>
      </c>
      <c r="CG7" t="s">
        <v>89</v>
      </c>
      <c r="CH7" t="s">
        <v>89</v>
      </c>
      <c r="CI7" t="s">
        <v>89</v>
      </c>
      <c r="CJ7" t="s">
        <v>89</v>
      </c>
      <c r="CK7" t="s">
        <v>538</v>
      </c>
      <c r="CL7">
        <v>0.1371</v>
      </c>
      <c r="CM7">
        <v>1</v>
      </c>
      <c r="CN7">
        <v>1.0732999999999999</v>
      </c>
      <c r="CO7">
        <v>0.45800000000000002</v>
      </c>
      <c r="CP7">
        <v>3.34</v>
      </c>
      <c r="CQ7">
        <v>3.585</v>
      </c>
      <c r="CR7" t="s">
        <v>89</v>
      </c>
      <c r="CS7" t="s">
        <v>6</v>
      </c>
      <c r="CT7" t="s">
        <v>6</v>
      </c>
      <c r="CU7" t="s">
        <v>603</v>
      </c>
      <c r="CV7"/>
      <c r="CW7" t="s">
        <v>603</v>
      </c>
      <c r="CX7" t="s">
        <v>603</v>
      </c>
      <c r="CY7" t="s">
        <v>603</v>
      </c>
      <c r="CZ7" t="s">
        <v>980</v>
      </c>
      <c r="DA7" t="s">
        <v>131</v>
      </c>
      <c r="DB7" t="s">
        <v>89</v>
      </c>
      <c r="DC7" t="s">
        <v>6</v>
      </c>
      <c r="DD7" t="s">
        <v>89</v>
      </c>
      <c r="DE7" t="s">
        <v>978</v>
      </c>
    </row>
    <row r="8" spans="1:109" x14ac:dyDescent="0.25">
      <c r="A8">
        <v>12</v>
      </c>
      <c r="B8" t="s">
        <v>947</v>
      </c>
      <c r="C8" t="s">
        <v>948</v>
      </c>
      <c r="D8" s="31">
        <v>45247</v>
      </c>
      <c r="E8" t="s">
        <v>946</v>
      </c>
      <c r="F8" t="s">
        <v>89</v>
      </c>
      <c r="G8" t="s">
        <v>949</v>
      </c>
      <c r="H8"/>
      <c r="I8"/>
      <c r="J8" t="s">
        <v>89</v>
      </c>
      <c r="K8" t="s">
        <v>89</v>
      </c>
      <c r="L8" t="s">
        <v>82</v>
      </c>
      <c r="M8" t="s">
        <v>520</v>
      </c>
      <c r="N8" t="s">
        <v>950</v>
      </c>
      <c r="O8" t="s">
        <v>951</v>
      </c>
      <c r="P8" t="s">
        <v>952</v>
      </c>
      <c r="Q8" t="s">
        <v>953</v>
      </c>
      <c r="R8" t="s">
        <v>309</v>
      </c>
      <c r="S8" t="s">
        <v>309</v>
      </c>
      <c r="T8" t="s">
        <v>309</v>
      </c>
      <c r="U8">
        <v>1</v>
      </c>
      <c r="V8" t="s">
        <v>314</v>
      </c>
      <c r="W8">
        <v>6.48</v>
      </c>
      <c r="X8" s="31">
        <v>46350</v>
      </c>
      <c r="Y8" t="s">
        <v>954</v>
      </c>
      <c r="Z8"/>
      <c r="AA8" t="s">
        <v>312</v>
      </c>
      <c r="AB8" t="s">
        <v>311</v>
      </c>
      <c r="AC8" t="s">
        <v>89</v>
      </c>
      <c r="AD8" t="s">
        <v>310</v>
      </c>
      <c r="AE8">
        <v>100</v>
      </c>
      <c r="AF8"/>
      <c r="AG8" t="s">
        <v>955</v>
      </c>
      <c r="AH8" t="s">
        <v>956</v>
      </c>
      <c r="AI8" t="s">
        <v>89</v>
      </c>
      <c r="AJ8"/>
      <c r="AK8"/>
      <c r="AL8"/>
      <c r="AM8" t="s">
        <v>244</v>
      </c>
      <c r="AN8" t="s">
        <v>957</v>
      </c>
      <c r="AO8" t="s">
        <v>309</v>
      </c>
      <c r="AP8" t="s">
        <v>319</v>
      </c>
      <c r="AQ8" t="s">
        <v>3</v>
      </c>
      <c r="AR8" t="s">
        <v>521</v>
      </c>
      <c r="AS8" t="s">
        <v>308</v>
      </c>
      <c r="AT8" t="s">
        <v>316</v>
      </c>
      <c r="AU8" t="s">
        <v>958</v>
      </c>
      <c r="AV8" t="s">
        <v>959</v>
      </c>
      <c r="AW8">
        <v>1000</v>
      </c>
      <c r="AX8">
        <v>1</v>
      </c>
      <c r="AY8" s="31">
        <v>45254</v>
      </c>
      <c r="AZ8" s="31"/>
      <c r="BA8">
        <v>6.48</v>
      </c>
      <c r="BB8" t="s">
        <v>89</v>
      </c>
      <c r="BC8" s="31">
        <v>45436</v>
      </c>
      <c r="BD8" t="s">
        <v>947</v>
      </c>
      <c r="BE8" t="s">
        <v>89</v>
      </c>
      <c r="BF8" s="31">
        <v>45254</v>
      </c>
      <c r="BG8" t="s">
        <v>949</v>
      </c>
      <c r="BH8" s="31">
        <v>45254</v>
      </c>
      <c r="BI8" t="s">
        <v>960</v>
      </c>
      <c r="BJ8" t="s">
        <v>961</v>
      </c>
      <c r="BK8" t="s">
        <v>307</v>
      </c>
      <c r="BL8" t="s">
        <v>307</v>
      </c>
      <c r="BM8" t="s">
        <v>306</v>
      </c>
      <c r="BN8" t="s">
        <v>305</v>
      </c>
      <c r="BO8" t="s">
        <v>304</v>
      </c>
      <c r="BP8" t="s">
        <v>89</v>
      </c>
      <c r="BQ8" t="s">
        <v>115</v>
      </c>
      <c r="BR8" t="s">
        <v>89</v>
      </c>
      <c r="BS8" t="s">
        <v>198</v>
      </c>
      <c r="BT8" s="31"/>
      <c r="BU8" t="s">
        <v>6</v>
      </c>
      <c r="BV8" t="s">
        <v>21</v>
      </c>
      <c r="BW8" t="s">
        <v>6</v>
      </c>
      <c r="BX8" t="s">
        <v>89</v>
      </c>
      <c r="BY8" s="31"/>
      <c r="BZ8"/>
      <c r="CA8" t="s">
        <v>80</v>
      </c>
      <c r="CB8" t="s">
        <v>80</v>
      </c>
      <c r="CC8" t="s">
        <v>89</v>
      </c>
      <c r="CD8" t="s">
        <v>203</v>
      </c>
      <c r="CE8" t="s">
        <v>35</v>
      </c>
      <c r="CF8" t="s">
        <v>89</v>
      </c>
      <c r="CG8" t="s">
        <v>89</v>
      </c>
      <c r="CH8" t="s">
        <v>89</v>
      </c>
      <c r="CI8" t="s">
        <v>231</v>
      </c>
      <c r="CJ8" t="s">
        <v>89</v>
      </c>
      <c r="CK8" t="s">
        <v>538</v>
      </c>
      <c r="CL8">
        <v>1</v>
      </c>
      <c r="CM8">
        <v>7.2927999999999997</v>
      </c>
      <c r="CN8">
        <v>7.8305999999999996</v>
      </c>
      <c r="CO8">
        <v>1</v>
      </c>
      <c r="CP8">
        <v>7.2930000000000001</v>
      </c>
      <c r="CQ8">
        <v>7.8310000000000004</v>
      </c>
      <c r="CR8" t="s">
        <v>89</v>
      </c>
      <c r="CS8" t="s">
        <v>6</v>
      </c>
      <c r="CT8" t="s">
        <v>6</v>
      </c>
      <c r="CU8" t="s">
        <v>111</v>
      </c>
      <c r="CV8"/>
      <c r="CW8" t="s">
        <v>89</v>
      </c>
      <c r="CX8" t="s">
        <v>949</v>
      </c>
      <c r="CY8" t="s">
        <v>89</v>
      </c>
      <c r="CZ8" t="s">
        <v>949</v>
      </c>
      <c r="DA8" t="s">
        <v>131</v>
      </c>
      <c r="DB8" t="s">
        <v>89</v>
      </c>
      <c r="DC8" t="s">
        <v>6</v>
      </c>
      <c r="DD8" t="s">
        <v>89</v>
      </c>
      <c r="DE8" t="s">
        <v>962</v>
      </c>
    </row>
    <row r="9" spans="1:109" x14ac:dyDescent="0.25">
      <c r="A9">
        <v>11</v>
      </c>
      <c r="B9" t="s">
        <v>638</v>
      </c>
      <c r="C9" t="s">
        <v>639</v>
      </c>
      <c r="D9" s="31">
        <v>45246</v>
      </c>
      <c r="E9" t="s">
        <v>637</v>
      </c>
      <c r="F9" t="s">
        <v>89</v>
      </c>
      <c r="G9" t="s">
        <v>641</v>
      </c>
      <c r="H9"/>
      <c r="I9"/>
      <c r="J9" t="s">
        <v>89</v>
      </c>
      <c r="K9" t="s">
        <v>89</v>
      </c>
      <c r="L9" t="s">
        <v>103</v>
      </c>
      <c r="M9" t="s">
        <v>775</v>
      </c>
      <c r="N9" t="s">
        <v>642</v>
      </c>
      <c r="O9" t="s">
        <v>643</v>
      </c>
      <c r="P9" t="s">
        <v>644</v>
      </c>
      <c r="Q9" t="s">
        <v>645</v>
      </c>
      <c r="R9" t="s">
        <v>309</v>
      </c>
      <c r="S9" t="s">
        <v>309</v>
      </c>
      <c r="T9" t="s">
        <v>309</v>
      </c>
      <c r="U9">
        <v>6.08</v>
      </c>
      <c r="V9" t="s">
        <v>314</v>
      </c>
      <c r="W9">
        <v>4.9000000000000004</v>
      </c>
      <c r="X9" s="31">
        <v>46349</v>
      </c>
      <c r="Y9" t="s">
        <v>646</v>
      </c>
      <c r="Z9"/>
      <c r="AA9" t="s">
        <v>312</v>
      </c>
      <c r="AB9" t="s">
        <v>647</v>
      </c>
      <c r="AC9" t="s">
        <v>648</v>
      </c>
      <c r="AD9" t="s">
        <v>310</v>
      </c>
      <c r="AE9">
        <v>100</v>
      </c>
      <c r="AF9"/>
      <c r="AG9" t="s">
        <v>649</v>
      </c>
      <c r="AH9" t="s">
        <v>650</v>
      </c>
      <c r="AI9" t="s">
        <v>89</v>
      </c>
      <c r="AJ9"/>
      <c r="AK9"/>
      <c r="AL9"/>
      <c r="AM9" t="s">
        <v>244</v>
      </c>
      <c r="AN9" t="s">
        <v>651</v>
      </c>
      <c r="AO9" t="s">
        <v>309</v>
      </c>
      <c r="AP9" t="s">
        <v>587</v>
      </c>
      <c r="AQ9" t="s">
        <v>1</v>
      </c>
      <c r="AR9" t="s">
        <v>521</v>
      </c>
      <c r="AS9" t="s">
        <v>652</v>
      </c>
      <c r="AT9" t="s">
        <v>316</v>
      </c>
      <c r="AU9" t="s">
        <v>653</v>
      </c>
      <c r="AV9" t="s">
        <v>654</v>
      </c>
      <c r="AW9">
        <v>10000</v>
      </c>
      <c r="AX9">
        <v>6.08</v>
      </c>
      <c r="AY9" s="31">
        <v>45253</v>
      </c>
      <c r="AZ9" s="31"/>
      <c r="BA9">
        <v>4.9000000000000004</v>
      </c>
      <c r="BB9" t="s">
        <v>89</v>
      </c>
      <c r="BC9" s="31">
        <v>45435</v>
      </c>
      <c r="BD9" t="s">
        <v>638</v>
      </c>
      <c r="BE9" t="s">
        <v>89</v>
      </c>
      <c r="BF9" s="31">
        <v>45253</v>
      </c>
      <c r="BG9" t="s">
        <v>641</v>
      </c>
      <c r="BH9" s="31">
        <v>45253</v>
      </c>
      <c r="BI9" t="s">
        <v>561</v>
      </c>
      <c r="BJ9" t="s">
        <v>655</v>
      </c>
      <c r="BK9" t="s">
        <v>307</v>
      </c>
      <c r="BL9" t="s">
        <v>307</v>
      </c>
      <c r="BM9" t="s">
        <v>306</v>
      </c>
      <c r="BN9" t="s">
        <v>305</v>
      </c>
      <c r="BO9" t="s">
        <v>304</v>
      </c>
      <c r="BP9" t="s">
        <v>89</v>
      </c>
      <c r="BQ9" t="s">
        <v>115</v>
      </c>
      <c r="BR9" t="s">
        <v>89</v>
      </c>
      <c r="BS9" t="s">
        <v>198</v>
      </c>
      <c r="BT9" s="31"/>
      <c r="BU9" t="s">
        <v>6</v>
      </c>
      <c r="BV9" t="s">
        <v>10</v>
      </c>
      <c r="BW9" t="s">
        <v>6</v>
      </c>
      <c r="BX9" t="s">
        <v>89</v>
      </c>
      <c r="BY9" s="31"/>
      <c r="BZ9"/>
      <c r="CA9" t="s">
        <v>80</v>
      </c>
      <c r="CB9" t="s">
        <v>80</v>
      </c>
      <c r="CC9" t="s">
        <v>89</v>
      </c>
      <c r="CD9" t="s">
        <v>203</v>
      </c>
      <c r="CE9" t="s">
        <v>108</v>
      </c>
      <c r="CF9" t="s">
        <v>89</v>
      </c>
      <c r="CG9" t="s">
        <v>89</v>
      </c>
      <c r="CH9" t="s">
        <v>648</v>
      </c>
      <c r="CI9" t="s">
        <v>769</v>
      </c>
      <c r="CJ9" t="s">
        <v>89</v>
      </c>
      <c r="CK9" t="s">
        <v>538</v>
      </c>
      <c r="CL9">
        <v>0.1371</v>
      </c>
      <c r="CM9">
        <v>1</v>
      </c>
      <c r="CN9">
        <v>1.0732999999999999</v>
      </c>
      <c r="CO9">
        <v>0.83399999999999996</v>
      </c>
      <c r="CP9">
        <v>6.08</v>
      </c>
      <c r="CQ9">
        <v>6.5259999999999998</v>
      </c>
      <c r="CR9" t="s">
        <v>89</v>
      </c>
      <c r="CS9" t="s">
        <v>6</v>
      </c>
      <c r="CT9" t="s">
        <v>6</v>
      </c>
      <c r="CU9" t="s">
        <v>111</v>
      </c>
      <c r="CV9"/>
      <c r="CW9" t="s">
        <v>89</v>
      </c>
      <c r="CX9" t="s">
        <v>641</v>
      </c>
      <c r="CY9" t="s">
        <v>89</v>
      </c>
      <c r="CZ9" t="s">
        <v>641</v>
      </c>
      <c r="DA9" t="s">
        <v>131</v>
      </c>
      <c r="DB9" t="s">
        <v>89</v>
      </c>
      <c r="DC9" t="s">
        <v>6</v>
      </c>
      <c r="DD9" t="s">
        <v>89</v>
      </c>
      <c r="DE9" t="s">
        <v>656</v>
      </c>
    </row>
    <row r="10" spans="1:109" x14ac:dyDescent="0.25">
      <c r="A10">
        <v>10</v>
      </c>
      <c r="B10" t="s">
        <v>657</v>
      </c>
      <c r="C10" t="s">
        <v>658</v>
      </c>
      <c r="D10" s="31">
        <v>45246</v>
      </c>
      <c r="E10" t="s">
        <v>637</v>
      </c>
      <c r="F10" t="s">
        <v>89</v>
      </c>
      <c r="G10" t="s">
        <v>89</v>
      </c>
      <c r="H10"/>
      <c r="I10"/>
      <c r="J10" t="s">
        <v>89</v>
      </c>
      <c r="K10" t="s">
        <v>89</v>
      </c>
      <c r="L10" t="s">
        <v>103</v>
      </c>
      <c r="M10" t="s">
        <v>520</v>
      </c>
      <c r="N10" t="s">
        <v>659</v>
      </c>
      <c r="O10" t="s">
        <v>660</v>
      </c>
      <c r="P10" t="s">
        <v>661</v>
      </c>
      <c r="Q10" t="s">
        <v>662</v>
      </c>
      <c r="R10" t="s">
        <v>309</v>
      </c>
      <c r="S10" t="s">
        <v>309</v>
      </c>
      <c r="T10" t="s">
        <v>309</v>
      </c>
      <c r="U10">
        <v>1.9</v>
      </c>
      <c r="V10" t="s">
        <v>314</v>
      </c>
      <c r="W10">
        <v>7.7</v>
      </c>
      <c r="X10" s="31">
        <v>46346</v>
      </c>
      <c r="Y10" t="s">
        <v>317</v>
      </c>
      <c r="Z10"/>
      <c r="AA10" t="s">
        <v>312</v>
      </c>
      <c r="AB10" t="s">
        <v>311</v>
      </c>
      <c r="AC10" t="s">
        <v>89</v>
      </c>
      <c r="AD10" t="s">
        <v>310</v>
      </c>
      <c r="AE10">
        <v>100</v>
      </c>
      <c r="AF10"/>
      <c r="AG10" t="s">
        <v>663</v>
      </c>
      <c r="AH10" t="s">
        <v>664</v>
      </c>
      <c r="AI10" t="s">
        <v>963</v>
      </c>
      <c r="AJ10"/>
      <c r="AK10"/>
      <c r="AL10"/>
      <c r="AM10" t="s">
        <v>244</v>
      </c>
      <c r="AN10" t="s">
        <v>334</v>
      </c>
      <c r="AO10" t="s">
        <v>309</v>
      </c>
      <c r="AP10" t="s">
        <v>89</v>
      </c>
      <c r="AQ10" t="s">
        <v>1</v>
      </c>
      <c r="AR10" t="s">
        <v>964</v>
      </c>
      <c r="AS10" t="s">
        <v>308</v>
      </c>
      <c r="AT10" t="s">
        <v>316</v>
      </c>
      <c r="AU10" t="s">
        <v>89</v>
      </c>
      <c r="AV10" t="s">
        <v>665</v>
      </c>
      <c r="AW10">
        <v>10000</v>
      </c>
      <c r="AX10">
        <v>1.9</v>
      </c>
      <c r="AY10" s="31">
        <v>45250</v>
      </c>
      <c r="AZ10" s="31"/>
      <c r="BA10">
        <v>7.7</v>
      </c>
      <c r="BB10" t="s">
        <v>89</v>
      </c>
      <c r="BC10" s="31">
        <v>45432</v>
      </c>
      <c r="BD10" t="s">
        <v>657</v>
      </c>
      <c r="BE10" t="s">
        <v>89</v>
      </c>
      <c r="BF10" s="31">
        <v>45250</v>
      </c>
      <c r="BG10" t="s">
        <v>89</v>
      </c>
      <c r="BH10" s="31">
        <v>45250</v>
      </c>
      <c r="BI10" t="s">
        <v>89</v>
      </c>
      <c r="BJ10" t="s">
        <v>666</v>
      </c>
      <c r="BK10" t="s">
        <v>307</v>
      </c>
      <c r="BL10" t="s">
        <v>307</v>
      </c>
      <c r="BM10" t="s">
        <v>306</v>
      </c>
      <c r="BN10" t="s">
        <v>305</v>
      </c>
      <c r="BO10" t="s">
        <v>304</v>
      </c>
      <c r="BP10" t="s">
        <v>89</v>
      </c>
      <c r="BQ10" t="s">
        <v>115</v>
      </c>
      <c r="BR10" t="s">
        <v>89</v>
      </c>
      <c r="BS10" t="s">
        <v>198</v>
      </c>
      <c r="BT10" s="31"/>
      <c r="BU10" t="s">
        <v>6</v>
      </c>
      <c r="BV10" t="s">
        <v>18</v>
      </c>
      <c r="BW10" t="s">
        <v>6</v>
      </c>
      <c r="BX10" t="s">
        <v>89</v>
      </c>
      <c r="BY10" s="31"/>
      <c r="BZ10"/>
      <c r="CA10" t="s">
        <v>80</v>
      </c>
      <c r="CB10" t="s">
        <v>80</v>
      </c>
      <c r="CC10" t="s">
        <v>89</v>
      </c>
      <c r="CD10" t="s">
        <v>203</v>
      </c>
      <c r="CE10" t="s">
        <v>35</v>
      </c>
      <c r="CF10" t="s">
        <v>89</v>
      </c>
      <c r="CG10" t="s">
        <v>89</v>
      </c>
      <c r="CH10" t="s">
        <v>89</v>
      </c>
      <c r="CI10" t="s">
        <v>204</v>
      </c>
      <c r="CJ10" t="s">
        <v>89</v>
      </c>
      <c r="CK10" t="s">
        <v>538</v>
      </c>
      <c r="CL10">
        <v>0.1371</v>
      </c>
      <c r="CM10">
        <v>1</v>
      </c>
      <c r="CN10">
        <v>1.0732999999999999</v>
      </c>
      <c r="CO10">
        <v>0.26</v>
      </c>
      <c r="CP10">
        <v>1.9</v>
      </c>
      <c r="CQ10">
        <v>2.0390000000000001</v>
      </c>
      <c r="CR10" t="s">
        <v>89</v>
      </c>
      <c r="CS10" t="s">
        <v>6</v>
      </c>
      <c r="CT10" t="s">
        <v>6</v>
      </c>
      <c r="CU10" t="s">
        <v>111</v>
      </c>
      <c r="CV10"/>
      <c r="CW10" t="s">
        <v>89</v>
      </c>
      <c r="CX10" t="s">
        <v>89</v>
      </c>
      <c r="CY10" t="s">
        <v>89</v>
      </c>
      <c r="CZ10" t="s">
        <v>770</v>
      </c>
      <c r="DA10" t="s">
        <v>131</v>
      </c>
      <c r="DB10" t="s">
        <v>89</v>
      </c>
      <c r="DC10" t="s">
        <v>6</v>
      </c>
      <c r="DD10" t="s">
        <v>89</v>
      </c>
      <c r="DE10" t="s">
        <v>667</v>
      </c>
    </row>
    <row r="11" spans="1:109" x14ac:dyDescent="0.25">
      <c r="A11">
        <v>9</v>
      </c>
      <c r="B11" t="s">
        <v>668</v>
      </c>
      <c r="C11" t="s">
        <v>669</v>
      </c>
      <c r="D11" s="31">
        <v>45246</v>
      </c>
      <c r="E11" t="s">
        <v>563</v>
      </c>
      <c r="F11" t="s">
        <v>670</v>
      </c>
      <c r="G11" t="s">
        <v>671</v>
      </c>
      <c r="H11"/>
      <c r="I11"/>
      <c r="J11" t="s">
        <v>89</v>
      </c>
      <c r="K11" t="s">
        <v>89</v>
      </c>
      <c r="L11" t="s">
        <v>82</v>
      </c>
      <c r="M11" t="s">
        <v>520</v>
      </c>
      <c r="N11" t="s">
        <v>672</v>
      </c>
      <c r="O11" t="s">
        <v>673</v>
      </c>
      <c r="P11" t="s">
        <v>674</v>
      </c>
      <c r="Q11" t="s">
        <v>675</v>
      </c>
      <c r="R11" t="s">
        <v>569</v>
      </c>
      <c r="S11" t="s">
        <v>570</v>
      </c>
      <c r="T11" t="s">
        <v>965</v>
      </c>
      <c r="U11">
        <v>3</v>
      </c>
      <c r="V11" t="s">
        <v>581</v>
      </c>
      <c r="W11">
        <v>1.6890000000000001</v>
      </c>
      <c r="X11" s="31">
        <v>45985</v>
      </c>
      <c r="Y11" t="s">
        <v>313</v>
      </c>
      <c r="Z11">
        <v>42</v>
      </c>
      <c r="AA11" t="s">
        <v>312</v>
      </c>
      <c r="AB11" t="s">
        <v>311</v>
      </c>
      <c r="AC11" t="s">
        <v>89</v>
      </c>
      <c r="AD11" t="s">
        <v>310</v>
      </c>
      <c r="AE11">
        <v>100</v>
      </c>
      <c r="AF11"/>
      <c r="AG11" t="s">
        <v>318</v>
      </c>
      <c r="AH11" t="s">
        <v>676</v>
      </c>
      <c r="AI11" t="s">
        <v>89</v>
      </c>
      <c r="AJ11"/>
      <c r="AK11"/>
      <c r="AL11"/>
      <c r="AM11" t="s">
        <v>244</v>
      </c>
      <c r="AN11" t="s">
        <v>290</v>
      </c>
      <c r="AO11" t="s">
        <v>965</v>
      </c>
      <c r="AP11" t="s">
        <v>319</v>
      </c>
      <c r="AQ11" t="s">
        <v>81</v>
      </c>
      <c r="AR11" t="s">
        <v>966</v>
      </c>
      <c r="AS11" t="s">
        <v>571</v>
      </c>
      <c r="AT11" t="s">
        <v>315</v>
      </c>
      <c r="AU11" t="s">
        <v>677</v>
      </c>
      <c r="AV11" t="s">
        <v>678</v>
      </c>
      <c r="AW11">
        <v>1000</v>
      </c>
      <c r="AX11">
        <v>3</v>
      </c>
      <c r="AY11" s="31">
        <v>45254</v>
      </c>
      <c r="AZ11" s="31"/>
      <c r="BA11">
        <v>1.6890000000000001</v>
      </c>
      <c r="BB11" t="s">
        <v>993</v>
      </c>
      <c r="BC11" s="31">
        <v>45346</v>
      </c>
      <c r="BD11" t="s">
        <v>679</v>
      </c>
      <c r="BE11" t="s">
        <v>89</v>
      </c>
      <c r="BF11" s="31">
        <v>45254</v>
      </c>
      <c r="BG11" t="s">
        <v>680</v>
      </c>
      <c r="BH11" s="31">
        <v>45254</v>
      </c>
      <c r="BI11" t="s">
        <v>89</v>
      </c>
      <c r="BJ11" t="s">
        <v>681</v>
      </c>
      <c r="BK11" t="s">
        <v>307</v>
      </c>
      <c r="BL11" t="s">
        <v>307</v>
      </c>
      <c r="BM11" t="s">
        <v>573</v>
      </c>
      <c r="BN11" t="s">
        <v>305</v>
      </c>
      <c r="BO11" t="s">
        <v>304</v>
      </c>
      <c r="BP11" t="s">
        <v>89</v>
      </c>
      <c r="BQ11" t="s">
        <v>574</v>
      </c>
      <c r="BR11" t="s">
        <v>89</v>
      </c>
      <c r="BS11" t="s">
        <v>198</v>
      </c>
      <c r="BT11" s="31"/>
      <c r="BU11" t="s">
        <v>6</v>
      </c>
      <c r="BV11" t="s">
        <v>11</v>
      </c>
      <c r="BW11" t="s">
        <v>6</v>
      </c>
      <c r="BX11" t="s">
        <v>89</v>
      </c>
      <c r="BY11" s="31"/>
      <c r="BZ11">
        <v>58</v>
      </c>
      <c r="CA11" t="s">
        <v>598</v>
      </c>
      <c r="CB11" t="s">
        <v>291</v>
      </c>
      <c r="CC11" t="s">
        <v>89</v>
      </c>
      <c r="CD11" t="s">
        <v>203</v>
      </c>
      <c r="CE11" t="s">
        <v>35</v>
      </c>
      <c r="CF11" t="s">
        <v>89</v>
      </c>
      <c r="CG11" t="s">
        <v>89</v>
      </c>
      <c r="CH11" t="s">
        <v>89</v>
      </c>
      <c r="CI11" t="s">
        <v>215</v>
      </c>
      <c r="CJ11" t="s">
        <v>997</v>
      </c>
      <c r="CK11" t="s">
        <v>538</v>
      </c>
      <c r="CL11">
        <v>1</v>
      </c>
      <c r="CM11">
        <v>7.2927999999999997</v>
      </c>
      <c r="CN11">
        <v>7.8305999999999996</v>
      </c>
      <c r="CO11">
        <v>3</v>
      </c>
      <c r="CP11">
        <v>21.878</v>
      </c>
      <c r="CQ11">
        <v>23.492000000000001</v>
      </c>
      <c r="CR11" t="s">
        <v>89</v>
      </c>
      <c r="CS11" t="s">
        <v>6</v>
      </c>
      <c r="CT11" t="s">
        <v>130</v>
      </c>
      <c r="CU11" t="s">
        <v>544</v>
      </c>
      <c r="CV11">
        <v>42</v>
      </c>
      <c r="CW11" t="s">
        <v>771</v>
      </c>
      <c r="CX11" t="s">
        <v>772</v>
      </c>
      <c r="CY11" t="s">
        <v>772</v>
      </c>
      <c r="CZ11" t="s">
        <v>772</v>
      </c>
      <c r="DA11" t="s">
        <v>330</v>
      </c>
      <c r="DB11" t="s">
        <v>89</v>
      </c>
      <c r="DC11" t="s">
        <v>582</v>
      </c>
      <c r="DD11" t="s">
        <v>89</v>
      </c>
      <c r="DE11" t="s">
        <v>682</v>
      </c>
    </row>
    <row r="12" spans="1:109" x14ac:dyDescent="0.25">
      <c r="A12">
        <v>8</v>
      </c>
      <c r="B12" t="s">
        <v>668</v>
      </c>
      <c r="C12" t="s">
        <v>683</v>
      </c>
      <c r="D12" s="31">
        <v>45246</v>
      </c>
      <c r="E12" t="s">
        <v>563</v>
      </c>
      <c r="F12" t="s">
        <v>600</v>
      </c>
      <c r="G12" t="s">
        <v>684</v>
      </c>
      <c r="H12">
        <v>19</v>
      </c>
      <c r="I12">
        <v>21</v>
      </c>
      <c r="J12" t="s">
        <v>688</v>
      </c>
      <c r="K12" t="s">
        <v>689</v>
      </c>
      <c r="L12" t="s">
        <v>105</v>
      </c>
      <c r="M12" t="s">
        <v>520</v>
      </c>
      <c r="N12" t="s">
        <v>89</v>
      </c>
      <c r="O12" t="s">
        <v>685</v>
      </c>
      <c r="P12" t="s">
        <v>686</v>
      </c>
      <c r="Q12" t="s">
        <v>687</v>
      </c>
      <c r="R12" t="s">
        <v>569</v>
      </c>
      <c r="S12" t="s">
        <v>570</v>
      </c>
      <c r="T12" t="s">
        <v>965</v>
      </c>
      <c r="U12">
        <v>15</v>
      </c>
      <c r="V12" t="s">
        <v>581</v>
      </c>
      <c r="W12">
        <v>4.75</v>
      </c>
      <c r="X12" s="31">
        <v>45985</v>
      </c>
      <c r="Y12" t="s">
        <v>313</v>
      </c>
      <c r="Z12">
        <v>35</v>
      </c>
      <c r="AA12" t="s">
        <v>312</v>
      </c>
      <c r="AB12" t="s">
        <v>311</v>
      </c>
      <c r="AC12" t="s">
        <v>89</v>
      </c>
      <c r="AD12" t="s">
        <v>310</v>
      </c>
      <c r="AE12">
        <v>100</v>
      </c>
      <c r="AF12"/>
      <c r="AG12" t="s">
        <v>318</v>
      </c>
      <c r="AH12" t="s">
        <v>676</v>
      </c>
      <c r="AI12" t="s">
        <v>89</v>
      </c>
      <c r="AJ12"/>
      <c r="AK12">
        <v>1</v>
      </c>
      <c r="AL12">
        <v>0.16</v>
      </c>
      <c r="AM12" t="s">
        <v>244</v>
      </c>
      <c r="AN12" t="s">
        <v>290</v>
      </c>
      <c r="AO12" t="s">
        <v>965</v>
      </c>
      <c r="AP12" t="s">
        <v>319</v>
      </c>
      <c r="AQ12" t="s">
        <v>81</v>
      </c>
      <c r="AR12" t="s">
        <v>966</v>
      </c>
      <c r="AS12" t="s">
        <v>571</v>
      </c>
      <c r="AT12" t="s">
        <v>315</v>
      </c>
      <c r="AU12" t="s">
        <v>677</v>
      </c>
      <c r="AV12" t="s">
        <v>678</v>
      </c>
      <c r="AW12">
        <v>500000</v>
      </c>
      <c r="AX12">
        <v>15</v>
      </c>
      <c r="AY12" s="31">
        <v>45254</v>
      </c>
      <c r="AZ12" s="31"/>
      <c r="BA12">
        <v>4.75</v>
      </c>
      <c r="BB12" t="s">
        <v>89</v>
      </c>
      <c r="BC12" s="31">
        <v>45436</v>
      </c>
      <c r="BD12" t="s">
        <v>679</v>
      </c>
      <c r="BE12" t="s">
        <v>89</v>
      </c>
      <c r="BF12" s="31">
        <v>45254</v>
      </c>
      <c r="BG12" t="s">
        <v>690</v>
      </c>
      <c r="BH12" s="31">
        <v>45254</v>
      </c>
      <c r="BI12" t="s">
        <v>89</v>
      </c>
      <c r="BJ12" t="s">
        <v>691</v>
      </c>
      <c r="BK12" t="s">
        <v>307</v>
      </c>
      <c r="BL12" t="s">
        <v>307</v>
      </c>
      <c r="BM12" t="s">
        <v>306</v>
      </c>
      <c r="BN12" t="s">
        <v>305</v>
      </c>
      <c r="BO12" t="s">
        <v>304</v>
      </c>
      <c r="BP12" t="s">
        <v>89</v>
      </c>
      <c r="BQ12" t="s">
        <v>115</v>
      </c>
      <c r="BR12" t="s">
        <v>89</v>
      </c>
      <c r="BS12" t="s">
        <v>198</v>
      </c>
      <c r="BT12" s="31"/>
      <c r="BU12" t="s">
        <v>6</v>
      </c>
      <c r="BV12" t="s">
        <v>11</v>
      </c>
      <c r="BW12" t="s">
        <v>6</v>
      </c>
      <c r="BX12" t="s">
        <v>89</v>
      </c>
      <c r="BY12" s="31"/>
      <c r="BZ12"/>
      <c r="CA12" t="s">
        <v>598</v>
      </c>
      <c r="CB12" t="s">
        <v>291</v>
      </c>
      <c r="CC12" t="s">
        <v>89</v>
      </c>
      <c r="CD12" t="s">
        <v>203</v>
      </c>
      <c r="CE12" t="s">
        <v>35</v>
      </c>
      <c r="CF12" t="s">
        <v>89</v>
      </c>
      <c r="CG12" t="s">
        <v>89</v>
      </c>
      <c r="CH12" t="s">
        <v>89</v>
      </c>
      <c r="CI12" t="s">
        <v>215</v>
      </c>
      <c r="CJ12" t="s">
        <v>997</v>
      </c>
      <c r="CK12" t="s">
        <v>538</v>
      </c>
      <c r="CL12">
        <v>0.12770000000000001</v>
      </c>
      <c r="CM12">
        <v>0.93159999999999998</v>
      </c>
      <c r="CN12">
        <v>1</v>
      </c>
      <c r="CO12">
        <v>1.9159999999999999</v>
      </c>
      <c r="CP12">
        <v>13.974</v>
      </c>
      <c r="CQ12">
        <v>15</v>
      </c>
      <c r="CR12" t="s">
        <v>995</v>
      </c>
      <c r="CS12" t="s">
        <v>6</v>
      </c>
      <c r="CT12" t="s">
        <v>6</v>
      </c>
      <c r="CU12" t="s">
        <v>111</v>
      </c>
      <c r="CV12">
        <v>35</v>
      </c>
      <c r="CW12" t="s">
        <v>601</v>
      </c>
      <c r="CX12" t="s">
        <v>690</v>
      </c>
      <c r="CY12" t="s">
        <v>89</v>
      </c>
      <c r="CZ12" t="s">
        <v>690</v>
      </c>
      <c r="DA12" t="s">
        <v>330</v>
      </c>
      <c r="DB12" t="s">
        <v>89</v>
      </c>
      <c r="DC12" t="s">
        <v>6</v>
      </c>
      <c r="DD12" t="s">
        <v>89</v>
      </c>
      <c r="DE12" t="s">
        <v>692</v>
      </c>
    </row>
    <row r="13" spans="1:109" x14ac:dyDescent="0.25">
      <c r="A13">
        <v>7</v>
      </c>
      <c r="B13" t="s">
        <v>505</v>
      </c>
      <c r="C13" t="s">
        <v>693</v>
      </c>
      <c r="D13" s="31">
        <v>45246</v>
      </c>
      <c r="E13" t="s">
        <v>994</v>
      </c>
      <c r="F13" t="s">
        <v>89</v>
      </c>
      <c r="G13" t="s">
        <v>89</v>
      </c>
      <c r="H13"/>
      <c r="I13"/>
      <c r="J13" t="s">
        <v>89</v>
      </c>
      <c r="K13" t="s">
        <v>89</v>
      </c>
      <c r="L13" t="s">
        <v>82</v>
      </c>
      <c r="M13" t="s">
        <v>520</v>
      </c>
      <c r="N13" t="s">
        <v>506</v>
      </c>
      <c r="O13" t="s">
        <v>89</v>
      </c>
      <c r="P13" t="s">
        <v>694</v>
      </c>
      <c r="Q13" t="s">
        <v>695</v>
      </c>
      <c r="R13" t="s">
        <v>309</v>
      </c>
      <c r="S13" t="s">
        <v>309</v>
      </c>
      <c r="T13" t="s">
        <v>309</v>
      </c>
      <c r="U13">
        <v>2E-3</v>
      </c>
      <c r="V13" t="s">
        <v>696</v>
      </c>
      <c r="W13">
        <v>5</v>
      </c>
      <c r="X13" s="31">
        <v>45429</v>
      </c>
      <c r="Y13" t="s">
        <v>106</v>
      </c>
      <c r="Z13"/>
      <c r="AA13" t="s">
        <v>312</v>
      </c>
      <c r="AB13" t="s">
        <v>333</v>
      </c>
      <c r="AC13" t="s">
        <v>89</v>
      </c>
      <c r="AD13" t="s">
        <v>697</v>
      </c>
      <c r="AE13">
        <v>100</v>
      </c>
      <c r="AF13"/>
      <c r="AG13" t="s">
        <v>318</v>
      </c>
      <c r="AH13" t="s">
        <v>89</v>
      </c>
      <c r="AI13" t="s">
        <v>89</v>
      </c>
      <c r="AJ13"/>
      <c r="AK13"/>
      <c r="AL13"/>
      <c r="AM13" t="s">
        <v>244</v>
      </c>
      <c r="AN13" t="s">
        <v>334</v>
      </c>
      <c r="AO13" t="s">
        <v>309</v>
      </c>
      <c r="AP13" t="s">
        <v>89</v>
      </c>
      <c r="AQ13" t="s">
        <v>81</v>
      </c>
      <c r="AR13" t="s">
        <v>967</v>
      </c>
      <c r="AS13" t="s">
        <v>308</v>
      </c>
      <c r="AT13" t="s">
        <v>316</v>
      </c>
      <c r="AU13" t="s">
        <v>89</v>
      </c>
      <c r="AV13" t="s">
        <v>507</v>
      </c>
      <c r="AW13">
        <v>200000</v>
      </c>
      <c r="AX13">
        <v>2E-3</v>
      </c>
      <c r="AY13" s="31">
        <v>45247</v>
      </c>
      <c r="AZ13" s="31"/>
      <c r="BA13">
        <v>5</v>
      </c>
      <c r="BB13" t="s">
        <v>89</v>
      </c>
      <c r="BC13" s="31">
        <v>45429</v>
      </c>
      <c r="BD13" t="s">
        <v>508</v>
      </c>
      <c r="BE13" t="s">
        <v>505</v>
      </c>
      <c r="BF13" s="31">
        <v>45247</v>
      </c>
      <c r="BG13" t="s">
        <v>89</v>
      </c>
      <c r="BH13" s="31">
        <v>45247</v>
      </c>
      <c r="BI13" t="s">
        <v>89</v>
      </c>
      <c r="BJ13" t="s">
        <v>506</v>
      </c>
      <c r="BK13" t="s">
        <v>307</v>
      </c>
      <c r="BL13" t="s">
        <v>307</v>
      </c>
      <c r="BM13" t="s">
        <v>306</v>
      </c>
      <c r="BN13" t="s">
        <v>305</v>
      </c>
      <c r="BO13" t="s">
        <v>304</v>
      </c>
      <c r="BP13" t="s">
        <v>89</v>
      </c>
      <c r="BQ13" t="s">
        <v>89</v>
      </c>
      <c r="BR13" t="s">
        <v>89</v>
      </c>
      <c r="BS13" t="s">
        <v>198</v>
      </c>
      <c r="BT13" s="31"/>
      <c r="BU13" t="s">
        <v>6</v>
      </c>
      <c r="BV13" t="s">
        <v>11</v>
      </c>
      <c r="BW13" t="s">
        <v>6</v>
      </c>
      <c r="BX13" t="s">
        <v>89</v>
      </c>
      <c r="BY13" s="31"/>
      <c r="BZ13"/>
      <c r="CA13" t="s">
        <v>80</v>
      </c>
      <c r="CB13" t="s">
        <v>80</v>
      </c>
      <c r="CC13" t="s">
        <v>89</v>
      </c>
      <c r="CD13" t="s">
        <v>302</v>
      </c>
      <c r="CE13" t="s">
        <v>37</v>
      </c>
      <c r="CF13" t="s">
        <v>89</v>
      </c>
      <c r="CG13" t="s">
        <v>89</v>
      </c>
      <c r="CH13" t="s">
        <v>89</v>
      </c>
      <c r="CI13" t="s">
        <v>106</v>
      </c>
      <c r="CJ13" t="s">
        <v>89</v>
      </c>
      <c r="CK13" t="s">
        <v>538</v>
      </c>
      <c r="CL13">
        <v>1</v>
      </c>
      <c r="CM13">
        <v>7.2927999999999997</v>
      </c>
      <c r="CN13">
        <v>7.8305999999999996</v>
      </c>
      <c r="CO13">
        <v>2E-3</v>
      </c>
      <c r="CP13">
        <v>1.4999999999999999E-2</v>
      </c>
      <c r="CQ13">
        <v>1.6E-2</v>
      </c>
      <c r="CR13" t="s">
        <v>89</v>
      </c>
      <c r="CS13" t="s">
        <v>6</v>
      </c>
      <c r="CT13" t="s">
        <v>6</v>
      </c>
      <c r="CU13" t="s">
        <v>111</v>
      </c>
      <c r="CV13"/>
      <c r="CW13" t="s">
        <v>89</v>
      </c>
      <c r="CX13" t="s">
        <v>89</v>
      </c>
      <c r="CY13" t="s">
        <v>89</v>
      </c>
      <c r="CZ13" t="s">
        <v>583</v>
      </c>
      <c r="DA13" t="s">
        <v>776</v>
      </c>
      <c r="DB13" t="s">
        <v>777</v>
      </c>
      <c r="DC13" t="s">
        <v>6</v>
      </c>
      <c r="DD13" t="s">
        <v>89</v>
      </c>
      <c r="DE13" t="s">
        <v>698</v>
      </c>
    </row>
    <row r="14" spans="1:109" x14ac:dyDescent="0.25">
      <c r="A14">
        <v>6</v>
      </c>
      <c r="B14" t="s">
        <v>699</v>
      </c>
      <c r="C14" t="s">
        <v>700</v>
      </c>
      <c r="D14" s="31">
        <v>45245</v>
      </c>
      <c r="E14" t="s">
        <v>994</v>
      </c>
      <c r="F14" t="s">
        <v>89</v>
      </c>
      <c r="G14" t="s">
        <v>89</v>
      </c>
      <c r="H14"/>
      <c r="I14"/>
      <c r="J14" t="s">
        <v>89</v>
      </c>
      <c r="K14" t="s">
        <v>89</v>
      </c>
      <c r="L14" t="s">
        <v>103</v>
      </c>
      <c r="M14" t="s">
        <v>520</v>
      </c>
      <c r="N14" t="s">
        <v>701</v>
      </c>
      <c r="O14" t="s">
        <v>89</v>
      </c>
      <c r="P14" t="s">
        <v>702</v>
      </c>
      <c r="Q14" t="s">
        <v>703</v>
      </c>
      <c r="R14" t="s">
        <v>704</v>
      </c>
      <c r="S14" t="s">
        <v>570</v>
      </c>
      <c r="T14" t="s">
        <v>309</v>
      </c>
      <c r="U14">
        <v>5.2</v>
      </c>
      <c r="V14" t="s">
        <v>314</v>
      </c>
      <c r="W14">
        <v>3.35</v>
      </c>
      <c r="X14" s="31">
        <v>46348</v>
      </c>
      <c r="Y14" t="s">
        <v>106</v>
      </c>
      <c r="Z14"/>
      <c r="AA14" t="s">
        <v>312</v>
      </c>
      <c r="AB14" t="s">
        <v>333</v>
      </c>
      <c r="AC14" t="s">
        <v>89</v>
      </c>
      <c r="AD14" t="s">
        <v>310</v>
      </c>
      <c r="AE14"/>
      <c r="AF14"/>
      <c r="AG14" t="s">
        <v>575</v>
      </c>
      <c r="AH14" t="s">
        <v>576</v>
      </c>
      <c r="AI14" t="s">
        <v>89</v>
      </c>
      <c r="AJ14"/>
      <c r="AK14"/>
      <c r="AL14"/>
      <c r="AM14" t="s">
        <v>244</v>
      </c>
      <c r="AN14" t="s">
        <v>620</v>
      </c>
      <c r="AO14" t="s">
        <v>309</v>
      </c>
      <c r="AP14" t="s">
        <v>319</v>
      </c>
      <c r="AQ14" t="s">
        <v>81</v>
      </c>
      <c r="AR14" t="s">
        <v>964</v>
      </c>
      <c r="AS14" t="s">
        <v>705</v>
      </c>
      <c r="AT14" t="s">
        <v>315</v>
      </c>
      <c r="AU14" t="s">
        <v>89</v>
      </c>
      <c r="AV14" t="s">
        <v>706</v>
      </c>
      <c r="AW14">
        <v>10000</v>
      </c>
      <c r="AX14">
        <v>5.2</v>
      </c>
      <c r="AY14" s="31">
        <v>45252</v>
      </c>
      <c r="AZ14" s="31"/>
      <c r="BA14">
        <v>3.35</v>
      </c>
      <c r="BB14" t="s">
        <v>89</v>
      </c>
      <c r="BC14" s="31">
        <v>45434</v>
      </c>
      <c r="BD14" t="s">
        <v>707</v>
      </c>
      <c r="BE14" t="s">
        <v>699</v>
      </c>
      <c r="BF14" s="31">
        <v>45252</v>
      </c>
      <c r="BG14" t="s">
        <v>89</v>
      </c>
      <c r="BH14" s="31">
        <v>45252</v>
      </c>
      <c r="BI14" t="s">
        <v>89</v>
      </c>
      <c r="BJ14" t="s">
        <v>701</v>
      </c>
      <c r="BK14" t="s">
        <v>307</v>
      </c>
      <c r="BL14" t="s">
        <v>307</v>
      </c>
      <c r="BM14" t="s">
        <v>306</v>
      </c>
      <c r="BN14" t="s">
        <v>305</v>
      </c>
      <c r="BO14" t="s">
        <v>304</v>
      </c>
      <c r="BP14" t="s">
        <v>89</v>
      </c>
      <c r="BQ14" t="s">
        <v>115</v>
      </c>
      <c r="BR14" t="s">
        <v>89</v>
      </c>
      <c r="BS14" t="s">
        <v>198</v>
      </c>
      <c r="BT14" s="31"/>
      <c r="BU14" t="s">
        <v>6</v>
      </c>
      <c r="BV14" t="s">
        <v>12</v>
      </c>
      <c r="BW14" t="s">
        <v>6</v>
      </c>
      <c r="BX14" t="s">
        <v>89</v>
      </c>
      <c r="BY14" s="31"/>
      <c r="BZ14"/>
      <c r="CA14" t="s">
        <v>80</v>
      </c>
      <c r="CB14" t="s">
        <v>708</v>
      </c>
      <c r="CC14" t="s">
        <v>89</v>
      </c>
      <c r="CD14" t="s">
        <v>565</v>
      </c>
      <c r="CE14" t="s">
        <v>37</v>
      </c>
      <c r="CF14" t="s">
        <v>89</v>
      </c>
      <c r="CG14" t="s">
        <v>89</v>
      </c>
      <c r="CH14" t="s">
        <v>89</v>
      </c>
      <c r="CI14" t="s">
        <v>106</v>
      </c>
      <c r="CJ14" t="s">
        <v>89</v>
      </c>
      <c r="CK14" t="s">
        <v>538</v>
      </c>
      <c r="CL14">
        <v>0.1371</v>
      </c>
      <c r="CM14">
        <v>1</v>
      </c>
      <c r="CN14">
        <v>1.0732999999999999</v>
      </c>
      <c r="CO14">
        <v>0.71299999999999997</v>
      </c>
      <c r="CP14">
        <v>5.2</v>
      </c>
      <c r="CQ14">
        <v>5.5810000000000004</v>
      </c>
      <c r="CR14" t="s">
        <v>89</v>
      </c>
      <c r="CS14" t="s">
        <v>6</v>
      </c>
      <c r="CT14" t="s">
        <v>6</v>
      </c>
      <c r="CU14" t="s">
        <v>111</v>
      </c>
      <c r="CV14"/>
      <c r="CW14" t="s">
        <v>89</v>
      </c>
      <c r="CX14" t="s">
        <v>89</v>
      </c>
      <c r="CY14" t="s">
        <v>89</v>
      </c>
      <c r="CZ14" t="s">
        <v>778</v>
      </c>
      <c r="DA14" t="s">
        <v>131</v>
      </c>
      <c r="DB14" t="s">
        <v>89</v>
      </c>
      <c r="DC14" t="s">
        <v>6</v>
      </c>
      <c r="DD14" t="s">
        <v>89</v>
      </c>
      <c r="DE14" t="s">
        <v>709</v>
      </c>
    </row>
    <row r="15" spans="1:109" x14ac:dyDescent="0.25">
      <c r="A15">
        <v>5</v>
      </c>
      <c r="B15" t="s">
        <v>329</v>
      </c>
      <c r="C15" t="s">
        <v>710</v>
      </c>
      <c r="D15" s="31">
        <v>45245</v>
      </c>
      <c r="E15" t="s">
        <v>994</v>
      </c>
      <c r="F15" t="s">
        <v>89</v>
      </c>
      <c r="G15" t="s">
        <v>89</v>
      </c>
      <c r="H15"/>
      <c r="I15"/>
      <c r="J15" t="s">
        <v>89</v>
      </c>
      <c r="K15" t="s">
        <v>89</v>
      </c>
      <c r="L15" t="s">
        <v>103</v>
      </c>
      <c r="M15" t="s">
        <v>520</v>
      </c>
      <c r="N15" t="s">
        <v>711</v>
      </c>
      <c r="O15" t="s">
        <v>89</v>
      </c>
      <c r="P15" t="s">
        <v>712</v>
      </c>
      <c r="Q15" t="s">
        <v>713</v>
      </c>
      <c r="R15" t="s">
        <v>309</v>
      </c>
      <c r="S15" t="s">
        <v>309</v>
      </c>
      <c r="T15" t="s">
        <v>309</v>
      </c>
      <c r="U15">
        <v>0.86299999999999999</v>
      </c>
      <c r="V15" t="s">
        <v>714</v>
      </c>
      <c r="W15">
        <v>0</v>
      </c>
      <c r="X15" s="31">
        <v>46303</v>
      </c>
      <c r="Y15" t="s">
        <v>106</v>
      </c>
      <c r="Z15"/>
      <c r="AA15" t="s">
        <v>312</v>
      </c>
      <c r="AB15" t="s">
        <v>333</v>
      </c>
      <c r="AC15" t="s">
        <v>89</v>
      </c>
      <c r="AD15" t="s">
        <v>310</v>
      </c>
      <c r="AE15">
        <v>99.35</v>
      </c>
      <c r="AF15"/>
      <c r="AG15" t="s">
        <v>579</v>
      </c>
      <c r="AH15" t="s">
        <v>580</v>
      </c>
      <c r="AI15" t="s">
        <v>89</v>
      </c>
      <c r="AJ15"/>
      <c r="AK15"/>
      <c r="AL15"/>
      <c r="AM15" t="s">
        <v>244</v>
      </c>
      <c r="AN15" t="s">
        <v>334</v>
      </c>
      <c r="AO15" t="s">
        <v>309</v>
      </c>
      <c r="AP15" t="s">
        <v>89</v>
      </c>
      <c r="AQ15" t="s">
        <v>81</v>
      </c>
      <c r="AR15" t="s">
        <v>968</v>
      </c>
      <c r="AS15" t="s">
        <v>308</v>
      </c>
      <c r="AT15" t="s">
        <v>316</v>
      </c>
      <c r="AU15" t="s">
        <v>89</v>
      </c>
      <c r="AV15" t="s">
        <v>715</v>
      </c>
      <c r="AW15">
        <v>100000</v>
      </c>
      <c r="AX15">
        <v>0.86299999999999999</v>
      </c>
      <c r="AY15" s="31">
        <v>45251</v>
      </c>
      <c r="AZ15" s="31">
        <v>45251</v>
      </c>
      <c r="BA15">
        <v>0</v>
      </c>
      <c r="BB15" t="s">
        <v>89</v>
      </c>
      <c r="BC15" s="31">
        <v>45384</v>
      </c>
      <c r="BD15" t="s">
        <v>716</v>
      </c>
      <c r="BE15" t="s">
        <v>329</v>
      </c>
      <c r="BF15" s="31">
        <v>45251</v>
      </c>
      <c r="BG15" t="s">
        <v>89</v>
      </c>
      <c r="BH15" s="31">
        <v>45251</v>
      </c>
      <c r="BI15" t="s">
        <v>89</v>
      </c>
      <c r="BJ15" t="s">
        <v>711</v>
      </c>
      <c r="BK15" t="s">
        <v>307</v>
      </c>
      <c r="BL15" t="s">
        <v>307</v>
      </c>
      <c r="BM15" t="s">
        <v>717</v>
      </c>
      <c r="BN15" t="s">
        <v>305</v>
      </c>
      <c r="BO15" t="s">
        <v>718</v>
      </c>
      <c r="BP15" t="s">
        <v>89</v>
      </c>
      <c r="BQ15" t="s">
        <v>115</v>
      </c>
      <c r="BR15" t="s">
        <v>89</v>
      </c>
      <c r="BS15" t="s">
        <v>198</v>
      </c>
      <c r="BT15" s="31"/>
      <c r="BU15" t="s">
        <v>6</v>
      </c>
      <c r="BV15" t="s">
        <v>125</v>
      </c>
      <c r="BW15" t="s">
        <v>6</v>
      </c>
      <c r="BX15" t="s">
        <v>89</v>
      </c>
      <c r="BY15" s="31"/>
      <c r="BZ15"/>
      <c r="CA15" t="s">
        <v>80</v>
      </c>
      <c r="CB15" t="s">
        <v>719</v>
      </c>
      <c r="CC15" t="s">
        <v>89</v>
      </c>
      <c r="CD15" t="s">
        <v>565</v>
      </c>
      <c r="CE15" t="s">
        <v>37</v>
      </c>
      <c r="CF15" t="s">
        <v>89</v>
      </c>
      <c r="CG15" t="s">
        <v>89</v>
      </c>
      <c r="CH15" t="s">
        <v>89</v>
      </c>
      <c r="CI15" t="s">
        <v>106</v>
      </c>
      <c r="CJ15" t="s">
        <v>89</v>
      </c>
      <c r="CK15" t="s">
        <v>538</v>
      </c>
      <c r="CL15">
        <v>0.1371</v>
      </c>
      <c r="CM15">
        <v>1</v>
      </c>
      <c r="CN15">
        <v>1.0732999999999999</v>
      </c>
      <c r="CO15">
        <v>0.11799999999999999</v>
      </c>
      <c r="CP15">
        <v>0.86299999999999999</v>
      </c>
      <c r="CQ15">
        <v>0.92600000000000005</v>
      </c>
      <c r="CR15" t="s">
        <v>89</v>
      </c>
      <c r="CS15" t="s">
        <v>6</v>
      </c>
      <c r="CT15" t="s">
        <v>6</v>
      </c>
      <c r="CU15" t="s">
        <v>111</v>
      </c>
      <c r="CV15"/>
      <c r="CW15" t="s">
        <v>89</v>
      </c>
      <c r="CX15" t="s">
        <v>89</v>
      </c>
      <c r="CY15" t="s">
        <v>89</v>
      </c>
      <c r="CZ15" t="s">
        <v>111</v>
      </c>
      <c r="DA15" t="s">
        <v>779</v>
      </c>
      <c r="DB15" t="s">
        <v>89</v>
      </c>
      <c r="DC15" t="s">
        <v>6</v>
      </c>
      <c r="DD15" t="s">
        <v>89</v>
      </c>
      <c r="DE15" t="s">
        <v>720</v>
      </c>
    </row>
    <row r="16" spans="1:109" x14ac:dyDescent="0.25">
      <c r="A16">
        <v>4</v>
      </c>
      <c r="B16" t="s">
        <v>668</v>
      </c>
      <c r="C16" t="s">
        <v>721</v>
      </c>
      <c r="D16" s="31">
        <v>45245</v>
      </c>
      <c r="E16" t="s">
        <v>242</v>
      </c>
      <c r="F16" t="s">
        <v>722</v>
      </c>
      <c r="G16" t="s">
        <v>723</v>
      </c>
      <c r="H16"/>
      <c r="I16"/>
      <c r="J16" t="s">
        <v>89</v>
      </c>
      <c r="K16" t="s">
        <v>89</v>
      </c>
      <c r="L16" t="s">
        <v>82</v>
      </c>
      <c r="M16" t="s">
        <v>780</v>
      </c>
      <c r="N16" t="s">
        <v>724</v>
      </c>
      <c r="O16" t="s">
        <v>725</v>
      </c>
      <c r="P16" t="s">
        <v>726</v>
      </c>
      <c r="Q16" t="s">
        <v>727</v>
      </c>
      <c r="R16" t="s">
        <v>569</v>
      </c>
      <c r="S16" t="s">
        <v>570</v>
      </c>
      <c r="T16" t="s">
        <v>309</v>
      </c>
      <c r="U16">
        <v>3</v>
      </c>
      <c r="V16" t="s">
        <v>314</v>
      </c>
      <c r="W16">
        <v>5.9554999999999998</v>
      </c>
      <c r="X16" s="31">
        <v>46348</v>
      </c>
      <c r="Y16" t="s">
        <v>728</v>
      </c>
      <c r="Z16">
        <v>45</v>
      </c>
      <c r="AA16" t="s">
        <v>312</v>
      </c>
      <c r="AB16" t="s">
        <v>311</v>
      </c>
      <c r="AC16" t="s">
        <v>89</v>
      </c>
      <c r="AD16" t="s">
        <v>310</v>
      </c>
      <c r="AE16">
        <v>100</v>
      </c>
      <c r="AF16"/>
      <c r="AG16" t="s">
        <v>318</v>
      </c>
      <c r="AH16" t="s">
        <v>676</v>
      </c>
      <c r="AI16" t="s">
        <v>89</v>
      </c>
      <c r="AJ16"/>
      <c r="AK16"/>
      <c r="AL16"/>
      <c r="AM16" t="s">
        <v>244</v>
      </c>
      <c r="AN16" t="s">
        <v>290</v>
      </c>
      <c r="AO16" t="s">
        <v>309</v>
      </c>
      <c r="AP16" t="s">
        <v>319</v>
      </c>
      <c r="AQ16" t="s">
        <v>81</v>
      </c>
      <c r="AR16" t="s">
        <v>964</v>
      </c>
      <c r="AS16" t="s">
        <v>571</v>
      </c>
      <c r="AT16" t="s">
        <v>315</v>
      </c>
      <c r="AU16" t="s">
        <v>729</v>
      </c>
      <c r="AV16" t="s">
        <v>678</v>
      </c>
      <c r="AW16">
        <v>1000</v>
      </c>
      <c r="AX16">
        <v>3</v>
      </c>
      <c r="AY16" s="31">
        <v>45252</v>
      </c>
      <c r="AZ16" s="31"/>
      <c r="BA16">
        <v>5.9554999999999998</v>
      </c>
      <c r="BB16" t="s">
        <v>730</v>
      </c>
      <c r="BC16" s="31">
        <v>45344</v>
      </c>
      <c r="BD16" t="s">
        <v>731</v>
      </c>
      <c r="BE16" t="s">
        <v>89</v>
      </c>
      <c r="BF16" s="31">
        <v>45252</v>
      </c>
      <c r="BG16" t="s">
        <v>572</v>
      </c>
      <c r="BH16" s="31">
        <v>45252</v>
      </c>
      <c r="BI16" t="s">
        <v>89</v>
      </c>
      <c r="BJ16" t="s">
        <v>732</v>
      </c>
      <c r="BK16" t="s">
        <v>307</v>
      </c>
      <c r="BL16" t="s">
        <v>307</v>
      </c>
      <c r="BM16" t="s">
        <v>573</v>
      </c>
      <c r="BN16" t="s">
        <v>305</v>
      </c>
      <c r="BO16" t="s">
        <v>304</v>
      </c>
      <c r="BP16" t="s">
        <v>89</v>
      </c>
      <c r="BQ16" t="s">
        <v>574</v>
      </c>
      <c r="BR16" t="s">
        <v>89</v>
      </c>
      <c r="BS16" t="s">
        <v>198</v>
      </c>
      <c r="BT16" s="31"/>
      <c r="BU16" t="s">
        <v>6</v>
      </c>
      <c r="BV16" t="s">
        <v>11</v>
      </c>
      <c r="BW16" t="s">
        <v>6</v>
      </c>
      <c r="BX16" t="s">
        <v>89</v>
      </c>
      <c r="BY16" s="31"/>
      <c r="BZ16">
        <v>60</v>
      </c>
      <c r="CA16" t="s">
        <v>598</v>
      </c>
      <c r="CB16" t="s">
        <v>291</v>
      </c>
      <c r="CC16" t="s">
        <v>89</v>
      </c>
      <c r="CD16" t="s">
        <v>203</v>
      </c>
      <c r="CE16" t="s">
        <v>35</v>
      </c>
      <c r="CF16" t="s">
        <v>89</v>
      </c>
      <c r="CG16" t="s">
        <v>89</v>
      </c>
      <c r="CH16" t="s">
        <v>89</v>
      </c>
      <c r="CI16" t="s">
        <v>773</v>
      </c>
      <c r="CJ16" t="s">
        <v>998</v>
      </c>
      <c r="CK16" t="s">
        <v>538</v>
      </c>
      <c r="CL16">
        <v>1</v>
      </c>
      <c r="CM16">
        <v>7.2927999999999997</v>
      </c>
      <c r="CN16">
        <v>7.8305999999999996</v>
      </c>
      <c r="CO16">
        <v>3</v>
      </c>
      <c r="CP16">
        <v>21.878</v>
      </c>
      <c r="CQ16">
        <v>23.492000000000001</v>
      </c>
      <c r="CR16" t="s">
        <v>89</v>
      </c>
      <c r="CS16" t="s">
        <v>6</v>
      </c>
      <c r="CT16" t="s">
        <v>130</v>
      </c>
      <c r="CU16" t="s">
        <v>544</v>
      </c>
      <c r="CV16">
        <v>45</v>
      </c>
      <c r="CW16" t="s">
        <v>293</v>
      </c>
      <c r="CX16" t="s">
        <v>292</v>
      </c>
      <c r="CY16" t="s">
        <v>292</v>
      </c>
      <c r="CZ16" t="s">
        <v>292</v>
      </c>
      <c r="DA16" t="s">
        <v>131</v>
      </c>
      <c r="DB16" t="s">
        <v>89</v>
      </c>
      <c r="DC16" t="s">
        <v>582</v>
      </c>
      <c r="DD16" t="s">
        <v>504</v>
      </c>
      <c r="DE16" t="s">
        <v>734</v>
      </c>
    </row>
    <row r="17" spans="1:109" x14ac:dyDescent="0.25">
      <c r="A17">
        <v>3</v>
      </c>
      <c r="B17" t="s">
        <v>736</v>
      </c>
      <c r="C17" t="s">
        <v>737</v>
      </c>
      <c r="D17" s="31">
        <v>45244</v>
      </c>
      <c r="E17" t="s">
        <v>735</v>
      </c>
      <c r="F17" t="s">
        <v>738</v>
      </c>
      <c r="G17" t="s">
        <v>739</v>
      </c>
      <c r="H17"/>
      <c r="I17"/>
      <c r="J17" t="s">
        <v>89</v>
      </c>
      <c r="K17" t="s">
        <v>89</v>
      </c>
      <c r="L17" t="s">
        <v>82</v>
      </c>
      <c r="M17" t="s">
        <v>520</v>
      </c>
      <c r="N17" t="s">
        <v>740</v>
      </c>
      <c r="O17" t="s">
        <v>741</v>
      </c>
      <c r="P17" t="s">
        <v>742</v>
      </c>
      <c r="Q17" t="s">
        <v>743</v>
      </c>
      <c r="R17" t="s">
        <v>309</v>
      </c>
      <c r="S17" t="s">
        <v>309</v>
      </c>
      <c r="T17" t="s">
        <v>309</v>
      </c>
      <c r="U17">
        <v>2.1</v>
      </c>
      <c r="V17" t="s">
        <v>562</v>
      </c>
      <c r="W17">
        <v>6.7</v>
      </c>
      <c r="X17" s="31">
        <v>45614</v>
      </c>
      <c r="Y17" t="s">
        <v>313</v>
      </c>
      <c r="Z17">
        <v>40</v>
      </c>
      <c r="AA17" t="s">
        <v>312</v>
      </c>
      <c r="AB17" t="s">
        <v>333</v>
      </c>
      <c r="AC17" t="s">
        <v>89</v>
      </c>
      <c r="AD17" t="s">
        <v>310</v>
      </c>
      <c r="AE17">
        <v>100</v>
      </c>
      <c r="AF17"/>
      <c r="AG17" t="s">
        <v>599</v>
      </c>
      <c r="AH17" t="s">
        <v>744</v>
      </c>
      <c r="AI17" t="s">
        <v>89</v>
      </c>
      <c r="AJ17"/>
      <c r="AK17"/>
      <c r="AL17"/>
      <c r="AM17" t="s">
        <v>244</v>
      </c>
      <c r="AN17" t="s">
        <v>745</v>
      </c>
      <c r="AO17" t="s">
        <v>309</v>
      </c>
      <c r="AP17" t="s">
        <v>319</v>
      </c>
      <c r="AQ17" t="s">
        <v>1</v>
      </c>
      <c r="AR17" t="s">
        <v>969</v>
      </c>
      <c r="AS17" t="s">
        <v>308</v>
      </c>
      <c r="AT17" t="s">
        <v>315</v>
      </c>
      <c r="AU17" t="s">
        <v>746</v>
      </c>
      <c r="AV17" t="s">
        <v>747</v>
      </c>
      <c r="AW17">
        <v>1000</v>
      </c>
      <c r="AX17">
        <v>2.1</v>
      </c>
      <c r="AY17" s="31">
        <v>45250</v>
      </c>
      <c r="AZ17" s="31"/>
      <c r="BA17">
        <v>6.7</v>
      </c>
      <c r="BB17" t="s">
        <v>89</v>
      </c>
      <c r="BC17" s="31">
        <v>45432</v>
      </c>
      <c r="BD17" t="s">
        <v>748</v>
      </c>
      <c r="BE17" t="s">
        <v>736</v>
      </c>
      <c r="BF17" s="31">
        <v>45250</v>
      </c>
      <c r="BG17" t="s">
        <v>749</v>
      </c>
      <c r="BH17" s="31">
        <v>45250</v>
      </c>
      <c r="BI17" t="s">
        <v>89</v>
      </c>
      <c r="BJ17" t="s">
        <v>750</v>
      </c>
      <c r="BK17" t="s">
        <v>307</v>
      </c>
      <c r="BL17" t="s">
        <v>307</v>
      </c>
      <c r="BM17" t="s">
        <v>306</v>
      </c>
      <c r="BN17" t="s">
        <v>305</v>
      </c>
      <c r="BO17" t="s">
        <v>304</v>
      </c>
      <c r="BP17" t="s">
        <v>89</v>
      </c>
      <c r="BQ17" t="s">
        <v>115</v>
      </c>
      <c r="BR17" t="s">
        <v>89</v>
      </c>
      <c r="BS17" t="s">
        <v>198</v>
      </c>
      <c r="BT17" s="31"/>
      <c r="BU17" t="s">
        <v>6</v>
      </c>
      <c r="BV17" t="s">
        <v>9</v>
      </c>
      <c r="BW17" t="s">
        <v>129</v>
      </c>
      <c r="BX17" t="s">
        <v>89</v>
      </c>
      <c r="BY17" s="31"/>
      <c r="BZ17"/>
      <c r="CA17" t="s">
        <v>751</v>
      </c>
      <c r="CB17" t="s">
        <v>751</v>
      </c>
      <c r="CC17" t="s">
        <v>89</v>
      </c>
      <c r="CD17" t="s">
        <v>302</v>
      </c>
      <c r="CE17" t="s">
        <v>37</v>
      </c>
      <c r="CF17" t="s">
        <v>89</v>
      </c>
      <c r="CG17" t="s">
        <v>89</v>
      </c>
      <c r="CH17" t="s">
        <v>89</v>
      </c>
      <c r="CI17" t="s">
        <v>215</v>
      </c>
      <c r="CJ17" t="s">
        <v>89</v>
      </c>
      <c r="CK17" t="s">
        <v>538</v>
      </c>
      <c r="CL17">
        <v>1</v>
      </c>
      <c r="CM17">
        <v>7.2927999999999997</v>
      </c>
      <c r="CN17">
        <v>7.8305999999999996</v>
      </c>
      <c r="CO17">
        <v>2.1</v>
      </c>
      <c r="CP17">
        <v>15.315</v>
      </c>
      <c r="CQ17">
        <v>16.443999999999999</v>
      </c>
      <c r="CR17" t="s">
        <v>89</v>
      </c>
      <c r="CS17" t="s">
        <v>6</v>
      </c>
      <c r="CT17" t="s">
        <v>129</v>
      </c>
      <c r="CU17" t="s">
        <v>111</v>
      </c>
      <c r="CV17">
        <v>40</v>
      </c>
      <c r="CW17" t="s">
        <v>774</v>
      </c>
      <c r="CX17" t="s">
        <v>749</v>
      </c>
      <c r="CY17" t="s">
        <v>89</v>
      </c>
      <c r="CZ17" t="s">
        <v>749</v>
      </c>
      <c r="DA17" t="s">
        <v>550</v>
      </c>
      <c r="DB17" t="s">
        <v>564</v>
      </c>
      <c r="DC17" t="s">
        <v>6</v>
      </c>
      <c r="DD17" t="s">
        <v>89</v>
      </c>
      <c r="DE17" t="s">
        <v>752</v>
      </c>
    </row>
    <row r="18" spans="1:109" x14ac:dyDescent="0.25">
      <c r="A18">
        <v>2</v>
      </c>
      <c r="B18" t="s">
        <v>505</v>
      </c>
      <c r="C18" t="s">
        <v>753</v>
      </c>
      <c r="D18" s="31">
        <v>45244</v>
      </c>
      <c r="E18" t="s">
        <v>994</v>
      </c>
      <c r="F18" t="s">
        <v>89</v>
      </c>
      <c r="G18" t="s">
        <v>89</v>
      </c>
      <c r="H18"/>
      <c r="I18"/>
      <c r="J18" t="s">
        <v>89</v>
      </c>
      <c r="K18" t="s">
        <v>89</v>
      </c>
      <c r="L18" t="s">
        <v>82</v>
      </c>
      <c r="M18" t="s">
        <v>520</v>
      </c>
      <c r="N18" t="s">
        <v>506</v>
      </c>
      <c r="O18" t="s">
        <v>89</v>
      </c>
      <c r="P18" t="s">
        <v>754</v>
      </c>
      <c r="Q18" t="s">
        <v>755</v>
      </c>
      <c r="R18" t="s">
        <v>309</v>
      </c>
      <c r="S18" t="s">
        <v>309</v>
      </c>
      <c r="T18" t="s">
        <v>309</v>
      </c>
      <c r="U18">
        <v>0.05</v>
      </c>
      <c r="V18" t="s">
        <v>756</v>
      </c>
      <c r="W18">
        <v>5.8</v>
      </c>
      <c r="X18" s="31">
        <v>45275</v>
      </c>
      <c r="Y18" t="s">
        <v>106</v>
      </c>
      <c r="Z18"/>
      <c r="AA18" t="s">
        <v>312</v>
      </c>
      <c r="AB18" t="s">
        <v>333</v>
      </c>
      <c r="AC18" t="s">
        <v>89</v>
      </c>
      <c r="AD18" t="s">
        <v>697</v>
      </c>
      <c r="AE18">
        <v>100</v>
      </c>
      <c r="AF18"/>
      <c r="AG18" t="s">
        <v>318</v>
      </c>
      <c r="AH18" t="s">
        <v>89</v>
      </c>
      <c r="AI18" t="s">
        <v>89</v>
      </c>
      <c r="AJ18"/>
      <c r="AK18"/>
      <c r="AL18"/>
      <c r="AM18" t="s">
        <v>244</v>
      </c>
      <c r="AN18" t="s">
        <v>334</v>
      </c>
      <c r="AO18" t="s">
        <v>309</v>
      </c>
      <c r="AP18" t="s">
        <v>89</v>
      </c>
      <c r="AQ18" t="s">
        <v>81</v>
      </c>
      <c r="AR18" t="s">
        <v>970</v>
      </c>
      <c r="AS18" t="s">
        <v>308</v>
      </c>
      <c r="AT18" t="s">
        <v>316</v>
      </c>
      <c r="AU18" t="s">
        <v>89</v>
      </c>
      <c r="AV18" t="s">
        <v>507</v>
      </c>
      <c r="AW18">
        <v>5000000</v>
      </c>
      <c r="AX18">
        <v>0.05</v>
      </c>
      <c r="AY18" s="31">
        <v>45246</v>
      </c>
      <c r="AZ18" s="31"/>
      <c r="BA18">
        <v>5.8</v>
      </c>
      <c r="BB18" t="s">
        <v>89</v>
      </c>
      <c r="BC18" s="31">
        <v>45275</v>
      </c>
      <c r="BD18" t="s">
        <v>508</v>
      </c>
      <c r="BE18" t="s">
        <v>505</v>
      </c>
      <c r="BF18" s="31">
        <v>45246</v>
      </c>
      <c r="BG18" t="s">
        <v>89</v>
      </c>
      <c r="BH18" s="31">
        <v>45246</v>
      </c>
      <c r="BI18" t="s">
        <v>89</v>
      </c>
      <c r="BJ18" t="s">
        <v>506</v>
      </c>
      <c r="BK18" t="s">
        <v>307</v>
      </c>
      <c r="BL18" t="s">
        <v>307</v>
      </c>
      <c r="BM18" t="s">
        <v>306</v>
      </c>
      <c r="BN18" t="s">
        <v>305</v>
      </c>
      <c r="BO18" t="s">
        <v>304</v>
      </c>
      <c r="BP18" t="s">
        <v>89</v>
      </c>
      <c r="BQ18" t="s">
        <v>89</v>
      </c>
      <c r="BR18" t="s">
        <v>89</v>
      </c>
      <c r="BS18" t="s">
        <v>198</v>
      </c>
      <c r="BT18" s="31"/>
      <c r="BU18" t="s">
        <v>6</v>
      </c>
      <c r="BV18" t="s">
        <v>11</v>
      </c>
      <c r="BW18" t="s">
        <v>6</v>
      </c>
      <c r="BX18" t="s">
        <v>89</v>
      </c>
      <c r="BY18" s="31"/>
      <c r="BZ18"/>
      <c r="CA18" t="s">
        <v>80</v>
      </c>
      <c r="CB18" t="s">
        <v>80</v>
      </c>
      <c r="CC18" t="s">
        <v>89</v>
      </c>
      <c r="CD18" t="s">
        <v>302</v>
      </c>
      <c r="CE18" t="s">
        <v>37</v>
      </c>
      <c r="CF18" t="s">
        <v>89</v>
      </c>
      <c r="CG18" t="s">
        <v>89</v>
      </c>
      <c r="CH18" t="s">
        <v>89</v>
      </c>
      <c r="CI18" t="s">
        <v>106</v>
      </c>
      <c r="CJ18" t="s">
        <v>89</v>
      </c>
      <c r="CK18" t="s">
        <v>538</v>
      </c>
      <c r="CL18">
        <v>1</v>
      </c>
      <c r="CM18">
        <v>7.2927999999999997</v>
      </c>
      <c r="CN18">
        <v>7.8305999999999996</v>
      </c>
      <c r="CO18">
        <v>0.05</v>
      </c>
      <c r="CP18">
        <v>0.36499999999999999</v>
      </c>
      <c r="CQ18">
        <v>0.39200000000000002</v>
      </c>
      <c r="CR18" t="s">
        <v>89</v>
      </c>
      <c r="CS18" t="s">
        <v>6</v>
      </c>
      <c r="CT18" t="s">
        <v>6</v>
      </c>
      <c r="CU18" t="s">
        <v>111</v>
      </c>
      <c r="CV18"/>
      <c r="CW18" t="s">
        <v>89</v>
      </c>
      <c r="CX18" t="s">
        <v>89</v>
      </c>
      <c r="CY18" t="s">
        <v>89</v>
      </c>
      <c r="CZ18" t="s">
        <v>781</v>
      </c>
      <c r="DA18" t="s">
        <v>782</v>
      </c>
      <c r="DB18" t="s">
        <v>783</v>
      </c>
      <c r="DC18" t="s">
        <v>6</v>
      </c>
      <c r="DD18" t="s">
        <v>89</v>
      </c>
      <c r="DE18" t="s">
        <v>757</v>
      </c>
    </row>
    <row r="19" spans="1:109" x14ac:dyDescent="0.25">
      <c r="A19">
        <v>1</v>
      </c>
      <c r="B19" t="s">
        <v>758</v>
      </c>
      <c r="C19" t="s">
        <v>759</v>
      </c>
      <c r="D19" s="31">
        <v>45243</v>
      </c>
      <c r="E19" t="s">
        <v>994</v>
      </c>
      <c r="F19" t="s">
        <v>89</v>
      </c>
      <c r="G19" t="s">
        <v>89</v>
      </c>
      <c r="H19"/>
      <c r="I19"/>
      <c r="J19" t="s">
        <v>89</v>
      </c>
      <c r="K19" t="s">
        <v>89</v>
      </c>
      <c r="L19" t="s">
        <v>82</v>
      </c>
      <c r="M19" t="s">
        <v>520</v>
      </c>
      <c r="N19" t="s">
        <v>760</v>
      </c>
      <c r="O19" t="s">
        <v>89</v>
      </c>
      <c r="P19" t="s">
        <v>761</v>
      </c>
      <c r="Q19" t="s">
        <v>762</v>
      </c>
      <c r="R19" t="s">
        <v>763</v>
      </c>
      <c r="S19" t="s">
        <v>764</v>
      </c>
      <c r="T19" t="s">
        <v>309</v>
      </c>
      <c r="U19">
        <v>0.05</v>
      </c>
      <c r="V19" t="s">
        <v>6</v>
      </c>
      <c r="W19">
        <v>0</v>
      </c>
      <c r="X19" s="31">
        <v>45342</v>
      </c>
      <c r="Y19" t="s">
        <v>106</v>
      </c>
      <c r="Z19"/>
      <c r="AA19" t="s">
        <v>89</v>
      </c>
      <c r="AB19" t="s">
        <v>333</v>
      </c>
      <c r="AC19" t="s">
        <v>89</v>
      </c>
      <c r="AD19" t="s">
        <v>310</v>
      </c>
      <c r="AE19"/>
      <c r="AF19"/>
      <c r="AG19" t="s">
        <v>577</v>
      </c>
      <c r="AH19" t="s">
        <v>578</v>
      </c>
      <c r="AI19" t="s">
        <v>89</v>
      </c>
      <c r="AJ19"/>
      <c r="AK19"/>
      <c r="AL19"/>
      <c r="AM19" t="s">
        <v>244</v>
      </c>
      <c r="AN19" t="s">
        <v>620</v>
      </c>
      <c r="AO19" t="s">
        <v>309</v>
      </c>
      <c r="AP19" t="s">
        <v>89</v>
      </c>
      <c r="AQ19" t="s">
        <v>81</v>
      </c>
      <c r="AR19" t="s">
        <v>971</v>
      </c>
      <c r="AS19" t="s">
        <v>705</v>
      </c>
      <c r="AT19" t="s">
        <v>315</v>
      </c>
      <c r="AU19" t="s">
        <v>89</v>
      </c>
      <c r="AV19" t="s">
        <v>765</v>
      </c>
      <c r="AW19">
        <v>100000</v>
      </c>
      <c r="AX19">
        <v>0.05</v>
      </c>
      <c r="AY19" s="31"/>
      <c r="AZ19" s="31"/>
      <c r="BA19">
        <v>0</v>
      </c>
      <c r="BB19" t="s">
        <v>89</v>
      </c>
      <c r="BC19" s="31"/>
      <c r="BD19" t="s">
        <v>766</v>
      </c>
      <c r="BE19" t="s">
        <v>758</v>
      </c>
      <c r="BF19" s="31"/>
      <c r="BG19" t="s">
        <v>89</v>
      </c>
      <c r="BH19" s="31"/>
      <c r="BI19" t="s">
        <v>89</v>
      </c>
      <c r="BJ19" t="s">
        <v>760</v>
      </c>
      <c r="BK19" t="s">
        <v>307</v>
      </c>
      <c r="BL19" t="s">
        <v>307</v>
      </c>
      <c r="BM19" t="s">
        <v>306</v>
      </c>
      <c r="BN19" t="s">
        <v>305</v>
      </c>
      <c r="BO19" t="s">
        <v>304</v>
      </c>
      <c r="BP19" t="s">
        <v>89</v>
      </c>
      <c r="BQ19" t="s">
        <v>89</v>
      </c>
      <c r="BR19" t="s">
        <v>89</v>
      </c>
      <c r="BS19" t="s">
        <v>198</v>
      </c>
      <c r="BT19" s="31"/>
      <c r="BU19" t="s">
        <v>6</v>
      </c>
      <c r="BV19" t="s">
        <v>17</v>
      </c>
      <c r="BW19" t="s">
        <v>6</v>
      </c>
      <c r="BX19" t="s">
        <v>89</v>
      </c>
      <c r="BY19" s="31"/>
      <c r="BZ19"/>
      <c r="CA19" t="s">
        <v>80</v>
      </c>
      <c r="CB19" t="s">
        <v>719</v>
      </c>
      <c r="CC19" t="s">
        <v>89</v>
      </c>
      <c r="CD19" t="s">
        <v>565</v>
      </c>
      <c r="CE19" t="s">
        <v>37</v>
      </c>
      <c r="CF19" t="s">
        <v>89</v>
      </c>
      <c r="CG19" t="s">
        <v>89</v>
      </c>
      <c r="CH19" t="s">
        <v>89</v>
      </c>
      <c r="CI19" t="s">
        <v>106</v>
      </c>
      <c r="CJ19" t="s">
        <v>89</v>
      </c>
      <c r="CK19" t="s">
        <v>538</v>
      </c>
      <c r="CL19">
        <v>1</v>
      </c>
      <c r="CM19">
        <v>7.2927999999999997</v>
      </c>
      <c r="CN19">
        <v>7.8305999999999996</v>
      </c>
      <c r="CO19">
        <v>0.05</v>
      </c>
      <c r="CP19">
        <v>0.36499999999999999</v>
      </c>
      <c r="CQ19">
        <v>0.39200000000000002</v>
      </c>
      <c r="CR19" t="s">
        <v>89</v>
      </c>
      <c r="CS19" t="s">
        <v>6</v>
      </c>
      <c r="CT19" t="s">
        <v>6</v>
      </c>
      <c r="CU19" t="s">
        <v>111</v>
      </c>
      <c r="CV19"/>
      <c r="CW19" t="s">
        <v>89</v>
      </c>
      <c r="CX19" t="s">
        <v>89</v>
      </c>
      <c r="CY19" t="s">
        <v>89</v>
      </c>
      <c r="CZ19" t="s">
        <v>111</v>
      </c>
      <c r="DA19" t="s">
        <v>6</v>
      </c>
      <c r="DB19" t="s">
        <v>89</v>
      </c>
      <c r="DC19" t="s">
        <v>6</v>
      </c>
      <c r="DD19" t="s">
        <v>89</v>
      </c>
      <c r="DE19" t="s">
        <v>767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T105"/>
  <sheetViews>
    <sheetView topLeftCell="BH1" zoomScale="80" zoomScaleNormal="80" workbookViewId="0">
      <selection activeCell="BT89" sqref="BT89"/>
    </sheetView>
  </sheetViews>
  <sheetFormatPr defaultColWidth="8.88671875" defaultRowHeight="20.100000000000001" customHeight="1" x14ac:dyDescent="0.25"/>
  <cols>
    <col min="1" max="1" width="12.44140625" style="20" bestFit="1" customWidth="1"/>
    <col min="2" max="2" width="13.33203125" style="20" bestFit="1" customWidth="1"/>
    <col min="3" max="3" width="15.44140625" style="20" bestFit="1" customWidth="1"/>
    <col min="4" max="4" width="35.88671875" style="20" customWidth="1"/>
    <col min="5" max="5" width="19.21875" style="20" customWidth="1"/>
    <col min="6" max="6" width="18.109375" style="20" bestFit="1" customWidth="1"/>
    <col min="7" max="7" width="8.88671875" style="20" bestFit="1" customWidth="1"/>
    <col min="8" max="8" width="21.33203125" style="20" bestFit="1" customWidth="1"/>
    <col min="9" max="9" width="13.5546875" style="20" bestFit="1" customWidth="1"/>
    <col min="10" max="10" width="9.33203125" style="20" bestFit="1" customWidth="1"/>
    <col min="11" max="11" width="19.44140625" style="20" bestFit="1" customWidth="1"/>
    <col min="12" max="15" width="2.21875" style="20" customWidth="1"/>
    <col min="16" max="16" width="17.88671875" style="20" customWidth="1"/>
    <col min="17" max="17" width="36.6640625" style="20" bestFit="1" customWidth="1"/>
    <col min="18" max="18" width="9" style="20" bestFit="1" customWidth="1"/>
    <col min="19" max="19" width="15.6640625" style="20" bestFit="1" customWidth="1"/>
    <col min="20" max="20" width="13.33203125" style="20" bestFit="1" customWidth="1"/>
    <col min="21" max="21" width="11.77734375" style="1" customWidth="1"/>
    <col min="22" max="22" width="15.6640625" style="20" bestFit="1" customWidth="1"/>
    <col min="23" max="23" width="15.6640625" style="1" bestFit="1" customWidth="1"/>
    <col min="24" max="24" width="11.109375" style="1" customWidth="1"/>
    <col min="25" max="25" width="4.6640625" style="1" bestFit="1" customWidth="1"/>
    <col min="26" max="26" width="10.44140625" style="20" bestFit="1" customWidth="1"/>
    <col min="27" max="27" width="6.33203125" style="20" bestFit="1" customWidth="1"/>
    <col min="28" max="28" width="15.6640625" style="1" bestFit="1" customWidth="1"/>
    <col min="29" max="29" width="7.6640625" style="1" bestFit="1" customWidth="1"/>
    <col min="30" max="30" width="17.109375" style="20" bestFit="1" customWidth="1"/>
    <col min="31" max="33" width="6" style="20" bestFit="1" customWidth="1"/>
    <col min="34" max="34" width="13.88671875" style="1" bestFit="1" customWidth="1"/>
    <col min="35" max="35" width="20" style="1" bestFit="1" customWidth="1"/>
    <col min="36" max="38" width="7.88671875" style="34" customWidth="1"/>
    <col min="39" max="39" width="7.88671875" style="20" customWidth="1"/>
    <col min="40" max="40" width="33.109375" style="20" customWidth="1"/>
    <col min="41" max="41" width="19.33203125" style="20" bestFit="1" customWidth="1"/>
    <col min="42" max="42" width="13.21875" style="20" bestFit="1" customWidth="1"/>
    <col min="43" max="43" width="10.33203125" style="20" bestFit="1" customWidth="1"/>
    <col min="44" max="44" width="7.6640625" style="20" bestFit="1" customWidth="1"/>
    <col min="45" max="46" width="12" style="20" bestFit="1" customWidth="1"/>
    <col min="47" max="47" width="11.5546875" style="20" bestFit="1" customWidth="1"/>
    <col min="48" max="48" width="14.44140625" style="20" customWidth="1"/>
    <col min="49" max="49" width="13.6640625" style="20" bestFit="1" customWidth="1"/>
    <col min="50" max="50" width="10.77734375" style="20" bestFit="1" customWidth="1"/>
    <col min="51" max="52" width="9.33203125" style="20" bestFit="1" customWidth="1"/>
    <col min="53" max="53" width="9.88671875" style="20" customWidth="1"/>
    <col min="54" max="54" width="7.6640625" style="34" bestFit="1" customWidth="1"/>
    <col min="55" max="55" width="4.109375" style="34" customWidth="1"/>
    <col min="56" max="56" width="4.109375" style="20" customWidth="1"/>
    <col min="57" max="57" width="22.5546875" style="20" bestFit="1" customWidth="1"/>
    <col min="58" max="58" width="26.44140625" style="20" bestFit="1" customWidth="1"/>
    <col min="59" max="59" width="14.44140625" style="20" bestFit="1" customWidth="1"/>
    <col min="60" max="60" width="11.5546875" style="20" customWidth="1"/>
    <col min="61" max="61" width="12.44140625" style="20" bestFit="1" customWidth="1"/>
    <col min="62" max="63" width="10.77734375" style="20" bestFit="1" customWidth="1"/>
    <col min="64" max="66" width="11.33203125" style="20" bestFit="1" customWidth="1"/>
    <col min="67" max="67" width="15.6640625" style="20" customWidth="1"/>
    <col min="68" max="70" width="1.77734375" style="20" customWidth="1"/>
    <col min="71" max="71" width="9.44140625" style="20" bestFit="1" customWidth="1"/>
    <col min="72" max="72" width="37.5546875" style="20" bestFit="1" customWidth="1"/>
    <col min="73" max="74" width="1.33203125" style="20" customWidth="1"/>
    <col min="75" max="16384" width="8.88671875" style="20"/>
  </cols>
  <sheetData>
    <row r="1" spans="1:72" s="34" customFormat="1" ht="49.5" x14ac:dyDescent="0.55000000000000004">
      <c r="A1" s="33" t="s">
        <v>935</v>
      </c>
      <c r="C1" s="42" t="s">
        <v>284</v>
      </c>
      <c r="F1" s="41" t="s">
        <v>280</v>
      </c>
      <c r="G1" s="41" t="s">
        <v>87</v>
      </c>
      <c r="H1" s="41" t="s">
        <v>790</v>
      </c>
      <c r="I1" s="41" t="s">
        <v>151</v>
      </c>
      <c r="J1" s="88" t="s">
        <v>285</v>
      </c>
      <c r="P1" s="33" t="s">
        <v>266</v>
      </c>
      <c r="Q1" s="42" t="s">
        <v>283</v>
      </c>
      <c r="R1" s="41" t="s">
        <v>120</v>
      </c>
      <c r="S1" s="41" t="s">
        <v>85</v>
      </c>
      <c r="T1" s="41" t="s">
        <v>51</v>
      </c>
      <c r="W1" s="41" t="s">
        <v>132</v>
      </c>
      <c r="Z1" s="41" t="s">
        <v>205</v>
      </c>
      <c r="AA1" s="41" t="s">
        <v>87</v>
      </c>
      <c r="AB1" s="41" t="s">
        <v>62</v>
      </c>
      <c r="AN1" s="33" t="s">
        <v>287</v>
      </c>
      <c r="AO1" s="42" t="s">
        <v>281</v>
      </c>
      <c r="AT1" s="88" t="s">
        <v>552</v>
      </c>
      <c r="AU1" s="41" t="s">
        <v>139</v>
      </c>
      <c r="AV1" s="41" t="s">
        <v>138</v>
      </c>
      <c r="AX1" s="41" t="s">
        <v>128</v>
      </c>
      <c r="AY1" s="41" t="s">
        <v>164</v>
      </c>
      <c r="AZ1" s="41" t="s">
        <v>165</v>
      </c>
      <c r="BA1" s="41" t="s">
        <v>166</v>
      </c>
      <c r="BE1" s="43" t="s">
        <v>282</v>
      </c>
      <c r="BF1" s="33" t="s">
        <v>934</v>
      </c>
      <c r="BG1" s="41" t="s">
        <v>145</v>
      </c>
      <c r="BH1" s="41" t="s">
        <v>188</v>
      </c>
      <c r="BI1" s="41" t="s">
        <v>604</v>
      </c>
      <c r="BJ1" s="41" t="s">
        <v>605</v>
      </c>
      <c r="BK1" s="41" t="s">
        <v>169</v>
      </c>
      <c r="BL1" s="120" t="s">
        <v>606</v>
      </c>
      <c r="BS1" s="122" t="s">
        <v>936</v>
      </c>
    </row>
    <row r="2" spans="1:72" s="35" customFormat="1" ht="75" customHeight="1" x14ac:dyDescent="0.35">
      <c r="A2" s="89" t="s">
        <v>286</v>
      </c>
      <c r="D2" s="46"/>
      <c r="I2" s="46"/>
      <c r="J2" s="46"/>
      <c r="Q2" s="36"/>
      <c r="R2" s="46" t="s">
        <v>216</v>
      </c>
      <c r="S2" s="46" t="s">
        <v>216</v>
      </c>
      <c r="T2" s="46" t="s">
        <v>216</v>
      </c>
      <c r="U2" s="46" t="s">
        <v>216</v>
      </c>
      <c r="V2" s="46" t="s">
        <v>216</v>
      </c>
      <c r="W2" s="46" t="s">
        <v>216</v>
      </c>
      <c r="X2" s="46" t="s">
        <v>216</v>
      </c>
      <c r="Y2" s="47"/>
      <c r="Z2" s="46"/>
      <c r="AJ2" s="34"/>
      <c r="AK2" s="34"/>
      <c r="AL2" s="34"/>
      <c r="AU2" s="46"/>
      <c r="AV2" s="46"/>
      <c r="AW2" s="46"/>
      <c r="AX2" s="46"/>
      <c r="AY2" s="46"/>
      <c r="AZ2" s="46"/>
      <c r="BA2" s="46"/>
      <c r="BB2" s="34"/>
      <c r="BC2" s="34"/>
      <c r="BG2" s="46" t="s">
        <v>216</v>
      </c>
      <c r="BH2" s="46" t="s">
        <v>216</v>
      </c>
      <c r="BI2" s="46" t="s">
        <v>216</v>
      </c>
      <c r="BJ2" s="46" t="s">
        <v>216</v>
      </c>
      <c r="BK2" s="46" t="s">
        <v>216</v>
      </c>
      <c r="BL2" s="46" t="s">
        <v>216</v>
      </c>
      <c r="BS2" s="123" t="s">
        <v>937</v>
      </c>
    </row>
    <row r="3" spans="1:72" s="38" customFormat="1" ht="15" x14ac:dyDescent="0.25">
      <c r="A3" s="80" t="s">
        <v>280</v>
      </c>
      <c r="B3" s="37" t="s">
        <v>46</v>
      </c>
      <c r="C3" s="37" t="s">
        <v>47</v>
      </c>
      <c r="D3" s="37" t="s">
        <v>91</v>
      </c>
      <c r="E3" s="37" t="s">
        <v>119</v>
      </c>
      <c r="F3" s="37" t="s">
        <v>144</v>
      </c>
      <c r="G3" s="37" t="s">
        <v>87</v>
      </c>
      <c r="H3" s="37" t="s">
        <v>790</v>
      </c>
      <c r="I3" s="37" t="s">
        <v>151</v>
      </c>
      <c r="J3" s="37" t="s">
        <v>152</v>
      </c>
      <c r="K3" s="37" t="s">
        <v>121</v>
      </c>
      <c r="P3" s="37" t="s">
        <v>47</v>
      </c>
      <c r="Q3" s="37" t="s">
        <v>91</v>
      </c>
      <c r="R3" s="37" t="s">
        <v>120</v>
      </c>
      <c r="S3" s="37" t="s">
        <v>85</v>
      </c>
      <c r="T3" s="37" t="s">
        <v>51</v>
      </c>
      <c r="U3" s="37" t="s">
        <v>134</v>
      </c>
      <c r="V3" s="37" t="s">
        <v>135</v>
      </c>
      <c r="W3" s="37" t="s">
        <v>132</v>
      </c>
      <c r="X3" s="37" t="s">
        <v>122</v>
      </c>
      <c r="Y3" s="37" t="s">
        <v>62</v>
      </c>
      <c r="Z3" s="37" t="s">
        <v>55</v>
      </c>
      <c r="AA3" s="37" t="s">
        <v>84</v>
      </c>
      <c r="AB3" s="37" t="s">
        <v>114</v>
      </c>
      <c r="AC3" s="37" t="s">
        <v>331</v>
      </c>
      <c r="AD3" s="37" t="s">
        <v>88</v>
      </c>
      <c r="AE3" s="37" t="s">
        <v>140</v>
      </c>
      <c r="AF3" s="37" t="s">
        <v>141</v>
      </c>
      <c r="AG3" s="37" t="s">
        <v>174</v>
      </c>
      <c r="AH3" s="37" t="s">
        <v>46</v>
      </c>
      <c r="AI3" s="37" t="s">
        <v>121</v>
      </c>
      <c r="AJ3" s="34"/>
      <c r="AK3" s="34"/>
      <c r="AL3" s="34"/>
      <c r="AN3" s="37" t="s">
        <v>91</v>
      </c>
      <c r="AO3" s="37" t="s">
        <v>121</v>
      </c>
      <c r="AP3" s="37" t="s">
        <v>46</v>
      </c>
      <c r="AQ3" s="37" t="s">
        <v>47</v>
      </c>
      <c r="AR3" s="37" t="s">
        <v>168</v>
      </c>
      <c r="AS3" s="37" t="s">
        <v>153</v>
      </c>
      <c r="AT3" s="37" t="s">
        <v>552</v>
      </c>
      <c r="AU3" s="37" t="s">
        <v>139</v>
      </c>
      <c r="AV3" s="37" t="s">
        <v>138</v>
      </c>
      <c r="AW3" s="37" t="s">
        <v>148</v>
      </c>
      <c r="AX3" s="37" t="s">
        <v>137</v>
      </c>
      <c r="AY3" s="37" t="s">
        <v>128</v>
      </c>
      <c r="AZ3" s="37" t="s">
        <v>164</v>
      </c>
      <c r="BA3" s="37" t="s">
        <v>165</v>
      </c>
      <c r="BB3" s="37" t="s">
        <v>166</v>
      </c>
      <c r="BC3" s="34"/>
      <c r="BD3" s="34"/>
      <c r="BF3" s="37" t="s">
        <v>91</v>
      </c>
      <c r="BG3" s="37" t="s">
        <v>145</v>
      </c>
      <c r="BH3" s="37" t="s">
        <v>188</v>
      </c>
      <c r="BI3" s="37" t="s">
        <v>604</v>
      </c>
      <c r="BJ3" s="37" t="s">
        <v>605</v>
      </c>
      <c r="BK3" s="37" t="s">
        <v>169</v>
      </c>
      <c r="BL3" s="37" t="s">
        <v>606</v>
      </c>
      <c r="BM3" s="37" t="s">
        <v>86</v>
      </c>
      <c r="BN3" s="37" t="s">
        <v>43</v>
      </c>
      <c r="BO3" s="37" t="s">
        <v>44</v>
      </c>
      <c r="BS3" s="37" t="s">
        <v>83</v>
      </c>
      <c r="BT3" s="37" t="s">
        <v>840</v>
      </c>
    </row>
    <row r="4" spans="1:72" ht="16.5" x14ac:dyDescent="0.3">
      <c r="A4" s="30"/>
      <c r="B4" s="21" t="s">
        <v>973</v>
      </c>
      <c r="C4" s="79">
        <v>45247</v>
      </c>
      <c r="D4" s="78" t="s">
        <v>972</v>
      </c>
      <c r="E4" s="90" t="s">
        <v>80</v>
      </c>
      <c r="F4" s="90" t="s">
        <v>80</v>
      </c>
      <c r="G4" s="21" t="s">
        <v>37</v>
      </c>
      <c r="H4" s="21" t="s">
        <v>89</v>
      </c>
      <c r="I4" s="21" t="s">
        <v>6</v>
      </c>
      <c r="J4" s="21" t="s">
        <v>6</v>
      </c>
      <c r="K4" s="21" t="s">
        <v>978</v>
      </c>
      <c r="P4" s="85">
        <v>45247</v>
      </c>
      <c r="Q4" s="85" t="s">
        <v>972</v>
      </c>
      <c r="R4" s="39" t="s">
        <v>89</v>
      </c>
      <c r="S4" s="39"/>
      <c r="T4" s="87">
        <v>4.7E-2</v>
      </c>
      <c r="U4" s="39"/>
      <c r="V4" s="39" t="s">
        <v>111</v>
      </c>
      <c r="W4" s="39"/>
      <c r="X4" s="86" t="s">
        <v>89</v>
      </c>
      <c r="Y4" s="39" t="s">
        <v>103</v>
      </c>
      <c r="Z4" s="40">
        <v>3.34</v>
      </c>
      <c r="AA4" s="39" t="s">
        <v>131</v>
      </c>
      <c r="AB4" s="39" t="s">
        <v>980</v>
      </c>
      <c r="AC4" s="39" t="s">
        <v>6</v>
      </c>
      <c r="AD4" s="39" t="s">
        <v>89</v>
      </c>
      <c r="AE4" s="39">
        <v>0.45800000000000002</v>
      </c>
      <c r="AF4" s="39">
        <v>3.34</v>
      </c>
      <c r="AG4" s="39">
        <v>3.585</v>
      </c>
      <c r="AH4" s="39" t="s">
        <v>973</v>
      </c>
      <c r="AI4" s="39" t="s">
        <v>978</v>
      </c>
      <c r="AN4" s="38" t="s">
        <v>736</v>
      </c>
      <c r="AO4" s="38" t="s">
        <v>752</v>
      </c>
      <c r="AP4" s="81" t="s">
        <v>737</v>
      </c>
      <c r="AQ4" s="81">
        <v>45244</v>
      </c>
      <c r="AR4" s="38" t="s">
        <v>945</v>
      </c>
      <c r="AS4" s="38" t="s">
        <v>784</v>
      </c>
      <c r="AT4" s="38" t="s">
        <v>4</v>
      </c>
      <c r="AU4" s="38" t="s">
        <v>150</v>
      </c>
      <c r="AV4" s="82" t="s">
        <v>146</v>
      </c>
      <c r="AW4" s="38" t="s">
        <v>784</v>
      </c>
      <c r="AX4" s="83">
        <v>2023</v>
      </c>
      <c r="AY4" s="38" t="s">
        <v>129</v>
      </c>
      <c r="AZ4" s="84" t="s">
        <v>89</v>
      </c>
      <c r="BA4" s="82" t="s">
        <v>89</v>
      </c>
      <c r="BB4" s="82" t="s">
        <v>6</v>
      </c>
      <c r="BD4" s="34"/>
      <c r="BF4" s="38" t="s">
        <v>972</v>
      </c>
      <c r="BG4" s="38" t="s">
        <v>981</v>
      </c>
      <c r="BH4" s="38" t="s">
        <v>210</v>
      </c>
      <c r="BI4" s="38"/>
      <c r="BJ4" s="38"/>
      <c r="BK4" s="38" t="s">
        <v>160</v>
      </c>
      <c r="BL4" s="38" t="s">
        <v>628</v>
      </c>
      <c r="BM4" s="38" t="s">
        <v>9</v>
      </c>
      <c r="BN4" s="38" t="s">
        <v>982</v>
      </c>
      <c r="BO4" s="38" t="s">
        <v>983</v>
      </c>
      <c r="BS4">
        <v>1</v>
      </c>
      <c r="BT4" s="21" t="s">
        <v>841</v>
      </c>
    </row>
    <row r="5" spans="1:72" ht="16.5" x14ac:dyDescent="0.3">
      <c r="A5" s="30"/>
      <c r="B5" s="21" t="s">
        <v>948</v>
      </c>
      <c r="C5" s="79">
        <v>45247</v>
      </c>
      <c r="D5" s="78" t="s">
        <v>947</v>
      </c>
      <c r="E5" s="21" t="s">
        <v>80</v>
      </c>
      <c r="F5" s="90" t="s">
        <v>80</v>
      </c>
      <c r="G5" s="21" t="s">
        <v>35</v>
      </c>
      <c r="H5" s="21" t="s">
        <v>89</v>
      </c>
      <c r="I5" s="21" t="s">
        <v>6</v>
      </c>
      <c r="J5" s="21" t="s">
        <v>6</v>
      </c>
      <c r="K5" s="21" t="s">
        <v>962</v>
      </c>
      <c r="P5" s="85">
        <v>45247</v>
      </c>
      <c r="Q5" s="85" t="s">
        <v>947</v>
      </c>
      <c r="R5" s="39" t="s">
        <v>89</v>
      </c>
      <c r="S5" s="39" t="s">
        <v>89</v>
      </c>
      <c r="T5" s="39" t="s">
        <v>949</v>
      </c>
      <c r="U5" s="39"/>
      <c r="V5" s="39" t="s">
        <v>111</v>
      </c>
      <c r="W5" s="39" t="s">
        <v>89</v>
      </c>
      <c r="X5" s="86" t="s">
        <v>89</v>
      </c>
      <c r="Y5" s="39" t="s">
        <v>82</v>
      </c>
      <c r="Z5" s="40">
        <v>1</v>
      </c>
      <c r="AA5" s="39" t="s">
        <v>131</v>
      </c>
      <c r="AB5" s="39" t="s">
        <v>949</v>
      </c>
      <c r="AC5" s="39" t="s">
        <v>6</v>
      </c>
      <c r="AD5" s="39" t="s">
        <v>231</v>
      </c>
      <c r="AE5" s="39">
        <v>1</v>
      </c>
      <c r="AF5" s="39">
        <v>7.2930000000000001</v>
      </c>
      <c r="AG5" s="39">
        <v>7.8310000000000004</v>
      </c>
      <c r="AH5" s="39" t="s">
        <v>948</v>
      </c>
      <c r="AI5" s="39" t="s">
        <v>962</v>
      </c>
      <c r="AN5" s="38"/>
      <c r="AO5" s="38"/>
      <c r="AP5" s="81"/>
      <c r="AQ5" s="81"/>
      <c r="AR5" s="38"/>
      <c r="AS5" s="38"/>
      <c r="AT5" s="38"/>
      <c r="AU5" s="38"/>
      <c r="AV5" s="82"/>
      <c r="AW5" s="83"/>
      <c r="AX5" s="83"/>
      <c r="AY5" s="38"/>
      <c r="AZ5" s="84"/>
      <c r="BA5" s="82"/>
      <c r="BB5" s="82"/>
      <c r="BD5" s="34"/>
      <c r="BF5" s="38" t="s">
        <v>638</v>
      </c>
      <c r="BG5" s="38" t="s">
        <v>788</v>
      </c>
      <c r="BH5" s="38" t="s">
        <v>210</v>
      </c>
      <c r="BI5" s="38"/>
      <c r="BJ5" s="38"/>
      <c r="BK5" s="38" t="s">
        <v>160</v>
      </c>
      <c r="BL5" s="38" t="s">
        <v>628</v>
      </c>
      <c r="BM5" s="38" t="s">
        <v>10</v>
      </c>
      <c r="BN5" s="38" t="s">
        <v>650</v>
      </c>
      <c r="BO5" s="38" t="s">
        <v>89</v>
      </c>
      <c r="BS5">
        <v>2</v>
      </c>
      <c r="BT5" s="21" t="s">
        <v>842</v>
      </c>
    </row>
    <row r="6" spans="1:72" ht="16.5" x14ac:dyDescent="0.3">
      <c r="A6" s="21"/>
      <c r="B6" s="21" t="s">
        <v>639</v>
      </c>
      <c r="C6" s="79">
        <v>45246</v>
      </c>
      <c r="D6" s="78" t="s">
        <v>638</v>
      </c>
      <c r="E6" s="21" t="s">
        <v>80</v>
      </c>
      <c r="F6" s="21" t="s">
        <v>80</v>
      </c>
      <c r="G6" s="21" t="s">
        <v>108</v>
      </c>
      <c r="H6" s="21" t="s">
        <v>648</v>
      </c>
      <c r="I6" s="21" t="s">
        <v>6</v>
      </c>
      <c r="J6" s="21" t="s">
        <v>6</v>
      </c>
      <c r="K6" s="21" t="s">
        <v>656</v>
      </c>
      <c r="P6" s="85">
        <v>45246</v>
      </c>
      <c r="Q6" s="85" t="s">
        <v>638</v>
      </c>
      <c r="R6" s="40" t="s">
        <v>89</v>
      </c>
      <c r="S6" s="40" t="s">
        <v>89</v>
      </c>
      <c r="T6" s="103" t="s">
        <v>641</v>
      </c>
      <c r="U6" s="39"/>
      <c r="V6" s="39" t="s">
        <v>111</v>
      </c>
      <c r="W6" s="39" t="s">
        <v>89</v>
      </c>
      <c r="X6" s="87" t="s">
        <v>89</v>
      </c>
      <c r="Y6" s="39" t="s">
        <v>103</v>
      </c>
      <c r="Z6" s="40">
        <v>6.08</v>
      </c>
      <c r="AA6" s="39" t="s">
        <v>131</v>
      </c>
      <c r="AB6" s="39" t="s">
        <v>641</v>
      </c>
      <c r="AC6" s="39" t="s">
        <v>6</v>
      </c>
      <c r="AD6" s="39" t="s">
        <v>769</v>
      </c>
      <c r="AE6" s="39">
        <v>0.83399999999999996</v>
      </c>
      <c r="AF6" s="39">
        <v>6.08</v>
      </c>
      <c r="AG6" s="39">
        <v>6.5259999999999998</v>
      </c>
      <c r="AH6" s="39" t="s">
        <v>639</v>
      </c>
      <c r="AI6" s="39" t="s">
        <v>656</v>
      </c>
      <c r="AN6" s="38"/>
      <c r="AO6" s="38"/>
      <c r="AP6" s="81"/>
      <c r="AQ6" s="81"/>
      <c r="AR6" s="38"/>
      <c r="AS6" s="38"/>
      <c r="AT6" s="38"/>
      <c r="AU6" s="38"/>
      <c r="AV6" s="82"/>
      <c r="AW6" s="83"/>
      <c r="AX6" s="83"/>
      <c r="AY6" s="38"/>
      <c r="AZ6" s="81"/>
      <c r="BA6" s="82"/>
      <c r="BB6" s="38"/>
      <c r="BD6" s="34"/>
      <c r="BF6" s="38"/>
      <c r="BG6" s="38"/>
      <c r="BH6" s="38"/>
      <c r="BI6" s="38"/>
      <c r="BJ6" s="38"/>
      <c r="BK6" s="38"/>
      <c r="BL6" s="38"/>
      <c r="BM6" s="38"/>
      <c r="BN6" s="38"/>
      <c r="BO6" s="38"/>
      <c r="BS6">
        <v>3</v>
      </c>
      <c r="BT6" s="21" t="s">
        <v>843</v>
      </c>
    </row>
    <row r="7" spans="1:72" ht="16.5" x14ac:dyDescent="0.3">
      <c r="A7" s="21"/>
      <c r="B7" s="21" t="s">
        <v>658</v>
      </c>
      <c r="C7" s="79">
        <v>45246</v>
      </c>
      <c r="D7" s="78" t="s">
        <v>657</v>
      </c>
      <c r="E7" s="90" t="s">
        <v>80</v>
      </c>
      <c r="F7" s="21" t="s">
        <v>80</v>
      </c>
      <c r="G7" s="21" t="s">
        <v>35</v>
      </c>
      <c r="H7" s="21" t="s">
        <v>89</v>
      </c>
      <c r="I7" s="21" t="s">
        <v>6</v>
      </c>
      <c r="J7" s="21" t="s">
        <v>6</v>
      </c>
      <c r="K7" s="21" t="s">
        <v>667</v>
      </c>
      <c r="P7" s="85">
        <v>45246</v>
      </c>
      <c r="Q7" s="85" t="s">
        <v>657</v>
      </c>
      <c r="R7" s="39" t="s">
        <v>89</v>
      </c>
      <c r="S7" s="40" t="s">
        <v>89</v>
      </c>
      <c r="T7" s="111" t="s">
        <v>89</v>
      </c>
      <c r="U7" s="39"/>
      <c r="V7" s="39" t="s">
        <v>111</v>
      </c>
      <c r="W7" s="39" t="s">
        <v>89</v>
      </c>
      <c r="X7" s="87" t="s">
        <v>89</v>
      </c>
      <c r="Y7" s="39" t="s">
        <v>103</v>
      </c>
      <c r="Z7" s="40">
        <v>1.9</v>
      </c>
      <c r="AA7" s="39" t="s">
        <v>131</v>
      </c>
      <c r="AB7" s="39" t="s">
        <v>770</v>
      </c>
      <c r="AC7" s="39" t="s">
        <v>6</v>
      </c>
      <c r="AD7" s="39" t="s">
        <v>204</v>
      </c>
      <c r="AE7" s="39">
        <v>0.26</v>
      </c>
      <c r="AF7" s="39">
        <v>1.9</v>
      </c>
      <c r="AG7" s="39">
        <v>2.0390000000000001</v>
      </c>
      <c r="AH7" s="39" t="s">
        <v>658</v>
      </c>
      <c r="AI7" s="39" t="s">
        <v>667</v>
      </c>
      <c r="AN7" s="38"/>
      <c r="AO7" s="38"/>
      <c r="AP7" s="81"/>
      <c r="AQ7" s="81"/>
      <c r="AR7" s="38"/>
      <c r="AS7" s="38"/>
      <c r="AT7" s="38"/>
      <c r="AU7" s="38"/>
      <c r="AV7" s="82"/>
      <c r="AW7" s="83"/>
      <c r="AX7" s="82"/>
      <c r="AY7" s="38"/>
      <c r="AZ7" s="81"/>
      <c r="BA7" s="82"/>
      <c r="BB7" s="82"/>
      <c r="BD7" s="34"/>
      <c r="BF7" s="38"/>
      <c r="BG7" s="38"/>
      <c r="BH7" s="38"/>
      <c r="BI7" s="38"/>
      <c r="BJ7" s="38"/>
      <c r="BK7" s="38"/>
      <c r="BL7" s="38"/>
      <c r="BM7" s="38"/>
      <c r="BN7" s="38"/>
      <c r="BO7" s="38"/>
      <c r="BS7">
        <v>4</v>
      </c>
      <c r="BT7" s="21" t="s">
        <v>844</v>
      </c>
    </row>
    <row r="8" spans="1:72" ht="15" x14ac:dyDescent="0.25">
      <c r="A8" s="21"/>
      <c r="B8" s="21" t="s">
        <v>669</v>
      </c>
      <c r="C8" s="79">
        <v>45246</v>
      </c>
      <c r="D8" s="78" t="s">
        <v>668</v>
      </c>
      <c r="E8" s="90" t="s">
        <v>598</v>
      </c>
      <c r="F8" s="90" t="s">
        <v>291</v>
      </c>
      <c r="G8" s="21" t="s">
        <v>35</v>
      </c>
      <c r="H8" s="21" t="s">
        <v>89</v>
      </c>
      <c r="I8" s="21" t="s">
        <v>130</v>
      </c>
      <c r="J8" s="21" t="s">
        <v>6</v>
      </c>
      <c r="K8" s="21" t="s">
        <v>682</v>
      </c>
      <c r="P8" s="85">
        <v>45246</v>
      </c>
      <c r="Q8" s="85" t="s">
        <v>668</v>
      </c>
      <c r="R8" s="40" t="s">
        <v>89</v>
      </c>
      <c r="S8" s="40" t="s">
        <v>771</v>
      </c>
      <c r="T8" s="39" t="s">
        <v>772</v>
      </c>
      <c r="U8" s="39"/>
      <c r="V8" s="39" t="s">
        <v>544</v>
      </c>
      <c r="W8" s="39" t="s">
        <v>89</v>
      </c>
      <c r="X8" s="87" t="s">
        <v>89</v>
      </c>
      <c r="Y8" s="39" t="s">
        <v>82</v>
      </c>
      <c r="Z8" s="40">
        <v>3</v>
      </c>
      <c r="AA8" s="39" t="s">
        <v>330</v>
      </c>
      <c r="AB8" s="39" t="s">
        <v>89</v>
      </c>
      <c r="AC8" s="39" t="s">
        <v>6</v>
      </c>
      <c r="AD8" s="39" t="s">
        <v>215</v>
      </c>
      <c r="AE8" s="39">
        <v>3</v>
      </c>
      <c r="AF8" s="39">
        <v>21.878</v>
      </c>
      <c r="AG8" s="39">
        <v>23.492000000000001</v>
      </c>
      <c r="AH8" s="39" t="s">
        <v>669</v>
      </c>
      <c r="AI8" s="39" t="s">
        <v>682</v>
      </c>
      <c r="AN8" s="38"/>
      <c r="AO8" s="38"/>
      <c r="AP8" s="81"/>
      <c r="AQ8" s="81"/>
      <c r="AR8" s="38"/>
      <c r="AS8" s="38"/>
      <c r="AT8" s="38"/>
      <c r="AU8" s="38"/>
      <c r="AV8" s="82"/>
      <c r="AW8" s="82"/>
      <c r="AX8" s="82"/>
      <c r="AY8" s="38"/>
      <c r="AZ8" s="84"/>
      <c r="BA8" s="82"/>
      <c r="BB8" s="38"/>
      <c r="BD8" s="34"/>
      <c r="BF8" s="38"/>
      <c r="BG8" s="38"/>
      <c r="BH8" s="38"/>
      <c r="BI8" s="38"/>
      <c r="BJ8" s="38"/>
      <c r="BK8" s="38"/>
      <c r="BL8" s="38"/>
      <c r="BM8" s="38"/>
      <c r="BN8" s="38"/>
      <c r="BO8" s="38"/>
      <c r="BS8">
        <v>5</v>
      </c>
      <c r="BT8" s="21" t="s">
        <v>845</v>
      </c>
    </row>
    <row r="9" spans="1:72" ht="15" x14ac:dyDescent="0.25">
      <c r="A9" s="21"/>
      <c r="B9" s="21" t="s">
        <v>683</v>
      </c>
      <c r="C9" s="79">
        <v>45246</v>
      </c>
      <c r="D9" s="78" t="s">
        <v>668</v>
      </c>
      <c r="E9" s="21" t="s">
        <v>598</v>
      </c>
      <c r="F9" s="21" t="s">
        <v>291</v>
      </c>
      <c r="G9" s="21" t="s">
        <v>35</v>
      </c>
      <c r="H9" s="21" t="s">
        <v>89</v>
      </c>
      <c r="I9" s="21" t="s">
        <v>129</v>
      </c>
      <c r="J9" s="21" t="s">
        <v>6</v>
      </c>
      <c r="K9" s="21" t="s">
        <v>692</v>
      </c>
      <c r="P9" s="85">
        <v>45246</v>
      </c>
      <c r="Q9" s="85" t="s">
        <v>668</v>
      </c>
      <c r="R9" s="40" t="s">
        <v>89</v>
      </c>
      <c r="S9" s="40" t="s">
        <v>601</v>
      </c>
      <c r="T9" s="39" t="s">
        <v>690</v>
      </c>
      <c r="U9" s="39">
        <v>35</v>
      </c>
      <c r="V9" s="39" t="s">
        <v>111</v>
      </c>
      <c r="W9" s="39" t="s">
        <v>89</v>
      </c>
      <c r="X9" s="87" t="s">
        <v>89</v>
      </c>
      <c r="Y9" s="40" t="s">
        <v>105</v>
      </c>
      <c r="Z9" s="40">
        <v>15</v>
      </c>
      <c r="AA9" s="39" t="s">
        <v>330</v>
      </c>
      <c r="AB9" s="39" t="s">
        <v>690</v>
      </c>
      <c r="AC9" s="39" t="s">
        <v>6</v>
      </c>
      <c r="AD9" s="39" t="s">
        <v>215</v>
      </c>
      <c r="AE9" s="39">
        <v>1.9159999999999999</v>
      </c>
      <c r="AF9" s="39">
        <v>13.974</v>
      </c>
      <c r="AG9" s="39">
        <v>15</v>
      </c>
      <c r="AH9" s="39" t="s">
        <v>683</v>
      </c>
      <c r="AI9" s="39" t="s">
        <v>692</v>
      </c>
      <c r="AN9" s="38"/>
      <c r="AO9" s="38"/>
      <c r="AP9" s="81"/>
      <c r="AQ9" s="81"/>
      <c r="AR9" s="38"/>
      <c r="AS9" s="38"/>
      <c r="AT9" s="38"/>
      <c r="AU9" s="38"/>
      <c r="AV9" s="82"/>
      <c r="AW9" s="82"/>
      <c r="AX9" s="82"/>
      <c r="AY9" s="38"/>
      <c r="AZ9" s="84"/>
      <c r="BA9" s="82"/>
      <c r="BB9" s="38"/>
      <c r="BD9" s="34"/>
      <c r="BF9" s="38"/>
      <c r="BG9" s="38"/>
      <c r="BH9" s="38"/>
      <c r="BI9" s="38"/>
      <c r="BJ9" s="38"/>
      <c r="BK9" s="38"/>
      <c r="BL9" s="38"/>
      <c r="BM9" s="38"/>
      <c r="BN9" s="38"/>
      <c r="BO9" s="38"/>
      <c r="BS9">
        <v>6</v>
      </c>
      <c r="BT9" s="21" t="s">
        <v>846</v>
      </c>
    </row>
    <row r="10" spans="1:72" ht="15" x14ac:dyDescent="0.25">
      <c r="A10" s="21"/>
      <c r="B10" s="21" t="s">
        <v>721</v>
      </c>
      <c r="C10" s="79">
        <v>45245</v>
      </c>
      <c r="D10" s="78" t="s">
        <v>668</v>
      </c>
      <c r="E10" s="21" t="s">
        <v>598</v>
      </c>
      <c r="F10" s="90" t="s">
        <v>291</v>
      </c>
      <c r="G10" s="21" t="s">
        <v>35</v>
      </c>
      <c r="H10" s="21" t="s">
        <v>89</v>
      </c>
      <c r="I10" s="21" t="s">
        <v>130</v>
      </c>
      <c r="J10" s="21" t="s">
        <v>6</v>
      </c>
      <c r="K10" s="21" t="s">
        <v>734</v>
      </c>
      <c r="P10" s="85">
        <v>45245</v>
      </c>
      <c r="Q10" s="85" t="s">
        <v>668</v>
      </c>
      <c r="R10" s="40" t="s">
        <v>504</v>
      </c>
      <c r="S10" s="40" t="s">
        <v>293</v>
      </c>
      <c r="T10" s="39" t="s">
        <v>292</v>
      </c>
      <c r="U10" s="39">
        <v>45</v>
      </c>
      <c r="V10" s="39" t="s">
        <v>544</v>
      </c>
      <c r="W10" s="39" t="s">
        <v>292</v>
      </c>
      <c r="X10" s="87" t="s">
        <v>89</v>
      </c>
      <c r="Y10" s="39" t="s">
        <v>82</v>
      </c>
      <c r="Z10" s="40">
        <v>3</v>
      </c>
      <c r="AA10" s="39" t="s">
        <v>131</v>
      </c>
      <c r="AB10" s="39" t="s">
        <v>292</v>
      </c>
      <c r="AC10" s="39" t="s">
        <v>582</v>
      </c>
      <c r="AD10" s="39" t="s">
        <v>773</v>
      </c>
      <c r="AE10" s="39">
        <v>3</v>
      </c>
      <c r="AF10" s="39">
        <v>21.878</v>
      </c>
      <c r="AG10" s="39">
        <v>23.492000000000001</v>
      </c>
      <c r="AH10" s="39" t="s">
        <v>721</v>
      </c>
      <c r="AI10" s="39" t="s">
        <v>734</v>
      </c>
      <c r="AN10" s="38"/>
      <c r="AO10" s="38"/>
      <c r="AP10" s="81"/>
      <c r="AQ10" s="81"/>
      <c r="AR10" s="38"/>
      <c r="AS10" s="38"/>
      <c r="AT10" s="38"/>
      <c r="AU10" s="38"/>
      <c r="AV10" s="82"/>
      <c r="AW10" s="38"/>
      <c r="AX10" s="38"/>
      <c r="AY10" s="38"/>
      <c r="AZ10" s="84"/>
      <c r="BA10" s="38"/>
      <c r="BB10" s="38"/>
      <c r="BD10" s="34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S10">
        <v>7</v>
      </c>
      <c r="BT10" s="21" t="s">
        <v>847</v>
      </c>
    </row>
    <row r="11" spans="1:72" ht="15" x14ac:dyDescent="0.25">
      <c r="A11" s="21"/>
      <c r="B11" s="21" t="s">
        <v>737</v>
      </c>
      <c r="C11" s="79">
        <v>45244</v>
      </c>
      <c r="D11" s="78" t="s">
        <v>736</v>
      </c>
      <c r="E11" s="21" t="s">
        <v>751</v>
      </c>
      <c r="F11" s="90" t="s">
        <v>751</v>
      </c>
      <c r="G11" s="21" t="s">
        <v>37</v>
      </c>
      <c r="H11" s="21" t="s">
        <v>89</v>
      </c>
      <c r="I11" s="21" t="s">
        <v>129</v>
      </c>
      <c r="J11" s="21" t="s">
        <v>6</v>
      </c>
      <c r="K11" s="21" t="s">
        <v>752</v>
      </c>
      <c r="P11" s="85">
        <v>45244</v>
      </c>
      <c r="Q11" s="85" t="s">
        <v>736</v>
      </c>
      <c r="R11" s="40" t="s">
        <v>89</v>
      </c>
      <c r="S11" s="40" t="s">
        <v>774</v>
      </c>
      <c r="T11" s="39" t="s">
        <v>749</v>
      </c>
      <c r="U11" s="39">
        <v>40</v>
      </c>
      <c r="V11" s="39" t="s">
        <v>111</v>
      </c>
      <c r="W11" s="87" t="s">
        <v>89</v>
      </c>
      <c r="X11" s="87" t="s">
        <v>89</v>
      </c>
      <c r="Y11" s="39" t="s">
        <v>82</v>
      </c>
      <c r="Z11" s="40">
        <v>2.1</v>
      </c>
      <c r="AA11" s="39" t="s">
        <v>550</v>
      </c>
      <c r="AB11" s="39" t="s">
        <v>749</v>
      </c>
      <c r="AC11" s="39" t="s">
        <v>6</v>
      </c>
      <c r="AD11" s="39" t="s">
        <v>215</v>
      </c>
      <c r="AE11" s="39">
        <v>2.1</v>
      </c>
      <c r="AF11" s="39">
        <v>15.315</v>
      </c>
      <c r="AG11" s="39">
        <v>16.443999999999999</v>
      </c>
      <c r="AH11" s="39" t="s">
        <v>737</v>
      </c>
      <c r="AI11" s="39" t="s">
        <v>752</v>
      </c>
      <c r="AN11" s="38"/>
      <c r="AO11" s="38"/>
      <c r="AP11" s="81"/>
      <c r="AQ11" s="81"/>
      <c r="AR11" s="38"/>
      <c r="AS11" s="38"/>
      <c r="AT11" s="38"/>
      <c r="AU11" s="38"/>
      <c r="AV11" s="82"/>
      <c r="AW11" s="38"/>
      <c r="AX11" s="38"/>
      <c r="AY11" s="38"/>
      <c r="AZ11" s="81"/>
      <c r="BA11" s="38"/>
      <c r="BB11" s="38"/>
      <c r="BD11" s="34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S11">
        <v>8</v>
      </c>
      <c r="BT11" s="21" t="s">
        <v>848</v>
      </c>
    </row>
    <row r="12" spans="1:72" ht="15" x14ac:dyDescent="0.25">
      <c r="A12" s="21"/>
      <c r="B12" s="21"/>
      <c r="C12" s="79"/>
      <c r="D12" s="78"/>
      <c r="E12" s="21"/>
      <c r="F12" s="21"/>
      <c r="G12" s="21"/>
      <c r="H12" s="21"/>
      <c r="I12" s="21"/>
      <c r="J12" s="21"/>
      <c r="K12" s="21"/>
      <c r="P12" s="85"/>
      <c r="Q12" s="85"/>
      <c r="R12" s="39"/>
      <c r="S12" s="40"/>
      <c r="T12" s="87"/>
      <c r="U12" s="39"/>
      <c r="V12" s="39"/>
      <c r="W12" s="39"/>
      <c r="X12" s="87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N12" s="38"/>
      <c r="AO12" s="38"/>
      <c r="AP12" s="81"/>
      <c r="AQ12" s="81"/>
      <c r="AR12" s="38"/>
      <c r="AS12" s="38"/>
      <c r="AT12" s="38"/>
      <c r="AU12" s="38"/>
      <c r="AV12" s="82"/>
      <c r="AW12" s="38"/>
      <c r="AX12" s="38"/>
      <c r="AY12" s="38"/>
      <c r="AZ12" s="81"/>
      <c r="BA12" s="38"/>
      <c r="BB12" s="38"/>
      <c r="BD12" s="34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S12">
        <v>9</v>
      </c>
      <c r="BT12" s="21" t="s">
        <v>849</v>
      </c>
    </row>
    <row r="13" spans="1:72" ht="15" x14ac:dyDescent="0.25">
      <c r="A13" s="21"/>
      <c r="B13" s="21"/>
      <c r="C13" s="79"/>
      <c r="D13" s="78"/>
      <c r="E13" s="21"/>
      <c r="F13" s="21"/>
      <c r="G13" s="21"/>
      <c r="H13" s="21"/>
      <c r="I13" s="21"/>
      <c r="J13" s="21"/>
      <c r="K13" s="21"/>
      <c r="P13" s="85"/>
      <c r="Q13" s="85"/>
      <c r="R13" s="39"/>
      <c r="S13" s="39"/>
      <c r="T13" s="87"/>
      <c r="U13" s="39"/>
      <c r="V13" s="39"/>
      <c r="W13" s="39"/>
      <c r="X13" s="87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Z13" s="38"/>
      <c r="BA13" s="38"/>
      <c r="BS13">
        <v>10</v>
      </c>
      <c r="BT13" s="21" t="s">
        <v>850</v>
      </c>
    </row>
    <row r="14" spans="1:72" ht="15" x14ac:dyDescent="0.25">
      <c r="A14" s="21"/>
      <c r="B14" s="21"/>
      <c r="C14" s="79"/>
      <c r="D14" s="78"/>
      <c r="E14" s="21"/>
      <c r="F14" s="21"/>
      <c r="G14" s="21"/>
      <c r="H14" s="21"/>
      <c r="I14" s="21"/>
      <c r="J14" s="21"/>
      <c r="K14" s="21"/>
      <c r="P14" s="85"/>
      <c r="Q14" s="85"/>
      <c r="R14" s="39"/>
      <c r="S14" s="39"/>
      <c r="T14" s="87"/>
      <c r="U14" s="39"/>
      <c r="V14" s="39"/>
      <c r="W14" s="39"/>
      <c r="X14" s="39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BA14" s="38"/>
      <c r="BS14">
        <v>11</v>
      </c>
      <c r="BT14" s="21" t="s">
        <v>851</v>
      </c>
    </row>
    <row r="15" spans="1:72" ht="15" x14ac:dyDescent="0.25">
      <c r="A15" s="21"/>
      <c r="B15" s="21"/>
      <c r="C15" s="79"/>
      <c r="D15" s="78"/>
      <c r="E15" s="21"/>
      <c r="F15" s="21"/>
      <c r="G15" s="21"/>
      <c r="H15" s="21"/>
      <c r="I15" s="21"/>
      <c r="J15" s="21"/>
      <c r="K15" s="21"/>
      <c r="P15" s="85"/>
      <c r="Q15" s="85"/>
      <c r="R15" s="39"/>
      <c r="S15" s="39"/>
      <c r="T15" s="39"/>
      <c r="U15" s="39"/>
      <c r="V15" s="39"/>
      <c r="W15" s="39"/>
      <c r="X15" s="87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BA15" s="38"/>
      <c r="BS15">
        <v>12</v>
      </c>
      <c r="BT15" s="21" t="s">
        <v>852</v>
      </c>
    </row>
    <row r="16" spans="1:72" ht="15" x14ac:dyDescent="0.25">
      <c r="A16" s="21"/>
      <c r="B16" s="21"/>
      <c r="C16" s="79"/>
      <c r="D16" s="78"/>
      <c r="E16" s="21"/>
      <c r="F16" s="21"/>
      <c r="G16" s="21"/>
      <c r="H16" s="21"/>
      <c r="I16" s="21"/>
      <c r="J16" s="21"/>
      <c r="K16" s="21"/>
      <c r="P16" s="85"/>
      <c r="Q16" s="85"/>
      <c r="R16" s="39"/>
      <c r="S16" s="39"/>
      <c r="T16" s="87"/>
      <c r="U16" s="39"/>
      <c r="V16" s="39"/>
      <c r="W16" s="39"/>
      <c r="X16" s="39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BS16">
        <v>13</v>
      </c>
      <c r="BT16" s="21" t="s">
        <v>853</v>
      </c>
    </row>
    <row r="17" spans="1:72" ht="15" x14ac:dyDescent="0.25">
      <c r="A17" s="21"/>
      <c r="B17" s="21"/>
      <c r="C17" s="79"/>
      <c r="D17" s="78"/>
      <c r="E17" s="21"/>
      <c r="F17" s="21"/>
      <c r="G17" s="21"/>
      <c r="H17" s="21"/>
      <c r="I17" s="21"/>
      <c r="J17" s="21"/>
      <c r="K17" s="21"/>
      <c r="P17" s="85"/>
      <c r="Q17" s="85"/>
      <c r="R17" s="39"/>
      <c r="S17" s="39"/>
      <c r="T17" s="39"/>
      <c r="U17" s="39"/>
      <c r="V17" s="39"/>
      <c r="W17" s="39"/>
      <c r="X17" s="39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BS17">
        <v>14</v>
      </c>
      <c r="BT17" s="21" t="s">
        <v>854</v>
      </c>
    </row>
    <row r="18" spans="1:72" ht="15" x14ac:dyDescent="0.25">
      <c r="A18" s="21"/>
      <c r="B18" s="21"/>
      <c r="C18" s="79"/>
      <c r="D18" s="78"/>
      <c r="E18" s="21"/>
      <c r="F18" s="21"/>
      <c r="G18" s="21"/>
      <c r="H18" s="21"/>
      <c r="I18" s="21"/>
      <c r="J18" s="21"/>
      <c r="K18" s="21"/>
      <c r="P18" s="85"/>
      <c r="Q18" s="85"/>
      <c r="R18" s="39"/>
      <c r="S18" s="39"/>
      <c r="T18" s="39"/>
      <c r="U18" s="39"/>
      <c r="V18" s="39"/>
      <c r="W18" s="39"/>
      <c r="X18" s="39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BS18">
        <v>15</v>
      </c>
      <c r="BT18" s="21" t="s">
        <v>855</v>
      </c>
    </row>
    <row r="19" spans="1:72" ht="15" x14ac:dyDescent="0.25">
      <c r="A19" s="21"/>
      <c r="B19" s="21"/>
      <c r="C19" s="79"/>
      <c r="D19" s="78"/>
      <c r="E19" s="21"/>
      <c r="F19" s="21"/>
      <c r="G19" s="21"/>
      <c r="H19" s="21"/>
      <c r="I19" s="21"/>
      <c r="J19" s="21"/>
      <c r="K19" s="21"/>
      <c r="P19" s="85"/>
      <c r="Q19" s="85"/>
      <c r="R19" s="39"/>
      <c r="S19" s="39"/>
      <c r="T19" s="39"/>
      <c r="U19" s="39"/>
      <c r="V19" s="39"/>
      <c r="W19" s="39"/>
      <c r="X19" s="39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BS19">
        <v>16</v>
      </c>
      <c r="BT19" s="21" t="s">
        <v>856</v>
      </c>
    </row>
    <row r="20" spans="1:72" ht="15" x14ac:dyDescent="0.25">
      <c r="A20" s="21"/>
      <c r="B20" s="21"/>
      <c r="C20" s="79"/>
      <c r="D20" s="78"/>
      <c r="E20" s="21"/>
      <c r="F20" s="21"/>
      <c r="G20" s="21"/>
      <c r="H20" s="21"/>
      <c r="I20" s="21"/>
      <c r="J20" s="21"/>
      <c r="K20" s="21"/>
      <c r="P20" s="85"/>
      <c r="Q20" s="85"/>
      <c r="R20" s="39"/>
      <c r="S20" s="39"/>
      <c r="T20" s="39"/>
      <c r="U20" s="39"/>
      <c r="V20" s="39"/>
      <c r="W20" s="39"/>
      <c r="X20" s="39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BS20">
        <v>17</v>
      </c>
      <c r="BT20" s="21" t="s">
        <v>857</v>
      </c>
    </row>
    <row r="21" spans="1:72" ht="15" x14ac:dyDescent="0.25">
      <c r="A21" s="21"/>
      <c r="B21" s="21"/>
      <c r="C21" s="79"/>
      <c r="D21" s="78"/>
      <c r="E21" s="21"/>
      <c r="F21" s="21"/>
      <c r="G21" s="21"/>
      <c r="H21" s="21"/>
      <c r="I21" s="21"/>
      <c r="J21" s="21"/>
      <c r="K21" s="21"/>
      <c r="P21" s="85"/>
      <c r="Q21" s="85"/>
      <c r="R21" s="39"/>
      <c r="S21" s="39"/>
      <c r="T21" s="39"/>
      <c r="U21" s="39"/>
      <c r="V21" s="39"/>
      <c r="W21" s="39"/>
      <c r="X21" s="39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BS21">
        <v>18</v>
      </c>
      <c r="BT21" s="21" t="s">
        <v>858</v>
      </c>
    </row>
    <row r="22" spans="1:72" ht="15" x14ac:dyDescent="0.25">
      <c r="A22" s="21"/>
      <c r="B22" s="21"/>
      <c r="C22" s="79"/>
      <c r="D22" s="78"/>
      <c r="E22" s="21"/>
      <c r="F22" s="21"/>
      <c r="G22" s="21"/>
      <c r="H22" s="21"/>
      <c r="I22" s="21"/>
      <c r="J22" s="21"/>
      <c r="K22" s="21"/>
      <c r="P22" s="85"/>
      <c r="Q22" s="85"/>
      <c r="R22" s="39"/>
      <c r="S22" s="39"/>
      <c r="T22" s="39"/>
      <c r="U22" s="39"/>
      <c r="V22" s="39"/>
      <c r="W22" s="39"/>
      <c r="X22" s="39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BS22">
        <v>19</v>
      </c>
      <c r="BT22" s="21" t="s">
        <v>859</v>
      </c>
    </row>
    <row r="23" spans="1:72" ht="15" x14ac:dyDescent="0.25">
      <c r="A23" s="21"/>
      <c r="B23" s="21"/>
      <c r="C23" s="79"/>
      <c r="D23" s="78"/>
      <c r="E23" s="21"/>
      <c r="F23" s="21"/>
      <c r="G23" s="21"/>
      <c r="H23" s="21"/>
      <c r="I23" s="21"/>
      <c r="J23" s="21"/>
      <c r="K23" s="21"/>
      <c r="P23" s="85"/>
      <c r="Q23" s="85"/>
      <c r="R23" s="39"/>
      <c r="S23" s="39"/>
      <c r="T23" s="39"/>
      <c r="U23" s="39"/>
      <c r="V23" s="39"/>
      <c r="W23" s="39"/>
      <c r="X23" s="39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BS23">
        <v>20</v>
      </c>
      <c r="BT23" s="21" t="s">
        <v>860</v>
      </c>
    </row>
    <row r="24" spans="1:72" ht="15" x14ac:dyDescent="0.25">
      <c r="A24" s="21"/>
      <c r="B24" s="21"/>
      <c r="C24" s="79"/>
      <c r="D24" s="78"/>
      <c r="E24" s="21"/>
      <c r="F24" s="21"/>
      <c r="G24" s="21"/>
      <c r="H24" s="21"/>
      <c r="I24" s="21"/>
      <c r="J24" s="21"/>
      <c r="K24" s="21"/>
      <c r="P24" s="85"/>
      <c r="Q24" s="85"/>
      <c r="R24" s="39"/>
      <c r="S24" s="39"/>
      <c r="T24" s="39"/>
      <c r="U24" s="39"/>
      <c r="V24" s="39"/>
      <c r="W24" s="39"/>
      <c r="X24" s="39"/>
      <c r="Y24" s="39"/>
      <c r="Z24" s="40"/>
      <c r="AA24" s="39"/>
      <c r="AB24" s="39"/>
      <c r="AC24" s="39"/>
      <c r="AD24" s="39"/>
      <c r="AE24" s="39"/>
      <c r="AF24" s="39"/>
      <c r="AG24" s="39"/>
      <c r="AH24" s="39"/>
      <c r="AI24" s="39"/>
      <c r="BS24">
        <v>21</v>
      </c>
      <c r="BT24" s="21" t="s">
        <v>861</v>
      </c>
    </row>
    <row r="25" spans="1:72" ht="15" x14ac:dyDescent="0.25">
      <c r="A25" s="21"/>
      <c r="B25" s="21"/>
      <c r="C25" s="79"/>
      <c r="D25" s="78"/>
      <c r="E25" s="21"/>
      <c r="F25" s="21"/>
      <c r="G25" s="21"/>
      <c r="H25" s="21"/>
      <c r="I25" s="21"/>
      <c r="J25" s="21"/>
      <c r="K25" s="21"/>
      <c r="P25" s="85"/>
      <c r="Q25" s="85"/>
      <c r="R25" s="39"/>
      <c r="S25" s="39"/>
      <c r="T25" s="39"/>
      <c r="U25" s="39"/>
      <c r="V25" s="39"/>
      <c r="W25" s="39"/>
      <c r="X25" s="39"/>
      <c r="Y25" s="39"/>
      <c r="Z25" s="40"/>
      <c r="AA25" s="39"/>
      <c r="AB25" s="39"/>
      <c r="AC25" s="39"/>
      <c r="AD25" s="39"/>
      <c r="AE25" s="39"/>
      <c r="AF25" s="39"/>
      <c r="AG25" s="39"/>
      <c r="AH25" s="39"/>
      <c r="AI25" s="39"/>
      <c r="BS25">
        <v>22</v>
      </c>
      <c r="BT25" s="21" t="s">
        <v>862</v>
      </c>
    </row>
    <row r="26" spans="1:72" ht="15" x14ac:dyDescent="0.25">
      <c r="A26" s="21"/>
      <c r="B26" s="21"/>
      <c r="C26" s="79"/>
      <c r="D26" s="78"/>
      <c r="E26" s="21"/>
      <c r="F26" s="21"/>
      <c r="G26" s="21"/>
      <c r="H26" s="21"/>
      <c r="I26" s="21"/>
      <c r="J26" s="21"/>
      <c r="K26" s="21"/>
      <c r="P26" s="85"/>
      <c r="Q26" s="85"/>
      <c r="R26" s="39"/>
      <c r="S26" s="39"/>
      <c r="T26" s="39"/>
      <c r="U26" s="39"/>
      <c r="V26" s="39"/>
      <c r="W26" s="39"/>
      <c r="X26" s="39"/>
      <c r="Y26" s="39"/>
      <c r="Z26" s="40"/>
      <c r="AA26" s="39"/>
      <c r="AB26" s="39"/>
      <c r="AC26" s="39"/>
      <c r="AD26" s="39"/>
      <c r="AE26" s="39"/>
      <c r="AF26" s="39"/>
      <c r="AG26" s="39"/>
      <c r="AH26" s="39"/>
      <c r="AI26" s="39"/>
      <c r="BS26">
        <v>23</v>
      </c>
      <c r="BT26" s="21" t="s">
        <v>863</v>
      </c>
    </row>
    <row r="27" spans="1:72" ht="15" x14ac:dyDescent="0.25">
      <c r="P27" s="38"/>
      <c r="Q27" s="38"/>
      <c r="R27" s="38"/>
      <c r="S27" s="38"/>
      <c r="T27" s="38"/>
      <c r="V27" s="38"/>
      <c r="Z27" s="38"/>
      <c r="AA27" s="38"/>
      <c r="AD27" s="38"/>
      <c r="AE27" s="38"/>
      <c r="AF27" s="38"/>
      <c r="AG27" s="38"/>
      <c r="BS27">
        <v>24</v>
      </c>
      <c r="BT27" s="21" t="s">
        <v>864</v>
      </c>
    </row>
    <row r="28" spans="1:72" ht="15" x14ac:dyDescent="0.25">
      <c r="P28" s="38"/>
      <c r="Q28" s="38"/>
      <c r="R28" s="38"/>
      <c r="S28" s="38"/>
      <c r="T28" s="38"/>
      <c r="V28" s="38"/>
      <c r="Z28" s="38"/>
      <c r="AA28" s="38"/>
      <c r="AD28" s="38"/>
      <c r="AE28" s="38"/>
      <c r="AF28" s="38"/>
      <c r="AG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BS28">
        <v>25</v>
      </c>
      <c r="BT28" s="21" t="s">
        <v>865</v>
      </c>
    </row>
    <row r="29" spans="1:72" ht="15" x14ac:dyDescent="0.25">
      <c r="P29" s="38"/>
      <c r="Q29" s="38"/>
      <c r="R29" s="38"/>
      <c r="S29" s="38"/>
      <c r="T29" s="38"/>
      <c r="V29" s="38"/>
      <c r="Z29" s="38"/>
      <c r="AA29" s="38"/>
      <c r="AD29" s="38"/>
      <c r="AE29" s="38"/>
      <c r="AF29" s="38"/>
      <c r="AG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BS29">
        <v>26</v>
      </c>
      <c r="BT29" s="21" t="s">
        <v>866</v>
      </c>
    </row>
    <row r="30" spans="1:72" ht="15" x14ac:dyDescent="0.25">
      <c r="P30" s="38"/>
      <c r="Q30" s="38"/>
      <c r="R30" s="38"/>
      <c r="S30" s="38"/>
      <c r="T30" s="38"/>
      <c r="V30" s="38"/>
      <c r="Z30" s="38"/>
      <c r="AA30" s="38"/>
      <c r="AD30" s="38"/>
      <c r="AE30" s="38"/>
      <c r="AF30" s="38"/>
      <c r="AG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BS30">
        <v>27</v>
      </c>
      <c r="BT30" s="21" t="s">
        <v>867</v>
      </c>
    </row>
    <row r="31" spans="1:72" ht="15" x14ac:dyDescent="0.25">
      <c r="P31" s="38"/>
      <c r="Q31" s="38"/>
      <c r="R31" s="38"/>
      <c r="S31" s="38"/>
      <c r="T31" s="38"/>
      <c r="V31" s="38"/>
      <c r="Z31" s="38"/>
      <c r="AA31" s="38"/>
      <c r="AD31" s="38"/>
      <c r="AE31" s="38"/>
      <c r="AF31" s="38"/>
      <c r="AG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BS31">
        <v>28</v>
      </c>
      <c r="BT31" s="21" t="s">
        <v>868</v>
      </c>
    </row>
    <row r="32" spans="1:72" ht="15" x14ac:dyDescent="0.25">
      <c r="P32" s="38"/>
      <c r="Q32" s="38"/>
      <c r="R32" s="38"/>
      <c r="S32" s="38"/>
      <c r="T32" s="38"/>
      <c r="V32" s="38"/>
      <c r="Z32" s="38"/>
      <c r="AA32" s="38"/>
      <c r="AD32" s="38"/>
      <c r="AE32" s="38"/>
      <c r="AF32" s="38"/>
      <c r="AG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BS32">
        <v>29</v>
      </c>
      <c r="BT32" s="21" t="s">
        <v>869</v>
      </c>
    </row>
    <row r="33" spans="16:72" ht="15" x14ac:dyDescent="0.25">
      <c r="P33" s="38"/>
      <c r="Q33" s="38"/>
      <c r="R33" s="38"/>
      <c r="S33" s="38"/>
      <c r="T33" s="38"/>
      <c r="V33" s="38"/>
      <c r="Z33" s="38"/>
      <c r="AA33" s="38"/>
      <c r="AD33" s="38"/>
      <c r="AE33" s="38"/>
      <c r="AF33" s="38"/>
      <c r="AG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BS33">
        <v>30</v>
      </c>
      <c r="BT33" s="21" t="s">
        <v>870</v>
      </c>
    </row>
    <row r="34" spans="16:72" ht="15" x14ac:dyDescent="0.25">
      <c r="P34" s="38"/>
      <c r="Q34" s="38"/>
      <c r="R34" s="38"/>
      <c r="S34" s="38"/>
      <c r="T34" s="38"/>
      <c r="V34" s="38"/>
      <c r="Z34" s="38"/>
      <c r="AA34" s="38"/>
      <c r="AD34" s="38"/>
      <c r="AE34" s="38"/>
      <c r="AF34" s="38"/>
      <c r="AG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BS34">
        <v>31</v>
      </c>
      <c r="BT34" s="21" t="s">
        <v>871</v>
      </c>
    </row>
    <row r="35" spans="16:72" ht="15" x14ac:dyDescent="0.25">
      <c r="P35" s="39"/>
      <c r="R35" s="25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BS35">
        <v>32</v>
      </c>
      <c r="BT35" s="21" t="s">
        <v>872</v>
      </c>
    </row>
    <row r="36" spans="16:72" ht="15" x14ac:dyDescent="0.25">
      <c r="P36" s="39"/>
      <c r="R36" s="25"/>
      <c r="BS36">
        <v>33</v>
      </c>
      <c r="BT36" s="21" t="s">
        <v>873</v>
      </c>
    </row>
    <row r="37" spans="16:72" ht="15" x14ac:dyDescent="0.25">
      <c r="R37" s="25"/>
      <c r="BS37">
        <v>34</v>
      </c>
      <c r="BT37" s="21" t="s">
        <v>874</v>
      </c>
    </row>
    <row r="38" spans="16:72" ht="15" x14ac:dyDescent="0.25">
      <c r="R38" s="25"/>
      <c r="BS38">
        <v>35</v>
      </c>
      <c r="BT38" s="21" t="s">
        <v>875</v>
      </c>
    </row>
    <row r="39" spans="16:72" ht="15" x14ac:dyDescent="0.25">
      <c r="R39" s="25"/>
      <c r="BS39">
        <v>36</v>
      </c>
      <c r="BT39" s="21" t="s">
        <v>876</v>
      </c>
    </row>
    <row r="40" spans="16:72" ht="15" x14ac:dyDescent="0.25">
      <c r="R40" s="25"/>
      <c r="BS40">
        <v>37</v>
      </c>
      <c r="BT40" s="21" t="s">
        <v>877</v>
      </c>
    </row>
    <row r="41" spans="16:72" ht="15" x14ac:dyDescent="0.25">
      <c r="R41" s="25"/>
      <c r="BS41">
        <v>38</v>
      </c>
      <c r="BT41" s="21" t="s">
        <v>878</v>
      </c>
    </row>
    <row r="42" spans="16:72" ht="15" x14ac:dyDescent="0.25">
      <c r="R42" s="25"/>
      <c r="BS42">
        <v>39</v>
      </c>
      <c r="BT42" s="21" t="s">
        <v>879</v>
      </c>
    </row>
    <row r="43" spans="16:72" ht="15" x14ac:dyDescent="0.25">
      <c r="R43" s="25"/>
      <c r="BS43">
        <v>40</v>
      </c>
      <c r="BT43" s="21" t="s">
        <v>880</v>
      </c>
    </row>
    <row r="44" spans="16:72" ht="15" x14ac:dyDescent="0.25">
      <c r="R44" s="25"/>
      <c r="BS44">
        <v>41</v>
      </c>
      <c r="BT44" s="21" t="s">
        <v>881</v>
      </c>
    </row>
    <row r="45" spans="16:72" ht="15" x14ac:dyDescent="0.25">
      <c r="R45" s="25"/>
      <c r="BS45">
        <v>42</v>
      </c>
      <c r="BT45" s="21" t="s">
        <v>882</v>
      </c>
    </row>
    <row r="46" spans="16:72" ht="15" x14ac:dyDescent="0.25">
      <c r="R46" s="25"/>
      <c r="BS46">
        <v>43</v>
      </c>
      <c r="BT46" s="21" t="s">
        <v>883</v>
      </c>
    </row>
    <row r="47" spans="16:72" ht="15" x14ac:dyDescent="0.25">
      <c r="R47" s="25"/>
      <c r="BS47">
        <v>44</v>
      </c>
      <c r="BT47" s="21" t="s">
        <v>884</v>
      </c>
    </row>
    <row r="48" spans="16:72" ht="15" x14ac:dyDescent="0.25">
      <c r="R48" s="25"/>
      <c r="BS48">
        <v>45</v>
      </c>
      <c r="BT48" s="21" t="s">
        <v>938</v>
      </c>
    </row>
    <row r="49" spans="18:72" ht="15" x14ac:dyDescent="0.25">
      <c r="R49" s="25"/>
      <c r="BS49">
        <v>46</v>
      </c>
      <c r="BT49" s="21" t="s">
        <v>885</v>
      </c>
    </row>
    <row r="50" spans="18:72" ht="15" x14ac:dyDescent="0.25">
      <c r="R50" s="25"/>
      <c r="BS50">
        <v>47</v>
      </c>
      <c r="BT50" s="21" t="s">
        <v>886</v>
      </c>
    </row>
    <row r="51" spans="18:72" ht="15" x14ac:dyDescent="0.25">
      <c r="R51" s="25"/>
      <c r="BS51">
        <v>48</v>
      </c>
      <c r="BT51" s="21" t="s">
        <v>887</v>
      </c>
    </row>
    <row r="52" spans="18:72" ht="15" x14ac:dyDescent="0.25">
      <c r="R52" s="25"/>
      <c r="BS52">
        <v>49</v>
      </c>
      <c r="BT52" s="21" t="s">
        <v>888</v>
      </c>
    </row>
    <row r="53" spans="18:72" ht="15" x14ac:dyDescent="0.25">
      <c r="BS53">
        <v>50</v>
      </c>
      <c r="BT53" s="21" t="s">
        <v>889</v>
      </c>
    </row>
    <row r="54" spans="18:72" ht="15" x14ac:dyDescent="0.25">
      <c r="BS54">
        <v>51</v>
      </c>
      <c r="BT54" s="21" t="s">
        <v>939</v>
      </c>
    </row>
    <row r="55" spans="18:72" ht="15" x14ac:dyDescent="0.25">
      <c r="BS55">
        <v>52</v>
      </c>
      <c r="BT55" s="21" t="s">
        <v>940</v>
      </c>
    </row>
    <row r="56" spans="18:72" ht="15" x14ac:dyDescent="0.25">
      <c r="BS56">
        <v>53</v>
      </c>
      <c r="BT56" s="21" t="s">
        <v>890</v>
      </c>
    </row>
    <row r="57" spans="18:72" ht="15" x14ac:dyDescent="0.25">
      <c r="BS57">
        <v>54</v>
      </c>
      <c r="BT57" s="21" t="s">
        <v>891</v>
      </c>
    </row>
    <row r="58" spans="18:72" ht="15" x14ac:dyDescent="0.25">
      <c r="BS58">
        <v>55</v>
      </c>
      <c r="BT58" s="21" t="s">
        <v>892</v>
      </c>
    </row>
    <row r="59" spans="18:72" ht="15" x14ac:dyDescent="0.25">
      <c r="BS59">
        <v>56</v>
      </c>
      <c r="BT59" s="21" t="s">
        <v>893</v>
      </c>
    </row>
    <row r="60" spans="18:72" ht="15" x14ac:dyDescent="0.25">
      <c r="BS60">
        <v>57</v>
      </c>
      <c r="BT60" s="21" t="s">
        <v>894</v>
      </c>
    </row>
    <row r="61" spans="18:72" ht="15" x14ac:dyDescent="0.25">
      <c r="BS61">
        <v>58</v>
      </c>
      <c r="BT61" s="21" t="s">
        <v>895</v>
      </c>
    </row>
    <row r="62" spans="18:72" ht="15" x14ac:dyDescent="0.25">
      <c r="BS62">
        <v>59</v>
      </c>
      <c r="BT62" s="21" t="s">
        <v>896</v>
      </c>
    </row>
    <row r="63" spans="18:72" ht="15" x14ac:dyDescent="0.25">
      <c r="BS63">
        <v>60</v>
      </c>
      <c r="BT63" s="21" t="s">
        <v>897</v>
      </c>
    </row>
    <row r="64" spans="18:72" ht="15" x14ac:dyDescent="0.25">
      <c r="BS64">
        <v>61</v>
      </c>
      <c r="BT64" s="21" t="s">
        <v>898</v>
      </c>
    </row>
    <row r="65" spans="71:72" ht="15" x14ac:dyDescent="0.25">
      <c r="BS65">
        <v>62</v>
      </c>
      <c r="BT65" s="21" t="s">
        <v>899</v>
      </c>
    </row>
    <row r="66" spans="71:72" ht="15" x14ac:dyDescent="0.25">
      <c r="BS66">
        <v>63</v>
      </c>
      <c r="BT66" s="21" t="s">
        <v>900</v>
      </c>
    </row>
    <row r="67" spans="71:72" ht="15" x14ac:dyDescent="0.25">
      <c r="BS67">
        <v>64</v>
      </c>
      <c r="BT67" s="21" t="s">
        <v>901</v>
      </c>
    </row>
    <row r="68" spans="71:72" ht="15" x14ac:dyDescent="0.25">
      <c r="BS68">
        <v>65</v>
      </c>
      <c r="BT68" s="21" t="s">
        <v>902</v>
      </c>
    </row>
    <row r="69" spans="71:72" ht="15" x14ac:dyDescent="0.25">
      <c r="BS69">
        <v>66</v>
      </c>
      <c r="BT69" s="21" t="s">
        <v>903</v>
      </c>
    </row>
    <row r="70" spans="71:72" ht="15" x14ac:dyDescent="0.25">
      <c r="BS70">
        <v>67</v>
      </c>
      <c r="BT70" s="21" t="s">
        <v>904</v>
      </c>
    </row>
    <row r="71" spans="71:72" ht="15" x14ac:dyDescent="0.25">
      <c r="BS71">
        <v>68</v>
      </c>
      <c r="BT71" s="21" t="s">
        <v>905</v>
      </c>
    </row>
    <row r="72" spans="71:72" ht="15" x14ac:dyDescent="0.25">
      <c r="BS72">
        <v>69</v>
      </c>
      <c r="BT72" s="21" t="s">
        <v>906</v>
      </c>
    </row>
    <row r="73" spans="71:72" ht="15" x14ac:dyDescent="0.25">
      <c r="BS73">
        <v>70</v>
      </c>
      <c r="BT73" s="21" t="s">
        <v>907</v>
      </c>
    </row>
    <row r="74" spans="71:72" ht="15" x14ac:dyDescent="0.25">
      <c r="BS74">
        <v>71</v>
      </c>
      <c r="BT74" s="21" t="s">
        <v>908</v>
      </c>
    </row>
    <row r="75" spans="71:72" ht="15" x14ac:dyDescent="0.25">
      <c r="BS75">
        <v>72</v>
      </c>
      <c r="BT75" s="21" t="s">
        <v>909</v>
      </c>
    </row>
    <row r="76" spans="71:72" ht="15" x14ac:dyDescent="0.25">
      <c r="BS76">
        <v>73</v>
      </c>
      <c r="BT76" s="21" t="s">
        <v>910</v>
      </c>
    </row>
    <row r="77" spans="71:72" ht="15" x14ac:dyDescent="0.25">
      <c r="BS77">
        <v>74</v>
      </c>
      <c r="BT77" s="21" t="s">
        <v>911</v>
      </c>
    </row>
    <row r="78" spans="71:72" ht="15" x14ac:dyDescent="0.25">
      <c r="BS78">
        <v>75</v>
      </c>
      <c r="BT78" s="21" t="s">
        <v>912</v>
      </c>
    </row>
    <row r="79" spans="71:72" ht="15" x14ac:dyDescent="0.25">
      <c r="BS79">
        <v>76</v>
      </c>
      <c r="BT79" s="21" t="s">
        <v>913</v>
      </c>
    </row>
    <row r="80" spans="71:72" ht="15" x14ac:dyDescent="0.25">
      <c r="BS80">
        <v>77</v>
      </c>
      <c r="BT80" s="21" t="s">
        <v>914</v>
      </c>
    </row>
    <row r="81" spans="71:72" ht="15" x14ac:dyDescent="0.25">
      <c r="BS81">
        <v>78</v>
      </c>
      <c r="BT81" s="21" t="s">
        <v>915</v>
      </c>
    </row>
    <row r="82" spans="71:72" ht="15" x14ac:dyDescent="0.25">
      <c r="BS82">
        <v>79</v>
      </c>
      <c r="BT82" s="21" t="s">
        <v>916</v>
      </c>
    </row>
    <row r="83" spans="71:72" ht="15" x14ac:dyDescent="0.25">
      <c r="BS83">
        <v>80</v>
      </c>
      <c r="BT83" s="21" t="s">
        <v>917</v>
      </c>
    </row>
    <row r="84" spans="71:72" ht="15" x14ac:dyDescent="0.25">
      <c r="BS84">
        <v>81</v>
      </c>
      <c r="BT84" s="21" t="s">
        <v>918</v>
      </c>
    </row>
    <row r="85" spans="71:72" ht="15" x14ac:dyDescent="0.25">
      <c r="BS85">
        <v>82</v>
      </c>
      <c r="BT85" s="21" t="s">
        <v>919</v>
      </c>
    </row>
    <row r="86" spans="71:72" ht="15" x14ac:dyDescent="0.25">
      <c r="BS86">
        <v>83</v>
      </c>
      <c r="BT86" s="21" t="s">
        <v>920</v>
      </c>
    </row>
    <row r="87" spans="71:72" ht="15" x14ac:dyDescent="0.25">
      <c r="BS87">
        <v>84</v>
      </c>
      <c r="BT87" s="21" t="s">
        <v>921</v>
      </c>
    </row>
    <row r="88" spans="71:72" ht="15" x14ac:dyDescent="0.25">
      <c r="BS88">
        <v>85</v>
      </c>
      <c r="BT88" s="21" t="s">
        <v>922</v>
      </c>
    </row>
    <row r="89" spans="71:72" ht="15" x14ac:dyDescent="0.25">
      <c r="BS89">
        <v>86</v>
      </c>
      <c r="BT89" s="21" t="s">
        <v>923</v>
      </c>
    </row>
    <row r="90" spans="71:72" ht="15" x14ac:dyDescent="0.25">
      <c r="BS90">
        <v>87</v>
      </c>
      <c r="BT90" s="21" t="s">
        <v>924</v>
      </c>
    </row>
    <row r="91" spans="71:72" ht="15" x14ac:dyDescent="0.25">
      <c r="BS91">
        <v>88</v>
      </c>
      <c r="BT91" s="21" t="s">
        <v>925</v>
      </c>
    </row>
    <row r="92" spans="71:72" ht="15" x14ac:dyDescent="0.25">
      <c r="BS92">
        <v>89</v>
      </c>
      <c r="BT92" s="21" t="s">
        <v>926</v>
      </c>
    </row>
    <row r="93" spans="71:72" ht="15" x14ac:dyDescent="0.25">
      <c r="BS93">
        <v>90</v>
      </c>
      <c r="BT93" s="21" t="s">
        <v>927</v>
      </c>
    </row>
    <row r="94" spans="71:72" ht="15" x14ac:dyDescent="0.25">
      <c r="BS94">
        <v>91</v>
      </c>
      <c r="BT94" s="21" t="s">
        <v>928</v>
      </c>
    </row>
    <row r="95" spans="71:72" ht="15" x14ac:dyDescent="0.25">
      <c r="BS95">
        <v>92</v>
      </c>
      <c r="BT95" s="21" t="s">
        <v>929</v>
      </c>
    </row>
    <row r="96" spans="71:72" ht="15" x14ac:dyDescent="0.25">
      <c r="BS96">
        <v>93</v>
      </c>
      <c r="BT96" s="21" t="s">
        <v>930</v>
      </c>
    </row>
    <row r="97" spans="71:72" ht="15" x14ac:dyDescent="0.25">
      <c r="BS97">
        <v>94</v>
      </c>
      <c r="BT97" s="21" t="s">
        <v>941</v>
      </c>
    </row>
    <row r="98" spans="71:72" ht="15" x14ac:dyDescent="0.25">
      <c r="BS98">
        <v>95</v>
      </c>
      <c r="BT98" s="21" t="s">
        <v>931</v>
      </c>
    </row>
    <row r="99" spans="71:72" ht="15" x14ac:dyDescent="0.25">
      <c r="BS99">
        <v>96</v>
      </c>
      <c r="BT99" s="21" t="s">
        <v>932</v>
      </c>
    </row>
    <row r="100" spans="71:72" ht="15" x14ac:dyDescent="0.25">
      <c r="BS100">
        <v>97</v>
      </c>
      <c r="BT100" s="21" t="s">
        <v>933</v>
      </c>
    </row>
    <row r="101" spans="71:72" ht="15" x14ac:dyDescent="0.25">
      <c r="BS101">
        <v>98</v>
      </c>
      <c r="BT101" s="21" t="s">
        <v>942</v>
      </c>
    </row>
    <row r="102" spans="71:72" ht="24.75" customHeight="1" x14ac:dyDescent="0.25"/>
    <row r="103" spans="71:72" ht="24.75" customHeight="1" x14ac:dyDescent="0.25"/>
    <row r="104" spans="71:72" ht="24.75" customHeight="1" x14ac:dyDescent="0.25"/>
    <row r="105" spans="71:72" ht="24.75" customHeight="1" x14ac:dyDescent="0.25"/>
  </sheetData>
  <phoneticPr fontId="14" type="noConversion"/>
  <conditionalFormatting sqref="AN4:AR12 AU5:BB12 P4:U26 W4:AI26 A4:K26 AU4:AV4 AX4:BB4 BF4:BO12">
    <cfRule type="containsText" dxfId="281" priority="16" operator="containsText" text="【">
      <formula>NOT(ISERROR(SEARCH("【",A4)))</formula>
    </cfRule>
  </conditionalFormatting>
  <conditionalFormatting sqref="A4:A26">
    <cfRule type="containsText" dxfId="280" priority="24" operator="containsText" text="【">
      <formula>NOT(ISERROR(SEARCH("【",A4)))</formula>
    </cfRule>
  </conditionalFormatting>
  <conditionalFormatting sqref="R4:X26 AU5:BB12 D4:J26 AU4:AV4 AX4:BB4 BG4:BL12">
    <cfRule type="notContainsBlanks" dxfId="279" priority="6">
      <formula>LEN(TRIM(D4))&gt;0</formula>
    </cfRule>
  </conditionalFormatting>
  <conditionalFormatting sqref="AT1 AT4:AT12">
    <cfRule type="containsText" dxfId="278" priority="7" operator="containsText" text="KT">
      <formula>NOT(ISERROR(SEARCH("KT",AT1)))</formula>
    </cfRule>
    <cfRule type="containsText" dxfId="277" priority="8" operator="containsText" text="JH">
      <formula>NOT(ISERROR(SEARCH("JH",AT1)))</formula>
    </cfRule>
    <cfRule type="containsText" dxfId="276" priority="9" operator="containsText" text="CL">
      <formula>NOT(ISERROR(SEARCH("CL",AT1)))</formula>
    </cfRule>
    <cfRule type="containsText" dxfId="275" priority="10" operator="containsText" text="CY">
      <formula>NOT(ISERROR(SEARCH("CY",AT1)))</formula>
    </cfRule>
    <cfRule type="containsText" dxfId="274" priority="11" operator="containsText" text="ES">
      <formula>NOT(ISERROR(SEARCH("ES",AT1)))</formula>
    </cfRule>
  </conditionalFormatting>
  <conditionalFormatting sqref="BL4:BL12">
    <cfRule type="expression" dxfId="273" priority="1">
      <formula>BK4="地方国企"</formula>
    </cfRule>
  </conditionalFormatting>
  <conditionalFormatting sqref="BL1">
    <cfRule type="containsText" dxfId="272" priority="5" operator="containsText" text="【">
      <formula>NOT(ISERROR(SEARCH("【",BL1)))</formula>
    </cfRule>
  </conditionalFormatting>
  <conditionalFormatting sqref="BL1">
    <cfRule type="notContainsBlanks" dxfId="271" priority="4">
      <formula>LEN(TRIM(BL1))&gt;0</formula>
    </cfRule>
  </conditionalFormatting>
  <conditionalFormatting sqref="BI4:BI12">
    <cfRule type="expression" dxfId="270" priority="14">
      <formula>"BH4=“金融机构"</formula>
    </cfRule>
  </conditionalFormatting>
  <conditionalFormatting sqref="BL1">
    <cfRule type="expression" dxfId="269" priority="26">
      <formula>BJ1="地方国企"</formula>
    </cfRule>
  </conditionalFormatting>
  <dataValidations count="28">
    <dataValidation type="list" allowBlank="1" showInputMessage="1" showErrorMessage="1" sqref="BK1 BK4:BK12" xr:uid="{21783900-F659-4209-99D3-9EAAA747AE7E}">
      <formula1>dd_中资属性</formula1>
    </dataValidation>
    <dataValidation type="list" allowBlank="1" showInputMessage="1" showErrorMessage="1" sqref="BJ1 BH1 BH5:BH12 BK7:BK12" xr:uid="{D6EA802C-C03D-4F7C-B298-9BA437E7E113}">
      <formula1>dd_板块</formula1>
    </dataValidation>
    <dataValidation type="list" allowBlank="1" showInputMessage="1" sqref="AZ1 BA4:BA12" xr:uid="{B88AFDCA-D984-475E-A57B-FF17C86B4C32}">
      <formula1>"--,B&amp;D FOP,B&amp;D DvP,Arranger,DM,CCDC"</formula1>
    </dataValidation>
    <dataValidation type="list" allowBlank="1" showInputMessage="1" sqref="BA1 BB5:BB12" xr:uid="{893BD8AB-C42B-496D-94CE-280D7C470CCE}">
      <formula1>"--,合名"</formula1>
    </dataValidation>
    <dataValidation type="list" allowBlank="1" showInputMessage="1" sqref="AX1 AY4:AY12" xr:uid="{B057F6CA-21EE-45C8-A8C7-A14E2582C2B2}">
      <formula1>dd_BISL_ROLE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S1 S4:S26" xr:uid="{13AE057E-73D1-4DB8-908B-343C193F10E0}"/>
    <dataValidation allowBlank="1" showInputMessage="1" showErrorMessage="1" promptTitle="FPG Format" prompt="No need to write bp_x000a_Decimal follow BBG_x000a__x000a_3.20%_x000a_3.8%_x000a_T+100_x000a_" sqref="T1 T4:T26" xr:uid="{C212CF39-5558-453C-A763-7A5BA0815F8E}"/>
    <dataValidation type="list" allowBlank="1" showInputMessage="1" showErrorMessage="1" sqref="Z1 X4:X26" xr:uid="{56EA2680-AC7C-4E7D-B011-A7C49D1896CF}">
      <formula1>$Z$1</formula1>
    </dataValidation>
    <dataValidation type="list" allowBlank="1" showInputMessage="1" showErrorMessage="1" sqref="AU1 AU4:AU12" xr:uid="{806DA17E-6C99-4E8F-93B4-DD5EFACB4785}">
      <formula1>dd_coverage</formula1>
    </dataValidation>
    <dataValidation type="list" allowBlank="1" showInputMessage="1" showErrorMessage="1" sqref="AV1 AV4:AV12" xr:uid="{D48692D9-546D-4628-B165-191D5F4E316F}">
      <formula1>dd_sfcrole</formula1>
    </dataValidation>
    <dataValidation type="list" allowBlank="1" showInputMessage="1" sqref="AB1 Y4:Y26" xr:uid="{0001E9C4-7263-406F-9DE8-65474CD465FF}">
      <formula1>dd_货币</formula1>
    </dataValidation>
    <dataValidation type="list" allowBlank="1" showInputMessage="1" sqref="AA1 G1 G4:G26" xr:uid="{F60F4280-0C71-409D-8E70-6CF8A45A7597}">
      <formula1>dd_结构</formula1>
    </dataValidation>
    <dataValidation type="list" allowBlank="1" showInputMessage="1" sqref="H1 H4:H26" xr:uid="{6B8C3309-DC6D-4B4D-93DE-3960B062B7B9}">
      <formula1>dd_备证行</formula1>
    </dataValidation>
    <dataValidation type="list" allowBlank="1" showInputMessage="1" showErrorMessage="1" errorTitle="Clear Cell Value" error="If there is no need to hide or delete anymore" sqref="F1" xr:uid="{DA7C80CD-C5AA-424B-9579-A32820154BDD}">
      <formula1>"【删除】,【隐藏】"</formula1>
    </dataValidation>
    <dataValidation type="list" allowBlank="1" showInputMessage="1" showErrorMessage="1" errorTitle="Clear Cell Value" error="If there is no need to hide or delete anymore" sqref="A4:A26" xr:uid="{56792CC8-3F32-4DE2-B7D5-628372FBAE35}">
      <formula1>"【FIMTN],【删除】,【隐藏】"</formula1>
    </dataValidation>
    <dataValidation type="list" allowBlank="1" showInputMessage="1" sqref="R1 R4:R26" xr:uid="{1862B695-0A91-48C6-A1EB-19EEA1AF08B3}">
      <formula1>INDIRECT($R$3)</formula1>
    </dataValidation>
    <dataValidation type="list" allowBlank="1" showInputMessage="1" showErrorMessage="1" sqref="J4:J26" xr:uid="{DFDED791-1C59-4A48-B46F-7337B5BEBA24}">
      <formula1>INDIRECT($I$3)</formula1>
    </dataValidation>
    <dataValidation type="list" errorStyle="warning" allowBlank="1" showInputMessage="1" showErrorMessage="1" sqref="V4:V26" xr:uid="{39C0DF6D-EF9E-44EB-A260-3F1947B4B45E}">
      <formula1>INDIRECT($V$3)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I1 I4:I26" xr:uid="{D6479CC3-4870-49E0-9D0E-D03A74F4F2AA}">
      <formula1>INDIRECT($I$3)</formula1>
    </dataValidation>
    <dataValidation allowBlank="1" showInputMessage="1" showErrorMessage="1" promptTitle="定价" prompt="指定价息差，仅适用于以息差定价的交易，以绝对收益率定价的交易将返回空白值" sqref="W1 W4:W26" xr:uid="{03709F27-884C-4F5B-B1BA-E3C9B93BACCC}"/>
    <dataValidation type="list" allowBlank="1" showErrorMessage="1" promptTitle="⚠️Change Updator" prompt="will wipe out  last week's results" sqref="AT1 AT4:AT12" xr:uid="{59798641-AF25-4C44-B685-80C32F57C626}">
      <formula1>dd_updator</formula1>
    </dataValidation>
    <dataValidation type="list" allowBlank="1" showInputMessage="1" sqref="BH4 BK4:BK6" xr:uid="{73EC1308-4302-4BCA-90F9-0A0725271E60}">
      <formula1>dd_板块</formula1>
    </dataValidation>
    <dataValidation type="list" allowBlank="1" showInputMessage="1" sqref="BI1" xr:uid="{1B7EE69C-BBF8-4552-B681-24C5F6639F87}">
      <formula1>INDIRECT(BH1)</formula1>
    </dataValidation>
    <dataValidation type="list" errorStyle="warning" allowBlank="1" showInputMessage="1" showErrorMessage="1" sqref="BI4:BJ12 BL4:BL12" xr:uid="{4A2AF2EC-64E7-4320-89FB-28779A8EE326}">
      <formula1>INDIRECT(BH4)</formula1>
    </dataValidation>
    <dataValidation type="list" errorStyle="warning" allowBlank="1" showInputMessage="1" showErrorMessage="1" sqref="BL1" xr:uid="{781A2A31-EC44-408B-9ACF-2045E3586984}">
      <formula1>INDIRECT(BJ1)</formula1>
    </dataValidation>
    <dataValidation allowBlank="1" showInputMessage="1" showErrorMessage="1" prompt="【央企本央】_x000a_全称以&quot;中国&quot;/&quot;国家&quot;开头的，简称同样以&quot;中国&quot;/&quot;国家&quot;开头；_x000a__x000a_【央企(子)】_x000a_仅以&quot;中&quot;或&quot;国&quot;开头;_x000a__x000a_【地方国企】_x000a_全名以省/市名开头的，简称开头保留地域信息" sqref="BG1 BG4:BG12" xr:uid="{D2DF5943-91E3-41AB-B9D2-B99067FDAB5B}"/>
    <dataValidation type="list" allowBlank="1" showInputMessage="1" showErrorMessage="1" sqref="BM4:BM12" xr:uid="{AE973D9A-0C6C-44E8-B8D4-1B96EDD50829}">
      <formula1>INDIRECT($BM$3)</formula1>
    </dataValidation>
    <dataValidation type="list" allowBlank="1" showInputMessage="1" showErrorMessage="1" promptTitle="Lead已改为Active" prompt="." sqref="AY1 AZ4:AZ12" xr:uid="{0C91AE2C-E722-46F4-AE79-D22332911574}">
      <formula1>"--,Sole,Left-lead,Active"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RefreshAll">
                <anchor moveWithCells="1">
                  <from>
                    <xdr:col>75</xdr:col>
                    <xdr:colOff>133350</xdr:colOff>
                    <xdr:row>11</xdr:row>
                    <xdr:rowOff>9525</xdr:rowOff>
                  </from>
                  <to>
                    <xdr:col>79</xdr:col>
                    <xdr:colOff>47625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>
    <tabColor rgb="FF234473"/>
  </sheetPr>
  <dimension ref="B1:DH19"/>
  <sheetViews>
    <sheetView zoomScale="85" zoomScaleNormal="85" workbookViewId="0">
      <selection activeCell="S17" sqref="S17"/>
    </sheetView>
  </sheetViews>
  <sheetFormatPr defaultRowHeight="15" x14ac:dyDescent="0.25"/>
  <cols>
    <col min="1" max="1" width="11.109375" style="1" bestFit="1" customWidth="1"/>
    <col min="2" max="2" width="7.109375" style="1" bestFit="1" customWidth="1"/>
    <col min="3" max="3" width="10.88671875" style="1" bestFit="1" customWidth="1"/>
    <col min="4" max="4" width="28.109375" style="1" bestFit="1" customWidth="1"/>
    <col min="5" max="5" width="13.33203125" style="1" bestFit="1" customWidth="1"/>
    <col min="6" max="6" width="10.33203125" style="1" bestFit="1" customWidth="1"/>
    <col min="7" max="8" width="9.21875" style="1" bestFit="1" customWidth="1"/>
    <col min="9" max="9" width="12.5546875" style="1" bestFit="1" customWidth="1"/>
    <col min="10" max="10" width="5.88671875" style="1" bestFit="1" customWidth="1"/>
    <col min="11" max="11" width="12" style="1" bestFit="1" customWidth="1"/>
    <col min="12" max="12" width="5.88671875" style="1" bestFit="1" customWidth="1"/>
    <col min="13" max="13" width="8.5546875" style="1" bestFit="1" customWidth="1"/>
    <col min="14" max="14" width="10.44140625" style="1" bestFit="1" customWidth="1"/>
    <col min="15" max="16" width="8.5546875" style="1" bestFit="1" customWidth="1"/>
    <col min="17" max="18" width="9.21875" style="1" bestFit="1" customWidth="1"/>
    <col min="19" max="19" width="7.5546875" style="1" bestFit="1" customWidth="1"/>
    <col min="20" max="20" width="5.88671875" style="1" bestFit="1" customWidth="1"/>
    <col min="21" max="21" width="16.77734375" style="1" bestFit="1" customWidth="1"/>
    <col min="22" max="23" width="10.88671875" style="1" bestFit="1" customWidth="1"/>
    <col min="24" max="25" width="9.21875" style="1" bestFit="1" customWidth="1"/>
    <col min="26" max="26" width="10.33203125" style="1" bestFit="1" customWidth="1"/>
    <col min="27" max="27" width="10.88671875" style="1" bestFit="1" customWidth="1"/>
    <col min="28" max="28" width="10.33203125" style="1" bestFit="1" customWidth="1"/>
    <col min="29" max="29" width="7.5546875" style="1" bestFit="1" customWidth="1"/>
    <col min="30" max="30" width="7" style="1" bestFit="1" customWidth="1"/>
    <col min="31" max="31" width="7.5546875" style="1" bestFit="1" customWidth="1"/>
    <col min="32" max="32" width="8.33203125" style="1" bestFit="1" customWidth="1"/>
    <col min="33" max="33" width="10.88671875" style="1" bestFit="1" customWidth="1"/>
    <col min="34" max="34" width="14.21875" style="1" bestFit="1" customWidth="1"/>
    <col min="35" max="35" width="9.21875" style="1" bestFit="1" customWidth="1"/>
    <col min="36" max="36" width="40.21875" style="1" bestFit="1" customWidth="1"/>
    <col min="37" max="37" width="56.77734375" style="1" bestFit="1" customWidth="1"/>
    <col min="38" max="38" width="14.21875" style="1" bestFit="1" customWidth="1"/>
    <col min="39" max="39" width="21.33203125" style="1" bestFit="1" customWidth="1"/>
    <col min="40" max="40" width="5.77734375" style="1" bestFit="1" customWidth="1"/>
    <col min="41" max="41" width="9.21875" style="1" bestFit="1" customWidth="1"/>
    <col min="42" max="42" width="5.88671875" style="1" bestFit="1" customWidth="1"/>
    <col min="43" max="43" width="9.21875" style="1" bestFit="1" customWidth="1"/>
    <col min="44" max="44" width="10" style="1" bestFit="1" customWidth="1"/>
    <col min="45" max="45" width="12.44140625" style="1" bestFit="1" customWidth="1"/>
    <col min="46" max="46" width="80.88671875" style="1" bestFit="1" customWidth="1"/>
    <col min="47" max="47" width="50.44140625" style="1" bestFit="1" customWidth="1"/>
    <col min="48" max="48" width="9.21875" style="1" bestFit="1" customWidth="1"/>
    <col min="49" max="49" width="12" style="1" bestFit="1" customWidth="1"/>
    <col min="50" max="50" width="9.33203125" style="1" bestFit="1" customWidth="1"/>
    <col min="51" max="51" width="11.5546875" style="1" bestFit="1" customWidth="1"/>
    <col min="52" max="52" width="19.44140625" style="1" bestFit="1" customWidth="1"/>
    <col min="53" max="53" width="10.5546875" style="1" bestFit="1" customWidth="1"/>
    <col min="54" max="54" width="16.6640625" style="1" bestFit="1" customWidth="1"/>
    <col min="55" max="55" width="5.5546875" style="1" bestFit="1" customWidth="1"/>
    <col min="56" max="56" width="12.88671875" style="1" bestFit="1" customWidth="1"/>
    <col min="57" max="57" width="15.21875" style="1" bestFit="1" customWidth="1"/>
    <col min="58" max="58" width="5.88671875" style="1" bestFit="1" customWidth="1"/>
    <col min="59" max="59" width="11.109375" style="1" bestFit="1" customWidth="1"/>
    <col min="60" max="60" width="9.21875" style="1" bestFit="1" customWidth="1"/>
    <col min="61" max="61" width="8.77734375" style="1" bestFit="1" customWidth="1"/>
    <col min="62" max="63" width="9.21875" style="1" bestFit="1" customWidth="1"/>
    <col min="64" max="64" width="11.44140625" style="1" bestFit="1" customWidth="1"/>
    <col min="65" max="65" width="11.5546875" style="1" bestFit="1" customWidth="1"/>
    <col min="66" max="67" width="14.109375" style="1" bestFit="1" customWidth="1"/>
    <col min="68" max="68" width="14.21875" style="1" bestFit="1" customWidth="1"/>
    <col min="69" max="69" width="9.21875" style="1" bestFit="1" customWidth="1"/>
    <col min="70" max="71" width="10.88671875" style="1" bestFit="1" customWidth="1"/>
    <col min="72" max="72" width="9.21875" style="1" bestFit="1" customWidth="1"/>
    <col min="73" max="73" width="11.33203125" style="1" bestFit="1" customWidth="1"/>
    <col min="74" max="74" width="13.77734375" style="1" bestFit="1" customWidth="1"/>
    <col min="75" max="75" width="10.33203125" style="1" bestFit="1" customWidth="1"/>
    <col min="76" max="76" width="7.6640625" style="1" bestFit="1" customWidth="1"/>
    <col min="77" max="77" width="8.44140625" style="1" bestFit="1" customWidth="1"/>
    <col min="78" max="78" width="14.44140625" style="1" bestFit="1" customWidth="1"/>
    <col min="79" max="79" width="7.6640625" style="1" bestFit="1" customWidth="1"/>
    <col min="80" max="82" width="9.21875" style="1" bestFit="1" customWidth="1"/>
    <col min="83" max="83" width="6" style="1" bestFit="1" customWidth="1"/>
    <col min="84" max="84" width="5.88671875" style="1" bestFit="1" customWidth="1"/>
    <col min="85" max="86" width="6" style="1" bestFit="1" customWidth="1"/>
    <col min="87" max="87" width="10.88671875" style="1" bestFit="1" customWidth="1"/>
    <col min="88" max="88" width="14.21875" style="1" bestFit="1" customWidth="1"/>
    <col min="89" max="89" width="9.44140625" style="1" bestFit="1" customWidth="1"/>
    <col min="90" max="90" width="9.109375" style="1" bestFit="1" customWidth="1"/>
    <col min="91" max="91" width="9.33203125" style="1" bestFit="1" customWidth="1"/>
    <col min="92" max="92" width="10.88671875" style="1" bestFit="1" customWidth="1"/>
    <col min="93" max="93" width="13.33203125" style="1" bestFit="1" customWidth="1"/>
    <col min="94" max="94" width="9.44140625" style="1" bestFit="1" customWidth="1"/>
    <col min="95" max="95" width="9.109375" style="1" customWidth="1"/>
    <col min="96" max="96" width="9.33203125" style="1" bestFit="1" customWidth="1"/>
    <col min="97" max="97" width="11.109375" style="1" bestFit="1" customWidth="1"/>
    <col min="98" max="98" width="13.5546875" style="1" bestFit="1" customWidth="1"/>
    <col min="99" max="100" width="9.33203125" style="1" bestFit="1" customWidth="1"/>
    <col min="101" max="103" width="6.109375" style="1" bestFit="1" customWidth="1"/>
    <col min="104" max="104" width="11.109375" style="1" bestFit="1" customWidth="1"/>
    <col min="105" max="105" width="13.5546875" style="1" bestFit="1" customWidth="1"/>
    <col min="106" max="106" width="6.109375" style="1" bestFit="1" customWidth="1"/>
    <col min="107" max="107" width="9.33203125" style="1" bestFit="1" customWidth="1"/>
    <col min="108" max="108" width="9.21875" style="1" bestFit="1" customWidth="1"/>
    <col min="109" max="109" width="10.33203125" style="1" bestFit="1" customWidth="1"/>
    <col min="110" max="110" width="9.33203125" style="1" bestFit="1" customWidth="1"/>
    <col min="111" max="112" width="6" style="1" bestFit="1" customWidth="1"/>
    <col min="113" max="113" width="9.21875" style="1" bestFit="1" customWidth="1"/>
    <col min="114" max="114" width="7.5546875" style="1" bestFit="1" customWidth="1"/>
    <col min="115" max="115" width="14.88671875" style="1" bestFit="1" customWidth="1"/>
    <col min="116" max="116" width="31.5546875" style="1" bestFit="1" customWidth="1"/>
    <col min="117" max="118" width="9.21875" style="1" bestFit="1" customWidth="1"/>
    <col min="119" max="119" width="12.5546875" style="1" bestFit="1" customWidth="1"/>
    <col min="120" max="120" width="37.33203125" style="1" bestFit="1" customWidth="1"/>
    <col min="121" max="121" width="10.33203125" style="1" bestFit="1" customWidth="1"/>
    <col min="122" max="122" width="10.21875" style="1" bestFit="1" customWidth="1"/>
    <col min="123" max="123" width="12" style="1" bestFit="1" customWidth="1"/>
    <col min="124" max="124" width="9.21875" style="1" bestFit="1" customWidth="1"/>
    <col min="125" max="125" width="12.5546875" style="1" bestFit="1" customWidth="1"/>
    <col min="126" max="126" width="10" style="1" bestFit="1" customWidth="1"/>
    <col min="127" max="127" width="21.5546875" style="1" bestFit="1" customWidth="1"/>
    <col min="128" max="128" width="12" style="1" bestFit="1" customWidth="1"/>
    <col min="129" max="129" width="10.88671875" style="1" bestFit="1" customWidth="1"/>
    <col min="130" max="130" width="9.33203125" style="1" bestFit="1" customWidth="1"/>
    <col min="131" max="131" width="5.88671875" style="1" bestFit="1" customWidth="1"/>
    <col min="132" max="132" width="10.88671875" style="1" bestFit="1" customWidth="1"/>
    <col min="133" max="133" width="14.21875" style="1" bestFit="1" customWidth="1"/>
    <col min="134" max="134" width="80.88671875" style="1" bestFit="1" customWidth="1"/>
    <col min="135" max="135" width="9.21875" style="1" bestFit="1" customWidth="1"/>
    <col min="136" max="136" width="11" style="1" bestFit="1" customWidth="1"/>
    <col min="137" max="137" width="80.88671875" style="1" bestFit="1" customWidth="1"/>
    <col min="138" max="139" width="9.21875" style="1" bestFit="1" customWidth="1"/>
    <col min="140" max="140" width="7.6640625" style="1" bestFit="1" customWidth="1"/>
    <col min="141" max="142" width="6.77734375" style="1" bestFit="1" customWidth="1"/>
    <col min="143" max="143" width="5.88671875" style="1" bestFit="1" customWidth="1"/>
    <col min="144" max="144" width="7.6640625" style="1" bestFit="1" customWidth="1"/>
    <col min="145" max="146" width="6.77734375" style="1" bestFit="1" customWidth="1"/>
    <col min="147" max="147" width="6.109375" style="1" bestFit="1" customWidth="1"/>
    <col min="148" max="148" width="14.88671875" style="1" bestFit="1" customWidth="1"/>
    <col min="149" max="149" width="9.44140625" style="1" bestFit="1" customWidth="1"/>
    <col min="150" max="150" width="8.109375" style="1" bestFit="1" customWidth="1"/>
    <col min="151" max="151" width="7.33203125" style="1" bestFit="1" customWidth="1"/>
    <col min="152" max="152" width="9.44140625" style="1" bestFit="1" customWidth="1"/>
    <col min="153" max="153" width="14" style="1" bestFit="1" customWidth="1"/>
    <col min="154" max="154" width="13.109375" style="1" bestFit="1" customWidth="1"/>
    <col min="155" max="155" width="16.5546875" style="1" bestFit="1" customWidth="1"/>
    <col min="156" max="156" width="11.109375" style="1" bestFit="1" customWidth="1"/>
    <col min="157" max="157" width="14.44140625" style="1" bestFit="1" customWidth="1"/>
    <col min="158" max="158" width="10" style="1" bestFit="1" customWidth="1"/>
    <col min="159" max="159" width="10.33203125" style="1" bestFit="1" customWidth="1"/>
    <col min="160" max="160" width="9.44140625" style="1" bestFit="1" customWidth="1"/>
    <col min="161" max="161" width="12.6640625" style="1" bestFit="1" customWidth="1"/>
    <col min="162" max="162" width="15.5546875" style="1" bestFit="1" customWidth="1"/>
    <col min="163" max="163" width="9.44140625" style="1" bestFit="1" customWidth="1"/>
    <col min="164" max="164" width="7.6640625" style="1" bestFit="1" customWidth="1"/>
    <col min="165" max="165" width="8.109375" style="1" bestFit="1" customWidth="1"/>
    <col min="166" max="167" width="6.77734375" style="1" bestFit="1" customWidth="1"/>
    <col min="168" max="168" width="6.109375" style="1" bestFit="1" customWidth="1"/>
    <col min="169" max="169" width="14.88671875" style="1" bestFit="1" customWidth="1"/>
    <col min="170" max="170" width="9.44140625" style="1" bestFit="1" customWidth="1"/>
    <col min="171" max="171" width="8.109375" style="1" customWidth="1"/>
    <col min="172" max="172" width="9.44140625" style="1" bestFit="1" customWidth="1"/>
    <col min="173" max="173" width="12.77734375" style="1" bestFit="1" customWidth="1"/>
    <col min="174" max="176" width="9.44140625" style="1" bestFit="1" customWidth="1"/>
    <col min="177" max="177" width="8.33203125" style="1" bestFit="1" customWidth="1"/>
    <col min="178" max="178" width="12.77734375" style="1" bestFit="1" customWidth="1"/>
    <col min="179" max="179" width="9.33203125" style="1" bestFit="1" customWidth="1"/>
    <col min="180" max="181" width="9.44140625" style="1" bestFit="1" customWidth="1"/>
    <col min="182" max="182" width="15.33203125" style="1" bestFit="1" customWidth="1"/>
    <col min="183" max="183" width="6.109375" style="1" bestFit="1" customWidth="1"/>
    <col min="184" max="184" width="9.44140625" style="1" bestFit="1" customWidth="1"/>
    <col min="185" max="185" width="12.6640625" style="1" bestFit="1" customWidth="1"/>
    <col min="186" max="186" width="9.21875" style="1" bestFit="1" customWidth="1"/>
    <col min="187" max="188" width="10.6640625" style="1" bestFit="1" customWidth="1"/>
    <col min="189" max="189" width="6.109375" style="1" bestFit="1" customWidth="1"/>
    <col min="190" max="190" width="15.88671875" style="1" bestFit="1" customWidth="1"/>
    <col min="191" max="191" width="15.6640625" style="1" bestFit="1" customWidth="1"/>
    <col min="192" max="192" width="26.6640625" style="1" bestFit="1" customWidth="1"/>
    <col min="193" max="193" width="12.21875" style="1" bestFit="1" customWidth="1"/>
    <col min="194" max="194" width="17.44140625" style="1" bestFit="1" customWidth="1"/>
    <col min="195" max="195" width="12.21875" style="1" bestFit="1" customWidth="1"/>
    <col min="196" max="196" width="17.44140625" style="1" bestFit="1" customWidth="1"/>
    <col min="197" max="197" width="6.109375" style="1" bestFit="1" customWidth="1"/>
    <col min="198" max="198" width="9.44140625" style="1" bestFit="1" customWidth="1"/>
    <col min="199" max="199" width="12.6640625" style="1" bestFit="1" customWidth="1"/>
    <col min="200" max="200" width="9.21875" style="1" bestFit="1" customWidth="1"/>
    <col min="201" max="201" width="9.33203125" style="1" bestFit="1" customWidth="1"/>
    <col min="202" max="202" width="9.44140625" style="1" bestFit="1" customWidth="1"/>
    <col min="203" max="203" width="6.109375" style="1" bestFit="1" customWidth="1"/>
    <col min="204" max="204" width="15.88671875" style="1" bestFit="1" customWidth="1"/>
    <col min="205" max="205" width="15.6640625" style="1" bestFit="1" customWidth="1"/>
    <col min="206" max="206" width="26" style="1" bestFit="1" customWidth="1"/>
    <col min="207" max="207" width="13.77734375" style="1" bestFit="1" customWidth="1"/>
    <col min="208" max="208" width="10.77734375" style="1" bestFit="1" customWidth="1"/>
    <col min="209" max="209" width="17.44140625" style="1" bestFit="1" customWidth="1"/>
    <col min="210" max="16384" width="8.88671875" style="1"/>
  </cols>
  <sheetData>
    <row r="1" spans="2:112" ht="88.5" customHeight="1" x14ac:dyDescent="0.25"/>
    <row r="6" spans="2:112" x14ac:dyDescent="0.25">
      <c r="B6" t="s">
        <v>83</v>
      </c>
      <c r="C6" t="s">
        <v>280</v>
      </c>
      <c r="D6" t="s">
        <v>91</v>
      </c>
      <c r="E6" t="s">
        <v>46</v>
      </c>
      <c r="F6" t="s">
        <v>47</v>
      </c>
      <c r="G6" t="s">
        <v>119</v>
      </c>
      <c r="H6" t="s">
        <v>144</v>
      </c>
      <c r="I6" t="s">
        <v>49</v>
      </c>
      <c r="J6" t="s">
        <v>62</v>
      </c>
      <c r="K6" t="s">
        <v>55</v>
      </c>
      <c r="L6" t="s">
        <v>84</v>
      </c>
      <c r="M6" t="s">
        <v>114</v>
      </c>
      <c r="N6" t="s">
        <v>85</v>
      </c>
      <c r="O6" t="s">
        <v>51</v>
      </c>
      <c r="P6" t="s">
        <v>132</v>
      </c>
      <c r="Q6" t="s">
        <v>134</v>
      </c>
      <c r="R6" t="s">
        <v>135</v>
      </c>
      <c r="S6" t="s">
        <v>57</v>
      </c>
      <c r="T6" t="s">
        <v>87</v>
      </c>
      <c r="U6" t="s">
        <v>88</v>
      </c>
      <c r="V6" t="s">
        <v>151</v>
      </c>
      <c r="W6" t="s">
        <v>152</v>
      </c>
      <c r="X6" t="s">
        <v>122</v>
      </c>
      <c r="Y6" t="s">
        <v>78</v>
      </c>
      <c r="Z6" t="s">
        <v>64</v>
      </c>
      <c r="AA6" t="s">
        <v>67</v>
      </c>
      <c r="AB6" t="s">
        <v>50</v>
      </c>
      <c r="AC6" t="s">
        <v>140</v>
      </c>
      <c r="AD6" t="s">
        <v>141</v>
      </c>
      <c r="AE6" t="s">
        <v>174</v>
      </c>
      <c r="AF6" t="s">
        <v>515</v>
      </c>
      <c r="AG6" t="s">
        <v>192</v>
      </c>
      <c r="AH6" t="s">
        <v>213</v>
      </c>
      <c r="AI6" t="s">
        <v>172</v>
      </c>
      <c r="AJ6" t="s">
        <v>68</v>
      </c>
      <c r="AK6" t="s">
        <v>69</v>
      </c>
      <c r="AL6" t="s">
        <v>79</v>
      </c>
      <c r="AM6" t="s">
        <v>790</v>
      </c>
      <c r="AN6" t="s">
        <v>120</v>
      </c>
      <c r="AO6" t="s">
        <v>331</v>
      </c>
      <c r="AP6" t="s">
        <v>177</v>
      </c>
      <c r="AQ6" t="s">
        <v>173</v>
      </c>
      <c r="AR6" t="s">
        <v>178</v>
      </c>
      <c r="AS6" t="s">
        <v>179</v>
      </c>
      <c r="AT6" t="s">
        <v>234</v>
      </c>
      <c r="AU6" t="s">
        <v>185</v>
      </c>
      <c r="AV6" t="s">
        <v>163</v>
      </c>
      <c r="AW6" t="s">
        <v>268</v>
      </c>
      <c r="AX6" t="s">
        <v>136</v>
      </c>
      <c r="AY6" t="s">
        <v>180</v>
      </c>
      <c r="AZ6" t="s">
        <v>121</v>
      </c>
      <c r="BA6" t="s">
        <v>513</v>
      </c>
      <c r="BB6" t="s">
        <v>551</v>
      </c>
      <c r="BC6" t="s">
        <v>552</v>
      </c>
      <c r="BD6" t="s">
        <v>553</v>
      </c>
      <c r="BE6" t="s">
        <v>148</v>
      </c>
      <c r="BF6" t="s">
        <v>137</v>
      </c>
      <c r="BG6" t="s">
        <v>128</v>
      </c>
      <c r="BH6" t="s">
        <v>138</v>
      </c>
      <c r="BI6" t="s">
        <v>165</v>
      </c>
      <c r="BJ6" t="s">
        <v>164</v>
      </c>
      <c r="BK6" t="s">
        <v>166</v>
      </c>
      <c r="BL6" t="s">
        <v>139</v>
      </c>
      <c r="BM6" t="s">
        <v>554</v>
      </c>
      <c r="BN6" t="s">
        <v>555</v>
      </c>
      <c r="BO6" t="s">
        <v>556</v>
      </c>
      <c r="BP6" t="s">
        <v>557</v>
      </c>
      <c r="BQ6" t="s">
        <v>558</v>
      </c>
      <c r="BR6" t="s">
        <v>559</v>
      </c>
      <c r="BS6" t="s">
        <v>560</v>
      </c>
      <c r="BT6" t="s">
        <v>168</v>
      </c>
      <c r="BU6" t="s">
        <v>289</v>
      </c>
      <c r="BV6" t="s">
        <v>523</v>
      </c>
      <c r="BW6" t="s">
        <v>221</v>
      </c>
      <c r="BX6" t="s">
        <v>511</v>
      </c>
      <c r="BY6" t="s">
        <v>514</v>
      </c>
      <c r="BZ6" t="s">
        <v>785</v>
      </c>
      <c r="CA6" t="s">
        <v>188</v>
      </c>
      <c r="CB6" t="s">
        <v>604</v>
      </c>
      <c r="CC6" t="s">
        <v>605</v>
      </c>
      <c r="CD6" t="s">
        <v>169</v>
      </c>
      <c r="CE6" t="s">
        <v>606</v>
      </c>
      <c r="CF6" t="s">
        <v>86</v>
      </c>
      <c r="CG6" t="s">
        <v>43</v>
      </c>
      <c r="CH6" t="s">
        <v>44</v>
      </c>
      <c r="CI6" t="s">
        <v>190</v>
      </c>
      <c r="CJ6" t="s">
        <v>786</v>
      </c>
      <c r="CK6" t="s">
        <v>566</v>
      </c>
      <c r="CL6" t="s">
        <v>512</v>
      </c>
    </row>
    <row r="7" spans="2:112" x14ac:dyDescent="0.25">
      <c r="B7">
        <v>13</v>
      </c>
      <c r="C7" t="s">
        <v>89</v>
      </c>
      <c r="D7" t="s">
        <v>972</v>
      </c>
      <c r="E7" t="s">
        <v>973</v>
      </c>
      <c r="F7" s="31">
        <v>45247</v>
      </c>
      <c r="G7" t="s">
        <v>80</v>
      </c>
      <c r="H7" t="s">
        <v>80</v>
      </c>
      <c r="I7" t="s">
        <v>6</v>
      </c>
      <c r="J7" t="s">
        <v>103</v>
      </c>
      <c r="K7">
        <v>3.34</v>
      </c>
      <c r="L7" t="s">
        <v>131</v>
      </c>
      <c r="M7" t="s">
        <v>980</v>
      </c>
      <c r="N7" t="s">
        <v>6</v>
      </c>
      <c r="O7" t="s">
        <v>980</v>
      </c>
      <c r="P7" t="s">
        <v>6</v>
      </c>
      <c r="Q7" t="s">
        <v>6</v>
      </c>
      <c r="R7" t="s">
        <v>111</v>
      </c>
      <c r="S7">
        <v>100</v>
      </c>
      <c r="T7" t="s">
        <v>37</v>
      </c>
      <c r="U7" t="s">
        <v>6</v>
      </c>
      <c r="V7" t="s">
        <v>6</v>
      </c>
      <c r="W7" t="s">
        <v>6</v>
      </c>
      <c r="X7" t="s">
        <v>89</v>
      </c>
      <c r="Y7" t="s">
        <v>89</v>
      </c>
      <c r="Z7" s="31">
        <v>45254</v>
      </c>
      <c r="AA7" s="31"/>
      <c r="AB7" s="31">
        <v>46350</v>
      </c>
      <c r="AC7">
        <v>0.45800000000000002</v>
      </c>
      <c r="AD7">
        <v>3.34</v>
      </c>
      <c r="AE7">
        <v>3.585</v>
      </c>
      <c r="AF7" t="s">
        <v>89</v>
      </c>
      <c r="AG7" s="129"/>
      <c r="AH7" t="s">
        <v>6</v>
      </c>
      <c r="AI7" t="s">
        <v>89</v>
      </c>
      <c r="AJ7" t="s">
        <v>974</v>
      </c>
      <c r="AK7" t="s">
        <v>975</v>
      </c>
      <c r="AL7" t="s">
        <v>89</v>
      </c>
      <c r="AM7" t="s">
        <v>89</v>
      </c>
      <c r="AN7" t="s">
        <v>89</v>
      </c>
      <c r="AO7" t="s">
        <v>6</v>
      </c>
      <c r="AP7" t="s">
        <v>89</v>
      </c>
      <c r="AQ7" t="s">
        <v>89</v>
      </c>
      <c r="AR7" t="s">
        <v>6</v>
      </c>
      <c r="AS7" t="s">
        <v>89</v>
      </c>
      <c r="AT7" t="s">
        <v>89</v>
      </c>
      <c r="AU7" t="s">
        <v>89</v>
      </c>
      <c r="AV7" t="s">
        <v>89</v>
      </c>
      <c r="AW7" t="s">
        <v>976</v>
      </c>
      <c r="AX7" t="s">
        <v>89</v>
      </c>
      <c r="AY7" s="125"/>
      <c r="AZ7" t="s">
        <v>978</v>
      </c>
      <c r="BA7" t="s">
        <v>503</v>
      </c>
      <c r="BB7" s="31"/>
      <c r="BC7" t="s">
        <v>89</v>
      </c>
      <c r="BD7"/>
      <c r="BE7" t="s">
        <v>89</v>
      </c>
      <c r="BF7" t="s">
        <v>89</v>
      </c>
      <c r="BG7" t="s">
        <v>6</v>
      </c>
      <c r="BH7" t="s">
        <v>89</v>
      </c>
      <c r="BI7" t="s">
        <v>6</v>
      </c>
      <c r="BJ7" t="s">
        <v>6</v>
      </c>
      <c r="BK7" t="s">
        <v>6</v>
      </c>
      <c r="BL7" t="s">
        <v>89</v>
      </c>
      <c r="BM7" t="s">
        <v>89</v>
      </c>
      <c r="BN7"/>
      <c r="BO7"/>
      <c r="BP7" t="s">
        <v>89</v>
      </c>
      <c r="BQ7" t="s">
        <v>89</v>
      </c>
      <c r="BR7" s="121"/>
      <c r="BS7"/>
      <c r="BT7" t="s">
        <v>89</v>
      </c>
      <c r="BU7" t="s">
        <v>89</v>
      </c>
      <c r="BV7" t="s">
        <v>89</v>
      </c>
      <c r="BW7"/>
      <c r="BX7" t="s">
        <v>89</v>
      </c>
      <c r="BY7"/>
      <c r="BZ7" t="s">
        <v>981</v>
      </c>
      <c r="CA7" t="s">
        <v>210</v>
      </c>
      <c r="CB7" t="s">
        <v>6</v>
      </c>
      <c r="CC7" t="s">
        <v>6</v>
      </c>
      <c r="CD7" t="s">
        <v>160</v>
      </c>
      <c r="CE7" t="s">
        <v>628</v>
      </c>
      <c r="CF7" t="s">
        <v>9</v>
      </c>
      <c r="CG7" t="s">
        <v>982</v>
      </c>
      <c r="CH7" t="s">
        <v>983</v>
      </c>
      <c r="CI7" s="125"/>
      <c r="CJ7" s="125">
        <v>45247</v>
      </c>
      <c r="CK7"/>
      <c r="CL7" t="s">
        <v>503</v>
      </c>
      <c r="CZ7" s="17"/>
      <c r="DH7" s="17"/>
    </row>
    <row r="8" spans="2:112" x14ac:dyDescent="0.25">
      <c r="B8">
        <v>12</v>
      </c>
      <c r="C8" t="s">
        <v>89</v>
      </c>
      <c r="D8" t="s">
        <v>947</v>
      </c>
      <c r="E8" t="s">
        <v>948</v>
      </c>
      <c r="F8" s="31">
        <v>45247</v>
      </c>
      <c r="G8" t="s">
        <v>80</v>
      </c>
      <c r="H8" t="s">
        <v>80</v>
      </c>
      <c r="I8" t="s">
        <v>319</v>
      </c>
      <c r="J8" t="s">
        <v>82</v>
      </c>
      <c r="K8">
        <v>1</v>
      </c>
      <c r="L8" t="s">
        <v>131</v>
      </c>
      <c r="M8" t="s">
        <v>949</v>
      </c>
      <c r="N8" t="s">
        <v>6</v>
      </c>
      <c r="O8" t="s">
        <v>949</v>
      </c>
      <c r="P8" t="s">
        <v>6</v>
      </c>
      <c r="Q8" t="s">
        <v>6</v>
      </c>
      <c r="R8" t="s">
        <v>111</v>
      </c>
      <c r="S8">
        <v>100</v>
      </c>
      <c r="T8" t="s">
        <v>35</v>
      </c>
      <c r="U8" t="s">
        <v>231</v>
      </c>
      <c r="V8" t="s">
        <v>6</v>
      </c>
      <c r="W8" t="s">
        <v>6</v>
      </c>
      <c r="X8" t="s">
        <v>89</v>
      </c>
      <c r="Y8" t="s">
        <v>115</v>
      </c>
      <c r="Z8" s="31">
        <v>45254</v>
      </c>
      <c r="AA8" s="31">
        <v>45436</v>
      </c>
      <c r="AB8" s="31">
        <v>46350</v>
      </c>
      <c r="AC8">
        <v>1</v>
      </c>
      <c r="AD8">
        <v>7.2930000000000001</v>
      </c>
      <c r="AE8">
        <v>7.8310000000000004</v>
      </c>
      <c r="AF8" t="s">
        <v>959</v>
      </c>
      <c r="AG8" s="129"/>
      <c r="AH8" t="s">
        <v>6</v>
      </c>
      <c r="AI8" t="s">
        <v>89</v>
      </c>
      <c r="AJ8" t="s">
        <v>947</v>
      </c>
      <c r="AK8" t="s">
        <v>6</v>
      </c>
      <c r="AL8" t="s">
        <v>89</v>
      </c>
      <c r="AM8" t="s">
        <v>89</v>
      </c>
      <c r="AN8" t="s">
        <v>89</v>
      </c>
      <c r="AO8" t="s">
        <v>6</v>
      </c>
      <c r="AP8" t="s">
        <v>89</v>
      </c>
      <c r="AQ8" t="s">
        <v>89</v>
      </c>
      <c r="AR8" t="s">
        <v>6</v>
      </c>
      <c r="AS8" t="s">
        <v>89</v>
      </c>
      <c r="AT8" t="s">
        <v>89</v>
      </c>
      <c r="AU8" t="s">
        <v>958</v>
      </c>
      <c r="AV8" t="s">
        <v>244</v>
      </c>
      <c r="AW8" t="s">
        <v>198</v>
      </c>
      <c r="AX8" t="s">
        <v>89</v>
      </c>
      <c r="AY8" s="125"/>
      <c r="AZ8" t="s">
        <v>962</v>
      </c>
      <c r="BA8" t="s">
        <v>503</v>
      </c>
      <c r="BB8" s="31"/>
      <c r="BC8" t="s">
        <v>89</v>
      </c>
      <c r="BD8"/>
      <c r="BE8" t="s">
        <v>89</v>
      </c>
      <c r="BF8" t="s">
        <v>89</v>
      </c>
      <c r="BG8" t="s">
        <v>6</v>
      </c>
      <c r="BH8" t="s">
        <v>89</v>
      </c>
      <c r="BI8" t="s">
        <v>6</v>
      </c>
      <c r="BJ8" t="s">
        <v>6</v>
      </c>
      <c r="BK8" t="s">
        <v>6</v>
      </c>
      <c r="BL8" t="s">
        <v>89</v>
      </c>
      <c r="BM8" t="s">
        <v>89</v>
      </c>
      <c r="BN8"/>
      <c r="BO8"/>
      <c r="BP8" t="s">
        <v>89</v>
      </c>
      <c r="BQ8" t="s">
        <v>89</v>
      </c>
      <c r="BR8" s="121"/>
      <c r="BS8"/>
      <c r="BT8" t="s">
        <v>89</v>
      </c>
      <c r="BU8" t="s">
        <v>89</v>
      </c>
      <c r="BV8" t="s">
        <v>89</v>
      </c>
      <c r="BW8"/>
      <c r="BX8" t="s">
        <v>89</v>
      </c>
      <c r="BY8"/>
      <c r="BZ8" t="s">
        <v>89</v>
      </c>
      <c r="CA8" t="s">
        <v>89</v>
      </c>
      <c r="CB8" t="s">
        <v>6</v>
      </c>
      <c r="CC8" t="s">
        <v>6</v>
      </c>
      <c r="CD8" t="s">
        <v>89</v>
      </c>
      <c r="CE8" t="s">
        <v>6</v>
      </c>
      <c r="CF8" t="s">
        <v>89</v>
      </c>
      <c r="CG8" t="s">
        <v>6</v>
      </c>
      <c r="CH8" t="s">
        <v>6</v>
      </c>
      <c r="CI8" s="125"/>
      <c r="CJ8" s="125"/>
      <c r="CK8"/>
      <c r="CL8" t="s">
        <v>89</v>
      </c>
      <c r="CZ8" s="17"/>
      <c r="DH8" s="17"/>
    </row>
    <row r="9" spans="2:112" x14ac:dyDescent="0.25">
      <c r="B9">
        <v>11</v>
      </c>
      <c r="C9" t="s">
        <v>89</v>
      </c>
      <c r="D9" t="s">
        <v>638</v>
      </c>
      <c r="E9" t="s">
        <v>639</v>
      </c>
      <c r="F9" s="31">
        <v>45246</v>
      </c>
      <c r="G9" t="s">
        <v>80</v>
      </c>
      <c r="H9" t="s">
        <v>80</v>
      </c>
      <c r="I9" t="s">
        <v>587</v>
      </c>
      <c r="J9" t="s">
        <v>103</v>
      </c>
      <c r="K9">
        <v>6.08</v>
      </c>
      <c r="L9" t="s">
        <v>131</v>
      </c>
      <c r="M9" t="s">
        <v>641</v>
      </c>
      <c r="N9" t="s">
        <v>6</v>
      </c>
      <c r="O9" t="s">
        <v>641</v>
      </c>
      <c r="P9" t="s">
        <v>6</v>
      </c>
      <c r="Q9" t="s">
        <v>6</v>
      </c>
      <c r="R9" t="s">
        <v>111</v>
      </c>
      <c r="S9">
        <v>100</v>
      </c>
      <c r="T9" t="s">
        <v>108</v>
      </c>
      <c r="U9" t="s">
        <v>769</v>
      </c>
      <c r="V9" t="s">
        <v>6</v>
      </c>
      <c r="W9" t="s">
        <v>6</v>
      </c>
      <c r="X9" t="s">
        <v>89</v>
      </c>
      <c r="Y9" t="s">
        <v>115</v>
      </c>
      <c r="Z9" s="31">
        <v>45253</v>
      </c>
      <c r="AA9" s="31">
        <v>45435</v>
      </c>
      <c r="AB9" s="31">
        <v>46349</v>
      </c>
      <c r="AC9">
        <v>0.83399999999999996</v>
      </c>
      <c r="AD9">
        <v>6.08</v>
      </c>
      <c r="AE9">
        <v>6.5259999999999998</v>
      </c>
      <c r="AF9" t="s">
        <v>654</v>
      </c>
      <c r="AG9" s="129"/>
      <c r="AH9" t="s">
        <v>6</v>
      </c>
      <c r="AI9" t="s">
        <v>89</v>
      </c>
      <c r="AJ9" t="s">
        <v>638</v>
      </c>
      <c r="AK9" t="s">
        <v>6</v>
      </c>
      <c r="AL9" t="s">
        <v>89</v>
      </c>
      <c r="AM9" t="s">
        <v>648</v>
      </c>
      <c r="AN9" t="s">
        <v>89</v>
      </c>
      <c r="AO9" t="s">
        <v>6</v>
      </c>
      <c r="AP9" t="s">
        <v>89</v>
      </c>
      <c r="AQ9" t="s">
        <v>89</v>
      </c>
      <c r="AR9" t="s">
        <v>6</v>
      </c>
      <c r="AS9" t="s">
        <v>89</v>
      </c>
      <c r="AT9" t="s">
        <v>89</v>
      </c>
      <c r="AU9" t="s">
        <v>653</v>
      </c>
      <c r="AV9" t="s">
        <v>244</v>
      </c>
      <c r="AW9" t="s">
        <v>198</v>
      </c>
      <c r="AX9" t="s">
        <v>89</v>
      </c>
      <c r="AY9" s="125"/>
      <c r="AZ9" t="s">
        <v>656</v>
      </c>
      <c r="BA9" t="s">
        <v>503</v>
      </c>
      <c r="BB9" s="31"/>
      <c r="BC9" t="s">
        <v>89</v>
      </c>
      <c r="BD9"/>
      <c r="BE9" t="s">
        <v>89</v>
      </c>
      <c r="BF9" t="s">
        <v>89</v>
      </c>
      <c r="BG9" t="s">
        <v>6</v>
      </c>
      <c r="BH9" t="s">
        <v>89</v>
      </c>
      <c r="BI9" t="s">
        <v>6</v>
      </c>
      <c r="BJ9" t="s">
        <v>6</v>
      </c>
      <c r="BK9" t="s">
        <v>6</v>
      </c>
      <c r="BL9" t="s">
        <v>89</v>
      </c>
      <c r="BM9" t="s">
        <v>89</v>
      </c>
      <c r="BN9"/>
      <c r="BO9"/>
      <c r="BP9" t="s">
        <v>89</v>
      </c>
      <c r="BQ9" t="s">
        <v>89</v>
      </c>
      <c r="BR9" s="121"/>
      <c r="BS9"/>
      <c r="BT9" t="s">
        <v>89</v>
      </c>
      <c r="BU9" t="s">
        <v>89</v>
      </c>
      <c r="BV9" t="s">
        <v>89</v>
      </c>
      <c r="BW9"/>
      <c r="BX9" t="s">
        <v>89</v>
      </c>
      <c r="BY9"/>
      <c r="BZ9" t="s">
        <v>788</v>
      </c>
      <c r="CA9" t="s">
        <v>210</v>
      </c>
      <c r="CB9" t="s">
        <v>6</v>
      </c>
      <c r="CC9" t="s">
        <v>6</v>
      </c>
      <c r="CD9" t="s">
        <v>160</v>
      </c>
      <c r="CE9" t="s">
        <v>628</v>
      </c>
      <c r="CF9" t="s">
        <v>10</v>
      </c>
      <c r="CG9" t="s">
        <v>650</v>
      </c>
      <c r="CH9" t="s">
        <v>6</v>
      </c>
      <c r="CI9" s="125"/>
      <c r="CJ9" s="125">
        <v>45246</v>
      </c>
      <c r="CK9" t="s">
        <v>1</v>
      </c>
      <c r="CL9" t="s">
        <v>503</v>
      </c>
      <c r="CZ9" s="17"/>
      <c r="DH9" s="17"/>
    </row>
    <row r="10" spans="2:112" x14ac:dyDescent="0.25">
      <c r="B10">
        <v>10</v>
      </c>
      <c r="C10" t="s">
        <v>89</v>
      </c>
      <c r="D10" t="s">
        <v>657</v>
      </c>
      <c r="E10" t="s">
        <v>658</v>
      </c>
      <c r="F10" s="31">
        <v>45246</v>
      </c>
      <c r="G10" t="s">
        <v>80</v>
      </c>
      <c r="H10" t="s">
        <v>80</v>
      </c>
      <c r="I10" t="s">
        <v>6</v>
      </c>
      <c r="J10" t="s">
        <v>103</v>
      </c>
      <c r="K10">
        <v>1.9</v>
      </c>
      <c r="L10" t="s">
        <v>131</v>
      </c>
      <c r="M10" t="s">
        <v>770</v>
      </c>
      <c r="N10" t="s">
        <v>6</v>
      </c>
      <c r="O10" t="s">
        <v>6</v>
      </c>
      <c r="P10" t="s">
        <v>6</v>
      </c>
      <c r="Q10" t="s">
        <v>6</v>
      </c>
      <c r="R10" t="s">
        <v>111</v>
      </c>
      <c r="S10">
        <v>100</v>
      </c>
      <c r="T10" t="s">
        <v>35</v>
      </c>
      <c r="U10" t="s">
        <v>204</v>
      </c>
      <c r="V10" t="s">
        <v>6</v>
      </c>
      <c r="W10" t="s">
        <v>6</v>
      </c>
      <c r="X10" t="s">
        <v>89</v>
      </c>
      <c r="Y10" t="s">
        <v>115</v>
      </c>
      <c r="Z10" s="31">
        <v>45250</v>
      </c>
      <c r="AA10" s="31">
        <v>45432</v>
      </c>
      <c r="AB10" s="31">
        <v>46346</v>
      </c>
      <c r="AC10">
        <v>0.26</v>
      </c>
      <c r="AD10">
        <v>1.9</v>
      </c>
      <c r="AE10">
        <v>2.0390000000000001</v>
      </c>
      <c r="AF10" t="s">
        <v>665</v>
      </c>
      <c r="AG10" s="129"/>
      <c r="AH10" t="s">
        <v>6</v>
      </c>
      <c r="AI10" t="s">
        <v>89</v>
      </c>
      <c r="AJ10" t="s">
        <v>657</v>
      </c>
      <c r="AK10" t="s">
        <v>6</v>
      </c>
      <c r="AL10" t="s">
        <v>89</v>
      </c>
      <c r="AM10" t="s">
        <v>89</v>
      </c>
      <c r="AN10" t="s">
        <v>89</v>
      </c>
      <c r="AO10" t="s">
        <v>6</v>
      </c>
      <c r="AP10" t="s">
        <v>89</v>
      </c>
      <c r="AQ10" t="s">
        <v>89</v>
      </c>
      <c r="AR10" t="s">
        <v>6</v>
      </c>
      <c r="AS10" t="s">
        <v>89</v>
      </c>
      <c r="AT10" s="30" t="s">
        <v>89</v>
      </c>
      <c r="AU10" t="s">
        <v>89</v>
      </c>
      <c r="AV10" t="s">
        <v>244</v>
      </c>
      <c r="AW10" t="s">
        <v>198</v>
      </c>
      <c r="AX10" t="s">
        <v>89</v>
      </c>
      <c r="AY10" s="125"/>
      <c r="AZ10" t="s">
        <v>667</v>
      </c>
      <c r="BA10" t="s">
        <v>503</v>
      </c>
      <c r="BB10" s="31"/>
      <c r="BC10" t="s">
        <v>89</v>
      </c>
      <c r="BD10"/>
      <c r="BE10" t="s">
        <v>89</v>
      </c>
      <c r="BF10" t="s">
        <v>89</v>
      </c>
      <c r="BG10" t="s">
        <v>6</v>
      </c>
      <c r="BH10" t="s">
        <v>89</v>
      </c>
      <c r="BI10" t="s">
        <v>6</v>
      </c>
      <c r="BJ10" t="s">
        <v>6</v>
      </c>
      <c r="BK10" t="s">
        <v>6</v>
      </c>
      <c r="BL10" t="s">
        <v>89</v>
      </c>
      <c r="BM10" t="s">
        <v>89</v>
      </c>
      <c r="BN10"/>
      <c r="BO10"/>
      <c r="BP10" t="s">
        <v>89</v>
      </c>
      <c r="BQ10" t="s">
        <v>89</v>
      </c>
      <c r="BR10" s="121"/>
      <c r="BS10"/>
      <c r="BT10" t="s">
        <v>89</v>
      </c>
      <c r="BU10" t="s">
        <v>89</v>
      </c>
      <c r="BV10" t="s">
        <v>89</v>
      </c>
      <c r="BW10"/>
      <c r="BX10" t="s">
        <v>89</v>
      </c>
      <c r="BY10"/>
      <c r="BZ10" t="s">
        <v>89</v>
      </c>
      <c r="CA10" t="s">
        <v>89</v>
      </c>
      <c r="CB10" t="s">
        <v>6</v>
      </c>
      <c r="CC10" t="s">
        <v>6</v>
      </c>
      <c r="CD10" t="s">
        <v>89</v>
      </c>
      <c r="CE10" t="s">
        <v>6</v>
      </c>
      <c r="CF10" t="s">
        <v>89</v>
      </c>
      <c r="CG10" t="s">
        <v>6</v>
      </c>
      <c r="CH10" t="s">
        <v>6</v>
      </c>
      <c r="CI10" s="125"/>
      <c r="CJ10" s="125"/>
      <c r="CK10"/>
      <c r="CL10" t="s">
        <v>89</v>
      </c>
      <c r="CZ10" s="17"/>
      <c r="DH10" s="17"/>
    </row>
    <row r="11" spans="2:112" x14ac:dyDescent="0.25">
      <c r="B11">
        <v>9</v>
      </c>
      <c r="C11" t="s">
        <v>89</v>
      </c>
      <c r="D11" t="s">
        <v>668</v>
      </c>
      <c r="E11" t="s">
        <v>669</v>
      </c>
      <c r="F11" s="31">
        <v>45246</v>
      </c>
      <c r="G11" t="s">
        <v>598</v>
      </c>
      <c r="H11" t="s">
        <v>291</v>
      </c>
      <c r="I11" t="s">
        <v>319</v>
      </c>
      <c r="J11" t="s">
        <v>82</v>
      </c>
      <c r="K11">
        <v>3</v>
      </c>
      <c r="L11" t="s">
        <v>330</v>
      </c>
      <c r="M11" t="s">
        <v>772</v>
      </c>
      <c r="N11" t="s">
        <v>771</v>
      </c>
      <c r="O11" t="s">
        <v>772</v>
      </c>
      <c r="P11" t="s">
        <v>772</v>
      </c>
      <c r="Q11">
        <v>42</v>
      </c>
      <c r="R11" t="s">
        <v>544</v>
      </c>
      <c r="S11">
        <v>100</v>
      </c>
      <c r="T11" t="s">
        <v>35</v>
      </c>
      <c r="U11" t="s">
        <v>215</v>
      </c>
      <c r="V11" t="s">
        <v>130</v>
      </c>
      <c r="W11" t="s">
        <v>6</v>
      </c>
      <c r="X11" t="s">
        <v>89</v>
      </c>
      <c r="Y11" t="s">
        <v>574</v>
      </c>
      <c r="Z11" s="31">
        <v>45254</v>
      </c>
      <c r="AA11" s="31">
        <v>45346</v>
      </c>
      <c r="AB11" s="31">
        <v>45985</v>
      </c>
      <c r="AC11">
        <v>3</v>
      </c>
      <c r="AD11">
        <v>21.878</v>
      </c>
      <c r="AE11">
        <v>23.492000000000001</v>
      </c>
      <c r="AF11" t="s">
        <v>678</v>
      </c>
      <c r="AG11" s="129"/>
      <c r="AH11" t="s">
        <v>6</v>
      </c>
      <c r="AI11" t="s">
        <v>997</v>
      </c>
      <c r="AJ11" t="s">
        <v>679</v>
      </c>
      <c r="AK11" t="s">
        <v>6</v>
      </c>
      <c r="AL11" t="s">
        <v>89</v>
      </c>
      <c r="AM11" t="s">
        <v>89</v>
      </c>
      <c r="AN11" t="s">
        <v>89</v>
      </c>
      <c r="AO11" t="s">
        <v>6</v>
      </c>
      <c r="AP11" t="s">
        <v>89</v>
      </c>
      <c r="AQ11" t="s">
        <v>89</v>
      </c>
      <c r="AR11" t="s">
        <v>6</v>
      </c>
      <c r="AS11" t="s">
        <v>89</v>
      </c>
      <c r="AT11" t="s">
        <v>89</v>
      </c>
      <c r="AU11" t="s">
        <v>677</v>
      </c>
      <c r="AV11" t="s">
        <v>244</v>
      </c>
      <c r="AW11" t="s">
        <v>198</v>
      </c>
      <c r="AX11" t="s">
        <v>89</v>
      </c>
      <c r="AY11" s="125"/>
      <c r="AZ11" t="s">
        <v>682</v>
      </c>
      <c r="BA11" t="s">
        <v>503</v>
      </c>
      <c r="BB11" s="31"/>
      <c r="BC11" t="s">
        <v>89</v>
      </c>
      <c r="BD11"/>
      <c r="BE11" t="s">
        <v>89</v>
      </c>
      <c r="BF11" t="s">
        <v>89</v>
      </c>
      <c r="BG11" t="s">
        <v>6</v>
      </c>
      <c r="BH11" t="s">
        <v>89</v>
      </c>
      <c r="BI11" t="s">
        <v>6</v>
      </c>
      <c r="BJ11" t="s">
        <v>6</v>
      </c>
      <c r="BK11" t="s">
        <v>6</v>
      </c>
      <c r="BL11" t="s">
        <v>89</v>
      </c>
      <c r="BM11" t="s">
        <v>89</v>
      </c>
      <c r="BN11"/>
      <c r="BO11"/>
      <c r="BP11" t="s">
        <v>89</v>
      </c>
      <c r="BQ11" t="s">
        <v>89</v>
      </c>
      <c r="BR11" s="121"/>
      <c r="BS11"/>
      <c r="BT11" t="s">
        <v>89</v>
      </c>
      <c r="BU11" t="s">
        <v>89</v>
      </c>
      <c r="BV11" t="s">
        <v>89</v>
      </c>
      <c r="BW11"/>
      <c r="BX11" t="s">
        <v>89</v>
      </c>
      <c r="BY11"/>
      <c r="BZ11" t="s">
        <v>89</v>
      </c>
      <c r="CA11" t="s">
        <v>89</v>
      </c>
      <c r="CB11" t="s">
        <v>6</v>
      </c>
      <c r="CC11" t="s">
        <v>6</v>
      </c>
      <c r="CD11" t="s">
        <v>89</v>
      </c>
      <c r="CE11" t="s">
        <v>6</v>
      </c>
      <c r="CF11" t="s">
        <v>89</v>
      </c>
      <c r="CG11" t="s">
        <v>6</v>
      </c>
      <c r="CH11" t="s">
        <v>6</v>
      </c>
      <c r="CI11" s="125"/>
      <c r="CJ11" s="125"/>
      <c r="CK11"/>
      <c r="CL11" t="s">
        <v>89</v>
      </c>
      <c r="CZ11" s="17"/>
      <c r="DH11" s="17"/>
    </row>
    <row r="12" spans="2:112" x14ac:dyDescent="0.25">
      <c r="B12">
        <v>8</v>
      </c>
      <c r="C12" t="s">
        <v>89</v>
      </c>
      <c r="D12" t="s">
        <v>668</v>
      </c>
      <c r="E12" t="s">
        <v>683</v>
      </c>
      <c r="F12" s="31">
        <v>45246</v>
      </c>
      <c r="G12" t="s">
        <v>598</v>
      </c>
      <c r="H12" t="s">
        <v>291</v>
      </c>
      <c r="I12" t="s">
        <v>319</v>
      </c>
      <c r="J12" t="s">
        <v>105</v>
      </c>
      <c r="K12">
        <v>15</v>
      </c>
      <c r="L12" t="s">
        <v>330</v>
      </c>
      <c r="M12" t="s">
        <v>690</v>
      </c>
      <c r="N12" t="s">
        <v>601</v>
      </c>
      <c r="O12" t="s">
        <v>690</v>
      </c>
      <c r="P12" t="s">
        <v>6</v>
      </c>
      <c r="Q12">
        <v>35</v>
      </c>
      <c r="R12" t="s">
        <v>111</v>
      </c>
      <c r="S12">
        <v>100</v>
      </c>
      <c r="T12" t="s">
        <v>35</v>
      </c>
      <c r="U12" t="s">
        <v>215</v>
      </c>
      <c r="V12" t="s">
        <v>129</v>
      </c>
      <c r="W12" t="s">
        <v>6</v>
      </c>
      <c r="X12" t="s">
        <v>89</v>
      </c>
      <c r="Y12" t="s">
        <v>115</v>
      </c>
      <c r="Z12" s="31">
        <v>45254</v>
      </c>
      <c r="AA12" s="31">
        <v>45436</v>
      </c>
      <c r="AB12" s="31">
        <v>45985</v>
      </c>
      <c r="AC12">
        <v>1.9159999999999999</v>
      </c>
      <c r="AD12">
        <v>13.974</v>
      </c>
      <c r="AE12">
        <v>15</v>
      </c>
      <c r="AF12" t="s">
        <v>678</v>
      </c>
      <c r="AG12" s="129"/>
      <c r="AH12" t="s">
        <v>6</v>
      </c>
      <c r="AI12" t="s">
        <v>997</v>
      </c>
      <c r="AJ12" t="s">
        <v>679</v>
      </c>
      <c r="AK12" t="s">
        <v>6</v>
      </c>
      <c r="AL12" t="s">
        <v>89</v>
      </c>
      <c r="AM12" t="s">
        <v>89</v>
      </c>
      <c r="AN12" t="s">
        <v>89</v>
      </c>
      <c r="AO12" t="s">
        <v>6</v>
      </c>
      <c r="AP12" t="s">
        <v>89</v>
      </c>
      <c r="AQ12" t="s">
        <v>89</v>
      </c>
      <c r="AR12" t="s">
        <v>6</v>
      </c>
      <c r="AS12" t="s">
        <v>89</v>
      </c>
      <c r="AT12" t="s">
        <v>995</v>
      </c>
      <c r="AU12" t="s">
        <v>677</v>
      </c>
      <c r="AV12" t="s">
        <v>244</v>
      </c>
      <c r="AW12" t="s">
        <v>198</v>
      </c>
      <c r="AX12" t="s">
        <v>89</v>
      </c>
      <c r="AY12" s="125"/>
      <c r="AZ12" t="s">
        <v>692</v>
      </c>
      <c r="BA12" t="s">
        <v>503</v>
      </c>
      <c r="BB12" s="31"/>
      <c r="BC12" t="s">
        <v>89</v>
      </c>
      <c r="BD12"/>
      <c r="BE12" t="s">
        <v>89</v>
      </c>
      <c r="BF12" t="s">
        <v>89</v>
      </c>
      <c r="BG12" t="s">
        <v>6</v>
      </c>
      <c r="BH12" t="s">
        <v>89</v>
      </c>
      <c r="BI12" t="s">
        <v>6</v>
      </c>
      <c r="BJ12" t="s">
        <v>6</v>
      </c>
      <c r="BK12" t="s">
        <v>6</v>
      </c>
      <c r="BL12" t="s">
        <v>89</v>
      </c>
      <c r="BM12" t="s">
        <v>89</v>
      </c>
      <c r="BN12"/>
      <c r="BO12"/>
      <c r="BP12" t="s">
        <v>89</v>
      </c>
      <c r="BQ12" t="s">
        <v>89</v>
      </c>
      <c r="BR12" s="121"/>
      <c r="BS12"/>
      <c r="BT12" t="s">
        <v>89</v>
      </c>
      <c r="BU12" t="s">
        <v>89</v>
      </c>
      <c r="BV12" t="s">
        <v>89</v>
      </c>
      <c r="BW12"/>
      <c r="BX12" t="s">
        <v>89</v>
      </c>
      <c r="BY12"/>
      <c r="BZ12" t="s">
        <v>89</v>
      </c>
      <c r="CA12" t="s">
        <v>89</v>
      </c>
      <c r="CB12" t="s">
        <v>6</v>
      </c>
      <c r="CC12" t="s">
        <v>6</v>
      </c>
      <c r="CD12" t="s">
        <v>89</v>
      </c>
      <c r="CE12" t="s">
        <v>6</v>
      </c>
      <c r="CF12" t="s">
        <v>89</v>
      </c>
      <c r="CG12" t="s">
        <v>6</v>
      </c>
      <c r="CH12" t="s">
        <v>6</v>
      </c>
      <c r="CI12" s="125"/>
      <c r="CJ12" s="125"/>
      <c r="CK12"/>
      <c r="CL12" t="s">
        <v>89</v>
      </c>
      <c r="CZ12" s="17"/>
      <c r="DH12" s="17"/>
    </row>
    <row r="13" spans="2:112" x14ac:dyDescent="0.25">
      <c r="B13">
        <v>7</v>
      </c>
      <c r="C13" t="s">
        <v>510</v>
      </c>
      <c r="D13" t="s">
        <v>505</v>
      </c>
      <c r="E13" t="s">
        <v>693</v>
      </c>
      <c r="F13" s="31">
        <v>45246</v>
      </c>
      <c r="G13" t="s">
        <v>80</v>
      </c>
      <c r="H13" t="s">
        <v>89</v>
      </c>
      <c r="I13" t="s">
        <v>6</v>
      </c>
      <c r="J13" t="s">
        <v>82</v>
      </c>
      <c r="K13">
        <v>2E-3</v>
      </c>
      <c r="L13" t="s">
        <v>776</v>
      </c>
      <c r="M13" t="s">
        <v>89</v>
      </c>
      <c r="N13" t="s">
        <v>6</v>
      </c>
      <c r="O13" t="s">
        <v>6</v>
      </c>
      <c r="P13" t="s">
        <v>6</v>
      </c>
      <c r="Q13" t="s">
        <v>6</v>
      </c>
      <c r="R13" t="s">
        <v>89</v>
      </c>
      <c r="S13"/>
      <c r="T13" t="s">
        <v>89</v>
      </c>
      <c r="U13" t="s">
        <v>6</v>
      </c>
      <c r="V13" t="s">
        <v>6</v>
      </c>
      <c r="W13" t="s">
        <v>6</v>
      </c>
      <c r="X13" t="s">
        <v>89</v>
      </c>
      <c r="Y13" t="s">
        <v>89</v>
      </c>
      <c r="Z13" s="31"/>
      <c r="AA13" s="31"/>
      <c r="AB13" s="31"/>
      <c r="AC13">
        <v>2E-3</v>
      </c>
      <c r="AD13"/>
      <c r="AE13"/>
      <c r="AF13" t="s">
        <v>89</v>
      </c>
      <c r="AG13" s="129"/>
      <c r="AH13" t="s">
        <v>6</v>
      </c>
      <c r="AI13" t="s">
        <v>89</v>
      </c>
      <c r="AJ13" t="s">
        <v>89</v>
      </c>
      <c r="AK13" t="s">
        <v>6</v>
      </c>
      <c r="AL13" t="s">
        <v>89</v>
      </c>
      <c r="AM13" t="s">
        <v>89</v>
      </c>
      <c r="AN13" t="s">
        <v>89</v>
      </c>
      <c r="AO13" t="s">
        <v>89</v>
      </c>
      <c r="AP13" t="s">
        <v>89</v>
      </c>
      <c r="AQ13" t="s">
        <v>89</v>
      </c>
      <c r="AR13" t="s">
        <v>6</v>
      </c>
      <c r="AS13" t="s">
        <v>89</v>
      </c>
      <c r="AT13" t="s">
        <v>89</v>
      </c>
      <c r="AU13" t="s">
        <v>89</v>
      </c>
      <c r="AV13" t="s">
        <v>89</v>
      </c>
      <c r="AW13" t="s">
        <v>89</v>
      </c>
      <c r="AX13" t="s">
        <v>89</v>
      </c>
      <c r="AY13" s="125"/>
      <c r="AZ13" t="s">
        <v>698</v>
      </c>
      <c r="BA13" t="s">
        <v>89</v>
      </c>
      <c r="BB13" s="31"/>
      <c r="BC13" t="s">
        <v>89</v>
      </c>
      <c r="BD13"/>
      <c r="BE13" t="s">
        <v>89</v>
      </c>
      <c r="BF13" t="s">
        <v>89</v>
      </c>
      <c r="BG13" t="s">
        <v>6</v>
      </c>
      <c r="BH13" t="s">
        <v>89</v>
      </c>
      <c r="BI13" t="s">
        <v>6</v>
      </c>
      <c r="BJ13" t="s">
        <v>6</v>
      </c>
      <c r="BK13" t="s">
        <v>6</v>
      </c>
      <c r="BL13" t="s">
        <v>89</v>
      </c>
      <c r="BM13" t="s">
        <v>89</v>
      </c>
      <c r="BN13"/>
      <c r="BO13"/>
      <c r="BP13" t="s">
        <v>89</v>
      </c>
      <c r="BQ13" t="s">
        <v>89</v>
      </c>
      <c r="BR13" s="121"/>
      <c r="BS13"/>
      <c r="BT13" t="s">
        <v>89</v>
      </c>
      <c r="BU13" t="s">
        <v>89</v>
      </c>
      <c r="BV13" t="s">
        <v>89</v>
      </c>
      <c r="BW13"/>
      <c r="BX13" t="s">
        <v>89</v>
      </c>
      <c r="BY13" t="s">
        <v>503</v>
      </c>
      <c r="BZ13" t="s">
        <v>89</v>
      </c>
      <c r="CA13" t="s">
        <v>89</v>
      </c>
      <c r="CB13" t="s">
        <v>6</v>
      </c>
      <c r="CC13" t="s">
        <v>6</v>
      </c>
      <c r="CD13" t="s">
        <v>89</v>
      </c>
      <c r="CE13" t="s">
        <v>6</v>
      </c>
      <c r="CF13" t="s">
        <v>89</v>
      </c>
      <c r="CG13" t="s">
        <v>6</v>
      </c>
      <c r="CH13" t="s">
        <v>6</v>
      </c>
      <c r="CI13" s="125"/>
      <c r="CJ13" s="125"/>
      <c r="CK13"/>
      <c r="CL13" t="s">
        <v>89</v>
      </c>
      <c r="CZ13" s="17"/>
      <c r="DH13" s="17"/>
    </row>
    <row r="14" spans="2:112" x14ac:dyDescent="0.25">
      <c r="B14">
        <v>6</v>
      </c>
      <c r="C14" t="s">
        <v>510</v>
      </c>
      <c r="D14" t="s">
        <v>699</v>
      </c>
      <c r="E14" t="s">
        <v>700</v>
      </c>
      <c r="F14" s="31">
        <v>45245</v>
      </c>
      <c r="G14" t="s">
        <v>80</v>
      </c>
      <c r="H14" t="s">
        <v>89</v>
      </c>
      <c r="I14" t="s">
        <v>6</v>
      </c>
      <c r="J14" t="s">
        <v>103</v>
      </c>
      <c r="K14">
        <v>5.2</v>
      </c>
      <c r="L14" t="s">
        <v>131</v>
      </c>
      <c r="M14" t="s">
        <v>89</v>
      </c>
      <c r="N14" t="s">
        <v>6</v>
      </c>
      <c r="O14" t="s">
        <v>6</v>
      </c>
      <c r="P14" t="s">
        <v>6</v>
      </c>
      <c r="Q14" t="s">
        <v>6</v>
      </c>
      <c r="R14" t="s">
        <v>89</v>
      </c>
      <c r="S14"/>
      <c r="T14" t="s">
        <v>89</v>
      </c>
      <c r="U14" t="s">
        <v>6</v>
      </c>
      <c r="V14" t="s">
        <v>6</v>
      </c>
      <c r="W14" t="s">
        <v>6</v>
      </c>
      <c r="X14" t="s">
        <v>89</v>
      </c>
      <c r="Y14" t="s">
        <v>89</v>
      </c>
      <c r="Z14" s="31"/>
      <c r="AA14" s="31"/>
      <c r="AB14" s="31"/>
      <c r="AC14">
        <v>0.71299999999999997</v>
      </c>
      <c r="AD14"/>
      <c r="AE14"/>
      <c r="AF14" t="s">
        <v>89</v>
      </c>
      <c r="AG14" s="129"/>
      <c r="AH14" t="s">
        <v>6</v>
      </c>
      <c r="AI14" t="s">
        <v>89</v>
      </c>
      <c r="AJ14" t="s">
        <v>89</v>
      </c>
      <c r="AK14" t="s">
        <v>6</v>
      </c>
      <c r="AL14" t="s">
        <v>89</v>
      </c>
      <c r="AM14" t="s">
        <v>89</v>
      </c>
      <c r="AN14" t="s">
        <v>89</v>
      </c>
      <c r="AO14" t="s">
        <v>89</v>
      </c>
      <c r="AP14" t="s">
        <v>89</v>
      </c>
      <c r="AQ14" t="s">
        <v>89</v>
      </c>
      <c r="AR14" t="s">
        <v>6</v>
      </c>
      <c r="AS14" t="s">
        <v>89</v>
      </c>
      <c r="AT14" t="s">
        <v>89</v>
      </c>
      <c r="AU14" t="s">
        <v>89</v>
      </c>
      <c r="AV14" t="s">
        <v>89</v>
      </c>
      <c r="AW14" t="s">
        <v>89</v>
      </c>
      <c r="AX14" t="s">
        <v>89</v>
      </c>
      <c r="AY14" s="125"/>
      <c r="AZ14" t="s">
        <v>709</v>
      </c>
      <c r="BA14" t="s">
        <v>89</v>
      </c>
      <c r="BB14" s="31"/>
      <c r="BC14" t="s">
        <v>89</v>
      </c>
      <c r="BD14"/>
      <c r="BE14" t="s">
        <v>89</v>
      </c>
      <c r="BF14" t="s">
        <v>89</v>
      </c>
      <c r="BG14" t="s">
        <v>6</v>
      </c>
      <c r="BH14" t="s">
        <v>89</v>
      </c>
      <c r="BI14" t="s">
        <v>6</v>
      </c>
      <c r="BJ14" t="s">
        <v>6</v>
      </c>
      <c r="BK14" t="s">
        <v>6</v>
      </c>
      <c r="BL14" t="s">
        <v>89</v>
      </c>
      <c r="BM14" t="s">
        <v>89</v>
      </c>
      <c r="BN14"/>
      <c r="BO14"/>
      <c r="BP14" t="s">
        <v>89</v>
      </c>
      <c r="BQ14" t="s">
        <v>89</v>
      </c>
      <c r="BR14" s="121"/>
      <c r="BS14"/>
      <c r="BT14" t="s">
        <v>89</v>
      </c>
      <c r="BU14" t="s">
        <v>89</v>
      </c>
      <c r="BV14" t="s">
        <v>89</v>
      </c>
      <c r="BW14"/>
      <c r="BX14" t="s">
        <v>89</v>
      </c>
      <c r="BY14" t="s">
        <v>503</v>
      </c>
      <c r="BZ14" t="s">
        <v>89</v>
      </c>
      <c r="CA14" t="s">
        <v>89</v>
      </c>
      <c r="CB14" t="s">
        <v>6</v>
      </c>
      <c r="CC14" t="s">
        <v>6</v>
      </c>
      <c r="CD14" t="s">
        <v>89</v>
      </c>
      <c r="CE14" t="s">
        <v>6</v>
      </c>
      <c r="CF14" t="s">
        <v>89</v>
      </c>
      <c r="CG14" t="s">
        <v>6</v>
      </c>
      <c r="CH14" t="s">
        <v>6</v>
      </c>
      <c r="CI14" s="125"/>
      <c r="CJ14" s="125"/>
      <c r="CK14"/>
      <c r="CL14" t="s">
        <v>89</v>
      </c>
      <c r="CZ14" s="17"/>
      <c r="DH14" s="17"/>
    </row>
    <row r="15" spans="2:112" x14ac:dyDescent="0.25">
      <c r="B15">
        <v>5</v>
      </c>
      <c r="C15" t="s">
        <v>510</v>
      </c>
      <c r="D15" t="s">
        <v>329</v>
      </c>
      <c r="E15" t="s">
        <v>710</v>
      </c>
      <c r="F15" s="31">
        <v>45245</v>
      </c>
      <c r="G15" t="s">
        <v>80</v>
      </c>
      <c r="H15" t="s">
        <v>89</v>
      </c>
      <c r="I15" t="s">
        <v>6</v>
      </c>
      <c r="J15" t="s">
        <v>103</v>
      </c>
      <c r="K15">
        <v>0.86299999999999999</v>
      </c>
      <c r="L15" t="s">
        <v>779</v>
      </c>
      <c r="M15" t="s">
        <v>89</v>
      </c>
      <c r="N15" t="s">
        <v>6</v>
      </c>
      <c r="O15" t="s">
        <v>6</v>
      </c>
      <c r="P15" t="s">
        <v>6</v>
      </c>
      <c r="Q15" t="s">
        <v>6</v>
      </c>
      <c r="R15" t="s">
        <v>89</v>
      </c>
      <c r="S15"/>
      <c r="T15" t="s">
        <v>89</v>
      </c>
      <c r="U15" t="s">
        <v>6</v>
      </c>
      <c r="V15" t="s">
        <v>6</v>
      </c>
      <c r="W15" t="s">
        <v>6</v>
      </c>
      <c r="X15" t="s">
        <v>89</v>
      </c>
      <c r="Y15" t="s">
        <v>89</v>
      </c>
      <c r="Z15" s="31"/>
      <c r="AA15" s="31"/>
      <c r="AB15" s="31"/>
      <c r="AC15">
        <v>0.11799999999999999</v>
      </c>
      <c r="AD15"/>
      <c r="AE15"/>
      <c r="AF15" t="s">
        <v>89</v>
      </c>
      <c r="AG15" s="129"/>
      <c r="AH15" t="s">
        <v>6</v>
      </c>
      <c r="AI15" t="s">
        <v>89</v>
      </c>
      <c r="AJ15" t="s">
        <v>89</v>
      </c>
      <c r="AK15" t="s">
        <v>6</v>
      </c>
      <c r="AL15" t="s">
        <v>89</v>
      </c>
      <c r="AM15" t="s">
        <v>89</v>
      </c>
      <c r="AN15" t="s">
        <v>89</v>
      </c>
      <c r="AO15" t="s">
        <v>89</v>
      </c>
      <c r="AP15" t="s">
        <v>89</v>
      </c>
      <c r="AQ15" t="s">
        <v>89</v>
      </c>
      <c r="AR15" t="s">
        <v>6</v>
      </c>
      <c r="AS15" t="s">
        <v>89</v>
      </c>
      <c r="AT15" t="s">
        <v>89</v>
      </c>
      <c r="AU15" t="s">
        <v>89</v>
      </c>
      <c r="AV15" t="s">
        <v>89</v>
      </c>
      <c r="AW15" t="s">
        <v>89</v>
      </c>
      <c r="AX15" t="s">
        <v>89</v>
      </c>
      <c r="AY15" s="125"/>
      <c r="AZ15" t="s">
        <v>720</v>
      </c>
      <c r="BA15" t="s">
        <v>89</v>
      </c>
      <c r="BB15" s="31"/>
      <c r="BC15" t="s">
        <v>89</v>
      </c>
      <c r="BD15"/>
      <c r="BE15" t="s">
        <v>89</v>
      </c>
      <c r="BF15" t="s">
        <v>89</v>
      </c>
      <c r="BG15" t="s">
        <v>6</v>
      </c>
      <c r="BH15" t="s">
        <v>89</v>
      </c>
      <c r="BI15" t="s">
        <v>6</v>
      </c>
      <c r="BJ15" t="s">
        <v>6</v>
      </c>
      <c r="BK15" t="s">
        <v>6</v>
      </c>
      <c r="BL15" t="s">
        <v>89</v>
      </c>
      <c r="BM15" t="s">
        <v>89</v>
      </c>
      <c r="BN15"/>
      <c r="BO15"/>
      <c r="BP15" t="s">
        <v>89</v>
      </c>
      <c r="BQ15" t="s">
        <v>89</v>
      </c>
      <c r="BR15" s="121"/>
      <c r="BS15"/>
      <c r="BT15" t="s">
        <v>89</v>
      </c>
      <c r="BU15" t="s">
        <v>89</v>
      </c>
      <c r="BV15" t="s">
        <v>89</v>
      </c>
      <c r="BW15"/>
      <c r="BX15" t="s">
        <v>89</v>
      </c>
      <c r="BY15" t="s">
        <v>503</v>
      </c>
      <c r="BZ15" t="s">
        <v>89</v>
      </c>
      <c r="CA15" t="s">
        <v>89</v>
      </c>
      <c r="CB15" t="s">
        <v>6</v>
      </c>
      <c r="CC15" t="s">
        <v>6</v>
      </c>
      <c r="CD15" t="s">
        <v>89</v>
      </c>
      <c r="CE15" t="s">
        <v>6</v>
      </c>
      <c r="CF15" t="s">
        <v>89</v>
      </c>
      <c r="CG15" t="s">
        <v>6</v>
      </c>
      <c r="CH15" t="s">
        <v>6</v>
      </c>
      <c r="CI15" s="125"/>
      <c r="CJ15" s="125"/>
      <c r="CK15"/>
      <c r="CL15" t="s">
        <v>89</v>
      </c>
    </row>
    <row r="16" spans="2:112" x14ac:dyDescent="0.25">
      <c r="B16">
        <v>4</v>
      </c>
      <c r="C16" t="s">
        <v>89</v>
      </c>
      <c r="D16" t="s">
        <v>668</v>
      </c>
      <c r="E16" t="s">
        <v>721</v>
      </c>
      <c r="F16" s="31">
        <v>45245</v>
      </c>
      <c r="G16" t="s">
        <v>598</v>
      </c>
      <c r="H16" t="s">
        <v>291</v>
      </c>
      <c r="I16" t="s">
        <v>319</v>
      </c>
      <c r="J16" t="s">
        <v>82</v>
      </c>
      <c r="K16">
        <v>3</v>
      </c>
      <c r="L16" t="s">
        <v>131</v>
      </c>
      <c r="M16" t="s">
        <v>292</v>
      </c>
      <c r="N16" t="s">
        <v>293</v>
      </c>
      <c r="O16" t="s">
        <v>292</v>
      </c>
      <c r="P16" t="s">
        <v>292</v>
      </c>
      <c r="Q16">
        <v>45</v>
      </c>
      <c r="R16" t="s">
        <v>544</v>
      </c>
      <c r="S16">
        <v>100</v>
      </c>
      <c r="T16" t="s">
        <v>35</v>
      </c>
      <c r="U16" t="s">
        <v>773</v>
      </c>
      <c r="V16" t="s">
        <v>130</v>
      </c>
      <c r="W16" t="s">
        <v>6</v>
      </c>
      <c r="X16" t="s">
        <v>89</v>
      </c>
      <c r="Y16" t="s">
        <v>574</v>
      </c>
      <c r="Z16" s="31">
        <v>45252</v>
      </c>
      <c r="AA16" s="31">
        <v>45344</v>
      </c>
      <c r="AB16" s="31">
        <v>46348</v>
      </c>
      <c r="AC16">
        <v>3</v>
      </c>
      <c r="AD16">
        <v>21.878</v>
      </c>
      <c r="AE16">
        <v>23.492000000000001</v>
      </c>
      <c r="AF16" t="s">
        <v>678</v>
      </c>
      <c r="AG16" s="129"/>
      <c r="AH16" t="s">
        <v>6</v>
      </c>
      <c r="AI16" t="s">
        <v>998</v>
      </c>
      <c r="AJ16" t="s">
        <v>731</v>
      </c>
      <c r="AK16" t="s">
        <v>6</v>
      </c>
      <c r="AL16" t="s">
        <v>89</v>
      </c>
      <c r="AM16" t="s">
        <v>89</v>
      </c>
      <c r="AN16" t="s">
        <v>504</v>
      </c>
      <c r="AO16" t="s">
        <v>582</v>
      </c>
      <c r="AP16" t="s">
        <v>89</v>
      </c>
      <c r="AQ16" t="s">
        <v>89</v>
      </c>
      <c r="AR16" t="s">
        <v>6</v>
      </c>
      <c r="AS16" t="s">
        <v>89</v>
      </c>
      <c r="AT16" t="s">
        <v>89</v>
      </c>
      <c r="AU16" t="s">
        <v>729</v>
      </c>
      <c r="AV16" t="s">
        <v>244</v>
      </c>
      <c r="AW16" t="s">
        <v>198</v>
      </c>
      <c r="AX16" t="s">
        <v>89</v>
      </c>
      <c r="AY16" s="125"/>
      <c r="AZ16" t="s">
        <v>734</v>
      </c>
      <c r="BA16" t="s">
        <v>503</v>
      </c>
      <c r="BB16" s="31"/>
      <c r="BC16" t="s">
        <v>89</v>
      </c>
      <c r="BD16"/>
      <c r="BE16" t="s">
        <v>89</v>
      </c>
      <c r="BF16" t="s">
        <v>89</v>
      </c>
      <c r="BG16" t="s">
        <v>6</v>
      </c>
      <c r="BH16" t="s">
        <v>89</v>
      </c>
      <c r="BI16" t="s">
        <v>6</v>
      </c>
      <c r="BJ16" t="s">
        <v>6</v>
      </c>
      <c r="BK16" t="s">
        <v>6</v>
      </c>
      <c r="BL16" t="s">
        <v>89</v>
      </c>
      <c r="BM16" t="s">
        <v>89</v>
      </c>
      <c r="BN16"/>
      <c r="BO16"/>
      <c r="BP16" t="s">
        <v>89</v>
      </c>
      <c r="BQ16" t="s">
        <v>89</v>
      </c>
      <c r="BR16" s="121"/>
      <c r="BS16"/>
      <c r="BT16" t="s">
        <v>89</v>
      </c>
      <c r="BU16" t="s">
        <v>89</v>
      </c>
      <c r="BV16" t="s">
        <v>89</v>
      </c>
      <c r="BW16"/>
      <c r="BX16" t="s">
        <v>89</v>
      </c>
      <c r="BY16"/>
      <c r="BZ16" t="s">
        <v>89</v>
      </c>
      <c r="CA16" t="s">
        <v>89</v>
      </c>
      <c r="CB16" t="s">
        <v>6</v>
      </c>
      <c r="CC16" t="s">
        <v>6</v>
      </c>
      <c r="CD16" t="s">
        <v>89</v>
      </c>
      <c r="CE16" t="s">
        <v>6</v>
      </c>
      <c r="CF16" t="s">
        <v>89</v>
      </c>
      <c r="CG16" t="s">
        <v>6</v>
      </c>
      <c r="CH16" t="s">
        <v>6</v>
      </c>
      <c r="CI16" s="125"/>
      <c r="CJ16" s="125"/>
      <c r="CK16"/>
      <c r="CL16" t="s">
        <v>89</v>
      </c>
    </row>
    <row r="17" spans="2:90" x14ac:dyDescent="0.25">
      <c r="B17">
        <v>3</v>
      </c>
      <c r="C17" t="s">
        <v>89</v>
      </c>
      <c r="D17" t="s">
        <v>736</v>
      </c>
      <c r="E17" t="s">
        <v>737</v>
      </c>
      <c r="F17" s="31">
        <v>45244</v>
      </c>
      <c r="G17" t="s">
        <v>751</v>
      </c>
      <c r="H17" t="s">
        <v>751</v>
      </c>
      <c r="I17" t="s">
        <v>319</v>
      </c>
      <c r="J17" t="s">
        <v>82</v>
      </c>
      <c r="K17">
        <v>2.1</v>
      </c>
      <c r="L17" t="s">
        <v>550</v>
      </c>
      <c r="M17" t="s">
        <v>749</v>
      </c>
      <c r="N17" t="s">
        <v>774</v>
      </c>
      <c r="O17" t="s">
        <v>749</v>
      </c>
      <c r="P17" t="s">
        <v>6</v>
      </c>
      <c r="Q17">
        <v>40</v>
      </c>
      <c r="R17" t="s">
        <v>111</v>
      </c>
      <c r="S17">
        <v>100</v>
      </c>
      <c r="T17" t="s">
        <v>37</v>
      </c>
      <c r="U17" t="s">
        <v>215</v>
      </c>
      <c r="V17" t="s">
        <v>129</v>
      </c>
      <c r="W17" t="s">
        <v>6</v>
      </c>
      <c r="X17" t="s">
        <v>89</v>
      </c>
      <c r="Y17" t="s">
        <v>115</v>
      </c>
      <c r="Z17" s="31">
        <v>45250</v>
      </c>
      <c r="AA17" s="31">
        <v>45432</v>
      </c>
      <c r="AB17" s="31">
        <v>45614</v>
      </c>
      <c r="AC17">
        <v>2.1</v>
      </c>
      <c r="AD17">
        <v>15.315</v>
      </c>
      <c r="AE17">
        <v>16.443999999999999</v>
      </c>
      <c r="AF17" t="s">
        <v>747</v>
      </c>
      <c r="AG17" s="129"/>
      <c r="AH17" t="s">
        <v>6</v>
      </c>
      <c r="AI17" t="s">
        <v>89</v>
      </c>
      <c r="AJ17" t="s">
        <v>748</v>
      </c>
      <c r="AK17" t="s">
        <v>736</v>
      </c>
      <c r="AL17" t="s">
        <v>89</v>
      </c>
      <c r="AM17" t="s">
        <v>89</v>
      </c>
      <c r="AN17" t="s">
        <v>89</v>
      </c>
      <c r="AO17" t="s">
        <v>6</v>
      </c>
      <c r="AP17" t="s">
        <v>89</v>
      </c>
      <c r="AQ17" t="s">
        <v>564</v>
      </c>
      <c r="AR17" t="s">
        <v>6</v>
      </c>
      <c r="AS17" t="s">
        <v>89</v>
      </c>
      <c r="AT17" t="s">
        <v>89</v>
      </c>
      <c r="AU17" t="s">
        <v>746</v>
      </c>
      <c r="AV17" t="s">
        <v>244</v>
      </c>
      <c r="AW17" t="s">
        <v>198</v>
      </c>
      <c r="AX17" t="s">
        <v>89</v>
      </c>
      <c r="AY17" s="125"/>
      <c r="AZ17" t="s">
        <v>752</v>
      </c>
      <c r="BA17" t="s">
        <v>503</v>
      </c>
      <c r="BB17" s="31"/>
      <c r="BC17" t="s">
        <v>4</v>
      </c>
      <c r="BD17"/>
      <c r="BE17" t="s">
        <v>784</v>
      </c>
      <c r="BF17" t="s">
        <v>787</v>
      </c>
      <c r="BG17" t="s">
        <v>129</v>
      </c>
      <c r="BH17" t="s">
        <v>146</v>
      </c>
      <c r="BI17" t="s">
        <v>6</v>
      </c>
      <c r="BJ17" t="s">
        <v>6</v>
      </c>
      <c r="BK17" t="s">
        <v>6</v>
      </c>
      <c r="BL17" t="s">
        <v>150</v>
      </c>
      <c r="BM17" t="s">
        <v>89</v>
      </c>
      <c r="BN17"/>
      <c r="BO17"/>
      <c r="BP17" t="s">
        <v>89</v>
      </c>
      <c r="BQ17" t="s">
        <v>89</v>
      </c>
      <c r="BR17" s="121"/>
      <c r="BS17"/>
      <c r="BT17" t="s">
        <v>945</v>
      </c>
      <c r="BU17" t="s">
        <v>89</v>
      </c>
      <c r="BV17" t="s">
        <v>89</v>
      </c>
      <c r="BW17">
        <v>23074</v>
      </c>
      <c r="BX17" t="s">
        <v>503</v>
      </c>
      <c r="BY17"/>
      <c r="BZ17" t="s">
        <v>89</v>
      </c>
      <c r="CA17" t="s">
        <v>89</v>
      </c>
      <c r="CB17" t="s">
        <v>6</v>
      </c>
      <c r="CC17" t="s">
        <v>6</v>
      </c>
      <c r="CD17" t="s">
        <v>89</v>
      </c>
      <c r="CE17" t="s">
        <v>6</v>
      </c>
      <c r="CF17" t="s">
        <v>89</v>
      </c>
      <c r="CG17" t="s">
        <v>6</v>
      </c>
      <c r="CH17" t="s">
        <v>6</v>
      </c>
      <c r="CI17" s="125"/>
      <c r="CJ17" s="125"/>
      <c r="CK17"/>
      <c r="CL17" t="s">
        <v>89</v>
      </c>
    </row>
    <row r="18" spans="2:90" x14ac:dyDescent="0.25">
      <c r="B18">
        <v>2</v>
      </c>
      <c r="C18" t="s">
        <v>510</v>
      </c>
      <c r="D18" t="s">
        <v>505</v>
      </c>
      <c r="E18" t="s">
        <v>753</v>
      </c>
      <c r="F18" s="31">
        <v>45244</v>
      </c>
      <c r="G18" t="s">
        <v>80</v>
      </c>
      <c r="H18" t="s">
        <v>89</v>
      </c>
      <c r="I18" t="s">
        <v>6</v>
      </c>
      <c r="J18" t="s">
        <v>82</v>
      </c>
      <c r="K18">
        <v>0.05</v>
      </c>
      <c r="L18" t="s">
        <v>782</v>
      </c>
      <c r="M18" t="s">
        <v>89</v>
      </c>
      <c r="N18" t="s">
        <v>6</v>
      </c>
      <c r="O18" t="s">
        <v>6</v>
      </c>
      <c r="P18" t="s">
        <v>6</v>
      </c>
      <c r="Q18" t="s">
        <v>6</v>
      </c>
      <c r="R18" t="s">
        <v>89</v>
      </c>
      <c r="S18"/>
      <c r="T18" t="s">
        <v>89</v>
      </c>
      <c r="U18" t="s">
        <v>6</v>
      </c>
      <c r="V18" t="s">
        <v>6</v>
      </c>
      <c r="W18" t="s">
        <v>6</v>
      </c>
      <c r="X18" t="s">
        <v>89</v>
      </c>
      <c r="Y18" t="s">
        <v>89</v>
      </c>
      <c r="Z18" s="31"/>
      <c r="AA18" s="31"/>
      <c r="AB18" s="31"/>
      <c r="AC18">
        <v>0.05</v>
      </c>
      <c r="AD18"/>
      <c r="AE18"/>
      <c r="AF18" t="s">
        <v>89</v>
      </c>
      <c r="AG18" s="129"/>
      <c r="AH18" t="s">
        <v>6</v>
      </c>
      <c r="AI18" t="s">
        <v>89</v>
      </c>
      <c r="AJ18" t="s">
        <v>89</v>
      </c>
      <c r="AK18" t="s">
        <v>6</v>
      </c>
      <c r="AL18" t="s">
        <v>89</v>
      </c>
      <c r="AM18" t="s">
        <v>89</v>
      </c>
      <c r="AN18" t="s">
        <v>89</v>
      </c>
      <c r="AO18" t="s">
        <v>89</v>
      </c>
      <c r="AP18" t="s">
        <v>89</v>
      </c>
      <c r="AQ18" t="s">
        <v>89</v>
      </c>
      <c r="AR18" t="s">
        <v>6</v>
      </c>
      <c r="AS18" t="s">
        <v>89</v>
      </c>
      <c r="AT18" t="s">
        <v>89</v>
      </c>
      <c r="AU18" t="s">
        <v>89</v>
      </c>
      <c r="AV18" t="s">
        <v>89</v>
      </c>
      <c r="AW18" t="s">
        <v>89</v>
      </c>
      <c r="AX18" t="s">
        <v>89</v>
      </c>
      <c r="AY18" s="125"/>
      <c r="AZ18" t="s">
        <v>757</v>
      </c>
      <c r="BA18" t="s">
        <v>89</v>
      </c>
      <c r="BB18" s="31"/>
      <c r="BC18" t="s">
        <v>89</v>
      </c>
      <c r="BD18"/>
      <c r="BE18" t="s">
        <v>89</v>
      </c>
      <c r="BF18" t="s">
        <v>89</v>
      </c>
      <c r="BG18" t="s">
        <v>6</v>
      </c>
      <c r="BH18" t="s">
        <v>89</v>
      </c>
      <c r="BI18" t="s">
        <v>6</v>
      </c>
      <c r="BJ18" t="s">
        <v>6</v>
      </c>
      <c r="BK18" t="s">
        <v>6</v>
      </c>
      <c r="BL18" t="s">
        <v>89</v>
      </c>
      <c r="BM18" t="s">
        <v>89</v>
      </c>
      <c r="BN18"/>
      <c r="BO18"/>
      <c r="BP18" t="s">
        <v>89</v>
      </c>
      <c r="BQ18" t="s">
        <v>89</v>
      </c>
      <c r="BR18" s="121"/>
      <c r="BS18"/>
      <c r="BT18" t="s">
        <v>89</v>
      </c>
      <c r="BU18" t="s">
        <v>89</v>
      </c>
      <c r="BV18" t="s">
        <v>89</v>
      </c>
      <c r="BW18"/>
      <c r="BX18" t="s">
        <v>89</v>
      </c>
      <c r="BY18" t="s">
        <v>503</v>
      </c>
      <c r="BZ18" t="s">
        <v>89</v>
      </c>
      <c r="CA18" t="s">
        <v>89</v>
      </c>
      <c r="CB18" t="s">
        <v>6</v>
      </c>
      <c r="CC18" t="s">
        <v>6</v>
      </c>
      <c r="CD18" t="s">
        <v>89</v>
      </c>
      <c r="CE18" t="s">
        <v>6</v>
      </c>
      <c r="CF18" t="s">
        <v>89</v>
      </c>
      <c r="CG18" t="s">
        <v>6</v>
      </c>
      <c r="CH18" t="s">
        <v>6</v>
      </c>
      <c r="CI18" s="125"/>
      <c r="CJ18" s="125"/>
      <c r="CK18"/>
      <c r="CL18" t="s">
        <v>89</v>
      </c>
    </row>
    <row r="19" spans="2:90" x14ac:dyDescent="0.25">
      <c r="B19">
        <v>1</v>
      </c>
      <c r="C19" t="s">
        <v>510</v>
      </c>
      <c r="D19" t="s">
        <v>758</v>
      </c>
      <c r="E19" t="s">
        <v>759</v>
      </c>
      <c r="F19" s="31">
        <v>45243</v>
      </c>
      <c r="G19" t="s">
        <v>80</v>
      </c>
      <c r="H19" t="s">
        <v>89</v>
      </c>
      <c r="I19" t="s">
        <v>6</v>
      </c>
      <c r="J19" t="s">
        <v>82</v>
      </c>
      <c r="K19">
        <v>0.05</v>
      </c>
      <c r="L19" t="s">
        <v>6</v>
      </c>
      <c r="M19" t="s">
        <v>89</v>
      </c>
      <c r="N19" t="s">
        <v>6</v>
      </c>
      <c r="O19" t="s">
        <v>6</v>
      </c>
      <c r="P19" t="s">
        <v>6</v>
      </c>
      <c r="Q19" t="s">
        <v>6</v>
      </c>
      <c r="R19" t="s">
        <v>89</v>
      </c>
      <c r="S19"/>
      <c r="T19" t="s">
        <v>89</v>
      </c>
      <c r="U19" t="s">
        <v>6</v>
      </c>
      <c r="V19" t="s">
        <v>6</v>
      </c>
      <c r="W19" t="s">
        <v>6</v>
      </c>
      <c r="X19" t="s">
        <v>89</v>
      </c>
      <c r="Y19" t="s">
        <v>89</v>
      </c>
      <c r="Z19" s="31"/>
      <c r="AA19" s="31"/>
      <c r="AB19" s="31"/>
      <c r="AC19">
        <v>0.05</v>
      </c>
      <c r="AD19"/>
      <c r="AE19"/>
      <c r="AF19" t="s">
        <v>89</v>
      </c>
      <c r="AG19" s="129"/>
      <c r="AH19" t="s">
        <v>6</v>
      </c>
      <c r="AI19" t="s">
        <v>89</v>
      </c>
      <c r="AJ19" t="s">
        <v>89</v>
      </c>
      <c r="AK19" t="s">
        <v>6</v>
      </c>
      <c r="AL19" t="s">
        <v>89</v>
      </c>
      <c r="AM19" t="s">
        <v>89</v>
      </c>
      <c r="AN19" t="s">
        <v>89</v>
      </c>
      <c r="AO19" t="s">
        <v>89</v>
      </c>
      <c r="AP19" t="s">
        <v>89</v>
      </c>
      <c r="AQ19" t="s">
        <v>89</v>
      </c>
      <c r="AR19" t="s">
        <v>6</v>
      </c>
      <c r="AS19" t="s">
        <v>89</v>
      </c>
      <c r="AT19" t="s">
        <v>89</v>
      </c>
      <c r="AU19" t="s">
        <v>89</v>
      </c>
      <c r="AV19" t="s">
        <v>89</v>
      </c>
      <c r="AW19" t="s">
        <v>89</v>
      </c>
      <c r="AX19" t="s">
        <v>89</v>
      </c>
      <c r="AY19" s="125"/>
      <c r="AZ19" t="s">
        <v>767</v>
      </c>
      <c r="BA19" t="s">
        <v>89</v>
      </c>
      <c r="BB19" s="31"/>
      <c r="BC19" t="s">
        <v>89</v>
      </c>
      <c r="BD19"/>
      <c r="BE19" t="s">
        <v>89</v>
      </c>
      <c r="BF19" t="s">
        <v>89</v>
      </c>
      <c r="BG19" t="s">
        <v>6</v>
      </c>
      <c r="BH19" t="s">
        <v>89</v>
      </c>
      <c r="BI19" t="s">
        <v>6</v>
      </c>
      <c r="BJ19" t="s">
        <v>6</v>
      </c>
      <c r="BK19" t="s">
        <v>6</v>
      </c>
      <c r="BL19" t="s">
        <v>89</v>
      </c>
      <c r="BM19" t="s">
        <v>89</v>
      </c>
      <c r="BN19"/>
      <c r="BO19"/>
      <c r="BP19" t="s">
        <v>89</v>
      </c>
      <c r="BQ19" t="s">
        <v>89</v>
      </c>
      <c r="BR19" s="121"/>
      <c r="BS19"/>
      <c r="BT19" t="s">
        <v>89</v>
      </c>
      <c r="BU19" t="s">
        <v>89</v>
      </c>
      <c r="BV19" t="s">
        <v>89</v>
      </c>
      <c r="BW19"/>
      <c r="BX19" t="s">
        <v>89</v>
      </c>
      <c r="BY19" t="s">
        <v>503</v>
      </c>
      <c r="BZ19" t="s">
        <v>89</v>
      </c>
      <c r="CA19" t="s">
        <v>89</v>
      </c>
      <c r="CB19" t="s">
        <v>6</v>
      </c>
      <c r="CC19" t="s">
        <v>6</v>
      </c>
      <c r="CD19" t="s">
        <v>89</v>
      </c>
      <c r="CE19" t="s">
        <v>6</v>
      </c>
      <c r="CF19" t="s">
        <v>89</v>
      </c>
      <c r="CG19" t="s">
        <v>6</v>
      </c>
      <c r="CH19" t="s">
        <v>6</v>
      </c>
      <c r="CI19" s="125"/>
      <c r="CJ19" s="125"/>
      <c r="CK19"/>
      <c r="CL19" t="s">
        <v>89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All">
                <anchor moveWithCells="1">
                  <from>
                    <xdr:col>1</xdr:col>
                    <xdr:colOff>171450</xdr:colOff>
                    <xdr:row>0</xdr:row>
                    <xdr:rowOff>57150</xdr:rowOff>
                  </from>
                  <to>
                    <xdr:col>3</xdr:col>
                    <xdr:colOff>1600200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O14"/>
  <sheetViews>
    <sheetView workbookViewId="0">
      <selection activeCell="C12" sqref="C12"/>
    </sheetView>
  </sheetViews>
  <sheetFormatPr defaultRowHeight="15" x14ac:dyDescent="0.25"/>
  <cols>
    <col min="1" max="1" width="7.109375" style="1" bestFit="1" customWidth="1"/>
    <col min="2" max="2" width="10.88671875" style="1" bestFit="1" customWidth="1"/>
    <col min="3" max="3" width="28.109375" style="1" bestFit="1" customWidth="1"/>
    <col min="4" max="4" width="13.33203125" style="1" bestFit="1" customWidth="1"/>
    <col min="5" max="5" width="10.33203125" style="1" bestFit="1" customWidth="1"/>
    <col min="6" max="7" width="9.21875" style="1" bestFit="1" customWidth="1"/>
    <col min="8" max="8" width="12.5546875" style="1" bestFit="1" customWidth="1"/>
    <col min="9" max="9" width="5.88671875" style="1" bestFit="1" customWidth="1"/>
    <col min="10" max="10" width="12" style="1" bestFit="1" customWidth="1"/>
    <col min="11" max="11" width="5.88671875" style="1" bestFit="1" customWidth="1"/>
    <col min="12" max="12" width="8.5546875" style="1" bestFit="1" customWidth="1"/>
    <col min="13" max="13" width="10.44140625" style="1" bestFit="1" customWidth="1"/>
    <col min="14" max="15" width="8.5546875" style="1" bestFit="1" customWidth="1"/>
    <col min="16" max="17" width="9.21875" style="1" bestFit="1" customWidth="1"/>
    <col min="18" max="18" width="7.5546875" style="1" bestFit="1" customWidth="1"/>
    <col min="19" max="19" width="5.88671875" style="1" bestFit="1" customWidth="1"/>
    <col min="20" max="20" width="16.77734375" style="1" bestFit="1" customWidth="1"/>
    <col min="21" max="22" width="10.88671875" style="1" bestFit="1" customWidth="1"/>
    <col min="23" max="24" width="9.21875" style="1" bestFit="1" customWidth="1"/>
    <col min="25" max="25" width="10.33203125" style="1" bestFit="1" customWidth="1"/>
    <col min="26" max="26" width="10.88671875" style="1" bestFit="1" customWidth="1"/>
    <col min="27" max="27" width="10.33203125" style="1" bestFit="1" customWidth="1"/>
    <col min="28" max="28" width="7.5546875" style="1" bestFit="1" customWidth="1"/>
    <col min="29" max="29" width="7" style="1" bestFit="1" customWidth="1"/>
    <col min="30" max="30" width="7.5546875" style="1" bestFit="1" customWidth="1"/>
    <col min="31" max="31" width="8.33203125" style="1" bestFit="1" customWidth="1"/>
    <col min="32" max="32" width="10.88671875" style="1" bestFit="1" customWidth="1"/>
    <col min="33" max="33" width="14.21875" style="1" bestFit="1" customWidth="1"/>
    <col min="34" max="34" width="9.21875" style="1" bestFit="1" customWidth="1"/>
    <col min="35" max="35" width="40.21875" style="1" bestFit="1" customWidth="1"/>
    <col min="36" max="36" width="56.77734375" style="1" bestFit="1" customWidth="1"/>
    <col min="37" max="37" width="14.21875" style="1" bestFit="1" customWidth="1"/>
    <col min="38" max="38" width="21.33203125" style="1" bestFit="1" customWidth="1"/>
    <col min="39" max="39" width="5.6640625" style="1" bestFit="1" customWidth="1"/>
    <col min="40" max="40" width="9.21875" style="1" bestFit="1" customWidth="1"/>
    <col min="41" max="41" width="5.88671875" style="1" bestFit="1" customWidth="1"/>
    <col min="42" max="42" width="9.21875" style="1" bestFit="1" customWidth="1"/>
    <col min="43" max="43" width="10" style="1" bestFit="1" customWidth="1"/>
    <col min="44" max="44" width="12.44140625" style="1" bestFit="1" customWidth="1"/>
    <col min="45" max="45" width="80.88671875" style="1" bestFit="1" customWidth="1"/>
    <col min="46" max="46" width="50.44140625" style="1" bestFit="1" customWidth="1"/>
    <col min="47" max="47" width="9.2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19.44140625" style="1" bestFit="1" customWidth="1"/>
    <col min="52" max="52" width="10.5546875" style="1" bestFit="1" customWidth="1"/>
    <col min="53" max="53" width="10.77734375" style="1" bestFit="1" customWidth="1"/>
    <col min="54" max="54" width="17.44140625" style="1" bestFit="1" customWidth="1"/>
    <col min="55" max="55" width="20.109375" style="1" customWidth="1"/>
    <col min="56" max="56" width="11.5546875" style="1" bestFit="1" customWidth="1"/>
    <col min="57" max="58" width="17.33203125" style="1" bestFit="1" customWidth="1"/>
    <col min="59" max="59" width="9.21875" style="1" bestFit="1" customWidth="1"/>
    <col min="60" max="60" width="15.21875" style="1" bestFit="1" customWidth="1"/>
    <col min="61" max="61" width="13.44140625" style="1" bestFit="1" customWidth="1"/>
    <col min="62" max="62" width="11.109375" style="1" bestFit="1" customWidth="1"/>
    <col min="63" max="64" width="10.88671875" style="1" bestFit="1" customWidth="1"/>
    <col min="65" max="65" width="9.21875" style="1" bestFit="1" customWidth="1"/>
    <col min="66" max="66" width="8.77734375" style="1" bestFit="1" customWidth="1"/>
    <col min="67" max="67" width="9.21875" style="1" bestFit="1" customWidth="1"/>
    <col min="68" max="68" width="14.6640625" style="1" bestFit="1" customWidth="1"/>
    <col min="69" max="69" width="9.21875" style="1" bestFit="1" customWidth="1"/>
    <col min="70" max="70" width="8.5546875" style="1" bestFit="1" customWidth="1"/>
    <col min="71" max="71" width="9.33203125" style="1" bestFit="1" customWidth="1"/>
    <col min="72" max="72" width="9.21875" style="1" bestFit="1" customWidth="1"/>
    <col min="73" max="73" width="10.109375" style="1" bestFit="1" customWidth="1"/>
    <col min="74" max="74" width="10.33203125" style="1" bestFit="1" customWidth="1"/>
    <col min="75" max="75" width="15.109375" style="1" bestFit="1" customWidth="1"/>
    <col min="76" max="76" width="10.33203125" style="1" bestFit="1" customWidth="1"/>
    <col min="77" max="77" width="5.88671875" style="1" bestFit="1" customWidth="1"/>
    <col min="78" max="78" width="9.21875" style="1" bestFit="1" customWidth="1"/>
    <col min="79" max="79" width="10.33203125" style="1" bestFit="1" customWidth="1"/>
    <col min="80" max="80" width="14.44140625" style="1" bestFit="1" customWidth="1"/>
    <col min="81" max="81" width="16.109375" style="1" bestFit="1" customWidth="1"/>
    <col min="82" max="82" width="20.6640625" style="1" bestFit="1" customWidth="1"/>
    <col min="83" max="83" width="18.88671875" style="1" bestFit="1" customWidth="1"/>
    <col min="84" max="84" width="27.109375" style="1" bestFit="1" customWidth="1"/>
    <col min="85" max="16384" width="8.88671875" style="1"/>
  </cols>
  <sheetData>
    <row r="1" spans="1:67" ht="39.75" customHeight="1" x14ac:dyDescent="0.25"/>
    <row r="2" spans="1:67" ht="39.75" customHeight="1" x14ac:dyDescent="0.25"/>
    <row r="3" spans="1:67" ht="39.75" customHeight="1" x14ac:dyDescent="0.25"/>
    <row r="4" spans="1:67" x14ac:dyDescent="0.25">
      <c r="A4" t="s">
        <v>83</v>
      </c>
      <c r="B4" t="s">
        <v>280</v>
      </c>
      <c r="C4" t="s">
        <v>91</v>
      </c>
      <c r="D4" t="s">
        <v>46</v>
      </c>
      <c r="E4" t="s">
        <v>47</v>
      </c>
      <c r="F4" t="s">
        <v>119</v>
      </c>
      <c r="G4" t="s">
        <v>144</v>
      </c>
      <c r="H4" t="s">
        <v>49</v>
      </c>
      <c r="I4" t="s">
        <v>62</v>
      </c>
      <c r="J4" t="s">
        <v>55</v>
      </c>
      <c r="K4" t="s">
        <v>84</v>
      </c>
      <c r="L4" t="s">
        <v>114</v>
      </c>
      <c r="M4" t="s">
        <v>85</v>
      </c>
      <c r="N4" t="s">
        <v>51</v>
      </c>
      <c r="O4" t="s">
        <v>132</v>
      </c>
      <c r="P4" t="s">
        <v>134</v>
      </c>
      <c r="Q4" t="s">
        <v>135</v>
      </c>
      <c r="R4" t="s">
        <v>57</v>
      </c>
      <c r="S4" t="s">
        <v>87</v>
      </c>
      <c r="T4" t="s">
        <v>88</v>
      </c>
      <c r="U4" t="s">
        <v>151</v>
      </c>
      <c r="V4" t="s">
        <v>152</v>
      </c>
      <c r="W4" t="s">
        <v>122</v>
      </c>
      <c r="X4" t="s">
        <v>78</v>
      </c>
      <c r="Y4" t="s">
        <v>64</v>
      </c>
      <c r="Z4" t="s">
        <v>67</v>
      </c>
      <c r="AA4" t="s">
        <v>50</v>
      </c>
      <c r="AB4" t="s">
        <v>140</v>
      </c>
      <c r="AC4" t="s">
        <v>141</v>
      </c>
      <c r="AD4" t="s">
        <v>174</v>
      </c>
      <c r="AE4" t="s">
        <v>515</v>
      </c>
      <c r="AF4" t="s">
        <v>192</v>
      </c>
      <c r="AG4" t="s">
        <v>213</v>
      </c>
      <c r="AH4" t="s">
        <v>172</v>
      </c>
      <c r="AI4" t="s">
        <v>68</v>
      </c>
      <c r="AJ4" t="s">
        <v>69</v>
      </c>
      <c r="AK4" t="s">
        <v>79</v>
      </c>
      <c r="AL4" t="s">
        <v>790</v>
      </c>
      <c r="AM4" t="s">
        <v>120</v>
      </c>
      <c r="AN4" t="s">
        <v>331</v>
      </c>
      <c r="AO4" t="s">
        <v>177</v>
      </c>
      <c r="AP4" t="s">
        <v>173</v>
      </c>
      <c r="AQ4" t="s">
        <v>178</v>
      </c>
      <c r="AR4" t="s">
        <v>179</v>
      </c>
      <c r="AS4" t="s">
        <v>234</v>
      </c>
      <c r="AT4" t="s">
        <v>185</v>
      </c>
      <c r="AU4" t="s">
        <v>163</v>
      </c>
      <c r="AV4" t="s">
        <v>268</v>
      </c>
      <c r="AW4" t="s">
        <v>136</v>
      </c>
      <c r="AX4" t="s">
        <v>180</v>
      </c>
      <c r="AY4" t="s">
        <v>121</v>
      </c>
      <c r="AZ4" t="s">
        <v>513</v>
      </c>
    </row>
    <row r="5" spans="1:67" x14ac:dyDescent="0.25">
      <c r="A5"/>
      <c r="B5" t="s">
        <v>89</v>
      </c>
      <c r="C5" t="s">
        <v>972</v>
      </c>
      <c r="D5" t="s">
        <v>973</v>
      </c>
      <c r="E5" s="31">
        <v>45247</v>
      </c>
      <c r="F5" t="s">
        <v>80</v>
      </c>
      <c r="G5" t="s">
        <v>80</v>
      </c>
      <c r="H5" t="s">
        <v>89</v>
      </c>
      <c r="I5" t="s">
        <v>103</v>
      </c>
      <c r="J5">
        <v>3.34</v>
      </c>
      <c r="K5" t="s">
        <v>131</v>
      </c>
      <c r="L5" t="s">
        <v>980</v>
      </c>
      <c r="M5" t="s">
        <v>89</v>
      </c>
      <c r="N5" t="s">
        <v>980</v>
      </c>
      <c r="O5" t="s">
        <v>89</v>
      </c>
      <c r="P5"/>
      <c r="Q5" t="s">
        <v>111</v>
      </c>
      <c r="R5">
        <v>100</v>
      </c>
      <c r="S5" t="s">
        <v>37</v>
      </c>
      <c r="T5" t="s">
        <v>89</v>
      </c>
      <c r="U5" t="s">
        <v>6</v>
      </c>
      <c r="V5" t="s">
        <v>6</v>
      </c>
      <c r="W5" t="s">
        <v>89</v>
      </c>
      <c r="X5" t="s">
        <v>89</v>
      </c>
      <c r="Y5" s="31">
        <v>45254</v>
      </c>
      <c r="Z5" s="31"/>
      <c r="AA5" s="31">
        <v>46350</v>
      </c>
      <c r="AB5">
        <v>0.45800000000000002</v>
      </c>
      <c r="AC5">
        <v>3.34</v>
      </c>
      <c r="AD5">
        <v>3.585</v>
      </c>
      <c r="AE5" t="s">
        <v>89</v>
      </c>
      <c r="AF5" s="129"/>
      <c r="AG5" t="s">
        <v>89</v>
      </c>
      <c r="AH5" t="s">
        <v>89</v>
      </c>
      <c r="AI5" t="s">
        <v>974</v>
      </c>
      <c r="AJ5" t="s">
        <v>975</v>
      </c>
      <c r="AK5" t="s">
        <v>89</v>
      </c>
      <c r="AL5" t="s">
        <v>89</v>
      </c>
      <c r="AM5" t="s">
        <v>89</v>
      </c>
      <c r="AN5" t="s">
        <v>6</v>
      </c>
      <c r="AO5"/>
      <c r="AP5" t="s">
        <v>89</v>
      </c>
      <c r="AQ5"/>
      <c r="AR5" t="s">
        <v>89</v>
      </c>
      <c r="AS5" t="s">
        <v>89</v>
      </c>
      <c r="AT5" t="s">
        <v>89</v>
      </c>
      <c r="AU5" t="s">
        <v>89</v>
      </c>
      <c r="AV5" t="s">
        <v>976</v>
      </c>
      <c r="AW5"/>
      <c r="AX5"/>
      <c r="AY5" t="s">
        <v>978</v>
      </c>
      <c r="AZ5" t="s">
        <v>503</v>
      </c>
      <c r="BM5" s="17"/>
    </row>
    <row r="6" spans="1:67" x14ac:dyDescent="0.25">
      <c r="A6"/>
      <c r="B6" t="s">
        <v>89</v>
      </c>
      <c r="C6" t="s">
        <v>947</v>
      </c>
      <c r="D6" t="s">
        <v>948</v>
      </c>
      <c r="E6" s="31">
        <v>45247</v>
      </c>
      <c r="F6" t="s">
        <v>80</v>
      </c>
      <c r="G6" t="s">
        <v>80</v>
      </c>
      <c r="H6" t="s">
        <v>319</v>
      </c>
      <c r="I6" t="s">
        <v>82</v>
      </c>
      <c r="J6">
        <v>1</v>
      </c>
      <c r="K6" t="s">
        <v>131</v>
      </c>
      <c r="L6" t="s">
        <v>949</v>
      </c>
      <c r="M6" t="s">
        <v>89</v>
      </c>
      <c r="N6" t="s">
        <v>949</v>
      </c>
      <c r="O6" t="s">
        <v>89</v>
      </c>
      <c r="P6"/>
      <c r="Q6" t="s">
        <v>111</v>
      </c>
      <c r="R6">
        <v>100</v>
      </c>
      <c r="S6" t="s">
        <v>35</v>
      </c>
      <c r="T6" t="s">
        <v>231</v>
      </c>
      <c r="U6" t="s">
        <v>6</v>
      </c>
      <c r="V6" t="s">
        <v>6</v>
      </c>
      <c r="W6" t="s">
        <v>89</v>
      </c>
      <c r="X6" t="s">
        <v>115</v>
      </c>
      <c r="Y6" s="31">
        <v>45254</v>
      </c>
      <c r="Z6" s="31">
        <v>45436</v>
      </c>
      <c r="AA6" s="31">
        <v>46350</v>
      </c>
      <c r="AB6">
        <v>1</v>
      </c>
      <c r="AC6">
        <v>7.2930000000000001</v>
      </c>
      <c r="AD6">
        <v>7.8310000000000004</v>
      </c>
      <c r="AE6" t="s">
        <v>959</v>
      </c>
      <c r="AF6" s="129"/>
      <c r="AG6" t="s">
        <v>89</v>
      </c>
      <c r="AH6" t="s">
        <v>89</v>
      </c>
      <c r="AI6" t="s">
        <v>947</v>
      </c>
      <c r="AJ6" t="s">
        <v>89</v>
      </c>
      <c r="AK6" t="s">
        <v>89</v>
      </c>
      <c r="AL6" t="s">
        <v>89</v>
      </c>
      <c r="AM6" t="s">
        <v>89</v>
      </c>
      <c r="AN6" t="s">
        <v>6</v>
      </c>
      <c r="AO6"/>
      <c r="AP6" t="s">
        <v>89</v>
      </c>
      <c r="AQ6"/>
      <c r="AR6" t="s">
        <v>89</v>
      </c>
      <c r="AS6" t="s">
        <v>89</v>
      </c>
      <c r="AT6" t="s">
        <v>958</v>
      </c>
      <c r="AU6" t="s">
        <v>244</v>
      </c>
      <c r="AV6" t="s">
        <v>198</v>
      </c>
      <c r="AW6"/>
      <c r="AX6"/>
      <c r="AY6" t="s">
        <v>962</v>
      </c>
      <c r="AZ6" t="s">
        <v>503</v>
      </c>
      <c r="BM6" s="17"/>
    </row>
    <row r="7" spans="1:67" x14ac:dyDescent="0.25">
      <c r="A7"/>
      <c r="B7" t="s">
        <v>89</v>
      </c>
      <c r="C7" t="s">
        <v>638</v>
      </c>
      <c r="D7" t="s">
        <v>639</v>
      </c>
      <c r="E7" s="31">
        <v>45246</v>
      </c>
      <c r="F7" t="s">
        <v>80</v>
      </c>
      <c r="G7" t="s">
        <v>80</v>
      </c>
      <c r="H7" t="s">
        <v>587</v>
      </c>
      <c r="I7" t="s">
        <v>103</v>
      </c>
      <c r="J7">
        <v>6.08</v>
      </c>
      <c r="K7" t="s">
        <v>131</v>
      </c>
      <c r="L7" t="s">
        <v>641</v>
      </c>
      <c r="M7" t="s">
        <v>89</v>
      </c>
      <c r="N7" t="s">
        <v>641</v>
      </c>
      <c r="O7" t="s">
        <v>89</v>
      </c>
      <c r="P7"/>
      <c r="Q7" t="s">
        <v>111</v>
      </c>
      <c r="R7">
        <v>100</v>
      </c>
      <c r="S7" t="s">
        <v>108</v>
      </c>
      <c r="T7" t="s">
        <v>769</v>
      </c>
      <c r="U7" t="s">
        <v>6</v>
      </c>
      <c r="V7" t="s">
        <v>6</v>
      </c>
      <c r="W7" t="s">
        <v>89</v>
      </c>
      <c r="X7" t="s">
        <v>115</v>
      </c>
      <c r="Y7" s="31">
        <v>45253</v>
      </c>
      <c r="Z7" s="31">
        <v>45435</v>
      </c>
      <c r="AA7" s="31">
        <v>46349</v>
      </c>
      <c r="AB7">
        <v>0.83399999999999996</v>
      </c>
      <c r="AC7">
        <v>6.08</v>
      </c>
      <c r="AD7">
        <v>6.5259999999999998</v>
      </c>
      <c r="AE7" t="s">
        <v>654</v>
      </c>
      <c r="AF7" s="129"/>
      <c r="AG7" t="s">
        <v>89</v>
      </c>
      <c r="AH7" t="s">
        <v>89</v>
      </c>
      <c r="AI7" t="s">
        <v>638</v>
      </c>
      <c r="AJ7" t="s">
        <v>89</v>
      </c>
      <c r="AK7" t="s">
        <v>89</v>
      </c>
      <c r="AL7" t="s">
        <v>648</v>
      </c>
      <c r="AM7" t="s">
        <v>89</v>
      </c>
      <c r="AN7" t="s">
        <v>6</v>
      </c>
      <c r="AO7"/>
      <c r="AP7" t="s">
        <v>89</v>
      </c>
      <c r="AQ7"/>
      <c r="AR7" t="s">
        <v>89</v>
      </c>
      <c r="AS7" t="s">
        <v>89</v>
      </c>
      <c r="AT7" t="s">
        <v>653</v>
      </c>
      <c r="AU7" t="s">
        <v>244</v>
      </c>
      <c r="AV7" t="s">
        <v>198</v>
      </c>
      <c r="AW7"/>
      <c r="AX7"/>
      <c r="AY7" t="s">
        <v>656</v>
      </c>
      <c r="AZ7" t="s">
        <v>503</v>
      </c>
      <c r="BM7" s="17"/>
    </row>
    <row r="8" spans="1:67" x14ac:dyDescent="0.25">
      <c r="A8"/>
      <c r="B8" t="s">
        <v>89</v>
      </c>
      <c r="C8" t="s">
        <v>657</v>
      </c>
      <c r="D8" t="s">
        <v>658</v>
      </c>
      <c r="E8" s="31">
        <v>45246</v>
      </c>
      <c r="F8" t="s">
        <v>80</v>
      </c>
      <c r="G8" t="s">
        <v>80</v>
      </c>
      <c r="H8" t="s">
        <v>89</v>
      </c>
      <c r="I8" t="s">
        <v>103</v>
      </c>
      <c r="J8">
        <v>1.9</v>
      </c>
      <c r="K8" t="s">
        <v>131</v>
      </c>
      <c r="L8" t="s">
        <v>770</v>
      </c>
      <c r="M8" t="s">
        <v>89</v>
      </c>
      <c r="N8" t="s">
        <v>89</v>
      </c>
      <c r="O8" t="s">
        <v>89</v>
      </c>
      <c r="P8"/>
      <c r="Q8" t="s">
        <v>111</v>
      </c>
      <c r="R8">
        <v>100</v>
      </c>
      <c r="S8" t="s">
        <v>35</v>
      </c>
      <c r="T8" t="s">
        <v>204</v>
      </c>
      <c r="U8" t="s">
        <v>6</v>
      </c>
      <c r="V8" t="s">
        <v>6</v>
      </c>
      <c r="W8" t="s">
        <v>89</v>
      </c>
      <c r="X8" t="s">
        <v>115</v>
      </c>
      <c r="Y8" s="31">
        <v>45250</v>
      </c>
      <c r="Z8" s="31">
        <v>45432</v>
      </c>
      <c r="AA8" s="31">
        <v>46346</v>
      </c>
      <c r="AB8">
        <v>0.26</v>
      </c>
      <c r="AC8">
        <v>1.9</v>
      </c>
      <c r="AD8">
        <v>2.0390000000000001</v>
      </c>
      <c r="AE8" t="s">
        <v>665</v>
      </c>
      <c r="AF8" s="129"/>
      <c r="AG8" t="s">
        <v>89</v>
      </c>
      <c r="AH8" t="s">
        <v>89</v>
      </c>
      <c r="AI8" t="s">
        <v>657</v>
      </c>
      <c r="AJ8" t="s">
        <v>89</v>
      </c>
      <c r="AK8" t="s">
        <v>89</v>
      </c>
      <c r="AL8" t="s">
        <v>89</v>
      </c>
      <c r="AM8" t="s">
        <v>89</v>
      </c>
      <c r="AN8" t="s">
        <v>6</v>
      </c>
      <c r="AO8"/>
      <c r="AP8" t="s">
        <v>89</v>
      </c>
      <c r="AQ8"/>
      <c r="AR8" t="s">
        <v>89</v>
      </c>
      <c r="AS8" t="s">
        <v>89</v>
      </c>
      <c r="AT8" t="s">
        <v>89</v>
      </c>
      <c r="AU8" t="s">
        <v>244</v>
      </c>
      <c r="AV8" t="s">
        <v>198</v>
      </c>
      <c r="AW8"/>
      <c r="AX8"/>
      <c r="AY8" t="s">
        <v>667</v>
      </c>
      <c r="AZ8" t="s">
        <v>503</v>
      </c>
      <c r="BM8" s="17"/>
    </row>
    <row r="9" spans="1:67" x14ac:dyDescent="0.25">
      <c r="A9"/>
      <c r="B9" t="s">
        <v>89</v>
      </c>
      <c r="C9" t="s">
        <v>668</v>
      </c>
      <c r="D9" t="s">
        <v>669</v>
      </c>
      <c r="E9" s="31">
        <v>45246</v>
      </c>
      <c r="F9" t="s">
        <v>598</v>
      </c>
      <c r="G9" t="s">
        <v>291</v>
      </c>
      <c r="H9" t="s">
        <v>319</v>
      </c>
      <c r="I9" t="s">
        <v>82</v>
      </c>
      <c r="J9">
        <v>3</v>
      </c>
      <c r="K9" t="s">
        <v>330</v>
      </c>
      <c r="L9" t="s">
        <v>772</v>
      </c>
      <c r="M9" t="s">
        <v>771</v>
      </c>
      <c r="N9" t="s">
        <v>772</v>
      </c>
      <c r="O9" t="s">
        <v>772</v>
      </c>
      <c r="P9">
        <v>42</v>
      </c>
      <c r="Q9" t="s">
        <v>544</v>
      </c>
      <c r="R9">
        <v>100</v>
      </c>
      <c r="S9" t="s">
        <v>35</v>
      </c>
      <c r="T9" t="s">
        <v>215</v>
      </c>
      <c r="U9" t="s">
        <v>130</v>
      </c>
      <c r="V9" t="s">
        <v>6</v>
      </c>
      <c r="W9" t="s">
        <v>89</v>
      </c>
      <c r="X9" t="s">
        <v>574</v>
      </c>
      <c r="Y9" s="31">
        <v>45254</v>
      </c>
      <c r="Z9" s="31">
        <v>45346</v>
      </c>
      <c r="AA9" s="31">
        <v>45985</v>
      </c>
      <c r="AB9">
        <v>3</v>
      </c>
      <c r="AC9">
        <v>21.878</v>
      </c>
      <c r="AD9">
        <v>23.492000000000001</v>
      </c>
      <c r="AE9" t="s">
        <v>678</v>
      </c>
      <c r="AF9" s="129"/>
      <c r="AG9" t="s">
        <v>89</v>
      </c>
      <c r="AH9" t="s">
        <v>997</v>
      </c>
      <c r="AI9" t="s">
        <v>679</v>
      </c>
      <c r="AJ9" t="s">
        <v>89</v>
      </c>
      <c r="AK9" t="s">
        <v>89</v>
      </c>
      <c r="AL9" t="s">
        <v>89</v>
      </c>
      <c r="AM9" t="s">
        <v>89</v>
      </c>
      <c r="AN9" t="s">
        <v>6</v>
      </c>
      <c r="AO9"/>
      <c r="AP9" t="s">
        <v>89</v>
      </c>
      <c r="AQ9"/>
      <c r="AR9" t="s">
        <v>89</v>
      </c>
      <c r="AS9" t="s">
        <v>89</v>
      </c>
      <c r="AT9" t="s">
        <v>677</v>
      </c>
      <c r="AU9" t="s">
        <v>244</v>
      </c>
      <c r="AV9" t="s">
        <v>198</v>
      </c>
      <c r="AW9"/>
      <c r="AX9"/>
      <c r="AY9" t="s">
        <v>682</v>
      </c>
      <c r="AZ9" t="s">
        <v>503</v>
      </c>
      <c r="BM9" s="17"/>
    </row>
    <row r="10" spans="1:67" x14ac:dyDescent="0.25">
      <c r="A10"/>
      <c r="B10" t="s">
        <v>89</v>
      </c>
      <c r="C10" t="s">
        <v>668</v>
      </c>
      <c r="D10" t="s">
        <v>683</v>
      </c>
      <c r="E10" s="31">
        <v>45246</v>
      </c>
      <c r="F10" t="s">
        <v>598</v>
      </c>
      <c r="G10" t="s">
        <v>291</v>
      </c>
      <c r="H10" t="s">
        <v>319</v>
      </c>
      <c r="I10" t="s">
        <v>105</v>
      </c>
      <c r="J10">
        <v>15</v>
      </c>
      <c r="K10" t="s">
        <v>330</v>
      </c>
      <c r="L10" t="s">
        <v>690</v>
      </c>
      <c r="M10" t="s">
        <v>601</v>
      </c>
      <c r="N10" t="s">
        <v>690</v>
      </c>
      <c r="O10" t="s">
        <v>89</v>
      </c>
      <c r="P10">
        <v>35</v>
      </c>
      <c r="Q10" t="s">
        <v>111</v>
      </c>
      <c r="R10">
        <v>100</v>
      </c>
      <c r="S10" t="s">
        <v>35</v>
      </c>
      <c r="T10" t="s">
        <v>215</v>
      </c>
      <c r="U10" t="s">
        <v>129</v>
      </c>
      <c r="V10" t="s">
        <v>6</v>
      </c>
      <c r="W10" t="s">
        <v>89</v>
      </c>
      <c r="X10" t="s">
        <v>115</v>
      </c>
      <c r="Y10" s="31">
        <v>45254</v>
      </c>
      <c r="Z10" s="31">
        <v>45436</v>
      </c>
      <c r="AA10" s="31">
        <v>45985</v>
      </c>
      <c r="AB10">
        <v>1.9159999999999999</v>
      </c>
      <c r="AC10">
        <v>13.974</v>
      </c>
      <c r="AD10">
        <v>15</v>
      </c>
      <c r="AE10" t="s">
        <v>678</v>
      </c>
      <c r="AF10" s="129"/>
      <c r="AG10" t="s">
        <v>89</v>
      </c>
      <c r="AH10" t="s">
        <v>997</v>
      </c>
      <c r="AI10" t="s">
        <v>679</v>
      </c>
      <c r="AJ10" t="s">
        <v>89</v>
      </c>
      <c r="AK10" t="s">
        <v>89</v>
      </c>
      <c r="AL10" t="s">
        <v>89</v>
      </c>
      <c r="AM10" t="s">
        <v>89</v>
      </c>
      <c r="AN10" t="s">
        <v>6</v>
      </c>
      <c r="AO10"/>
      <c r="AP10" t="s">
        <v>89</v>
      </c>
      <c r="AQ10"/>
      <c r="AR10" t="s">
        <v>89</v>
      </c>
      <c r="AS10" t="s">
        <v>995</v>
      </c>
      <c r="AT10" t="s">
        <v>677</v>
      </c>
      <c r="AU10" t="s">
        <v>244</v>
      </c>
      <c r="AV10" t="s">
        <v>198</v>
      </c>
      <c r="AW10"/>
      <c r="AX10"/>
      <c r="AY10" t="s">
        <v>692</v>
      </c>
      <c r="AZ10" t="s">
        <v>503</v>
      </c>
      <c r="BM10" s="17"/>
    </row>
    <row r="11" spans="1:67" x14ac:dyDescent="0.25">
      <c r="A11"/>
      <c r="B11" t="s">
        <v>89</v>
      </c>
      <c r="C11" t="s">
        <v>668</v>
      </c>
      <c r="D11" t="s">
        <v>721</v>
      </c>
      <c r="E11" s="31">
        <v>45245</v>
      </c>
      <c r="F11" t="s">
        <v>598</v>
      </c>
      <c r="G11" t="s">
        <v>291</v>
      </c>
      <c r="H11" t="s">
        <v>319</v>
      </c>
      <c r="I11" t="s">
        <v>82</v>
      </c>
      <c r="J11">
        <v>3</v>
      </c>
      <c r="K11" t="s">
        <v>131</v>
      </c>
      <c r="L11" t="s">
        <v>292</v>
      </c>
      <c r="M11" t="s">
        <v>293</v>
      </c>
      <c r="N11" t="s">
        <v>292</v>
      </c>
      <c r="O11" t="s">
        <v>292</v>
      </c>
      <c r="P11">
        <v>45</v>
      </c>
      <c r="Q11" t="s">
        <v>544</v>
      </c>
      <c r="R11">
        <v>100</v>
      </c>
      <c r="S11" t="s">
        <v>35</v>
      </c>
      <c r="T11" t="s">
        <v>773</v>
      </c>
      <c r="U11" t="s">
        <v>130</v>
      </c>
      <c r="V11" t="s">
        <v>6</v>
      </c>
      <c r="W11" t="s">
        <v>89</v>
      </c>
      <c r="X11" t="s">
        <v>574</v>
      </c>
      <c r="Y11" s="31">
        <v>45252</v>
      </c>
      <c r="Z11" s="31">
        <v>45344</v>
      </c>
      <c r="AA11" s="31">
        <v>46348</v>
      </c>
      <c r="AB11">
        <v>3</v>
      </c>
      <c r="AC11">
        <v>21.878</v>
      </c>
      <c r="AD11">
        <v>23.492000000000001</v>
      </c>
      <c r="AE11" t="s">
        <v>678</v>
      </c>
      <c r="AF11" s="129"/>
      <c r="AG11" t="s">
        <v>89</v>
      </c>
      <c r="AH11" t="s">
        <v>998</v>
      </c>
      <c r="AI11" t="s">
        <v>731</v>
      </c>
      <c r="AJ11" t="s">
        <v>89</v>
      </c>
      <c r="AK11" t="s">
        <v>89</v>
      </c>
      <c r="AL11" t="s">
        <v>89</v>
      </c>
      <c r="AM11" t="s">
        <v>504</v>
      </c>
      <c r="AN11" t="s">
        <v>582</v>
      </c>
      <c r="AO11"/>
      <c r="AP11" t="s">
        <v>89</v>
      </c>
      <c r="AQ11"/>
      <c r="AR11" t="s">
        <v>89</v>
      </c>
      <c r="AS11" t="s">
        <v>89</v>
      </c>
      <c r="AT11" t="s">
        <v>729</v>
      </c>
      <c r="AU11" t="s">
        <v>244</v>
      </c>
      <c r="AV11" t="s">
        <v>198</v>
      </c>
      <c r="AW11"/>
      <c r="AX11"/>
      <c r="AY11" t="s">
        <v>734</v>
      </c>
      <c r="AZ11" t="s">
        <v>503</v>
      </c>
      <c r="BO11" s="17"/>
    </row>
    <row r="12" spans="1:67" x14ac:dyDescent="0.25">
      <c r="A12"/>
      <c r="B12" t="s">
        <v>89</v>
      </c>
      <c r="C12" t="s">
        <v>736</v>
      </c>
      <c r="D12" t="s">
        <v>737</v>
      </c>
      <c r="E12" s="31">
        <v>45244</v>
      </c>
      <c r="F12" t="s">
        <v>751</v>
      </c>
      <c r="G12" t="s">
        <v>751</v>
      </c>
      <c r="H12" t="s">
        <v>319</v>
      </c>
      <c r="I12" t="s">
        <v>82</v>
      </c>
      <c r="J12">
        <v>2.1</v>
      </c>
      <c r="K12" t="s">
        <v>550</v>
      </c>
      <c r="L12" t="s">
        <v>749</v>
      </c>
      <c r="M12" t="s">
        <v>774</v>
      </c>
      <c r="N12" t="s">
        <v>749</v>
      </c>
      <c r="O12" t="s">
        <v>89</v>
      </c>
      <c r="P12">
        <v>40</v>
      </c>
      <c r="Q12" t="s">
        <v>111</v>
      </c>
      <c r="R12">
        <v>100</v>
      </c>
      <c r="S12" t="s">
        <v>37</v>
      </c>
      <c r="T12" t="s">
        <v>215</v>
      </c>
      <c r="U12" t="s">
        <v>129</v>
      </c>
      <c r="V12" t="s">
        <v>6</v>
      </c>
      <c r="W12" t="s">
        <v>89</v>
      </c>
      <c r="X12" t="s">
        <v>115</v>
      </c>
      <c r="Y12" s="31">
        <v>45250</v>
      </c>
      <c r="Z12" s="31">
        <v>45432</v>
      </c>
      <c r="AA12" s="31">
        <v>45614</v>
      </c>
      <c r="AB12">
        <v>2.1</v>
      </c>
      <c r="AC12">
        <v>15.315</v>
      </c>
      <c r="AD12">
        <v>16.443999999999999</v>
      </c>
      <c r="AE12" t="s">
        <v>747</v>
      </c>
      <c r="AF12" s="129"/>
      <c r="AG12" t="s">
        <v>89</v>
      </c>
      <c r="AH12" t="s">
        <v>89</v>
      </c>
      <c r="AI12" t="s">
        <v>748</v>
      </c>
      <c r="AJ12" t="s">
        <v>736</v>
      </c>
      <c r="AK12" t="s">
        <v>89</v>
      </c>
      <c r="AL12" t="s">
        <v>89</v>
      </c>
      <c r="AM12" t="s">
        <v>89</v>
      </c>
      <c r="AN12" t="s">
        <v>6</v>
      </c>
      <c r="AO12"/>
      <c r="AP12" t="s">
        <v>564</v>
      </c>
      <c r="AQ12"/>
      <c r="AR12" t="s">
        <v>89</v>
      </c>
      <c r="AS12" t="s">
        <v>89</v>
      </c>
      <c r="AT12" t="s">
        <v>746</v>
      </c>
      <c r="AU12" t="s">
        <v>244</v>
      </c>
      <c r="AV12" t="s">
        <v>198</v>
      </c>
      <c r="AW12"/>
      <c r="AX12"/>
      <c r="AY12" t="s">
        <v>752</v>
      </c>
      <c r="AZ12" t="s">
        <v>503</v>
      </c>
      <c r="BO12" s="17"/>
    </row>
    <row r="13" spans="1:67" x14ac:dyDescent="0.25">
      <c r="BO13" s="17"/>
    </row>
    <row r="14" spans="1:67" x14ac:dyDescent="0.25">
      <c r="BO14" s="17"/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sheetPr codeName="Sheet20"/>
  <dimension ref="A2:L7"/>
  <sheetViews>
    <sheetView workbookViewId="0">
      <selection activeCell="C12" sqref="C12"/>
    </sheetView>
  </sheetViews>
  <sheetFormatPr defaultRowHeight="15" x14ac:dyDescent="0.25"/>
  <cols>
    <col min="1" max="1" width="7.109375" bestFit="1" customWidth="1"/>
    <col min="2" max="2" width="10.88671875" bestFit="1" customWidth="1"/>
    <col min="3" max="3" width="10.33203125" bestFit="1" customWidth="1"/>
    <col min="4" max="4" width="13.33203125" bestFit="1" customWidth="1"/>
    <col min="5" max="5" width="25.88671875" bestFit="1" customWidth="1"/>
    <col min="6" max="6" width="9.21875" bestFit="1" customWidth="1"/>
    <col min="7" max="7" width="5.88671875" bestFit="1" customWidth="1"/>
    <col min="8" max="8" width="12" bestFit="1" customWidth="1"/>
    <col min="9" max="9" width="7.5546875" bestFit="1" customWidth="1"/>
    <col min="10" max="10" width="5.88671875" bestFit="1" customWidth="1"/>
    <col min="11" max="11" width="19.44140625" bestFit="1" customWidth="1"/>
    <col min="12" max="12" width="8.44140625" bestFit="1" customWidth="1"/>
  </cols>
  <sheetData>
    <row r="2" spans="1:12" x14ac:dyDescent="0.25">
      <c r="A2" t="s">
        <v>83</v>
      </c>
      <c r="B2" t="s">
        <v>280</v>
      </c>
      <c r="C2" t="s">
        <v>47</v>
      </c>
      <c r="D2" t="s">
        <v>46</v>
      </c>
      <c r="E2" t="s">
        <v>91</v>
      </c>
      <c r="F2" t="s">
        <v>119</v>
      </c>
      <c r="G2" t="s">
        <v>62</v>
      </c>
      <c r="H2" t="s">
        <v>55</v>
      </c>
      <c r="I2" t="s">
        <v>140</v>
      </c>
      <c r="J2" t="s">
        <v>84</v>
      </c>
      <c r="K2" t="s">
        <v>121</v>
      </c>
      <c r="L2" t="s">
        <v>514</v>
      </c>
    </row>
    <row r="3" spans="1:12" x14ac:dyDescent="0.25">
      <c r="A3">
        <v>7</v>
      </c>
      <c r="B3" t="s">
        <v>510</v>
      </c>
      <c r="C3" s="31">
        <v>45246</v>
      </c>
      <c r="D3" t="s">
        <v>693</v>
      </c>
      <c r="E3" t="s">
        <v>505</v>
      </c>
      <c r="F3" t="s">
        <v>80</v>
      </c>
      <c r="G3" t="s">
        <v>82</v>
      </c>
      <c r="H3">
        <v>2E-3</v>
      </c>
      <c r="I3">
        <v>2E-3</v>
      </c>
      <c r="J3" t="s">
        <v>776</v>
      </c>
      <c r="K3" t="s">
        <v>698</v>
      </c>
      <c r="L3" t="s">
        <v>503</v>
      </c>
    </row>
    <row r="4" spans="1:12" x14ac:dyDescent="0.25">
      <c r="A4">
        <v>6</v>
      </c>
      <c r="B4" t="s">
        <v>510</v>
      </c>
      <c r="C4" s="31">
        <v>45245</v>
      </c>
      <c r="D4" t="s">
        <v>700</v>
      </c>
      <c r="E4" t="s">
        <v>699</v>
      </c>
      <c r="F4" t="s">
        <v>80</v>
      </c>
      <c r="G4" t="s">
        <v>103</v>
      </c>
      <c r="H4">
        <v>5.2</v>
      </c>
      <c r="I4">
        <v>0.71299999999999997</v>
      </c>
      <c r="J4" t="s">
        <v>131</v>
      </c>
      <c r="K4" t="s">
        <v>709</v>
      </c>
      <c r="L4" t="s">
        <v>503</v>
      </c>
    </row>
    <row r="5" spans="1:12" x14ac:dyDescent="0.25">
      <c r="A5">
        <v>5</v>
      </c>
      <c r="B5" t="s">
        <v>510</v>
      </c>
      <c r="C5" s="31">
        <v>45245</v>
      </c>
      <c r="D5" t="s">
        <v>710</v>
      </c>
      <c r="E5" t="s">
        <v>329</v>
      </c>
      <c r="F5" t="s">
        <v>80</v>
      </c>
      <c r="G5" t="s">
        <v>103</v>
      </c>
      <c r="H5">
        <v>0.86299999999999999</v>
      </c>
      <c r="I5">
        <v>0.11799999999999999</v>
      </c>
      <c r="J5" t="s">
        <v>779</v>
      </c>
      <c r="K5" t="s">
        <v>720</v>
      </c>
      <c r="L5" t="s">
        <v>503</v>
      </c>
    </row>
    <row r="6" spans="1:12" x14ac:dyDescent="0.25">
      <c r="A6">
        <v>2</v>
      </c>
      <c r="B6" t="s">
        <v>510</v>
      </c>
      <c r="C6" s="31">
        <v>45244</v>
      </c>
      <c r="D6" t="s">
        <v>753</v>
      </c>
      <c r="E6" t="s">
        <v>505</v>
      </c>
      <c r="F6" t="s">
        <v>80</v>
      </c>
      <c r="G6" t="s">
        <v>82</v>
      </c>
      <c r="H6">
        <v>0.05</v>
      </c>
      <c r="I6">
        <v>0.05</v>
      </c>
      <c r="J6" t="s">
        <v>782</v>
      </c>
      <c r="K6" t="s">
        <v>757</v>
      </c>
      <c r="L6" t="s">
        <v>503</v>
      </c>
    </row>
    <row r="7" spans="1:12" x14ac:dyDescent="0.25">
      <c r="A7">
        <v>1</v>
      </c>
      <c r="B7" t="s">
        <v>510</v>
      </c>
      <c r="C7" s="31">
        <v>45243</v>
      </c>
      <c r="D7" t="s">
        <v>759</v>
      </c>
      <c r="E7" t="s">
        <v>758</v>
      </c>
      <c r="F7" t="s">
        <v>80</v>
      </c>
      <c r="G7" t="s">
        <v>82</v>
      </c>
      <c r="H7">
        <v>0.05</v>
      </c>
      <c r="I7">
        <v>0.05</v>
      </c>
      <c r="J7" t="s">
        <v>6</v>
      </c>
      <c r="K7" t="s">
        <v>767</v>
      </c>
      <c r="L7" t="s">
        <v>503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N6"/>
  <sheetViews>
    <sheetView workbookViewId="0">
      <selection activeCell="J4" sqref="J4"/>
    </sheetView>
  </sheetViews>
  <sheetFormatPr defaultRowHeight="15" x14ac:dyDescent="0.25"/>
  <cols>
    <col min="1" max="1" width="26.44140625" style="1" bestFit="1" customWidth="1"/>
    <col min="2" max="2" width="14.44140625" style="1" bestFit="1" customWidth="1"/>
    <col min="3" max="3" width="7.6640625" style="1" bestFit="1" customWidth="1"/>
    <col min="4" max="6" width="9.21875" style="1" bestFit="1" customWidth="1"/>
    <col min="7" max="7" width="6" style="1" bestFit="1" customWidth="1"/>
    <col min="8" max="8" width="5.88671875" style="1" bestFit="1" customWidth="1"/>
    <col min="9" max="10" width="6" style="1" bestFit="1" customWidth="1"/>
    <col min="11" max="11" width="10.88671875" style="1" bestFit="1" customWidth="1"/>
    <col min="12" max="12" width="14.21875" style="1" bestFit="1" customWidth="1"/>
    <col min="13" max="13" width="9.44140625" style="1" bestFit="1" customWidth="1"/>
    <col min="14" max="14" width="9.109375" style="1" bestFit="1" customWidth="1"/>
    <col min="15" max="15" width="10.88671875" style="1" bestFit="1" customWidth="1"/>
    <col min="16" max="16" width="14.21875" style="1" bestFit="1" customWidth="1"/>
    <col min="17" max="17" width="9.44140625" style="1" bestFit="1" customWidth="1"/>
    <col min="18" max="18" width="9.109375" style="1" customWidth="1"/>
    <col min="19" max="19" width="5.88671875" style="1" bestFit="1" customWidth="1"/>
    <col min="20" max="20" width="6" style="1" bestFit="1" customWidth="1"/>
    <col min="21" max="21" width="5.88671875" style="1" bestFit="1" customWidth="1"/>
    <col min="22" max="22" width="10.88671875" style="1" bestFit="1" customWidth="1"/>
    <col min="23" max="23" width="13.33203125" style="1" bestFit="1" customWidth="1"/>
    <col min="24" max="24" width="9.44140625" style="1" bestFit="1" customWidth="1"/>
    <col min="25" max="25" width="9.109375" style="1" bestFit="1" customWidth="1"/>
    <col min="26" max="26" width="9.33203125" style="1" customWidth="1"/>
    <col min="27" max="27" width="9.33203125" style="1" bestFit="1" customWidth="1"/>
    <col min="28" max="30" width="6.109375" style="1" bestFit="1" customWidth="1"/>
    <col min="31" max="31" width="11.109375" style="1" bestFit="1" customWidth="1"/>
    <col min="32" max="32" width="13.5546875" style="1" bestFit="1" customWidth="1"/>
    <col min="33" max="33" width="6.109375" style="1" bestFit="1" customWidth="1"/>
    <col min="34" max="34" width="9.33203125" style="1" bestFit="1" customWidth="1"/>
    <col min="35" max="36" width="6.109375" style="1" bestFit="1" customWidth="1"/>
    <col min="37" max="37" width="4.44140625" style="1" bestFit="1" customWidth="1"/>
    <col min="38" max="38" width="11.109375" style="1" bestFit="1" customWidth="1"/>
    <col min="39" max="39" width="13.5546875" style="1" bestFit="1" customWidth="1"/>
    <col min="40" max="40" width="7.77734375" style="1" bestFit="1" customWidth="1"/>
    <col min="41" max="41" width="9.44140625" style="1" bestFit="1" customWidth="1"/>
    <col min="42" max="42" width="6.109375" style="1" bestFit="1" customWidth="1"/>
    <col min="43" max="43" width="8.109375" style="1" bestFit="1" customWidth="1"/>
    <col min="44" max="44" width="9.44140625" style="1" bestFit="1" customWidth="1"/>
    <col min="45" max="45" width="10.88671875" style="1" bestFit="1" customWidth="1"/>
    <col min="46" max="46" width="9.21875" style="1" bestFit="1" customWidth="1"/>
    <col min="47" max="47" width="10.88671875" style="1" bestFit="1" customWidth="1"/>
    <col min="48" max="48" width="12.5546875" style="1" bestFit="1" customWidth="1"/>
    <col min="49" max="49" width="9.5546875" style="1" bestFit="1" customWidth="1"/>
    <col min="50" max="51" width="11.77734375" style="1" bestFit="1" customWidth="1"/>
    <col min="52" max="52" width="11" style="1" bestFit="1" customWidth="1"/>
    <col min="53" max="53" width="9.33203125" style="1" bestFit="1" customWidth="1"/>
    <col min="54" max="54" width="11.5546875" style="1" bestFit="1" customWidth="1"/>
    <col min="55" max="55" width="5.88671875" style="1" bestFit="1" customWidth="1"/>
    <col min="56" max="56" width="9.21875" style="1" customWidth="1"/>
    <col min="57" max="57" width="5.88671875" style="1" bestFit="1" customWidth="1"/>
    <col min="58" max="59" width="9.21875" style="1" customWidth="1"/>
    <col min="60" max="62" width="5.88671875" style="1" bestFit="1" customWidth="1"/>
    <col min="63" max="63" width="9.21875" style="1" customWidth="1"/>
    <col min="64" max="64" width="4.21875" style="1" bestFit="1" customWidth="1"/>
    <col min="65" max="65" width="10.88671875" style="1" bestFit="1" customWidth="1"/>
    <col min="66" max="66" width="13.33203125" style="1" bestFit="1" customWidth="1"/>
    <col min="67" max="67" width="7.5546875" style="1" bestFit="1" customWidth="1"/>
    <col min="68" max="68" width="9.21875" style="1" customWidth="1"/>
    <col min="69" max="69" width="5.88671875" style="1" bestFit="1" customWidth="1"/>
    <col min="70" max="71" width="9.21875" style="1" customWidth="1"/>
    <col min="72" max="72" width="9.33203125" style="1" bestFit="1" customWidth="1"/>
    <col min="73" max="73" width="11.5546875" style="1" bestFit="1" customWidth="1"/>
    <col min="74" max="74" width="5.88671875" style="1" bestFit="1" customWidth="1"/>
    <col min="75" max="75" width="9.21875" style="1" bestFit="1" customWidth="1"/>
    <col min="76" max="76" width="7.6640625" style="1" bestFit="1" customWidth="1"/>
    <col min="77" max="78" width="9.21875" style="1" bestFit="1" customWidth="1"/>
    <col min="79" max="81" width="5.88671875" style="1" bestFit="1" customWidth="1"/>
    <col min="82" max="82" width="9.21875" style="1" bestFit="1" customWidth="1"/>
    <col min="83" max="83" width="4.21875" style="1" bestFit="1" customWidth="1"/>
    <col min="84" max="84" width="10.88671875" style="1" bestFit="1" customWidth="1"/>
    <col min="85" max="85" width="13.33203125" style="1" bestFit="1" customWidth="1"/>
    <col min="86" max="86" width="7.5546875" style="1" bestFit="1" customWidth="1"/>
    <col min="87" max="87" width="9.21875" style="1" bestFit="1" customWidth="1"/>
    <col min="88" max="88" width="5.88671875" style="1" bestFit="1" customWidth="1"/>
    <col min="89" max="90" width="9.21875" style="1" bestFit="1" customWidth="1"/>
    <col min="91" max="91" width="9.33203125" style="1" bestFit="1" customWidth="1"/>
    <col min="92" max="92" width="11.5546875" style="1" bestFit="1" customWidth="1"/>
    <col min="93" max="93" width="11.77734375" style="1" bestFit="1" customWidth="1"/>
    <col min="94" max="94" width="5.88671875" style="1" bestFit="1" customWidth="1"/>
    <col min="95" max="96" width="8.33203125" style="1" bestFit="1" customWidth="1"/>
    <col min="97" max="16384" width="8.88671875" style="1"/>
  </cols>
  <sheetData>
    <row r="1" spans="1:14" ht="43.5" customHeight="1" x14ac:dyDescent="0.25"/>
    <row r="2" spans="1:14" ht="43.5" customHeight="1" x14ac:dyDescent="0.25"/>
    <row r="3" spans="1:14" ht="43.5" customHeight="1" x14ac:dyDescent="0.25"/>
    <row r="4" spans="1:14" x14ac:dyDescent="0.25">
      <c r="A4" t="s">
        <v>91</v>
      </c>
      <c r="B4" t="s">
        <v>785</v>
      </c>
      <c r="C4" t="s">
        <v>188</v>
      </c>
      <c r="D4" t="s">
        <v>604</v>
      </c>
      <c r="E4" t="s">
        <v>605</v>
      </c>
      <c r="F4" t="s">
        <v>169</v>
      </c>
      <c r="G4" t="s">
        <v>606</v>
      </c>
      <c r="H4" t="s">
        <v>86</v>
      </c>
      <c r="I4" t="s">
        <v>43</v>
      </c>
      <c r="J4" t="s">
        <v>44</v>
      </c>
      <c r="K4" t="s">
        <v>190</v>
      </c>
      <c r="L4" t="s">
        <v>786</v>
      </c>
      <c r="M4" t="s">
        <v>566</v>
      </c>
      <c r="N4" t="s">
        <v>512</v>
      </c>
    </row>
    <row r="5" spans="1:14" x14ac:dyDescent="0.25">
      <c r="A5" t="s">
        <v>972</v>
      </c>
      <c r="B5" t="s">
        <v>981</v>
      </c>
      <c r="C5" t="s">
        <v>210</v>
      </c>
      <c r="D5" t="s">
        <v>6</v>
      </c>
      <c r="E5" t="s">
        <v>6</v>
      </c>
      <c r="F5" t="s">
        <v>160</v>
      </c>
      <c r="G5" t="s">
        <v>628</v>
      </c>
      <c r="H5" t="s">
        <v>9</v>
      </c>
      <c r="I5" t="s">
        <v>982</v>
      </c>
      <c r="J5" t="s">
        <v>983</v>
      </c>
      <c r="K5" s="125"/>
      <c r="L5" s="125">
        <v>45247</v>
      </c>
      <c r="M5"/>
      <c r="N5" t="s">
        <v>503</v>
      </c>
    </row>
    <row r="6" spans="1:14" x14ac:dyDescent="0.25">
      <c r="A6" t="s">
        <v>638</v>
      </c>
      <c r="B6" t="s">
        <v>788</v>
      </c>
      <c r="C6" t="s">
        <v>210</v>
      </c>
      <c r="D6" t="s">
        <v>6</v>
      </c>
      <c r="E6" t="s">
        <v>6</v>
      </c>
      <c r="F6" t="s">
        <v>160</v>
      </c>
      <c r="G6" t="s">
        <v>628</v>
      </c>
      <c r="H6" t="s">
        <v>10</v>
      </c>
      <c r="I6" t="s">
        <v>650</v>
      </c>
      <c r="J6" t="s">
        <v>6</v>
      </c>
      <c r="K6" s="125"/>
      <c r="L6" s="125">
        <v>45246</v>
      </c>
      <c r="M6" t="s">
        <v>1</v>
      </c>
      <c r="N6" t="s">
        <v>503</v>
      </c>
    </row>
  </sheetData>
  <phoneticPr fontId="2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4FDE7-DE2B-4096-8BED-2AA14EC060AE}">
  <sheetPr codeName="Sheet11">
    <tabColor rgb="FF2A7968"/>
  </sheetPr>
  <dimension ref="A1:C10"/>
  <sheetViews>
    <sheetView workbookViewId="0">
      <selection activeCell="J6" sqref="J6"/>
    </sheetView>
  </sheetViews>
  <sheetFormatPr defaultRowHeight="15" x14ac:dyDescent="0.25"/>
  <cols>
    <col min="1" max="1" width="9.6640625" style="1" customWidth="1"/>
    <col min="2" max="2" width="50.6640625" style="1" customWidth="1"/>
    <col min="3" max="3" width="45.5546875" style="1" customWidth="1"/>
    <col min="4" max="16384" width="8.88671875" style="1"/>
  </cols>
  <sheetData>
    <row r="1" spans="1:3" ht="40.5" customHeight="1" x14ac:dyDescent="0.45">
      <c r="A1" s="104" t="s">
        <v>524</v>
      </c>
    </row>
    <row r="2" spans="1:3" ht="40.5" customHeight="1" x14ac:dyDescent="0.25"/>
    <row r="3" spans="1:3" ht="40.5" customHeight="1" x14ac:dyDescent="0.25"/>
    <row r="4" spans="1:3" x14ac:dyDescent="0.25">
      <c r="A4" t="s">
        <v>83</v>
      </c>
      <c r="B4" t="s">
        <v>525</v>
      </c>
      <c r="C4" t="s">
        <v>526</v>
      </c>
    </row>
    <row r="5" spans="1:3" ht="90" x14ac:dyDescent="0.25">
      <c r="A5" s="110">
        <v>1</v>
      </c>
      <c r="B5" s="109" t="s">
        <v>984</v>
      </c>
      <c r="C5" s="112" t="s">
        <v>985</v>
      </c>
    </row>
    <row r="6" spans="1:3" ht="75" x14ac:dyDescent="0.25">
      <c r="A6" s="110">
        <v>2</v>
      </c>
      <c r="B6" s="109" t="s">
        <v>986</v>
      </c>
      <c r="C6" s="112" t="s">
        <v>987</v>
      </c>
    </row>
    <row r="7" spans="1:3" ht="60" x14ac:dyDescent="0.25">
      <c r="A7" s="110">
        <v>3</v>
      </c>
      <c r="B7" s="109" t="s">
        <v>988</v>
      </c>
      <c r="C7" s="112" t="s">
        <v>989</v>
      </c>
    </row>
    <row r="8" spans="1:3" ht="105" x14ac:dyDescent="0.25">
      <c r="A8" s="110">
        <v>4</v>
      </c>
      <c r="B8" s="109" t="s">
        <v>990</v>
      </c>
      <c r="C8" s="112" t="s">
        <v>991</v>
      </c>
    </row>
    <row r="9" spans="1:3" ht="84.75" customHeight="1" x14ac:dyDescent="0.25">
      <c r="A9" s="110">
        <v>5</v>
      </c>
      <c r="B9" s="109"/>
      <c r="C9" s="112"/>
    </row>
    <row r="10" spans="1:3" ht="30" x14ac:dyDescent="0.25">
      <c r="A10" s="105" t="s">
        <v>536</v>
      </c>
      <c r="B10" s="107"/>
      <c r="C10" s="106"/>
    </row>
  </sheetData>
  <hyperlinks>
    <hyperlink ref="C8" r:id="rId1" xr:uid="{657DDB09-CB52-4698-B60C-22DCCCD79190}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C000"/>
  </sheetPr>
  <dimension ref="B1:DU51"/>
  <sheetViews>
    <sheetView zoomScale="85" zoomScaleNormal="85" workbookViewId="0">
      <selection activeCell="H16" sqref="H16"/>
    </sheetView>
  </sheetViews>
  <sheetFormatPr defaultRowHeight="15" outlineLevelRow="1" x14ac:dyDescent="0.25"/>
  <cols>
    <col min="1" max="1" width="8.109375" style="1" customWidth="1"/>
    <col min="2" max="2" width="27.21875" style="1" bestFit="1" customWidth="1"/>
    <col min="3" max="3" width="26.5546875" style="1" bestFit="1" customWidth="1"/>
    <col min="4" max="4" width="21.77734375" style="54" bestFit="1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12.3320312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2:125" outlineLevel="1" x14ac:dyDescent="0.25">
      <c r="F1" s="41" t="s">
        <v>239</v>
      </c>
      <c r="G1" s="51">
        <v>45167</v>
      </c>
      <c r="H1" s="41" t="s">
        <v>47</v>
      </c>
      <c r="I1" s="41" t="s">
        <v>241</v>
      </c>
      <c r="J1" s="41" t="s">
        <v>51</v>
      </c>
      <c r="K1" s="41" t="s">
        <v>63</v>
      </c>
      <c r="L1" s="41" t="s">
        <v>72</v>
      </c>
    </row>
    <row r="2" spans="2:125" ht="51.75" customHeight="1" x14ac:dyDescent="0.55000000000000004">
      <c r="B2" s="60" t="s">
        <v>588</v>
      </c>
      <c r="D2" s="55"/>
      <c r="E2" s="50"/>
      <c r="F2" s="50"/>
      <c r="M2" s="50"/>
      <c r="N2" s="48"/>
      <c r="O2" s="48"/>
      <c r="P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</row>
    <row r="3" spans="2:125" ht="51.75" customHeight="1" x14ac:dyDescent="0.45">
      <c r="B3" s="59" t="s">
        <v>591</v>
      </c>
      <c r="C3" s="52"/>
      <c r="D3" s="56"/>
      <c r="E3" s="52"/>
      <c r="F3" s="52"/>
      <c r="G3" s="52"/>
      <c r="H3" s="52"/>
      <c r="I3" s="52"/>
      <c r="J3" s="52"/>
      <c r="K3" s="52"/>
      <c r="L3" s="52"/>
      <c r="M3" s="52"/>
      <c r="N3" s="52"/>
      <c r="O3" s="48"/>
      <c r="P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</row>
    <row r="4" spans="2:125" x14ac:dyDescent="0.25">
      <c r="B4" s="115" t="s">
        <v>585</v>
      </c>
      <c r="C4" t="s">
        <v>133</v>
      </c>
      <c r="D4" s="53" t="s">
        <v>47</v>
      </c>
      <c r="E4" t="s">
        <v>119</v>
      </c>
      <c r="F4" t="s">
        <v>62</v>
      </c>
      <c r="G4" t="s">
        <v>55</v>
      </c>
      <c r="H4" t="s">
        <v>84</v>
      </c>
      <c r="I4" t="s">
        <v>114</v>
      </c>
      <c r="J4" t="s">
        <v>120</v>
      </c>
      <c r="K4" t="s">
        <v>331</v>
      </c>
    </row>
    <row r="5" spans="2:125" x14ac:dyDescent="0.25">
      <c r="B5" s="116"/>
      <c r="C5"/>
      <c r="D5" s="53"/>
      <c r="E5"/>
      <c r="F5"/>
      <c r="G5"/>
      <c r="H5"/>
      <c r="I5"/>
      <c r="J5"/>
      <c r="K5"/>
    </row>
    <row r="6" spans="2:125" x14ac:dyDescent="0.25">
      <c r="B6" s="114"/>
      <c r="C6"/>
      <c r="D6" s="53"/>
      <c r="E6"/>
      <c r="F6"/>
      <c r="G6"/>
      <c r="H6"/>
      <c r="I6"/>
      <c r="J6"/>
      <c r="K6"/>
    </row>
    <row r="8" spans="2:125" ht="51.75" customHeight="1" x14ac:dyDescent="0.45">
      <c r="B8" s="58" t="s">
        <v>590</v>
      </c>
      <c r="C8" s="49"/>
      <c r="D8" s="57"/>
      <c r="E8" s="49"/>
      <c r="F8" s="49"/>
      <c r="G8" s="49"/>
      <c r="H8" s="49"/>
      <c r="I8" s="49"/>
      <c r="J8" s="49"/>
      <c r="K8" s="49"/>
    </row>
    <row r="9" spans="2:125" s="44" customFormat="1" ht="35.25" customHeight="1" x14ac:dyDescent="0.25">
      <c r="B9" t="s">
        <v>239</v>
      </c>
      <c r="C9" t="s">
        <v>238</v>
      </c>
      <c r="D9" s="53" t="s">
        <v>122</v>
      </c>
      <c r="E9" t="s">
        <v>240</v>
      </c>
      <c r="F9" t="s">
        <v>47</v>
      </c>
      <c r="G9" t="s">
        <v>55</v>
      </c>
      <c r="H9" t="s">
        <v>241</v>
      </c>
      <c r="I9" t="s">
        <v>51</v>
      </c>
      <c r="J9" t="s">
        <v>263</v>
      </c>
      <c r="K9" t="s">
        <v>264</v>
      </c>
    </row>
    <row r="10" spans="2:125" ht="27.75" x14ac:dyDescent="0.45">
      <c r="B10" s="70"/>
      <c r="C10" s="70"/>
      <c r="D10" s="71"/>
      <c r="E10" s="70"/>
      <c r="F10" s="72"/>
      <c r="G10" s="70"/>
      <c r="H10" s="113"/>
      <c r="I10" s="73"/>
      <c r="J10" s="74"/>
      <c r="K10" s="74"/>
      <c r="L10" s="49"/>
      <c r="M10" s="49"/>
    </row>
    <row r="11" spans="2:125" ht="18.75" x14ac:dyDescent="0.25">
      <c r="B11" s="70"/>
      <c r="C11" s="70"/>
      <c r="D11" s="71"/>
      <c r="E11" s="70"/>
      <c r="F11" s="72"/>
      <c r="G11" s="70"/>
      <c r="H11" s="113"/>
      <c r="I11" s="73"/>
      <c r="J11" s="74"/>
      <c r="K11" s="74"/>
    </row>
    <row r="13" spans="2:125" ht="51.75" customHeight="1" x14ac:dyDescent="0.55000000000000004">
      <c r="B13" s="60" t="s">
        <v>589</v>
      </c>
      <c r="C13" s="50"/>
      <c r="D13" s="55"/>
      <c r="E13" s="50"/>
      <c r="F13" s="59"/>
      <c r="G13" s="50"/>
      <c r="H13" s="50"/>
      <c r="I13" s="50"/>
      <c r="J13" s="50"/>
      <c r="K13" s="50"/>
    </row>
    <row r="14" spans="2:125" ht="51.75" customHeight="1" x14ac:dyDescent="0.45">
      <c r="B14" s="59" t="s">
        <v>592</v>
      </c>
      <c r="C14" s="50"/>
      <c r="D14" s="55"/>
      <c r="E14" s="50"/>
      <c r="F14" s="59"/>
      <c r="G14" s="50"/>
      <c r="H14" s="50"/>
      <c r="I14" s="50"/>
      <c r="J14" s="50"/>
      <c r="K14" s="50"/>
    </row>
    <row r="15" spans="2:125" ht="27.75" x14ac:dyDescent="0.45">
      <c r="B15" t="s">
        <v>235</v>
      </c>
      <c r="C15" t="s">
        <v>237</v>
      </c>
      <c r="D15" t="s">
        <v>586</v>
      </c>
      <c r="L15" s="50"/>
      <c r="M15" s="50"/>
    </row>
    <row r="16" spans="2:125" x14ac:dyDescent="0.25">
      <c r="B16"/>
      <c r="C16" s="30"/>
      <c r="D16"/>
    </row>
    <row r="17" spans="2:4" x14ac:dyDescent="0.25">
      <c r="B17"/>
      <c r="C17" s="30"/>
      <c r="D17"/>
    </row>
    <row r="18" spans="2:4" x14ac:dyDescent="0.25">
      <c r="B18"/>
      <c r="C18" s="30"/>
      <c r="D18"/>
    </row>
    <row r="19" spans="2:4" x14ac:dyDescent="0.25">
      <c r="B19"/>
      <c r="C19" s="30"/>
      <c r="D19"/>
    </row>
    <row r="20" spans="2:4" x14ac:dyDescent="0.25">
      <c r="B20"/>
      <c r="C20" s="30"/>
      <c r="D20"/>
    </row>
    <row r="21" spans="2:4" x14ac:dyDescent="0.25">
      <c r="B21"/>
      <c r="C21" s="30"/>
      <c r="D21"/>
    </row>
    <row r="22" spans="2:4" x14ac:dyDescent="0.25">
      <c r="B22"/>
      <c r="C22" s="30"/>
      <c r="D22"/>
    </row>
    <row r="23" spans="2:4" x14ac:dyDescent="0.25">
      <c r="B23"/>
      <c r="C23" s="30"/>
      <c r="D23"/>
    </row>
    <row r="24" spans="2:4" x14ac:dyDescent="0.25">
      <c r="B24"/>
      <c r="C24" s="30"/>
      <c r="D24"/>
    </row>
    <row r="25" spans="2:4" x14ac:dyDescent="0.25">
      <c r="B25"/>
      <c r="C25" s="30"/>
      <c r="D25"/>
    </row>
    <row r="26" spans="2:4" x14ac:dyDescent="0.25">
      <c r="B26"/>
      <c r="C26" s="30"/>
      <c r="D26"/>
    </row>
    <row r="27" spans="2:4" x14ac:dyDescent="0.25">
      <c r="B27"/>
      <c r="C27" s="30"/>
      <c r="D27"/>
    </row>
    <row r="28" spans="2:4" x14ac:dyDescent="0.25">
      <c r="B28"/>
      <c r="C28" s="30"/>
      <c r="D28"/>
    </row>
    <row r="29" spans="2:4" x14ac:dyDescent="0.25">
      <c r="B29"/>
      <c r="C29" s="30"/>
      <c r="D29"/>
    </row>
    <row r="30" spans="2:4" x14ac:dyDescent="0.25">
      <c r="B30"/>
      <c r="C30" s="30"/>
      <c r="D30"/>
    </row>
    <row r="31" spans="2:4" x14ac:dyDescent="0.25">
      <c r="B31"/>
      <c r="C31" s="30"/>
      <c r="D31"/>
    </row>
    <row r="32" spans="2:4" x14ac:dyDescent="0.25">
      <c r="B32"/>
      <c r="C32" s="30"/>
      <c r="D32"/>
    </row>
    <row r="33" spans="2:4" x14ac:dyDescent="0.25">
      <c r="B33"/>
      <c r="C33" s="30"/>
      <c r="D33"/>
    </row>
    <row r="34" spans="2:4" x14ac:dyDescent="0.25">
      <c r="B34"/>
      <c r="C34" s="30"/>
      <c r="D34"/>
    </row>
    <row r="35" spans="2:4" x14ac:dyDescent="0.25">
      <c r="B35"/>
      <c r="C35" s="30"/>
      <c r="D35"/>
    </row>
    <row r="36" spans="2:4" x14ac:dyDescent="0.25">
      <c r="B36"/>
      <c r="C36" s="30"/>
      <c r="D36"/>
    </row>
    <row r="37" spans="2:4" x14ac:dyDescent="0.25">
      <c r="B37"/>
      <c r="C37" s="30"/>
      <c r="D37"/>
    </row>
    <row r="38" spans="2:4" x14ac:dyDescent="0.25">
      <c r="B38"/>
      <c r="C38" s="30"/>
      <c r="D38"/>
    </row>
    <row r="39" spans="2:4" x14ac:dyDescent="0.25">
      <c r="B39"/>
      <c r="C39" s="30"/>
      <c r="D39"/>
    </row>
    <row r="40" spans="2:4" x14ac:dyDescent="0.25">
      <c r="B40"/>
      <c r="C40" s="30"/>
      <c r="D40"/>
    </row>
    <row r="41" spans="2:4" x14ac:dyDescent="0.25">
      <c r="B41"/>
      <c r="C41" s="30"/>
      <c r="D41"/>
    </row>
    <row r="42" spans="2:4" x14ac:dyDescent="0.25">
      <c r="B42"/>
      <c r="C42" s="30"/>
      <c r="D42"/>
    </row>
    <row r="43" spans="2:4" x14ac:dyDescent="0.25">
      <c r="B43"/>
      <c r="C43" s="30"/>
      <c r="D43"/>
    </row>
    <row r="44" spans="2:4" x14ac:dyDescent="0.25">
      <c r="B44"/>
      <c r="C44" s="30"/>
      <c r="D44"/>
    </row>
    <row r="45" spans="2:4" x14ac:dyDescent="0.25">
      <c r="B45"/>
      <c r="C45" s="30"/>
      <c r="D45"/>
    </row>
    <row r="46" spans="2:4" x14ac:dyDescent="0.25">
      <c r="B46"/>
      <c r="C46" s="30"/>
      <c r="D46"/>
    </row>
    <row r="47" spans="2:4" x14ac:dyDescent="0.25">
      <c r="B47"/>
      <c r="C47" s="30"/>
      <c r="D47"/>
    </row>
    <row r="48" spans="2:4" x14ac:dyDescent="0.25">
      <c r="B48"/>
      <c r="C48" s="30"/>
      <c r="D48"/>
    </row>
    <row r="49" spans="2:4" x14ac:dyDescent="0.25">
      <c r="B49"/>
      <c r="C49" s="30"/>
      <c r="D49"/>
    </row>
    <row r="50" spans="2:4" x14ac:dyDescent="0.25">
      <c r="B50"/>
      <c r="C50" s="30"/>
      <c r="D50"/>
    </row>
    <row r="51" spans="2:4" x14ac:dyDescent="0.25">
      <c r="B51"/>
      <c r="C51" s="30"/>
      <c r="D51"/>
    </row>
  </sheetData>
  <phoneticPr fontId="14" type="noConversion"/>
  <conditionalFormatting sqref="B5:K6">
    <cfRule type="expression" dxfId="157" priority="1">
      <formula>ISNUMBER(FIND(#REF!,"【"))</formula>
    </cfRule>
  </conditionalFormatting>
  <dataValidations count="8">
    <dataValidation type="list" allowBlank="1" showInputMessage="1" showErrorMessage="1" sqref="C10:C11" xr:uid="{11485101-3356-430B-AD53-0DB45BFA4D76}">
      <formula1>"【】,新增记录,拆分记录"</formula1>
    </dataValidation>
    <dataValidation type="list" allowBlank="1" showInputMessage="1" showErrorMessage="1" sqref="D10:D11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J1 I10:I1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I1 H10:H11" xr:uid="{B8C59A8D-B217-413F-9F9F-510A2F586F44}"/>
    <dataValidation type="list" allowBlank="1" showInputMessage="1" sqref="K1:L1 J10:K11" xr:uid="{E4237DF5-FA6C-4DC2-9BC1-98EF416DAAF4}">
      <formula1>dd_BOCOMJLM</formula1>
    </dataValidation>
    <dataValidation allowBlank="1" showInputMessage="1" showErrorMessage="1" promptTitle="填写原始ISIN" prompt="点击REFRESH，查询是否已有记录" sqref="B5" xr:uid="{2DFFFFB4-CC7F-4CBD-8270-568D5A2682CF}"/>
    <dataValidation type="list" allowBlank="1" showInputMessage="1" sqref="B10:B11 F1" xr:uid="{630C696C-1BA5-4EF7-B919-569446863386}">
      <formula1>$B$5:$B$6</formula1>
    </dataValidation>
    <dataValidation type="date" errorStyle="warning" operator="lessThanOrEqual" allowBlank="1" showInputMessage="1" showErrorMessage="1" promptTitle="Pricing Date" prompt="The date shall be earlier than current date" sqref="F10:F11 H1" xr:uid="{55F4BC5A-F297-4612-866F-B9C29DB634C7}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freshISINSearch">
                <anchor moveWithCells="1" sizeWithCells="1">
                  <from>
                    <xdr:col>2</xdr:col>
                    <xdr:colOff>247650</xdr:colOff>
                    <xdr:row>0</xdr:row>
                    <xdr:rowOff>228600</xdr:rowOff>
                  </from>
                  <to>
                    <xdr:col>2</xdr:col>
                    <xdr:colOff>2181225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RefreshwAddTap">
                <anchor moveWithCells="1" sizeWithCells="1">
                  <from>
                    <xdr:col>2</xdr:col>
                    <xdr:colOff>238125</xdr:colOff>
                    <xdr:row>12</xdr:row>
                    <xdr:rowOff>0</xdr:rowOff>
                  </from>
                  <to>
                    <xdr:col>2</xdr:col>
                    <xdr:colOff>2171700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V140"/>
  <sheetViews>
    <sheetView topLeftCell="C50" zoomScale="115" zoomScaleNormal="115" workbookViewId="0">
      <selection activeCell="I127" sqref="I127"/>
    </sheetView>
  </sheetViews>
  <sheetFormatPr defaultColWidth="8.21875" defaultRowHeight="18" customHeight="1" outlineLevelRow="1" outlineLevelCol="1" x14ac:dyDescent="0.25"/>
  <cols>
    <col min="1" max="1" width="4.5546875" style="16" customWidth="1" outlineLevel="1"/>
    <col min="2" max="2" width="8.109375" style="15" bestFit="1" customWidth="1"/>
    <col min="3" max="3" width="8.109375" style="15" customWidth="1"/>
    <col min="4" max="4" width="28.109375" style="16" bestFit="1" customWidth="1"/>
    <col min="5" max="5" width="10.44140625" style="9" bestFit="1" customWidth="1"/>
    <col min="6" max="6" width="15" style="9" bestFit="1" customWidth="1"/>
    <col min="7" max="7" width="23.33203125" style="9" bestFit="1" customWidth="1"/>
    <col min="8" max="8" width="8.33203125" style="9" bestFit="1" customWidth="1"/>
    <col min="9" max="9" width="7.88671875" style="9" bestFit="1" customWidth="1"/>
    <col min="10" max="10" width="7.33203125" style="9" bestFit="1" customWidth="1"/>
    <col min="11" max="11" width="10.44140625" style="9" bestFit="1" customWidth="1"/>
    <col min="12" max="12" width="7.44140625" style="9" bestFit="1" customWidth="1"/>
    <col min="13" max="13" width="12.6640625" style="9" bestFit="1" customWidth="1"/>
    <col min="14" max="14" width="11" style="9" bestFit="1" customWidth="1"/>
    <col min="15" max="15" width="13.109375" style="9" bestFit="1" customWidth="1"/>
    <col min="16" max="16" width="18.109375" style="9" bestFit="1" customWidth="1"/>
    <col min="17" max="17" width="12.77734375" style="9" bestFit="1" customWidth="1"/>
    <col min="18" max="18" width="12.77734375" style="9" customWidth="1"/>
    <col min="19" max="19" width="13.44140625" style="9" bestFit="1" customWidth="1"/>
    <col min="20" max="20" width="13.44140625" style="9" customWidth="1"/>
    <col min="21" max="21" width="31.5546875" style="9" bestFit="1" customWidth="1"/>
    <col min="22" max="22" width="29.21875" style="9" bestFit="1" customWidth="1"/>
    <col min="23" max="23" width="7.88671875" style="9" bestFit="1" customWidth="1"/>
    <col min="24" max="24" width="7.5546875" style="9" bestFit="1" customWidth="1"/>
    <col min="25" max="25" width="20.44140625" style="9" bestFit="1" customWidth="1"/>
    <col min="26" max="26" width="11.88671875" style="9" bestFit="1" customWidth="1"/>
    <col min="27" max="27" width="28.109375" style="9" bestFit="1" customWidth="1"/>
    <col min="28" max="28" width="10.6640625" style="9" bestFit="1" customWidth="1"/>
    <col min="29" max="29" width="8.88671875" style="9" bestFit="1" customWidth="1"/>
    <col min="30" max="30" width="7.109375" style="9" bestFit="1" customWidth="1"/>
    <col min="31" max="31" width="7.88671875" style="9" bestFit="1" customWidth="1"/>
    <col min="32" max="32" width="23.109375" style="9" bestFit="1" customWidth="1"/>
    <col min="33" max="33" width="7.21875" style="9" bestFit="1" customWidth="1"/>
    <col min="34" max="34" width="15.5546875" style="9" bestFit="1" customWidth="1"/>
    <col min="35" max="35" width="15.5546875" style="9" customWidth="1"/>
    <col min="36" max="36" width="8.109375" style="9" bestFit="1" customWidth="1"/>
    <col min="37" max="37" width="9" style="9" bestFit="1" customWidth="1"/>
    <col min="38" max="38" width="7.109375" style="9" bestFit="1" customWidth="1"/>
    <col min="39" max="39" width="10.6640625" style="9" bestFit="1" customWidth="1"/>
    <col min="40" max="40" width="7.109375" style="9" bestFit="1" customWidth="1"/>
    <col min="41" max="41" width="15.21875" style="9" bestFit="1" customWidth="1"/>
    <col min="42" max="42" width="7.109375" style="9" bestFit="1" customWidth="1"/>
    <col min="43" max="43" width="5.77734375" style="9" bestFit="1" customWidth="1"/>
    <col min="44" max="44" width="7.109375" style="9" bestFit="1" customWidth="1"/>
    <col min="45" max="16384" width="8.21875" style="9"/>
  </cols>
  <sheetData>
    <row r="1" spans="1:22" ht="18" hidden="1" customHeight="1" outlineLevel="1" x14ac:dyDescent="0.25">
      <c r="A1" s="92" t="str">
        <f ca="1" xml:space="preserve"> IF(ISNUMBER(FIND("ktkt",CELL("filename"))),"Remote",IF(ISNUMBER(FIND("http",CELL("filename"))),"Remote","Global"))</f>
        <v>Global</v>
      </c>
      <c r="B1" s="92" t="str">
        <f ca="1">CELL("filename")</f>
        <v>Z:\Team Folder\Execution Team\DataHub\Backup\Weekly\20231127\Data\[2.Dynamic List Generator.xlsm]【FINAL】</v>
      </c>
      <c r="C1" s="92"/>
      <c r="D1" s="9"/>
    </row>
    <row r="2" spans="1:22" ht="18" customHeight="1" collapsed="1" x14ac:dyDescent="0.25">
      <c r="B2" s="9"/>
      <c r="C2" s="9"/>
      <c r="D2" s="9"/>
    </row>
    <row r="3" spans="1:22" ht="18" customHeight="1" x14ac:dyDescent="0.25">
      <c r="B3" s="9"/>
      <c r="C3" s="9"/>
      <c r="D3" s="9"/>
    </row>
    <row r="4" spans="1:22" ht="18" customHeight="1" x14ac:dyDescent="0.25">
      <c r="B4" s="9"/>
      <c r="C4" s="9"/>
      <c r="D4" s="62" t="s">
        <v>261</v>
      </c>
      <c r="F4" s="62" t="s">
        <v>262</v>
      </c>
      <c r="G4" s="62"/>
      <c r="I4" s="62" t="s">
        <v>250</v>
      </c>
      <c r="M4" s="62" t="s">
        <v>272</v>
      </c>
      <c r="P4" s="62" t="s">
        <v>273</v>
      </c>
      <c r="Q4" s="62"/>
      <c r="R4" s="62" t="s">
        <v>270</v>
      </c>
      <c r="U4" s="62" t="s">
        <v>270</v>
      </c>
    </row>
    <row r="5" spans="1:22" ht="18" customHeight="1" x14ac:dyDescent="0.25">
      <c r="A5" s="7"/>
      <c r="D5" s="15"/>
      <c r="E5" s="16"/>
      <c r="I5" s="16"/>
    </row>
    <row r="6" spans="1:22" ht="15" x14ac:dyDescent="0.25">
      <c r="D6" s="61" t="s">
        <v>86</v>
      </c>
      <c r="E6" s="15"/>
      <c r="F6" s="64" t="s">
        <v>259</v>
      </c>
      <c r="G6" s="22" t="s">
        <v>260</v>
      </c>
      <c r="I6" s="22" t="s">
        <v>136</v>
      </c>
      <c r="J6" t="s">
        <v>217</v>
      </c>
      <c r="M6" t="s">
        <v>274</v>
      </c>
      <c r="N6" t="s">
        <v>275</v>
      </c>
      <c r="O6" s="1"/>
      <c r="P6" s="22" t="s">
        <v>271</v>
      </c>
      <c r="Q6" s="77"/>
      <c r="R6" s="22" t="s">
        <v>269</v>
      </c>
      <c r="S6" s="22" t="s">
        <v>235</v>
      </c>
      <c r="U6" t="s">
        <v>502</v>
      </c>
      <c r="V6" t="s">
        <v>501</v>
      </c>
    </row>
    <row r="7" spans="1:22" ht="15" x14ac:dyDescent="0.25">
      <c r="A7" s="8"/>
      <c r="D7" s="61" t="s">
        <v>11</v>
      </c>
      <c r="E7" s="15"/>
      <c r="F7" s="64" t="s">
        <v>193</v>
      </c>
      <c r="G7" s="22" t="s">
        <v>254</v>
      </c>
      <c r="I7" s="22" t="s">
        <v>0</v>
      </c>
      <c r="J7" t="s">
        <v>223</v>
      </c>
      <c r="M7" t="s">
        <v>91</v>
      </c>
      <c r="N7" t="s">
        <v>276</v>
      </c>
      <c r="O7" s="1"/>
      <c r="P7" t="s">
        <v>83</v>
      </c>
      <c r="Q7" s="1"/>
      <c r="R7" t="s">
        <v>114</v>
      </c>
      <c r="S7" t="str">
        <f>DMIRenamed[[#This Row],[DMIRenamed]]&amp;"_DMI"</f>
        <v>票息_DMI</v>
      </c>
      <c r="U7" t="s">
        <v>328</v>
      </c>
      <c r="V7" t="s">
        <v>329</v>
      </c>
    </row>
    <row r="8" spans="1:22" ht="15" x14ac:dyDescent="0.25">
      <c r="D8" s="61" t="s">
        <v>27</v>
      </c>
      <c r="E8" s="15"/>
      <c r="F8" s="64" t="s">
        <v>194</v>
      </c>
      <c r="G8" s="22" t="s">
        <v>256</v>
      </c>
      <c r="I8" s="22" t="s">
        <v>4</v>
      </c>
      <c r="J8" t="s">
        <v>218</v>
      </c>
      <c r="M8" t="s">
        <v>196</v>
      </c>
      <c r="N8" t="s">
        <v>279</v>
      </c>
      <c r="O8" s="1"/>
      <c r="P8" t="s">
        <v>280</v>
      </c>
      <c r="Q8" s="1"/>
      <c r="R8" t="s">
        <v>241</v>
      </c>
      <c r="S8" t="str">
        <f>DMIRenamed[[#This Row],[DMIRenamed]]&amp;"_DMI"</f>
        <v>IPT_DMI</v>
      </c>
      <c r="U8" t="s">
        <v>335</v>
      </c>
      <c r="V8" t="s">
        <v>337</v>
      </c>
    </row>
    <row r="9" spans="1:22" ht="15" x14ac:dyDescent="0.25">
      <c r="A9" s="13"/>
      <c r="D9" s="61" t="s">
        <v>32</v>
      </c>
      <c r="E9" s="15"/>
      <c r="F9" s="64" t="s">
        <v>195</v>
      </c>
      <c r="G9" s="22" t="s">
        <v>255</v>
      </c>
      <c r="I9" s="22" t="s">
        <v>5</v>
      </c>
      <c r="J9" t="s">
        <v>219</v>
      </c>
      <c r="M9" t="s">
        <v>46</v>
      </c>
      <c r="N9" t="s">
        <v>276</v>
      </c>
      <c r="O9" s="1"/>
      <c r="P9" t="s">
        <v>91</v>
      </c>
      <c r="Q9" s="1"/>
      <c r="R9" t="s">
        <v>51</v>
      </c>
      <c r="S9" t="str">
        <f>DMIRenamed[[#This Row],[DMIRenamed]]&amp;"_DMI"</f>
        <v>FPG_DMI</v>
      </c>
      <c r="U9" t="s">
        <v>336</v>
      </c>
      <c r="V9" t="s">
        <v>338</v>
      </c>
    </row>
    <row r="10" spans="1:22" ht="15" x14ac:dyDescent="0.25">
      <c r="D10" s="61" t="s">
        <v>28</v>
      </c>
      <c r="E10" s="15"/>
      <c r="F10" s="64" t="s">
        <v>257</v>
      </c>
      <c r="G10" s="63"/>
      <c r="I10" s="22" t="s">
        <v>191</v>
      </c>
      <c r="J10" t="s">
        <v>220</v>
      </c>
      <c r="M10" t="s">
        <v>47</v>
      </c>
      <c r="N10" t="s">
        <v>276</v>
      </c>
      <c r="O10" s="1"/>
      <c r="P10" t="s">
        <v>46</v>
      </c>
      <c r="Q10" s="1"/>
      <c r="R10" t="s">
        <v>132</v>
      </c>
      <c r="S10" t="str">
        <f>DMIRenamed[[#This Row],[DMIRenamed]]&amp;"_DMI"</f>
        <v>定价_DMI</v>
      </c>
      <c r="U10" t="s">
        <v>339</v>
      </c>
      <c r="V10" t="s">
        <v>341</v>
      </c>
    </row>
    <row r="11" spans="1:22" ht="15" x14ac:dyDescent="0.25">
      <c r="A11" s="10"/>
      <c r="D11" s="61" t="s">
        <v>33</v>
      </c>
      <c r="F11" s="64" t="s">
        <v>258</v>
      </c>
      <c r="G11" s="22"/>
      <c r="M11" t="s">
        <v>78</v>
      </c>
      <c r="N11" t="s">
        <v>276</v>
      </c>
      <c r="O11" s="1"/>
      <c r="P11" t="s">
        <v>47</v>
      </c>
      <c r="Q11" s="1"/>
      <c r="U11" t="s">
        <v>340</v>
      </c>
      <c r="V11" t="s">
        <v>342</v>
      </c>
    </row>
    <row r="12" spans="1:22" ht="15" x14ac:dyDescent="0.25">
      <c r="D12" s="61" t="s">
        <v>8</v>
      </c>
      <c r="F12" s="69" t="s">
        <v>6</v>
      </c>
      <c r="G12" s="69" t="s">
        <v>6</v>
      </c>
      <c r="M12" t="s">
        <v>79</v>
      </c>
      <c r="N12" t="s">
        <v>276</v>
      </c>
      <c r="O12" s="1"/>
      <c r="P12" t="s">
        <v>119</v>
      </c>
      <c r="Q12" s="1"/>
      <c r="U12" t="s">
        <v>343</v>
      </c>
      <c r="V12" t="s">
        <v>344</v>
      </c>
    </row>
    <row r="13" spans="1:22" ht="15" x14ac:dyDescent="0.25">
      <c r="A13" s="11"/>
      <c r="D13" s="61" t="s">
        <v>29</v>
      </c>
      <c r="G13" s="65"/>
      <c r="I13" s="22" t="s">
        <v>169</v>
      </c>
      <c r="J13" t="s">
        <v>222</v>
      </c>
      <c r="M13" t="s">
        <v>96</v>
      </c>
      <c r="N13" t="s">
        <v>279</v>
      </c>
      <c r="O13" s="1"/>
      <c r="P13" t="s">
        <v>144</v>
      </c>
      <c r="Q13" s="1"/>
      <c r="U13" t="s">
        <v>346</v>
      </c>
      <c r="V13" t="s">
        <v>345</v>
      </c>
    </row>
    <row r="14" spans="1:22" ht="15" x14ac:dyDescent="0.25">
      <c r="D14" s="61" t="s">
        <v>31</v>
      </c>
      <c r="F14" s="28" t="s">
        <v>90</v>
      </c>
      <c r="G14" s="65"/>
      <c r="I14" s="22" t="s">
        <v>158</v>
      </c>
      <c r="J14">
        <v>1</v>
      </c>
      <c r="M14" t="s">
        <v>102</v>
      </c>
      <c r="N14" t="s">
        <v>279</v>
      </c>
      <c r="O14" s="1"/>
      <c r="P14" t="s">
        <v>49</v>
      </c>
      <c r="Q14" s="1"/>
      <c r="U14" t="s">
        <v>347</v>
      </c>
      <c r="V14" t="s">
        <v>354</v>
      </c>
    </row>
    <row r="15" spans="1:22" ht="15" x14ac:dyDescent="0.25">
      <c r="A15" s="14"/>
      <c r="D15" s="61" t="s">
        <v>12</v>
      </c>
      <c r="F15" s="28" t="s">
        <v>117</v>
      </c>
      <c r="G15" s="66"/>
      <c r="I15" s="22" t="s">
        <v>159</v>
      </c>
      <c r="J15">
        <v>2</v>
      </c>
      <c r="M15" t="s">
        <v>77</v>
      </c>
      <c r="N15" t="s">
        <v>278</v>
      </c>
      <c r="O15" s="1"/>
      <c r="P15" t="s">
        <v>62</v>
      </c>
      <c r="Q15" s="1"/>
      <c r="U15" t="s">
        <v>348</v>
      </c>
      <c r="V15" t="s">
        <v>357</v>
      </c>
    </row>
    <row r="16" spans="1:22" ht="15" x14ac:dyDescent="0.25">
      <c r="D16" s="61" t="s">
        <v>16</v>
      </c>
      <c r="F16" s="28" t="s">
        <v>118</v>
      </c>
      <c r="G16" s="66"/>
      <c r="I16" s="22" t="s">
        <v>160</v>
      </c>
      <c r="J16">
        <v>3</v>
      </c>
      <c r="M16" t="s">
        <v>76</v>
      </c>
      <c r="N16" t="s">
        <v>279</v>
      </c>
      <c r="O16" s="1"/>
      <c r="P16" t="s">
        <v>55</v>
      </c>
      <c r="Q16" s="1"/>
      <c r="U16" t="s">
        <v>349</v>
      </c>
      <c r="V16" t="s">
        <v>358</v>
      </c>
    </row>
    <row r="17" spans="1:22" ht="15" x14ac:dyDescent="0.25">
      <c r="A17" s="12"/>
      <c r="D17" s="61" t="s">
        <v>7</v>
      </c>
      <c r="F17" s="28" t="s">
        <v>112</v>
      </c>
      <c r="G17" s="65"/>
      <c r="I17" s="22" t="s">
        <v>161</v>
      </c>
      <c r="J17">
        <v>4</v>
      </c>
      <c r="M17" t="s">
        <v>75</v>
      </c>
      <c r="N17" t="s">
        <v>278</v>
      </c>
      <c r="O17" s="1"/>
      <c r="P17" t="s">
        <v>84</v>
      </c>
      <c r="Q17" s="1"/>
      <c r="U17" t="s">
        <v>350</v>
      </c>
      <c r="V17" t="s">
        <v>361</v>
      </c>
    </row>
    <row r="18" spans="1:22" ht="15" x14ac:dyDescent="0.25">
      <c r="D18" s="61" t="s">
        <v>21</v>
      </c>
      <c r="G18" s="65"/>
      <c r="I18" s="22" t="s">
        <v>2</v>
      </c>
      <c r="J18">
        <v>5</v>
      </c>
      <c r="M18" t="s">
        <v>74</v>
      </c>
      <c r="N18" t="s">
        <v>279</v>
      </c>
      <c r="O18" s="1"/>
      <c r="P18" t="s">
        <v>114</v>
      </c>
      <c r="Q18" s="1"/>
      <c r="U18" t="s">
        <v>351</v>
      </c>
      <c r="V18" t="s">
        <v>365</v>
      </c>
    </row>
    <row r="19" spans="1:22" ht="15" x14ac:dyDescent="0.25">
      <c r="A19" s="13"/>
      <c r="D19" s="61" t="s">
        <v>15</v>
      </c>
      <c r="F19" s="29" t="s">
        <v>41</v>
      </c>
      <c r="I19" s="22" t="s">
        <v>162</v>
      </c>
      <c r="J19">
        <v>6</v>
      </c>
      <c r="M19" t="s">
        <v>48</v>
      </c>
      <c r="N19" t="s">
        <v>278</v>
      </c>
      <c r="O19" s="1"/>
      <c r="P19" t="s">
        <v>85</v>
      </c>
      <c r="Q19" s="1"/>
      <c r="U19" t="s">
        <v>352</v>
      </c>
      <c r="V19" t="s">
        <v>366</v>
      </c>
    </row>
    <row r="20" spans="1:22" ht="15" x14ac:dyDescent="0.25">
      <c r="D20" s="61" t="s">
        <v>19</v>
      </c>
      <c r="F20" s="29" t="s">
        <v>1</v>
      </c>
      <c r="G20" s="67"/>
      <c r="I20" s="22" t="s">
        <v>6</v>
      </c>
      <c r="J20">
        <v>7</v>
      </c>
      <c r="M20" t="s">
        <v>73</v>
      </c>
      <c r="N20" t="s">
        <v>278</v>
      </c>
      <c r="O20" s="1"/>
      <c r="P20" t="s">
        <v>51</v>
      </c>
      <c r="Q20" s="1"/>
      <c r="U20" t="s">
        <v>353</v>
      </c>
      <c r="V20" t="s">
        <v>367</v>
      </c>
    </row>
    <row r="21" spans="1:22" ht="15" x14ac:dyDescent="0.25">
      <c r="A21" s="22" t="s">
        <v>235</v>
      </c>
      <c r="D21" s="61" t="s">
        <v>9</v>
      </c>
      <c r="F21" s="29" t="s">
        <v>81</v>
      </c>
      <c r="G21" s="67"/>
      <c r="M21" t="s">
        <v>186</v>
      </c>
      <c r="N21" t="s">
        <v>278</v>
      </c>
      <c r="O21" s="1"/>
      <c r="P21" t="s">
        <v>132</v>
      </c>
      <c r="Q21" s="1"/>
      <c r="U21" t="s">
        <v>355</v>
      </c>
      <c r="V21" t="s">
        <v>368</v>
      </c>
    </row>
    <row r="22" spans="1:22" ht="15" x14ac:dyDescent="0.25">
      <c r="A22" s="22"/>
      <c r="D22" s="61" t="s">
        <v>25</v>
      </c>
      <c r="F22" s="61" t="s">
        <v>248</v>
      </c>
      <c r="G22" s="67"/>
      <c r="I22" s="22" t="s">
        <v>188</v>
      </c>
      <c r="J22" t="s">
        <v>222</v>
      </c>
      <c r="M22" t="s">
        <v>72</v>
      </c>
      <c r="N22" t="s">
        <v>278</v>
      </c>
      <c r="O22" s="1"/>
      <c r="P22" t="s">
        <v>134</v>
      </c>
      <c r="Q22" s="1"/>
      <c r="U22" t="s">
        <v>356</v>
      </c>
      <c r="V22" t="s">
        <v>369</v>
      </c>
    </row>
    <row r="23" spans="1:22" ht="15" x14ac:dyDescent="0.25">
      <c r="A23" s="95"/>
      <c r="D23" s="61" t="s">
        <v>20</v>
      </c>
      <c r="F23" s="61" t="s">
        <v>249</v>
      </c>
      <c r="G23" s="67"/>
      <c r="I23" s="22" t="s">
        <v>189</v>
      </c>
      <c r="J23">
        <v>1</v>
      </c>
      <c r="M23" t="s">
        <v>101</v>
      </c>
      <c r="N23" t="s">
        <v>278</v>
      </c>
      <c r="O23" s="1"/>
      <c r="P23" t="s">
        <v>135</v>
      </c>
      <c r="Q23" s="1"/>
      <c r="U23" t="s">
        <v>359</v>
      </c>
      <c r="V23" t="s">
        <v>372</v>
      </c>
    </row>
    <row r="24" spans="1:22" ht="15" x14ac:dyDescent="0.25">
      <c r="A24" s="22" t="s">
        <v>235</v>
      </c>
      <c r="D24" s="61" t="s">
        <v>13</v>
      </c>
      <c r="E24" s="15"/>
      <c r="F24" s="29" t="s">
        <v>2</v>
      </c>
      <c r="G24" s="67"/>
      <c r="I24" s="22" t="s">
        <v>209</v>
      </c>
      <c r="J24">
        <v>2</v>
      </c>
      <c r="M24" t="s">
        <v>55</v>
      </c>
      <c r="N24" t="s">
        <v>276</v>
      </c>
      <c r="O24" s="1"/>
      <c r="P24" t="s">
        <v>57</v>
      </c>
      <c r="Q24" s="1"/>
      <c r="U24" t="s">
        <v>360</v>
      </c>
      <c r="V24" t="s">
        <v>373</v>
      </c>
    </row>
    <row r="25" spans="1:22" ht="15" x14ac:dyDescent="0.25">
      <c r="A25" s="22"/>
      <c r="D25" s="61" t="s">
        <v>17</v>
      </c>
      <c r="E25" s="15"/>
      <c r="F25" s="29" t="s">
        <v>3</v>
      </c>
      <c r="I25" s="22" t="s">
        <v>210</v>
      </c>
      <c r="J25">
        <v>3</v>
      </c>
      <c r="M25" t="s">
        <v>71</v>
      </c>
      <c r="N25" t="s">
        <v>279</v>
      </c>
      <c r="O25" s="1"/>
      <c r="P25" t="s">
        <v>87</v>
      </c>
      <c r="Q25" s="1"/>
      <c r="U25" t="s">
        <v>362</v>
      </c>
      <c r="V25" t="s">
        <v>377</v>
      </c>
    </row>
    <row r="26" spans="1:22" ht="15" x14ac:dyDescent="0.25">
      <c r="A26" s="95"/>
      <c r="D26" s="61" t="s">
        <v>23</v>
      </c>
      <c r="E26" s="15"/>
      <c r="G26" s="67"/>
      <c r="I26" s="22" t="s">
        <v>211</v>
      </c>
      <c r="J26">
        <v>4</v>
      </c>
      <c r="M26" t="s">
        <v>132</v>
      </c>
      <c r="N26" t="s">
        <v>277</v>
      </c>
      <c r="O26" s="1"/>
      <c r="P26" t="s">
        <v>88</v>
      </c>
      <c r="Q26" s="1"/>
      <c r="U26" t="s">
        <v>363</v>
      </c>
      <c r="V26" t="s">
        <v>378</v>
      </c>
    </row>
    <row r="27" spans="1:22" ht="15" x14ac:dyDescent="0.25">
      <c r="A27" s="22" t="s">
        <v>235</v>
      </c>
      <c r="D27" s="61" t="s">
        <v>26</v>
      </c>
      <c r="E27" s="15"/>
      <c r="F27" s="22" t="s">
        <v>93</v>
      </c>
      <c r="G27" s="67"/>
      <c r="I27" s="22" t="s">
        <v>212</v>
      </c>
      <c r="J27">
        <v>5</v>
      </c>
      <c r="M27" t="s">
        <v>70</v>
      </c>
      <c r="N27" t="s">
        <v>279</v>
      </c>
      <c r="O27" s="1"/>
      <c r="P27" t="s">
        <v>151</v>
      </c>
      <c r="Q27" s="1"/>
      <c r="U27" t="s">
        <v>364</v>
      </c>
      <c r="V27" t="s">
        <v>384</v>
      </c>
    </row>
    <row r="28" spans="1:22" ht="15" x14ac:dyDescent="0.25">
      <c r="A28" s="22"/>
      <c r="D28" s="61" t="s">
        <v>10</v>
      </c>
      <c r="E28" s="15"/>
      <c r="F28" s="22" t="s">
        <v>242</v>
      </c>
      <c r="G28" s="67"/>
      <c r="I28" s="22" t="s">
        <v>6</v>
      </c>
      <c r="J28">
        <v>6</v>
      </c>
      <c r="M28" t="s">
        <v>69</v>
      </c>
      <c r="N28" t="s">
        <v>276</v>
      </c>
      <c r="O28" s="1"/>
      <c r="P28" t="s">
        <v>152</v>
      </c>
      <c r="Q28" s="1"/>
      <c r="U28" t="s">
        <v>370</v>
      </c>
      <c r="V28" t="s">
        <v>385</v>
      </c>
    </row>
    <row r="29" spans="1:22" ht="15" x14ac:dyDescent="0.25">
      <c r="A29" s="95"/>
      <c r="D29" s="61" t="s">
        <v>18</v>
      </c>
      <c r="E29" s="15"/>
      <c r="F29" s="22" t="s">
        <v>251</v>
      </c>
      <c r="G29" s="67"/>
      <c r="I29" s="18"/>
      <c r="J29" s="18"/>
      <c r="M29" t="s">
        <v>62</v>
      </c>
      <c r="N29" t="s">
        <v>276</v>
      </c>
      <c r="O29" s="1"/>
      <c r="P29" t="s">
        <v>122</v>
      </c>
      <c r="Q29" s="1"/>
      <c r="U29" t="s">
        <v>371</v>
      </c>
      <c r="V29" t="s">
        <v>387</v>
      </c>
    </row>
    <row r="30" spans="1:22" ht="15" x14ac:dyDescent="0.25">
      <c r="A30" s="22" t="s">
        <v>235</v>
      </c>
      <c r="D30" s="61" t="s">
        <v>24</v>
      </c>
      <c r="E30" s="15"/>
      <c r="F30" s="22" t="s">
        <v>252</v>
      </c>
      <c r="G30" s="68"/>
      <c r="I30" s="22" t="s">
        <v>128</v>
      </c>
      <c r="J30" t="s">
        <v>222</v>
      </c>
      <c r="M30" t="s">
        <v>68</v>
      </c>
      <c r="N30" t="s">
        <v>276</v>
      </c>
      <c r="O30" s="1"/>
      <c r="P30" t="s">
        <v>78</v>
      </c>
      <c r="Q30" s="1"/>
      <c r="U30" t="s">
        <v>374</v>
      </c>
      <c r="V30" t="s">
        <v>390</v>
      </c>
    </row>
    <row r="31" spans="1:22" ht="15" x14ac:dyDescent="0.25">
      <c r="A31" s="22"/>
      <c r="D31" s="61" t="s">
        <v>22</v>
      </c>
      <c r="E31" s="15"/>
      <c r="F31" s="22" t="s">
        <v>253</v>
      </c>
      <c r="I31" s="22" t="s">
        <v>175</v>
      </c>
      <c r="J31">
        <v>1</v>
      </c>
      <c r="M31" t="s">
        <v>67</v>
      </c>
      <c r="N31" t="s">
        <v>276</v>
      </c>
      <c r="O31" s="1"/>
      <c r="P31" t="s">
        <v>64</v>
      </c>
      <c r="Q31" s="1"/>
      <c r="U31" t="s">
        <v>375</v>
      </c>
      <c r="V31" t="s">
        <v>398</v>
      </c>
    </row>
    <row r="32" spans="1:22" ht="15" x14ac:dyDescent="0.25">
      <c r="A32" s="95"/>
      <c r="D32" s="61" t="s">
        <v>124</v>
      </c>
      <c r="E32" s="15"/>
      <c r="I32" s="22" t="s">
        <v>130</v>
      </c>
      <c r="J32">
        <v>2</v>
      </c>
      <c r="M32" t="s">
        <v>66</v>
      </c>
      <c r="N32" t="s">
        <v>278</v>
      </c>
      <c r="O32" s="1"/>
      <c r="P32" t="s">
        <v>67</v>
      </c>
      <c r="Q32" s="1"/>
      <c r="U32" t="s">
        <v>376</v>
      </c>
      <c r="V32" t="s">
        <v>403</v>
      </c>
    </row>
    <row r="33" spans="1:22" ht="15" x14ac:dyDescent="0.25">
      <c r="A33" s="22" t="s">
        <v>235</v>
      </c>
      <c r="D33" s="61" t="s">
        <v>14</v>
      </c>
      <c r="E33" s="15"/>
      <c r="F33" s="22" t="s">
        <v>139</v>
      </c>
      <c r="I33" s="22" t="s">
        <v>129</v>
      </c>
      <c r="J33">
        <v>3</v>
      </c>
      <c r="M33" t="s">
        <v>100</v>
      </c>
      <c r="N33" t="s">
        <v>279</v>
      </c>
      <c r="O33" s="1"/>
      <c r="P33" t="s">
        <v>50</v>
      </c>
      <c r="Q33" s="1"/>
      <c r="U33" t="s">
        <v>379</v>
      </c>
      <c r="V33" t="s">
        <v>407</v>
      </c>
    </row>
    <row r="34" spans="1:22" ht="15" x14ac:dyDescent="0.25">
      <c r="A34" s="22"/>
      <c r="D34" s="61" t="s">
        <v>34</v>
      </c>
      <c r="E34" s="15"/>
      <c r="F34" s="22" t="s">
        <v>147</v>
      </c>
      <c r="I34" s="22" t="s">
        <v>176</v>
      </c>
      <c r="J34">
        <v>4</v>
      </c>
      <c r="M34" t="s">
        <v>56</v>
      </c>
      <c r="N34" t="s">
        <v>278</v>
      </c>
      <c r="O34" s="1"/>
      <c r="P34" t="s">
        <v>140</v>
      </c>
      <c r="Q34" s="1"/>
      <c r="U34" t="s">
        <v>380</v>
      </c>
      <c r="V34" t="s">
        <v>410</v>
      </c>
    </row>
    <row r="35" spans="1:22" ht="15" x14ac:dyDescent="0.25">
      <c r="A35" s="95"/>
      <c r="D35" s="61" t="s">
        <v>123</v>
      </c>
      <c r="E35" s="15"/>
      <c r="F35" s="22" t="s">
        <v>150</v>
      </c>
      <c r="I35" s="22" t="s">
        <v>155</v>
      </c>
      <c r="J35">
        <v>5</v>
      </c>
      <c r="M35" t="s">
        <v>65</v>
      </c>
      <c r="N35" t="s">
        <v>278</v>
      </c>
      <c r="O35" s="1"/>
      <c r="P35" t="s">
        <v>141</v>
      </c>
      <c r="Q35" s="1"/>
      <c r="U35" t="s">
        <v>381</v>
      </c>
      <c r="V35" t="s">
        <v>411</v>
      </c>
    </row>
    <row r="36" spans="1:22" ht="15" x14ac:dyDescent="0.25">
      <c r="A36" s="22" t="s">
        <v>235</v>
      </c>
      <c r="D36" s="61" t="s">
        <v>30</v>
      </c>
      <c r="E36" s="15"/>
      <c r="F36" s="22" t="s">
        <v>157</v>
      </c>
      <c r="I36" s="22" t="s">
        <v>154</v>
      </c>
      <c r="J36">
        <v>6</v>
      </c>
      <c r="M36" t="s">
        <v>64</v>
      </c>
      <c r="N36" t="s">
        <v>276</v>
      </c>
      <c r="O36" s="1"/>
      <c r="P36" t="s">
        <v>174</v>
      </c>
      <c r="Q36" s="1"/>
      <c r="U36" t="s">
        <v>382</v>
      </c>
      <c r="V36" t="s">
        <v>412</v>
      </c>
    </row>
    <row r="37" spans="1:22" ht="15" x14ac:dyDescent="0.25">
      <c r="A37" s="22"/>
      <c r="D37" s="61" t="s">
        <v>125</v>
      </c>
      <c r="E37" s="15"/>
      <c r="F37" s="63" t="s">
        <v>6</v>
      </c>
      <c r="M37" t="s">
        <v>99</v>
      </c>
      <c r="N37" t="s">
        <v>279</v>
      </c>
      <c r="O37" s="1"/>
      <c r="P37" t="s">
        <v>515</v>
      </c>
      <c r="Q37" s="1"/>
      <c r="U37" t="s">
        <v>383</v>
      </c>
      <c r="V37" t="s">
        <v>414</v>
      </c>
    </row>
    <row r="38" spans="1:22" ht="15" x14ac:dyDescent="0.25">
      <c r="A38" s="95"/>
      <c r="D38" s="61" t="s">
        <v>246</v>
      </c>
      <c r="E38" s="15"/>
      <c r="I38" s="22" t="s">
        <v>62</v>
      </c>
      <c r="J38" s="22" t="s">
        <v>222</v>
      </c>
      <c r="M38" t="s">
        <v>98</v>
      </c>
      <c r="N38" t="s">
        <v>279</v>
      </c>
      <c r="O38" s="1"/>
      <c r="P38" t="s">
        <v>192</v>
      </c>
      <c r="Q38" s="1"/>
      <c r="U38" t="s">
        <v>386</v>
      </c>
      <c r="V38" t="s">
        <v>418</v>
      </c>
    </row>
    <row r="39" spans="1:22" ht="15" x14ac:dyDescent="0.25">
      <c r="A39" s="22" t="s">
        <v>235</v>
      </c>
      <c r="D39" s="61" t="s">
        <v>247</v>
      </c>
      <c r="E39" s="15"/>
      <c r="I39" s="22" t="s">
        <v>82</v>
      </c>
      <c r="J39">
        <v>1</v>
      </c>
      <c r="M39" t="s">
        <v>114</v>
      </c>
      <c r="N39" t="s">
        <v>277</v>
      </c>
      <c r="O39" s="1"/>
      <c r="P39" t="s">
        <v>213</v>
      </c>
      <c r="Q39" s="1"/>
      <c r="U39" t="s">
        <v>388</v>
      </c>
      <c r="V39" t="s">
        <v>420</v>
      </c>
    </row>
    <row r="40" spans="1:22" ht="15" x14ac:dyDescent="0.25">
      <c r="A40" s="22"/>
      <c r="E40" s="15"/>
      <c r="I40" s="22" t="s">
        <v>103</v>
      </c>
      <c r="J40">
        <v>2</v>
      </c>
      <c r="M40" t="s">
        <v>185</v>
      </c>
      <c r="N40" t="s">
        <v>276</v>
      </c>
      <c r="O40" s="1"/>
      <c r="P40" t="s">
        <v>172</v>
      </c>
      <c r="Q40" s="1"/>
      <c r="U40" t="s">
        <v>389</v>
      </c>
      <c r="V40" t="s">
        <v>424</v>
      </c>
    </row>
    <row r="41" spans="1:22" ht="15" x14ac:dyDescent="0.25">
      <c r="A41" s="95"/>
      <c r="D41" t="s">
        <v>790</v>
      </c>
      <c r="E41" s="15"/>
      <c r="I41" s="22" t="s">
        <v>105</v>
      </c>
      <c r="J41">
        <v>3</v>
      </c>
      <c r="M41" t="s">
        <v>184</v>
      </c>
      <c r="N41" t="s">
        <v>278</v>
      </c>
      <c r="O41" s="1"/>
      <c r="P41" t="s">
        <v>68</v>
      </c>
      <c r="Q41" s="1"/>
      <c r="U41" t="s">
        <v>391</v>
      </c>
      <c r="V41" t="s">
        <v>425</v>
      </c>
    </row>
    <row r="42" spans="1:22" ht="15" x14ac:dyDescent="0.25">
      <c r="A42" s="22" t="s">
        <v>235</v>
      </c>
      <c r="D42" t="s">
        <v>791</v>
      </c>
      <c r="E42" s="15"/>
      <c r="I42" s="22" t="s">
        <v>107</v>
      </c>
      <c r="J42">
        <v>4</v>
      </c>
      <c r="M42" t="s">
        <v>183</v>
      </c>
      <c r="N42" t="s">
        <v>278</v>
      </c>
      <c r="O42" s="1"/>
      <c r="P42" t="s">
        <v>69</v>
      </c>
      <c r="Q42" s="1"/>
      <c r="U42" t="s">
        <v>392</v>
      </c>
      <c r="V42" t="s">
        <v>428</v>
      </c>
    </row>
    <row r="43" spans="1:22" ht="15" x14ac:dyDescent="0.25">
      <c r="A43" s="22"/>
      <c r="D43" t="s">
        <v>792</v>
      </c>
      <c r="E43" s="15"/>
      <c r="I43" s="22" t="s">
        <v>214</v>
      </c>
      <c r="J43">
        <v>5</v>
      </c>
      <c r="M43" t="s">
        <v>182</v>
      </c>
      <c r="N43" t="s">
        <v>278</v>
      </c>
      <c r="O43" s="1"/>
      <c r="P43" t="s">
        <v>79</v>
      </c>
      <c r="Q43" s="1"/>
      <c r="U43" t="s">
        <v>393</v>
      </c>
      <c r="V43" t="s">
        <v>433</v>
      </c>
    </row>
    <row r="44" spans="1:22" ht="15" x14ac:dyDescent="0.25">
      <c r="A44" s="95"/>
      <c r="D44" t="s">
        <v>668</v>
      </c>
      <c r="E44" s="15"/>
      <c r="I44" s="22" t="s">
        <v>224</v>
      </c>
      <c r="J44">
        <v>6</v>
      </c>
      <c r="M44" t="s">
        <v>50</v>
      </c>
      <c r="N44" t="s">
        <v>276</v>
      </c>
      <c r="O44" s="1"/>
      <c r="P44" t="s">
        <v>39</v>
      </c>
      <c r="Q44" s="1"/>
      <c r="U44" t="s">
        <v>394</v>
      </c>
      <c r="V44" t="s">
        <v>435</v>
      </c>
    </row>
    <row r="45" spans="1:22" ht="15" x14ac:dyDescent="0.25">
      <c r="A45" s="22" t="s">
        <v>235</v>
      </c>
      <c r="D45" t="s">
        <v>793</v>
      </c>
      <c r="E45" s="15"/>
      <c r="I45" s="22" t="s">
        <v>225</v>
      </c>
      <c r="J45">
        <v>7</v>
      </c>
      <c r="M45" t="s">
        <v>94</v>
      </c>
      <c r="N45" t="s">
        <v>279</v>
      </c>
      <c r="O45" s="1"/>
      <c r="P45" t="s">
        <v>120</v>
      </c>
      <c r="Q45" s="1"/>
      <c r="U45" t="s">
        <v>395</v>
      </c>
      <c r="V45" t="s">
        <v>436</v>
      </c>
    </row>
    <row r="46" spans="1:22" ht="15" x14ac:dyDescent="0.25">
      <c r="A46" s="22"/>
      <c r="D46" t="s">
        <v>794</v>
      </c>
      <c r="E46" s="15"/>
      <c r="I46" s="22" t="s">
        <v>226</v>
      </c>
      <c r="J46">
        <v>8</v>
      </c>
      <c r="M46" t="s">
        <v>40</v>
      </c>
      <c r="N46" t="s">
        <v>276</v>
      </c>
      <c r="O46" s="1"/>
      <c r="P46" t="s">
        <v>331</v>
      </c>
      <c r="Q46" s="1"/>
      <c r="U46" t="s">
        <v>396</v>
      </c>
      <c r="V46" t="s">
        <v>445</v>
      </c>
    </row>
    <row r="47" spans="1:22" ht="15" x14ac:dyDescent="0.25">
      <c r="D47" t="s">
        <v>795</v>
      </c>
      <c r="E47" s="15"/>
      <c r="I47" s="22" t="s">
        <v>227</v>
      </c>
      <c r="J47">
        <v>9</v>
      </c>
      <c r="M47" t="s">
        <v>181</v>
      </c>
      <c r="N47" t="s">
        <v>279</v>
      </c>
      <c r="O47" s="1"/>
      <c r="P47" t="s">
        <v>177</v>
      </c>
      <c r="Q47" s="1"/>
      <c r="U47" t="s">
        <v>397</v>
      </c>
      <c r="V47" t="s">
        <v>450</v>
      </c>
    </row>
    <row r="48" spans="1:22" ht="15" x14ac:dyDescent="0.25">
      <c r="D48" t="s">
        <v>796</v>
      </c>
      <c r="E48" s="15"/>
      <c r="I48" s="22" t="s">
        <v>228</v>
      </c>
      <c r="J48">
        <v>10</v>
      </c>
      <c r="M48" t="s">
        <v>97</v>
      </c>
      <c r="N48" t="s">
        <v>278</v>
      </c>
      <c r="O48" s="1"/>
      <c r="P48" t="s">
        <v>173</v>
      </c>
      <c r="Q48" s="1"/>
      <c r="U48" t="s">
        <v>399</v>
      </c>
      <c r="V48" t="s">
        <v>452</v>
      </c>
    </row>
    <row r="49" spans="4:22" ht="15" x14ac:dyDescent="0.25">
      <c r="D49" t="s">
        <v>797</v>
      </c>
      <c r="E49" s="15"/>
      <c r="I49" s="22" t="s">
        <v>229</v>
      </c>
      <c r="J49">
        <v>11</v>
      </c>
      <c r="M49" t="s">
        <v>49</v>
      </c>
      <c r="N49" t="s">
        <v>276</v>
      </c>
      <c r="O49" s="1"/>
      <c r="P49" t="s">
        <v>178</v>
      </c>
      <c r="Q49" s="1"/>
      <c r="U49" t="s">
        <v>400</v>
      </c>
      <c r="V49" t="s">
        <v>454</v>
      </c>
    </row>
    <row r="50" spans="4:22" ht="15" x14ac:dyDescent="0.25">
      <c r="D50" t="s">
        <v>798</v>
      </c>
      <c r="E50" s="15"/>
      <c r="M50" t="s">
        <v>143</v>
      </c>
      <c r="N50" t="s">
        <v>279</v>
      </c>
      <c r="O50" s="1"/>
      <c r="P50" t="s">
        <v>179</v>
      </c>
      <c r="Q50" s="1"/>
      <c r="U50" t="s">
        <v>401</v>
      </c>
      <c r="V50" t="s">
        <v>460</v>
      </c>
    </row>
    <row r="51" spans="4:22" ht="15" x14ac:dyDescent="0.25">
      <c r="D51" t="s">
        <v>799</v>
      </c>
      <c r="E51" s="15"/>
      <c r="I51" s="22" t="s">
        <v>230</v>
      </c>
      <c r="J51" s="22" t="s">
        <v>222</v>
      </c>
      <c r="M51" t="s">
        <v>93</v>
      </c>
      <c r="N51" t="s">
        <v>278</v>
      </c>
      <c r="O51" s="1"/>
      <c r="P51" t="s">
        <v>234</v>
      </c>
      <c r="Q51" s="1"/>
      <c r="U51" t="s">
        <v>402</v>
      </c>
      <c r="V51" t="s">
        <v>470</v>
      </c>
    </row>
    <row r="52" spans="4:22" ht="15" x14ac:dyDescent="0.25">
      <c r="D52" t="s">
        <v>800</v>
      </c>
      <c r="E52" s="15"/>
      <c r="I52" s="22" t="s">
        <v>215</v>
      </c>
      <c r="J52">
        <v>1</v>
      </c>
      <c r="M52" t="s">
        <v>241</v>
      </c>
      <c r="N52" t="s">
        <v>277</v>
      </c>
      <c r="O52" s="1"/>
      <c r="P52" t="s">
        <v>185</v>
      </c>
      <c r="Q52" s="1"/>
      <c r="U52" t="s">
        <v>404</v>
      </c>
      <c r="V52" t="s">
        <v>477</v>
      </c>
    </row>
    <row r="53" spans="4:22" ht="15" x14ac:dyDescent="0.25">
      <c r="D53" t="s">
        <v>801</v>
      </c>
      <c r="E53" s="15"/>
      <c r="I53" s="22" t="s">
        <v>231</v>
      </c>
      <c r="J53">
        <v>2</v>
      </c>
      <c r="M53" t="s">
        <v>42</v>
      </c>
      <c r="N53" t="s">
        <v>276</v>
      </c>
      <c r="O53" s="1"/>
      <c r="P53" t="s">
        <v>163</v>
      </c>
      <c r="Q53" s="1"/>
      <c r="U53" t="s">
        <v>405</v>
      </c>
      <c r="V53" t="s">
        <v>485</v>
      </c>
    </row>
    <row r="54" spans="4:22" ht="15" x14ac:dyDescent="0.25">
      <c r="D54" t="s">
        <v>802</v>
      </c>
      <c r="E54" s="15"/>
      <c r="I54" s="22" t="s">
        <v>204</v>
      </c>
      <c r="J54">
        <v>3</v>
      </c>
      <c r="M54" t="s">
        <v>163</v>
      </c>
      <c r="N54" t="s">
        <v>276</v>
      </c>
      <c r="O54" s="1"/>
      <c r="P54" t="s">
        <v>268</v>
      </c>
      <c r="Q54" s="1"/>
      <c r="U54" t="s">
        <v>406</v>
      </c>
      <c r="V54" t="s">
        <v>490</v>
      </c>
    </row>
    <row r="55" spans="4:22" ht="15" x14ac:dyDescent="0.25">
      <c r="D55" t="s">
        <v>803</v>
      </c>
      <c r="E55" s="15"/>
      <c r="I55" s="22" t="s">
        <v>2</v>
      </c>
      <c r="J55">
        <v>4</v>
      </c>
      <c r="M55" t="s">
        <v>63</v>
      </c>
      <c r="N55" t="s">
        <v>278</v>
      </c>
      <c r="O55" s="1"/>
      <c r="P55" t="s">
        <v>136</v>
      </c>
      <c r="Q55" s="1"/>
      <c r="U55" t="s">
        <v>408</v>
      </c>
      <c r="V55" t="s">
        <v>446</v>
      </c>
    </row>
    <row r="56" spans="4:22" ht="15" x14ac:dyDescent="0.25">
      <c r="D56" t="s">
        <v>804</v>
      </c>
      <c r="E56" s="15"/>
      <c r="I56" s="22" t="s">
        <v>232</v>
      </c>
      <c r="J56">
        <v>5</v>
      </c>
      <c r="M56" t="s">
        <v>61</v>
      </c>
      <c r="N56" t="s">
        <v>278</v>
      </c>
      <c r="O56" s="1"/>
      <c r="P56" t="s">
        <v>180</v>
      </c>
      <c r="U56" t="s">
        <v>409</v>
      </c>
      <c r="V56"/>
    </row>
    <row r="57" spans="4:22" ht="15" x14ac:dyDescent="0.25">
      <c r="D57" t="s">
        <v>805</v>
      </c>
      <c r="E57" s="15"/>
      <c r="I57" s="22" t="s">
        <v>106</v>
      </c>
      <c r="J57">
        <v>6</v>
      </c>
      <c r="M57" t="s">
        <v>51</v>
      </c>
      <c r="N57" t="s">
        <v>277</v>
      </c>
      <c r="O57" s="1"/>
      <c r="P57" t="s">
        <v>121</v>
      </c>
      <c r="U57" t="s">
        <v>413</v>
      </c>
      <c r="V57"/>
    </row>
    <row r="58" spans="4:22" ht="15" x14ac:dyDescent="0.25">
      <c r="D58" t="s">
        <v>806</v>
      </c>
      <c r="E58" s="15"/>
      <c r="I58" s="22" t="s">
        <v>6</v>
      </c>
      <c r="J58">
        <v>7</v>
      </c>
      <c r="M58" t="s">
        <v>60</v>
      </c>
      <c r="N58" t="s">
        <v>278</v>
      </c>
      <c r="O58" s="1"/>
      <c r="U58" t="s">
        <v>415</v>
      </c>
      <c r="V58"/>
    </row>
    <row r="59" spans="4:22" ht="15" x14ac:dyDescent="0.25">
      <c r="D59" t="s">
        <v>807</v>
      </c>
      <c r="E59" s="15"/>
      <c r="M59" t="s">
        <v>59</v>
      </c>
      <c r="N59" t="s">
        <v>278</v>
      </c>
      <c r="O59" s="1"/>
      <c r="U59" t="s">
        <v>416</v>
      </c>
      <c r="V59"/>
    </row>
    <row r="60" spans="4:22" ht="15" x14ac:dyDescent="0.25">
      <c r="D60" t="s">
        <v>808</v>
      </c>
      <c r="E60" s="15"/>
      <c r="I60" s="22" t="s">
        <v>138</v>
      </c>
      <c r="J60" t="s">
        <v>222</v>
      </c>
      <c r="M60" t="s">
        <v>116</v>
      </c>
      <c r="N60" t="s">
        <v>278</v>
      </c>
      <c r="O60" s="1"/>
      <c r="U60" t="s">
        <v>417</v>
      </c>
      <c r="V60"/>
    </row>
    <row r="61" spans="4:22" ht="15" x14ac:dyDescent="0.25">
      <c r="D61" t="s">
        <v>809</v>
      </c>
      <c r="E61" s="15"/>
      <c r="I61" s="22" t="s">
        <v>149</v>
      </c>
      <c r="J61">
        <v>1</v>
      </c>
      <c r="M61" t="s">
        <v>52</v>
      </c>
      <c r="N61" t="s">
        <v>279</v>
      </c>
      <c r="O61" s="1"/>
      <c r="U61" t="s">
        <v>419</v>
      </c>
      <c r="V61"/>
    </row>
    <row r="62" spans="4:22" ht="15" x14ac:dyDescent="0.25">
      <c r="D62" t="s">
        <v>810</v>
      </c>
      <c r="E62" s="15"/>
      <c r="I62" s="22" t="s">
        <v>146</v>
      </c>
      <c r="J62">
        <v>2</v>
      </c>
      <c r="M62" t="s">
        <v>44</v>
      </c>
      <c r="N62" t="s">
        <v>276</v>
      </c>
      <c r="O62" s="1"/>
      <c r="U62" t="s">
        <v>421</v>
      </c>
      <c r="V62"/>
    </row>
    <row r="63" spans="4:22" ht="15" x14ac:dyDescent="0.25">
      <c r="D63" t="s">
        <v>811</v>
      </c>
      <c r="E63" s="15"/>
      <c r="I63" s="22" t="s">
        <v>207</v>
      </c>
      <c r="J63">
        <v>3</v>
      </c>
      <c r="M63" t="s">
        <v>43</v>
      </c>
      <c r="N63" t="s">
        <v>276</v>
      </c>
      <c r="O63" s="1"/>
      <c r="U63" t="s">
        <v>422</v>
      </c>
      <c r="V63"/>
    </row>
    <row r="64" spans="4:22" ht="15" x14ac:dyDescent="0.25">
      <c r="D64" t="s">
        <v>812</v>
      </c>
      <c r="E64" s="15"/>
      <c r="I64" s="22" t="s">
        <v>206</v>
      </c>
      <c r="J64">
        <v>4</v>
      </c>
      <c r="M64" t="s">
        <v>92</v>
      </c>
      <c r="N64" t="s">
        <v>278</v>
      </c>
      <c r="O64" s="1"/>
      <c r="U64" t="s">
        <v>423</v>
      </c>
      <c r="V64"/>
    </row>
    <row r="65" spans="4:22" ht="15" x14ac:dyDescent="0.25">
      <c r="D65" t="s">
        <v>813</v>
      </c>
      <c r="E65" s="15"/>
      <c r="I65" s="22" t="s">
        <v>156</v>
      </c>
      <c r="J65">
        <v>5</v>
      </c>
      <c r="M65" t="s">
        <v>58</v>
      </c>
      <c r="N65" t="s">
        <v>279</v>
      </c>
      <c r="O65" s="1"/>
      <c r="U65" t="s">
        <v>426</v>
      </c>
      <c r="V65"/>
    </row>
    <row r="66" spans="4:22" ht="15" x14ac:dyDescent="0.25">
      <c r="D66" t="s">
        <v>814</v>
      </c>
      <c r="E66" s="15"/>
      <c r="I66" s="22" t="s">
        <v>162</v>
      </c>
      <c r="J66">
        <v>6</v>
      </c>
      <c r="M66" t="s">
        <v>243</v>
      </c>
      <c r="N66" t="s">
        <v>278</v>
      </c>
      <c r="O66" s="1"/>
      <c r="U66" t="s">
        <v>427</v>
      </c>
      <c r="V66"/>
    </row>
    <row r="67" spans="4:22" ht="15" x14ac:dyDescent="0.25">
      <c r="D67" t="s">
        <v>815</v>
      </c>
      <c r="E67" s="15"/>
      <c r="M67" t="s">
        <v>57</v>
      </c>
      <c r="N67" t="s">
        <v>276</v>
      </c>
      <c r="O67" s="1"/>
      <c r="U67" t="s">
        <v>429</v>
      </c>
      <c r="V67"/>
    </row>
    <row r="68" spans="4:22" ht="15" x14ac:dyDescent="0.25">
      <c r="D68" t="s">
        <v>816</v>
      </c>
      <c r="E68" s="15"/>
      <c r="I68" t="s">
        <v>120</v>
      </c>
      <c r="J68" t="s">
        <v>222</v>
      </c>
      <c r="M68" t="s">
        <v>54</v>
      </c>
      <c r="N68" t="s">
        <v>278</v>
      </c>
      <c r="O68" s="1"/>
      <c r="U68" t="s">
        <v>430</v>
      </c>
      <c r="V68"/>
    </row>
    <row r="69" spans="4:22" ht="15" x14ac:dyDescent="0.25">
      <c r="D69" t="s">
        <v>817</v>
      </c>
      <c r="E69" s="15"/>
      <c r="I69" t="s">
        <v>504</v>
      </c>
      <c r="J69">
        <v>1</v>
      </c>
      <c r="M69" t="s">
        <v>53</v>
      </c>
      <c r="N69" t="s">
        <v>278</v>
      </c>
      <c r="O69" s="1"/>
      <c r="U69" t="s">
        <v>431</v>
      </c>
      <c r="V69"/>
    </row>
    <row r="70" spans="4:22" ht="15" x14ac:dyDescent="0.25">
      <c r="D70" t="s">
        <v>818</v>
      </c>
      <c r="E70" s="15"/>
      <c r="I70" t="s">
        <v>516</v>
      </c>
      <c r="J70">
        <v>2</v>
      </c>
      <c r="M70" t="s">
        <v>197</v>
      </c>
      <c r="N70" t="s">
        <v>278</v>
      </c>
      <c r="O70" s="1"/>
      <c r="U70" t="s">
        <v>432</v>
      </c>
      <c r="V70"/>
    </row>
    <row r="71" spans="4:22" ht="15" x14ac:dyDescent="0.25">
      <c r="D71" t="s">
        <v>819</v>
      </c>
      <c r="E71" s="15"/>
      <c r="I71" t="s">
        <v>517</v>
      </c>
      <c r="J71">
        <v>3</v>
      </c>
      <c r="M71" t="s">
        <v>95</v>
      </c>
      <c r="N71" t="s">
        <v>278</v>
      </c>
      <c r="O71" s="1"/>
      <c r="U71" t="s">
        <v>434</v>
      </c>
      <c r="V71"/>
    </row>
    <row r="72" spans="4:22" ht="15" x14ac:dyDescent="0.25">
      <c r="D72" t="s">
        <v>820</v>
      </c>
      <c r="E72" s="15"/>
      <c r="I72" t="s">
        <v>518</v>
      </c>
      <c r="J72">
        <v>4</v>
      </c>
      <c r="M72" t="s">
        <v>45</v>
      </c>
      <c r="N72" t="s">
        <v>278</v>
      </c>
      <c r="O72" s="1"/>
      <c r="U72" t="s">
        <v>437</v>
      </c>
      <c r="V72"/>
    </row>
    <row r="73" spans="4:22" ht="15" x14ac:dyDescent="0.25">
      <c r="D73" t="s">
        <v>821</v>
      </c>
      <c r="E73" s="15"/>
      <c r="I73" t="s">
        <v>519</v>
      </c>
      <c r="J73">
        <v>5</v>
      </c>
      <c r="O73" s="1"/>
      <c r="U73" t="s">
        <v>438</v>
      </c>
      <c r="V73"/>
    </row>
    <row r="74" spans="4:22" ht="15" x14ac:dyDescent="0.25">
      <c r="D74" t="s">
        <v>822</v>
      </c>
      <c r="E74" s="15"/>
      <c r="I74" s="16"/>
      <c r="O74" s="1"/>
      <c r="U74" t="s">
        <v>439</v>
      </c>
      <c r="V74"/>
    </row>
    <row r="75" spans="4:22" ht="15" x14ac:dyDescent="0.25">
      <c r="D75" t="s">
        <v>823</v>
      </c>
      <c r="E75" s="15"/>
      <c r="I75" t="s">
        <v>151</v>
      </c>
      <c r="J75" t="s">
        <v>222</v>
      </c>
      <c r="O75" s="1"/>
      <c r="U75" t="s">
        <v>440</v>
      </c>
      <c r="V75"/>
    </row>
    <row r="76" spans="4:22" ht="15" x14ac:dyDescent="0.25">
      <c r="D76" t="s">
        <v>824</v>
      </c>
      <c r="E76" s="15"/>
      <c r="I76" t="s">
        <v>130</v>
      </c>
      <c r="J76">
        <v>1</v>
      </c>
      <c r="Q76" s="1"/>
      <c r="U76" t="s">
        <v>441</v>
      </c>
      <c r="V76"/>
    </row>
    <row r="77" spans="4:22" ht="15" x14ac:dyDescent="0.25">
      <c r="D77" t="s">
        <v>825</v>
      </c>
      <c r="E77" s="15"/>
      <c r="I77" t="s">
        <v>129</v>
      </c>
      <c r="J77">
        <v>2</v>
      </c>
      <c r="Q77" s="1"/>
      <c r="U77" t="s">
        <v>442</v>
      </c>
      <c r="V77"/>
    </row>
    <row r="78" spans="4:22" ht="15" x14ac:dyDescent="0.25">
      <c r="D78" t="s">
        <v>648</v>
      </c>
      <c r="E78" s="15"/>
      <c r="I78" t="s">
        <v>539</v>
      </c>
      <c r="J78">
        <v>3</v>
      </c>
      <c r="Q78" s="1"/>
      <c r="U78" t="s">
        <v>443</v>
      </c>
      <c r="V78"/>
    </row>
    <row r="79" spans="4:22" ht="15" x14ac:dyDescent="0.25">
      <c r="D79" t="s">
        <v>826</v>
      </c>
      <c r="E79" s="15"/>
      <c r="I79" t="s">
        <v>540</v>
      </c>
      <c r="J79">
        <v>4</v>
      </c>
      <c r="Q79" s="1"/>
      <c r="U79" t="s">
        <v>444</v>
      </c>
      <c r="V79"/>
    </row>
    <row r="80" spans="4:22" ht="15" x14ac:dyDescent="0.25">
      <c r="D80" t="s">
        <v>827</v>
      </c>
      <c r="E80" s="15"/>
      <c r="I80" t="s">
        <v>541</v>
      </c>
      <c r="J80">
        <v>5</v>
      </c>
      <c r="Q80" s="1"/>
      <c r="U80" t="s">
        <v>447</v>
      </c>
      <c r="V80"/>
    </row>
    <row r="81" spans="4:22" ht="15" x14ac:dyDescent="0.25">
      <c r="D81" t="s">
        <v>828</v>
      </c>
      <c r="E81" s="15"/>
      <c r="I81" t="s">
        <v>6</v>
      </c>
      <c r="J81">
        <v>6</v>
      </c>
      <c r="Q81" s="1"/>
      <c r="U81" t="s">
        <v>448</v>
      </c>
      <c r="V81"/>
    </row>
    <row r="82" spans="4:22" ht="15" x14ac:dyDescent="0.25">
      <c r="D82" t="s">
        <v>829</v>
      </c>
      <c r="E82" s="15"/>
      <c r="I82" s="16"/>
      <c r="Q82" s="1"/>
      <c r="U82" t="s">
        <v>449</v>
      </c>
      <c r="V82"/>
    </row>
    <row r="83" spans="4:22" ht="15" x14ac:dyDescent="0.25">
      <c r="D83" t="s">
        <v>830</v>
      </c>
      <c r="E83" s="15"/>
      <c r="I83" s="61" t="s">
        <v>135</v>
      </c>
      <c r="J83" s="22" t="s">
        <v>222</v>
      </c>
      <c r="Q83" s="1"/>
      <c r="U83" t="s">
        <v>451</v>
      </c>
      <c r="V83"/>
    </row>
    <row r="84" spans="4:22" ht="15" x14ac:dyDescent="0.25">
      <c r="D84" t="s">
        <v>831</v>
      </c>
      <c r="E84" s="15"/>
      <c r="I84" s="61" t="s">
        <v>548</v>
      </c>
      <c r="J84"/>
      <c r="Q84" s="1"/>
      <c r="U84" t="s">
        <v>453</v>
      </c>
      <c r="V84"/>
    </row>
    <row r="85" spans="4:22" ht="15" x14ac:dyDescent="0.25">
      <c r="D85" t="s">
        <v>832</v>
      </c>
      <c r="E85" s="15"/>
      <c r="I85" s="61" t="s">
        <v>594</v>
      </c>
      <c r="J85"/>
      <c r="Q85" s="1"/>
      <c r="U85" t="s">
        <v>455</v>
      </c>
      <c r="V85"/>
    </row>
    <row r="86" spans="4:22" ht="15" x14ac:dyDescent="0.25">
      <c r="D86" t="s">
        <v>833</v>
      </c>
      <c r="E86" s="15"/>
      <c r="I86" s="61" t="s">
        <v>596</v>
      </c>
      <c r="J86"/>
      <c r="Q86" s="1"/>
      <c r="U86" t="s">
        <v>456</v>
      </c>
      <c r="V86"/>
    </row>
    <row r="87" spans="4:22" ht="15" x14ac:dyDescent="0.25">
      <c r="D87" t="s">
        <v>834</v>
      </c>
      <c r="E87" s="15"/>
      <c r="I87" s="61" t="s">
        <v>568</v>
      </c>
      <c r="J87"/>
      <c r="Q87" s="1"/>
      <c r="U87" t="s">
        <v>457</v>
      </c>
      <c r="V87"/>
    </row>
    <row r="88" spans="4:22" ht="15" x14ac:dyDescent="0.25">
      <c r="D88" t="s">
        <v>835</v>
      </c>
      <c r="E88" s="15"/>
      <c r="I88" s="61" t="s">
        <v>595</v>
      </c>
      <c r="J88"/>
      <c r="Q88" s="1"/>
      <c r="U88" t="s">
        <v>458</v>
      </c>
      <c r="V88"/>
    </row>
    <row r="89" spans="4:22" ht="15" x14ac:dyDescent="0.25">
      <c r="D89" t="s">
        <v>836</v>
      </c>
      <c r="E89" s="15"/>
      <c r="I89" s="61" t="s">
        <v>597</v>
      </c>
      <c r="J89"/>
      <c r="Q89" s="1"/>
      <c r="U89" t="s">
        <v>459</v>
      </c>
      <c r="V89"/>
    </row>
    <row r="90" spans="4:22" ht="15" x14ac:dyDescent="0.25">
      <c r="D90" t="s">
        <v>837</v>
      </c>
      <c r="E90" s="15"/>
      <c r="I90" s="61" t="s">
        <v>111</v>
      </c>
      <c r="J90">
        <v>1</v>
      </c>
      <c r="Q90" s="1"/>
      <c r="U90" t="s">
        <v>461</v>
      </c>
      <c r="V90"/>
    </row>
    <row r="91" spans="4:22" ht="15" x14ac:dyDescent="0.25">
      <c r="D91" t="s">
        <v>838</v>
      </c>
      <c r="E91" s="15"/>
      <c r="I91" s="61" t="s">
        <v>542</v>
      </c>
      <c r="J91">
        <v>2</v>
      </c>
      <c r="Q91" s="1"/>
      <c r="U91" t="s">
        <v>462</v>
      </c>
      <c r="V91"/>
    </row>
    <row r="92" spans="4:22" ht="15" x14ac:dyDescent="0.25">
      <c r="D92" t="s">
        <v>839</v>
      </c>
      <c r="E92" s="15"/>
      <c r="I92" s="61" t="s">
        <v>543</v>
      </c>
      <c r="J92">
        <v>3</v>
      </c>
      <c r="Q92" s="1"/>
      <c r="U92" t="s">
        <v>463</v>
      </c>
      <c r="V92"/>
    </row>
    <row r="93" spans="4:22" ht="15" x14ac:dyDescent="0.25">
      <c r="E93" s="15"/>
      <c r="I93" s="61" t="s">
        <v>544</v>
      </c>
      <c r="J93">
        <v>4</v>
      </c>
      <c r="Q93" s="1"/>
      <c r="U93" t="s">
        <v>464</v>
      </c>
      <c r="V93"/>
    </row>
    <row r="94" spans="4:22" ht="15" x14ac:dyDescent="0.25">
      <c r="E94" s="15"/>
      <c r="I94" s="61" t="s">
        <v>545</v>
      </c>
      <c r="J94">
        <v>5</v>
      </c>
      <c r="Q94" s="1"/>
      <c r="U94" t="s">
        <v>465</v>
      </c>
      <c r="V94"/>
    </row>
    <row r="95" spans="4:22" ht="15" x14ac:dyDescent="0.25">
      <c r="D95" t="s">
        <v>332</v>
      </c>
      <c r="E95" s="15"/>
      <c r="I95" s="61" t="s">
        <v>546</v>
      </c>
      <c r="J95">
        <v>6</v>
      </c>
      <c r="Q95" s="1"/>
      <c r="U95" t="s">
        <v>466</v>
      </c>
      <c r="V95"/>
    </row>
    <row r="96" spans="4:22" ht="15" x14ac:dyDescent="0.25">
      <c r="D96" t="s">
        <v>108</v>
      </c>
      <c r="H96" s="16"/>
      <c r="I96" s="61" t="s">
        <v>547</v>
      </c>
      <c r="J96">
        <v>7</v>
      </c>
      <c r="P96" s="1"/>
      <c r="U96" t="s">
        <v>467</v>
      </c>
      <c r="V96"/>
    </row>
    <row r="97" spans="4:22" ht="15" x14ac:dyDescent="0.25">
      <c r="D97" t="s">
        <v>109</v>
      </c>
      <c r="H97" s="16"/>
      <c r="I97" s="16"/>
      <c r="P97" s="1"/>
      <c r="U97" t="s">
        <v>468</v>
      </c>
      <c r="V97"/>
    </row>
    <row r="98" spans="4:22" ht="15" x14ac:dyDescent="0.25">
      <c r="D98" t="s">
        <v>233</v>
      </c>
      <c r="H98" s="16"/>
      <c r="I98" s="61" t="s">
        <v>209</v>
      </c>
      <c r="J98" s="22" t="s">
        <v>222</v>
      </c>
      <c r="P98" s="1"/>
      <c r="U98" t="s">
        <v>469</v>
      </c>
      <c r="V98"/>
    </row>
    <row r="99" spans="4:22" ht="15" x14ac:dyDescent="0.25">
      <c r="D99" t="s">
        <v>110</v>
      </c>
      <c r="H99" s="16"/>
      <c r="I99" s="22" t="s">
        <v>290</v>
      </c>
      <c r="J99">
        <v>1</v>
      </c>
      <c r="P99" s="1"/>
      <c r="U99" t="s">
        <v>471</v>
      </c>
      <c r="V99"/>
    </row>
    <row r="100" spans="4:22" ht="15" x14ac:dyDescent="0.25">
      <c r="D100" t="s">
        <v>37</v>
      </c>
      <c r="H100" s="16"/>
      <c r="I100" s="22" t="s">
        <v>607</v>
      </c>
      <c r="J100">
        <v>2</v>
      </c>
      <c r="P100" s="1"/>
      <c r="U100" t="s">
        <v>472</v>
      </c>
      <c r="V100"/>
    </row>
    <row r="101" spans="4:22" ht="15" x14ac:dyDescent="0.25">
      <c r="D101" t="s">
        <v>35</v>
      </c>
      <c r="H101" s="16"/>
      <c r="I101" s="22" t="s">
        <v>608</v>
      </c>
      <c r="J101">
        <v>3</v>
      </c>
      <c r="P101" s="1"/>
      <c r="U101" t="s">
        <v>473</v>
      </c>
      <c r="V101"/>
    </row>
    <row r="102" spans="4:22" ht="15" x14ac:dyDescent="0.25">
      <c r="D102" t="s">
        <v>208</v>
      </c>
      <c r="H102" s="16"/>
      <c r="P102" s="1"/>
      <c r="U102" t="s">
        <v>474</v>
      </c>
      <c r="V102"/>
    </row>
    <row r="103" spans="4:22" ht="15" x14ac:dyDescent="0.25">
      <c r="D103" t="s">
        <v>38</v>
      </c>
      <c r="H103" s="16"/>
      <c r="I103" s="22" t="s">
        <v>290</v>
      </c>
      <c r="J103" s="22" t="s">
        <v>222</v>
      </c>
      <c r="P103" s="1"/>
      <c r="U103" t="s">
        <v>475</v>
      </c>
      <c r="V103"/>
    </row>
    <row r="104" spans="4:22" ht="15" x14ac:dyDescent="0.25">
      <c r="D104" t="s">
        <v>36</v>
      </c>
      <c r="H104" s="16"/>
      <c r="I104" s="22" t="s">
        <v>609</v>
      </c>
      <c r="J104">
        <v>1</v>
      </c>
      <c r="P104" s="1"/>
      <c r="U104" t="s">
        <v>476</v>
      </c>
      <c r="V104"/>
    </row>
    <row r="105" spans="4:22" ht="15" x14ac:dyDescent="0.25">
      <c r="H105" s="16"/>
      <c r="I105" s="22" t="s">
        <v>610</v>
      </c>
      <c r="J105">
        <v>2</v>
      </c>
      <c r="P105" s="1"/>
      <c r="U105" t="s">
        <v>478</v>
      </c>
      <c r="V105"/>
    </row>
    <row r="106" spans="4:22" ht="15" x14ac:dyDescent="0.25">
      <c r="D106" s="61" t="s">
        <v>296</v>
      </c>
      <c r="E106" s="15"/>
      <c r="I106" s="22" t="s">
        <v>611</v>
      </c>
      <c r="J106">
        <v>3</v>
      </c>
      <c r="Q106" s="1"/>
      <c r="U106" t="s">
        <v>479</v>
      </c>
      <c r="V106"/>
    </row>
    <row r="107" spans="4:22" ht="15" x14ac:dyDescent="0.25">
      <c r="D107" t="s">
        <v>509</v>
      </c>
      <c r="E107" s="15"/>
      <c r="I107" s="22" t="s">
        <v>612</v>
      </c>
      <c r="J107">
        <v>4</v>
      </c>
      <c r="Q107" s="1"/>
      <c r="U107" t="s">
        <v>480</v>
      </c>
      <c r="V107"/>
    </row>
    <row r="108" spans="4:22" ht="15" x14ac:dyDescent="0.25">
      <c r="D108" t="s">
        <v>522</v>
      </c>
      <c r="E108" s="15"/>
      <c r="I108" s="22" t="s">
        <v>613</v>
      </c>
      <c r="J108">
        <v>5</v>
      </c>
      <c r="Q108" s="1"/>
      <c r="U108" t="s">
        <v>481</v>
      </c>
      <c r="V108"/>
    </row>
    <row r="109" spans="4:22" ht="15" x14ac:dyDescent="0.25">
      <c r="D109" t="s">
        <v>549</v>
      </c>
      <c r="E109" s="15"/>
      <c r="I109" s="61" t="s">
        <v>614</v>
      </c>
      <c r="J109">
        <v>6</v>
      </c>
      <c r="Q109" s="1"/>
      <c r="U109" t="s">
        <v>482</v>
      </c>
      <c r="V109"/>
    </row>
    <row r="110" spans="4:22" ht="15" x14ac:dyDescent="0.25">
      <c r="D110" t="s">
        <v>567</v>
      </c>
      <c r="E110" s="15"/>
      <c r="I110" s="61" t="s">
        <v>615</v>
      </c>
      <c r="J110">
        <v>7</v>
      </c>
      <c r="Q110" s="1"/>
      <c r="U110" t="s">
        <v>483</v>
      </c>
      <c r="V110"/>
    </row>
    <row r="111" spans="4:22" ht="15" x14ac:dyDescent="0.25">
      <c r="D111" t="s">
        <v>593</v>
      </c>
      <c r="E111" s="15"/>
      <c r="I111" s="16"/>
      <c r="Q111" s="1"/>
      <c r="U111" t="s">
        <v>484</v>
      </c>
      <c r="V111"/>
    </row>
    <row r="112" spans="4:22" ht="15" x14ac:dyDescent="0.25">
      <c r="D112" t="s">
        <v>943</v>
      </c>
      <c r="E112" s="15"/>
      <c r="I112" s="61" t="s">
        <v>607</v>
      </c>
      <c r="J112" s="22" t="s">
        <v>222</v>
      </c>
      <c r="Q112" s="1"/>
      <c r="U112" t="s">
        <v>486</v>
      </c>
      <c r="V112"/>
    </row>
    <row r="113" spans="4:22" ht="15" x14ac:dyDescent="0.25">
      <c r="D113" t="s">
        <v>944</v>
      </c>
      <c r="E113" s="15"/>
      <c r="I113" s="61" t="s">
        <v>616</v>
      </c>
      <c r="J113">
        <v>1</v>
      </c>
      <c r="Q113" s="1"/>
      <c r="U113" t="s">
        <v>487</v>
      </c>
      <c r="V113"/>
    </row>
    <row r="114" spans="4:22" ht="15" x14ac:dyDescent="0.25">
      <c r="E114" s="15"/>
      <c r="I114" s="61" t="s">
        <v>617</v>
      </c>
      <c r="J114">
        <v>2</v>
      </c>
      <c r="Q114" s="1"/>
      <c r="U114" t="s">
        <v>488</v>
      </c>
      <c r="V114"/>
    </row>
    <row r="115" spans="4:22" ht="15" x14ac:dyDescent="0.25">
      <c r="D115" t="s">
        <v>534</v>
      </c>
      <c r="E115" s="15"/>
      <c r="I115" s="61" t="s">
        <v>618</v>
      </c>
      <c r="J115">
        <v>3</v>
      </c>
      <c r="Q115" s="1"/>
      <c r="U115" t="s">
        <v>489</v>
      </c>
      <c r="V115"/>
    </row>
    <row r="116" spans="4:22" ht="15" x14ac:dyDescent="0.25">
      <c r="D116" t="s">
        <v>527</v>
      </c>
      <c r="E116" s="15"/>
      <c r="I116" s="61" t="s">
        <v>619</v>
      </c>
      <c r="J116">
        <v>4</v>
      </c>
      <c r="Q116" s="1"/>
      <c r="U116" t="s">
        <v>491</v>
      </c>
      <c r="V116"/>
    </row>
    <row r="117" spans="4:22" ht="15" x14ac:dyDescent="0.25">
      <c r="D117" t="s">
        <v>528</v>
      </c>
      <c r="E117" s="15"/>
      <c r="I117" s="61" t="s">
        <v>620</v>
      </c>
      <c r="J117">
        <v>5</v>
      </c>
      <c r="Q117" s="1"/>
      <c r="U117" t="s">
        <v>492</v>
      </c>
      <c r="V117"/>
    </row>
    <row r="118" spans="4:22" ht="15" x14ac:dyDescent="0.25">
      <c r="D118" t="s">
        <v>529</v>
      </c>
      <c r="E118" s="15"/>
      <c r="I118" s="61" t="s">
        <v>621</v>
      </c>
      <c r="J118">
        <v>6</v>
      </c>
      <c r="Q118" s="1"/>
      <c r="U118" t="s">
        <v>493</v>
      </c>
      <c r="V118"/>
    </row>
    <row r="119" spans="4:22" ht="15" x14ac:dyDescent="0.25">
      <c r="D119" t="s">
        <v>533</v>
      </c>
      <c r="E119" s="15"/>
      <c r="I119" s="61" t="s">
        <v>622</v>
      </c>
      <c r="J119">
        <v>7</v>
      </c>
      <c r="Q119" s="1"/>
      <c r="U119" t="s">
        <v>494</v>
      </c>
      <c r="V119"/>
    </row>
    <row r="120" spans="4:22" ht="15" x14ac:dyDescent="0.25">
      <c r="D120" t="s">
        <v>532</v>
      </c>
      <c r="I120" s="16"/>
      <c r="Q120" s="1"/>
      <c r="U120" t="s">
        <v>495</v>
      </c>
      <c r="V120"/>
    </row>
    <row r="121" spans="4:22" ht="15" x14ac:dyDescent="0.25">
      <c r="D121" t="s">
        <v>531</v>
      </c>
      <c r="I121" s="61" t="s">
        <v>160</v>
      </c>
      <c r="J121" s="22" t="s">
        <v>222</v>
      </c>
      <c r="Q121" s="1"/>
      <c r="U121" t="s">
        <v>496</v>
      </c>
      <c r="V121"/>
    </row>
    <row r="122" spans="4:22" ht="15" x14ac:dyDescent="0.25">
      <c r="D122" t="s">
        <v>2</v>
      </c>
      <c r="I122" s="61" t="s">
        <v>623</v>
      </c>
      <c r="J122">
        <v>1</v>
      </c>
      <c r="Q122" s="1"/>
      <c r="U122" t="s">
        <v>497</v>
      </c>
      <c r="V122"/>
    </row>
    <row r="123" spans="4:22" ht="15" x14ac:dyDescent="0.25">
      <c r="I123" s="61" t="s">
        <v>624</v>
      </c>
      <c r="J123">
        <v>2</v>
      </c>
      <c r="Q123" s="1"/>
      <c r="U123" t="s">
        <v>498</v>
      </c>
      <c r="V123"/>
    </row>
    <row r="124" spans="4:22" ht="15" x14ac:dyDescent="0.25">
      <c r="D124" t="s">
        <v>535</v>
      </c>
      <c r="I124" s="61" t="s">
        <v>625</v>
      </c>
      <c r="J124">
        <v>3</v>
      </c>
      <c r="Q124" s="1"/>
      <c r="U124" t="s">
        <v>499</v>
      </c>
      <c r="V124"/>
    </row>
    <row r="125" spans="4:22" ht="15" x14ac:dyDescent="0.25">
      <c r="D125" t="s">
        <v>265</v>
      </c>
      <c r="I125" s="61" t="s">
        <v>626</v>
      </c>
      <c r="J125">
        <v>4</v>
      </c>
      <c r="U125" t="s">
        <v>500</v>
      </c>
      <c r="V125"/>
    </row>
    <row r="126" spans="4:22" ht="15" x14ac:dyDescent="0.25">
      <c r="D126" t="s">
        <v>530</v>
      </c>
      <c r="I126" s="61" t="s">
        <v>627</v>
      </c>
      <c r="J126">
        <v>5</v>
      </c>
    </row>
    <row r="127" spans="4:22" ht="15" x14ac:dyDescent="0.25">
      <c r="D127" t="s">
        <v>2</v>
      </c>
      <c r="E127" s="15"/>
      <c r="I127" s="61" t="s">
        <v>628</v>
      </c>
      <c r="J127">
        <v>6</v>
      </c>
    </row>
    <row r="128" spans="4:22" ht="15" x14ac:dyDescent="0.25">
      <c r="E128" s="15"/>
      <c r="I128" s="61" t="s">
        <v>629</v>
      </c>
      <c r="J128">
        <v>7</v>
      </c>
    </row>
    <row r="129" spans="9:10" ht="15" x14ac:dyDescent="0.25">
      <c r="I129" s="61" t="s">
        <v>603</v>
      </c>
      <c r="J129">
        <v>8</v>
      </c>
    </row>
    <row r="130" spans="9:10" ht="15" x14ac:dyDescent="0.25">
      <c r="I130" s="61" t="s">
        <v>6</v>
      </c>
      <c r="J130">
        <v>9</v>
      </c>
    </row>
    <row r="131" spans="9:10" ht="11.25" x14ac:dyDescent="0.25">
      <c r="I131" s="16"/>
    </row>
    <row r="132" spans="9:10" ht="15" x14ac:dyDescent="0.25">
      <c r="I132" s="61" t="s">
        <v>210</v>
      </c>
      <c r="J132" s="22" t="s">
        <v>222</v>
      </c>
    </row>
    <row r="133" spans="9:10" ht="15" x14ac:dyDescent="0.25">
      <c r="I133" s="61" t="s">
        <v>630</v>
      </c>
      <c r="J133">
        <v>1</v>
      </c>
    </row>
    <row r="134" spans="9:10" ht="15" x14ac:dyDescent="0.25">
      <c r="I134" s="61" t="s">
        <v>631</v>
      </c>
      <c r="J134">
        <v>2</v>
      </c>
    </row>
    <row r="135" spans="9:10" ht="15" x14ac:dyDescent="0.25">
      <c r="I135" s="61" t="s">
        <v>632</v>
      </c>
      <c r="J135">
        <v>3</v>
      </c>
    </row>
    <row r="136" spans="9:10" ht="15" x14ac:dyDescent="0.25">
      <c r="I136" s="22" t="s">
        <v>633</v>
      </c>
      <c r="J136">
        <v>4</v>
      </c>
    </row>
    <row r="137" spans="9:10" ht="15" x14ac:dyDescent="0.25">
      <c r="I137" s="22" t="s">
        <v>634</v>
      </c>
      <c r="J137">
        <v>5</v>
      </c>
    </row>
    <row r="138" spans="9:10" ht="15" x14ac:dyDescent="0.25">
      <c r="I138" s="22" t="s">
        <v>635</v>
      </c>
      <c r="J138">
        <v>6</v>
      </c>
    </row>
    <row r="139" spans="9:10" ht="15" x14ac:dyDescent="0.25">
      <c r="I139" s="22" t="s">
        <v>6</v>
      </c>
      <c r="J139">
        <v>7</v>
      </c>
    </row>
    <row r="140" spans="9:10" ht="11.25" x14ac:dyDescent="0.25"/>
  </sheetData>
  <phoneticPr fontId="14" type="noConversion"/>
  <conditionalFormatting sqref="N7:N72">
    <cfRule type="containsText" dxfId="142" priority="1" operator="containsText" text="Reference">
      <formula>NOT(ISERROR(SEARCH("Reference",N7)))</formula>
    </cfRule>
    <cfRule type="containsText" dxfId="141" priority="2" operator="containsText" text="原始录入">
      <formula>NOT(ISERROR(SEARCH("原始录入",N7)))</formula>
    </cfRule>
    <cfRule type="containsText" dxfId="140" priority="3" operator="containsText" text="未">
      <formula>NOT(ISERROR(SEARCH("未",N7)))</formula>
    </cfRule>
  </conditionalFormatting>
  <pageMargins left="0.7" right="0.7" top="0.75" bottom="0.75" header="0.3" footer="0.3"/>
  <pageSetup orientation="portrait" r:id="rId1"/>
  <tableParts count="3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S15"/>
  <sheetViews>
    <sheetView workbookViewId="0">
      <selection activeCell="A2" sqref="A2"/>
    </sheetView>
  </sheetViews>
  <sheetFormatPr defaultRowHeight="15" x14ac:dyDescent="0.25"/>
  <cols>
    <col min="1" max="1" width="34.44140625" style="1" bestFit="1" customWidth="1"/>
    <col min="2" max="2" width="26.33203125" style="1" bestFit="1" customWidth="1"/>
    <col min="3" max="3" width="13.33203125" style="1" bestFit="1" customWidth="1"/>
    <col min="4" max="4" width="10.33203125" style="1" bestFit="1" customWidth="1"/>
    <col min="5" max="5" width="48.3320312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0.21875" style="1" bestFit="1" customWidth="1"/>
    <col min="13" max="13" width="10.33203125" style="1" bestFit="1" customWidth="1"/>
    <col min="14" max="14" width="31.5546875" style="1" bestFit="1" customWidth="1"/>
    <col min="15" max="15" width="36.44140625" style="1" bestFit="1" customWidth="1"/>
    <col min="16" max="16" width="31.5546875" style="1" bestFit="1" customWidth="1"/>
    <col min="17" max="17" width="12.5546875" style="1" bestFit="1" customWidth="1"/>
    <col min="18" max="18" width="9.21875" style="1" bestFit="1" customWidth="1"/>
    <col min="19" max="19" width="12.88671875" style="1" bestFit="1" customWidth="1"/>
    <col min="20" max="20" width="24.6640625" style="1" bestFit="1" customWidth="1"/>
    <col min="21" max="21" width="14.88671875" style="1" bestFit="1" customWidth="1"/>
    <col min="22" max="22" width="8" style="1" bestFit="1" customWidth="1"/>
    <col min="23" max="23" width="9.21875" style="1" bestFit="1" customWidth="1"/>
    <col min="24" max="24" width="12.6640625" style="1" bestFit="1" customWidth="1"/>
    <col min="25" max="25" width="7.6640625" style="1" bestFit="1" customWidth="1"/>
    <col min="26" max="26" width="5.8867187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2" width="9.21875" style="1" bestFit="1" customWidth="1"/>
    <col min="33" max="33" width="9.33203125" style="1" bestFit="1" customWidth="1"/>
    <col min="34" max="35" width="12.5546875" style="1" bestFit="1" customWidth="1"/>
    <col min="36" max="36" width="9.21875" style="1" bestFit="1" customWidth="1"/>
    <col min="37" max="37" width="9.44140625" style="1" bestFit="1" customWidth="1"/>
    <col min="38" max="38" width="9.21875" style="1" bestFit="1" customWidth="1"/>
    <col min="39" max="39" width="11" style="1" bestFit="1" customWidth="1"/>
    <col min="40" max="40" width="9.21875" style="1" bestFit="1" customWidth="1"/>
    <col min="41" max="41" width="12.5546875" style="1" bestFit="1" customWidth="1"/>
    <col min="42" max="43" width="10.88671875" style="1" bestFit="1" customWidth="1"/>
    <col min="44" max="44" width="80.88671875" style="1" bestFit="1" customWidth="1"/>
    <col min="45" max="45" width="8.33203125" style="1" bestFit="1" customWidth="1"/>
    <col min="46" max="46" width="12.5546875" style="1" bestFit="1" customWidth="1"/>
    <col min="47" max="47" width="9.21875" style="1" bestFit="1" customWidth="1"/>
    <col min="48" max="48" width="10.33203125" style="1" bestFit="1" customWidth="1"/>
    <col min="49" max="49" width="10.88671875" style="1" bestFit="1" customWidth="1"/>
    <col min="50" max="50" width="12.5546875" style="1" bestFit="1" customWidth="1"/>
    <col min="51" max="51" width="31.5546875" style="1" bestFit="1" customWidth="1"/>
    <col min="52" max="52" width="10.88671875" style="1" bestFit="1" customWidth="1"/>
    <col min="53" max="53" width="54.33203125" style="1" bestFit="1" customWidth="1"/>
    <col min="54" max="54" width="52.33203125" style="1" bestFit="1" customWidth="1"/>
    <col min="55" max="55" width="10.88671875" style="1" bestFit="1" customWidth="1"/>
    <col min="56" max="56" width="10.21875" style="1" bestFit="1" customWidth="1"/>
    <col min="57" max="57" width="10.33203125" style="1" bestFit="1" customWidth="1"/>
    <col min="58" max="58" width="19" style="1" bestFit="1" customWidth="1"/>
    <col min="59" max="60" width="80.88671875" style="1" bestFit="1" customWidth="1"/>
    <col min="61" max="61" width="10.88671875" style="1" bestFit="1" customWidth="1"/>
    <col min="62" max="67" width="9.21875" style="1" bestFit="1" customWidth="1"/>
    <col min="68" max="68" width="34.44140625" style="1" bestFit="1" customWidth="1"/>
    <col min="69" max="69" width="12.44140625" style="1" bestFit="1" customWidth="1"/>
    <col min="70" max="70" width="12" style="1" bestFit="1" customWidth="1"/>
    <col min="71" max="71" width="10.88671875" style="1" bestFit="1" customWidth="1"/>
    <col min="72" max="72" width="9.33203125" style="1" bestFit="1" customWidth="1"/>
    <col min="73" max="73" width="5.88671875" style="1" bestFit="1" customWidth="1"/>
    <col min="74" max="74" width="19.44140625" style="1" bestFit="1" customWidth="1"/>
    <col min="75" max="76" width="20" style="1" bestFit="1" customWidth="1"/>
    <col min="77" max="77" width="19.44140625" style="1" bestFit="1" customWidth="1"/>
    <col min="78" max="78" width="7.6640625" style="1" bestFit="1" customWidth="1"/>
    <col min="79" max="79" width="19.44140625" style="1" bestFit="1" customWidth="1"/>
    <col min="80" max="81" width="20.21875" style="1" bestFit="1" customWidth="1"/>
    <col min="82" max="86" width="19.33203125" style="1" bestFit="1" customWidth="1"/>
    <col min="87" max="87" width="6.109375" style="1" bestFit="1" customWidth="1"/>
    <col min="88" max="88" width="19.44140625" style="1" bestFit="1" customWidth="1"/>
    <col min="89" max="16384" width="8.88671875" style="1"/>
  </cols>
  <sheetData>
    <row r="1" spans="1:71" ht="67.5" customHeight="1" x14ac:dyDescent="0.25">
      <c r="A1" s="5" t="s">
        <v>198</v>
      </c>
    </row>
    <row r="2" spans="1:71" x14ac:dyDescent="0.25">
      <c r="A2" s="115" t="s">
        <v>602</v>
      </c>
    </row>
    <row r="4" spans="1:71" ht="93" customHeight="1" x14ac:dyDescent="0.25"/>
    <row r="6" spans="1:71" x14ac:dyDescent="0.25">
      <c r="D6" s="17"/>
      <c r="M6" s="17"/>
      <c r="AV6" s="17"/>
      <c r="AW6" s="17"/>
      <c r="AZ6" s="17"/>
      <c r="BC6" s="17"/>
      <c r="BE6" s="17"/>
      <c r="BS6" s="17"/>
    </row>
    <row r="7" spans="1:71" x14ac:dyDescent="0.25">
      <c r="D7" s="17"/>
      <c r="M7" s="17"/>
      <c r="AV7" s="17"/>
      <c r="AW7" s="17"/>
      <c r="AZ7" s="17"/>
      <c r="BC7" s="17"/>
      <c r="BE7" s="17"/>
      <c r="BS7" s="17"/>
    </row>
    <row r="8" spans="1:71" x14ac:dyDescent="0.25">
      <c r="D8" s="17"/>
      <c r="M8" s="17"/>
      <c r="AV8" s="17"/>
      <c r="AW8" s="17"/>
      <c r="AZ8" s="17"/>
      <c r="BC8" s="17"/>
      <c r="BE8" s="17"/>
      <c r="BS8" s="17"/>
    </row>
    <row r="9" spans="1:71" x14ac:dyDescent="0.25">
      <c r="D9" s="17"/>
      <c r="M9" s="17"/>
      <c r="AV9" s="17"/>
      <c r="AW9" s="17"/>
      <c r="AZ9" s="17"/>
      <c r="BC9" s="17"/>
      <c r="BE9" s="17"/>
      <c r="BS9" s="17"/>
    </row>
    <row r="10" spans="1:71" x14ac:dyDescent="0.25">
      <c r="D10" s="17"/>
      <c r="M10" s="17"/>
      <c r="AV10" s="17"/>
      <c r="AW10" s="17"/>
      <c r="AZ10" s="17"/>
      <c r="BC10" s="17"/>
      <c r="BE10" s="17"/>
      <c r="BS10" s="17"/>
    </row>
    <row r="11" spans="1:71" x14ac:dyDescent="0.25">
      <c r="D11" s="17"/>
      <c r="M11" s="17"/>
      <c r="AV11" s="17"/>
      <c r="AW11" s="17"/>
      <c r="AZ11" s="17"/>
      <c r="BC11" s="17"/>
      <c r="BE11" s="17"/>
      <c r="BS11" s="17"/>
    </row>
    <row r="12" spans="1:71" x14ac:dyDescent="0.25">
      <c r="D12" s="17"/>
      <c r="M12" s="17"/>
      <c r="AV12" s="17"/>
      <c r="AW12" s="17"/>
      <c r="AZ12" s="17"/>
      <c r="BC12" s="17"/>
      <c r="BE12" s="17"/>
      <c r="BS12" s="17"/>
    </row>
    <row r="13" spans="1:71" x14ac:dyDescent="0.25">
      <c r="D13" s="17"/>
      <c r="M13" s="17"/>
      <c r="AV13" s="17"/>
      <c r="AW13" s="17"/>
      <c r="AZ13" s="17"/>
      <c r="BC13" s="17"/>
      <c r="BE13" s="17"/>
      <c r="BS13" s="17"/>
    </row>
    <row r="14" spans="1:71" x14ac:dyDescent="0.25">
      <c r="D14" s="17"/>
      <c r="M14" s="17"/>
      <c r="AV14" s="17"/>
      <c r="AW14" s="17"/>
      <c r="AZ14" s="17"/>
      <c r="BC14" s="17"/>
      <c r="BE14" s="17"/>
      <c r="BS14" s="17"/>
    </row>
    <row r="15" spans="1:71" x14ac:dyDescent="0.25">
      <c r="D15" s="17"/>
      <c r="M15" s="17"/>
      <c r="AV15" s="17"/>
      <c r="AW15" s="17"/>
      <c r="AZ15" s="17"/>
      <c r="BC15" s="17"/>
      <c r="BE15" s="17"/>
      <c r="BS15" s="17"/>
    </row>
  </sheetData>
  <phoneticPr fontId="28" type="noConversion"/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P18"/>
  <sheetViews>
    <sheetView workbookViewId="0">
      <selection activeCell="D32" sqref="D32"/>
    </sheetView>
  </sheetViews>
  <sheetFormatPr defaultRowHeight="15" x14ac:dyDescent="0.25"/>
  <cols>
    <col min="1" max="1" width="33.109375" style="1" bestFit="1" customWidth="1"/>
    <col min="2" max="2" width="13.33203125" style="1" bestFit="1" customWidth="1"/>
    <col min="3" max="3" width="34.44140625" style="1" bestFit="1" customWidth="1"/>
    <col min="4" max="4" width="18.21875" style="1" bestFit="1" customWidth="1"/>
    <col min="5" max="5" width="9.21875" style="1" bestFit="1" customWidth="1"/>
    <col min="6" max="6" width="10.88671875" style="1" bestFit="1" customWidth="1"/>
    <col min="7" max="7" width="14.21875" style="1" bestFit="1" customWidth="1"/>
    <col min="8" max="8" width="11.109375" style="1" bestFit="1" customWidth="1"/>
    <col min="9" max="10" width="9.21875" style="1" bestFit="1" customWidth="1"/>
    <col min="11" max="11" width="31.88671875" style="1" bestFit="1" customWidth="1"/>
    <col min="12" max="12" width="52.33203125" style="1" bestFit="1" customWidth="1"/>
    <col min="13" max="13" width="14.21875" style="1" bestFit="1" customWidth="1"/>
    <col min="14" max="15" width="10.33203125" style="1" bestFit="1" customWidth="1"/>
    <col min="16" max="16" width="10.88671875" style="1" bestFit="1" customWidth="1"/>
    <col min="17" max="17" width="18.5546875" style="1" bestFit="1" customWidth="1"/>
    <col min="18" max="18" width="5.88671875" style="1" bestFit="1" customWidth="1"/>
    <col min="19" max="19" width="8" style="1" bestFit="1" customWidth="1"/>
    <col min="20" max="20" width="12" style="1" bestFit="1" customWidth="1"/>
    <col min="21" max="21" width="20" style="1" bestFit="1" customWidth="1"/>
    <col min="22" max="22" width="19.88671875" style="1" bestFit="1" customWidth="1"/>
    <col min="23" max="23" width="13.77734375" style="1" bestFit="1" customWidth="1"/>
    <col min="24" max="24" width="26.5546875" style="1" bestFit="1" customWidth="1"/>
    <col min="25" max="25" width="19.44140625" style="1" bestFit="1" customWidth="1"/>
    <col min="26" max="27" width="20.33203125" style="1" bestFit="1" customWidth="1"/>
    <col min="28" max="28" width="10.44140625" style="1" bestFit="1" customWidth="1"/>
    <col min="29" max="29" width="19.44140625" style="1" bestFit="1" customWidth="1"/>
    <col min="30" max="30" width="20.44140625" style="1" bestFit="1" customWidth="1"/>
    <col min="31" max="31" width="10.44140625" style="1" bestFit="1" customWidth="1"/>
    <col min="32" max="32" width="20.109375" style="1" bestFit="1" customWidth="1"/>
    <col min="33" max="33" width="17.44140625" style="1" bestFit="1" customWidth="1"/>
    <col min="34" max="34" width="10.44140625" style="1" bestFit="1" customWidth="1"/>
    <col min="35" max="35" width="17.44140625" style="1" bestFit="1" customWidth="1"/>
    <col min="36" max="36" width="13.33203125" style="1" bestFit="1" customWidth="1"/>
    <col min="37" max="37" width="10.21875" style="1" bestFit="1" customWidth="1"/>
    <col min="38" max="38" width="7.44140625" style="1" bestFit="1" customWidth="1"/>
    <col min="39" max="39" width="13.5546875" style="1" bestFit="1" customWidth="1"/>
    <col min="40" max="40" width="10.44140625" style="1" bestFit="1" customWidth="1"/>
    <col min="41" max="41" width="7.6640625" style="1" bestFit="1" customWidth="1"/>
    <col min="42" max="42" width="20.44140625" style="1" bestFit="1" customWidth="1"/>
    <col min="43" max="43" width="7.6640625" style="1" bestFit="1" customWidth="1"/>
    <col min="44" max="44" width="19.44140625" style="1" bestFit="1" customWidth="1"/>
    <col min="45" max="45" width="12.6640625" style="1" bestFit="1" customWidth="1"/>
    <col min="46" max="46" width="13.33203125" style="1" bestFit="1" customWidth="1"/>
    <col min="47" max="47" width="20.109375" style="1" bestFit="1" customWidth="1"/>
    <col min="48" max="48" width="20.21875" style="1" bestFit="1" customWidth="1"/>
    <col min="49" max="49" width="12.77734375" style="1" bestFit="1" customWidth="1"/>
    <col min="50" max="50" width="11.44140625" style="1" bestFit="1" customWidth="1"/>
    <col min="51" max="51" width="14.33203125" style="1" bestFit="1" customWidth="1"/>
    <col min="52" max="52" width="12.6640625" style="1" bestFit="1" customWidth="1"/>
    <col min="53" max="53" width="20.109375" style="1" bestFit="1" customWidth="1"/>
    <col min="54" max="54" width="21" style="1" bestFit="1" customWidth="1"/>
    <col min="55" max="55" width="12.21875" style="1" bestFit="1" customWidth="1"/>
    <col min="56" max="56" width="9.5546875" style="1" bestFit="1" customWidth="1"/>
    <col min="57" max="57" width="11.6640625" style="1" bestFit="1" customWidth="1"/>
    <col min="58" max="58" width="21" style="1" customWidth="1"/>
    <col min="59" max="59" width="11.6640625" style="1" customWidth="1"/>
    <col min="60" max="16384" width="8.88671875" style="1"/>
  </cols>
  <sheetData>
    <row r="1" spans="1:16" ht="67.5" customHeight="1" x14ac:dyDescent="0.25">
      <c r="A1" s="32" t="s">
        <v>322</v>
      </c>
    </row>
    <row r="2" spans="1:16" x14ac:dyDescent="0.25">
      <c r="A2" s="115" t="s">
        <v>602</v>
      </c>
    </row>
    <row r="6" spans="1:16" x14ac:dyDescent="0.25">
      <c r="A6" s="17"/>
      <c r="D6" s="117"/>
      <c r="N6" s="17"/>
      <c r="O6" s="17"/>
      <c r="P6" s="17"/>
    </row>
    <row r="7" spans="1:16" x14ac:dyDescent="0.25">
      <c r="A7" s="17"/>
      <c r="D7" s="117"/>
      <c r="N7" s="17"/>
      <c r="O7" s="17"/>
      <c r="P7" s="17"/>
    </row>
    <row r="8" spans="1:16" x14ac:dyDescent="0.25">
      <c r="A8" s="17"/>
      <c r="D8" s="117"/>
      <c r="N8" s="17"/>
      <c r="O8" s="17"/>
      <c r="P8" s="17"/>
    </row>
    <row r="9" spans="1:16" x14ac:dyDescent="0.25">
      <c r="A9" s="17"/>
      <c r="D9" s="117"/>
      <c r="N9" s="17"/>
      <c r="O9" s="17"/>
      <c r="P9" s="17"/>
    </row>
    <row r="10" spans="1:16" x14ac:dyDescent="0.25">
      <c r="A10" s="17"/>
      <c r="D10" s="117"/>
      <c r="N10" s="17"/>
      <c r="O10" s="17"/>
      <c r="P10" s="17"/>
    </row>
    <row r="11" spans="1:16" x14ac:dyDescent="0.25">
      <c r="A11" s="17"/>
      <c r="D11" s="117"/>
      <c r="N11" s="17"/>
      <c r="O11" s="17"/>
      <c r="P11" s="17"/>
    </row>
    <row r="12" spans="1:16" x14ac:dyDescent="0.25">
      <c r="A12" s="17"/>
      <c r="D12" s="117"/>
      <c r="N12" s="17"/>
      <c r="O12" s="17"/>
      <c r="P12" s="17"/>
    </row>
    <row r="13" spans="1:16" x14ac:dyDescent="0.25">
      <c r="A13" s="17"/>
      <c r="D13" s="117"/>
      <c r="N13" s="17"/>
      <c r="O13" s="17"/>
      <c r="P13" s="17"/>
    </row>
    <row r="14" spans="1:16" x14ac:dyDescent="0.25">
      <c r="A14" s="17"/>
      <c r="D14" s="117"/>
      <c r="N14" s="17"/>
      <c r="O14" s="17"/>
      <c r="P14" s="17"/>
    </row>
    <row r="15" spans="1:16" x14ac:dyDescent="0.25">
      <c r="A15" s="17"/>
      <c r="D15" s="117"/>
      <c r="N15" s="17"/>
      <c r="O15" s="17"/>
      <c r="P15" s="17"/>
    </row>
    <row r="16" spans="1:16" x14ac:dyDescent="0.25">
      <c r="A16" s="17"/>
      <c r="D16" s="117"/>
      <c r="N16" s="17"/>
      <c r="O16" s="17"/>
      <c r="P16" s="17"/>
    </row>
    <row r="17" spans="1:16" x14ac:dyDescent="0.25">
      <c r="A17" s="17"/>
      <c r="D17" s="117"/>
      <c r="N17" s="17"/>
      <c r="O17" s="17"/>
      <c r="P17" s="17"/>
    </row>
    <row r="18" spans="1:16" x14ac:dyDescent="0.25">
      <c r="A18" s="17"/>
      <c r="D18" s="117"/>
      <c r="N18" s="17"/>
      <c r="O18" s="17"/>
      <c r="P18" s="17"/>
    </row>
  </sheetData>
  <phoneticPr fontId="28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41</vt:i4>
      </vt:variant>
    </vt:vector>
  </HeadingPairs>
  <TitlesOfParts>
    <vt:vector size="54" baseType="lpstr">
      <vt:lpstr>DOWNLOAD</vt:lpstr>
      <vt:lpstr>load</vt:lpstr>
      <vt:lpstr>DLD_Add</vt:lpstr>
      <vt:lpstr>REVIEW_LIST</vt:lpstr>
      <vt:lpstr>【FINAL】</vt:lpstr>
      <vt:lpstr>wCurated</vt:lpstr>
      <vt:lpstr>wChart</vt:lpstr>
      <vt:lpstr>wCredit</vt:lpstr>
      <vt:lpstr>NEWs</vt:lpstr>
      <vt:lpstr>WeeklyAddTap</vt:lpstr>
      <vt:lpstr>MDM</vt:lpstr>
      <vt:lpstr>wDMI</vt:lpstr>
      <vt:lpstr>wBBG</vt:lpstr>
      <vt:lpstr>MDM!Criteria</vt:lpstr>
      <vt:lpstr>dd_BISL_ROLE</vt:lpstr>
      <vt:lpstr>dd_BOCOMJLM</vt:lpstr>
      <vt:lpstr>dd_byrtg</vt:lpstr>
      <vt:lpstr>dd_coverage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ESG</vt:lpstr>
      <vt:lpstr>GPS</vt:lpstr>
      <vt:lpstr>GPS_FileName</vt:lpstr>
      <vt:lpstr>IS_EXCH_FILTER</vt:lpstr>
      <vt:lpstr>ISIN_Search_ToClear</vt:lpstr>
      <vt:lpstr>Monday</vt:lpstr>
      <vt:lpstr>MultiSource</vt:lpstr>
      <vt:lpstr>Name</vt:lpstr>
      <vt:lpstr>UpdatorWeekly</vt:lpstr>
      <vt:lpstr>WeeklyAddTap</vt:lpstr>
      <vt:lpstr>WeeklyFilter</vt:lpstr>
      <vt:lpstr>wNews_Input_ToClear</vt:lpstr>
      <vt:lpstr>地方国企</vt:lpstr>
      <vt:lpstr>定价基准</vt:lpstr>
      <vt:lpstr>新闻分类</vt:lpstr>
      <vt:lpstr>新闻地区</vt:lpstr>
      <vt:lpstr>港分_Role</vt:lpstr>
      <vt:lpstr>澳门Filter</vt:lpstr>
      <vt:lpstr>金融机构</vt:lpstr>
      <vt:lpstr>银行</vt:lpstr>
      <vt:lpstr>非银</vt:lpstr>
      <vt:lpstr>香港Filter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2023-11-23T01:33:29Z</dcterms:modified>
</cp:coreProperties>
</file>