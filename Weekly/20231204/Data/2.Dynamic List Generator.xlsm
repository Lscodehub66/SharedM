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queryTables/queryTable12.xml" ContentType="application/vnd.openxmlformats-officedocument.spreadsheetml.query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6.xml" ContentType="application/vnd.openxmlformats-officedocument.drawing+xml"/>
  <Override PartName="/xl/tables/table19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7.xml" ContentType="application/vnd.openxmlformats-officedocument.drawing+xml"/>
  <Override PartName="/xl/tables/table20.xml" ContentType="application/vnd.openxmlformats-officedocument.spreadsheetml.table+xml"/>
  <Override PartName="/xl/drawings/drawing8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queryTables/queryTable17.xml" ContentType="application/vnd.openxmlformats-officedocument.spreadsheetml.queryTable+xml"/>
  <Override PartName="/xl/tables/table28.xml" ContentType="application/vnd.openxmlformats-officedocument.spreadsheetml.table+xml"/>
  <Override PartName="/xl/queryTables/queryTable18.xml" ContentType="application/vnd.openxmlformats-officedocument.spreadsheetml.queryTable+xml"/>
  <Override PartName="/xl/tables/table29.xml" ContentType="application/vnd.openxmlformats-officedocument.spreadsheetml.table+xml"/>
  <Override PartName="/xl/queryTables/queryTable19.xml" ContentType="application/vnd.openxmlformats-officedocument.spreadsheetml.queryTable+xml"/>
  <Override PartName="/xl/tables/table30.xml" ContentType="application/vnd.openxmlformats-officedocument.spreadsheetml.table+xml"/>
  <Override PartName="/xl/queryTables/queryTable20.xml" ContentType="application/vnd.openxmlformats-officedocument.spreadsheetml.queryTable+xml"/>
  <Override PartName="/xl/tables/table31.xml" ContentType="application/vnd.openxmlformats-officedocument.spreadsheetml.table+xml"/>
  <Override PartName="/xl/queryTables/queryTable21.xml" ContentType="application/vnd.openxmlformats-officedocument.spreadsheetml.queryTable+xml"/>
  <Override PartName="/xl/tables/table32.xml" ContentType="application/vnd.openxmlformats-officedocument.spreadsheetml.table+xml"/>
  <Override PartName="/xl/queryTables/queryTable22.xml" ContentType="application/vnd.openxmlformats-officedocument.spreadsheetml.queryTable+xml"/>
  <Override PartName="/xl/tables/table33.xml" ContentType="application/vnd.openxmlformats-officedocument.spreadsheetml.table+xml"/>
  <Override PartName="/xl/queryTables/queryTable23.xml" ContentType="application/vnd.openxmlformats-officedocument.spreadsheetml.queryTable+xml"/>
  <Override PartName="/xl/tables/table34.xml" ContentType="application/vnd.openxmlformats-officedocument.spreadsheetml.table+xml"/>
  <Override PartName="/xl/queryTables/queryTable24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25.xml" ContentType="application/vnd.openxmlformats-officedocument.spreadsheetml.queryTable+xml"/>
  <Override PartName="/xl/tables/table37.xml" ContentType="application/vnd.openxmlformats-officedocument.spreadsheetml.table+xml"/>
  <Override PartName="/xl/queryTables/queryTable26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27.xml" ContentType="application/vnd.openxmlformats-officedocument.spreadsheetml.query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28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queryTables/queryTable29.xml" ContentType="application/vnd.openxmlformats-officedocument.spreadsheetml.queryTable+xml"/>
  <Override PartName="/xl/tables/table57.xml" ContentType="application/vnd.openxmlformats-officedocument.spreadsheetml.table+xml"/>
  <Override PartName="/xl/queryTables/queryTable30.xml" ContentType="application/vnd.openxmlformats-officedocument.spreadsheetml.queryTable+xml"/>
  <Override PartName="/xl/tables/table58.xml" ContentType="application/vnd.openxmlformats-officedocument.spreadsheetml.table+xml"/>
  <Override PartName="/xl/queryTables/queryTable31.xml" ContentType="application/vnd.openxmlformats-officedocument.spreadsheetml.queryTable+xml"/>
  <Override PartName="/xl/tables/table59.xml" ContentType="application/vnd.openxmlformats-officedocument.spreadsheetml.table+xml"/>
  <Override PartName="/xl/queryTables/queryTable32.xml" ContentType="application/vnd.openxmlformats-officedocument.spreadsheetml.queryTable+xml"/>
  <Override PartName="/xl/tables/table60.xml" ContentType="application/vnd.openxmlformats-officedocument.spreadsheetml.table+xml"/>
  <Override PartName="/xl/queryTables/queryTable33.xml" ContentType="application/vnd.openxmlformats-officedocument.spreadsheetml.queryTable+xml"/>
  <Override PartName="/xl/tables/table61.xml" ContentType="application/vnd.openxmlformats-officedocument.spreadsheetml.table+xml"/>
  <Override PartName="/xl/queryTables/queryTable34.xml" ContentType="application/vnd.openxmlformats-officedocument.spreadsheetml.queryTable+xml"/>
  <Override PartName="/xl/tables/table62.xml" ContentType="application/vnd.openxmlformats-officedocument.spreadsheetml.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Team Folder\Execution Team\Weekly\20231204\Data\"/>
    </mc:Choice>
  </mc:AlternateContent>
  <xr:revisionPtr revIDLastSave="0" documentId="13_ncr:1_{594C4E4E-FEF4-4C89-8E0D-1271CC58EC9E}" xr6:coauthVersionLast="36" xr6:coauthVersionMax="47" xr10:uidLastSave="{00000000-0000-0000-0000-000000000000}"/>
  <bookViews>
    <workbookView xWindow="-120" yWindow="-120" windowWidth="29040" windowHeight="15720" tabRatio="594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【FINAL】" sheetId="57" r:id="rId5"/>
    <sheet name="wCurated" sheetId="48" state="hidden" r:id="rId6"/>
    <sheet name="wChart" sheetId="58" state="hidden" r:id="rId7"/>
    <sheet name="wCredit" sheetId="46" state="hidden" r:id="rId8"/>
    <sheet name="NEWs" sheetId="59" r:id="rId9"/>
    <sheet name="WeeklyAddTap" sheetId="53" r:id="rId10"/>
    <sheet name="MDM" sheetId="27" r:id="rId11"/>
    <sheet name="wDMI" sheetId="42" state="hidden" r:id="rId12"/>
    <sheet name="wBBG" sheetId="49" state="hidden" r:id="rId13"/>
  </sheets>
  <definedNames>
    <definedName name="_xlnm._FilterDatabase" localSheetId="10" hidden="1">MDM!#REF!</definedName>
    <definedName name="_xlnm.Criteria" localSheetId="10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备证行全称[备证行全称]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4" hidden="1">【FINAL】!$B$6:$CM$37</definedName>
    <definedName name="ExternalData_1" localSheetId="10" hidden="1">MDM!$I$22:$J$28</definedName>
    <definedName name="ExternalData_1" localSheetId="3" hidden="1">REVIEW_LIST!$BT$3:$BU$100</definedName>
    <definedName name="ExternalData_1" localSheetId="5" hidden="1">wCurated!$A$4:$AZ$23</definedName>
    <definedName name="ExternalData_1" localSheetId="9" hidden="1">WeeklyAddTap!$B$4:$K$6</definedName>
    <definedName name="ExternalData_10" localSheetId="10" hidden="1">MDM!$D$41:$D$92</definedName>
    <definedName name="ExternalData_11" localSheetId="0" hidden="1">DOWNLOAD!#REF!</definedName>
    <definedName name="ExternalData_11" localSheetId="10" hidden="1">MDM!$D$6:$D$39</definedName>
    <definedName name="ExternalData_12" localSheetId="10" hidden="1">MDM!$M$6:$N$72</definedName>
    <definedName name="ExternalData_13" localSheetId="10" hidden="1">MDM!$P$6:$P$57</definedName>
    <definedName name="ExternalData_14" localSheetId="10" hidden="1">MDM!$D$106:$D$114</definedName>
    <definedName name="ExternalData_15" localSheetId="10" hidden="1">MDM!$I$68:$J$73</definedName>
    <definedName name="ExternalData_16" localSheetId="10" hidden="1">MDM!$I$75:$J$81</definedName>
    <definedName name="ExternalData_17" localSheetId="10" hidden="1">MDM!$I$83:$J$96</definedName>
    <definedName name="ExternalData_18" localSheetId="0" hidden="1">DOWNLOAD!#REF!</definedName>
    <definedName name="ExternalData_18" localSheetId="10" hidden="1">MDM!$I$98:$J$101</definedName>
    <definedName name="ExternalData_19" localSheetId="0" hidden="1">DOWNLOAD!#REF!</definedName>
    <definedName name="ExternalData_19" localSheetId="1" hidden="1">load!$P$5:$AH$24</definedName>
    <definedName name="ExternalData_19" localSheetId="10" hidden="1">MDM!$I$103:$J$110</definedName>
    <definedName name="ExternalData_2" localSheetId="1" hidden="1">load!$AL$5:$AZ$9</definedName>
    <definedName name="ExternalData_2" localSheetId="10" hidden="1">MDM!$I$13:$J$20</definedName>
    <definedName name="ExternalData_2" localSheetId="9" hidden="1">WeeklyAddTap!$B$15:$C$47</definedName>
    <definedName name="ExternalData_20" localSheetId="0" hidden="1">DOWNLOAD!$H$16:$H$17</definedName>
    <definedName name="ExternalData_20" localSheetId="10" hidden="1">MDM!$I$112:$J$119</definedName>
    <definedName name="ExternalData_21" localSheetId="0" hidden="1">DOWNLOAD!$C$20:$C$22</definedName>
    <definedName name="ExternalData_21" localSheetId="1" hidden="1">load!$BD$5:$BM$6</definedName>
    <definedName name="ExternalData_21" localSheetId="10" hidden="1">MDM!$I$121:$J$130</definedName>
    <definedName name="ExternalData_22" localSheetId="1" hidden="1">load!$B$5:$L$24</definedName>
    <definedName name="ExternalData_22" localSheetId="10" hidden="1">MDM!$I$132:$J$139</definedName>
    <definedName name="ExternalData_23" localSheetId="2" hidden="1">DLD_Add!$A$6:$DE$37</definedName>
    <definedName name="ExternalData_23" localSheetId="0" hidden="1">DOWNLOAD!$CX$15:$DE$97</definedName>
    <definedName name="ExternalData_23" localSheetId="1" hidden="1">load!#REF!</definedName>
    <definedName name="ExternalData_23" localSheetId="6" hidden="1">wChart!$A$2:$L$14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26" localSheetId="0" hidden="1">DOWNLOAD!$J$15:$CS$45</definedName>
    <definedName name="ExternalData_3" localSheetId="1" hidden="1">load!#REF!</definedName>
    <definedName name="ExternalData_3" localSheetId="10" hidden="1">MDM!$I$30:$J$36</definedName>
    <definedName name="ExternalData_5" localSheetId="10" hidden="1">MDM!$I$6:$J$10</definedName>
    <definedName name="ExternalData_5" localSheetId="5" hidden="1">wCurated!$A$4:$BV$14</definedName>
    <definedName name="ExternalData_6" localSheetId="10" hidden="1">MDM!$I$60:$J$66</definedName>
    <definedName name="ExternalData_7" localSheetId="10" hidden="1">MDM!$D$95:$D$104</definedName>
    <definedName name="ExternalData_8" localSheetId="10" hidden="1">MDM!$I$38:$J$49</definedName>
    <definedName name="ExternalData_9" localSheetId="10" hidden="1">MDM!$I$51:$J$58</definedName>
    <definedName name="ExternalData_9" localSheetId="7" hidden="1">wCredit!$A$4:$N$8</definedName>
    <definedName name="GPS">MDM!$A$1</definedName>
    <definedName name="GPS_FileName">MDM!$B$1</definedName>
    <definedName name="IS_EXCH_FILTER">DOWNLOAD!$C$6</definedName>
    <definedName name="ISIN_Search_ToClear">ISIN_Search[[信用主体(备证行)]:[品种主题]]</definedName>
    <definedName name="Monday">DOWNLOAD!$C$4</definedName>
    <definedName name="MultiSource">DOWNLOAD!$C$8</definedName>
    <definedName name="Name">load!$U$4</definedName>
    <definedName name="UpdatorWeekly">DOWNLOAD!$C$5</definedName>
    <definedName name="WeeklyAddTap">DOWNLOAD!$C$9</definedName>
    <definedName name="WeeklyFilter">DOWNLOAD!$C$7</definedName>
    <definedName name="wNews_Input_ToClear">wNews_Input[[新闻]:[来源]]</definedName>
    <definedName name="地方国企">dd_地方国企[地方国企]</definedName>
    <definedName name="定价基准">dd_定价基准[定价基准]</definedName>
    <definedName name="新闻分类">dd_新闻分类[新闻分类]</definedName>
    <definedName name="新闻地区">dd_新闻地区[新闻地区]</definedName>
    <definedName name="港分_Role">dd_港分_ROLE[港分_ROLE]</definedName>
    <definedName name="金融机构">dd_金融机构[金融机构]</definedName>
    <definedName name="银行">dd_银行[银行]</definedName>
    <definedName name="非银">dd_非银[非银]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27" l="1"/>
  <c r="S9" i="27"/>
  <c r="S8" i="27"/>
  <c r="S7" i="27"/>
  <c r="B1" i="27"/>
  <c r="A1" i="27"/>
  <c r="U4" i="23"/>
  <c r="E1" i="23"/>
  <c r="F1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S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2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3" xr16:uid="{B3B62E69-AEDF-481D-90D5-26B3630864B0}" keepAlive="1" name="Query - Controller" description="Connection to the 'Controller' query in the workbook." type="5" refreshedVersion="0" background="1">
    <dbPr connection="Provider=Microsoft.Mashup.OleDb.1;Data Source=$Workbook$;Location=Controller;Extended Properties=&quot;&quot;" command="SELECT * FROM [Controller]"/>
  </connection>
  <connection id="4" xr16:uid="{54072881-5248-47E6-B83A-EAE44B854E8B}" keepAlive="1" name="Query - CSOE_SASAC" description="Connection to the 'CSOE_SASAC' query in the workbook." type="5" refreshedVersion="6" background="1" saveData="1">
    <dbPr connection="Provider=Microsoft.Mashup.OleDb.1;Data Source=$Workbook$;Location=CSOE_SASAC;Extended Properties=&quot;&quot;" command="SELECT * FROM [CSOE_SASAC]"/>
  </connection>
  <connection id="5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6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7" xr16:uid="{D94501B7-36C7-43DD-BAA7-D653A0431B62}" keepAlive="1" name="Query - dd_地方国企" description="Connection to the 'dd_地方国企' query in the workbook." type="5" refreshedVersion="6" background="1" saveData="1">
    <dbPr connection="Provider=Microsoft.Mashup.OleDb.1;Data Source=$Workbook$;Location=dd_地方国企;Extended Properties=&quot;&quot;" command="SELECT * FROM [dd_地方国企]"/>
  </connection>
  <connection id="8" xr16:uid="{014FB800-D38C-4744-B615-85DCAAA604B9}" keepAlive="1" name="Query - dd_地方平台" description="Connection to the 'dd_地方平台' query in the workbook." type="5" refreshedVersion="6" background="1" saveData="1">
    <dbPr connection="Provider=Microsoft.Mashup.OleDb.1;Data Source=$Workbook$;Location=dd_地方平台;Extended Properties=&quot;&quot;" command="SELECT * FROM [dd_地方平台]"/>
  </connection>
  <connection id="9" xr16:uid="{FA72B548-B6E5-45D5-888C-62C886BAEC1F}" keepAlive="1" name="Query - dd_定价基准" description="Connection to the 'dd_定价基准' query in the workbook." type="5" refreshedVersion="6" background="1" saveData="1">
    <dbPr connection="Provider=Microsoft.Mashup.OleDb.1;Data Source=$Workbook$;Location=dd_定价基准;Extended Properties=&quot;&quot;" command="SELECT * FROM [dd_定价基准]"/>
  </connection>
  <connection id="10" xr16:uid="{04EC04FB-EA39-41C9-880E-D310A67759CB}" keepAlive="1" name="Query - dd_港分_ROLE" description="Connection to the 'dd_港分_ROLE' query in the workbook." type="5" refreshedVersion="6" background="1" saveData="1">
    <dbPr connection="Provider=Microsoft.Mashup.OleDb.1;Data Source=$Workbook$;Location=dd_港分_ROLE;Extended Properties=&quot;&quot;" command="SELECT * FROM [dd_港分_ROLE]"/>
  </connection>
  <connection id="11" xr16:uid="{94FD74BE-F408-4DAE-BC87-0B84EE3BF611}" keepAlive="1" name="Query - dd_金融机构" description="Connection to the 'dd_金融机构' query in the workbook." type="5" refreshedVersion="6" background="1" saveData="1">
    <dbPr connection="Provider=Microsoft.Mashup.OleDb.1;Data Source=$Workbook$;Location=dd_金融机构;Extended Properties=&quot;&quot;" command="SELECT * FROM [dd_金融机构]"/>
  </connection>
  <connection id="12" xr16:uid="{070CC118-65C4-4543-A807-EDB092163675}" keepAlive="1" name="Query - dd_银行" description="Connection to the 'dd_银行' query in the workbook." type="5" refreshedVersion="6" background="1" saveData="1">
    <dbPr connection="Provider=Microsoft.Mashup.OleDb.1;Data Source=$Workbook$;Location=dd_银行;Extended Properties=&quot;&quot;" command="SELECT * FROM [dd_银行]"/>
  </connection>
  <connection id="13" xr16:uid="{766544A9-5F39-4A4A-A690-AC43A0CBD112}" keepAlive="1" name="Query - dd_非银" description="Connection to the 'dd_非银' query in the workbook." type="5" refreshedVersion="6" background="1" saveData="1">
    <dbPr connection="Provider=Microsoft.Mashup.OleDb.1;Data Source=$Workbook$;Location=dd_非银;Extended Properties=&quot;&quot;" command="SELECT * FROM [dd_非银]"/>
  </connection>
  <connection id="14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5" xr16:uid="{B4C9D457-3E61-492F-833F-377DEFF635B1}" keepAlive="1" name="Query - DEALs_MASTERPQ" description="Connection to the 'DEALs_MASTERPQ' query in the workbook." type="5" refreshedVersion="6" background="1">
    <dbPr connection="Provider=Microsoft.Mashup.OleDb.1;Data Source=$Workbook$;Location=DEALs_MASTERPQ;Extended Properties=&quot;&quot;" command="SELECT * FROM [DEALs_MASTERPQ]"/>
  </connection>
  <connection id="16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7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18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19" xr16:uid="{5223AE51-58CA-4B4C-87C7-8490764DD6CC}" keepAlive="1" name="Query - DLD_Add" description="Connection to the 'DLD_Add' query in the workbook." type="5" refreshedVersion="6" background="1" saveData="1">
    <dbPr connection="Provider=Microsoft.Mashup.OleDb.1;Data Source=$Workbook$;Location=DLD_Add;Extended Properties=&quot;&quot;" command="SELECT * FROM [DLD_Add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9000000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D95A09C9-7CB9-478E-9D74-18319DB5D68C}" keepAlive="1" name="Query - DLD_DEALs" description="Connection to the 'DLD_DEALs' query in the workbook." type="5" refreshedVersion="0" background="1" saveData="1">
    <dbPr connection="Provider=Microsoft.Mashup.OleDb.1;Data Source=$Workbook$;Location=DLD_DEALs;Extended Properties=&quot;&quot;" command="SELECT * FROM [DLD_DEALs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25" xr16:uid="{00000000-0015-0000-FFFF-FFFF33000000}" keepAlive="1" name="Query - DLD_QRC_23" description="Connection to the 'DLD_QRC_23' query in the workbook." type="5" refreshedVersion="6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3E0A6FC5-BDF3-4C8C-9C97-5B6F5B25B772}" keepAlive="1" name="Query - DMI_ChangedColumn" description="Connection to the 'DMI_ChangedColumn' query in the workbook." type="5" refreshedVersion="6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E625B8BF-BE23-4834-A971-DD1142ED5E96}" keepAlive="1" name="Query - DMI_NewColumn" description="Connection to the 'DMI_NewColumn' query in the workbook." type="5" refreshedVersion="6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00000000-0015-0000-FFFF-FFFF0D000000}" keepAlive="1" name="Query - fx" description="Connection to the 'fx' query in the workbook." type="5" refreshedVersion="0" background="1">
    <dbPr connection="Provider=Microsoft.Mashup.OleDb.1;Data Source=$Workbook$;Location=fx;Extended Properties=&quot;&quot;" command="SELECT * FROM [fx]"/>
  </connection>
  <connection id="35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6" xr16:uid="{B5A33C46-30A6-448A-B2E9-624B9CDBE4A4}" keepAlive="1" name="Query - fxExcel_Debug" description="Connection to the 'fxExcel_Debug' query in the workbook." type="5" refreshedVersion="6" background="1" saveData="1">
    <dbPr connection="Provider=Microsoft.Mashup.OleDb.1;Data Source=$Workbook$;Location=fxExcel_Debug;Extended Properties=&quot;&quot;" command="SELECT * FROM [fxExcel_Debug]"/>
  </connection>
  <connection id="3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38" xr16:uid="{946D9EB5-C291-4728-AFD2-329689AA3D95}" keepAlive="1" name="Query - fxSource_Debug" description="Connection to the 'fxSource_Debug' query in the workbook." type="5" refreshedVersion="0" background="1">
    <dbPr connection="Provider=Microsoft.Mashup.OleDb.1;Data Source=$Workbook$;Location=fxSource_Debug;Extended Properties=&quot;&quot;" command="SELECT * FROM [fxSource_Debug]"/>
  </connection>
  <connection id="39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40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41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42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43" xr16:uid="{7AA4B715-AEC3-4585-B436-228D758A7919}" keepAlive="1" name="Query - ISIN_Search" description="Connection to the 'ISIN_Search' query in the workbook." type="5" refreshedVersion="6" background="1" saveData="1">
    <dbPr connection="Provider=Microsoft.Mashup.OleDb.1;Data Source=$Workbook$;Location=ISIN_Search;Extended Properties=&quot;&quot;" command="SELECT * FROM [ISIN_Search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988A0A5B-BE38-453C-A960-2160EAC47143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45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46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4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4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49" xr16:uid="{37E886E7-3555-40D0-87C0-23B9D1E8DA68}" keepAlive="1" name="Query - OVRDMonday" description="Connection to the 'OVRDMonday' query in the workbook." type="5" refreshedVersion="0" background="1">
    <dbPr connection="Provider=Microsoft.Mashup.OleDb.1;Data Source=$Workbook$;Location=OVRDMonday;Extended Properties=&quot;&quot;" command="SELECT * FROM [OVRDMonday]"/>
  </connection>
  <connection id="50" xr16:uid="{2B37D559-24C2-410E-B6ED-5B3135229924}" keepAlive="1" name="Query - OVRDMulti" description="Connection to the 'OVRDMulti' query in the workbook." type="5" refreshedVersion="0" background="1">
    <dbPr connection="Provider=Microsoft.Mashup.OleDb.1;Data Source=$Workbook$;Location=OVRDMulti;Extended Properties=&quot;&quot;" command="SELECT * FROM [OVRDMulti]"/>
  </connection>
  <connection id="51" xr16:uid="{19D1300C-0BAB-4E05-B057-6BE735762337}" keepAlive="1" name="Query - OVRDwFilter" description="Connection to the 'OVRDwFilter' query in the workbook." type="5" refreshedVersion="0" background="1">
    <dbPr connection="Provider=Microsoft.Mashup.OleDb.1;Data Source=$Workbook$;Location=OVRDwFilter;Extended Properties=&quot;&quot;" command="SELECT * FROM [OVRDwFilter]"/>
  </connection>
  <connection id="52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53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54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55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56" xr16:uid="{D68969FF-6704-4B2B-99CF-16282417B94C}" keepAlive="1" name="Query - wAddTap" description="Connection to the 'wAddTap' query in the workbook." type="5" refreshedVersion="6" background="1" saveData="1">
    <dbPr connection="Provider=Microsoft.Mashup.OleDb.1;Data Source=$Workbook$;Location=wAddTap;Extended Properties=&quot;&quot;" command="SELECT * FROM [wAddTap]"/>
    <extLst>
      <ext xmlns:x15="http://schemas.microsoft.com/office/spreadsheetml/2010/11/main" uri="{DE250136-89BD-433C-8126-D09CA5730AF9}">
        <x15:connection id="" excludeFromRefreshAll="1"/>
      </ext>
    </extLst>
  </connection>
  <connection id="57" xr16:uid="{8B65B2A6-19D7-4DA1-BA05-6166BEE851FF}" keepAlive="1" name="Query - wAddTapPQ" description="Connection to the 'wAddTapPQ' query in the workbook." type="5" refreshedVersion="0" background="1" saveData="1">
    <dbPr connection="Provider=Microsoft.Mashup.OleDb.1;Data Source=$Workbook$;Location=wAddTapPQ;Extended Properties=&quot;&quot;" command="SELECT * FROM [wAddTapPQ]"/>
    <extLst>
      <ext xmlns:x15="http://schemas.microsoft.com/office/spreadsheetml/2010/11/main" uri="{DE250136-89BD-433C-8126-D09CA5730AF9}">
        <x15:connection id="" excludeFromRefreshAll="1"/>
      </ext>
    </extLst>
  </connection>
  <connection id="58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59" xr16:uid="{971827E1-6218-481A-91E3-33399F88EAA3}" keepAlive="1" name="Query - wChart" description="Connection to the 'wChart' query in the workbook." type="5" refreshedVersion="6" background="1" saveData="1">
    <dbPr connection="Provider=Microsoft.Mashup.OleDb.1;Data Source=$Workbook$;Location=wChart;Extended Properties=&quot;&quot;" command="SELECT * FROM [wChart]"/>
  </connection>
  <connection id="60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61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62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63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64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65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66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67" xr16:uid="{11B12458-3054-4656-B5A0-28E39A6B7A7E}" keepAlive="1" name="Query - 备证行全称" description="Connection to the '备证行全称' query in the workbook." type="5" refreshedVersion="6" background="1" saveData="1">
    <dbPr connection="Provider=Microsoft.Mashup.OleDb.1;Data Source=$Workbook$;Location=备证行全称;Extended Properties=&quot;&quot;" command="SELECT * FROM [备证行全称]"/>
  </connection>
  <connection id="68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69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70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71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<sst xmlns="http://schemas.openxmlformats.org/spreadsheetml/2006/main" count="10373" uniqueCount="1528">
  <si>
    <t>KT</t>
  </si>
  <si>
    <t>城投</t>
  </si>
  <si>
    <t>其他</t>
  </si>
  <si>
    <t>地产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</si>
  <si>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</si>
  <si>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</si>
  <si>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</si>
  <si>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</si>
  <si>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</si>
  <si>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</si>
  <si>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</si>
  <si>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</si>
  <si>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</si>
  <si>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</si>
  <si>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</si>
  <si>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</si>
  <si>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</si>
  <si>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</si>
  <si>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</si>
  <si>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</si>
  <si>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</si>
  <si>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</si>
  <si>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</si>
  <si>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</si>
  <si>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</si>
  <si>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</si>
  <si>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</si>
  <si>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</si>
  <si>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</si>
  <si>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</si>
  <si>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</si>
  <si>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</si>
  <si>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</si>
  <si>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</si>
  <si>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</si>
  <si>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</si>
  <si>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</si>
  <si>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</si>
  <si>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</si>
  <si>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</si>
  <si>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</si>
  <si>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</si>
  <si>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</si>
  <si>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</si>
  <si>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</si>
  <si>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</si>
  <si>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</si>
  <si>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</si>
  <si>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</si>
  <si>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</si>
  <si>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</si>
  <si>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</si>
  <si>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</si>
  <si>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</si>
  <si>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</si>
  <si>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</si>
  <si>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</si>
  <si>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</si>
  <si>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</si>
  <si>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</si>
  <si>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</si>
  <si>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</si>
  <si>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</si>
  <si>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</si>
  <si>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</si>
  <si>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</si>
  <si>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</si>
  <si>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</si>
  <si>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</si>
  <si>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</si>
  <si>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</si>
  <si>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</si>
  <si>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</si>
  <si>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</si>
  <si>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</si>
  <si>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</si>
  <si>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</si>
  <si>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</si>
  <si>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</si>
  <si>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</si>
  <si>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</si>
  <si>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</si>
  <si>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</si>
  <si>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</si>
  <si>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</si>
  <si>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</si>
  <si>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</si>
  <si>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</si>
  <si>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</si>
  <si>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</si>
  <si>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</si>
  <si>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</si>
  <si>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</si>
  <si>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</si>
  <si>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</si>
  <si>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</si>
  <si>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</si>
  <si>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</si>
  <si>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</si>
  <si>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</si>
  <si>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</si>
  <si>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</si>
  <si>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</si>
  <si>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</si>
  <si>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</si>
  <si>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</si>
  <si>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</si>
  <si>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</si>
  <si>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</si>
  <si>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</si>
  <si>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</si>
  <si>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</si>
  <si>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</si>
  <si>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定价息差</t>
  </si>
  <si>
    <t>票息</t>
  </si>
  <si>
    <t>M6</t>
  </si>
  <si>
    <t>认购额(亿)</t>
  </si>
  <si>
    <t>IG</t>
  </si>
  <si>
    <t>HY</t>
  </si>
  <si>
    <t>发行评级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</si>
  <si>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</si>
  <si>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</si>
  <si>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</si>
  <si>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</si>
  <si>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</si>
  <si>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</si>
  <si>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</si>
  <si>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</si>
  <si>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</si>
  <si>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JBR</t>
  </si>
  <si>
    <t>JGC</t>
  </si>
  <si>
    <t>3</t>
  </si>
  <si>
    <t>定价</t>
  </si>
  <si>
    <t>信用主体(备证行)</t>
  </si>
  <si>
    <t>收窄基点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</si>
  <si>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</si>
  <si>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</si>
  <si>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</si>
  <si>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</si>
  <si>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</si>
  <si>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</si>
  <si>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</si>
  <si>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</si>
  <si>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</si>
  <si>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</si>
  <si>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</si>
  <si>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SCMI</t>
  </si>
  <si>
    <t>FI组</t>
  </si>
  <si>
    <t>PROJECT_CODE</t>
  </si>
  <si>
    <t>OC</t>
  </si>
  <si>
    <t>SOE组</t>
  </si>
  <si>
    <t>港分_ROLE</t>
  </si>
  <si>
    <t>澳分_ROLE</t>
  </si>
  <si>
    <t>Project Name</t>
  </si>
  <si>
    <t>Co-Manager</t>
  </si>
  <si>
    <t>PA</t>
  </si>
  <si>
    <t>NSCMI</t>
  </si>
  <si>
    <t>POE组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</si>
  <si>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</si>
  <si>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</si>
  <si>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</si>
  <si>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</si>
  <si>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</si>
  <si>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</si>
  <si>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</si>
  <si>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</si>
  <si>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</si>
  <si>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</si>
  <si>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</si>
  <si>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</si>
  <si>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</si>
  <si>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</si>
  <si>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</si>
  <si>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期限备注</t>
  </si>
  <si>
    <t>亿港币</t>
  </si>
  <si>
    <t>SGC</t>
  </si>
  <si>
    <t>Dealer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</si>
  <si>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</si>
  <si>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</si>
  <si>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</si>
  <si>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</si>
  <si>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</si>
  <si>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</si>
  <si>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</si>
  <si>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</si>
  <si>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</si>
  <si>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</si>
  <si>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</si>
  <si>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</si>
  <si>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</si>
  <si>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</si>
  <si>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</si>
  <si>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</si>
  <si>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</si>
  <si>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</si>
  <si>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</si>
  <si>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英文简称</t>
  </si>
  <si>
    <t>发行架构</t>
  </si>
  <si>
    <t>DMI</t>
  </si>
  <si>
    <t>项目名称（集团全称）</t>
  </si>
  <si>
    <t>担任角色</t>
  </si>
  <si>
    <t>项目定价日</t>
  </si>
  <si>
    <t>QRC台账</t>
  </si>
  <si>
    <t>CN</t>
  </si>
  <si>
    <t>澳交所</t>
  </si>
  <si>
    <t>增发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</si>
  <si>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</si>
  <si>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</si>
  <si>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</si>
  <si>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</si>
  <si>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</si>
  <si>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</si>
  <si>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</si>
  <si>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</si>
  <si>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</si>
  <si>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</si>
  <si>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</si>
  <si>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Name</t>
  </si>
  <si>
    <t>刘嘉西</t>
  </si>
  <si>
    <t>孙颖芝</t>
  </si>
  <si>
    <t>余烨洁</t>
  </si>
  <si>
    <t>PRJ对账号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</si>
  <si>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</si>
  <si>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</si>
  <si>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</si>
  <si>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</si>
  <si>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</si>
  <si>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</si>
  <si>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</si>
  <si>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</si>
  <si>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</si>
  <si>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</si>
  <si>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</si>
  <si>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备证+担保+维好</t>
  </si>
  <si>
    <t>Stats</t>
  </si>
  <si>
    <t>Column1</t>
  </si>
  <si>
    <t>未检测到DMI列名有更改</t>
  </si>
  <si>
    <t>Column2</t>
  </si>
  <si>
    <t>添加增发方式</t>
  </si>
  <si>
    <t>原始ISIN</t>
  </si>
  <si>
    <t>增发ISIN</t>
  </si>
  <si>
    <t>IPT</t>
  </si>
  <si>
    <t>绿色债券</t>
  </si>
  <si>
    <t>发行规则</t>
  </si>
  <si>
    <t>新发</t>
  </si>
  <si>
    <t>Monday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</si>
  <si>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</si>
  <si>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</si>
  <si>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</si>
  <si>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</si>
  <si>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</si>
  <si>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</si>
  <si>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</si>
  <si>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</si>
  <si>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</si>
  <si>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</si>
  <si>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</si>
  <si>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</si>
  <si>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</si>
  <si>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</si>
  <si>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</si>
  <si>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</si>
  <si>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</si>
  <si>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</si>
  <si>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</si>
  <si>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</si>
  <si>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</si>
  <si>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</si>
  <si>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</si>
  <si>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</si>
  <si>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</si>
  <si>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</si>
  <si>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</si>
  <si>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</si>
  <si>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</si>
  <si>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</si>
  <si>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</si>
  <si>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</si>
  <si>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Referenced</t>
  </si>
  <si>
    <t>未参考</t>
  </si>
  <si>
    <t>删除及隐藏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</si>
  <si>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</si>
  <si>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</si>
  <si>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</si>
  <si>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</si>
  <si>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</si>
  <si>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</si>
  <si>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角色详情</t>
  </si>
  <si>
    <t>未检测到DMI有新增列</t>
  </si>
  <si>
    <t>FolderPath</t>
  </si>
  <si>
    <t>银行</t>
  </si>
  <si>
    <t>A1/A/A</t>
  </si>
  <si>
    <t>Parameter</t>
  </si>
  <si>
    <t>Value</t>
  </si>
  <si>
    <t>DimMonday</t>
  </si>
  <si>
    <t>WeeklyFilter</t>
  </si>
  <si>
    <t>ON</t>
  </si>
  <si>
    <t>MultiSource</t>
  </si>
  <si>
    <t>HK</t>
  </si>
  <si>
    <t>IS_EXCH</t>
  </si>
  <si>
    <t>普通债</t>
  </si>
  <si>
    <t>未到期</t>
  </si>
  <si>
    <t>固定利率</t>
  </si>
  <si>
    <t>否</t>
  </si>
  <si>
    <t>地方国有企业</t>
  </si>
  <si>
    <t>--/--</t>
  </si>
  <si>
    <t>Senior Unsecured</t>
  </si>
  <si>
    <t>直接发行</t>
  </si>
  <si>
    <t>RegS</t>
  </si>
  <si>
    <t>香港交易所</t>
  </si>
  <si>
    <t>3.0000</t>
  </si>
  <si>
    <t>投资级</t>
  </si>
  <si>
    <t>无评级</t>
  </si>
  <si>
    <t>中华（澳门）金融资产交易股份有限公司</t>
  </si>
  <si>
    <t>北京市</t>
  </si>
  <si>
    <t>AAA</t>
  </si>
  <si>
    <t>ESG_Indicator</t>
  </si>
  <si>
    <t>ESG_Source</t>
  </si>
  <si>
    <t>DLD_BBG</t>
  </si>
  <si>
    <t>DLD_Add</t>
  </si>
  <si>
    <t>IS_EXCH_Filter</t>
  </si>
  <si>
    <t>DMI_NewColumn</t>
  </si>
  <si>
    <t>DMI_ChangedColumn</t>
  </si>
  <si>
    <t>DLD_Conso</t>
  </si>
  <si>
    <t>香港按揭证券有限公司</t>
  </si>
  <si>
    <t>华泰国际金融控股有限公司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</si>
  <si>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</si>
  <si>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</si>
  <si>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</si>
  <si>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</si>
  <si>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</si>
  <si>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</si>
  <si>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</si>
  <si>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</si>
  <si>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</si>
  <si>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</si>
  <si>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</si>
  <si>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</si>
  <si>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</si>
  <si>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</si>
  <si>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</si>
  <si>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</si>
  <si>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</si>
  <si>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</si>
  <si>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</si>
  <si>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</si>
  <si>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</si>
  <si>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</si>
  <si>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</si>
  <si>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</si>
  <si>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</si>
  <si>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</si>
  <si>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</si>
  <si>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</si>
  <si>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</si>
  <si>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</si>
  <si>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</si>
  <si>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</si>
  <si>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</si>
  <si>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</si>
  <si>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</si>
  <si>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</si>
  <si>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</si>
  <si>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</si>
  <si>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</si>
  <si>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</si>
  <si>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</si>
  <si>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</si>
  <si>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</si>
  <si>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</si>
  <si>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</si>
  <si>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</si>
  <si>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</si>
  <si>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</si>
  <si>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</si>
  <si>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</si>
  <si>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</si>
  <si>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</si>
  <si>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</si>
  <si>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</si>
  <si>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</si>
  <si>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</si>
  <si>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</si>
  <si>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</si>
  <si>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</si>
  <si>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</si>
  <si>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</si>
  <si>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</si>
  <si>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</si>
  <si>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</si>
  <si>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</si>
  <si>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</si>
  <si>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</si>
  <si>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</si>
  <si>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</si>
  <si>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</si>
  <si>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</si>
  <si>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</si>
  <si>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</si>
  <si>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</si>
  <si>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</si>
  <si>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</si>
  <si>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</si>
  <si>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</si>
  <si>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</si>
  <si>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</si>
  <si>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</si>
  <si>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</si>
  <si>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</si>
  <si>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</si>
  <si>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</si>
  <si>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</si>
  <si>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</si>
  <si>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</si>
  <si>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</si>
  <si>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</si>
  <si>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</si>
  <si>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</si>
  <si>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</si>
  <si>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</si>
  <si>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</si>
  <si>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</si>
  <si>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</si>
  <si>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</si>
  <si>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</si>
  <si>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</si>
  <si>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</si>
  <si>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</si>
  <si>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</si>
  <si>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</si>
  <si>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</si>
  <si>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</si>
  <si>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</si>
  <si>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</si>
  <si>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</si>
  <si>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</si>
  <si>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</si>
  <si>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</si>
  <si>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</si>
  <si>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</si>
  <si>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</si>
  <si>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</si>
  <si>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</si>
  <si>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</si>
  <si>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</si>
  <si>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</si>
  <si>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</si>
  <si>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</si>
  <si>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</si>
  <si>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</si>
  <si>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</si>
  <si>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</si>
  <si>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</si>
  <si>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</si>
  <si>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</si>
  <si>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</si>
  <si>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</si>
  <si>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</si>
  <si>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</si>
  <si>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</si>
  <si>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</si>
  <si>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</si>
  <si>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</si>
  <si>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</si>
  <si>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</si>
  <si>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</si>
  <si>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</si>
  <si>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</si>
  <si>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</si>
  <si>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</si>
  <si>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</si>
  <si>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</si>
  <si>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</si>
  <si>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</si>
  <si>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</si>
  <si>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</si>
  <si>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</si>
  <si>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</si>
  <si>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</si>
  <si>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</si>
  <si>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</si>
  <si>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</si>
  <si>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</si>
  <si>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</si>
  <si>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</si>
  <si>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</si>
  <si>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</si>
  <si>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</si>
  <si>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</si>
  <si>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</si>
  <si>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</si>
  <si>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</si>
  <si>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</si>
  <si>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</si>
  <si>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</si>
  <si>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</si>
  <si>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</si>
  <si>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</si>
  <si>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Y</t>
  </si>
  <si>
    <t>绿色</t>
  </si>
  <si>
    <t>中信建投(国际)金融控股有限公司</t>
  </si>
  <si>
    <t>China Securities (International) Brokerage Company Limited</t>
  </si>
  <si>
    <t>CSCIF</t>
  </si>
  <si>
    <t>CHINA SECURITIES INTERNATIONAL INVESTMENT CO LTD</t>
  </si>
  <si>
    <t>FIMTN</t>
  </si>
  <si>
    <t>mBISL</t>
  </si>
  <si>
    <t>mCredit</t>
  </si>
  <si>
    <t>mCurated</t>
  </si>
  <si>
    <t>mChart</t>
  </si>
  <si>
    <t>TICKER</t>
  </si>
  <si>
    <t>可持续</t>
  </si>
  <si>
    <t>社会责任</t>
  </si>
  <si>
    <t>蓝色</t>
  </si>
  <si>
    <t>可持续挂钩</t>
  </si>
  <si>
    <t xml:space="preserve"> </t>
  </si>
  <si>
    <t>3.01Y</t>
  </si>
  <si>
    <t>2023/10/30</t>
  </si>
  <si>
    <t>IS_KYC_DONE</t>
  </si>
  <si>
    <t>宏观新闻</t>
  </si>
  <si>
    <t>新闻</t>
  </si>
  <si>
    <t>来源</t>
  </si>
  <si>
    <t>经济数据</t>
  </si>
  <si>
    <t>政策</t>
  </si>
  <si>
    <t>官员</t>
  </si>
  <si>
    <t>美国</t>
  </si>
  <si>
    <t>焦点议题</t>
  </si>
  <si>
    <t>信用事件</t>
  </si>
  <si>
    <t>央行</t>
  </si>
  <si>
    <t>新闻分类</t>
  </si>
  <si>
    <t>新闻地区</t>
  </si>
  <si>
    <t>Over the Weekend</t>
  </si>
  <si>
    <t>YYQQ</t>
  </si>
  <si>
    <t>23Q4</t>
  </si>
  <si>
    <t>发行及交存代理*</t>
  </si>
  <si>
    <t>港分Global Advisor*</t>
  </si>
  <si>
    <t>交行参与投资未承销*</t>
  </si>
  <si>
    <t>T</t>
  </si>
  <si>
    <t>T3</t>
  </si>
  <si>
    <t>SOFR</t>
  </si>
  <si>
    <t>MS</t>
  </si>
  <si>
    <t>3mBBSW</t>
  </si>
  <si>
    <t>TONAR</t>
  </si>
  <si>
    <t>3mBKBM</t>
  </si>
  <si>
    <t>2023/11/06</t>
  </si>
  <si>
    <t>1</t>
  </si>
  <si>
    <t>Date_Onboarded</t>
  </si>
  <si>
    <t>EXE</t>
  </si>
  <si>
    <t>PROJECT_CN</t>
  </si>
  <si>
    <t>Settlement</t>
  </si>
  <si>
    <t>BOCOM下单量</t>
  </si>
  <si>
    <t>BOCOM分配量</t>
  </si>
  <si>
    <t>交行及独家订单</t>
  </si>
  <si>
    <t>项目亮点</t>
  </si>
  <si>
    <t>定价会时间</t>
  </si>
  <si>
    <t>控制权变更回售@100%</t>
  </si>
  <si>
    <t>0.9945</t>
  </si>
  <si>
    <t>有IPG</t>
  </si>
  <si>
    <t>364天</t>
  </si>
  <si>
    <t>VG</t>
  </si>
  <si>
    <t>DMI行业</t>
  </si>
  <si>
    <t>2023/11/13</t>
  </si>
  <si>
    <t>T5</t>
  </si>
  <si>
    <t>A1/A</t>
  </si>
  <si>
    <t>稳定/稳定</t>
  </si>
  <si>
    <t>中央国有企业</t>
  </si>
  <si>
    <t>浮动利率</t>
  </si>
  <si>
    <t>M3</t>
  </si>
  <si>
    <t>浮息</t>
  </si>
  <si>
    <t>WeeklyAddTap</t>
  </si>
  <si>
    <t>输入原始ISIN</t>
  </si>
  <si>
    <t>AA+</t>
  </si>
  <si>
    <t>ISIN_Search</t>
  </si>
  <si>
    <t>wAddTap</t>
  </si>
  <si>
    <t>2 Fill in Tap Details</t>
  </si>
  <si>
    <t>1 Fill in Original ISIN</t>
  </si>
  <si>
    <t>3 Generate Tap Deal</t>
  </si>
  <si>
    <t>2023/11/20</t>
  </si>
  <si>
    <t>%(IPG:MS)</t>
  </si>
  <si>
    <t>HIHD</t>
  </si>
  <si>
    <t>%(IPG:T)</t>
  </si>
  <si>
    <t>L</t>
  </si>
  <si>
    <t>山东省</t>
  </si>
  <si>
    <t>Connection Only. Manual Load if needed</t>
  </si>
  <si>
    <t>【】</t>
  </si>
  <si>
    <t>板块二级</t>
  </si>
  <si>
    <t>板块三级</t>
  </si>
  <si>
    <t>级别</t>
  </si>
  <si>
    <t>非银</t>
  </si>
  <si>
    <t>金控</t>
  </si>
  <si>
    <t>政策行</t>
  </si>
  <si>
    <t>国有行</t>
  </si>
  <si>
    <t>股份行</t>
  </si>
  <si>
    <t>城商行</t>
  </si>
  <si>
    <t>农商行</t>
  </si>
  <si>
    <t>外资行</t>
  </si>
  <si>
    <t>港澳行</t>
  </si>
  <si>
    <t>金融资管</t>
  </si>
  <si>
    <t>金融租赁</t>
  </si>
  <si>
    <t>融资租赁</t>
  </si>
  <si>
    <t>保险</t>
  </si>
  <si>
    <t>证券</t>
  </si>
  <si>
    <t>信托</t>
  </si>
  <si>
    <t>投资</t>
  </si>
  <si>
    <t>省级</t>
  </si>
  <si>
    <t>国家级新区</t>
  </si>
  <si>
    <t>省级开发区</t>
  </si>
  <si>
    <t>市级</t>
  </si>
  <si>
    <t>市级开发区</t>
  </si>
  <si>
    <t>区县级</t>
  </si>
  <si>
    <t>区县级开发区</t>
  </si>
  <si>
    <t>综合</t>
  </si>
  <si>
    <t>基建</t>
  </si>
  <si>
    <t>交通</t>
  </si>
  <si>
    <t>园区</t>
  </si>
  <si>
    <t>公共事业</t>
  </si>
  <si>
    <t>地方资管</t>
  </si>
  <si>
    <t>OFF</t>
  </si>
  <si>
    <t>JBR至少4家</t>
  </si>
  <si>
    <t>SBLC</t>
  </si>
  <si>
    <t>重庆三峡银行股份有限公司</t>
  </si>
  <si>
    <t>国有企业</t>
  </si>
  <si>
    <t>中国农业银行股份有限公司</t>
  </si>
  <si>
    <t>国有相对控股企业</t>
  </si>
  <si>
    <t>--/BBB+/--</t>
  </si>
  <si>
    <t>GREEN</t>
  </si>
  <si>
    <t>中信证券国际有限公司</t>
  </si>
  <si>
    <t>信用主体简称</t>
  </si>
  <si>
    <t>DEBUT_DATE</t>
  </si>
  <si>
    <t>备证行分行</t>
  </si>
  <si>
    <t>备证行全称</t>
  </si>
  <si>
    <t>国家开发银行</t>
  </si>
  <si>
    <t>中国工商银行股份有限公司</t>
  </si>
  <si>
    <t>中国银行股份有限公司</t>
  </si>
  <si>
    <t>中国建设银行股份有限公司</t>
  </si>
  <si>
    <t>中国邮政储蓄银行股份有限公司</t>
  </si>
  <si>
    <t>招商银行股份有限公司</t>
  </si>
  <si>
    <t>上海浦东发展银行股份有限公司</t>
  </si>
  <si>
    <t>兴业银行股份有限公司</t>
  </si>
  <si>
    <t>中信银行股份有限公司</t>
  </si>
  <si>
    <t>华夏银行股份有限公司</t>
  </si>
  <si>
    <t>浙商银行股份有限公司</t>
  </si>
  <si>
    <t>渤海银行股份有限公司</t>
  </si>
  <si>
    <t>恒丰银行股份有限公司</t>
  </si>
  <si>
    <t>北京银行股份有限公司</t>
  </si>
  <si>
    <t>江苏银行股份有限公司</t>
  </si>
  <si>
    <t>上海银行股份有限公司</t>
  </si>
  <si>
    <t>宁波银行股份有限公司</t>
  </si>
  <si>
    <t>南京银行股份有限公司</t>
  </si>
  <si>
    <t>杭州银行股份有限公司</t>
  </si>
  <si>
    <t>成都银行股份有限公司</t>
  </si>
  <si>
    <t>重庆银行股份有限公司</t>
  </si>
  <si>
    <t>长沙银行股份有限公司</t>
  </si>
  <si>
    <t>郑州银行股份有限公司</t>
  </si>
  <si>
    <t>青岛银行股份有限公司</t>
  </si>
  <si>
    <t>齐鲁银行股份有限公司</t>
  </si>
  <si>
    <t>西安银行股份有限公司</t>
  </si>
  <si>
    <t>徽商银行股份有限公司</t>
  </si>
  <si>
    <t>中原银行股份有限公司</t>
  </si>
  <si>
    <t>天津银行股份有限公司</t>
  </si>
  <si>
    <t>江西银行股份有限公司</t>
  </si>
  <si>
    <t>湖南银行股份有限公司</t>
  </si>
  <si>
    <t>广西北部湾银行股份有限公司</t>
  </si>
  <si>
    <t>湖北银行股份有限公司</t>
  </si>
  <si>
    <t>齐商银行股份有限公司</t>
  </si>
  <si>
    <t>长安银行股份有限公司</t>
  </si>
  <si>
    <t>绵阳市商业银行股份有限公司</t>
  </si>
  <si>
    <t>九江银行股份有限公司</t>
  </si>
  <si>
    <t>绍兴银行股份有限公司</t>
  </si>
  <si>
    <t>桂林银行股份有限公司</t>
  </si>
  <si>
    <t>河北银行股份有限公司</t>
  </si>
  <si>
    <t>嘉兴银行股份有限公司</t>
  </si>
  <si>
    <t>富滇银行股份有限公司</t>
  </si>
  <si>
    <t>厦门国际银行股份有限公司</t>
  </si>
  <si>
    <t>东莞银行股份有限公司</t>
  </si>
  <si>
    <t>合肥科技农村商业银行股份有限公司</t>
  </si>
  <si>
    <t>成都农村商业银行股份有限公司</t>
  </si>
  <si>
    <t>重庆农村商业银行股份有限公司</t>
  </si>
  <si>
    <t>南洋商业银行(中国)有限公司</t>
  </si>
  <si>
    <t>招商永隆银行有限公司</t>
  </si>
  <si>
    <t>企业(集团)名称</t>
  </si>
  <si>
    <t>中国核工业集团有限公司</t>
  </si>
  <si>
    <t>中国航天科技集团有限公司</t>
  </si>
  <si>
    <t>中国航天科工集团有限公司</t>
  </si>
  <si>
    <t>中国航空工业集团有限公司</t>
  </si>
  <si>
    <t>中国船舶集团有限公司</t>
  </si>
  <si>
    <t>中国兵器工业集团有限公司</t>
  </si>
  <si>
    <t>中国兵器装备集团有限公司</t>
  </si>
  <si>
    <t>中国电子科技集团有限公司</t>
  </si>
  <si>
    <t>中国航空发动机集团有限公司</t>
  </si>
  <si>
    <t>中国融通资产管理集团有限公司</t>
  </si>
  <si>
    <t>中国石油天然气集团有限公司</t>
  </si>
  <si>
    <t>中国石油化工集团有限公司</t>
  </si>
  <si>
    <t>中国海洋石油集团有限公司</t>
  </si>
  <si>
    <t>国家石油天然气管网集团有限公司</t>
  </si>
  <si>
    <t>国家电网有限公司</t>
  </si>
  <si>
    <t>中国南方电网有限责任公司</t>
  </si>
  <si>
    <t>中国华能集团有限公司</t>
  </si>
  <si>
    <t>中国大唐集团有限公司</t>
  </si>
  <si>
    <t>中国华电集团有限公司</t>
  </si>
  <si>
    <t>国家电力投资集团有限公司</t>
  </si>
  <si>
    <t>中国长江三峡集团有限公司</t>
  </si>
  <si>
    <t>国家能源投资集团有限责任公司</t>
  </si>
  <si>
    <t>中国电信集团有限公司</t>
  </si>
  <si>
    <t>中国联合网络通信集团有限公司</t>
  </si>
  <si>
    <t>中国移动通信集团有限公司</t>
  </si>
  <si>
    <t>中国卫星网络集团有限公司</t>
  </si>
  <si>
    <t>中国电子信息产业集团有限公司</t>
  </si>
  <si>
    <t>中国第一汽车集团有限公司</t>
  </si>
  <si>
    <t>东风汽车集团有限公司</t>
  </si>
  <si>
    <t>中国一重集团有限公司</t>
  </si>
  <si>
    <t>中国机械工业集团有限公司</t>
  </si>
  <si>
    <t>哈尔滨电气集团有限公司</t>
  </si>
  <si>
    <t>中国东方电气集团有限公司</t>
  </si>
  <si>
    <t>鞍钢集团有限公司</t>
  </si>
  <si>
    <t>中国宝武钢铁集团有限公司</t>
  </si>
  <si>
    <t>中国矿产资源集团有限公司</t>
  </si>
  <si>
    <t>中国铝业集团有限公司</t>
  </si>
  <si>
    <t>中国远洋海运集团有限公司</t>
  </si>
  <si>
    <t>中国航空集团有限公司</t>
  </si>
  <si>
    <t>中国东方航空集团有限公司</t>
  </si>
  <si>
    <t>中国南方航空集团有限公司</t>
  </si>
  <si>
    <t>中国中化控股有限责任公司</t>
  </si>
  <si>
    <t>中粮集团有限公司</t>
  </si>
  <si>
    <t>中国五矿集团有限公司</t>
  </si>
  <si>
    <t>中国建筑集团有限公司</t>
  </si>
  <si>
    <t>中国储备粮管理集团有限公司</t>
  </si>
  <si>
    <t>中国南水北调集团有限公司</t>
  </si>
  <si>
    <t>国家开发投资集团有限公司</t>
  </si>
  <si>
    <t>招商局集团有限公司</t>
  </si>
  <si>
    <t>中国商用飞机有限责任公司</t>
  </si>
  <si>
    <t>中国节能环保集团有限公司</t>
  </si>
  <si>
    <t>中国国际工程咨询有限公司</t>
  </si>
  <si>
    <t>中国诚通控股集团有限公司</t>
  </si>
  <si>
    <t>中国中煤能源集团有限公司</t>
  </si>
  <si>
    <t>中国煤炭科工集团有限公司</t>
  </si>
  <si>
    <t>中国机械科学研究总院集团有限公司</t>
  </si>
  <si>
    <t>中国钢研科技集团有限公司</t>
  </si>
  <si>
    <t>中国化学工程集团有限公司</t>
  </si>
  <si>
    <t>中国盐业集团有限公司</t>
  </si>
  <si>
    <t>中国建材集团有限公司</t>
  </si>
  <si>
    <t>中国有色矿业集团有限公司</t>
  </si>
  <si>
    <t>中国稀土集团有限公司</t>
  </si>
  <si>
    <t>中国有研科技集团有限公司</t>
  </si>
  <si>
    <t>矿冶科技集团有限公司</t>
  </si>
  <si>
    <t>中国国际技术智力合作集团有限公司</t>
  </si>
  <si>
    <t>中国建筑科学研究院有限公司</t>
  </si>
  <si>
    <t>中国中车集团有限公司</t>
  </si>
  <si>
    <t>中国铁路通信信号集团有限公司</t>
  </si>
  <si>
    <t>中国铁路工程集团有限公司</t>
  </si>
  <si>
    <t>中国铁道建筑集团有限公司</t>
  </si>
  <si>
    <t>中国交通建设集团有限公司</t>
  </si>
  <si>
    <t>中国信息通信科技集团有限公司</t>
  </si>
  <si>
    <t>中国农业发展集团有限公司</t>
  </si>
  <si>
    <t>中国林业集团有限公司</t>
  </si>
  <si>
    <t>中国医药集团有限公司</t>
  </si>
  <si>
    <t>中国保利集团有限公司</t>
  </si>
  <si>
    <t>中国建设科技有限公司</t>
  </si>
  <si>
    <t>中国冶金地质总局</t>
  </si>
  <si>
    <t>中国煤炭地质总局</t>
  </si>
  <si>
    <t>新兴际华集团有限公司</t>
  </si>
  <si>
    <t>中国民航信息集团有限公司</t>
  </si>
  <si>
    <t>中国航空油料集团有限公司</t>
  </si>
  <si>
    <t>中国航空器材集团有限公司</t>
  </si>
  <si>
    <t>中国电力建设集团有限公司</t>
  </si>
  <si>
    <t>中国能源建设集团有限公司</t>
  </si>
  <si>
    <t>中国安能建设集团有限公司</t>
  </si>
  <si>
    <t>中国黄金集团有限公司</t>
  </si>
  <si>
    <t>中国广核集团有限公司</t>
  </si>
  <si>
    <t>华侨城集团有限公司</t>
  </si>
  <si>
    <t>中国电气装备集团有限公司</t>
  </si>
  <si>
    <t>中国物流集团有限公司</t>
  </si>
  <si>
    <t>中国国新控股有限责任公司</t>
  </si>
  <si>
    <t>主体详情</t>
  </si>
  <si>
    <t>评级及承销</t>
  </si>
  <si>
    <t>CSOE_SASAC</t>
  </si>
  <si>
    <t>国务院国资委央企名录</t>
  </si>
  <si>
    <t>中国通用技术(集团)控股有限责任公司</t>
  </si>
  <si>
    <t>华润(集团)有限公司</t>
  </si>
  <si>
    <t>中国旅游集团有限公司[香港中旅(集团)有限公司]</t>
  </si>
  <si>
    <t>南光(集团)有限公司[中国南光集团有限公司]</t>
  </si>
  <si>
    <t>中国检验认证(集团)有限公司</t>
  </si>
  <si>
    <t>2023/11/27</t>
  </si>
  <si>
    <t>2023/12/04</t>
  </si>
  <si>
    <t>有FPG</t>
  </si>
  <si>
    <t>房地产开发</t>
  </si>
  <si>
    <t>控制权变更回售@101%</t>
  </si>
  <si>
    <t>3.0Y</t>
  </si>
  <si>
    <t>发行人成立地</t>
  </si>
  <si>
    <t>XS2723153883</t>
  </si>
  <si>
    <t>西城区</t>
  </si>
  <si>
    <t>XS2723150517</t>
  </si>
  <si>
    <t>Y1</t>
  </si>
  <si>
    <t>XS2723146325</t>
  </si>
  <si>
    <t>中国建设银行股份有限公司香港分行</t>
  </si>
  <si>
    <t>SBLC+担保</t>
  </si>
  <si>
    <t>浙江省</t>
  </si>
  <si>
    <t>杭州市金融投资集团有限公司</t>
  </si>
  <si>
    <t>JGC至少3家</t>
  </si>
  <si>
    <t>维好协议</t>
  </si>
  <si>
    <t>杭州市</t>
  </si>
  <si>
    <t>1.0Y</t>
  </si>
  <si>
    <t>华泰证券股份有限公司</t>
  </si>
  <si>
    <t>江苏省</t>
  </si>
  <si>
    <t>基础建设</t>
  </si>
  <si>
    <t>AA</t>
  </si>
  <si>
    <t>nil</t>
  </si>
  <si>
    <t>3个月</t>
  </si>
  <si>
    <t>Accord</t>
  </si>
  <si>
    <t>浮息定价</t>
  </si>
  <si>
    <t>2023/12/11</t>
  </si>
  <si>
    <t>Fengcheng</t>
  </si>
  <si>
    <t>HK0000971421</t>
  </si>
  <si>
    <t>西安经发控股（集团）有限责任公司</t>
  </si>
  <si>
    <t>78</t>
  </si>
  <si>
    <t>75</t>
  </si>
  <si>
    <t>中国建设银行股份有限公司迪拜金融中心分行</t>
  </si>
  <si>
    <t>77</t>
  </si>
  <si>
    <t>中国建设银行股份有限公司卢森堡分行</t>
  </si>
  <si>
    <t>76</t>
  </si>
  <si>
    <t>XS2720193981</t>
  </si>
  <si>
    <t>7.8%a</t>
  </si>
  <si>
    <t>7.5%</t>
  </si>
  <si>
    <t>7.80% 区域</t>
  </si>
  <si>
    <t>Luso International Banking Limited;DBS Bank Ltd;China Industrial Securities International Brokerage Limited;Huajin Securities (International) Limited</t>
  </si>
  <si>
    <t>Bank of China (Hong Kong) Limited;Bank of China Limited, Macau Branch;BOCOM International Securities Limited;CCB International Capital Limited;CEB International Capital Corporation Limited;CLSA Limited;CMBC Securities Company Limited;CNCB (Hong Kong) Capital Limited;Crédit Agricole Corporate and Investment Bank;Guolian Securities International Capital Co., Limited;Guotai Junan Securities (Hong Kong) Limited;Guoyuan Securities Brokerage (Hong Kong) Limited;Haitong International Securities Company Limited;Industrial and Commercial Bank of China (Macau) Limited;Orient Securities (Hong Kong) Limited;SMBC Nikko Securities (Hong Kong) Limited;SPDB International Capital Limited;TFI Securities and Futures Limited;The Bank of East Asia, Limited</t>
  </si>
  <si>
    <t>LUSOIB 7.5 05/29/34</t>
  </si>
  <si>
    <t>澳门国际银行 7.5 2034-05-29</t>
  </si>
  <si>
    <t>10.4959</t>
  </si>
  <si>
    <t>中华（澳门）金融资产交易股份有限公司;香港交易所</t>
  </si>
  <si>
    <t>Subordinated Unsecured</t>
  </si>
  <si>
    <t>澳门特别行政区</t>
  </si>
  <si>
    <t>氹仔岛</t>
  </si>
  <si>
    <t>外商独资企业</t>
  </si>
  <si>
    <t>根据适用法律和监管批准，用于补充发行人的二级资本</t>
  </si>
  <si>
    <t>LUSOIB</t>
  </si>
  <si>
    <t>Huajin Securities (International) Limited;CLSA Limited;Luso International Banking Limited;TFI Securities and Futures Limited;CCB International Capital Limited;CEB International Capital Corporation Limited;Guoyuan Securities Brokerage (Hong Kong) Limited;Crédit Agricole Corporate and Investment Bank;Orient Securities (Hong Kong) Limited;SPDB International Capital Limited;China Industrial Securities International Brokerage Limited;Industrial and Commercial Bank of China (Macau) Limited;Guolian Securities International Capital Co., Limited;SMBC Nikko Securities (Hong Kong) Limited;BOCOM International Securities Limited;DBS Bank Ltd;Bank of China Limited, Macau Branch;CNCB (Hong Kong) Capital Limited;Guotai Junan Securities (Hong Kong) Limited;Bank of China (Hong Kong) Limited;CMBC Securities Company Limited;Haitong International Securities Company Limited;The Bank of East Asia, Limited</t>
  </si>
  <si>
    <t>可赎回债</t>
  </si>
  <si>
    <t>231124XS2720193981</t>
  </si>
  <si>
    <t>MO</t>
  </si>
  <si>
    <t>拱墅区</t>
  </si>
  <si>
    <t>香港特别行政区</t>
  </si>
  <si>
    <t>香港岛</t>
  </si>
  <si>
    <t xml:space="preserve"> T2</t>
  </si>
  <si>
    <t>港交所;澳交所</t>
  </si>
  <si>
    <t>【总行】</t>
  </si>
  <si>
    <t>10.5</t>
  </si>
  <si>
    <t>3.9%</t>
  </si>
  <si>
    <t>Lotus</t>
  </si>
  <si>
    <t>V</t>
  </si>
  <si>
    <t>总行</t>
  </si>
  <si>
    <t>澳门国际银行、星展、兴证国际、华金</t>
  </si>
  <si>
    <t>中银、中银澳分、交银国际、建银国际、光银国际、中信里昂、民银资本、信银资本、东方汇理、国联、国君国际、国元、海通国际、工银、东方、日兴、浦银国际、天风、东亚</t>
  </si>
  <si>
    <t>Connection</t>
  </si>
  <si>
    <t>XS2623377152</t>
  </si>
  <si>
    <t>济南轨道交通集团有限公司</t>
  </si>
  <si>
    <t>74</t>
  </si>
  <si>
    <t>Tianfu Source</t>
  </si>
  <si>
    <t>HK0000963584</t>
  </si>
  <si>
    <t>都江堰市城乡建设集团有限公司</t>
  </si>
  <si>
    <t>73</t>
  </si>
  <si>
    <t>Dragon X</t>
  </si>
  <si>
    <t>HK0000957925</t>
  </si>
  <si>
    <t>福建漳龙集团有限公司</t>
  </si>
  <si>
    <t>72</t>
  </si>
  <si>
    <t>Gold Valley VIII</t>
  </si>
  <si>
    <t>XS2697243827</t>
  </si>
  <si>
    <t>济南高新控股集团有限公司</t>
  </si>
  <si>
    <t>71</t>
  </si>
  <si>
    <t>Reach III</t>
  </si>
  <si>
    <t>XS2677888989</t>
  </si>
  <si>
    <t>济南历下控股集团有限公司</t>
  </si>
  <si>
    <t>70</t>
  </si>
  <si>
    <t>Gongfu II</t>
  </si>
  <si>
    <t>XS2680221806</t>
  </si>
  <si>
    <t>杭州上城区国有资本运营集团有限公司</t>
  </si>
  <si>
    <t>69</t>
  </si>
  <si>
    <t>Sunrise III</t>
  </si>
  <si>
    <t>XS2671498447</t>
  </si>
  <si>
    <t>上饶城市建设投资开发集团有限公司</t>
  </si>
  <si>
    <t>67</t>
  </si>
  <si>
    <t>Baima Lake VI</t>
  </si>
  <si>
    <t>XS2681919762</t>
  </si>
  <si>
    <t>常德市城市建设投资集团有限公司</t>
  </si>
  <si>
    <t>68</t>
  </si>
  <si>
    <t>Camphor Tree</t>
  </si>
  <si>
    <t>HK0000954286</t>
  </si>
  <si>
    <t>江苏平陵建设投资集团有限公司</t>
  </si>
  <si>
    <t>65</t>
  </si>
  <si>
    <t>Qilin</t>
  </si>
  <si>
    <t>XS2664783565</t>
  </si>
  <si>
    <t>徐州经济技术开发区国有资产经营有限责任公司</t>
  </si>
  <si>
    <t>66</t>
  </si>
  <si>
    <t>818</t>
  </si>
  <si>
    <t>XS2679063862</t>
  </si>
  <si>
    <t>中国光大银行股份有限公司悉尼分行</t>
  </si>
  <si>
    <t>62</t>
  </si>
  <si>
    <t>ABCHK CD</t>
  </si>
  <si>
    <t>XS2690707497</t>
  </si>
  <si>
    <t>中国农业银行股份有限公司香港分行</t>
  </si>
  <si>
    <t>63</t>
  </si>
  <si>
    <t>N.A.</t>
  </si>
  <si>
    <t>Qixin</t>
  </si>
  <si>
    <t>HK0000954104</t>
  </si>
  <si>
    <t>淄博市财金控股集团有限公司</t>
  </si>
  <si>
    <t>64</t>
  </si>
  <si>
    <t>HZJT</t>
  </si>
  <si>
    <t>HK0000947231</t>
  </si>
  <si>
    <t>61</t>
  </si>
  <si>
    <t>Frame</t>
  </si>
  <si>
    <t>XS2677539541</t>
  </si>
  <si>
    <t>中国银行股份有限公司迪拜分行</t>
  </si>
  <si>
    <t>60</t>
  </si>
  <si>
    <t>Coastline 02</t>
  </si>
  <si>
    <t>XS2671493562</t>
  </si>
  <si>
    <t>海盐县国有资产经营有限公司</t>
  </si>
  <si>
    <t>58</t>
  </si>
  <si>
    <t>Ubertech III</t>
  </si>
  <si>
    <t>HK0000946829</t>
  </si>
  <si>
    <t>乌鲁木齐高新投资发展集团有限公司</t>
  </si>
  <si>
    <t>59</t>
  </si>
  <si>
    <t>Beryl</t>
  </si>
  <si>
    <t>XS2673392796</t>
  </si>
  <si>
    <t xml:space="preserve">交通银行股份有限公司香港分行 </t>
  </si>
  <si>
    <t>57</t>
  </si>
  <si>
    <t>Qianjiang IV</t>
  </si>
  <si>
    <t>XS2661086483</t>
  </si>
  <si>
    <t>杭州上城区城市建设综合开发有限公司</t>
  </si>
  <si>
    <t>55</t>
  </si>
  <si>
    <t>Nengda II</t>
  </si>
  <si>
    <t>XS2668376747</t>
  </si>
  <si>
    <t>无锡能达热电有限公司</t>
  </si>
  <si>
    <t>56</t>
  </si>
  <si>
    <t>Yimeng III</t>
  </si>
  <si>
    <t>XS2658712752</t>
  </si>
  <si>
    <t>临沂城市建设投资集团有限公司</t>
  </si>
  <si>
    <t>54</t>
  </si>
  <si>
    <t>Kapok</t>
  </si>
  <si>
    <t>XS2665495391</t>
  </si>
  <si>
    <t>攀枝花城建交通（集团）有限公司</t>
  </si>
  <si>
    <t>53</t>
  </si>
  <si>
    <t>Grace</t>
  </si>
  <si>
    <t>XS2656498313</t>
  </si>
  <si>
    <t>宜宾丝丽雅集团有限公司</t>
  </si>
  <si>
    <t>52</t>
  </si>
  <si>
    <t>Wutong V</t>
  </si>
  <si>
    <t>XS2663498314</t>
  </si>
  <si>
    <t>51</t>
  </si>
  <si>
    <t>Turbo</t>
  </si>
  <si>
    <t>XS2662422802</t>
  </si>
  <si>
    <t>中国信达（香港）控股有限公司</t>
  </si>
  <si>
    <t>50</t>
  </si>
  <si>
    <t>Hakka II</t>
  </si>
  <si>
    <t>XS2652417788</t>
  </si>
  <si>
    <t>赣州旅游投资集团有限公司</t>
  </si>
  <si>
    <t>49</t>
  </si>
  <si>
    <t>TH</t>
  </si>
  <si>
    <t>XS2648499007</t>
  </si>
  <si>
    <t>无锡市太湖新城资产经营管理有限公司</t>
  </si>
  <si>
    <t>48</t>
  </si>
  <si>
    <t>Shangcheng II Tap</t>
  </si>
  <si>
    <t>XS2618570068</t>
  </si>
  <si>
    <t>杭州上城区城市建设投资集团有限公司</t>
  </si>
  <si>
    <t>46</t>
  </si>
  <si>
    <t>I 2023 MTN</t>
  </si>
  <si>
    <t>XS2648007495</t>
  </si>
  <si>
    <t>中国国际金融股份有限公司</t>
  </si>
  <si>
    <t>47</t>
  </si>
  <si>
    <t>River</t>
  </si>
  <si>
    <t>HK0000939428</t>
  </si>
  <si>
    <t>45</t>
  </si>
  <si>
    <t>Lotus IV</t>
  </si>
  <si>
    <t>XS2639510341</t>
  </si>
  <si>
    <t>43</t>
  </si>
  <si>
    <t>Grand</t>
  </si>
  <si>
    <t>XS2644758133</t>
  </si>
  <si>
    <t>重庆市赤甲旅游文化创意开发集团有限责任公司</t>
  </si>
  <si>
    <t>44</t>
  </si>
  <si>
    <t>Green</t>
  </si>
  <si>
    <t>XS2623993974</t>
  </si>
  <si>
    <t>义乌市国有资本运营有限公司</t>
  </si>
  <si>
    <t>41</t>
  </si>
  <si>
    <t>CMB Leasing PP</t>
  </si>
  <si>
    <t>XS2641625137</t>
  </si>
  <si>
    <t>招银金融租赁有限公司</t>
  </si>
  <si>
    <t>42</t>
  </si>
  <si>
    <t>Jincheng IV Tap</t>
  </si>
  <si>
    <t>XS2634238526</t>
  </si>
  <si>
    <t>福建省晋江城市建设投资开发集团有限责任公司</t>
  </si>
  <si>
    <t>40</t>
  </si>
  <si>
    <t>Jincheng IV</t>
  </si>
  <si>
    <t>39</t>
  </si>
  <si>
    <t>Tongriver</t>
  </si>
  <si>
    <t>G2380160</t>
  </si>
  <si>
    <t>桐庐新城发展投资有限公司</t>
  </si>
  <si>
    <t>38</t>
  </si>
  <si>
    <t>Arcadia (SBLC)</t>
  </si>
  <si>
    <t>G2380105</t>
  </si>
  <si>
    <t>伊犁哈萨克自治州财通国有资产经营有限责任公司</t>
  </si>
  <si>
    <t>36</t>
  </si>
  <si>
    <t>Consonance II</t>
  </si>
  <si>
    <t>G2380152</t>
  </si>
  <si>
    <t>南宁五象新区建设投资有限责任公司</t>
  </si>
  <si>
    <t>37</t>
  </si>
  <si>
    <t>Shangcheng II</t>
  </si>
  <si>
    <t>35</t>
  </si>
  <si>
    <t>Innovation</t>
  </si>
  <si>
    <t>G2380140</t>
  </si>
  <si>
    <t>昆山国创投资集团有限公司</t>
  </si>
  <si>
    <t>34</t>
  </si>
  <si>
    <t>Oasis</t>
  </si>
  <si>
    <t>HK0000929262</t>
  </si>
  <si>
    <t>中国建设银行股份有限公司伦敦分行</t>
  </si>
  <si>
    <t>32</t>
  </si>
  <si>
    <t>XS2623522930</t>
  </si>
  <si>
    <t>中国建设银行股份有限公司悉尼分行</t>
  </si>
  <si>
    <t>33</t>
  </si>
  <si>
    <t>Hare</t>
  </si>
  <si>
    <t>G2380130</t>
  </si>
  <si>
    <t>31</t>
  </si>
  <si>
    <t>Bund</t>
  </si>
  <si>
    <t>HK0000921111</t>
  </si>
  <si>
    <t>海通证券股份有限公司</t>
  </si>
  <si>
    <t>30</t>
  </si>
  <si>
    <t>CX III</t>
  </si>
  <si>
    <t>HK0000921038</t>
  </si>
  <si>
    <t>中信建投证券股份有限公司</t>
  </si>
  <si>
    <t>28</t>
  </si>
  <si>
    <t>HK0000921020</t>
  </si>
  <si>
    <t>29</t>
  </si>
  <si>
    <t>Sail</t>
  </si>
  <si>
    <t>G2380106</t>
  </si>
  <si>
    <t>青岛城市建设投资（集团）有限责任公司</t>
  </si>
  <si>
    <t>27</t>
  </si>
  <si>
    <t>Soar II</t>
  </si>
  <si>
    <t>G238098</t>
  </si>
  <si>
    <t>青岛西海岸新区融合控股集团有限公司</t>
  </si>
  <si>
    <t>24</t>
  </si>
  <si>
    <t>Consonance</t>
  </si>
  <si>
    <t>G2380100</t>
  </si>
  <si>
    <t>23</t>
  </si>
  <si>
    <t>Polaris II</t>
  </si>
  <si>
    <t>G238084</t>
  </si>
  <si>
    <t>远东国际融资租赁有限公司</t>
  </si>
  <si>
    <t>26</t>
  </si>
  <si>
    <t>Spring Radiance V</t>
  </si>
  <si>
    <t>G238077</t>
  </si>
  <si>
    <t>绍兴市上虞区国有资本投资运营有限公司</t>
  </si>
  <si>
    <t>25</t>
  </si>
  <si>
    <t>SR IV</t>
  </si>
  <si>
    <t>XS2597408512</t>
  </si>
  <si>
    <t>上饶投资控股集团有限公司</t>
  </si>
  <si>
    <t>22</t>
  </si>
  <si>
    <t>Get IV</t>
  </si>
  <si>
    <t>G238096</t>
  </si>
  <si>
    <t>广州开发区控股集团有限公司</t>
  </si>
  <si>
    <t>21</t>
  </si>
  <si>
    <t>Laputa III</t>
  </si>
  <si>
    <t>XS2599011116</t>
  </si>
  <si>
    <t>成都空港城市发展集团有限公司</t>
  </si>
  <si>
    <t>20</t>
  </si>
  <si>
    <t>Soar</t>
  </si>
  <si>
    <t>G238052</t>
  </si>
  <si>
    <t>19</t>
  </si>
  <si>
    <t>Blue Ocean</t>
  </si>
  <si>
    <t>G238008</t>
  </si>
  <si>
    <t>青岛西海岸新区海洋控股集团有限公司</t>
  </si>
  <si>
    <t>18</t>
  </si>
  <si>
    <t>Futuretown II</t>
  </si>
  <si>
    <t>G238070</t>
  </si>
  <si>
    <t>绍兴市上虞杭州湾经开区控股集团有限公司</t>
  </si>
  <si>
    <t>17</t>
  </si>
  <si>
    <t>Green II</t>
  </si>
  <si>
    <t>G238047</t>
  </si>
  <si>
    <t>桂林经开投资控股有限责任公司</t>
  </si>
  <si>
    <t>16</t>
  </si>
  <si>
    <t>Drogo Plus</t>
  </si>
  <si>
    <t>G238046</t>
  </si>
  <si>
    <t>郴州市产业投资集团有限公司</t>
  </si>
  <si>
    <t>15</t>
  </si>
  <si>
    <t>Haining III</t>
  </si>
  <si>
    <t>G238039</t>
  </si>
  <si>
    <t>海宁市城市发展投资集团有限公司</t>
  </si>
  <si>
    <t>13</t>
  </si>
  <si>
    <t>Jincheng III</t>
  </si>
  <si>
    <t>XS2573678435</t>
  </si>
  <si>
    <t>14</t>
  </si>
  <si>
    <t>Sail (CQ)</t>
  </si>
  <si>
    <t>G238024</t>
  </si>
  <si>
    <t>重庆市涪陵实业发展集团有限公司</t>
  </si>
  <si>
    <t>12</t>
  </si>
  <si>
    <t>Horizon II Pt 2</t>
  </si>
  <si>
    <t>XS2587421681</t>
  </si>
  <si>
    <t>11</t>
  </si>
  <si>
    <t>Sunshine</t>
  </si>
  <si>
    <t>XS2526839092</t>
  </si>
  <si>
    <t>中国光大银行股份有限公司香港分行</t>
  </si>
  <si>
    <t>10</t>
  </si>
  <si>
    <t>Sunrise II</t>
  </si>
  <si>
    <t>XS2589270953</t>
  </si>
  <si>
    <t>赣州城市投资控股集团有限责任公司</t>
  </si>
  <si>
    <t>8</t>
  </si>
  <si>
    <t>Golden III</t>
  </si>
  <si>
    <t>XS2584378025</t>
  </si>
  <si>
    <t>交通银行股份有限公司香港分行</t>
  </si>
  <si>
    <t>9</t>
  </si>
  <si>
    <t>Turquoise</t>
  </si>
  <si>
    <t>G238030</t>
  </si>
  <si>
    <t>淮北市公用事业资产运营有限公司</t>
  </si>
  <si>
    <t>7</t>
  </si>
  <si>
    <t>TianmuMountain II</t>
  </si>
  <si>
    <t>XS2540489338</t>
  </si>
  <si>
    <t>湖州经开投资发展集团有限公司</t>
  </si>
  <si>
    <t>6</t>
  </si>
  <si>
    <t>Spring Radiance IV</t>
  </si>
  <si>
    <t>G238025</t>
  </si>
  <si>
    <t>5</t>
  </si>
  <si>
    <t>Inkcity III</t>
  </si>
  <si>
    <t>G238032</t>
  </si>
  <si>
    <t>青岛市即墨区城市开发投资有限公司</t>
  </si>
  <si>
    <t>4</t>
  </si>
  <si>
    <t>Polaris</t>
  </si>
  <si>
    <t>G238027</t>
  </si>
  <si>
    <t>2</t>
  </si>
  <si>
    <t>Chenfan II Tap</t>
  </si>
  <si>
    <t>XS2576128727</t>
  </si>
  <si>
    <t>厦门象屿集团有限公司</t>
  </si>
  <si>
    <t>Pine</t>
  </si>
  <si>
    <t>HK0000898319</t>
  </si>
  <si>
    <t>中国民生银行股份有限公司香港分行</t>
  </si>
  <si>
    <t>【Y】</t>
  </si>
  <si>
    <t>可调利率</t>
  </si>
  <si>
    <t>[增发]</t>
  </si>
  <si>
    <t>黄石市城市发展投资集团有限公司</t>
  </si>
  <si>
    <t>HK0000968419</t>
  </si>
  <si>
    <t>Guosen Securities (HK) Capital Company Limited</t>
  </si>
  <si>
    <t>China Galaxy International Securities (Hong Kong) Company Limited;Orient Securities (Hong Kong) Limited;Essence International Securities (Hong Kong) Limited;CLSA Securities Limited;Industrial Bank Co., Ltd. Hong Kong Branch;CNCB (Hong Kong) Capital Limited;Shanghai Pudong Development Bank Hong Kong Branch;JQ Securities (Hong Kong) Limited;Donghai International Securities (Hong Kong) Limited;JA Securities Limited;Guotai Junan Securities (Hong Kong) Limited</t>
  </si>
  <si>
    <t>HSCFTZ 3.9 12/07/26</t>
  </si>
  <si>
    <t>黄石城发 3.9 2026-12-07</t>
  </si>
  <si>
    <t>中国邮政储蓄银行股份有限公司黄石分行</t>
  </si>
  <si>
    <t>湖北省</t>
  </si>
  <si>
    <t>黄石市</t>
  </si>
  <si>
    <t>用于营运资金补充</t>
  </si>
  <si>
    <t>HSCFTZ</t>
  </si>
  <si>
    <t>Industrial Bank Co., Ltd. Hong Kong Branch;Guosen Securities (HK) Capital Company Limited;CNCB (Hong Kong) Capital Limited;China Galaxy International Securities (Hong Kong) Company Limited;Orient Securities (Hong Kong) Limited;Guotai Junan Securities (Hong Kong) Limited;Essence International Securities (Hong Kong) Limited;Shanghai Pudong Development Bank Hong Kong Branch;JQ Securities (Hong Kong) Limited;CLSA Securities Limited;Donghai International Securities (Hong Kong) Limited;JA Securities Limited</t>
  </si>
  <si>
    <t>231130HK0000968419</t>
  </si>
  <si>
    <t>寿光市城投控股集团有限公司</t>
  </si>
  <si>
    <t>XS2708035634</t>
  </si>
  <si>
    <t>8.5%</t>
  </si>
  <si>
    <t>8.50 %</t>
  </si>
  <si>
    <t>Shenwan Hongyuan Securities (H.K.) Limited;Essence International Securities (Hong Kong) Limited;Yuan Tong Global Securities Limited;AMC Wanhai Securities Limited;CNI Securities Group Ltd</t>
  </si>
  <si>
    <t>SHGCON 8.5 12/08/25</t>
  </si>
  <si>
    <t>寿光城投控股集团 8.5 2025-12-08</t>
  </si>
  <si>
    <t>2.0000</t>
  </si>
  <si>
    <t>潍坊市</t>
  </si>
  <si>
    <t>用于项目投资及补充其营运资金</t>
  </si>
  <si>
    <t>SHGCON</t>
  </si>
  <si>
    <t>寿光市城市建设投资开发有限公司</t>
  </si>
  <si>
    <t>CNI Securities Group Ltd;Shenwan Hongyuan Securities (H.K.) Limited;Yuan Tong Global Securities Limited;AMC Wanhai Securities Limited;Essence International Securities (Hong Kong) Limited</t>
  </si>
  <si>
    <t>231130XS2708035634</t>
  </si>
  <si>
    <t>威海市环通产业投资集团有限公司</t>
  </si>
  <si>
    <t>XS2728232948</t>
  </si>
  <si>
    <t>CEB International Capital Corporation Limited;Golden Rich Securities Limited</t>
  </si>
  <si>
    <t>China Credit International Securities Co., Limited;CNI Securities Group Ltd;Shenwan Hongyuan Securities (H.K.) Limited;CNCB (Hong Kong) Capital Limited;China Galaxy International Securities (Hong Kong) Company Limited;Dongxing Securities (Hong Kong) Company Limited;Haitong International Securities Company Limited</t>
  </si>
  <si>
    <t>WHHTCT 7.5 12/03/24</t>
  </si>
  <si>
    <t>威海市环通产业投资集团有限公司 7.5 2024-12-03</t>
  </si>
  <si>
    <t>威海市</t>
  </si>
  <si>
    <t>净收益将用于（i）集团的营运资金，（ii）向集团内部公司和关联公司借款，以及（iii）资助短期项目的建设</t>
  </si>
  <si>
    <t>WHHTCT</t>
  </si>
  <si>
    <t>China Credit International Securities Co., Limited;CNI Securities Group Ltd;Golden Rich Securities Limited;Shenwan Hongyuan Securities (H.K.) Limited;CNCB (Hong Kong) Capital Limited;CEB International Capital Corporation Limited;China Galaxy International Securities (Hong Kong) Company Limited;Dongxing Securities (Hong Kong) Company Limited;Haitong International Securities Company Limited</t>
  </si>
  <si>
    <t>231130XS2728232948</t>
  </si>
  <si>
    <t>日照城投集团有限公司</t>
  </si>
  <si>
    <t>HK0000968609</t>
  </si>
  <si>
    <t>城投(DMI)</t>
  </si>
  <si>
    <t>4.7%</t>
  </si>
  <si>
    <t>RZCTJT 4.7 12/06/26</t>
  </si>
  <si>
    <t>日照城投 4.7 2026-12-06</t>
  </si>
  <si>
    <t>SBLC+担保+维好协议</t>
  </si>
  <si>
    <t>青岛银行股份有限公司日照分行</t>
  </si>
  <si>
    <t>日照市</t>
  </si>
  <si>
    <t>为补充营运资金</t>
  </si>
  <si>
    <t>RZCTJT</t>
  </si>
  <si>
    <t>RIZHAO CHENGTOU (BVI) CO., LTD</t>
  </si>
  <si>
    <t>日照市城市建设投资集团有限公司</t>
  </si>
  <si>
    <t>231129HK0000968609</t>
  </si>
  <si>
    <t>HTIFIH 6 09/06/24</t>
  </si>
  <si>
    <t>0.7507</t>
  </si>
  <si>
    <t>HTIFIH</t>
  </si>
  <si>
    <t>HUATAI INTERNATIONAL FINANCE LTD</t>
  </si>
  <si>
    <t>中航国际融资租赁有限公司</t>
  </si>
  <si>
    <t>XS2720000426</t>
  </si>
  <si>
    <t>6.65%a</t>
  </si>
  <si>
    <t>6.15%(+/-2.5)</t>
  </si>
  <si>
    <t>银行/金融机构：66%
公司：16%
基金管理 / 资产管理 / 保险公司 / 其他：18%</t>
  </si>
  <si>
    <t>亚洲：98%
欧洲、中东和非洲：2%</t>
  </si>
  <si>
    <t>6.65% 区域</t>
  </si>
  <si>
    <t>6.15% (+/- 2.5 bps, WPIR)</t>
  </si>
  <si>
    <t>ABC International Holdings Limited;China CITIC Bank International Limited;China Galaxy International Securities (Hong Kong) Company Limited;China Securities (International) Corporate Finance Company Limited;CLSA Securities Limited;CMBC Capital Holdings;CNCB (Hong Kong) Capital Limited;DBS Bank Ltd;Guotai Junan International Holdings;Haitong International Securities Company Limited;ICBC International Securities Limited;SMBC Nikko Securities (Hong Kong) Limited;SPDB International Capital Limited</t>
  </si>
  <si>
    <t>AVIILC 6.125 12/05/26</t>
  </si>
  <si>
    <t>中航租赁 6.125 2026-12-05</t>
  </si>
  <si>
    <t>Baa1/--</t>
  </si>
  <si>
    <t>稳定/--</t>
  </si>
  <si>
    <t>上海市</t>
  </si>
  <si>
    <t>浦东新区</t>
  </si>
  <si>
    <t>用于债务置换</t>
  </si>
  <si>
    <t>AVIILC</t>
  </si>
  <si>
    <t>SOAR WIND LTD</t>
  </si>
  <si>
    <t>6.125%</t>
  </si>
  <si>
    <t>Guotai Junan International Holdings;CMBC Capital Holdings;ICBC International Securities Limited;China Galaxy International Securities (Hong Kong) Company Limited;CLSA Securities Limited;SPDB International Capital Limited;SMBC Nikko Securities (Hong Kong) Limited;DBS Bank Ltd;CNCB (Hong Kong) Capital Limited;China CITIC Bank International Limited;ABC International Holdings Limited;China Securities (International) Corporate Finance Company Limited;Haitong International Securities Company Limited</t>
  </si>
  <si>
    <t>Baa1/--/A-</t>
  </si>
  <si>
    <t>231129XS2720000426</t>
  </si>
  <si>
    <t>KY</t>
  </si>
  <si>
    <t>XS2728663688</t>
  </si>
  <si>
    <t>SHGCON 9 12/01/25</t>
  </si>
  <si>
    <t>寿光城投控股集团 9 2025-12-01</t>
  </si>
  <si>
    <t>2.0Y</t>
  </si>
  <si>
    <t>231128XS2728663688</t>
  </si>
  <si>
    <t>XS2672283293</t>
  </si>
  <si>
    <t>T5+200a</t>
  </si>
  <si>
    <t>T5+165</t>
  </si>
  <si>
    <t>CT5+200 bps 区域</t>
  </si>
  <si>
    <t>CT5+ 165 bps</t>
  </si>
  <si>
    <t>China CITIC Bank International Limited;Citigroup Global Markets Limited;CNCB (Hong Kong) Capital Limited;CLSA Limited;China Securities (International) Corporate Finance Company Limited</t>
  </si>
  <si>
    <t>ABCI Capital Limited;Agricultural Bank of China Limited Hong Kong Branch;Bank of China Limited;Bank of Communications Co., Ltd. Hong Kong Branch;BNP Paribas;BOCOM International Securities Limited;CCB International Capital Limited;China Construction Bank (Asia) Corporation Limited;China Everbright Bank Co., Ltd Hong Kong Branch;China Galaxy International Securities (Hong Kong) Co., Limited;China International Capital Corporation Hong Kong Securities Limited;China Minsheng Banking Corp., Ltd., Hong Kong Branch;CMB International Capital Limited;CMB Wing Lung Bank Limited;CMBC Securities Company Limited;DBS Bank Ltd;Guotai Junan Securities (Hong Kong) Limited;Haitong International Securities Company Limited;Huatai Financial Holdings (Hong Kong) Limited;ICBC International Securities Limited;Industrial Bank Co., Ltd. Hong Kong Branch;Mizuho Securities Asia Limited;Nomura Singapore Limited;Shanghai Pudong Development Bank Co., Ltd., Hong Kong Branch;SMBC Nikko Securities (Hong Kong) Limited;Standard Chartered Bank;Wells Fargo Securities International Limited;Zhongtai International Securities Limited</t>
  </si>
  <si>
    <t>CINDBK 6 12/05/33</t>
  </si>
  <si>
    <t>中信银行(国际) 6 2033-12-05</t>
  </si>
  <si>
    <t>A3/--</t>
  </si>
  <si>
    <t>10.0000</t>
  </si>
  <si>
    <t>Subordinated</t>
  </si>
  <si>
    <t>用于资金和一般公司用途</t>
  </si>
  <si>
    <t>CINDBK</t>
  </si>
  <si>
    <t>6.000%</t>
  </si>
  <si>
    <t>可选择赎回：一次性发行人在赎回日的认购期权，须事先取得金融管理局的书面同意</t>
  </si>
  <si>
    <t>Nomura Singapore Limited;Wells Fargo Securities International Limited;CCB International Capital Limited;Zhongtai International Securities Limited;Bank of Communications Co., Ltd. Hong Kong Branch;Industrial Bank Co., Ltd. Hong Kong Branch;DBS Bank Ltd;China International Capital Corporation Hong Kong Securities Limited;CNCB (Hong Kong) Capital Limited;Huatai Financial Holdings (Hong Kong) Limited;Guotai Junan Securities (Hong Kong) Limited;Mizuho Securities Asia Limited;CMBC Securities Company Limited;Haitong International Securities Company Limited;China Securities (International) Corporate Finance Company Limited;CLSA Limited;Bank of China Limited;China Everbright Bank Co., Ltd Hong Kong Branch;China Minsheng Banking Corp., Ltd., Hong Kong Branch;ICBC International Securities Limited;CMB International Capital Limited;Standard Chartered Bank;SMBC Nikko Securities (Hong Kong) Limited;BOCOM International Securities Limited;China Construction Bank (Asia) Corporation Limited;China CITIC Bank International Limited;China Galaxy International Securities (Hong Kong) Co., Limited;Agricultural Bank of China Limited Hong Kong Branch;CMB Wing Lung Bank Limited;Shanghai Pudong Development Bank Co., Ltd., Hong Kong Branch;ABCI Capital Limited;Citigroup Global Markets Limited;BNP Paribas</t>
  </si>
  <si>
    <t>Baa2/--/--</t>
  </si>
  <si>
    <t>A3/--/BBB+</t>
  </si>
  <si>
    <t>231128XS2672283293</t>
  </si>
  <si>
    <t>苏州苏高新集团有限公司</t>
  </si>
  <si>
    <t>XS2719904992</t>
  </si>
  <si>
    <t>6.35%a</t>
  </si>
  <si>
    <t>5.95%</t>
  </si>
  <si>
    <t>6.35% 区域</t>
  </si>
  <si>
    <t>China Securities (International) Corporate Finance Company Limited;Bank of China Limited, Singapore Branch;CLSA Limited</t>
  </si>
  <si>
    <t>Shenwan Hongyuan Securities (H.K.) Limited;China Everbright Bank Co., Ltd Hong Kong Branch;China Galaxy International Securities (Hong Kong) Company Limited;China Industrial Securities International Brokerage Limited;Luso International Banking Ltd;Hua Xia Bank Co., Limited Hong Kong Branch;Industrial Bank Co., Ltd. Hong Kong Branch;CNCB (Hong Kong) Capital Limited;China International Capital Corporation Hong Kong Securities Limited;Huatai Financial Holdings (Hong Kong) Limited;Shanghai Pudong Development Bank Hong Kong Branch;CMBC Securities Company Limited;Haitong International Securities Company Limited</t>
  </si>
  <si>
    <t>SNDINT 5.95 12/04/26</t>
  </si>
  <si>
    <t>苏高新集团 5.95 2026-12-04</t>
  </si>
  <si>
    <t>苏州市</t>
  </si>
  <si>
    <t>虎丘区</t>
  </si>
  <si>
    <t>所得款项净额，经扣除与发行债券有关的佣金及其他应付费用及开支后，将根据集团的可持续财务框架，用作现有债务及营运资金的再融资。</t>
  </si>
  <si>
    <t>SNDINT</t>
  </si>
  <si>
    <t>苏高新国际(BVI)有限公司</t>
  </si>
  <si>
    <t>CLSA Limited;Shenwan Hongyuan Securities (H.K.) Limited;China Everbright Bank Co., Ltd Hong Kong Branch;China Galaxy International Securities (Hong Kong) Company Limited;China Industrial Securities International Brokerage Limited;Luso International Banking Ltd;Hua Xia Bank Co., Limited Hong Kong Branch;Industrial Bank Co., Ltd. Hong Kong Branch;CNCB (Hong Kong) Capital Limited;China International Capital Corporation Hong Kong Securities Limited;Huatai Financial Holdings (Hong Kong) Limited;Shanghai Pudong Development Bank Hong Kong Branch;Bank of China Limited, Singapore Branch;CMBC Securities Company Limited;Haitong International Securities Company Limited;China Securities (International) Corporate Finance Company Limited</t>
  </si>
  <si>
    <t>--/--/BBB+</t>
  </si>
  <si>
    <t>SUSTAINABLE</t>
  </si>
  <si>
    <t>231127XS2719904992</t>
  </si>
  <si>
    <t>杭州市拱墅区国有投资集团有限公司</t>
  </si>
  <si>
    <t>HK0000968153</t>
  </si>
  <si>
    <t>4.7%a</t>
  </si>
  <si>
    <t>4.3%</t>
  </si>
  <si>
    <t>4.70 % area</t>
  </si>
  <si>
    <t>Soochow Securities Company Limited;Aden Financial Group Limited</t>
  </si>
  <si>
    <t>Zhongtai International;China CITIC Bank International Limited;China Enterprise Securities Company Limited;China Galaxy International Securities (Hong Kong) Company Limited;Guotai Junan Securities (Hong Kong) Limited;Bank of China Limited, Singapore Branch;Donghai International Securities (Hong Kong) Limited;China Securities (International) Corporate Finance Company Limited</t>
  </si>
  <si>
    <t>HZGSGT 4.3 12/05/26</t>
  </si>
  <si>
    <t>拱墅国投集团 4.3 2026-12-05</t>
  </si>
  <si>
    <t>医疗服务</t>
  </si>
  <si>
    <t>用于开发及建设集团在中国的项目及补充集团的营运资金</t>
  </si>
  <si>
    <t>HZGSGT</t>
  </si>
  <si>
    <t>杭州拱墅国投集团(香港)有限公司</t>
  </si>
  <si>
    <t>Zhongtai International;Soochow Securities Company Limited;China CITIC Bank International Limited;Aden Financial Group Limited;China Enterprise Securities Company Limited;China Galaxy International Securities (Hong Kong) Company Limited;Guotai Junan Securities (Hong Kong) Limited;Bank of China Limited, Singapore Branch;Donghai International Securities (Hong Kong) Limited;China Securities (International) Corporate Finance Company Limited</t>
  </si>
  <si>
    <t>231127HK0000968153</t>
  </si>
  <si>
    <t>HK0000968641</t>
  </si>
  <si>
    <t>Wilson Securities Limited;Initial Capital Securities Limited;Fosun International Securities Limited;CLSA Limited;CEB International Capital Corporation Limited;China Minsheng Banking Corp., Ltd., Hong Kong Branch;China Zheshang Bank Co., Ltd. Hong Kong Branch;CNCB (Hong Kong) Capital Limited;Industrial Bank Co., Ltd. Hong Kong Branch;Shenwan Hongyuan Securities (H.K.) Limited</t>
  </si>
  <si>
    <t>RZCCIV 3.9 12/06/26</t>
  </si>
  <si>
    <t>日照市城市建设投资集团有限公司 3.9 2026-12-06</t>
  </si>
  <si>
    <t>中国邮政储蓄银行股份有限公司日照分行</t>
  </si>
  <si>
    <t>用于项目建设</t>
  </si>
  <si>
    <t>RZCCIV</t>
  </si>
  <si>
    <t>Fosun International Securities Limited;CLSA Limited;Shenwan Hongyuan Securities (H.K.) Limited;Initial Capital Securities Limited;Industrial Bank Co., Ltd. Hong Kong Branch;China Minsheng Banking Corp., Ltd., Hong Kong Branch;CNCB (Hong Kong) Capital Limited;CEB International Capital Corporation Limited;China Zheshang Bank Co., Ltd. Hong Kong Branch;Wilson Securities Limited</t>
  </si>
  <si>
    <t>231127HK0000968641</t>
  </si>
  <si>
    <t>XS2729157250</t>
  </si>
  <si>
    <t>SOFR+110</t>
  </si>
  <si>
    <t>CMINLE FLOAT 11/30/26</t>
  </si>
  <si>
    <t>招银租赁 FLOAT 2026-11-30</t>
  </si>
  <si>
    <t>A3/BBB+</t>
  </si>
  <si>
    <t>正面/正面</t>
  </si>
  <si>
    <t>CMINLE</t>
  </si>
  <si>
    <t>O/N SOFR +110.000</t>
  </si>
  <si>
    <t>CMB INTERNATIONAL LEASING MANAGEMENT LTD</t>
  </si>
  <si>
    <t>A3/--/--</t>
  </si>
  <si>
    <t>A2/BBB+/--</t>
  </si>
  <si>
    <t>231127XS2729157250</t>
  </si>
  <si>
    <t>NZICBDT011C9</t>
  </si>
  <si>
    <t>3m BKBM+115</t>
  </si>
  <si>
    <t>ICBCAS FLOAT 06/02/26</t>
  </si>
  <si>
    <t>中国工商银行 FLOAT 2026-06-02</t>
  </si>
  <si>
    <t>ICBCAS</t>
  </si>
  <si>
    <t>QUARTLY NFIXF +115.000</t>
  </si>
  <si>
    <t>中国工商银行(新西兰)有限公司</t>
  </si>
  <si>
    <t>Westpac Banking</t>
  </si>
  <si>
    <t>A1/A/--</t>
  </si>
  <si>
    <t>231127NZICBDT011C9</t>
  </si>
  <si>
    <t>NZ</t>
  </si>
  <si>
    <t>XS2729203898</t>
  </si>
  <si>
    <t>CSCIF 5.3 02/29/24</t>
  </si>
  <si>
    <t>中信建投国际 5.3 2024-02-29</t>
  </si>
  <si>
    <t>0.2521</t>
  </si>
  <si>
    <t>231127XS2729203898</t>
  </si>
  <si>
    <t>XS2723255969</t>
  </si>
  <si>
    <t>SHGCON 8.8 06/06/25</t>
  </si>
  <si>
    <t>寿光城投控股集团 8.8 2025-06-06</t>
  </si>
  <si>
    <t>1.4986</t>
  </si>
  <si>
    <t>231124XS2723255969</t>
  </si>
  <si>
    <t>交银租赁管理香港有限公司</t>
  </si>
  <si>
    <t>XS2728488078</t>
  </si>
  <si>
    <t>China CITIC Bank International Limited</t>
  </si>
  <si>
    <t>BCLMHK 3.35 12/01/26</t>
  </si>
  <si>
    <t>交银租赁香港 3.35 2026-12-01</t>
  </si>
  <si>
    <t>A3/A-</t>
  </si>
  <si>
    <t>BCLMHK</t>
  </si>
  <si>
    <t>A2/A-/A</t>
  </si>
  <si>
    <t>231124XS2728488078</t>
  </si>
  <si>
    <t>9%</t>
  </si>
  <si>
    <t>6%</t>
  </si>
  <si>
    <t>1.5</t>
  </si>
  <si>
    <t>8.8%</t>
  </si>
  <si>
    <t>黄石分行</t>
  </si>
  <si>
    <t>日照分行</t>
  </si>
  <si>
    <t>0.8</t>
  </si>
  <si>
    <t>9个月</t>
  </si>
  <si>
    <t>SUSTAINABLE可持续债券</t>
  </si>
  <si>
    <t>5.3%</t>
  </si>
  <si>
    <t>0.3</t>
  </si>
  <si>
    <t>3.35%</t>
  </si>
  <si>
    <t>日照城投</t>
  </si>
  <si>
    <t>Canal</t>
  </si>
  <si>
    <t>2023</t>
  </si>
  <si>
    <t>信银国际、花旗、信银资本、中信里昂、中信建投国际</t>
  </si>
  <si>
    <t>农银国际、农银港分、中银、交银港分、法巴、交银国际、建银国际、建银亚洲、光银港分、银河、中金、民银港分、招银国际、永隆、民银资本、星展、国君国际、海通国际、华泰、工银国际、兴业港分、瑞穗、野村、浦银港分、日兴、渣打、富国银行、中泰</t>
  </si>
  <si>
    <t>美国第三季经济增速上修至5.2%，但高利率似乎已导致动能减弱。</t>
  </si>
  <si>
    <t>OPEC+将从明年起减产约90万桶/日，但交易员担心实际减产效果或低于预期。</t>
  </si>
  <si>
    <t>习近平主持召开推进长三角一体化发展座谈会，强调加强科技和产业创新。</t>
  </si>
  <si>
    <t>https://finance.sina.com.cn/world/2023-12-01/doc-imzwmxmm7949911.shtml</t>
  </si>
  <si>
    <t>美联储决策者周四暗示，加息可能已经结束，但若通胀进展停滞不前，仍有可能进一步收紧货币政策，并打压市场对美联储将迅速转向降息的预期。美国10月个人消费支出（PCE）价格指数同比上涨3%，较三个月来的3.4%涨幅有所放缓，但仍高于美联储2%的目标。</t>
  </si>
  <si>
    <t>https://finance.sina.com.cn/stock/hkstock/ggscyd/2023-12-01/doc-imzwnqic7666972.shtml</t>
  </si>
  <si>
    <t>http://www.news.cn/2023-11/30/c_1130000204.htm</t>
  </si>
  <si>
    <t>http://www.xinhuanet.com/politics/leaders/2020-08/22/c_1126399990.htm</t>
  </si>
  <si>
    <t>國家統計局服務業調查中心及中國物流與採購聯合會公布，11月製造業採購經理指數(PMI)跌至49.4，低於10月的49.5，差過市場預期的49.7，連續2個月處於50以下收縮水平，創4個月低位。</t>
  </si>
  <si>
    <t>https://news.rthk.hk/rthk/ch/component/k2/1730090-20231130.htm</t>
  </si>
  <si>
    <t>2023/12/18</t>
  </si>
  <si>
    <t>【2021年项目】</t>
  </si>
  <si>
    <t>国电投优先股有限公司1号</t>
  </si>
  <si>
    <t>国电投优先股有限公司2号</t>
  </si>
  <si>
    <t>Canal 2023</t>
  </si>
  <si>
    <t xml:space="preserve">XS2672283293 </t>
  </si>
  <si>
    <t>中信银行（国际）有限公司</t>
  </si>
  <si>
    <t>80</t>
  </si>
  <si>
    <t>Lotus V</t>
  </si>
  <si>
    <t>79</t>
  </si>
  <si>
    <t>重庆市万盛工业园区开发建设有限公司</t>
  </si>
  <si>
    <t>XS2729855887</t>
  </si>
  <si>
    <t>点心债</t>
  </si>
  <si>
    <t>7.50%</t>
  </si>
  <si>
    <t>China Industrial Securities International Brokerage Limited</t>
  </si>
  <si>
    <t>AMC Wanhai Securities Ltd;Zhonghui International Securities Limited;Sino Opulence Securities Limited;JA Securities Limited</t>
  </si>
  <si>
    <t>CWIPDC 7.5 12/06/26</t>
  </si>
  <si>
    <t>重庆市万盛工业园区开发建设有限公司 7.5 2026-12-06</t>
  </si>
  <si>
    <t>重庆市</t>
  </si>
  <si>
    <t>綦江区</t>
  </si>
  <si>
    <t>重庆市万盛经开区</t>
  </si>
  <si>
    <t>园区开发</t>
  </si>
  <si>
    <t>用于项目融资和补充营运资本</t>
  </si>
  <si>
    <t>CWIPDC</t>
  </si>
  <si>
    <t>AMC Wanhai Securities Ltd;Zhonghui International Securities Limited;Sino Opulence Securities Limited;JA Securities Limited;China Industrial Securities International Brokerage Limited</t>
  </si>
  <si>
    <t>231201XS2729855887</t>
  </si>
  <si>
    <t>济南城市建设集团有限公司</t>
  </si>
  <si>
    <t>HK0000971637</t>
  </si>
  <si>
    <t>IsBOCOM</t>
  </si>
  <si>
    <t>Guotai Junan Securities (Hong Kong) Limited</t>
  </si>
  <si>
    <t>CNCB (Hong Kong) Capital Limited;GF Securities (Hong Kong) Brokerage Limited;Shanghai Pudong Development Bank Hong Kong Branch;China Galaxy International Securities (Hong Kong) Co., Limited;SPDB International Capital Limited;Bank of Communications Co., Ltd. Macau Branch;BOCOM International Securities Limited;Shenwan Hongyuan Securities (H.K.) Limited;Industrial Bank Co., Ltd. Hong Kong Branch;CLSA Limited;China CITIC Bank International Limited</t>
  </si>
  <si>
    <t>JNUCGC 4 12/08/26</t>
  </si>
  <si>
    <t>济南城市建设集团 4 2026-12-08</t>
  </si>
  <si>
    <t>济南市</t>
  </si>
  <si>
    <t>The net proceeds will be used for project investment and to supplement working capital</t>
  </si>
  <si>
    <t>JNUCGC</t>
  </si>
  <si>
    <t>济南建设国际投资有限公司</t>
  </si>
  <si>
    <t>4.0%</t>
  </si>
  <si>
    <t>Bank of Communications Co., Ltd. Macau Branch;CLSA Limited;Shenwan Hongyuan Securities (H.K.) Limited;Industrial Bank Co., Ltd. Hong Kong Branch;BOCOM International Securities Limited;CNCB (Hong Kong) Capital Limited;China CITIC Bank International Limited;China Galaxy International Securities (Hong Kong) Co., Limited;Guotai Junan Securities (Hong Kong) Limited;Shanghai Pudong Development Bank Hong Kong Branch;GF Securities (Hong Kong) Brokerage Limited;SPDB International Capital Limited</t>
  </si>
  <si>
    <t>Baa1/--/BBB+</t>
  </si>
  <si>
    <t>231201HK0000971637</t>
  </si>
  <si>
    <t>杭州钱塘新区建设投资集团有限公司</t>
  </si>
  <si>
    <t>XS2717885763</t>
  </si>
  <si>
    <t>QTJTBV 6.6 12/04/24</t>
  </si>
  <si>
    <t>建设集团 6.6 2024-12-04</t>
  </si>
  <si>
    <t>QTJTBV</t>
  </si>
  <si>
    <t>QIANTANG JIANTOU BVI LTD</t>
  </si>
  <si>
    <t>231201XS2717885763</t>
  </si>
  <si>
    <t>景德镇合盛产业投资发展有限公司</t>
  </si>
  <si>
    <t>HK0000971553</t>
  </si>
  <si>
    <t>4.2%a</t>
  </si>
  <si>
    <t>4.2%区域</t>
  </si>
  <si>
    <t>3.9% </t>
  </si>
  <si>
    <t>Tensant Securities Limited;BOWLEA SECURITIES LIMITED;China Galaxy International Securities (Hong Kong) Company Limited;Carlyon Securities Limited</t>
  </si>
  <si>
    <t>CEB International Capital Corporation Limited;CCB International Capital Limited;CLSA Securities Limited;Industrial Bank Co., Ltd. Hong Kong Branch;CNCB (Hong Kong) Capital Limited;China Zheshang Bank Co., Ltd. Hong Kong Branch;China CITIC Bank International Limited;Shanghai Pudong Development Bank Hong Kong Branch;SunRiver International Securities Group Limited;ABCI Capital Limited;CMBC Securities Company Limited</t>
  </si>
  <si>
    <t>HSCTFZ 3.9 11/08/26</t>
  </si>
  <si>
    <t>合盛公司 3.9 2026-11-08</t>
  </si>
  <si>
    <t>2.9178</t>
  </si>
  <si>
    <t>中国邮政储蓄银行股份有限公司景德镇分行</t>
  </si>
  <si>
    <t>江西省</t>
  </si>
  <si>
    <t>景德镇市</t>
  </si>
  <si>
    <t>2.93Y</t>
  </si>
  <si>
    <t>为按照可持续金融框架对符合条件的项目进行融资或再融资，并在国家发展和改革委员会（NDRC）证书的限制范围内补充营运资金。</t>
  </si>
  <si>
    <t>HSCTFZ</t>
  </si>
  <si>
    <t>CEB International Capital Corporation Limited;CCB International Capital Limited;China Galaxy International Securities (Hong Kong) Company Limited;CLSA Securities Limited;Industrial Bank Co., Ltd. Hong Kong Branch;CNCB (Hong Kong) Capital Limited;BOWLEA SECURITIES LIMITED;Carlyon Securities Limited;China Zheshang Bank Co., Ltd. Hong Kong Branch;China CITIC Bank International Limited;Shanghai Pudong Development Bank Hong Kong Branch;SunRiver International Securities Group Limited;ABCI Capital Limited;Tensant Securities Limited;CMBC Securities Company Limited</t>
  </si>
  <si>
    <t>231201HK0000971553</t>
  </si>
  <si>
    <t>XS2715152869</t>
  </si>
  <si>
    <t>6.75%a</t>
  </si>
  <si>
    <t>6.3%</t>
  </si>
  <si>
    <t>6.75%区域</t>
  </si>
  <si>
    <t>China International Capital Corporation Hong Kong Securities Limited;Guotai Junan Securities (Hong Kong) Limited;Bank of China Limited, Singapore Branch</t>
  </si>
  <si>
    <t>China Galaxy International Securities (Hong Kong) Company Limited;CLSA Securities Limited;SPDB International Capital Limited;Bank of Communications Co., Ltd. Hong Kong Branch;Hua Xia Bank Co., Limited Hong Kong Branch;Industrial Bank Co., Ltd. Hong Kong Branch;CNCB (Hong Kong) Capital Limited;Huatai Financial Holdings (Hong Kong) Limited;CMBC Securities Company Limited;China Securities (International) Corporate Finance Company Limited</t>
  </si>
  <si>
    <t>GZGETH 6.3 12/06/25</t>
  </si>
  <si>
    <t>广开控股 6.3 2025-12-06</t>
  </si>
  <si>
    <t>Baa2/--</t>
  </si>
  <si>
    <t>负面/--</t>
  </si>
  <si>
    <t>香港交易所;新加坡交易所;中华（澳门）金融资产交易股份有限公司;卢森堡交易所</t>
  </si>
  <si>
    <t>广东省</t>
  </si>
  <si>
    <t>广州市</t>
  </si>
  <si>
    <t>电力</t>
  </si>
  <si>
    <t>用于融资和/或再融资符合公司绿色金融框架定义的符合条件的绿色项目</t>
  </si>
  <si>
    <t>GZGETH</t>
  </si>
  <si>
    <t>China Galaxy International Securities (Hong Kong) Company Limited;CLSA Securities Limited;SPDB International Capital Limited;Bank of Communications Co., Ltd. Hong Kong Branch;Hua Xia Bank Co., Limited Hong Kong Branch;Industrial Bank Co., Ltd. Hong Kong Branch;CNCB (Hong Kong) Capital Limited;China International Capital Corporation Hong Kong Securities Limited;Huatai Financial Holdings (Hong Kong) Limited;Guotai Junan Securities (Hong Kong) Limited;Bank of China Limited, Singapore Branch;CMBC Securities Company Limited;China Securities (International) Corporate Finance Company Limited</t>
  </si>
  <si>
    <t>231201XS2715152869</t>
  </si>
  <si>
    <t>南平武夷集团有限公司</t>
  </si>
  <si>
    <t>HK0000963394</t>
  </si>
  <si>
    <t>3.9%a</t>
  </si>
  <si>
    <t>3.7%</t>
  </si>
  <si>
    <t>3.9%区域</t>
  </si>
  <si>
    <t>Sigma Capital;ICBC International Securities Limited;Sinolink Securities (Hong Kong) Company Limited</t>
  </si>
  <si>
    <t>TFI Securities and Futures Limited;CEB International Capital Corporation Limited;China Galaxy International Securities (Hong Kong) Company Limited;Orient Securities (Hong Kong) Limited;Soochow Securities Company Limited;Bank of Communications Co., Ltd. Hong Kong Branch;Industrial Bank Co., Ltd. Hong Kong Branch;BOCOM International Securities Limited;Industrial and Commercial Bank of China (Asia) Limited;China CITIC Bank International Limited;Guotai Junan Securities (Hong Kong) Limited;Bank of China Limited, Singapore Branch;China Securities (International) Corporate Finance Company Limited</t>
  </si>
  <si>
    <t>NPWYJT 3.7 12/08/26</t>
  </si>
  <si>
    <t>武夷集团 3.7 2026-12-08</t>
  </si>
  <si>
    <t>中国工商银行股份有限公司福建分行</t>
  </si>
  <si>
    <t>福建省</t>
  </si>
  <si>
    <t>南平市</t>
  </si>
  <si>
    <t>根据国家发改委证书，用于建设项目和补充营运资本。</t>
  </si>
  <si>
    <t>NPWYJT</t>
  </si>
  <si>
    <t>TFI Securities and Futures Limited;CEB International Capital Corporation Limited;ICBC International Securities Limited;China Galaxy International Securities (Hong Kong) Company Limited;Orient Securities (Hong Kong) Limited;Sinolink Securities (Hong Kong) Company Limited;Soochow Securities Company Limited;Bank of Communications Co., Ltd. Hong Kong Branch;Industrial Bank Co., Ltd. Hong Kong Branch;BOCOM International Securities Limited;Sigma Capital;Industrial and Commercial Bank of China (Asia) Limited;China CITIC Bank International Limited;Guotai Junan Securities (Hong Kong) Limited;Bank of China Limited, Singapore Branch;China Securities (International) Corporate Finance Company Limited</t>
  </si>
  <si>
    <t>231201HK0000963394</t>
  </si>
  <si>
    <t>XS2730770497</t>
  </si>
  <si>
    <t>HTIFIH 6.4 06/07/24</t>
  </si>
  <si>
    <t>华泰国际 6.4 2024-06-07</t>
  </si>
  <si>
    <t>0.4986</t>
  </si>
  <si>
    <t>186D</t>
  </si>
  <si>
    <t>231201XS2730770497</t>
  </si>
  <si>
    <t>2.01Y</t>
  </si>
  <si>
    <t>XS2730654741</t>
  </si>
  <si>
    <t>Bank of Communications Co., Ltd. Hong Kong Branch</t>
  </si>
  <si>
    <t>华泰国际 6 2024-09-06</t>
  </si>
  <si>
    <t>277D</t>
  </si>
  <si>
    <t>231129XS2730654741</t>
  </si>
  <si>
    <t>3.0Y+0D</t>
  </si>
  <si>
    <t>XS2730244923</t>
  </si>
  <si>
    <t>China International Capital Corporation Hong Kong Securities Limited</t>
  </si>
  <si>
    <t>CICCHK 5.57 03/06/24</t>
  </si>
  <si>
    <t>中金香港 5.57 2024-03-06</t>
  </si>
  <si>
    <t>Baa1/BBB+</t>
  </si>
  <si>
    <t>0.2466</t>
  </si>
  <si>
    <t>93D</t>
  </si>
  <si>
    <t>CICCHK</t>
  </si>
  <si>
    <t>CICC FINANCIAL PRODUCTS LTD</t>
  </si>
  <si>
    <t>Baa1/BBB+/BBB+</t>
  </si>
  <si>
    <t>231129XS2730244923</t>
  </si>
  <si>
    <t>1.99Y</t>
  </si>
  <si>
    <t>XS2730628588</t>
  </si>
  <si>
    <t>BCHINA 6 12/05/28</t>
  </si>
  <si>
    <t>中国银行 6 2028-12-05</t>
  </si>
  <si>
    <t>5.0000</t>
  </si>
  <si>
    <t>5.0Y</t>
  </si>
  <si>
    <t>BCHINA</t>
  </si>
  <si>
    <t>BANK OF CHINA LTD/MACAU</t>
  </si>
  <si>
    <t>231128XS2730628588</t>
  </si>
  <si>
    <t>XS2730626707</t>
  </si>
  <si>
    <t>BCHINA 0 12/05/28</t>
  </si>
  <si>
    <t>中国银行 0 2028-12-05</t>
  </si>
  <si>
    <t>231128XS2730626707</t>
  </si>
  <si>
    <t>XS2730626459</t>
  </si>
  <si>
    <t>231128XS2730626459</t>
  </si>
  <si>
    <t>XS2730627267</t>
  </si>
  <si>
    <t>231128XS2730627267</t>
  </si>
  <si>
    <t>XS2730627697</t>
  </si>
  <si>
    <t>231128XS2730627697</t>
  </si>
  <si>
    <t>5.0Y+5.0Y</t>
  </si>
  <si>
    <t>2.99Y</t>
  </si>
  <si>
    <t>2.49Y</t>
  </si>
  <si>
    <t>87D</t>
  </si>
  <si>
    <t>5.48Y+5.0Y</t>
  </si>
  <si>
    <t>1.5Y</t>
  </si>
  <si>
    <t>4%</t>
  </si>
  <si>
    <t>6.6%</t>
  </si>
  <si>
    <t>【可持续】</t>
  </si>
  <si>
    <t>2.9</t>
  </si>
  <si>
    <t>港交所;新交所;澳交所;卢交所</t>
  </si>
  <si>
    <t xml:space="preserve"> 点心债</t>
  </si>
  <si>
    <t>景德镇分行</t>
  </si>
  <si>
    <t>GREEN绿色债券</t>
  </si>
  <si>
    <t>福建分行</t>
  </si>
  <si>
    <t>6.4%</t>
  </si>
  <si>
    <t>0.5</t>
  </si>
  <si>
    <t>6个月</t>
  </si>
  <si>
    <t>5.57%</t>
  </si>
  <si>
    <t>0.2</t>
  </si>
  <si>
    <t>澳门分行</t>
  </si>
  <si>
    <t>杭州拱墅国投</t>
  </si>
  <si>
    <t>景德镇合盛产投</t>
  </si>
  <si>
    <t>南平武夷</t>
  </si>
  <si>
    <t>Baa2/--/BBB+</t>
  </si>
  <si>
    <t>Rock Tea</t>
  </si>
  <si>
    <t>JNCJ</t>
  </si>
  <si>
    <t>B&amp;D FOP</t>
  </si>
  <si>
    <t>国君国际</t>
  </si>
  <si>
    <t>信银资本、广发、浦银港分、银河、浦银国际、交银澳分、交银国际、申万宏源、兴业港分、中信里昂、信银国际</t>
  </si>
  <si>
    <t>众和、工银国际、国金</t>
  </si>
  <si>
    <t>天风、光银国际、银河、东方、东吴、交银港分、兴业港分、交银国际、工银亚洲、信银国际、国君国际、中银新分、中信建投国际</t>
  </si>
  <si>
    <t>威海环通</t>
  </si>
  <si>
    <t>新增记录</t>
  </si>
  <si>
    <t>7.500%</t>
  </si>
  <si>
    <t>23/12/4 11:00</t>
  </si>
  <si>
    <t>231201XS2728232948</t>
  </si>
  <si>
    <t>超78个账户参与，认购额超9亿美元，超额认购约4.8倍；
地区分布：亚洲98%，欧洲、中东和非洲2%；
类型分布：银行/金融机构66%，公司16%，基金/资产管理/保险/其他18%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</si>
</sst>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yyyy/m/d;@"/>
    <numFmt numFmtId="165" formatCode="0.000%"/>
    <numFmt numFmtId="166" formatCode="[$-F400]h:mm:ss\ AM/PM"/>
    <numFmt numFmtId="167" formatCode="0.0%"/>
  </numFmts>
  <fonts count="6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0"/>
      <color theme="1"/>
      <name val="Microsoft JhengHei UI"/>
      <family val="2"/>
      <scheme val="minor"/>
    </font>
    <font>
      <sz val="11"/>
      <color rgb="FF0000FF"/>
      <name val="Microsoft JhengHei UI"/>
      <family val="2"/>
      <scheme val="minor"/>
    </font>
    <font>
      <sz val="11"/>
      <color rgb="FFAFB6C4"/>
      <name val="Consolas"/>
      <family val="3"/>
    </font>
    <font>
      <sz val="24"/>
      <color rgb="FFFF9900"/>
      <name val="Microsoft JhengHei UI"/>
      <family val="2"/>
    </font>
    <font>
      <sz val="24"/>
      <color rgb="FF000080"/>
      <name val="Microsoft JhengHei UI"/>
      <family val="2"/>
    </font>
    <font>
      <u/>
      <sz val="11"/>
      <color theme="10"/>
      <name val="Microsoft JhengHei UI"/>
      <family val="2"/>
      <scheme val="minor"/>
    </font>
    <font>
      <sz val="11"/>
      <color rgb="FFFF0000"/>
      <name val="Microsoft JhengHei UI"/>
      <family val="2"/>
      <scheme val="minor"/>
    </font>
    <font>
      <u/>
      <sz val="14"/>
      <color rgb="FF800080"/>
      <name val="Microsoft JhengHei UI"/>
      <family val="2"/>
    </font>
    <font>
      <sz val="14"/>
      <color rgb="FF800080"/>
      <name val="Microsoft JhengHei UI"/>
      <family val="2"/>
    </font>
    <font>
      <u/>
      <sz val="14"/>
      <color rgb="FF0000FF"/>
      <name val="Microsoft JhengHei UI"/>
      <family val="2"/>
    </font>
    <font>
      <sz val="14"/>
      <color rgb="FF0000FF"/>
      <name val="Microsoft JhengHei UI"/>
      <family val="2"/>
    </font>
    <font>
      <sz val="24"/>
      <color rgb="FF008080"/>
      <name val="Microsoft JhengHei UI"/>
      <family val="2"/>
    </font>
    <font>
      <u/>
      <sz val="18"/>
      <color rgb="FF888AA6"/>
      <name val="Microsoft JhengHei UI"/>
      <family val="2"/>
      <scheme val="minor"/>
    </font>
    <font>
      <sz val="11"/>
      <color theme="1"/>
      <name val="Microsoft YaHei U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1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17" fillId="0" borderId="0"/>
    <xf numFmtId="0" fontId="21" fillId="14" borderId="3" applyNumberFormat="0" applyAlignment="0" applyProtection="0"/>
    <xf numFmtId="0" fontId="24" fillId="14" borderId="4" applyNumberFormat="0" applyAlignment="0" applyProtection="0"/>
    <xf numFmtId="0" fontId="47" fillId="16" borderId="6" applyNumberFormat="0" applyAlignment="0" applyProtection="0"/>
    <xf numFmtId="0" fontId="56" fillId="0" borderId="0" applyNumberFormat="0" applyFill="0" applyBorder="0" applyAlignment="0" applyProtection="0"/>
  </cellStyleXfs>
  <cellXfs count="146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14" fontId="0" fillId="3" borderId="0" xfId="0" applyNumberFormat="1" applyFill="1" applyProtection="1">
      <protection locked="0"/>
    </xf>
    <xf numFmtId="0" fontId="22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8" fillId="3" borderId="0" xfId="0" applyFont="1" applyFill="1" applyAlignment="1">
      <alignment vertical="center"/>
    </xf>
    <xf numFmtId="0" fontId="19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26" fillId="14" borderId="5" xfId="8" applyFont="1" applyBorder="1" applyAlignment="1" applyProtection="1">
      <alignment horizontal="center" vertical="center"/>
      <protection locked="0"/>
    </xf>
    <xf numFmtId="0" fontId="20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0" fontId="30" fillId="3" borderId="0" xfId="0" applyFont="1" applyFill="1" applyAlignment="1" applyProtection="1">
      <alignment horizontal="center" wrapText="1"/>
      <protection locked="0"/>
    </xf>
    <xf numFmtId="0" fontId="30" fillId="3" borderId="0" xfId="0" applyFont="1" applyFill="1" applyAlignment="1" applyProtection="1">
      <alignment horizontal="center" vertical="center"/>
      <protection locked="0"/>
    </xf>
    <xf numFmtId="0" fontId="32" fillId="3" borderId="0" xfId="0" applyFont="1" applyFill="1"/>
    <xf numFmtId="0" fontId="33" fillId="3" borderId="0" xfId="0" applyFont="1" applyFill="1"/>
    <xf numFmtId="0" fontId="34" fillId="3" borderId="0" xfId="0" applyFont="1" applyFill="1"/>
    <xf numFmtId="164" fontId="26" fillId="14" borderId="5" xfId="8" applyNumberFormat="1" applyFont="1" applyBorder="1" applyAlignment="1" applyProtection="1">
      <alignment horizontal="center" vertical="center"/>
      <protection locked="0"/>
    </xf>
    <xf numFmtId="0" fontId="35" fillId="3" borderId="0" xfId="0" applyFont="1" applyFill="1" applyAlignment="1">
      <alignment horizontal="center"/>
    </xf>
    <xf numFmtId="164" fontId="0" fillId="0" borderId="0" xfId="0" applyNumberFormat="1"/>
    <xf numFmtId="164" fontId="0" fillId="3" borderId="0" xfId="0" applyNumberFormat="1" applyFill="1"/>
    <xf numFmtId="164" fontId="34" fillId="3" borderId="0" xfId="0" applyNumberFormat="1" applyFont="1" applyFill="1"/>
    <xf numFmtId="164" fontId="35" fillId="3" borderId="0" xfId="0" applyNumberFormat="1" applyFont="1" applyFill="1" applyAlignment="1">
      <alignment horizontal="center"/>
    </xf>
    <xf numFmtId="164" fontId="33" fillId="3" borderId="0" xfId="0" applyNumberFormat="1" applyFont="1" applyFill="1"/>
    <xf numFmtId="0" fontId="36" fillId="3" borderId="0" xfId="0" applyFont="1" applyFill="1"/>
    <xf numFmtId="0" fontId="37" fillId="3" borderId="0" xfId="0" applyFont="1" applyFill="1"/>
    <xf numFmtId="0" fontId="38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0" fontId="39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25" fillId="12" borderId="0" xfId="0" applyFont="1" applyFill="1" applyAlignment="1">
      <alignment vertical="center"/>
    </xf>
    <xf numFmtId="164" fontId="25" fillId="12" borderId="0" xfId="0" applyNumberFormat="1" applyFont="1" applyFill="1" applyAlignment="1">
      <alignment vertical="center"/>
    </xf>
    <xf numFmtId="164" fontId="25" fillId="12" borderId="0" xfId="8" applyNumberFormat="1" applyFont="1" applyFill="1" applyBorder="1" applyAlignment="1" applyProtection="1">
      <alignment horizontal="center" vertical="center"/>
      <protection locked="0"/>
    </xf>
    <xf numFmtId="165" fontId="25" fillId="12" borderId="0" xfId="0" applyNumberFormat="1" applyFont="1" applyFill="1" applyAlignment="1">
      <alignment vertical="center"/>
    </xf>
    <xf numFmtId="0" fontId="25" fillId="12" borderId="0" xfId="0" applyFont="1" applyFill="1" applyAlignment="1">
      <alignment vertical="center" wrapText="1"/>
    </xf>
    <xf numFmtId="0" fontId="40" fillId="3" borderId="0" xfId="0" applyFont="1" applyFill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42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2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44" fillId="3" borderId="0" xfId="0" applyFont="1" applyFill="1" applyAlignment="1">
      <alignment horizontal="center" vertical="center"/>
    </xf>
    <xf numFmtId="0" fontId="21" fillId="14" borderId="3" xfId="7" applyAlignment="1">
      <alignment horizontal="left" vertical="center"/>
    </xf>
    <xf numFmtId="0" fontId="45" fillId="3" borderId="0" xfId="0" applyFont="1" applyFill="1" applyAlignment="1">
      <alignment horizontal="center" vertical="center"/>
    </xf>
    <xf numFmtId="0" fontId="48" fillId="17" borderId="7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4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0" fillId="17" borderId="7" xfId="9" applyFont="1" applyFill="1" applyBorder="1" applyAlignment="1">
      <alignment horizontal="center" vertical="center"/>
    </xf>
    <xf numFmtId="0" fontId="49" fillId="3" borderId="7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45" fillId="3" borderId="0" xfId="0" applyFont="1" applyFill="1" applyAlignment="1">
      <alignment vertical="center"/>
    </xf>
    <xf numFmtId="0" fontId="50" fillId="3" borderId="0" xfId="0" applyFont="1" applyFill="1" applyAlignment="1">
      <alignment vertical="center"/>
    </xf>
    <xf numFmtId="9" fontId="0" fillId="3" borderId="0" xfId="0" applyNumberFormat="1" applyFill="1" applyAlignment="1" applyProtection="1">
      <alignment horizontal="center" vertical="center"/>
      <protection locked="0"/>
    </xf>
    <xf numFmtId="0" fontId="51" fillId="3" borderId="0" xfId="0" applyFont="1" applyFill="1"/>
    <xf numFmtId="0" fontId="0" fillId="13" borderId="0" xfId="0" applyFill="1" applyAlignment="1">
      <alignment horizontal="center" wrapText="1"/>
    </xf>
    <xf numFmtId="0" fontId="20" fillId="13" borderId="0" xfId="0" applyFont="1" applyFill="1" applyAlignment="1">
      <alignment wrapText="1"/>
    </xf>
    <xf numFmtId="0" fontId="52" fillId="13" borderId="0" xfId="0" applyFont="1" applyFill="1" applyAlignment="1">
      <alignment wrapText="1"/>
    </xf>
    <xf numFmtId="0" fontId="53" fillId="0" borderId="0" xfId="0" applyFont="1" applyAlignment="1">
      <alignment vertical="center"/>
    </xf>
    <xf numFmtId="0" fontId="5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7" fontId="0" fillId="3" borderId="0" xfId="0" applyNumberFormat="1" applyFill="1" applyAlignment="1" applyProtection="1">
      <alignment horizontal="center" vertical="center"/>
      <protection locked="0"/>
    </xf>
    <xf numFmtId="0" fontId="56" fillId="0" borderId="0" xfId="10" applyAlignment="1">
      <alignment horizontal="left" vertical="top" wrapText="1"/>
    </xf>
    <xf numFmtId="0" fontId="25" fillId="12" borderId="0" xfId="0" quotePrefix="1" applyFont="1" applyFill="1" applyAlignment="1">
      <alignment vertical="center"/>
    </xf>
    <xf numFmtId="0" fontId="0" fillId="15" borderId="0" xfId="0" applyFill="1"/>
    <xf numFmtId="0" fontId="57" fillId="15" borderId="0" xfId="0" applyFont="1" applyFill="1"/>
    <xf numFmtId="14" fontId="0" fillId="3" borderId="0" xfId="0" applyNumberFormat="1" applyFill="1" applyAlignment="1">
      <alignment wrapText="1"/>
    </xf>
    <xf numFmtId="0" fontId="0" fillId="3" borderId="2" xfId="0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locked="0"/>
    </xf>
    <xf numFmtId="0" fontId="63" fillId="3" borderId="0" xfId="0" applyFont="1" applyFill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NumberFormat="1"/>
    <xf numFmtId="0" fontId="0" fillId="0" borderId="0" xfId="0" applyFont="1" applyFill="1"/>
    <xf numFmtId="0" fontId="0" fillId="0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Font="1" applyFill="1" applyBorder="1"/>
    <xf numFmtId="0" fontId="0" fillId="0" borderId="0" xfId="0" applyFont="1" applyFill="1" applyBorder="1" applyAlignment="1">
      <alignment wrapText="1"/>
    </xf>
    <xf numFmtId="0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/>
    <xf numFmtId="14" fontId="0" fillId="0" borderId="0" xfId="0" applyNumberFormat="1" applyFont="1" applyFill="1" applyBorder="1"/>
    <xf numFmtId="166" fontId="0" fillId="0" borderId="0" xfId="0" applyNumberFormat="1" applyFont="1" applyFill="1" applyBorder="1"/>
    <xf numFmtId="22" fontId="0" fillId="0" borderId="0" xfId="0" applyNumberFormat="1" applyFont="1" applyFill="1" applyBorder="1"/>
    <xf numFmtId="0" fontId="0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Alignment="1">
      <alignment wrapText="1"/>
    </xf>
    <xf numFmtId="166" fontId="0" fillId="0" borderId="0" xfId="0" applyNumberFormat="1" applyFont="1" applyFill="1"/>
    <xf numFmtId="22" fontId="0" fillId="0" borderId="0" xfId="0" applyNumberFormat="1" applyFont="1" applyFill="1"/>
    <xf numFmtId="0" fontId="64" fillId="0" borderId="0" xfId="0" applyFont="1"/>
    <xf numFmtId="0" fontId="64" fillId="0" borderId="0" xfId="0" applyFont="1" applyAlignment="1">
      <alignment wrapText="1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left" vertical="center"/>
    </xf>
    <xf numFmtId="164" fontId="0" fillId="0" borderId="0" xfId="0" applyNumberFormat="1" applyFont="1" applyFill="1" applyAlignment="1">
      <alignment horizontal="left" vertical="center"/>
    </xf>
    <xf numFmtId="0" fontId="20" fillId="3" borderId="0" xfId="0" applyFont="1" applyFill="1" applyAlignment="1" applyProtection="1">
      <alignment vertical="center"/>
      <protection locked="0"/>
    </xf>
  </cellXfs>
  <cellStyles count="11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Hyperlink" xfId="10" builtinId="8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2" tint="0.499984740745262"/>
        <name val="Microsoft JhengHei UI"/>
        <family val="2"/>
        <scheme val="minor"/>
      </font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Microsoft JhengHei UI"/>
        <family val="2"/>
        <scheme val="minor"/>
      </font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6" formatCode="[$-F400]h:mm:ss\ AM/P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protection locked="0" hidden="0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514"/>
      <tableStyleElement type="headerRow" dxfId="513"/>
      <tableStyleElement type="totalRow" dxfId="512"/>
    </tableStyle>
    <tableStyle name="BISL_Directory" pivot="0" count="4" xr9:uid="{CF694ADA-B24E-4A9B-A4CF-440A866B1DFE}">
      <tableStyleElement type="wholeTable" dxfId="511"/>
      <tableStyleElement type="headerRow" dxfId="510"/>
      <tableStyleElement type="firstRowStripe" dxfId="509"/>
      <tableStyleElement type="secondRowStripe" dxfId="508"/>
    </tableStyle>
    <tableStyle name="Blank" pivot="0" count="1" xr9:uid="{00000000-0011-0000-FFFF-FFFF00000000}">
      <tableStyleElement type="wholeTable" dxfId="507"/>
    </tableStyle>
    <tableStyle name="DimSum" pivot="0" count="4" xr9:uid="{C064D3B7-4B8F-409A-AB9E-51AC3AD0F8B5}">
      <tableStyleElement type="wholeTable" dxfId="506"/>
      <tableStyleElement type="headerRow" dxfId="505"/>
      <tableStyleElement type="totalRow" dxfId="504"/>
      <tableStyleElement type="secondRowStripe" dxfId="503"/>
    </tableStyle>
    <tableStyle name="ECON" pivot="0" count="2" xr9:uid="{00000000-0011-0000-FFFF-FFFF01000000}">
      <tableStyleElement type="wholeTable" dxfId="502"/>
      <tableStyleElement type="headerRow" dxfId="501"/>
    </tableStyle>
    <tableStyle name="Load Style" pivot="0" count="2" xr9:uid="{00000000-0011-0000-FFFF-FFFF0F000000}">
      <tableStyleElement type="wholeTable" dxfId="500"/>
      <tableStyleElement type="headerRow" dxfId="499"/>
    </tableStyle>
    <tableStyle name="mFTZ" pivot="0" count="4" xr9:uid="{F9D19170-5D53-4CC9-B6DA-01874D40D6CB}">
      <tableStyleElement type="wholeTable" dxfId="498"/>
      <tableStyleElement type="headerRow" dxfId="497"/>
      <tableStyleElement type="totalRow" dxfId="496"/>
      <tableStyleElement type="secondRowStripe" dxfId="495"/>
    </tableStyle>
    <tableStyle name="Named_dd" pivot="0" count="2" xr9:uid="{00000000-0011-0000-FFFF-FFFF02000000}">
      <tableStyleElement type="wholeTable" dxfId="494"/>
      <tableStyleElement type="headerRow" dxfId="493"/>
    </tableStyle>
    <tableStyle name="PRJ Style" pivot="0" count="4" xr9:uid="{00000000-0011-0000-FFFF-FFFF11000000}">
      <tableStyleElement type="wholeTable" dxfId="492"/>
      <tableStyleElement type="headerRow" dxfId="491"/>
      <tableStyleElement type="firstRowStripe" dxfId="490"/>
      <tableStyleElement type="secondRowStripe" dxfId="489"/>
    </tableStyle>
    <tableStyle name="Qry Load" pivot="0" count="3" xr9:uid="{00000000-0011-0000-FFFF-FFFF05000000}">
      <tableStyleElement type="wholeTable" dxfId="488"/>
      <tableStyleElement type="headerRow" dxfId="487"/>
      <tableStyleElement type="totalRow" dxfId="486"/>
    </tableStyle>
    <tableStyle name="Qry Load 2" pivot="0" count="3" xr9:uid="{00000000-0011-0000-FFFF-FFFF06000000}">
      <tableStyleElement type="wholeTable" dxfId="485"/>
      <tableStyleElement type="headerRow" dxfId="484"/>
      <tableStyleElement type="totalRow" dxfId="483"/>
    </tableStyle>
    <tableStyle name="Qry Load 3" pivot="0" count="3" xr9:uid="{00000000-0011-0000-FFFF-FFFF07000000}">
      <tableStyleElement type="wholeTable" dxfId="482"/>
      <tableStyleElement type="headerRow" dxfId="481"/>
      <tableStyleElement type="totalRow" dxfId="480"/>
    </tableStyle>
    <tableStyle name="Qry Load 3 2" pivot="0" count="3" xr9:uid="{39E27C42-0E7B-4337-87F7-A7AC3E9F7517}">
      <tableStyleElement type="wholeTable" dxfId="479"/>
      <tableStyleElement type="headerRow" dxfId="478"/>
      <tableStyleElement type="totalRow" dxfId="477"/>
    </tableStyle>
    <tableStyle name="Qry Load 3 3" pivot="0" count="3" xr9:uid="{00000000-0011-0000-FFFF-FFFF08000000}">
      <tableStyleElement type="wholeTable" dxfId="476"/>
      <tableStyleElement type="headerRow" dxfId="475"/>
      <tableStyleElement type="totalRow" dxfId="474"/>
    </tableStyle>
    <tableStyle name="Qry Load 4" pivot="0" count="3" xr9:uid="{00000000-0011-0000-FFFF-FFFF08000000}">
      <tableStyleElement type="wholeTable" dxfId="473"/>
      <tableStyleElement type="headerRow" dxfId="472"/>
      <tableStyleElement type="totalRow" dxfId="471"/>
    </tableStyle>
    <tableStyle name="Qry Load 5" pivot="0" count="3" xr9:uid="{00000000-0011-0000-FFFF-FFFF09000000}">
      <tableStyleElement type="wholeTable" dxfId="470"/>
      <tableStyleElement type="headerRow" dxfId="469"/>
      <tableStyleElement type="totalRow" dxfId="468"/>
    </tableStyle>
    <tableStyle name="Qry Load 6" pivot="0" count="3" xr9:uid="{8540037C-F48A-45D6-B06D-3E416FD50039}">
      <tableStyleElement type="wholeTable" dxfId="467"/>
      <tableStyleElement type="headerRow" dxfId="466"/>
      <tableStyleElement type="totalRow" dxfId="465"/>
    </tableStyle>
    <tableStyle name="Qry Source" pivot="0" count="2" xr9:uid="{00000000-0011-0000-FFFF-FFFF0A000000}">
      <tableStyleElement type="wholeTable" dxfId="464"/>
      <tableStyleElement type="headerRow" dxfId="463"/>
    </tableStyle>
    <tableStyle name="Qry Source 2" pivot="0" count="2" xr9:uid="{00000000-0011-0000-FFFF-FFFF0B000000}">
      <tableStyleElement type="wholeTable" dxfId="462"/>
      <tableStyleElement type="headerRow" dxfId="461"/>
    </tableStyle>
    <tableStyle name="Qry Source 2 2" pivot="0" count="3" xr9:uid="{00000000-0011-0000-FFFF-FFFF0C000000}">
      <tableStyleElement type="wholeTable" dxfId="460"/>
      <tableStyleElement type="headerRow" dxfId="459"/>
      <tableStyleElement type="secondRowStripe" dxfId="458"/>
    </tableStyle>
    <tableStyle name="review" pivot="0" count="3" xr9:uid="{00000000-0011-0000-FFFF-FFFF0C000000}">
      <tableStyleElement type="wholeTable" dxfId="457"/>
      <tableStyleElement type="headerRow" dxfId="456"/>
      <tableStyleElement type="totalRow" dxfId="455"/>
    </tableStyle>
    <tableStyle name="review 2" pivot="0" count="3" xr9:uid="{7E48D373-8BD3-405C-AC0B-582D578C48DF}">
      <tableStyleElement type="wholeTable" dxfId="454"/>
      <tableStyleElement type="headerRow" dxfId="453"/>
      <tableStyleElement type="totalRow" dxfId="452"/>
    </tableStyle>
    <tableStyle name="Table Style 1 2" pivot="0" count="4" xr9:uid="{00000000-0011-0000-FFFF-FFFF10000000}">
      <tableStyleElement type="wholeTable" dxfId="451"/>
      <tableStyleElement type="headerRow" dxfId="450"/>
      <tableStyleElement type="firstRowStripe" dxfId="449"/>
      <tableStyleElement type="secondRowStripe" dxfId="448"/>
    </tableStyle>
  </tableStyles>
  <colors>
    <mruColors>
      <color rgb="FF0000FF"/>
      <color rgb="FF234473"/>
      <color rgb="FFF4EBE0"/>
      <color rgb="FF2A7968"/>
      <color rgb="FF888AA6"/>
      <color rgb="FF0071BA"/>
      <color rgb="FFE1E1E9"/>
      <color rgb="FF379E4E"/>
      <color rgb="FFC69E62"/>
      <color rgb="FFED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76200</xdr:rowOff>
        </xdr:from>
        <xdr:to>
          <xdr:col>8</xdr:col>
          <xdr:colOff>438150</xdr:colOff>
          <xdr:row>7</xdr:row>
          <xdr:rowOff>47625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145676</xdr:colOff>
      <xdr:row>2</xdr:row>
      <xdr:rowOff>11206</xdr:rowOff>
    </xdr:from>
    <xdr:to>
      <xdr:col>8</xdr:col>
      <xdr:colOff>551473</xdr:colOff>
      <xdr:row>4</xdr:row>
      <xdr:rowOff>323509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2558" y="1647265"/>
          <a:ext cx="3431750" cy="1141538"/>
        </a:xfrm>
        <a:prstGeom prst="leftArrow">
          <a:avLst/>
        </a:prstGeom>
        <a:solidFill>
          <a:srgbClr val="FFBA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Set Parameters</a:t>
          </a:r>
        </a:p>
      </xdr:txBody>
    </xdr:sp>
    <xdr:clientData/>
  </xdr:twoCellAnchor>
  <xdr:oneCellAnchor>
    <xdr:from>
      <xdr:col>13</xdr:col>
      <xdr:colOff>82763</xdr:colOff>
      <xdr:row>8</xdr:row>
      <xdr:rowOff>242527</xdr:rowOff>
    </xdr:from>
    <xdr:ext cx="6786443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960998" y="4366292"/>
          <a:ext cx="67864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471061" y="1877786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1000125</xdr:colOff>
          <xdr:row>1</xdr:row>
          <xdr:rowOff>190500</xdr:rowOff>
        </xdr:from>
        <xdr:to>
          <xdr:col>15</xdr:col>
          <xdr:colOff>657225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18324</xdr:colOff>
      <xdr:row>3</xdr:row>
      <xdr:rowOff>0</xdr:rowOff>
    </xdr:from>
    <xdr:to>
      <xdr:col>18</xdr:col>
      <xdr:colOff>418890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1476788" y="1877786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467362</xdr:colOff>
      <xdr:row>3</xdr:row>
      <xdr:rowOff>0</xdr:rowOff>
    </xdr:from>
    <xdr:to>
      <xdr:col>42</xdr:col>
      <xdr:colOff>721180</xdr:colOff>
      <xdr:row>3</xdr:row>
      <xdr:rowOff>711201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5724719" y="1877786"/>
          <a:ext cx="906961" cy="711201"/>
          <a:chOff x="4143374" y="1933574"/>
          <a:chExt cx="911699" cy="714376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</a:p>
        </xdr:txBody>
      </xdr:sp>
      <xdr:pic>
        <xdr:nvPicPr>
          <xdr:cNvPr id="21" name="Graphic 20" descr="Repeat outline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59</xdr:col>
      <xdr:colOff>331290</xdr:colOff>
      <xdr:row>3</xdr:row>
      <xdr:rowOff>0</xdr:rowOff>
    </xdr:from>
    <xdr:to>
      <xdr:col>59</xdr:col>
      <xdr:colOff>1238251</xdr:colOff>
      <xdr:row>3</xdr:row>
      <xdr:rowOff>711201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393219" y="1877786"/>
          <a:ext cx="906961" cy="711201"/>
          <a:chOff x="4143374" y="1933574"/>
          <a:chExt cx="911699" cy="714376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  <a:r>
              <a:rPr lang="en-US" altLang="zh-CN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endParaRPr lang="en-US" sz="1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pic>
        <xdr:nvPicPr>
          <xdr:cNvPr id="24" name="Graphic 23" descr="Repeat outline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14</xdr:row>
      <xdr:rowOff>148159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34315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9578875" y="781050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45</xdr:col>
      <xdr:colOff>13608</xdr:colOff>
      <xdr:row>1</xdr:row>
      <xdr:rowOff>400049</xdr:rowOff>
    </xdr:from>
    <xdr:ext cx="7824107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1710546" y="1031080"/>
          <a:ext cx="7824107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1294390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73</xdr:col>
      <xdr:colOff>692945</xdr:colOff>
      <xdr:row>0</xdr:row>
      <xdr:rowOff>103908</xdr:rowOff>
    </xdr:from>
    <xdr:to>
      <xdr:col>80</xdr:col>
      <xdr:colOff>607901</xdr:colOff>
      <xdr:row>14</xdr:row>
      <xdr:rowOff>170754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80598170" y="103908"/>
          <a:ext cx="4523695" cy="3985703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133350</xdr:colOff>
          <xdr:row>11</xdr:row>
          <xdr:rowOff>9525</xdr:rowOff>
        </xdr:from>
        <xdr:to>
          <xdr:col>79</xdr:col>
          <xdr:colOff>57150</xdr:colOff>
          <xdr:row>15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57150</xdr:rowOff>
        </xdr:from>
        <xdr:to>
          <xdr:col>3</xdr:col>
          <xdr:colOff>1600200</xdr:colOff>
          <xdr:row>3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28575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8100" y="542925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228600</xdr:rowOff>
        </xdr:from>
        <xdr:to>
          <xdr:col>2</xdr:col>
          <xdr:colOff>2181225</xdr:colOff>
          <xdr:row>2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1 Fill in Original ISIN</a:t>
              </a: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then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12</xdr:row>
          <xdr:rowOff>0</xdr:rowOff>
        </xdr:from>
        <xdr:to>
          <xdr:col>2</xdr:col>
          <xdr:colOff>2171700</xdr:colOff>
          <xdr:row>13</xdr:row>
          <xdr:rowOff>552450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2  Fill in Tap Details</a:t>
              </a:r>
              <a:endParaRPr lang="en-US" sz="1400" b="0" i="0" u="none" strike="noStrike" baseline="0">
                <a:solidFill>
                  <a:srgbClr val="0000FF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then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7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1" xr16:uid="{EEAFBD7B-3B0E-47A5-8787-C257354BD8E3}" autoFormatId="16" applyNumberFormats="0" applyBorderFormats="0" applyFontFormats="0" applyPatternFormats="0" applyAlignmentFormats="0" applyWidthHeightFormats="0">
  <queryTableRefresh nextId="278">
    <queryTableFields count="88">
      <queryTableField id="1" name="Index" tableColumnId="1"/>
      <queryTableField id="2" name="信用主体" tableColumnId="2"/>
      <queryTableField id="4" name="ISIN" tableColumnId="4"/>
      <queryTableField id="5" name="定价日" tableColumnId="5"/>
      <queryTableField id="83" name="IS_FIMTN" tableColumnId="83"/>
      <queryTableField id="106" name="IPG" tableColumnId="76"/>
      <queryTableField id="107" name="FPG" tableColumnId="85"/>
      <queryTableField id="274" name="定价" tableColumnId="17"/>
      <queryTableField id="28" name="认购额(亿)" tableColumnId="28"/>
      <queryTableField id="42" name="投资者账户数" tableColumnId="42"/>
      <queryTableField id="43" name="投资者类型" tableColumnId="43"/>
      <queryTableField id="44" name="投资者分布" tableColumnId="44"/>
      <queryTableField id="11" name="货币" tableColumnId="11"/>
      <queryTableField id="37" name="主题债券" tableColumnId="37"/>
      <queryTableField id="190" name="浮息定价" tableColumnId="16"/>
      <queryTableField id="186" name="IPT_DMI" tableColumnId="86"/>
      <queryTableField id="187" name="FPG_DMI" tableColumnId="87"/>
      <queryTableField id="32" name="联席全球协调人" tableColumnId="32"/>
      <queryTableField id="60" name="牵头经办人" tableColumnId="60"/>
      <queryTableField id="3" name="英文简称" tableColumnId="3"/>
      <queryTableField id="6" name="债券简称" tableColumnId="6"/>
      <queryTableField id="7" name="穆迪/标普" tableColumnId="7"/>
      <queryTableField id="8" name="主体评级展望" tableColumnId="8"/>
      <queryTableField id="9" name="债项评级" tableColumnId="9"/>
      <queryTableField id="10" name="发行规模(亿)" tableColumnId="10"/>
      <queryTableField id="12" name="发行期限(年)" tableColumnId="12"/>
      <queryTableField id="13" name="票息_DMI" tableColumnId="13"/>
      <queryTableField id="14" name="兑付日" tableColumnId="14"/>
      <queryTableField id="15" name="发行场所" tableColumnId="15"/>
      <queryTableField id="18" name="收窄幅度(bp)" tableColumnId="18"/>
      <queryTableField id="19" name="发行规则" tableColumnId="19"/>
      <queryTableField id="20" name="发行架构" tableColumnId="20"/>
      <queryTableField id="21" name="SBLC提供者" tableColumnId="21"/>
      <queryTableField id="22" name="偿还顺位" tableColumnId="22"/>
      <queryTableField id="23" name="发行价" tableColumnId="23"/>
      <queryTableField id="24" name="首日涨跌" tableColumnId="24"/>
      <queryTableField id="25" name="省份" tableColumnId="25"/>
      <queryTableField id="26" name="城市" tableColumnId="26"/>
      <queryTableField id="27" name="区县" tableColumnId="27"/>
      <queryTableField id="29" name="认购倍数" tableColumnId="29"/>
      <queryTableField id="30" name="亚洲占比" tableColumnId="30"/>
      <queryTableField id="31" name="基金占比" tableColumnId="31"/>
      <queryTableField id="33" name="发行方式" tableColumnId="33"/>
      <queryTableField id="34" name="细分行业" tableColumnId="34"/>
      <queryTableField id="35" name="债项初始评级" tableColumnId="35"/>
      <queryTableField id="36" name="境内主体评级" tableColumnId="36"/>
      <queryTableField id="38" name="DMI行业" tableColumnId="38"/>
      <queryTableField id="39" name="剩余期限" tableColumnId="39"/>
      <queryTableField id="40" name="公司类型" tableColumnId="40"/>
      <queryTableField id="41" name="评级类型" tableColumnId="41"/>
      <queryTableField id="45" name="筹款用途" tableColumnId="45"/>
      <queryTableField id="46" name="TICKER" tableColumnId="46"/>
      <queryTableField id="47" name="债券最新面值" tableColumnId="47"/>
      <queryTableField id="48" name="债券余额" tableColumnId="48"/>
      <queryTableField id="49" name="起息日期" tableColumnId="49"/>
      <queryTableField id="50" name="行权兑付日" tableColumnId="50"/>
      <queryTableField id="51" name="最新票面利率" tableColumnId="51"/>
      <queryTableField id="52" name="计息基准" tableColumnId="52"/>
      <queryTableField id="53" name="首次付息日" tableColumnId="53"/>
      <queryTableField id="54" name="发行人" tableColumnId="54"/>
      <queryTableField id="55" name="担保人" tableColumnId="55"/>
      <queryTableField id="56" name="发行起始日" tableColumnId="56"/>
      <queryTableField id="57" name="定价_DMI" tableColumnId="57"/>
      <queryTableField id="58" name="上市日期" tableColumnId="58"/>
      <queryTableField id="59" name="特殊条款说明" tableColumnId="59"/>
      <queryTableField id="61" name="联席账簿管理人" tableColumnId="61"/>
      <queryTableField id="62" name="是否永续债" tableColumnId="62"/>
      <queryTableField id="63" name="是否存单" tableColumnId="63"/>
      <queryTableField id="64" name="利率类型" tableColumnId="64"/>
      <queryTableField id="65" name="交易状态" tableColumnId="65"/>
      <queryTableField id="66" name="债券类型" tableColumnId="66"/>
      <queryTableField id="67" name="特殊条款" tableColumnId="67"/>
      <queryTableField id="68" name="付息频率" tableColumnId="68"/>
      <queryTableField id="69" name="维好协议提供者" tableColumnId="69"/>
      <queryTableField id="71" name="DataSource" tableColumnId="71"/>
      <queryTableField id="72" name="首次违约日" tableColumnId="72"/>
      <queryTableField id="73" name="IS_EXCH" tableColumnId="73"/>
      <queryTableField id="74" name="地区" tableColumnId="74"/>
      <queryTableField id="75" name="BISL_ROLE" tableColumnId="75"/>
      <queryTableField id="77" name="发行人主上市地" tableColumnId="77"/>
      <queryTableField id="78" name="补充OMAS updates" tableColumnId="78"/>
      <queryTableField id="79" name="定价息差" tableColumnId="79"/>
      <queryTableField id="80" name="发行评级" tableColumnId="80"/>
      <queryTableField id="81" name="主体评级" tableColumnId="81"/>
      <queryTableField id="82" name="ESG_Indicator" tableColumnId="82"/>
      <queryTableField id="84" name="Check" tableColumnId="84"/>
      <queryTableField id="96" name="发行人成立地" tableColumnId="70"/>
      <queryTableField id="277" name="OTHER_ISIN" tableColumnId="88"/>
    </queryTableFields>
    <queryTableDeletedFields count="2">
      <deletedField name="IPT_DMI"/>
      <deletedField name="FPG_DMI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3" xr16:uid="{00000000-0016-0000-0200-000003000000}" autoFormatId="16" applyNumberFormats="0" applyBorderFormats="0" applyFontFormats="0" applyPatternFormats="0" applyAlignmentFormats="0" applyWidthHeightFormats="0">
  <queryTableRefresh nextId="138">
    <queryTableFields count="19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35" name="定价" tableColumnId="4"/>
      <queryTableField id="14" name="收窄基点" tableColumnId="14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9" name="品种主题" tableColumnId="3"/>
      <queryTableField id="73" name="上市" tableColumnId="33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1" xr16:uid="{00000000-0016-0000-0200-000004000000}" autoFormatId="16" applyNumberFormats="0" applyBorderFormats="0" applyFontFormats="0" applyPatternFormats="0" applyAlignmentFormats="0" applyWidthHeightFormats="0">
  <queryTableRefresh nextId="76">
    <queryTableFields count="15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72" name="EXE" tableColumnId="6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  <queryTableDeletedFields count="2">
      <deletedField name="JGC"/>
      <deletedField name="JBR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2" xr16:uid="{00000000-0016-0000-0200-000005000000}" autoFormatId="16" applyNumberFormats="0" applyBorderFormats="0" applyFontFormats="0" applyPatternFormats="0" applyAlignmentFormats="0" applyWidthHeightFormats="0">
  <queryTableRefresh nextId="18">
    <queryTableFields count="10">
      <queryTableField id="1" name="信用主体" tableColumnId="1"/>
      <queryTableField id="3" name="SHORTNAMER" tableColumnId="3"/>
      <queryTableField id="8" name="板块" tableColumnId="4"/>
      <queryTableField id="9" name="板块二级" tableColumnId="5"/>
      <queryTableField id="10" name="板块三级" tableColumnId="6"/>
      <queryTableField id="6" name="中资属性" tableColumnId="2"/>
      <queryTableField id="11" name="级别" tableColumnId="7"/>
      <queryTableField id="12" name="地区" tableColumnId="8"/>
      <queryTableField id="13" name="城市" tableColumnId="9"/>
      <queryTableField id="14" name="区县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0" xr16:uid="{92972967-9496-427B-9BFA-83AE3DFDDFF6}" autoFormatId="16" applyNumberFormats="0" applyBorderFormats="0" applyFontFormats="0" applyPatternFormats="0" applyAlignmentFormats="0" applyWidthHeightFormats="0">
  <queryTableRefresh nextId="14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12" name="备证行全称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9" xr16:uid="{CCBC90C1-EC75-4CFF-AE53-0DD8206070E0}" autoFormatId="16" applyNumberFormats="0" applyBorderFormats="0" applyFontFormats="0" applyPatternFormats="0" applyAlignmentFormats="0" applyWidthHeightFormats="0">
  <queryTableRefresh nextId="262">
    <queryTableFields count="109">
      <queryTableField id="1" name="Index" tableColumnId="1"/>
      <queryTableField id="3" name="信用主体" tableColumnId="3"/>
      <queryTableField id="5" name="ISIN" tableColumnId="5"/>
      <queryTableField id="6" name="定价日" tableColumnId="6"/>
      <queryTableField id="2" name="IS_FIMTN" tableColumnId="2"/>
      <queryTableField id="9" name="IPT_DMI" tableColumnId="9"/>
      <queryTableField id="10" name="FPG_DMI" tableColumnId="10"/>
      <queryTableField id="256" name="定价" tableColumnId="94"/>
      <queryTableField id="52" name="认购额(亿)" tableColumnId="52"/>
      <queryTableField id="41" name="投资者账户数" tableColumnId="41"/>
      <queryTableField id="40" name="投资者类型" tableColumnId="40"/>
      <queryTableField id="39" name="投资者分布" tableColumnId="39"/>
      <queryTableField id="7" name="货币" tableColumnId="7"/>
      <queryTableField id="8" name="ESG_Source" tableColumnId="8"/>
      <queryTableField id="31" name="计息基准" tableColumnId="31"/>
      <queryTableField id="11" name="联席全球协调人" tableColumnId="11"/>
      <queryTableField id="12" name="牵头经办人" tableColumnId="12"/>
      <queryTableField id="13" name="英文简称" tableColumnId="13"/>
      <queryTableField id="71" name="债券简称" tableColumnId="71"/>
      <queryTableField id="70" name="穆迪/标普" tableColumnId="70"/>
      <queryTableField id="69" name="主体评级展望" tableColumnId="69"/>
      <queryTableField id="68" name="债项评级" tableColumnId="68"/>
      <queryTableField id="67" name="发行规模(亿)" tableColumnId="67"/>
      <queryTableField id="66" name="发行期限(年)" tableColumnId="66"/>
      <queryTableField id="65" name="票息_DMI" tableColumnId="65"/>
      <queryTableField id="64" name="兑付日" tableColumnId="64"/>
      <queryTableField id="63" name="发行场所" tableColumnId="63"/>
      <queryTableField id="62" name="收窄幅度(bp)" tableColumnId="62"/>
      <queryTableField id="61" name="发行规则" tableColumnId="61"/>
      <queryTableField id="60" name="发行架构" tableColumnId="60"/>
      <queryTableField id="59" name="SBLC提供者" tableColumnId="59"/>
      <queryTableField id="58" name="偿还顺位" tableColumnId="58"/>
      <queryTableField id="57" name="发行价" tableColumnId="57"/>
      <queryTableField id="56" name="首日涨跌" tableColumnId="56"/>
      <queryTableField id="55" name="省份" tableColumnId="55"/>
      <queryTableField id="54" name="城市" tableColumnId="54"/>
      <queryTableField id="53" name="区县" tableColumnId="53"/>
      <queryTableField id="51" name="认购倍数" tableColumnId="51"/>
      <queryTableField id="50" name="亚洲占比" tableColumnId="50"/>
      <queryTableField id="49" name="基金占比" tableColumnId="49"/>
      <queryTableField id="48" name="发行方式" tableColumnId="48"/>
      <queryTableField id="47" name="细分行业" tableColumnId="47"/>
      <queryTableField id="46" name="债项初始评级" tableColumnId="46"/>
      <queryTableField id="45" name="境内主体评级" tableColumnId="45"/>
      <queryTableField id="158" name="DMI行业" tableColumnId="4"/>
      <queryTableField id="44" name="剩余期限" tableColumnId="44"/>
      <queryTableField id="43" name="公司类型" tableColumnId="43"/>
      <queryTableField id="42" name="评级类型" tableColumnId="42"/>
      <queryTableField id="38" name="筹款用途" tableColumnId="38"/>
      <queryTableField id="37" name="ticker" tableColumnId="37"/>
      <queryTableField id="36" name="债券最新面值" tableColumnId="36"/>
      <queryTableField id="35" name="债券余额" tableColumnId="35"/>
      <queryTableField id="34" name="起息日期" tableColumnId="34"/>
      <queryTableField id="33" name="行权兑付日" tableColumnId="33"/>
      <queryTableField id="32" name="最新票面利率" tableColumnId="32"/>
      <queryTableField id="30" name="首次付息日" tableColumnId="30"/>
      <queryTableField id="29" name="发行人" tableColumnId="29"/>
      <queryTableField id="28" name="担保人" tableColumnId="28"/>
      <queryTableField id="27" name="发行起始日" tableColumnId="27"/>
      <queryTableField id="26" name="定价_DMI" tableColumnId="26"/>
      <queryTableField id="25" name="上市日期" tableColumnId="25"/>
      <queryTableField id="24" name="特殊条款说明" tableColumnId="24"/>
      <queryTableField id="23" name="联席账簿管理人" tableColumnId="23"/>
      <queryTableField id="22" name="是否永续债" tableColumnId="22"/>
      <queryTableField id="21" name="是否存单" tableColumnId="21"/>
      <queryTableField id="20" name="利率类型" tableColumnId="20"/>
      <queryTableField id="19" name="交易状态" tableColumnId="19"/>
      <queryTableField id="18" name="债券类型" tableColumnId="18"/>
      <queryTableField id="17" name="特殊条款" tableColumnId="17"/>
      <queryTableField id="15" name="付息频率" tableColumnId="15"/>
      <queryTableField id="16" name="维好协议提供者" tableColumnId="16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227" name="发行人成立地" tableColumnId="77"/>
      <queryTableField id="260" name="OTHER_ISIN" tableColumnId="98"/>
      <queryTableField id="83" name="结构" tableColumnId="83"/>
      <queryTableField id="90" name="增发判定" tableColumnId="90"/>
      <queryTableField id="223" name="备证行分行" tableColumnId="14"/>
      <queryTableField id="224" name="备证行全称" tableColumnId="84"/>
      <queryTableField id="85" name="上市" tableColumnId="85"/>
      <queryTableField id="86" name="通过分行" tableColumnId="86"/>
      <queryTableField id="147" name="YYQQ" tableColumnId="103"/>
      <queryTableField id="148" name="USD" tableColumnId="105"/>
      <queryTableField id="149" name="CNH" tableColumnId="106"/>
      <queryTableField id="150" name="HKD" tableColumnId="107"/>
      <queryTableField id="87" name="亿美元" tableColumnId="87"/>
      <queryTableField id="88" name="亿元" tableColumnId="88"/>
      <queryTableField id="89" name="亿港币" tableColumnId="89"/>
      <queryTableField id="91" name="Stats" tableColumnId="91"/>
      <queryTableField id="92" name="澳分_ROLE" tableColumnId="92"/>
      <queryTableField id="93" name="港分_ROLE" tableColumnId="93"/>
      <queryTableField id="246" name="浮息定价" tableColumnId="108"/>
      <queryTableField id="99" name="票息" tableColumnId="99"/>
      <queryTableField id="96" name="IPG" tableColumnId="96"/>
      <queryTableField id="97" name="FPG" tableColumnId="97"/>
      <queryTableField id="95" name="收窄基点" tableColumnId="95"/>
      <queryTableField id="100" name="年期" tableColumnId="100"/>
      <queryTableField id="101" name="期限备注" tableColumnId="101"/>
      <queryTableField id="105" name="品种主题" tableColumnId="102"/>
      <queryTableField id="145" name="ESG" tableColumnId="124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C463BFE-1E17-451F-9AD0-3F8DC7127C74}" autoFormatId="16" applyNumberFormats="0" applyBorderFormats="0" applyFontFormats="0" applyPatternFormats="0" applyAlignmentFormats="0" applyWidthHeightFormats="0">
  <queryTableRefresh nextId="3">
    <queryTableFields count="2">
      <queryTableField id="1" name="Index" tableColumnId="1"/>
      <queryTableField id="2" name="企业(集团)名称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902DE114-C6DA-43B0-BA02-B7E12B185B20}" autoFormatId="16" applyNumberFormats="0" applyBorderFormats="0" applyFontFormats="0" applyPatternFormats="0" applyAlignmentFormats="0" applyWidthHeightFormats="0">
  <queryTableRefresh nextId="212">
    <queryTableFields count="90">
      <queryTableField id="1" name="Index" tableColumnId="1"/>
      <queryTableField id="2" name="删除及隐藏" tableColumnId="2"/>
      <queryTableField id="3" name="信用主体" tableColumnId="3"/>
      <queryTableField id="4" name="ISIN" tableColumnId="4"/>
      <queryTableField id="5" name="定价日" tableColumnId="5"/>
      <queryTableField id="6" name="发行评级" tableColumnId="6"/>
      <queryTableField id="7" name="主体评级" tableColumnId="7"/>
      <queryTableField id="8" name="境内主体评级" tableColumnId="8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4" name="FPG" tableColumnId="14"/>
      <queryTableField id="15" name="定价" tableColumnId="15"/>
      <queryTableField id="16" name="收窄基点" tableColumnId="16"/>
      <queryTableField id="17" name="定价基准" tableColumnId="17"/>
      <queryTableField id="18" name="发行价" tableColumnId="18"/>
      <queryTableField id="19" name="结构" tableColumnId="19"/>
      <queryTableField id="20" name="上市" tableColumnId="20"/>
      <queryTableField id="21" name="港分_ROLE" tableColumnId="21"/>
      <queryTableField id="22" name="澳分_ROLE" tableColumnId="22"/>
      <queryTableField id="23" name="增发判定" tableColumnId="23"/>
      <queryTableField id="24" name="付息频率" tableColumnId="24"/>
      <queryTableField id="25" name="起息日期" tableColumnId="25"/>
      <queryTableField id="26" name="首次付息日" tableColumnId="26"/>
      <queryTableField id="27" name="兑付日" tableColumnId="27"/>
      <queryTableField id="28" name="亿美元" tableColumnId="28"/>
      <queryTableField id="29" name="亿元" tableColumnId="29"/>
      <queryTableField id="30" name="亿港币" tableColumnId="30"/>
      <queryTableField id="31" name="ticker" tableColumnId="31"/>
      <queryTableField id="210" name="发行人成立地" tableColumnId="32"/>
      <queryTableField id="33" name="发行人主上市地" tableColumnId="33"/>
      <queryTableField id="34" name="通过分行" tableColumnId="34"/>
      <queryTableField id="35" name="发行人" tableColumnId="35"/>
      <queryTableField id="36" name="担保人" tableColumnId="36"/>
      <queryTableField id="37" name="维好协议提供者" tableColumnId="37"/>
      <queryTableField id="165" name="备证行全称" tableColumnId="38"/>
      <queryTableField id="39" name="ESG" tableColumnId="39"/>
      <queryTableField id="40" name="品种主题" tableColumnId="40"/>
      <queryTableField id="41" name="亮点" tableColumnId="41"/>
      <queryTableField id="42" name="期限备注" tableColumnId="42"/>
      <queryTableField id="43" name="SPECIALs" tableColumnId="43"/>
      <queryTableField id="44" name="OTHER_ISIN" tableColumnId="44"/>
      <queryTableField id="45" name="Stats" tableColumnId="45"/>
      <queryTableField id="46" name="筹款用途" tableColumnId="46"/>
      <queryTableField id="47" name="发行方式" tableColumnId="47"/>
      <queryTableField id="48" name="DataSource" tableColumnId="48"/>
      <queryTableField id="51" name="Check" tableColumnId="51"/>
      <queryTableField id="52" name="mCurated" tableColumnId="52"/>
      <queryTableField id="123" name="Date_Onboarded" tableColumnId="80"/>
      <queryTableField id="124" name="EXE" tableColumnId="81"/>
      <queryTableField id="125" name="PROJECT_CN" tableColumnId="82"/>
      <queryTableField id="59" name="PROJECT_CODE" tableColumnId="59"/>
      <queryTableField id="60" name="期数" tableColumnId="60"/>
      <queryTableField id="53" name="BISL_ROLE" tableColumnId="53"/>
      <queryTableField id="57" name="新规角色" tableColumnId="57"/>
      <queryTableField id="55" name="IS_B&amp;D" tableColumnId="55"/>
      <queryTableField id="54" name="IS_LEAD" tableColumnId="54"/>
      <queryTableField id="56" name="是否合名" tableColumnId="56"/>
      <queryTableField id="58" name="COVERAGE" tableColumnId="58"/>
      <queryTableField id="126" name="Settlement" tableColumnId="83"/>
      <queryTableField id="127" name="BOCOM下单量" tableColumnId="84"/>
      <queryTableField id="128" name="BOCOM分配量" tableColumnId="85"/>
      <queryTableField id="129" name="交行及独家订单" tableColumnId="86"/>
      <queryTableField id="130" name="项目亮点" tableColumnId="87"/>
      <queryTableField id="131" name="定价会时间" tableColumnId="88"/>
      <queryTableField id="61" name="台账序号" tableColumnId="61"/>
      <queryTableField id="65" name="FolderPath" tableColumnId="65"/>
      <queryTableField id="107" name="IS_KYC_DONE" tableColumnId="79"/>
      <queryTableField id="66" name="PRJ对账号" tableColumnId="66"/>
      <queryTableField id="67" name="mBISL" tableColumnId="67"/>
      <queryTableField id="68" name="mChart" tableColumnId="68"/>
      <queryTableField id="157" name="信用主体简称" tableColumnId="62"/>
      <queryTableField id="70" name="板块" tableColumnId="70"/>
      <queryTableField id="151" name="板块二级" tableColumnId="63"/>
      <queryTableField id="152" name="板块三级" tableColumnId="64"/>
      <queryTableField id="71" name="中资属性" tableColumnId="71"/>
      <queryTableField id="153" name="级别" tableColumnId="77"/>
      <queryTableField id="110" name="地区" tableColumnId="72"/>
      <queryTableField id="111" name="城市" tableColumnId="73"/>
      <queryTableField id="112" name="区县" tableColumnId="74"/>
      <queryTableField id="158" name="首次违约日" tableColumnId="69"/>
      <queryTableField id="159" name="DEBUT_DATE" tableColumnId="75"/>
      <queryTableField id="160" name="DMI行业" tableColumnId="76"/>
      <queryTableField id="78" name="mCredit" tableColumnId="78"/>
      <queryTableField id="167" name="JGC" tableColumnId="90"/>
      <queryTableField id="168" name="JBR" tableColumnId="91"/>
      <queryTableField id="49" name="Updator" tableColumnId="49"/>
      <queryTableField id="50" name="Timestamp" tableColumnId="5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2" xr16:uid="{9A83D6E5-8028-451F-81EB-6106800FC1B7}" autoFormatId="16" applyNumberFormats="0" applyBorderFormats="0" applyFontFormats="0" applyPatternFormats="0" applyAlignmentFormats="0" applyWidthHeightFormats="0">
  <queryTableRefresh nextId="128">
    <queryTableFields count="52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126" name="发行人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124" name="备证行全称" tableColumnId="28"/>
      <queryTableField id="29" name="ESG" tableColumnId="29"/>
      <queryTableField id="121" name="品种主题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  <queryTableField id="123" name="mCurated" tableColumnId="5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59" xr16:uid="{CD7C4381-7052-4CA4-91F6-996BF768CCF2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6" name="发行评级" tableColumnId="6"/>
      <queryTableField id="7" name="货币" tableColumnId="7"/>
      <queryTableField id="8" name="发行规模(亿)" tableColumnId="8"/>
      <queryTableField id="9" name="亿美元" tableColumnId="9"/>
      <queryTableField id="10" name="年期" tableColumnId="10"/>
      <queryTableField id="11" name="Check" tableColumnId="11"/>
      <queryTableField id="12" name="mChart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1" xr16:uid="{00000000-0016-0000-0400-00000A000000}" autoFormatId="16" applyNumberFormats="0" applyBorderFormats="0" applyFontFormats="0" applyPatternFormats="0" applyAlignmentFormats="0" applyWidthHeightFormats="0">
  <queryTableRefresh nextId="175">
    <queryTableFields count="14">
      <queryTableField id="7" name="信用主体" tableColumnId="7"/>
      <queryTableField id="167" name="信用主体简称" tableColumnId="4"/>
      <queryTableField id="22" name="板块" tableColumnId="3"/>
      <queryTableField id="161" name="板块二级" tableColumnId="12"/>
      <queryTableField id="162" name="板块三级" tableColumnId="13"/>
      <queryTableField id="12" name="中资属性" tableColumnId="2"/>
      <queryTableField id="163" name="级别" tableColumnId="14"/>
      <queryTableField id="148" name="地区" tableColumnId="5"/>
      <queryTableField id="149" name="城市" tableColumnId="6"/>
      <queryTableField id="150" name="区县" tableColumnId="8"/>
      <queryTableField id="168" name="首次违约日" tableColumnId="9"/>
      <queryTableField id="169" name="DEBUT_DATE" tableColumnId="10"/>
      <queryTableField id="170" name="DMI行业" tableColumnId="11"/>
      <queryTableField id="128" name="mCredit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43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输入原始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ESG" tableColumnId="9"/>
      <queryTableField id="10" name="品种主题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56" xr16:uid="{9C2F7955-BCCD-428B-AD7B-252CCB02224B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23"/>
      <queryTableField id="2" name="Column2" tableColumnId="2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5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1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68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70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69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71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64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7" xr16:uid="{FE569CA9-74BD-4077-94C4-9DED6F655009}" autoFormatId="16" applyNumberFormats="0" applyBorderFormats="0" applyFontFormats="0" applyPatternFormats="0" applyAlignmentFormats="0" applyWidthHeightFormats="0">
  <queryTableRefresh nextId="3">
    <queryTableFields count="1">
      <queryTableField id="2" name="备证行全称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66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9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7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0" xr16:uid="{965395F6-617C-4046-9082-DAD00500E2C1}" autoFormatId="16" applyNumberFormats="0" applyBorderFormats="0" applyFontFormats="0" applyPatternFormats="0" applyAlignmentFormats="0" applyWidthHeightFormats="0">
  <queryTableRefresh nextId="3">
    <queryTableFields count="2">
      <queryTableField id="1" name="港分_ROLE" tableColumnId="1"/>
      <queryTableField id="2" name="Sort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FE4AD6C7-ECC8-4327-8028-676E272D43AE}" autoFormatId="16" applyNumberFormats="0" applyBorderFormats="0" applyFontFormats="0" applyPatternFormats="0" applyAlignmentFormats="0" applyWidthHeightFormats="0">
  <queryTableRefresh nextId="3">
    <queryTableFields count="2">
      <queryTableField id="1" name="定价基准" tableColumnId="1"/>
      <queryTableField id="2" name="SortValue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1" xr16:uid="{C5B2A8B4-C35B-43FA-A7B5-1C72072344E1}" autoFormatId="16" applyNumberFormats="0" applyBorderFormats="0" applyFontFormats="0" applyPatternFormats="0" applyAlignmentFormats="0" applyWidthHeightFormats="0">
  <queryTableRefresh nextId="3">
    <queryTableFields count="2">
      <queryTableField id="1" name="金融机构" tableColumnId="1"/>
      <queryTableField id="2" name="Sort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" xr16:uid="{163BFA38-EE8E-4D18-943E-F53F5D0FDA52}" autoFormatId="16" applyNumberFormats="0" applyBorderFormats="0" applyFontFormats="0" applyPatternFormats="0" applyAlignmentFormats="0" applyWidthHeightFormats="0">
  <queryTableRefresh nextId="3">
    <queryTableFields count="2">
      <queryTableField id="1" name="银行" tableColumnId="1"/>
      <queryTableField id="2" name="SortValue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BA54D58A-7796-4DBE-A1E6-A43B0ACEF975}" autoFormatId="16" applyNumberFormats="0" applyBorderFormats="0" applyFontFormats="0" applyPatternFormats="0" applyAlignmentFormats="0" applyWidthHeightFormats="0">
  <queryTableRefresh nextId="3">
    <queryTableFields count="2">
      <queryTableField id="1" name="非银" tableColumnId="1"/>
      <queryTableField id="2" name="Sort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7" xr16:uid="{55D85DE4-8967-4AAC-B3C4-D2AEBF7625EB}" autoFormatId="16" applyNumberFormats="0" applyBorderFormats="0" applyFontFormats="0" applyPatternFormats="0" applyAlignmentFormats="0" applyWidthHeightFormats="0">
  <queryTableRefresh nextId="3">
    <queryTableFields count="2">
      <queryTableField id="1" name="地方国企" tableColumnId="1"/>
      <queryTableField id="2" name="SortValue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8" xr16:uid="{83708DD9-BA06-4239-A310-ED71281EE81C}" autoFormatId="16" applyNumberFormats="0" applyBorderFormats="0" applyFontFormats="0" applyPatternFormats="0" applyAlignmentFormats="0" applyWidthHeightFormats="0">
  <queryTableRefresh nextId="3">
    <queryTableFields count="2">
      <queryTableField id="1" name="地方平台" tableColumnId="1"/>
      <queryTableField id="2" name="Sort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9" totalsRowShown="0" headerRowDxfId="439" dataDxfId="438">
  <autoFilter ref="A3:C9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437"/>
    <tableColumn id="4" xr3:uid="{01BB5857-C8A7-4203-A587-04BFC8573813}" name="Parameter" dataDxfId="436"/>
    <tableColumn id="5" xr3:uid="{D010838C-EEEF-40BF-9135-662BB9B0DB52}" name="Value" dataDxfId="435"/>
  </tableColumns>
  <tableStyleInfo name="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X15:DE97" tableType="queryTable" totalsRowShown="0">
  <autoFilter ref="CX15:DE97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 dataDxfId="434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 dataDxfId="433"/>
  </tableColumns>
  <tableStyleInfo name="Qry Loa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432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431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E10983-7C13-4202-A573-C7FB31CAD2C7}" name="DLD_Conso" displayName="DLD_Conso" ref="J15:CS45" tableType="queryTable" totalsRowShown="0">
  <autoFilter ref="J15:CS45" xr:uid="{5DE10983-7C13-4202-A573-C7FB31CAD2C7}"/>
  <tableColumns count="88">
    <tableColumn id="1" xr3:uid="{5B4AC918-37BD-4D6A-A9AA-A522558D3C7F}" uniqueName="1" name="Index" queryTableFieldId="1"/>
    <tableColumn id="2" xr3:uid="{F9BD5A5E-F48A-45D7-A04F-69A74FCDB42E}" uniqueName="2" name="信用主体" queryTableFieldId="2"/>
    <tableColumn id="4" xr3:uid="{15D8E7BD-A6E4-4077-9FA4-1897827C2FE7}" uniqueName="4" name="ISIN" queryTableFieldId="4"/>
    <tableColumn id="5" xr3:uid="{FFF01188-D1AE-44AD-95AE-6D825003F05E}" uniqueName="5" name="定价日" queryTableFieldId="5"/>
    <tableColumn id="83" xr3:uid="{212E4B14-8F1A-4DA6-B354-14DDC9AFB795}" uniqueName="83" name="IS_FIMTN" queryTableFieldId="83"/>
    <tableColumn id="76" xr3:uid="{C9706E1F-31DB-4045-B1A2-67AAE7A771D1}" uniqueName="76" name="IPG" queryTableFieldId="106"/>
    <tableColumn id="85" xr3:uid="{0ECDC8B5-50F9-4580-96E7-4BC14BC16761}" uniqueName="85" name="FPG" queryTableFieldId="107"/>
    <tableColumn id="17" xr3:uid="{DEDF0D21-A61E-4774-8FD6-AD7B716AF8CD}" uniqueName="17" name="定价" queryTableFieldId="274"/>
    <tableColumn id="28" xr3:uid="{A87B1779-023D-4CC2-9A6F-BAB908ADCD6B}" uniqueName="28" name="认购额(亿)" queryTableFieldId="28"/>
    <tableColumn id="42" xr3:uid="{15491A7B-A9A5-4CED-AFBA-3EFA6233958D}" uniqueName="42" name="投资者账户数" queryTableFieldId="42"/>
    <tableColumn id="43" xr3:uid="{EF53E3CC-3554-4228-A921-22389DAF4C7C}" uniqueName="43" name="投资者类型" queryTableFieldId="43"/>
    <tableColumn id="44" xr3:uid="{9DFCAC18-897D-4074-B4C6-E42FF6325ED5}" uniqueName="44" name="投资者分布" queryTableFieldId="44"/>
    <tableColumn id="11" xr3:uid="{748D9A80-AB13-407D-AB06-7DDE3F86CA00}" uniqueName="11" name="货币" queryTableFieldId="11"/>
    <tableColumn id="37" xr3:uid="{BF1E550F-A848-4203-8578-F5865833D4D7}" uniqueName="37" name="主题债券" queryTableFieldId="37"/>
    <tableColumn id="16" xr3:uid="{716F152D-D0E1-449B-94AC-B2BC79CCF2D5}" uniqueName="16" name="浮息定价" queryTableFieldId="190"/>
    <tableColumn id="86" xr3:uid="{F07B94EC-688B-41CB-B546-EF824090C66F}" uniqueName="86" name="IPT_DMI" queryTableFieldId="186"/>
    <tableColumn id="87" xr3:uid="{AD5B8A8C-11B9-4440-8F65-01EF12953B99}" uniqueName="87" name="FPG_DMI" queryTableFieldId="187"/>
    <tableColumn id="32" xr3:uid="{A2301668-E167-403A-8530-424F70A4D86F}" uniqueName="32" name="联席全球协调人" queryTableFieldId="32"/>
    <tableColumn id="60" xr3:uid="{C8DFD0B3-D71A-4820-8F5F-306CF96CE86D}" uniqueName="60" name="牵头经办人" queryTableFieldId="60"/>
    <tableColumn id="3" xr3:uid="{F3CFCDEA-530D-48C4-98E1-DD9D0348E42F}" uniqueName="3" name="英文简称" queryTableFieldId="3"/>
    <tableColumn id="6" xr3:uid="{88FECB12-C119-4603-8848-4784F71BF91F}" uniqueName="6" name="债券简称" queryTableFieldId="6"/>
    <tableColumn id="7" xr3:uid="{514DEAC5-5FC2-45D9-8856-9748BE0CE91F}" uniqueName="7" name="穆迪/标普" queryTableFieldId="7"/>
    <tableColumn id="8" xr3:uid="{12E425AF-AD90-4240-A396-EBACCE2BEC7F}" uniqueName="8" name="主体评级展望" queryTableFieldId="8"/>
    <tableColumn id="9" xr3:uid="{4E741411-8F53-4D25-8049-3A8A4354E048}" uniqueName="9" name="债项评级" queryTableFieldId="9"/>
    <tableColumn id="10" xr3:uid="{8010553D-F4C2-412F-9DFF-D6BC851164A9}" uniqueName="10" name="发行规模(亿)" queryTableFieldId="10"/>
    <tableColumn id="12" xr3:uid="{A674AC76-EBD9-4735-B3C3-E75062DF2A9F}" uniqueName="12" name="发行期限(年)" queryTableFieldId="12"/>
    <tableColumn id="13" xr3:uid="{656FD505-0E0A-47DF-95D0-52AE1DAF1E15}" uniqueName="13" name="票息_DMI" queryTableFieldId="13"/>
    <tableColumn id="14" xr3:uid="{9D676D9A-D35D-4E6C-93D8-9A828E0FF4CD}" uniqueName="14" name="兑付日" queryTableFieldId="14"/>
    <tableColumn id="15" xr3:uid="{2E0DFF7B-2254-4675-9028-EADF7D448319}" uniqueName="15" name="发行场所" queryTableFieldId="15"/>
    <tableColumn id="18" xr3:uid="{E99BF545-AFA4-46B6-91FC-C670C4A7DB2F}" uniqueName="18" name="收窄幅度(bp)" queryTableFieldId="18"/>
    <tableColumn id="19" xr3:uid="{7EFA6A4C-B9C4-49A2-B06F-7BF3C9764F78}" uniqueName="19" name="发行规则" queryTableFieldId="19"/>
    <tableColumn id="20" xr3:uid="{0BB234DC-7E67-4E3E-AB36-BF6CC53D40BC}" uniqueName="20" name="发行架构" queryTableFieldId="20"/>
    <tableColumn id="21" xr3:uid="{021ED268-0876-4BD2-8FCB-537ED973CD41}" uniqueName="21" name="SBLC提供者" queryTableFieldId="21"/>
    <tableColumn id="22" xr3:uid="{980A3764-7F90-4D6B-BABE-38EE112C3912}" uniqueName="22" name="偿还顺位" queryTableFieldId="22"/>
    <tableColumn id="23" xr3:uid="{1C64666A-E6BD-47D4-8710-7440C94482AE}" uniqueName="23" name="发行价" queryTableFieldId="23"/>
    <tableColumn id="24" xr3:uid="{DFF9335F-4F86-40D7-ACC5-122F65A6F72D}" uniqueName="24" name="首日涨跌" queryTableFieldId="24"/>
    <tableColumn id="25" xr3:uid="{C1ABA94D-07C3-403E-B547-26DFF4A22D4D}" uniqueName="25" name="省份" queryTableFieldId="25"/>
    <tableColumn id="26" xr3:uid="{3DD7EB65-610F-4671-94BD-8039DE55469F}" uniqueName="26" name="城市" queryTableFieldId="26"/>
    <tableColumn id="27" xr3:uid="{949135C8-6856-4928-9400-5196B1622868}" uniqueName="27" name="区县" queryTableFieldId="27"/>
    <tableColumn id="29" xr3:uid="{8FC1C17D-0446-4B94-AA2C-F518CF9AFD67}" uniqueName="29" name="认购倍数" queryTableFieldId="29"/>
    <tableColumn id="30" xr3:uid="{1F5FB267-EA1B-44CB-BB61-4619DA7FE17C}" uniqueName="30" name="亚洲占比" queryTableFieldId="30"/>
    <tableColumn id="31" xr3:uid="{E6EAAED3-3D09-4A0F-9CC3-E28796BA138D}" uniqueName="31" name="基金占比" queryTableFieldId="31"/>
    <tableColumn id="33" xr3:uid="{63595274-A0DA-4874-81FA-A650CC73EC2D}" uniqueName="33" name="发行方式" queryTableFieldId="33"/>
    <tableColumn id="34" xr3:uid="{ABEA3544-88AC-4B84-B303-31DCB818DD9A}" uniqueName="34" name="细分行业" queryTableFieldId="34"/>
    <tableColumn id="35" xr3:uid="{DAE43DAE-5158-469E-82A3-27E2A1E98984}" uniqueName="35" name="债项初始评级" queryTableFieldId="35"/>
    <tableColumn id="36" xr3:uid="{1FA4C1A0-22F0-4013-9B3C-9713853A98C1}" uniqueName="36" name="境内主体评级" queryTableFieldId="36"/>
    <tableColumn id="38" xr3:uid="{C08594C0-E3FD-4865-AC41-85790095F045}" uniqueName="38" name="DMI行业" queryTableFieldId="38"/>
    <tableColumn id="39" xr3:uid="{8B0B0068-F249-42C3-ADB9-7317919970E3}" uniqueName="39" name="剩余期限" queryTableFieldId="39"/>
    <tableColumn id="40" xr3:uid="{923EB214-F8DF-469F-8570-90D70D0F8EF8}" uniqueName="40" name="公司类型" queryTableFieldId="40"/>
    <tableColumn id="41" xr3:uid="{3C3EB5F5-C8C2-495C-A789-D4302A966EA0}" uniqueName="41" name="评级类型" queryTableFieldId="41"/>
    <tableColumn id="45" xr3:uid="{D0600A8D-061A-4455-B18D-1EDBB9B9D1E5}" uniqueName="45" name="筹款用途" queryTableFieldId="45"/>
    <tableColumn id="46" xr3:uid="{7EC1A8F9-18AA-415B-B2D0-2BC78FE11ACD}" uniqueName="46" name="TICKER" queryTableFieldId="46"/>
    <tableColumn id="47" xr3:uid="{998B1260-6DB9-4F80-81B7-D994D5024315}" uniqueName="47" name="债券最新面值" queryTableFieldId="47"/>
    <tableColumn id="48" xr3:uid="{4B00D82A-5B28-4AE7-B1E3-7A4B4FDF34A3}" uniqueName="48" name="债券余额" queryTableFieldId="48"/>
    <tableColumn id="49" xr3:uid="{BD567DDD-B834-4C96-AC0C-12C1C17C0308}" uniqueName="49" name="起息日期" queryTableFieldId="49"/>
    <tableColumn id="50" xr3:uid="{D31B7310-0AE7-4BDE-A254-A96DFEAC1DFE}" uniqueName="50" name="行权兑付日" queryTableFieldId="50"/>
    <tableColumn id="51" xr3:uid="{49FE00AA-64AF-4DB4-A70F-6F70D57FB9C1}" uniqueName="51" name="最新票面利率" queryTableFieldId="51"/>
    <tableColumn id="52" xr3:uid="{F97D6B83-2403-4063-9B86-D63DBCC5EBB7}" uniqueName="52" name="计息基准" queryTableFieldId="52"/>
    <tableColumn id="53" xr3:uid="{1087E705-93CE-43F7-9176-90F32930B92F}" uniqueName="53" name="首次付息日" queryTableFieldId="53"/>
    <tableColumn id="54" xr3:uid="{3119E7A9-F120-451B-818E-BDB8B2538B7C}" uniqueName="54" name="发行人" queryTableFieldId="54"/>
    <tableColumn id="55" xr3:uid="{CE899D90-AF75-4945-94A2-E7B4324E06E6}" uniqueName="55" name="担保人" queryTableFieldId="55"/>
    <tableColumn id="56" xr3:uid="{3CF8F69A-4EDA-462D-9DFC-8763E467EAAD}" uniqueName="56" name="发行起始日" queryTableFieldId="56"/>
    <tableColumn id="57" xr3:uid="{CE50FFC2-FEB9-48F9-8A67-53BB3AEDD01E}" uniqueName="57" name="定价_DMI" queryTableFieldId="57"/>
    <tableColumn id="58" xr3:uid="{6131BB60-3A2B-4519-8007-0080DF48E567}" uniqueName="58" name="上市日期" queryTableFieldId="58"/>
    <tableColumn id="59" xr3:uid="{4826C77C-1256-4558-BBA1-F14A62786E31}" uniqueName="59" name="特殊条款说明" queryTableFieldId="59"/>
    <tableColumn id="61" xr3:uid="{F3D3069B-892D-462E-848D-D1520D13C6B4}" uniqueName="61" name="联席账簿管理人" queryTableFieldId="61"/>
    <tableColumn id="62" xr3:uid="{C9405520-5754-488F-9B2F-9DCEE751DDF1}" uniqueName="62" name="是否永续债" queryTableFieldId="62"/>
    <tableColumn id="63" xr3:uid="{EA36CDCC-B24B-4915-B88B-915FD3CA45BF}" uniqueName="63" name="是否存单" queryTableFieldId="63"/>
    <tableColumn id="64" xr3:uid="{464ADBD4-A5B0-4841-8BA4-8077E2D7543F}" uniqueName="64" name="利率类型" queryTableFieldId="64"/>
    <tableColumn id="65" xr3:uid="{BBE152A3-C48E-4530-8099-D8B9E7367856}" uniqueName="65" name="交易状态" queryTableFieldId="65"/>
    <tableColumn id="66" xr3:uid="{6E4EE89B-0D90-460F-8669-2423695ADB83}" uniqueName="66" name="债券类型" queryTableFieldId="66"/>
    <tableColumn id="67" xr3:uid="{C7CF4945-DACF-4862-9DF7-1D48F5653EF9}" uniqueName="67" name="特殊条款" queryTableFieldId="67"/>
    <tableColumn id="68" xr3:uid="{12320A46-A196-46A7-A947-F10F385932E2}" uniqueName="68" name="付息频率" queryTableFieldId="68"/>
    <tableColumn id="69" xr3:uid="{99B8A5AC-8638-4583-8A3A-E6AAFFDD7498}" uniqueName="69" name="维好协议提供者" queryTableFieldId="69"/>
    <tableColumn id="71" xr3:uid="{78E0FE67-73E7-4373-BD7E-D2939C000866}" uniqueName="71" name="DataSource" queryTableFieldId="71"/>
    <tableColumn id="72" xr3:uid="{5BC88393-B624-4029-96B9-5ABBEE8B3A47}" uniqueName="72" name="首次违约日" queryTableFieldId="72"/>
    <tableColumn id="73" xr3:uid="{55FA349D-E074-41BF-8441-D5CAC3F93362}" uniqueName="73" name="IS_EXCH" queryTableFieldId="73"/>
    <tableColumn id="74" xr3:uid="{9B912B4D-B95F-461E-B2C7-AC0B2731A7D9}" uniqueName="74" name="地区" queryTableFieldId="74"/>
    <tableColumn id="75" xr3:uid="{77A97F76-F78D-49EE-A135-0B44C468C663}" uniqueName="75" name="BISL_ROLE" queryTableFieldId="75"/>
    <tableColumn id="77" xr3:uid="{DFD74504-BE23-409C-A426-555BA89DA3CC}" uniqueName="77" name="发行人主上市地" queryTableFieldId="77"/>
    <tableColumn id="78" xr3:uid="{5F92E4DD-0D17-46B8-A6AB-08937C9972D9}" uniqueName="78" name="补充OMAS updates" queryTableFieldId="78"/>
    <tableColumn id="79" xr3:uid="{ED16B4A3-6606-4FFA-896F-8E7D37A85C54}" uniqueName="79" name="定价息差" queryTableFieldId="79"/>
    <tableColumn id="80" xr3:uid="{999D5454-F1CD-4D76-8A97-E6CE2FC72590}" uniqueName="80" name="发行评级" queryTableFieldId="80"/>
    <tableColumn id="81" xr3:uid="{F260417E-7952-4DA1-97C6-854B34894029}" uniqueName="81" name="主体评级" queryTableFieldId="81"/>
    <tableColumn id="82" xr3:uid="{C4A16EEC-D011-40B5-BFA7-2A7A67601F78}" uniqueName="82" name="ESG_Indicator" queryTableFieldId="82"/>
    <tableColumn id="84" xr3:uid="{B399C842-C243-4CF1-AA5D-4BA4EB279093}" uniqueName="84" name="Check" queryTableFieldId="84"/>
    <tableColumn id="70" xr3:uid="{37065CD8-2B91-42F1-83B0-CB19C5FB4D77}" uniqueName="70" name="发行人成立地" queryTableFieldId="96"/>
    <tableColumn id="88" xr3:uid="{F60DDD1D-BD66-45E6-AF9C-6AC212870731}" uniqueName="88" name="OTHER_ISIN" queryTableFieldId="277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H24" tableType="queryTable" totalsRowShown="0">
  <autoFilter ref="P5:AH2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700-000001000000}" uniqueName="1" name="定价日" queryTableFieldId="1" dataDxfId="429"/>
    <tableColumn id="2" xr3:uid="{00000000-0010-0000-1700-000002000000}" uniqueName="2" name="信用主体" queryTableFieldId="2" dataDxfId="428"/>
    <tableColumn id="15" xr3:uid="{E24E777A-D49C-4B3E-93AA-DFAEBA57F42B}" uniqueName="15" name="ESG" queryTableFieldId="55" dataDxfId="427"/>
    <tableColumn id="12" xr3:uid="{00000000-0010-0000-1700-00000C000000}" uniqueName="12" name="IPG" queryTableFieldId="12" dataDxfId="426"/>
    <tableColumn id="13" xr3:uid="{00000000-0010-0000-1700-00000D000000}" uniqueName="13" name="FPG" queryTableFieldId="13" dataDxfId="425"/>
    <tableColumn id="4" xr3:uid="{438BA276-4BFD-4A06-B4A0-8B08B1F680C9}" uniqueName="4" name="定价" queryTableFieldId="135" dataDxfId="424"/>
    <tableColumn id="14" xr3:uid="{00000000-0010-0000-1700-00000E000000}" uniqueName="14" name="收窄基点" queryTableFieldId="14" dataDxfId="423"/>
    <tableColumn id="31" xr3:uid="{FFCE47EB-D5CF-4D34-81FA-065EDA65F5D5}" uniqueName="31" name="增发判定" queryTableFieldId="72" dataDxfId="422"/>
    <tableColumn id="8" xr3:uid="{00000000-0010-0000-1700-000008000000}" uniqueName="8" name="货币" queryTableFieldId="8" dataDxfId="421"/>
    <tableColumn id="9" xr3:uid="{00000000-0010-0000-1700-000009000000}" uniqueName="9" name="发行规模(亿)" queryTableFieldId="9" dataDxfId="420"/>
    <tableColumn id="5" xr3:uid="{A465A109-439B-46CC-B8D9-8536815366D7}" uniqueName="5" name="年期" queryTableFieldId="52" dataDxfId="419"/>
    <tableColumn id="11" xr3:uid="{00000000-0010-0000-1700-00000B000000}" uniqueName="11" name="票息" queryTableFieldId="11" dataDxfId="418"/>
    <tableColumn id="3" xr3:uid="{24F0DFD7-9531-4CB3-A79F-E21707EF0921}" uniqueName="3" name="品种主题" queryTableFieldId="129" dataDxfId="417"/>
    <tableColumn id="33" xr3:uid="{F7F8C15B-103F-4121-B909-0AA998B5A268}" uniqueName="33" name="上市" queryTableFieldId="73" dataDxfId="416"/>
    <tableColumn id="23" xr3:uid="{00000000-0010-0000-1700-000017000000}" uniqueName="23" name="亿美元" queryTableFieldId="23" dataDxfId="415"/>
    <tableColumn id="24" xr3:uid="{00000000-0010-0000-1700-000018000000}" uniqueName="24" name="亿元" queryTableFieldId="24" dataDxfId="414"/>
    <tableColumn id="21" xr3:uid="{02205151-A1BC-4641-96CA-0A9C736A8B39}" uniqueName="21" name="亿港币" queryTableFieldId="84" dataDxfId="413"/>
    <tableColumn id="35" xr3:uid="{00000000-0010-0000-1700-000023000000}" uniqueName="35" name="ISIN" queryTableFieldId="35" dataDxfId="412"/>
    <tableColumn id="19" xr3:uid="{00000000-0010-0000-1700-000013000000}" uniqueName="19" name="Check" queryTableFieldId="49" dataDxfId="411"/>
  </tableColumns>
  <tableStyleInfo name="BISL_Directory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L5:AZ9" tableType="queryTable" totalsRowShown="0">
  <autoFilter ref="AL5:AZ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4" xr3:uid="{01FA5C76-E4A2-4330-BE15-F2BBFE12C458}" uniqueName="4" name="信用主体" queryTableFieldId="69" dataDxfId="410"/>
    <tableColumn id="1" xr3:uid="{00000000-0010-0000-1800-000001000000}" uniqueName="1" name="Check" queryTableFieldId="1" dataDxfId="409"/>
    <tableColumn id="2" xr3:uid="{00000000-0010-0000-1800-000002000000}" uniqueName="2" name="ISIN" queryTableFieldId="2" dataDxfId="408"/>
    <tableColumn id="3" xr3:uid="{00000000-0010-0000-1800-000003000000}" uniqueName="3" name="定价日" queryTableFieldId="3" dataDxfId="407"/>
    <tableColumn id="18" xr3:uid="{CE8319FC-590C-4EDF-A68D-FBC91063B4F2}" uniqueName="18" name="台账序号" queryTableFieldId="38" dataDxfId="406"/>
    <tableColumn id="10" xr3:uid="{00000000-0010-0000-1800-00000A000000}" uniqueName="10" name="Project Name" queryTableFieldId="22" dataDxfId="405"/>
    <tableColumn id="6" xr3:uid="{C97C7999-7946-4BA8-B939-62252A2FA544}" uniqueName="6" name="EXE" queryTableFieldId="72" dataDxfId="404"/>
    <tableColumn id="8" xr3:uid="{00000000-0010-0000-1800-000008000000}" uniqueName="8" name="COVERAGE" queryTableFieldId="16" dataDxfId="403"/>
    <tableColumn id="12" xr3:uid="{00000000-0010-0000-1800-00000C000000}" uniqueName="12" name="新规角色" queryTableFieldId="12" dataDxfId="402"/>
    <tableColumn id="9" xr3:uid="{00000000-0010-0000-1800-000009000000}" uniqueName="9" name="PROJECT_CODE" queryTableFieldId="17" dataDxfId="401"/>
    <tableColumn id="15" xr3:uid="{00000000-0010-0000-1800-00000F000000}" uniqueName="15" name="期数" queryTableFieldId="15" dataDxfId="400"/>
    <tableColumn id="5" xr3:uid="{00000000-0010-0000-1800-000005000000}" uniqueName="5" name="BISL_ROLE" queryTableFieldId="5" dataDxfId="399"/>
    <tableColumn id="11" xr3:uid="{00000000-0010-0000-1800-00000B000000}" uniqueName="11" name="IS_LEAD" queryTableFieldId="30" dataDxfId="398"/>
    <tableColumn id="13" xr3:uid="{00000000-0010-0000-1800-00000D000000}" uniqueName="13" name="IS_B&amp;D" queryTableFieldId="31" dataDxfId="397"/>
    <tableColumn id="14" xr3:uid="{00000000-0010-0000-1800-00000E000000}" uniqueName="14" name="是否合名" queryTableFieldId="32" dataDxfId="396"/>
  </tableColumns>
  <tableStyleInfo name="BISL_Directory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D5:BM6" tableType="queryTable" insertRow="1" totalsRowShown="0">
  <autoFilter ref="BD5:BM6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900-000001000000}" uniqueName="1" name="信用主体" queryTableFieldId="1" dataDxfId="395"/>
    <tableColumn id="3" xr3:uid="{00000000-0010-0000-1900-000003000000}" uniqueName="3" name="SHORTNAMER" queryTableFieldId="3" dataDxfId="394"/>
    <tableColumn id="4" xr3:uid="{5D8C0826-4749-4B80-BE52-B2AE7B522193}" uniqueName="4" name="板块" queryTableFieldId="8" dataDxfId="393"/>
    <tableColumn id="5" xr3:uid="{BF84519F-AA73-46FB-A9FF-2D27EF1E5179}" uniqueName="5" name="板块二级" queryTableFieldId="9" dataDxfId="392"/>
    <tableColumn id="6" xr3:uid="{C1BF62F6-15E9-4CB0-AEF8-C0CB2436A363}" uniqueName="6" name="板块三级" queryTableFieldId="10" dataDxfId="391"/>
    <tableColumn id="2" xr3:uid="{067E2B2D-938B-409B-BBB9-BD65FC38D959}" uniqueName="2" name="中资属性" queryTableFieldId="6" dataDxfId="390"/>
    <tableColumn id="7" xr3:uid="{1D1B38A5-B3EF-4481-8F33-4CF9539186F7}" uniqueName="7" name="级别" queryTableFieldId="11" dataDxfId="389"/>
    <tableColumn id="8" xr3:uid="{800D0F85-2095-49BE-9029-4FCC906AA585}" uniqueName="8" name="地区" queryTableFieldId="12" dataDxfId="388"/>
    <tableColumn id="9" xr3:uid="{FA583856-35C7-4F60-92E4-D675E7D4C0EB}" uniqueName="9" name="城市" queryTableFieldId="13" dataDxfId="387"/>
    <tableColumn id="10" xr3:uid="{BD817CF1-4219-44CF-908A-2290B91B8649}" uniqueName="10" name="区县" queryTableFieldId="14" dataDxfId="386"/>
  </tableColumns>
  <tableStyleInfo name="BISL_Directory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24" tableType="queryTable" totalsRowShown="0">
  <autoFilter ref="B5:L24" xr:uid="{5C4B1B8C-A0D4-4D02-A871-15DC30D8DA09}"/>
  <tableColumns count="11">
    <tableColumn id="1" xr3:uid="{3E9647E3-CCA2-4EE2-BC8F-94A72BF1C6FB}" uniqueName="1" name="删除及隐藏" queryTableFieldId="1" dataDxfId="385"/>
    <tableColumn id="2" xr3:uid="{2989A5DB-032C-4A61-9F1B-232A1392CB59}" uniqueName="2" name="ISIN" queryTableFieldId="2" dataDxfId="384"/>
    <tableColumn id="3" xr3:uid="{54C99E76-3C90-4DC7-B18C-794479F768ED}" uniqueName="3" name="定价日" queryTableFieldId="3" dataDxfId="383"/>
    <tableColumn id="4" xr3:uid="{505BB7FB-E263-483A-AC0A-0AE9317B9D8F}" uniqueName="4" name="信用主体" queryTableFieldId="4" dataDxfId="382"/>
    <tableColumn id="5" xr3:uid="{315B6BA9-3BCB-45C2-9A6C-9FBD75E934D6}" uniqueName="5" name="发行评级" queryTableFieldId="5" dataDxfId="381"/>
    <tableColumn id="6" xr3:uid="{ACB704AC-62D4-40E7-A2F0-002B6341CEAF}" uniqueName="6" name="主体评级" queryTableFieldId="6" dataDxfId="380"/>
    <tableColumn id="7" xr3:uid="{D73EE109-D3A9-4E56-A56C-D8807776759C}" uniqueName="7" name="结构" queryTableFieldId="7" dataDxfId="379"/>
    <tableColumn id="8" xr3:uid="{EBA5E71C-883A-47C5-BE9D-DE2534C5C933}" uniqueName="8" name="备证行全称" queryTableFieldId="12" dataDxfId="378"/>
    <tableColumn id="9" xr3:uid="{0B451F54-19BB-415D-8E9F-1F0685BB9AD2}" uniqueName="9" name="港分_ROLE" queryTableFieldId="9" dataDxfId="377"/>
    <tableColumn id="10" xr3:uid="{26B4736D-076D-4E30-9954-6491DC39F40B}" uniqueName="10" name="澳分_ROLE" queryTableFieldId="10" dataDxfId="376"/>
    <tableColumn id="11" xr3:uid="{A1D5D74A-E135-4039-9984-BA315ECFEBA2}" uniqueName="11" name="Check" queryTableFieldId="11" dataDxfId="375"/>
  </tableColumns>
  <tableStyleInfo name="BISL_Directory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DE37" tableType="queryTable" totalsRowShown="0">
  <autoFilter ref="A6:DE37" xr:uid="{CDDF5528-447C-443B-AF7C-674545284801}"/>
  <tableColumns count="109">
    <tableColumn id="1" xr3:uid="{C0844C81-13FB-48BE-BDE9-F0D29D54269E}" uniqueName="1" name="Index" queryTableFieldId="1" dataDxfId="374"/>
    <tableColumn id="3" xr3:uid="{AC1BC36F-CCDC-477B-832E-1E8CE6730098}" uniqueName="3" name="信用主体" queryTableFieldId="3" dataDxfId="373"/>
    <tableColumn id="5" xr3:uid="{9BB249D6-B921-409C-BD25-1143AD7E4A15}" uniqueName="5" name="ISIN" queryTableFieldId="5" dataDxfId="372"/>
    <tableColumn id="6" xr3:uid="{92748992-E149-4DC2-9B29-E2EFE1DB117C}" uniqueName="6" name="定价日" queryTableFieldId="6" dataDxfId="371"/>
    <tableColumn id="2" xr3:uid="{4A568699-9719-499E-BA66-35A7C05B513F}" uniqueName="2" name="IS_FIMTN" queryTableFieldId="2" dataDxfId="370"/>
    <tableColumn id="9" xr3:uid="{8F4A4264-E4EB-465C-95BF-43829C64E429}" uniqueName="9" name="IPT_DMI" queryTableFieldId="9" dataDxfId="369"/>
    <tableColumn id="10" xr3:uid="{452A448D-CFA5-4DB8-AD7B-CCADF1BC6711}" uniqueName="10" name="FPG_DMI" queryTableFieldId="10" dataDxfId="368"/>
    <tableColumn id="94" xr3:uid="{F29F43E4-2E26-416A-91BC-7E2017D67E1A}" uniqueName="94" name="定价" queryTableFieldId="256" dataDxfId="367"/>
    <tableColumn id="52" xr3:uid="{5A03D882-1ECF-4876-A9AC-28A8D78CED8C}" uniqueName="52" name="认购额(亿)" queryTableFieldId="52" dataDxfId="366"/>
    <tableColumn id="41" xr3:uid="{8AF16E58-A015-418C-8513-49EBB27EDBF4}" uniqueName="41" name="投资者账户数" queryTableFieldId="41" dataDxfId="365"/>
    <tableColumn id="40" xr3:uid="{9E7A2765-F24C-4E03-9D4C-AF98B2BE6AC5}" uniqueName="40" name="投资者类型" queryTableFieldId="40" dataDxfId="364"/>
    <tableColumn id="39" xr3:uid="{52CCEFB4-75D0-4445-91A7-112CAC632FBE}" uniqueName="39" name="投资者分布" queryTableFieldId="39" dataDxfId="363"/>
    <tableColumn id="7" xr3:uid="{2876D30C-814B-43A4-B8F6-8C4DA856FC56}" uniqueName="7" name="货币" queryTableFieldId="7" dataDxfId="362"/>
    <tableColumn id="8" xr3:uid="{64D6EB2D-7AC6-4160-962B-80870A88FE9C}" uniqueName="8" name="ESG_Source" queryTableFieldId="8" dataDxfId="361"/>
    <tableColumn id="31" xr3:uid="{D3781C9C-3707-41FB-8F6D-766D1ACE952A}" uniqueName="31" name="计息基准" queryTableFieldId="31" dataDxfId="360"/>
    <tableColumn id="11" xr3:uid="{CE87F2C8-60A7-4F20-A21A-839EEE9168C7}" uniqueName="11" name="联席全球协调人" queryTableFieldId="11" dataDxfId="359"/>
    <tableColumn id="12" xr3:uid="{08EB1D31-2036-4406-B445-E8F3BF86B96D}" uniqueName="12" name="牵头经办人" queryTableFieldId="12" dataDxfId="358"/>
    <tableColumn id="13" xr3:uid="{BBA949DC-8CFA-4955-8128-ADB18AEF6B87}" uniqueName="13" name="英文简称" queryTableFieldId="13" dataDxfId="357"/>
    <tableColumn id="71" xr3:uid="{904F8824-A527-4DD3-A91E-090295245807}" uniqueName="71" name="债券简称" queryTableFieldId="71" dataDxfId="356"/>
    <tableColumn id="70" xr3:uid="{F9720734-02A9-4BCF-90D7-93CF9F1A9A77}" uniqueName="70" name="穆迪/标普" queryTableFieldId="70" dataDxfId="355"/>
    <tableColumn id="69" xr3:uid="{E39B5F07-4C36-4BFD-BCED-77021B12F7EC}" uniqueName="69" name="主体评级展望" queryTableFieldId="69" dataDxfId="354"/>
    <tableColumn id="68" xr3:uid="{98BF047E-6060-4684-871F-830B4E0B249C}" uniqueName="68" name="债项评级" queryTableFieldId="68" dataDxfId="353"/>
    <tableColumn id="67" xr3:uid="{BE8D6084-916D-4133-B3A2-D2905CFDDD76}" uniqueName="67" name="发行规模(亿)" queryTableFieldId="67" dataDxfId="352"/>
    <tableColumn id="66" xr3:uid="{656A4809-8342-40A9-84C6-D5F07C399DCE}" uniqueName="66" name="发行期限(年)" queryTableFieldId="66" dataDxfId="351"/>
    <tableColumn id="65" xr3:uid="{09A5C30C-729A-48CC-B4EB-3B865E699265}" uniqueName="65" name="票息_DMI" queryTableFieldId="65" dataDxfId="350"/>
    <tableColumn id="64" xr3:uid="{3A8EE787-58D6-40FA-A8E0-C1EE401DE4B9}" uniqueName="64" name="兑付日" queryTableFieldId="64" dataDxfId="349"/>
    <tableColumn id="63" xr3:uid="{48856535-C351-461C-B64D-8FC779702C24}" uniqueName="63" name="发行场所" queryTableFieldId="63" dataDxfId="348"/>
    <tableColumn id="62" xr3:uid="{8B44A811-8D8C-4FBA-AEB0-B2A31EA1AD09}" uniqueName="62" name="收窄幅度(bp)" queryTableFieldId="62" dataDxfId="347"/>
    <tableColumn id="61" xr3:uid="{00F8644A-D6DA-4985-8E6B-73B8DCB4459B}" uniqueName="61" name="发行规则" queryTableFieldId="61" dataDxfId="346"/>
    <tableColumn id="60" xr3:uid="{9AFC4BEF-D3CB-4B94-A996-8556C6B34025}" uniqueName="60" name="发行架构" queryTableFieldId="60" dataDxfId="345"/>
    <tableColumn id="59" xr3:uid="{4D39C025-1DCB-4366-9CF7-30ADF8318EC5}" uniqueName="59" name="SBLC提供者" queryTableFieldId="59" dataDxfId="344"/>
    <tableColumn id="58" xr3:uid="{C20545BE-F0E3-4358-96EB-833986AFB640}" uniqueName="58" name="偿还顺位" queryTableFieldId="58" dataDxfId="343"/>
    <tableColumn id="57" xr3:uid="{A279FC67-8893-466D-A727-00889FD4AD1E}" uniqueName="57" name="发行价" queryTableFieldId="57" dataDxfId="342"/>
    <tableColumn id="56" xr3:uid="{6EE32153-3E0D-4C3C-94C7-7FE691EB6D02}" uniqueName="56" name="首日涨跌" queryTableFieldId="56" dataDxfId="341"/>
    <tableColumn id="55" xr3:uid="{76931474-83FB-4867-AF9C-D7E65B44B26F}" uniqueName="55" name="省份" queryTableFieldId="55" dataDxfId="340"/>
    <tableColumn id="54" xr3:uid="{4CEE06E0-A31E-4018-BEFE-442BA305B966}" uniqueName="54" name="城市" queryTableFieldId="54" dataDxfId="339"/>
    <tableColumn id="53" xr3:uid="{70ABA819-A038-4323-839D-97C08EEF63CD}" uniqueName="53" name="区县" queryTableFieldId="53" dataDxfId="338"/>
    <tableColumn id="51" xr3:uid="{5C000353-D0CB-4F5B-A11B-638B87E5E1B7}" uniqueName="51" name="认购倍数" queryTableFieldId="51" dataDxfId="337"/>
    <tableColumn id="50" xr3:uid="{3A7E0BC9-8420-4B67-8EEF-8F0A5A3DAA50}" uniqueName="50" name="亚洲占比" queryTableFieldId="50" dataDxfId="336"/>
    <tableColumn id="49" xr3:uid="{7AD1ADFE-896F-47FF-A6B9-438BBA7FEC00}" uniqueName="49" name="基金占比" queryTableFieldId="49" dataDxfId="335"/>
    <tableColumn id="48" xr3:uid="{0E271067-DA5D-4EBA-9454-332850429252}" uniqueName="48" name="发行方式" queryTableFieldId="48" dataDxfId="334"/>
    <tableColumn id="47" xr3:uid="{199FFD36-853A-43EA-B94A-48E44C24CB23}" uniqueName="47" name="细分行业" queryTableFieldId="47" dataDxfId="333"/>
    <tableColumn id="46" xr3:uid="{22C27A75-0B9A-4C70-92F0-CB323071B28F}" uniqueName="46" name="债项初始评级" queryTableFieldId="46" dataDxfId="332"/>
    <tableColumn id="45" xr3:uid="{603C7CC9-59E6-482A-A158-925ABF70B72E}" uniqueName="45" name="境内主体评级" queryTableFieldId="45" dataDxfId="331"/>
    <tableColumn id="4" xr3:uid="{45C997D1-1F05-4CCD-B643-8ADCA6DC40EB}" uniqueName="4" name="DMI行业" queryTableFieldId="158"/>
    <tableColumn id="44" xr3:uid="{15AD3519-B16C-49DD-99DF-A71C1D2B3038}" uniqueName="44" name="剩余期限" queryTableFieldId="44" dataDxfId="330"/>
    <tableColumn id="43" xr3:uid="{1CB6CFDB-15FC-4372-91FF-32B5ACF96887}" uniqueName="43" name="公司类型" queryTableFieldId="43" dataDxfId="329"/>
    <tableColumn id="42" xr3:uid="{19823FC0-944D-47BA-8510-F821401D7848}" uniqueName="42" name="评级类型" queryTableFieldId="42" dataDxfId="328"/>
    <tableColumn id="38" xr3:uid="{75CD578C-1F6A-49BE-A807-22D0A211955A}" uniqueName="38" name="筹款用途" queryTableFieldId="38" dataDxfId="327"/>
    <tableColumn id="37" xr3:uid="{514DDF5A-DDA1-4CB3-8126-EC129D7C9ACA}" uniqueName="37" name="TICKER" queryTableFieldId="37" dataDxfId="326"/>
    <tableColumn id="36" xr3:uid="{6548ED30-3A02-441C-BCC5-B75D134C2FE2}" uniqueName="36" name="债券最新面值" queryTableFieldId="36" dataDxfId="325"/>
    <tableColumn id="35" xr3:uid="{4EF15B80-BCC6-4F99-8109-08B4F9A13EB4}" uniqueName="35" name="债券余额" queryTableFieldId="35" dataDxfId="324"/>
    <tableColumn id="34" xr3:uid="{E3854E03-8195-4691-9B35-F53C79A07D5F}" uniqueName="34" name="起息日期" queryTableFieldId="34" dataDxfId="323"/>
    <tableColumn id="33" xr3:uid="{695DA9AF-3950-4624-88E4-0BD1A253DC7F}" uniqueName="33" name="行权兑付日" queryTableFieldId="33" dataDxfId="322"/>
    <tableColumn id="32" xr3:uid="{B6E85873-8F4C-4565-8097-7B038054A199}" uniqueName="32" name="最新票面利率" queryTableFieldId="32" dataDxfId="321"/>
    <tableColumn id="30" xr3:uid="{39392E72-E631-4B30-9315-002E2790687A}" uniqueName="30" name="首次付息日" queryTableFieldId="30" dataDxfId="320"/>
    <tableColumn id="29" xr3:uid="{7C19D6E4-E675-4348-BF0E-C18ECC98656C}" uniqueName="29" name="发行人" queryTableFieldId="29" dataDxfId="319"/>
    <tableColumn id="28" xr3:uid="{F441BC3E-ED42-4AB1-8228-1B6924DBA6CA}" uniqueName="28" name="担保人" queryTableFieldId="28" dataDxfId="318"/>
    <tableColumn id="27" xr3:uid="{7BEF2D8D-31E3-42F9-B2F8-1285A8AEA53A}" uniqueName="27" name="发行起始日" queryTableFieldId="27" dataDxfId="317"/>
    <tableColumn id="26" xr3:uid="{2023C00C-A429-4931-BDDA-17ECE8CD2384}" uniqueName="26" name="定价_DMI" queryTableFieldId="26" dataDxfId="316"/>
    <tableColumn id="25" xr3:uid="{717F72D8-0F14-4058-A303-D5D8C035AF0D}" uniqueName="25" name="上市日期" queryTableFieldId="25" dataDxfId="315"/>
    <tableColumn id="24" xr3:uid="{845A41CB-6954-43DF-B920-27D89360F0AC}" uniqueName="24" name="特殊条款说明" queryTableFieldId="24" dataDxfId="314"/>
    <tableColumn id="23" xr3:uid="{53CAA8EF-4AEC-46A8-9E27-441717E56129}" uniqueName="23" name="联席账簿管理人" queryTableFieldId="23" dataDxfId="313"/>
    <tableColumn id="22" xr3:uid="{FA3F4F21-7EFE-4A67-82FF-76BB902BB391}" uniqueName="22" name="是否永续债" queryTableFieldId="22" dataDxfId="312"/>
    <tableColumn id="21" xr3:uid="{5AD7D3DC-431C-4D40-A998-715A4B5D4ED3}" uniqueName="21" name="是否存单" queryTableFieldId="21" dataDxfId="311"/>
    <tableColumn id="20" xr3:uid="{EB39CAED-E998-4724-A29F-9923AA8E87CD}" uniqueName="20" name="利率类型" queryTableFieldId="20" dataDxfId="310"/>
    <tableColumn id="19" xr3:uid="{160E00C3-CA1D-4E34-AFFB-500E27DD7358}" uniqueName="19" name="交易状态" queryTableFieldId="19" dataDxfId="309"/>
    <tableColumn id="18" xr3:uid="{D5F5D2FD-2D1D-4C73-9503-B08C22459B30}" uniqueName="18" name="债券类型" queryTableFieldId="18" dataDxfId="308"/>
    <tableColumn id="17" xr3:uid="{4F6E8B26-AA02-4350-8D29-EE5F63183020}" uniqueName="17" name="特殊条款" queryTableFieldId="17" dataDxfId="307"/>
    <tableColumn id="15" xr3:uid="{DD880CCD-C32F-4426-8544-CD57679F31FB}" uniqueName="15" name="付息频率" queryTableFieldId="15" dataDxfId="306"/>
    <tableColumn id="16" xr3:uid="{EC267DCA-B7BB-4080-B715-A81622734B97}" uniqueName="16" name="维好协议提供者" queryTableFieldId="16" dataDxfId="305"/>
    <tableColumn id="72" xr3:uid="{36609404-44F5-4DF0-BDD0-C17E6084BB98}" uniqueName="72" name="DataSource" queryTableFieldId="72" dataDxfId="304"/>
    <tableColumn id="73" xr3:uid="{4D85F51E-D29E-4116-94CC-E00DFE58D5BF}" uniqueName="73" name="首次违约日" queryTableFieldId="73" dataDxfId="303"/>
    <tableColumn id="74" xr3:uid="{4A571569-1D0E-4C48-859E-A52D4AAE080A}" uniqueName="74" name="IS_EXCH" queryTableFieldId="74" dataDxfId="302"/>
    <tableColumn id="75" xr3:uid="{6CD67985-9A55-4359-8E30-3955714BAAE8}" uniqueName="75" name="地区" queryTableFieldId="75" dataDxfId="301"/>
    <tableColumn id="76" xr3:uid="{5B53AACC-5E76-4DB6-99B8-B2C4410F91B2}" uniqueName="76" name="BISL_ROLE" queryTableFieldId="76" dataDxfId="300"/>
    <tableColumn id="78" xr3:uid="{6806FE0C-2F89-4FCB-9CD5-22A9BE33B59D}" uniqueName="78" name="发行人主上市地" queryTableFieldId="78" dataDxfId="299"/>
    <tableColumn id="79" xr3:uid="{38EED0C3-EE66-4A96-A601-0BBBDEB18E44}" uniqueName="79" name="补充OMAS updates" queryTableFieldId="79" dataDxfId="298"/>
    <tableColumn id="80" xr3:uid="{2AA2F95F-67EF-49FE-90BA-65856DA12BEA}" uniqueName="80" name="定价息差" queryTableFieldId="80" dataDxfId="297"/>
    <tableColumn id="81" xr3:uid="{E71EC63D-EBDC-4FF6-A877-995A9CD60C2B}" uniqueName="81" name="发行评级" queryTableFieldId="81" dataDxfId="296"/>
    <tableColumn id="82" xr3:uid="{98DF1031-C7F2-4850-9922-C4A7E135D979}" uniqueName="82" name="主体评级" queryTableFieldId="82" dataDxfId="295"/>
    <tableColumn id="77" xr3:uid="{3695A1EA-9E10-4392-BA84-45ED27DDC5AF}" uniqueName="77" name="发行人成立地" queryTableFieldId="227" dataDxfId="294"/>
    <tableColumn id="98" xr3:uid="{F584F66C-2A78-422C-9AFA-46CE0BFD5636}" uniqueName="98" name="OTHER_ISIN" queryTableFieldId="260" dataDxfId="293"/>
    <tableColumn id="83" xr3:uid="{2A5CE70B-57D3-4AAD-9D97-84E3D2E342CB}" uniqueName="83" name="结构" queryTableFieldId="83" dataDxfId="292"/>
    <tableColumn id="90" xr3:uid="{51E8488C-A4C5-46E0-968E-7BAEC9AF5102}" uniqueName="90" name="增发判定" queryTableFieldId="90" dataDxfId="291"/>
    <tableColumn id="14" xr3:uid="{76E268C8-0D56-44C5-900D-075631C60857}" uniqueName="14" name="备证行分行" queryTableFieldId="223" dataDxfId="290"/>
    <tableColumn id="84" xr3:uid="{18AF4D7C-DAAD-408B-93D4-F8839CD79F9F}" uniqueName="84" name="备证行全称" queryTableFieldId="224" dataDxfId="289"/>
    <tableColumn id="85" xr3:uid="{07222D66-BA37-4381-9F23-B87C506C86D7}" uniqueName="85" name="上市" queryTableFieldId="85" dataDxfId="288"/>
    <tableColumn id="86" xr3:uid="{9F0CE7F1-E4E4-4A27-B3FB-E740BE1932AB}" uniqueName="86" name="通过分行" queryTableFieldId="86" dataDxfId="287"/>
    <tableColumn id="103" xr3:uid="{E19CB8A6-0ED0-445D-9823-E7B95FAB3D17}" uniqueName="103" name="YYQQ" queryTableFieldId="147" dataDxfId="286"/>
    <tableColumn id="105" xr3:uid="{BC52A170-3E8D-49D3-AF5C-C5B002F15749}" uniqueName="105" name="USD" queryTableFieldId="148"/>
    <tableColumn id="106" xr3:uid="{59FFA814-7B91-4CB0-9843-A1F8F172B6B6}" uniqueName="106" name="CNH" queryTableFieldId="149"/>
    <tableColumn id="107" xr3:uid="{1533B589-DEE0-480D-8770-FFC3316F52EE}" uniqueName="107" name="HKD" queryTableFieldId="150"/>
    <tableColumn id="87" xr3:uid="{E1E52557-E125-48BE-85E0-86E4AA479955}" uniqueName="87" name="亿美元" queryTableFieldId="87" dataDxfId="285"/>
    <tableColumn id="88" xr3:uid="{1154296F-F3FC-4CA0-98AF-8D22E01B8000}" uniqueName="88" name="亿元" queryTableFieldId="88" dataDxfId="284"/>
    <tableColumn id="89" xr3:uid="{EF573876-F515-4239-978A-01B791677A7F}" uniqueName="89" name="亿港币" queryTableFieldId="89" dataDxfId="283"/>
    <tableColumn id="91" xr3:uid="{E281CCBC-4E73-4172-9B3E-940FB0855D6C}" uniqueName="91" name="Stats" queryTableFieldId="91" dataDxfId="282"/>
    <tableColumn id="92" xr3:uid="{A4554850-5480-4186-9DE3-8DE2D4EB8508}" uniqueName="92" name="澳分_ROLE" queryTableFieldId="92" dataDxfId="281"/>
    <tableColumn id="93" xr3:uid="{2DDB51B6-1CC9-4F1C-8FC4-133D6813C8DB}" uniqueName="93" name="港分_ROLE" queryTableFieldId="93" dataDxfId="280"/>
    <tableColumn id="108" xr3:uid="{EAA84D84-16CD-4C82-9732-581B973D4208}" uniqueName="108" name="浮息定价" queryTableFieldId="246" dataDxfId="279"/>
    <tableColumn id="99" xr3:uid="{EA26FB25-CA11-410B-B694-EFE2B2B204BF}" uniqueName="99" name="票息" queryTableFieldId="99" dataDxfId="278"/>
    <tableColumn id="96" xr3:uid="{ED22D00F-0374-4021-9E1C-9F55BB0F5DC8}" uniqueName="96" name="IPG" queryTableFieldId="96" dataDxfId="277"/>
    <tableColumn id="97" xr3:uid="{5F496631-96B8-4DC5-B5FB-DA8AE719C716}" uniqueName="97" name="FPG" queryTableFieldId="97" dataDxfId="276"/>
    <tableColumn id="95" xr3:uid="{C50074D1-2A77-4129-95DA-E6F5C1646D8F}" uniqueName="95" name="收窄基点" queryTableFieldId="95" dataDxfId="275"/>
    <tableColumn id="100" xr3:uid="{DDE5A8BA-8BC7-4900-BD81-D30DC22E753F}" uniqueName="100" name="年期" queryTableFieldId="100" dataDxfId="274"/>
    <tableColumn id="101" xr3:uid="{964E4155-2518-4B85-89DF-A54AA3A83296}" uniqueName="101" name="期限备注" queryTableFieldId="101" dataDxfId="273"/>
    <tableColumn id="102" xr3:uid="{8A4F6F8B-4B3F-42B0-BFC9-50EE9505184A}" uniqueName="102" name="品种主题" queryTableFieldId="105" dataDxfId="272"/>
    <tableColumn id="124" xr3:uid="{B9E27D4F-FAA9-4BEA-8354-1A1DBF0E8943}" uniqueName="124" name="ESG" queryTableFieldId="145" dataDxfId="271"/>
    <tableColumn id="104" xr3:uid="{19CE9159-6664-4EC8-A1AC-08A9A2A1392E}" uniqueName="104" name="Check" queryTableFieldId="104" dataDxfId="27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H26" totalsRowShown="0" headerRowDxfId="254" dataDxfId="253">
  <autoFilter ref="P3:AH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A00-000001000000}" name="定价日" dataDxfId="252"/>
    <tableColumn id="2" xr3:uid="{00000000-0010-0000-1A00-000002000000}" name="信用主体" dataDxfId="251"/>
    <tableColumn id="3" xr3:uid="{00000000-0010-0000-1A00-000003000000}" name="ESG" dataDxfId="250"/>
    <tableColumn id="4" xr3:uid="{00000000-0010-0000-1A00-000004000000}" name="IPG" dataDxfId="249"/>
    <tableColumn id="6" xr3:uid="{00000000-0010-0000-1A00-000006000000}" name="FPG" dataDxfId="248"/>
    <tableColumn id="12" xr3:uid="{00000000-0010-0000-1A00-00000C000000}" name="定价" dataDxfId="247"/>
    <tableColumn id="16" xr3:uid="{00000000-0010-0000-1A00-000010000000}" name="收窄基点" dataDxfId="246"/>
    <tableColumn id="13" xr3:uid="{00000000-0010-0000-1A00-00000D000000}" name="增发判定" dataDxfId="245"/>
    <tableColumn id="14" xr3:uid="{00000000-0010-0000-1A00-00000E000000}" name="货币" dataDxfId="244"/>
    <tableColumn id="19" xr3:uid="{00000000-0010-0000-1A00-000013000000}" name="发行规模(亿)" dataDxfId="243"/>
    <tableColumn id="5" xr3:uid="{00000000-0010-0000-1A00-000005000000}" name="年期" dataDxfId="242"/>
    <tableColumn id="7" xr3:uid="{00000000-0010-0000-1A00-000007000000}" name="票息" dataDxfId="241"/>
    <tableColumn id="8" xr3:uid="{00000000-0010-0000-1A00-000008000000}" name="品种主题" dataDxfId="240"/>
    <tableColumn id="9" xr3:uid="{00000000-0010-0000-1A00-000009000000}" name="上市" dataDxfId="239"/>
    <tableColumn id="10" xr3:uid="{00000000-0010-0000-1A00-00000A000000}" name="亿美元" dataDxfId="238"/>
    <tableColumn id="17" xr3:uid="{00000000-0010-0000-1A00-000011000000}" name="亿元" dataDxfId="237"/>
    <tableColumn id="18" xr3:uid="{00000000-0010-0000-1A00-000012000000}" name="亿港币" dataDxfId="236"/>
    <tableColumn id="15" xr3:uid="{00000000-0010-0000-1A00-00000F000000}" name="ISIN" dataDxfId="235"/>
    <tableColumn id="20" xr3:uid="{00000000-0010-0000-1A00-000014000000}" name="Check" dataDxfId="234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B12" totalsRowShown="0" headerRowDxfId="233" dataDxfId="232">
  <tableColumns count="15">
    <tableColumn id="1" xr3:uid="{00000000-0010-0000-1B00-000001000000}" name="信用主体" dataDxfId="231"/>
    <tableColumn id="2" xr3:uid="{00000000-0010-0000-1B00-000002000000}" name="Check" dataDxfId="230"/>
    <tableColumn id="3" xr3:uid="{00000000-0010-0000-1B00-000003000000}" name="ISIN" dataDxfId="229"/>
    <tableColumn id="4" xr3:uid="{00000000-0010-0000-1B00-000004000000}" name="定价日" dataDxfId="228"/>
    <tableColumn id="5" xr3:uid="{00000000-0010-0000-1B00-000005000000}" name="台账序号" dataDxfId="227"/>
    <tableColumn id="6" xr3:uid="{00000000-0010-0000-1B00-000006000000}" name="Project Name" dataDxfId="226"/>
    <tableColumn id="15" xr3:uid="{BECA38D8-2DF3-4ECC-82ED-1396C2EE9C70}" name="EXE" dataDxfId="225"/>
    <tableColumn id="7" xr3:uid="{00000000-0010-0000-1B00-000007000000}" name="COVERAGE" dataDxfId="224"/>
    <tableColumn id="8" xr3:uid="{00000000-0010-0000-1B00-000008000000}" name="新规角色" dataDxfId="223"/>
    <tableColumn id="9" xr3:uid="{00000000-0010-0000-1B00-000009000000}" name="PROJECT_CODE" dataDxfId="222"/>
    <tableColumn id="10" xr3:uid="{00000000-0010-0000-1B00-00000A000000}" name="期数" dataDxfId="221"/>
    <tableColumn id="11" xr3:uid="{00000000-0010-0000-1B00-00000B000000}" name="BISL_ROLE" dataDxfId="220"/>
    <tableColumn id="12" xr3:uid="{00000000-0010-0000-1B00-00000C000000}" name="IS_LEAD" dataDxfId="219"/>
    <tableColumn id="13" xr3:uid="{00000000-0010-0000-1B00-00000D000000}" name="IS_B&amp;D" dataDxfId="218"/>
    <tableColumn id="14" xr3:uid="{00000000-0010-0000-1B00-00000E000000}" name="是否合名" dataDxfId="217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O12" totalsRowShown="0" headerRowDxfId="216" dataDxfId="215">
  <autoFilter ref="BF3:BO12" xr:uid="{00000000-0009-0000-0100-00000A000000}">
    <filterColumn colId="0" hiddenButton="1"/>
    <filterColumn colId="1" hiddenButton="1"/>
    <filterColumn colId="2" hiddenButton="1"/>
    <filterColumn colId="5" hiddenButton="1"/>
  </autoFilter>
  <tableColumns count="10">
    <tableColumn id="1" xr3:uid="{00000000-0010-0000-1C00-000001000000}" name="信用主体" dataDxfId="214"/>
    <tableColumn id="2" xr3:uid="{00000000-0010-0000-1C00-000002000000}" name="SHORTNAMER" dataDxfId="213"/>
    <tableColumn id="4" xr3:uid="{00000000-0010-0000-1C00-000004000000}" name="板块" dataDxfId="212"/>
    <tableColumn id="8" xr3:uid="{E8CD06B3-E62E-4FF9-AF10-BB24D4EF76D4}" name="板块二级" dataDxfId="211"/>
    <tableColumn id="7" xr3:uid="{8D15ACAE-2815-40D2-9E27-91C4692416F1}" name="板块三级" dataDxfId="210"/>
    <tableColumn id="3" xr3:uid="{00000000-0010-0000-1C00-000003000000}" name="中资属性" dataDxfId="209"/>
    <tableColumn id="9" xr3:uid="{EAEB71EA-4450-47B8-AB31-76AE2DBE446C}" name="级别" dataDxfId="208"/>
    <tableColumn id="10" xr3:uid="{6C513D7C-FDEF-42E3-8EE7-E039B70D041E}" name="地区" dataDxfId="207"/>
    <tableColumn id="11" xr3:uid="{B8FCD552-27E4-4C66-9FB7-771E2AB04DE8}" name="城市" dataDxfId="206"/>
    <tableColumn id="12" xr3:uid="{DB69F4A0-3BC6-4E89-AB21-CE02354F84CD}" name="区县" dataDxfId="205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204"/>
    <tableColumn id="4" xr3:uid="{0C203217-F646-4D3C-BCC1-CB5D146D778A}" name="信用主体" dataDxfId="203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全称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986145-72E7-4F12-91C8-2EF1FE25B67D}" name="CSOE_SASAC" displayName="CSOE_SASAC" ref="BT3:BU100" tableType="queryTable" totalsRowShown="0">
  <autoFilter ref="BT3:BU100" xr:uid="{9E986145-72E7-4F12-91C8-2EF1FE25B67D}"/>
  <tableColumns count="2">
    <tableColumn id="1" xr3:uid="{137209D8-484F-4750-A804-82A38820308A}" uniqueName="1" name="Index" queryTableFieldId="1"/>
    <tableColumn id="2" xr3:uid="{017CA49A-F4C1-4023-A8CE-48349C47548A}" uniqueName="2" name="企业(集团)名称" queryTableFieldId="2" dataDxfId="202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CM37" tableType="queryTable" totalsRowShown="0">
  <autoFilter ref="B6:CM37" xr:uid="{11C6B267-9841-4AFA-84D0-7B04A87D3DA9}"/>
  <tableColumns count="90">
    <tableColumn id="1" xr3:uid="{49C84CFB-F7A2-42E9-A567-E78D80A6A9EB}" uniqueName="1" name="Index" queryTableFieldId="1" dataDxfId="201"/>
    <tableColumn id="2" xr3:uid="{5391C6C1-694E-4B38-B0E7-1D036FC97B80}" uniqueName="2" name="删除及隐藏" queryTableFieldId="2" dataDxfId="200"/>
    <tableColumn id="3" xr3:uid="{30AEE88C-F7D8-4915-9C60-E7FB9D2B6B0A}" uniqueName="3" name="信用主体" queryTableFieldId="3" dataDxfId="199"/>
    <tableColumn id="4" xr3:uid="{E4016D6D-F47F-44C4-BE9A-6B665A4B3B74}" uniqueName="4" name="ISIN" queryTableFieldId="4" dataDxfId="198"/>
    <tableColumn id="5" xr3:uid="{C5F3905A-7503-4C09-8BC2-F8F75FB787E2}" uniqueName="5" name="定价日" queryTableFieldId="5" dataDxfId="197"/>
    <tableColumn id="6" xr3:uid="{56423A97-32F1-4BA5-8F25-D70A4FA34F74}" uniqueName="6" name="发行评级" queryTableFieldId="6" dataDxfId="196"/>
    <tableColumn id="7" xr3:uid="{16AAB038-B673-4A11-9D4F-C69C2FBCA8F8}" uniqueName="7" name="主体评级" queryTableFieldId="7" dataDxfId="195"/>
    <tableColumn id="8" xr3:uid="{1968EBC8-5A19-45E9-AF08-5218615579D8}" uniqueName="8" name="境内主体评级" queryTableFieldId="8" dataDxfId="194"/>
    <tableColumn id="9" xr3:uid="{A650CF03-5030-46F2-82E5-B6F54676C743}" uniqueName="9" name="货币" queryTableFieldId="9" dataDxfId="193"/>
    <tableColumn id="10" xr3:uid="{21E51DCC-7040-45E3-A2B9-978FB679C460}" uniqueName="10" name="发行规模(亿)" queryTableFieldId="10" dataDxfId="192"/>
    <tableColumn id="11" xr3:uid="{EB439C5C-BAB2-4AFF-A57D-0318D4B8B590}" uniqueName="11" name="年期" queryTableFieldId="11" dataDxfId="191"/>
    <tableColumn id="12" xr3:uid="{802F46BB-319C-44D3-9FAD-4431BE10BF59}" uniqueName="12" name="票息" queryTableFieldId="12" dataDxfId="190"/>
    <tableColumn id="13" xr3:uid="{5636182E-856B-46D0-9A63-7E79773603D1}" uniqueName="13" name="IPG" queryTableFieldId="13" dataDxfId="189"/>
    <tableColumn id="14" xr3:uid="{75243A32-D580-486D-9826-B7B5135977DE}" uniqueName="14" name="FPG" queryTableFieldId="14" dataDxfId="188"/>
    <tableColumn id="15" xr3:uid="{B864466F-CF3D-4CA7-BFB3-976E3124C961}" uniqueName="15" name="定价" queryTableFieldId="15" dataDxfId="187"/>
    <tableColumn id="16" xr3:uid="{19734BE8-7A34-422B-87BC-EA6F796132A4}" uniqueName="16" name="收窄基点" queryTableFieldId="16" dataDxfId="186"/>
    <tableColumn id="17" xr3:uid="{7D768D0B-CF3E-47CB-A9C5-CAE9ED2FE7EE}" uniqueName="17" name="定价基准" queryTableFieldId="17" dataDxfId="185"/>
    <tableColumn id="18" xr3:uid="{BED07932-948A-44FA-AF6B-8B9CA8B3715E}" uniqueName="18" name="发行价" queryTableFieldId="18" dataDxfId="184"/>
    <tableColumn id="19" xr3:uid="{0A94885E-7247-426C-A1BA-829EE9864EFA}" uniqueName="19" name="结构" queryTableFieldId="19" dataDxfId="183"/>
    <tableColumn id="20" xr3:uid="{4C650ED6-C9D0-4B5B-BD04-4920F327DE76}" uniqueName="20" name="上市" queryTableFieldId="20" dataDxfId="182"/>
    <tableColumn id="21" xr3:uid="{9BB36B2D-00DF-46AB-A552-027C6B9E6698}" uniqueName="21" name="港分_ROLE" queryTableFieldId="21" dataDxfId="181"/>
    <tableColumn id="22" xr3:uid="{FCE5B259-E893-4D15-A23E-D3B85BC84284}" uniqueName="22" name="澳分_ROLE" queryTableFieldId="22" dataDxfId="180"/>
    <tableColumn id="23" xr3:uid="{DAD00B99-E16D-46F9-BBFE-C39B5E51F8B4}" uniqueName="23" name="增发判定" queryTableFieldId="23" dataDxfId="179"/>
    <tableColumn id="24" xr3:uid="{7E76AE3B-E535-4875-926F-50D9B0BD9CA3}" uniqueName="24" name="付息频率" queryTableFieldId="24" dataDxfId="178"/>
    <tableColumn id="25" xr3:uid="{D210E24B-6303-4F5B-964F-F043F84EADC0}" uniqueName="25" name="起息日期" queryTableFieldId="25" dataDxfId="177"/>
    <tableColumn id="26" xr3:uid="{3503A059-19B5-4994-AA31-2EB00F65C20D}" uniqueName="26" name="首次付息日" queryTableFieldId="26" dataDxfId="176"/>
    <tableColumn id="27" xr3:uid="{7BA8DB13-6078-4A5F-920B-455C89B692E8}" uniqueName="27" name="兑付日" queryTableFieldId="27" dataDxfId="175"/>
    <tableColumn id="28" xr3:uid="{34F18E86-AE88-43DF-A931-58B145B8C31B}" uniqueName="28" name="亿美元" queryTableFieldId="28" dataDxfId="174"/>
    <tableColumn id="29" xr3:uid="{5F450BB9-0D6C-4278-B44C-CE58B9AF8AD2}" uniqueName="29" name="亿元" queryTableFieldId="29" dataDxfId="173"/>
    <tableColumn id="30" xr3:uid="{89AFE930-1F34-4FBB-B11C-D71C795B0FE6}" uniqueName="30" name="亿港币" queryTableFieldId="30" dataDxfId="172"/>
    <tableColumn id="31" xr3:uid="{11137EDA-E209-4DE4-89EF-BFBC5F28196A}" uniqueName="31" name="TICKER" queryTableFieldId="31" dataDxfId="171"/>
    <tableColumn id="32" xr3:uid="{13A701C8-592A-4159-96AA-581FB0F7935E}" uniqueName="32" name="发行人成立地" queryTableFieldId="210" dataDxfId="170"/>
    <tableColumn id="33" xr3:uid="{6725112C-5597-436E-8E0E-AA13B66F2F8E}" uniqueName="33" name="发行人主上市地" queryTableFieldId="33" dataDxfId="169"/>
    <tableColumn id="34" xr3:uid="{2C2BB375-0A4F-4358-B6A3-28775B7A1032}" uniqueName="34" name="通过分行" queryTableFieldId="34" dataDxfId="168"/>
    <tableColumn id="35" xr3:uid="{8D9845ED-E6A1-4236-9925-21C027C59C8B}" uniqueName="35" name="发行人" queryTableFieldId="35" dataDxfId="167"/>
    <tableColumn id="36" xr3:uid="{3E5B4170-3625-4006-8A05-027F6A1A926E}" uniqueName="36" name="担保人" queryTableFieldId="36" dataDxfId="166"/>
    <tableColumn id="37" xr3:uid="{9C047B2A-73C7-4782-9019-E64A80C8942B}" uniqueName="37" name="维好协议提供者" queryTableFieldId="37" dataDxfId="165"/>
    <tableColumn id="38" xr3:uid="{BFA43F42-4F5D-4149-B18A-06E3B5DC1EB0}" uniqueName="38" name="备证行全称" queryTableFieldId="165" dataDxfId="164"/>
    <tableColumn id="39" xr3:uid="{308E3923-7218-4F54-942A-5F3AE05A87D3}" uniqueName="39" name="ESG" queryTableFieldId="39" dataDxfId="163"/>
    <tableColumn id="40" xr3:uid="{A8274D6B-F485-4D0B-AA5A-F76DB3BD48F9}" uniqueName="40" name="品种主题" queryTableFieldId="40" dataDxfId="162"/>
    <tableColumn id="41" xr3:uid="{450B9AE7-BD9C-4B5A-A014-DFCF4E39A058}" uniqueName="41" name="亮点" queryTableFieldId="41" dataDxfId="161"/>
    <tableColumn id="42" xr3:uid="{F468E57E-4B4B-49F0-9B1A-643846561B90}" uniqueName="42" name="期限备注" queryTableFieldId="42" dataDxfId="160"/>
    <tableColumn id="43" xr3:uid="{416DE0C2-D39B-4398-A881-FFB4F6F3DBED}" uniqueName="43" name="SPECIALs" queryTableFieldId="43" dataDxfId="159"/>
    <tableColumn id="44" xr3:uid="{A9A61A03-BCDF-47BC-8A88-6DD60BDA0D48}" uniqueName="44" name="OTHER_ISIN" queryTableFieldId="44" dataDxfId="158"/>
    <tableColumn id="45" xr3:uid="{3D555690-F5C6-4DEC-9A61-61FE5F3B393B}" uniqueName="45" name="Stats" queryTableFieldId="45" dataDxfId="157"/>
    <tableColumn id="46" xr3:uid="{1D4468C1-FE0C-47B6-A9B3-426D283F795B}" uniqueName="46" name="筹款用途" queryTableFieldId="46" dataDxfId="156"/>
    <tableColumn id="47" xr3:uid="{249E466B-DC8F-4E1C-87C7-318025F34396}" uniqueName="47" name="发行方式" queryTableFieldId="47" dataDxfId="155"/>
    <tableColumn id="48" xr3:uid="{0778CABD-2A27-4DD9-B44D-3F26DBDA112A}" uniqueName="48" name="DataSource" queryTableFieldId="48" dataDxfId="154"/>
    <tableColumn id="51" xr3:uid="{A1C8DF4C-5627-413A-9669-A64708A1B7E0}" uniqueName="51" name="Check" queryTableFieldId="51" dataDxfId="153"/>
    <tableColumn id="52" xr3:uid="{A7543B36-AE90-4A7B-84A9-58743741DDEA}" uniqueName="52" name="mCurated" queryTableFieldId="52" dataDxfId="152"/>
    <tableColumn id="80" xr3:uid="{0EDE92D2-BE78-43F6-A2BE-C53BD533C9B4}" uniqueName="80" name="Date_Onboarded" queryTableFieldId="123" dataDxfId="151"/>
    <tableColumn id="81" xr3:uid="{64DA84B6-5E56-41A0-A132-67C22B68F820}" uniqueName="81" name="EXE" queryTableFieldId="124" dataDxfId="150"/>
    <tableColumn id="82" xr3:uid="{6FAE94C7-D5D3-4ACF-B580-F861963930D3}" uniqueName="82" name="PROJECT_CN" queryTableFieldId="125" dataDxfId="149"/>
    <tableColumn id="59" xr3:uid="{8A2D9D71-A110-4C20-BE9E-24107E2E6717}" uniqueName="59" name="PROJECT_CODE" queryTableFieldId="59" dataDxfId="148"/>
    <tableColumn id="60" xr3:uid="{0BC8C201-9A40-4BF4-A9DF-D8E8ED230357}" uniqueName="60" name="期数" queryTableFieldId="60" dataDxfId="147"/>
    <tableColumn id="53" xr3:uid="{C3E4DE16-F266-4E37-B887-201A1994C79F}" uniqueName="53" name="BISL_ROLE" queryTableFieldId="53" dataDxfId="146"/>
    <tableColumn id="57" xr3:uid="{26FC0C70-3C7E-438F-A4C8-A26B0B8A7776}" uniqueName="57" name="新规角色" queryTableFieldId="57" dataDxfId="145"/>
    <tableColumn id="55" xr3:uid="{EEA635BE-DB56-4DCA-83D6-2C9208EF96FF}" uniqueName="55" name="IS_B&amp;D" queryTableFieldId="55" dataDxfId="144"/>
    <tableColumn id="54" xr3:uid="{0A1F1C73-ADAF-49EE-B732-FBE4F8EA6EC3}" uniqueName="54" name="IS_LEAD" queryTableFieldId="54" dataDxfId="143"/>
    <tableColumn id="56" xr3:uid="{142DAE2B-1A5B-4ACB-9A5A-4D94A060AC5B}" uniqueName="56" name="是否合名" queryTableFieldId="56" dataDxfId="142"/>
    <tableColumn id="58" xr3:uid="{C859D04F-8FF3-4AE5-B54E-4C1238A4CF2D}" uniqueName="58" name="COVERAGE" queryTableFieldId="58" dataDxfId="141"/>
    <tableColumn id="83" xr3:uid="{A8B23CF4-AB6B-44D3-B837-6B559208B86B}" uniqueName="83" name="Settlement" queryTableFieldId="126" dataDxfId="140"/>
    <tableColumn id="84" xr3:uid="{3308990B-6F24-4F97-B43F-5DF02DE253A0}" uniqueName="84" name="BOCOM下单量" queryTableFieldId="127" dataDxfId="139"/>
    <tableColumn id="85" xr3:uid="{6DE0CC37-30BF-4531-A9F1-E08BB46B2251}" uniqueName="85" name="BOCOM分配量" queryTableFieldId="128" dataDxfId="138"/>
    <tableColumn id="86" xr3:uid="{1FE47D55-24D0-4645-9BC3-C1BE2BB95698}" uniqueName="86" name="交行及独家订单" queryTableFieldId="129" dataDxfId="137"/>
    <tableColumn id="87" xr3:uid="{F0C9CB5A-AF36-42C5-AB40-B25447A8586D}" uniqueName="87" name="项目亮点" queryTableFieldId="130" dataDxfId="136"/>
    <tableColumn id="88" xr3:uid="{AD457361-C0A0-488D-AFC1-EA99E86DF6B0}" uniqueName="88" name="定价会时间" queryTableFieldId="131" dataDxfId="135"/>
    <tableColumn id="61" xr3:uid="{DF3C96F0-686A-48A2-A3F7-9E54CBC5E9BC}" uniqueName="61" name="台账序号" queryTableFieldId="61" dataDxfId="134"/>
    <tableColumn id="65" xr3:uid="{5215B6A6-D323-45D0-A2D3-8F20033772D9}" uniqueName="65" name="FolderPath" queryTableFieldId="65" dataDxfId="133"/>
    <tableColumn id="79" xr3:uid="{0345E64D-DCE4-48D5-9233-2022919D13FA}" uniqueName="79" name="IS_KYC_DONE" queryTableFieldId="107" dataDxfId="132"/>
    <tableColumn id="66" xr3:uid="{66FFF509-430F-4747-B1AA-3A099312B9FE}" uniqueName="66" name="PRJ对账号" queryTableFieldId="66" dataDxfId="131"/>
    <tableColumn id="67" xr3:uid="{E64E3C6B-E113-4763-B283-E7849DBD809B}" uniqueName="67" name="mBISL" queryTableFieldId="67" dataDxfId="130"/>
    <tableColumn id="68" xr3:uid="{4632AE26-2302-43CF-83AA-F156C643C478}" uniqueName="68" name="mChart" queryTableFieldId="68" dataDxfId="129"/>
    <tableColumn id="62" xr3:uid="{C65C4076-7CEF-49F4-82D6-A7F72AF0162E}" uniqueName="62" name="信用主体简称" queryTableFieldId="157" dataDxfId="128"/>
    <tableColumn id="70" xr3:uid="{EE9EE208-9F60-4444-B350-6176976954DF}" uniqueName="70" name="板块" queryTableFieldId="70" dataDxfId="127"/>
    <tableColumn id="63" xr3:uid="{AEC83FCF-C394-4B60-B872-839B8A88BD6E}" uniqueName="63" name="板块二级" queryTableFieldId="151" dataDxfId="126"/>
    <tableColumn id="64" xr3:uid="{A3B017AB-49B2-4786-85B1-086473B55973}" uniqueName="64" name="板块三级" queryTableFieldId="152" dataDxfId="125"/>
    <tableColumn id="71" xr3:uid="{E7031E0E-77AC-458C-B331-6C7CCE830EBB}" uniqueName="71" name="中资属性" queryTableFieldId="71" dataDxfId="124"/>
    <tableColumn id="77" xr3:uid="{6BB25898-2A9D-418A-8251-7057A6B851A3}" uniqueName="77" name="级别" queryTableFieldId="153" dataDxfId="123"/>
    <tableColumn id="72" xr3:uid="{4C278638-5A20-41A0-9C40-A873B957F011}" uniqueName="72" name="地区" queryTableFieldId="110" dataDxfId="122"/>
    <tableColumn id="73" xr3:uid="{798741A1-F625-432A-BC2E-9E1B244BBDA1}" uniqueName="73" name="城市" queryTableFieldId="111" dataDxfId="121"/>
    <tableColumn id="74" xr3:uid="{C4C97C64-1B22-48CA-965F-674CD3E6D746}" uniqueName="74" name="区县" queryTableFieldId="112" dataDxfId="120"/>
    <tableColumn id="69" xr3:uid="{5360A332-E8EB-43A6-A6A8-A18F32AC864E}" uniqueName="69" name="首次违约日" queryTableFieldId="158" dataDxfId="119"/>
    <tableColumn id="75" xr3:uid="{D8F064BE-E5FC-4FAB-8305-D3D50066C00B}" uniqueName="75" name="DEBUT_DATE" queryTableFieldId="159" dataDxfId="118"/>
    <tableColumn id="76" xr3:uid="{468F8BAE-DA88-4D0F-93A4-5D62A5390E72}" uniqueName="76" name="DMI行业" queryTableFieldId="160" dataDxfId="117"/>
    <tableColumn id="78" xr3:uid="{E9C5B3D7-1F65-42A2-B490-4540C81D2036}" uniqueName="78" name="mCredit" queryTableFieldId="78" dataDxfId="116"/>
    <tableColumn id="90" xr3:uid="{E3A7E9B2-8FC6-4560-AE0D-83BA74C2543D}" uniqueName="90" name="JGC" queryTableFieldId="167" dataDxfId="115"/>
    <tableColumn id="91" xr3:uid="{C3123716-81B3-4163-9EAE-2AA9DF9847B6}" uniqueName="91" name="JBR" queryTableFieldId="168" dataDxfId="114"/>
    <tableColumn id="49" xr3:uid="{AE89ED19-4403-409F-BF1D-1BC079FC0AE7}" uniqueName="49" name="Updator" queryTableFieldId="49" dataDxfId="113"/>
    <tableColumn id="50" xr3:uid="{4515DAF1-F030-4E39-B35F-0CCBF6CBA330}" uniqueName="50" name="Timestamp" queryTableFieldId="50" dataDxfId="112"/>
  </tableColumns>
  <tableStyleInfo name="Table Style 1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Z23" tableType="queryTable" totalsRowShown="0">
  <autoFilter ref="A4:AZ23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8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2">
    <tableColumn id="1" xr3:uid="{791E5B07-BD81-4C7D-914D-F61E0BD81704}" uniqueName="1" name="Index" queryTableFieldId="1" dataDxfId="111"/>
    <tableColumn id="50" xr3:uid="{56AFA799-4BDB-4EF4-B64C-858A5DD46BD4}" uniqueName="50" name="删除及隐藏" queryTableFieldId="70" dataDxfId="110"/>
    <tableColumn id="2" xr3:uid="{E4F1AA1A-4561-4DCC-BD36-6E0C0BF9681D}" uniqueName="2" name="信用主体" queryTableFieldId="2" dataDxfId="109"/>
    <tableColumn id="3" xr3:uid="{BCA724F0-8962-4CF8-9F27-DFAB5A7EE57F}" uniqueName="3" name="ISIN" queryTableFieldId="3" dataDxfId="108"/>
    <tableColumn id="4" xr3:uid="{7B86C8AE-E7F7-4B8E-A455-4336C7F9D6D4}" uniqueName="4" name="定价日" queryTableFieldId="4" dataDxfId="107"/>
    <tableColumn id="5" xr3:uid="{8479A384-B664-40C5-817C-35D95E248CA9}" uniqueName="5" name="发行评级" queryTableFieldId="5" dataDxfId="106"/>
    <tableColumn id="6" xr3:uid="{560F1DF2-A9DC-4732-81D4-617CC1DDABEC}" uniqueName="6" name="主体评级" queryTableFieldId="6" dataDxfId="105"/>
    <tableColumn id="7" xr3:uid="{78286578-0202-44D4-898F-7BC8053C30D1}" uniqueName="7" name="境内主体评级" queryTableFieldId="7" dataDxfId="104"/>
    <tableColumn id="8" xr3:uid="{11202A1D-7F53-4AFC-889F-FD580FC6F359}" uniqueName="8" name="货币" queryTableFieldId="8" dataDxfId="103"/>
    <tableColumn id="9" xr3:uid="{00F822E0-673A-426E-97E0-C7C03264A9B7}" uniqueName="9" name="发行规模(亿)" queryTableFieldId="9" dataDxfId="102"/>
    <tableColumn id="10" xr3:uid="{A4600EBC-E807-4C67-B01C-5CD1E3909F2C}" uniqueName="10" name="年期" queryTableFieldId="10" dataDxfId="101"/>
    <tableColumn id="11" xr3:uid="{3882855A-6F78-4733-843C-A5CCC8C71BBE}" uniqueName="11" name="票息" queryTableFieldId="11" dataDxfId="100"/>
    <tableColumn id="12" xr3:uid="{AA7813E9-B7C0-4485-97E4-3E4D3C485DA4}" uniqueName="12" name="IPG" queryTableFieldId="12" dataDxfId="99"/>
    <tableColumn id="13" xr3:uid="{6BC3F1E2-AC4E-42E4-8B1C-4FFDBF40A64D}" uniqueName="13" name="FPG" queryTableFieldId="13" dataDxfId="98"/>
    <tableColumn id="14" xr3:uid="{A56676CE-514E-4236-AF6A-12F9A2068657}" uniqueName="14" name="定价" queryTableFieldId="14" dataDxfId="97"/>
    <tableColumn id="15" xr3:uid="{8DC4F8E2-94E1-4CA7-8249-B35B934BB7A7}" uniqueName="15" name="收窄基点" queryTableFieldId="15" dataDxfId="96"/>
    <tableColumn id="16" xr3:uid="{2A30FA30-EA68-445A-B3B2-07A216AE817C}" uniqueName="16" name="定价基准" queryTableFieldId="16" dataDxfId="95"/>
    <tableColumn id="18" xr3:uid="{68B928C8-F110-4275-943D-B563184CF448}" uniqueName="18" name="发行价" queryTableFieldId="39" dataDxfId="94"/>
    <tableColumn id="17" xr3:uid="{0ACF0E03-B0D4-4057-BF46-E322F4936C17}" uniqueName="17" name="结构" queryTableFieldId="17" dataDxfId="93"/>
    <tableColumn id="19" xr3:uid="{979EE12C-AD42-4833-8A99-EC817C6F2D45}" uniqueName="19" name="上市" queryTableFieldId="19" dataDxfId="92"/>
    <tableColumn id="20" xr3:uid="{E6204F0C-29FB-48D4-9E0E-4731335D7A28}" uniqueName="20" name="港分_ROLE" queryTableFieldId="20" dataDxfId="91"/>
    <tableColumn id="21" xr3:uid="{DBF246C1-9F14-46AE-BBC3-92DB6B28A9F5}" uniqueName="21" name="澳分_ROLE" queryTableFieldId="21" dataDxfId="90"/>
    <tableColumn id="22" xr3:uid="{A427B15A-1E3B-4176-8AAF-3C66C694FA16}" uniqueName="22" name="增发判定" queryTableFieldId="22" dataDxfId="89"/>
    <tableColumn id="26" xr3:uid="{D81B8EC4-1E43-4536-91C9-D9443CB5B5E6}" uniqueName="26" name="付息频率" queryTableFieldId="40" dataDxfId="88"/>
    <tableColumn id="27" xr3:uid="{1B4F1862-A915-4343-BD42-60FE8D9C5914}" uniqueName="27" name="起息日期" queryTableFieldId="41" dataDxfId="87"/>
    <tableColumn id="39" xr3:uid="{63B90420-8840-4507-9FE7-AEEA98D3C1EA}" uniqueName="39" name="首次付息日" queryTableFieldId="42" dataDxfId="86"/>
    <tableColumn id="40" xr3:uid="{BD1F8AC9-D7AC-4D02-8E73-E640E429EA37}" uniqueName="40" name="兑付日" queryTableFieldId="43" dataDxfId="85"/>
    <tableColumn id="23" xr3:uid="{32278D46-AAFB-46AC-B876-F0B2F5B3D38C}" uniqueName="23" name="亿美元" queryTableFieldId="23" dataDxfId="84"/>
    <tableColumn id="24" xr3:uid="{1F885E33-0B82-4272-882B-8A2CC2097721}" uniqueName="24" name="亿元" queryTableFieldId="24" dataDxfId="83"/>
    <tableColumn id="25" xr3:uid="{636B29DB-50B6-49B5-9EE5-519500C5F4C5}" uniqueName="25" name="亿港币" queryTableFieldId="25" dataDxfId="82"/>
    <tableColumn id="41" xr3:uid="{88894D22-D148-449D-8AFE-C1E41A6237D0}" uniqueName="41" name="TICKER" queryTableFieldId="44" dataDxfId="81"/>
    <tableColumn id="45" xr3:uid="{CCE24D1A-046D-432C-9B3C-F59178684703}" uniqueName="45" name="发行人成立地" queryTableFieldId="126" dataDxfId="80"/>
    <tableColumn id="46" xr3:uid="{8292EA6A-E652-4AD6-980B-A367229A037B}" uniqueName="46" name="发行人主上市地" queryTableFieldId="59" dataDxfId="79"/>
    <tableColumn id="32" xr3:uid="{DF9610CA-17E8-4B49-910E-BA6EB58E92E6}" uniqueName="32" name="通过分行" queryTableFieldId="32" dataDxfId="78"/>
    <tableColumn id="42" xr3:uid="{A2CC7DB9-0BC7-4182-BD08-B5982994B9A6}" uniqueName="42" name="发行人" queryTableFieldId="45" dataDxfId="77"/>
    <tableColumn id="43" xr3:uid="{D8401749-5222-4202-B6A6-652D8A1D8E68}" uniqueName="43" name="担保人" queryTableFieldId="46" dataDxfId="76"/>
    <tableColumn id="44" xr3:uid="{38FFC5B5-8532-438A-9D5B-F9205283973B}" uniqueName="44" name="维好协议提供者" queryTableFieldId="47" dataDxfId="75"/>
    <tableColumn id="28" xr3:uid="{0F85E453-F403-4A22-9631-315EB2496013}" uniqueName="28" name="备证行全称" queryTableFieldId="124" dataDxfId="74"/>
    <tableColumn id="29" xr3:uid="{22C55275-6BA9-4912-9032-F35F16DFEF5E}" uniqueName="29" name="ESG" queryTableFieldId="29" dataDxfId="73"/>
    <tableColumn id="30" xr3:uid="{2EB27555-D39E-4DC6-9B68-30D70AC527E0}" uniqueName="30" name="品种主题" queryTableFieldId="121" dataDxfId="72"/>
    <tableColumn id="31" xr3:uid="{C11B3DB5-9721-4EF1-B0A1-D0EB6C66C057}" uniqueName="31" name="亮点" queryTableFieldId="31"/>
    <tableColumn id="33" xr3:uid="{F3F9AA75-29DA-43EE-BB6E-5BA6DF5BB1E3}" uniqueName="33" name="期限备注" queryTableFieldId="33" dataDxfId="71"/>
    <tableColumn id="34" xr3:uid="{4A3208F5-5206-4EA3-95FD-A6BD27F0D520}" uniqueName="34" name="SPECIALs" queryTableFieldId="34"/>
    <tableColumn id="35" xr3:uid="{73AAEBCD-2442-42BC-AB08-3A3863CB5C99}" uniqueName="35" name="OTHER_ISIN" queryTableFieldId="35" dataDxfId="70"/>
    <tableColumn id="47" xr3:uid="{33FE7EE0-D247-4253-A49C-D22E34625FB1}" uniqueName="47" name="Stats" queryTableFieldId="63" dataDxfId="69"/>
    <tableColumn id="48" xr3:uid="{E1E50F04-1EEC-4969-9690-F77BC431406E}" uniqueName="48" name="筹款用途" queryTableFieldId="65" dataDxfId="68"/>
    <tableColumn id="49" xr3:uid="{F1995DCC-88E7-4FCF-A524-C4324C258A84}" uniqueName="49" name="发行方式" queryTableFieldId="66" dataDxfId="67"/>
    <tableColumn id="51" xr3:uid="{220C35B1-5CBF-43F8-8977-7181DB08812C}" uniqueName="51" name="DataSource" queryTableFieldId="71" dataDxfId="66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65"/>
    <tableColumn id="52" xr3:uid="{6F545A79-7795-4ADD-BD59-AFD3E9558D2C}" uniqueName="52" name="mCurated" queryTableFieldId="123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wChart" displayName="wChart" ref="A2:L14" tableType="queryTable" totalsRowShown="0">
  <autoFilter ref="A2:L14" xr:uid="{0929954B-29C3-4504-9EDC-67D1EAAC0BE8}"/>
  <tableColumns count="12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64"/>
    <tableColumn id="4" xr3:uid="{56972BF7-D0A2-45BE-85AF-42CD4BC0C07C}" uniqueName="4" name="ISIN" queryTableFieldId="4" dataDxfId="63"/>
    <tableColumn id="5" xr3:uid="{3EE9FE56-784A-465A-8A3D-D0760F10D723}" uniqueName="5" name="信用主体" queryTableFieldId="5" dataDxfId="62"/>
    <tableColumn id="6" xr3:uid="{71FEB4EC-9A23-48FE-B427-FA17FB83724A}" uniqueName="6" name="发行评级" queryTableFieldId="6" dataDxfId="61"/>
    <tableColumn id="7" xr3:uid="{388B22D6-7275-4674-9DBA-38C93EED0C40}" uniqueName="7" name="货币" queryTableFieldId="7" dataDxfId="60"/>
    <tableColumn id="8" xr3:uid="{48A8B314-ED6E-4C50-B982-A04C001710A3}" uniqueName="8" name="发行规模(亿)" queryTableFieldId="8" dataDxfId="59"/>
    <tableColumn id="9" xr3:uid="{CF1C7724-269B-4B37-A402-12011F9DAA4D}" uniqueName="9" name="亿美元" queryTableFieldId="9" dataDxfId="58"/>
    <tableColumn id="10" xr3:uid="{54EB0500-BD9E-471F-9AB8-E19DC72A9E2D}" uniqueName="10" name="年期" queryTableFieldId="10" dataDxfId="57"/>
    <tableColumn id="11" xr3:uid="{F5D65BA1-355C-4FF2-AD0B-4320F6653F25}" uniqueName="11" name="Check" queryTableFieldId="11" dataDxfId="56"/>
    <tableColumn id="12" xr3:uid="{BB656818-0EBD-4E1B-A4BF-8E4CC6793ED8}" uniqueName="12" name="mChart" queryTableFieldId="1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N8" tableType="queryTable" totalsRowShown="0">
  <autoFilter ref="A4:N8" xr:uid="{00000000-0009-0000-0100-00001E000000}">
    <filterColumn colId="0" hiddenButton="1"/>
    <filterColumn colId="2" hiddenButton="1"/>
    <filterColumn colId="5" hiddenButton="1"/>
  </autoFilter>
  <tableColumns count="14">
    <tableColumn id="7" xr3:uid="{00000000-0010-0000-2100-000007000000}" uniqueName="7" name="信用主体" queryTableFieldId="7"/>
    <tableColumn id="4" xr3:uid="{02E3BC88-3DDE-4FA9-82BE-2079F7686A3D}" uniqueName="4" name="信用主体简称" queryTableFieldId="167"/>
    <tableColumn id="3" xr3:uid="{B0A40063-19C6-436A-B9D7-8F869CBB7078}" uniqueName="3" name="板块" queryTableFieldId="22"/>
    <tableColumn id="12" xr3:uid="{6D7E5816-D1BF-45D9-91C6-AF3277553B23}" uniqueName="12" name="板块二级" queryTableFieldId="161" dataDxfId="55"/>
    <tableColumn id="13" xr3:uid="{B186311D-88E9-419F-8F09-BA4ABE0887E2}" uniqueName="13" name="板块三级" queryTableFieldId="162" dataDxfId="54"/>
    <tableColumn id="2" xr3:uid="{2E2AEFE9-AB5E-4BE5-BAE0-A95DCF912FA9}" uniqueName="2" name="中资属性" queryTableFieldId="12"/>
    <tableColumn id="14" xr3:uid="{7C9990E4-DCCC-40F7-A396-FE62D827940A}" uniqueName="14" name="级别" queryTableFieldId="163" dataDxfId="53"/>
    <tableColumn id="5" xr3:uid="{94336C94-549F-40DB-9C8A-CA16D021854B}" uniqueName="5" name="地区" queryTableFieldId="148"/>
    <tableColumn id="6" xr3:uid="{A4098B58-9AD2-48B8-A87F-3AE0FF659A4E}" uniqueName="6" name="城市" queryTableFieldId="149"/>
    <tableColumn id="8" xr3:uid="{007F0818-DC3B-4CC1-B291-45D265094FB4}" uniqueName="8" name="区县" queryTableFieldId="150"/>
    <tableColumn id="9" xr3:uid="{E4026524-1999-4E39-975A-DF1266BE1A1B}" uniqueName="9" name="首次违约日" queryTableFieldId="168" dataDxfId="52"/>
    <tableColumn id="10" xr3:uid="{A48ADFA0-B1F0-472D-9B7D-1AAD791324E3}" uniqueName="10" name="DEBUT_DATE" queryTableFieldId="169" dataDxfId="51"/>
    <tableColumn id="11" xr3:uid="{56741CC0-7896-4D4C-A202-7AD64A6DED10}" uniqueName="11" name="DMI行业" queryTableFieldId="170"/>
    <tableColumn id="1" xr3:uid="{84BDBED0-D7D1-404F-9B76-BF5093CAA233}" uniqueName="1" name="mCredit" queryTableFieldId="12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EAB2CA1-646B-48B9-9A2D-DD0EB31DE521}" name="wNews_Input" displayName="wNews_Input" ref="A4:C10" totalsRowShown="0" dataDxfId="50">
  <tableColumns count="3">
    <tableColumn id="1" xr3:uid="{D2575DE4-269F-4959-A577-39811CF1BAA4}" name="Index" dataDxfId="49"/>
    <tableColumn id="3" xr3:uid="{7AC0BB8C-CC34-429C-8AF1-376F90827DC0}" name="新闻" dataDxfId="48"/>
    <tableColumn id="4" xr3:uid="{08C05BDA-0D65-4471-B3AB-B4ACFF300E8B}" name="来源" dataDxfId="47"/>
  </tableColumns>
  <tableStyleInfo name="Qry Load 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ISIN_Search" displayName="ISIN_Search" ref="B4:K6" tableType="queryTable" totalsRowShown="0">
  <autoFilter ref="B4:K6" xr:uid="{5961DEA1-B386-48DC-B5A2-9512EFD9A8FE}"/>
  <tableColumns count="10">
    <tableColumn id="1" xr3:uid="{FF5F3C1C-FB18-494D-9A6C-481F5A074F32}" uniqueName="1" name="输入原始ISIN" queryTableFieldId="1"/>
    <tableColumn id="2" xr3:uid="{F6A63040-4B28-46CC-A5F5-6EB745151B11}" uniqueName="2" name="信用主体(备证行)" queryTableFieldId="2"/>
    <tableColumn id="3" xr3:uid="{7BE3BA4D-3074-485A-8C2B-04E96859D51B}" uniqueName="3" name="定价日" queryTableFieldId="3" dataDxfId="44"/>
    <tableColumn id="4" xr3:uid="{FB516D27-B2F0-4C42-A21C-38B05D34D568}" uniqueName="4" name="发行评级" queryTableFieldId="4"/>
    <tableColumn id="5" xr3:uid="{F23B0A05-8D00-4C29-BADB-031FF75B34BF}" uniqueName="5" name="货币" queryTableFieldId="5"/>
    <tableColumn id="6" xr3:uid="{1207CE21-D6A5-40EC-B9FB-DDEEEEB45044}" uniqueName="6" name="发行规模(亿)" queryTableFieldId="6"/>
    <tableColumn id="7" xr3:uid="{E94499F0-29AE-4AD5-8504-5A623B6160F5}" uniqueName="7" name="年期" queryTableFieldId="7"/>
    <tableColumn id="8" xr3:uid="{BBAB8F29-985A-4023-AD75-C63C2AD63440}" uniqueName="8" name="票息" queryTableFieldId="8"/>
    <tableColumn id="9" xr3:uid="{E992D0D4-A8A2-46FE-829C-28BD781713FD}" uniqueName="9" name="ESG" queryTableFieldId="9"/>
    <tableColumn id="10" xr3:uid="{A2FE632F-D16D-4E52-8E1F-3721D79EBC6F}" uniqueName="10" name="品种主题" queryTableFieldId="10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9:K11" totalsRowShown="0" dataDxfId="43">
  <autoFilter ref="B9:K11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42"/>
    <tableColumn id="10" xr3:uid="{C2C4EF50-FD6F-4B1E-A545-2ECC96F9A905}" name="添加增发方式" dataDxfId="41"/>
    <tableColumn id="11" xr3:uid="{79B76218-E0E4-4A89-BE76-301D01940875}" name="增发判定" dataDxfId="40"/>
    <tableColumn id="12" xr3:uid="{EDA4F6FC-E9AF-428D-8455-7CAE58E2C730}" name="增发ISIN" dataDxfId="39"/>
    <tableColumn id="2" xr3:uid="{27B5EFE8-4072-49BD-B6A9-5FF970467B1C}" name="定价日" dataDxfId="38"/>
    <tableColumn id="3" xr3:uid="{AD0350DC-2C22-4D91-9AA2-3F091B8A9FED}" name="发行规模(亿)" dataDxfId="37"/>
    <tableColumn id="4" xr3:uid="{C498A0CC-CED1-41FB-877E-641A32287CEF}" name="IPT" dataDxfId="36"/>
    <tableColumn id="5" xr3:uid="{EDF855A7-BA7A-40AF-8D1C-50F6E2692F36}" name="FPG" dataDxfId="35"/>
    <tableColumn id="6" xr3:uid="{19553095-3CC0-4C17-9C9F-D62F43223F22}" name="BOCOM_JGC" dataDxfId="34"/>
    <tableColumn id="8" xr3:uid="{2ABEAA2D-F8C8-4F6E-BB0B-5ED3A2C55235}" name="BOCOM_JBR" dataDxfId="33"/>
  </tableColumns>
  <tableStyleInfo name="review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wAddTap" displayName="wAddTap" ref="B15:C47" tableType="queryTable" totalsRowShown="0">
  <autoFilter ref="B15:C47" xr:uid="{13E57BC5-5381-4B21-915A-56BB1155E16E}"/>
  <tableColumns count="2">
    <tableColumn id="23" xr3:uid="{2B4F470D-5393-407C-81AA-C0830E8F96A1}" uniqueName="23" name="Column1" queryTableFieldId="1" dataDxfId="32"/>
    <tableColumn id="24" xr3:uid="{EAD53C83-0843-49F8-80DF-27B7042770D9}" uniqueName="24" name="Column2" queryTableFieldId="2" dataDxfId="31"/>
  </tableColumns>
  <tableStyleInfo name="Qry Load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3:J20" tableType="queryTable" totalsRowShown="0">
  <autoFilter ref="I13:J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27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0:J36" tableType="queryTable" totalsRowShown="0">
  <autoFilter ref="I30:J36" xr:uid="{FF208760-EA58-4FEC-8BFC-A2D10CC56FD3}">
    <filterColumn colId="0" hiddenButton="1"/>
  </autoFilter>
  <tableColumns count="2">
    <tableColumn id="1" xr3:uid="{E8A08C19-4FDD-411B-A6E1-3AEE07FBDDD9}" uniqueName="1" name="BISL_ROLE" queryTableFieldId="1" dataDxfId="26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0" tableType="queryTable" totalsRowShown="0">
  <autoFilter ref="I6:J10" xr:uid="{999A9F35-E4E0-4D85-AD86-43F048CB5B5A}">
    <filterColumn colId="0" hiddenButton="1"/>
  </autoFilter>
  <tableColumns count="2">
    <tableColumn id="1" xr3:uid="{2AA3E575-2017-4E83-9753-495BF623DBCA}" uniqueName="1" name="Updator" queryTableFieldId="1" dataDxfId="25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0:J66" tableType="queryTable" totalsRowShown="0">
  <autoFilter ref="I60:J66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24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95:D104" tableType="queryTable" totalsRowShown="0">
  <autoFilter ref="D95:D104" xr:uid="{C59B98D9-DE6D-4FBE-945C-51BABF760B41}"/>
  <tableColumns count="1">
    <tableColumn id="1" xr3:uid="{A6F299EA-476D-4DD5-BED2-A486CAE02C36}" uniqueName="1" name="dd_结构" queryTableFieldId="2" dataDxfId="23"/>
  </tableColumns>
  <tableStyleInfo name="Named_d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2:J28" tableType="queryTable" totalsRowShown="0">
  <autoFilter ref="I22:J28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22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8:J49" tableType="queryTable" totalsRowShown="0">
  <autoFilter ref="I38:J49" xr:uid="{AF8038FA-F5FD-4B93-A069-021973B2B269}"/>
  <tableColumns count="2">
    <tableColumn id="1" xr3:uid="{DD06F972-EA09-468A-B735-0CEFD18E493E}" uniqueName="1" name="货币" queryTableFieldId="1" dataDxfId="21"/>
    <tableColumn id="2" xr3:uid="{6DB657FB-E1F1-4EA3-83FA-7AC2169895B1}" uniqueName="2" name="SortValue" queryTableFieldId="2" dataDxfId="20"/>
  </tableColumns>
  <tableStyleInfo name="Named_dd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1:J58" tableType="queryTable" totalsRowShown="0">
  <autoFilter ref="I51:J58" xr:uid="{6603B9A1-E294-40E5-AD4D-4E9927CD4CAF}"/>
  <tableColumns count="2">
    <tableColumn id="1" xr3:uid="{369F5811-C952-4951-A1BB-EF52B7DFEE11}" uniqueName="1" name="上市分类" queryTableFieldId="1" dataDxfId="19"/>
    <tableColumn id="2" xr3:uid="{C1D12E41-5DFD-4B2B-90E5-92838B701E0D}" uniqueName="2" name="SortValue" queryTableFieldId="2" dataDxfId="18"/>
  </tableColumns>
  <tableStyleInfo name="Named_d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17"/>
    <tableColumn id="1" xr3:uid="{FFDAFF75-50D1-41BB-9E49-2BB8B082E04A}" name="Replace"/>
  </tableColumns>
  <tableStyleInfo name="Qry Source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全称" displayName="备证行全称" ref="D41:D92" tableType="queryTable" totalsRowShown="0">
  <autoFilter ref="D41:D92" xr:uid="{3D15E97E-A96B-46C8-8F14-CDD4B9B5EBE7}"/>
  <tableColumns count="1">
    <tableColumn id="1" xr3:uid="{0D22FE4A-EE51-441D-9EA1-1C403407ED0B}" uniqueName="1" name="备证行全称" queryTableFieldId="2" dataDxfId="16"/>
  </tableColumns>
  <tableStyleInfo name="Named_dd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15"/>
  </tableColumns>
  <tableStyleInfo name="Named_dd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2" tableType="queryTable" totalsRowShown="0">
  <autoFilter ref="M6:N72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otalsRowShown="0">
  <autoFilter ref="P6:P57" xr:uid="{67EDE75D-B77F-479E-AE38-E240ED6FF7A1}"/>
  <tableColumns count="1">
    <tableColumn id="1" xr3:uid="{570EC7CC-3877-428E-B59C-EA2EA4EFCDAE}" name="ColNow_mCurated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14" tableType="queryTable" totalsRowShown="0">
  <autoFilter ref="D106:D114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4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8:J73" totalsRowShown="0">
  <autoFilter ref="I68:J73" xr:uid="{111DFADF-F3AE-49D9-BC2B-5E6AD4CE759F}"/>
  <tableColumns count="2">
    <tableColumn id="1" xr3:uid="{F689DC6D-5E70-49EB-A51C-BB9EF30556B5}" name="ESG" dataDxfId="13"/>
    <tableColumn id="2" xr3:uid="{6D7F5D52-78BC-4D49-A292-F6AF87AE5339}" name="SortValue" dataDxfId="12"/>
  </tableColumns>
  <tableStyleInfo name="Named_d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1BF747A-3099-4AC8-98BB-86A7AE61C531}" name="dd_新闻分类" displayName="dd_新闻分类" ref="D116:D123" totalsRowShown="0">
  <autoFilter ref="D116:D123" xr:uid="{2CCC43E2-BC45-47E5-B24A-579E315DAFB4}"/>
  <tableColumns count="1">
    <tableColumn id="1" xr3:uid="{C6821DF5-A99A-432D-93A6-E8A1E26A9881}" name="新闻分类"/>
  </tableColumns>
  <tableStyleInfo name="Named_d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B9827B1-D7B3-4824-8ABC-EFDB5F91689B}" name="dd_新闻地区" displayName="dd_新闻地区" ref="D125:D128" totalsRowShown="0">
  <autoFilter ref="D125:D128" xr:uid="{9E8E6DC3-51E5-47C4-9340-B324AE8AB7F6}"/>
  <tableColumns count="1">
    <tableColumn id="1" xr3:uid="{41C07ED1-0B41-4718-A93D-5AA15F4B6E7B}" name="新闻地区"/>
  </tableColumns>
  <tableStyleInfo name="Named_d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A189EFD-B11D-4A1B-887A-94C203DA521A}" name="dd_港分_ROLE" displayName="dd_港分_ROLE" ref="I75:J81" tableType="queryTable" totalsRowShown="0">
  <autoFilter ref="I75:J81" xr:uid="{DA189EFD-B11D-4A1B-887A-94C203DA521A}"/>
  <tableColumns count="2">
    <tableColumn id="1" xr3:uid="{FEA200F6-24EA-45F2-A61B-12C4A2B04526}" uniqueName="1" name="港分_ROLE" queryTableFieldId="1"/>
    <tableColumn id="2" xr3:uid="{C4627043-0314-4861-B5B0-B520C30756E7}" uniqueName="2" name="SortValue" queryTableFieldId="2"/>
  </tableColumns>
  <tableStyleInfo name="Named_d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27AD7AD-EA1D-4E1B-AA8B-78E95EAAB59F}" name="dd_定价基准" displayName="dd_定价基准" ref="I83:J96" tableType="queryTable" totalsRowShown="0">
  <autoFilter ref="I83:J96" xr:uid="{227AD7AD-EA1D-4E1B-AA8B-78E95EAAB59F}"/>
  <tableColumns count="2">
    <tableColumn id="1" xr3:uid="{420ECBF4-BE2B-4A66-942D-3210F6729A3C}" uniqueName="1" name="定价基准" queryTableFieldId="1" dataDxfId="11"/>
    <tableColumn id="2" xr3:uid="{4B0DED31-4087-4A25-AFC9-0AEEA9BA8F37}" uniqueName="2" name="SortValue" queryTableFieldId="2" dataDxfId="10"/>
  </tableColumns>
  <tableStyleInfo name="Named_dd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5B6F2C-4607-4D60-A974-E5F5AD80363D}" name="dd_金融机构" displayName="dd_金融机构" ref="I98:J101" tableType="queryTable" totalsRowShown="0">
  <autoFilter ref="I98:J101" xr:uid="{B96CDCA4-F775-4C94-B48D-5B8C029D19DC}"/>
  <tableColumns count="2">
    <tableColumn id="1" xr3:uid="{38F2EBF6-953C-4322-9270-C39CF960874E}" uniqueName="1" name="金融机构" queryTableFieldId="1" dataDxfId="9"/>
    <tableColumn id="2" xr3:uid="{0177D021-4B5C-41CB-BF55-D7BDCC537CC7}" uniqueName="2" name="SortValue" queryTableFieldId="2" dataDxfId="8"/>
  </tableColumns>
  <tableStyleInfo name="Named_d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897B07-E296-4D67-994F-D2BBAF6B6517}" name="dd_银行" displayName="dd_银行" ref="I103:J110" tableType="queryTable" totalsRowShown="0">
  <autoFilter ref="I103:J110" xr:uid="{895F477F-5398-4905-B711-9D08A0AE63F2}"/>
  <tableColumns count="2">
    <tableColumn id="1" xr3:uid="{CBD54E84-4C92-4EAE-970C-3C1316817AF7}" uniqueName="1" name="银行" queryTableFieldId="1" dataDxfId="7"/>
    <tableColumn id="2" xr3:uid="{701EE089-E5FF-4453-88E0-3FD1862F322B}" uniqueName="2" name="SortValue" queryTableFieldId="2" dataDxfId="6"/>
  </tableColumns>
  <tableStyleInfo name="Named_d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0283A-179D-4255-9427-C9D89B48AA14}" name="dd_非银" displayName="dd_非银" ref="I112:J119" tableType="queryTable" totalsRowShown="0">
  <autoFilter ref="I112:J119" xr:uid="{4B56C168-E314-4D78-9AE6-782588FC9B3F}"/>
  <tableColumns count="2">
    <tableColumn id="1" xr3:uid="{43766378-2A24-4FC2-889F-92EC3A5F8D1B}" uniqueName="1" name="非银" queryTableFieldId="1" dataDxfId="5"/>
    <tableColumn id="2" xr3:uid="{F6459280-4FCD-49BB-8F50-3807E8480254}" uniqueName="2" name="SortValue" queryTableFieldId="2" dataDxfId="4"/>
  </tableColumns>
  <tableStyleInfo name="Named_d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BE7BABB-B1BA-4A30-BCA9-E174E4673414}" name="dd_地方国企" displayName="dd_地方国企" ref="I121:J130" tableType="queryTable" totalsRowShown="0">
  <autoFilter ref="I121:J130" xr:uid="{DD985421-3214-4F7B-9909-C193B2759E4A}"/>
  <tableColumns count="2">
    <tableColumn id="1" xr3:uid="{0074168B-68EC-4B98-AA66-F0CA7BFC3BB8}" uniqueName="1" name="地方国企" queryTableFieldId="1" dataDxfId="3"/>
    <tableColumn id="2" xr3:uid="{279DD6A2-1C35-438C-B8D1-ACA1F06BE526}" uniqueName="2" name="SortValue" queryTableFieldId="2" dataDxfId="2"/>
  </tableColumns>
  <tableStyleInfo name="Named_d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6EB48F-5DB2-447E-B1CE-14799D2E70A9}" name="dd_地方平台" displayName="dd_地方平台" ref="I132:J139" tableType="queryTable" totalsRowShown="0">
  <autoFilter ref="I132:J139" xr:uid="{9663CCD6-FC26-4C72-9829-E352207CE37F}"/>
  <tableColumns count="2">
    <tableColumn id="1" xr3:uid="{927233F5-7BF1-4B1B-AAAC-9EF5E718B6DE}" uniqueName="1" name="地方平台" queryTableFieldId="1" dataDxfId="1"/>
    <tableColumn id="2" xr3:uid="{C9C4447F-F30F-41BD-8CDD-83D83F16DBA0}" uniqueName="2" name="SortValue" queryTableFieldId="2" dataDxfId="0"/>
  </tableColumns>
  <tableStyleInfo name="Named_dd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finance.sina.com.cn/stock/hkstock/ggscyd/2023-12-01/doc-imzwnqic7666972.shtml" TargetMode="External"/><Relationship Id="rId4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5.xml"/><Relationship Id="rId18" Type="http://schemas.openxmlformats.org/officeDocument/2006/relationships/table" Target="../tables/table40.xml"/><Relationship Id="rId26" Type="http://schemas.openxmlformats.org/officeDocument/2006/relationships/table" Target="../tables/table48.xml"/><Relationship Id="rId39" Type="http://schemas.openxmlformats.org/officeDocument/2006/relationships/table" Target="../tables/table61.xml"/><Relationship Id="rId21" Type="http://schemas.openxmlformats.org/officeDocument/2006/relationships/table" Target="../tables/table43.xml"/><Relationship Id="rId34" Type="http://schemas.openxmlformats.org/officeDocument/2006/relationships/table" Target="../tables/table56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17" Type="http://schemas.openxmlformats.org/officeDocument/2006/relationships/table" Target="../tables/table39.xml"/><Relationship Id="rId25" Type="http://schemas.openxmlformats.org/officeDocument/2006/relationships/table" Target="../tables/table47.xml"/><Relationship Id="rId33" Type="http://schemas.openxmlformats.org/officeDocument/2006/relationships/table" Target="../tables/table55.xml"/><Relationship Id="rId38" Type="http://schemas.openxmlformats.org/officeDocument/2006/relationships/table" Target="../tables/table60.xml"/><Relationship Id="rId2" Type="http://schemas.openxmlformats.org/officeDocument/2006/relationships/table" Target="../tables/table24.xml"/><Relationship Id="rId16" Type="http://schemas.openxmlformats.org/officeDocument/2006/relationships/table" Target="../tables/table38.xml"/><Relationship Id="rId20" Type="http://schemas.openxmlformats.org/officeDocument/2006/relationships/table" Target="../tables/table42.xml"/><Relationship Id="rId29" Type="http://schemas.openxmlformats.org/officeDocument/2006/relationships/table" Target="../tables/table5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24" Type="http://schemas.openxmlformats.org/officeDocument/2006/relationships/table" Target="../tables/table46.xml"/><Relationship Id="rId32" Type="http://schemas.openxmlformats.org/officeDocument/2006/relationships/table" Target="../tables/table54.xml"/><Relationship Id="rId37" Type="http://schemas.openxmlformats.org/officeDocument/2006/relationships/table" Target="../tables/table59.xml"/><Relationship Id="rId40" Type="http://schemas.openxmlformats.org/officeDocument/2006/relationships/table" Target="../tables/table62.xml"/><Relationship Id="rId5" Type="http://schemas.openxmlformats.org/officeDocument/2006/relationships/table" Target="../tables/table27.xml"/><Relationship Id="rId15" Type="http://schemas.openxmlformats.org/officeDocument/2006/relationships/table" Target="../tables/table37.xml"/><Relationship Id="rId23" Type="http://schemas.openxmlformats.org/officeDocument/2006/relationships/table" Target="../tables/table45.xml"/><Relationship Id="rId28" Type="http://schemas.openxmlformats.org/officeDocument/2006/relationships/table" Target="../tables/table50.xml"/><Relationship Id="rId36" Type="http://schemas.openxmlformats.org/officeDocument/2006/relationships/table" Target="../tables/table58.xml"/><Relationship Id="rId10" Type="http://schemas.openxmlformats.org/officeDocument/2006/relationships/table" Target="../tables/table32.xml"/><Relationship Id="rId19" Type="http://schemas.openxmlformats.org/officeDocument/2006/relationships/table" Target="../tables/table41.xml"/><Relationship Id="rId31" Type="http://schemas.openxmlformats.org/officeDocument/2006/relationships/table" Target="../tables/table53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Relationship Id="rId22" Type="http://schemas.openxmlformats.org/officeDocument/2006/relationships/table" Target="../tables/table44.xml"/><Relationship Id="rId27" Type="http://schemas.openxmlformats.org/officeDocument/2006/relationships/table" Target="../tables/table49.xml"/><Relationship Id="rId30" Type="http://schemas.openxmlformats.org/officeDocument/2006/relationships/table" Target="../tables/table52.xml"/><Relationship Id="rId35" Type="http://schemas.openxmlformats.org/officeDocument/2006/relationships/table" Target="../tables/table57.xml"/><Relationship Id="rId8" Type="http://schemas.openxmlformats.org/officeDocument/2006/relationships/table" Target="../tables/table30.xml"/><Relationship Id="rId3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S108"/>
  <sheetViews>
    <sheetView tabSelected="1" topLeftCell="A10" zoomScale="85" zoomScaleNormal="85" workbookViewId="0">
      <selection activeCell="K11" sqref="K11"/>
    </sheetView>
  </sheetViews>
  <sheetFormatPr defaultColWidth="8.88671875" defaultRowHeight="18" customHeight="1" outlineLevelCol="1" x14ac:dyDescent="0.25"/>
  <cols>
    <col min="1" max="1" width="6.21875" style="2" customWidth="1"/>
    <col min="2" max="2" width="15.5546875" style="2" customWidth="1"/>
    <col min="3" max="3" width="16" style="2" customWidth="1"/>
    <col min="4" max="4" width="4" style="96" customWidth="1"/>
    <col min="5" max="7" width="4" style="2" customWidth="1"/>
    <col min="8" max="8" width="19.44140625" style="2" bestFit="1" customWidth="1"/>
    <col min="9" max="9" width="7.88671875" style="2" customWidth="1"/>
    <col min="10" max="10" width="7.109375" style="2" bestFit="1" customWidth="1"/>
    <col min="11" max="11" width="30" style="2" bestFit="1" customWidth="1"/>
    <col min="12" max="12" width="13.44140625" style="2" bestFit="1" customWidth="1"/>
    <col min="13" max="13" width="10.44140625" style="2" bestFit="1" customWidth="1"/>
    <col min="14" max="14" width="10.33203125" style="2" bestFit="1" customWidth="1"/>
    <col min="15" max="15" width="8.109375" style="2" bestFit="1" customWidth="1"/>
    <col min="16" max="16" width="11.88671875" style="2" bestFit="1" customWidth="1"/>
    <col min="17" max="17" width="7.21875" style="2" bestFit="1" customWidth="1"/>
    <col min="18" max="18" width="10.33203125" style="2" bestFit="1" customWidth="1"/>
    <col min="19" max="19" width="12.5546875" style="2" bestFit="1" customWidth="1"/>
    <col min="20" max="20" width="11.109375" style="2" bestFit="1" customWidth="1"/>
    <col min="21" max="21" width="11.109375" style="1" bestFit="1" customWidth="1"/>
    <col min="22" max="22" width="5.88671875" style="1" bestFit="1" customWidth="1"/>
    <col min="23" max="23" width="9.44140625" style="1" bestFit="1" customWidth="1"/>
    <col min="24" max="24" width="12.88671875" style="2" bestFit="1" customWidth="1" outlineLevel="1"/>
    <col min="25" max="25" width="15.44140625" style="2" bestFit="1" customWidth="1" outlineLevel="1"/>
    <col min="26" max="26" width="21.21875" style="2" bestFit="1" customWidth="1" outlineLevel="1"/>
    <col min="27" max="28" width="80.88671875" style="2" bestFit="1" customWidth="1" outlineLevel="1"/>
    <col min="29" max="29" width="20.88671875" style="2" bestFit="1" customWidth="1" outlineLevel="1"/>
    <col min="30" max="30" width="42.88671875" style="2" bestFit="1" customWidth="1" outlineLevel="1"/>
    <col min="31" max="31" width="10" style="2" bestFit="1" customWidth="1" outlineLevel="1"/>
    <col min="32" max="32" width="12.5546875" style="2" bestFit="1" customWidth="1" outlineLevel="1"/>
    <col min="33" max="33" width="9.21875" style="2" bestFit="1" customWidth="1" outlineLevel="1"/>
    <col min="34" max="35" width="12" style="2" bestFit="1" customWidth="1" outlineLevel="1"/>
    <col min="36" max="36" width="10.21875" style="2" bestFit="1" customWidth="1" outlineLevel="1"/>
    <col min="37" max="37" width="10.44140625" style="2" bestFit="1" customWidth="1" outlineLevel="1"/>
    <col min="38" max="38" width="61.77734375" style="2" bestFit="1" customWidth="1" outlineLevel="1"/>
    <col min="39" max="39" width="12.5546875" style="2" bestFit="1" customWidth="1" outlineLevel="1"/>
    <col min="40" max="40" width="9.21875" style="2" bestFit="1" customWidth="1" outlineLevel="1"/>
    <col min="41" max="41" width="17.77734375" style="2" bestFit="1" customWidth="1" outlineLevel="1"/>
    <col min="42" max="42" width="33.33203125" style="2" bestFit="1" customWidth="1" outlineLevel="1"/>
    <col min="43" max="43" width="20.77734375" style="2" bestFit="1" customWidth="1" outlineLevel="1"/>
    <col min="44" max="44" width="9.109375" style="2" bestFit="1" customWidth="1" outlineLevel="1"/>
    <col min="45" max="45" width="9.21875" style="2" bestFit="1" customWidth="1" outlineLevel="1"/>
    <col min="46" max="46" width="12.77734375" style="2" bestFit="1" customWidth="1" outlineLevel="1"/>
    <col min="47" max="47" width="7.77734375" style="2" bestFit="1" customWidth="1" outlineLevel="1"/>
    <col min="48" max="48" width="14.5546875" style="2" bestFit="1" customWidth="1" outlineLevel="1"/>
    <col min="49" max="52" width="9.21875" style="2" bestFit="1" customWidth="1" outlineLevel="1"/>
    <col min="53" max="53" width="9.44140625" style="2" bestFit="1" customWidth="1" outlineLevel="1"/>
    <col min="54" max="55" width="12.5546875" style="2" bestFit="1" customWidth="1" outlineLevel="1"/>
    <col min="56" max="56" width="9.44140625" style="2" bestFit="1" customWidth="1" outlineLevel="1"/>
    <col min="57" max="57" width="10" style="2" bestFit="1" customWidth="1" outlineLevel="1"/>
    <col min="58" max="58" width="14.5546875" style="2" bestFit="1" customWidth="1" outlineLevel="1"/>
    <col min="59" max="59" width="9.21875" style="2" bestFit="1" customWidth="1" outlineLevel="1"/>
    <col min="60" max="60" width="80.88671875" style="2" bestFit="1" customWidth="1" outlineLevel="1"/>
    <col min="61" max="61" width="8.33203125" style="2" bestFit="1" customWidth="1" outlineLevel="1"/>
    <col min="62" max="62" width="12.5546875" style="2" bestFit="1" customWidth="1" outlineLevel="1"/>
    <col min="63" max="63" width="9.21875" style="2" bestFit="1" customWidth="1" outlineLevel="1"/>
    <col min="64" max="64" width="10.44140625" style="2" bestFit="1" customWidth="1" outlineLevel="1"/>
    <col min="65" max="65" width="10.88671875" style="2" bestFit="1" customWidth="1" outlineLevel="1"/>
    <col min="66" max="66" width="12.5546875" style="2" bestFit="1" customWidth="1" outlineLevel="1"/>
    <col min="67" max="67" width="22.109375" style="2" bestFit="1" customWidth="1" outlineLevel="1"/>
    <col min="68" max="68" width="10.88671875" style="2" bestFit="1" customWidth="1" outlineLevel="1"/>
    <col min="69" max="69" width="47.44140625" style="2" bestFit="1" customWidth="1" outlineLevel="1"/>
    <col min="70" max="70" width="26.5546875" style="2" bestFit="1" customWidth="1" outlineLevel="1"/>
    <col min="71" max="71" width="10.88671875" style="2" bestFit="1" customWidth="1" outlineLevel="1"/>
    <col min="72" max="72" width="10.21875" style="2" bestFit="1" customWidth="1" outlineLevel="1"/>
    <col min="73" max="73" width="10.44140625" style="2" bestFit="1" customWidth="1" outlineLevel="1"/>
    <col min="74" max="74" width="64.21875" style="2" bestFit="1" customWidth="1" outlineLevel="1"/>
    <col min="75" max="75" width="80.88671875" style="2" bestFit="1" customWidth="1" outlineLevel="1"/>
    <col min="76" max="76" width="10.88671875" style="2" bestFit="1" customWidth="1" outlineLevel="1"/>
    <col min="77" max="77" width="9.21875" style="2" bestFit="1" customWidth="1" outlineLevel="1"/>
    <col min="78" max="80" width="9.21875" style="1" bestFit="1" customWidth="1" outlineLevel="1"/>
    <col min="81" max="81" width="9.21875" style="2" bestFit="1" customWidth="1" outlineLevel="1"/>
    <col min="82" max="82" width="9.21875" style="1" bestFit="1" customWidth="1" outlineLevel="1"/>
    <col min="83" max="83" width="28.21875" style="2" bestFit="1" customWidth="1" outlineLevel="1"/>
    <col min="84" max="84" width="12" style="2" bestFit="1" customWidth="1" outlineLevel="1"/>
    <col min="85" max="85" width="10.88671875" style="2" bestFit="1" customWidth="1" outlineLevel="1"/>
    <col min="86" max="86" width="9.33203125" style="2" bestFit="1" customWidth="1" outlineLevel="1"/>
    <col min="87" max="87" width="5.88671875" style="2" bestFit="1" customWidth="1" outlineLevel="1"/>
    <col min="88" max="88" width="11.109375" style="2" bestFit="1" customWidth="1" outlineLevel="1"/>
    <col min="89" max="89" width="14.21875" style="1" bestFit="1" customWidth="1" outlineLevel="1"/>
    <col min="90" max="90" width="18.21875" style="1" bestFit="1" customWidth="1" outlineLevel="1"/>
    <col min="91" max="91" width="9.21875" style="1" bestFit="1" customWidth="1" outlineLevel="1"/>
    <col min="92" max="92" width="9.33203125" style="1" bestFit="1" customWidth="1"/>
    <col min="93" max="93" width="14.77734375" style="1" bestFit="1" customWidth="1"/>
    <col min="94" max="94" width="13.77734375" style="1" bestFit="1" customWidth="1"/>
    <col min="95" max="95" width="19.5546875" style="1" bestFit="1" customWidth="1"/>
    <col min="96" max="96" width="12.5546875" style="1" bestFit="1" customWidth="1"/>
    <col min="97" max="98" width="12.44140625" style="1" bestFit="1" customWidth="1"/>
    <col min="99" max="99" width="12.77734375" style="1" bestFit="1" customWidth="1"/>
    <col min="100" max="100" width="12.6640625" style="1" bestFit="1" customWidth="1"/>
    <col min="101" max="101" width="12.77734375" style="1" bestFit="1" customWidth="1"/>
    <col min="102" max="102" width="16" style="1" bestFit="1" customWidth="1"/>
    <col min="103" max="103" width="13.77734375" style="1" bestFit="1" customWidth="1"/>
    <col min="104" max="104" width="38.5546875" style="1" bestFit="1" customWidth="1"/>
    <col min="105" max="107" width="9.44140625" style="1" bestFit="1" customWidth="1"/>
    <col min="108" max="108" width="11.6640625" style="1" bestFit="1" customWidth="1"/>
    <col min="109" max="109" width="11.109375" style="1" bestFit="1" customWidth="1"/>
    <col min="110" max="110" width="10.88671875" style="1" bestFit="1" customWidth="1"/>
    <col min="111" max="111" width="11.6640625" style="1" bestFit="1" customWidth="1"/>
    <col min="112" max="113" width="11.109375" style="1" bestFit="1" customWidth="1"/>
    <col min="114" max="115" width="9.44140625" style="1" bestFit="1" customWidth="1"/>
    <col min="116" max="116" width="11.6640625" style="1" bestFit="1" customWidth="1"/>
    <col min="117" max="117" width="11.109375" style="1" bestFit="1" customWidth="1"/>
    <col min="118" max="119" width="10.88671875" style="2" bestFit="1" customWidth="1"/>
    <col min="120" max="121" width="11.109375" style="2" bestFit="1" customWidth="1"/>
    <col min="122" max="122" width="11.109375" style="1" bestFit="1" customWidth="1"/>
    <col min="123" max="123" width="7.77734375" style="1" bestFit="1" customWidth="1"/>
    <col min="124" max="124" width="6" style="2" bestFit="1" customWidth="1"/>
    <col min="125" max="125" width="8.88671875" style="2" bestFit="1" customWidth="1"/>
    <col min="126" max="128" width="19.5546875" style="2" bestFit="1" customWidth="1"/>
    <col min="129" max="129" width="8.88671875" style="2" bestFit="1" customWidth="1"/>
    <col min="130" max="130" width="10.5546875" style="2" bestFit="1" customWidth="1"/>
    <col min="131" max="132" width="10.33203125" style="2" bestFit="1" customWidth="1"/>
    <col min="133" max="133" width="10.5546875" style="2" bestFit="1" customWidth="1"/>
    <col min="134" max="134" width="19.5546875" style="2" bestFit="1" customWidth="1"/>
    <col min="135" max="135" width="10.5546875" style="2" bestFit="1" customWidth="1"/>
    <col min="136" max="136" width="10.33203125" style="2" bestFit="1" customWidth="1"/>
    <col min="137" max="138" width="10.5546875" style="2" bestFit="1" customWidth="1"/>
    <col min="139" max="139" width="16.6640625" style="2" bestFit="1" customWidth="1"/>
    <col min="140" max="140" width="7.6640625" style="2" bestFit="1" customWidth="1"/>
    <col min="141" max="142" width="10.44140625" style="2" bestFit="1" customWidth="1"/>
    <col min="143" max="143" width="17.33203125" style="2" bestFit="1" customWidth="1"/>
    <col min="144" max="145" width="10.109375" style="2" bestFit="1" customWidth="1"/>
    <col min="146" max="147" width="12.44140625" style="2" bestFit="1" customWidth="1"/>
    <col min="148" max="148" width="8.6640625" style="2" bestFit="1" customWidth="1"/>
    <col min="149" max="151" width="8.6640625" style="2" customWidth="1"/>
    <col min="152" max="152" width="9.21875" style="2" customWidth="1"/>
    <col min="153" max="153" width="28.6640625" style="2" customWidth="1"/>
    <col min="154" max="154" width="9" style="2" customWidth="1"/>
    <col min="155" max="155" width="11.6640625" style="2" customWidth="1"/>
    <col min="156" max="157" width="9.21875" style="2" customWidth="1"/>
    <col min="158" max="158" width="10.44140625" style="2" customWidth="1"/>
    <col min="159" max="159" width="11.6640625" style="2" customWidth="1"/>
    <col min="160" max="160" width="9.21875" style="2" customWidth="1"/>
    <col min="161" max="161" width="10.44140625" style="2" customWidth="1"/>
    <col min="162" max="162" width="20.109375" style="2" customWidth="1"/>
    <col min="163" max="163" width="37.77734375" style="2" customWidth="1"/>
    <col min="164" max="164" width="43.21875" style="2" customWidth="1"/>
    <col min="165" max="165" width="9.21875" style="2" customWidth="1"/>
    <col min="166" max="166" width="13.77734375" style="2" customWidth="1"/>
    <col min="167" max="167" width="37.109375" style="2" customWidth="1"/>
    <col min="168" max="168" width="10.44140625" style="2" customWidth="1"/>
    <col min="169" max="174" width="9.21875" style="2" customWidth="1"/>
    <col min="175" max="175" width="12.33203125" style="2" bestFit="1" customWidth="1"/>
    <col min="176" max="176" width="11.109375" style="2" customWidth="1"/>
    <col min="177" max="177" width="11.6640625" style="2" bestFit="1" customWidth="1"/>
    <col min="178" max="178" width="11.6640625" style="2" customWidth="1"/>
    <col min="179" max="179" width="4.77734375" style="2" bestFit="1" customWidth="1"/>
    <col min="180" max="180" width="7.44140625" style="2" bestFit="1" customWidth="1"/>
    <col min="181" max="16384" width="8.88671875" style="2"/>
  </cols>
  <sheetData>
    <row r="1" spans="1:123" ht="64.5" customHeight="1" x14ac:dyDescent="0.25">
      <c r="A1" s="26" t="s">
        <v>167</v>
      </c>
      <c r="N1" s="99"/>
      <c r="O1" s="41" t="s">
        <v>85</v>
      </c>
      <c r="P1" s="41" t="s">
        <v>51</v>
      </c>
      <c r="Q1" s="41" t="s">
        <v>132</v>
      </c>
      <c r="R1" s="41" t="s">
        <v>116</v>
      </c>
      <c r="S1" s="41" t="s">
        <v>182</v>
      </c>
      <c r="T1" s="41" t="s">
        <v>183</v>
      </c>
      <c r="U1" s="41" t="s">
        <v>184</v>
      </c>
      <c r="V1" s="2"/>
      <c r="W1" s="2"/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R1" s="2"/>
      <c r="DS1" s="2"/>
    </row>
    <row r="2" spans="1:123" ht="64.5" customHeight="1" x14ac:dyDescent="0.25">
      <c r="A2" s="27" t="s">
        <v>104</v>
      </c>
      <c r="N2" s="99"/>
      <c r="U2" s="2"/>
      <c r="V2" s="2"/>
      <c r="W2" s="2"/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R2" s="2"/>
      <c r="DS2" s="2"/>
    </row>
    <row r="3" spans="1:123" ht="32.25" customHeight="1" thickBot="1" x14ac:dyDescent="0.3">
      <c r="A3" s="92" t="s">
        <v>83</v>
      </c>
      <c r="B3" s="92" t="s">
        <v>292</v>
      </c>
      <c r="C3" s="92" t="s">
        <v>293</v>
      </c>
      <c r="I3" s="101"/>
      <c r="J3" s="101"/>
      <c r="K3" s="101"/>
      <c r="L3" s="101"/>
      <c r="M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1"/>
      <c r="BD3" s="101"/>
      <c r="BE3" s="101"/>
      <c r="BF3" s="101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1"/>
      <c r="BS3" s="101"/>
      <c r="BT3" s="101"/>
      <c r="BU3" s="101"/>
      <c r="BV3" s="101"/>
      <c r="BW3" s="101"/>
      <c r="BX3" s="101"/>
      <c r="BY3" s="101"/>
      <c r="BZ3" s="101"/>
      <c r="CA3" s="101"/>
      <c r="CB3" s="101"/>
      <c r="CC3" s="101"/>
      <c r="CD3" s="101"/>
      <c r="CE3" s="101"/>
      <c r="CF3" s="101"/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101"/>
      <c r="CS3" s="101"/>
      <c r="CT3" s="101"/>
      <c r="CU3" s="101"/>
      <c r="CV3" s="101"/>
      <c r="CW3" s="101"/>
      <c r="CX3" s="101"/>
      <c r="CY3" s="101"/>
      <c r="CZ3" s="32" t="s">
        <v>202</v>
      </c>
      <c r="DA3" s="101"/>
      <c r="DB3" s="101"/>
      <c r="DC3" s="101"/>
      <c r="DD3" s="101"/>
      <c r="DF3" s="101"/>
      <c r="DG3" s="101"/>
      <c r="DI3" s="32"/>
      <c r="DJ3" s="101"/>
      <c r="DK3" s="101"/>
      <c r="DL3" s="2"/>
      <c r="DM3" s="2"/>
      <c r="DR3" s="2"/>
      <c r="DS3" s="2"/>
    </row>
    <row r="4" spans="1:123" ht="32.25" customHeight="1" thickTop="1" thickBot="1" x14ac:dyDescent="0.3">
      <c r="A4" s="92">
        <v>1</v>
      </c>
      <c r="B4" s="95" t="s">
        <v>245</v>
      </c>
      <c r="C4" s="97" t="s">
        <v>782</v>
      </c>
      <c r="K4" s="32" t="s">
        <v>323</v>
      </c>
      <c r="U4" s="2"/>
      <c r="V4" s="2"/>
      <c r="W4" s="2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R4" s="2"/>
      <c r="DS4" s="2"/>
    </row>
    <row r="5" spans="1:123" ht="32.25" customHeight="1" thickTop="1" thickBot="1" x14ac:dyDescent="0.3">
      <c r="A5" s="92">
        <v>2</v>
      </c>
      <c r="B5" s="95" t="s">
        <v>136</v>
      </c>
      <c r="C5" s="93" t="s">
        <v>191</v>
      </c>
      <c r="U5" s="2"/>
      <c r="V5" s="2"/>
      <c r="W5" s="2"/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R5" s="2"/>
      <c r="DS5" s="2"/>
    </row>
    <row r="6" spans="1:123" ht="32.25" customHeight="1" thickTop="1" thickBot="1" x14ac:dyDescent="0.3">
      <c r="A6" s="92">
        <v>3</v>
      </c>
      <c r="B6" s="95" t="s">
        <v>320</v>
      </c>
      <c r="C6" s="98" t="s">
        <v>296</v>
      </c>
      <c r="U6" s="2"/>
      <c r="V6" s="2"/>
      <c r="W6" s="2"/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R6" s="2"/>
      <c r="DS6" s="2"/>
    </row>
    <row r="7" spans="1:123" ht="32.25" customHeight="1" thickTop="1" thickBot="1" x14ac:dyDescent="0.3">
      <c r="A7" s="92">
        <v>4</v>
      </c>
      <c r="B7" s="95" t="s">
        <v>295</v>
      </c>
      <c r="C7" s="98" t="s">
        <v>616</v>
      </c>
      <c r="U7" s="2"/>
      <c r="V7" s="2"/>
      <c r="W7" s="2"/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R7" s="2"/>
      <c r="DS7" s="2"/>
    </row>
    <row r="8" spans="1:123" ht="32.25" customHeight="1" thickTop="1" thickBot="1" x14ac:dyDescent="0.3">
      <c r="A8" s="92">
        <v>5</v>
      </c>
      <c r="B8" s="95" t="s">
        <v>297</v>
      </c>
      <c r="C8" s="98" t="s">
        <v>296</v>
      </c>
      <c r="U8" s="2"/>
      <c r="V8" s="2"/>
      <c r="W8" s="2"/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94"/>
      <c r="DH8" s="2"/>
      <c r="DI8" s="2"/>
      <c r="DJ8" s="2"/>
      <c r="DK8" s="2"/>
      <c r="DL8" s="2"/>
      <c r="DM8" s="2"/>
      <c r="DR8" s="2"/>
      <c r="DS8" s="2"/>
    </row>
    <row r="9" spans="1:123" ht="32.25" customHeight="1" thickTop="1" thickBot="1" x14ac:dyDescent="0.3">
      <c r="A9" s="92">
        <v>6</v>
      </c>
      <c r="B9" s="95" t="s">
        <v>568</v>
      </c>
      <c r="C9" s="98" t="s">
        <v>296</v>
      </c>
      <c r="D9" s="2"/>
      <c r="U9" s="2"/>
      <c r="V9" s="2"/>
      <c r="W9" s="2"/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R9" s="2"/>
      <c r="DS9" s="2"/>
    </row>
    <row r="10" spans="1:123" ht="32.25" customHeight="1" thickTop="1" x14ac:dyDescent="0.25">
      <c r="D10" s="2"/>
      <c r="U10" s="2"/>
      <c r="V10" s="2"/>
      <c r="W10" s="2"/>
      <c r="BZ10" s="2"/>
      <c r="CA10" s="2"/>
      <c r="CB10" s="2"/>
      <c r="CD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R10" s="2"/>
      <c r="DS10" s="2"/>
    </row>
    <row r="11" spans="1:123" ht="32.25" customHeight="1" x14ac:dyDescent="0.25">
      <c r="D11" s="2"/>
      <c r="G11" s="44"/>
      <c r="U11" s="2"/>
      <c r="V11" s="2"/>
      <c r="W11" s="2"/>
      <c r="BZ11" s="2"/>
      <c r="CA11" s="2"/>
      <c r="CB11" s="2"/>
      <c r="CD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R11" s="2"/>
      <c r="DS11" s="2"/>
    </row>
    <row r="12" spans="1:123" ht="65.25" x14ac:dyDescent="0.35">
      <c r="A12" s="92"/>
      <c r="B12" s="95"/>
      <c r="D12" s="2"/>
      <c r="N12" s="45" t="s">
        <v>216</v>
      </c>
      <c r="O12" s="45" t="s">
        <v>216</v>
      </c>
      <c r="P12" s="45" t="s">
        <v>216</v>
      </c>
      <c r="Q12" s="45" t="s">
        <v>216</v>
      </c>
      <c r="R12" s="45" t="s">
        <v>216</v>
      </c>
      <c r="S12" s="45" t="s">
        <v>216</v>
      </c>
      <c r="T12" s="45" t="s">
        <v>216</v>
      </c>
      <c r="U12" s="45" t="s">
        <v>216</v>
      </c>
      <c r="V12" s="2"/>
      <c r="W12" s="2"/>
      <c r="BW12" s="1"/>
      <c r="BX12" s="1"/>
      <c r="BY12" s="1"/>
      <c r="BZ12" s="2"/>
      <c r="CB12" s="2"/>
      <c r="CD12" s="2"/>
      <c r="CH12" s="1"/>
      <c r="CI12" s="1"/>
      <c r="CJ12" s="1"/>
      <c r="DE12" s="2"/>
      <c r="DF12" s="2"/>
      <c r="DG12" s="2"/>
      <c r="DH12" s="2"/>
      <c r="DI12" s="2"/>
      <c r="DJ12" s="2"/>
      <c r="DK12" s="2"/>
      <c r="DL12" s="2"/>
      <c r="DM12" s="2"/>
      <c r="DR12" s="2"/>
      <c r="DS12" s="2"/>
    </row>
    <row r="13" spans="1:123" ht="32.25" hidden="1" customHeight="1" thickTop="1" x14ac:dyDescent="0.25">
      <c r="A13" s="92"/>
      <c r="B13" s="95"/>
      <c r="D13" s="2"/>
      <c r="U13" s="2"/>
      <c r="V13" s="2"/>
      <c r="W13" s="2"/>
      <c r="BW13" s="1"/>
      <c r="BX13" s="1"/>
      <c r="BY13" s="1"/>
      <c r="BZ13" s="2"/>
      <c r="CB13" s="2"/>
      <c r="CD13" s="2"/>
      <c r="CH13" s="1"/>
      <c r="CI13" s="1"/>
      <c r="CJ13" s="1"/>
      <c r="DE13" s="2"/>
      <c r="DF13" s="2"/>
      <c r="DG13" s="2"/>
      <c r="DH13" s="2"/>
      <c r="DI13" s="2"/>
      <c r="DJ13" s="2"/>
      <c r="DK13" s="2"/>
      <c r="DL13" s="2"/>
      <c r="DM13" s="2"/>
      <c r="DR13" s="2"/>
      <c r="DS13" s="2"/>
    </row>
    <row r="14" spans="1:123" ht="32.25" hidden="1" customHeight="1" x14ac:dyDescent="0.25">
      <c r="D14" s="2"/>
      <c r="U14" s="2"/>
      <c r="V14" s="2"/>
      <c r="W14" s="2"/>
      <c r="BW14" s="1"/>
      <c r="BX14" s="1"/>
      <c r="BY14" s="1"/>
      <c r="BZ14" s="2"/>
      <c r="CB14" s="2"/>
      <c r="CD14" s="2"/>
      <c r="CH14" s="1"/>
      <c r="CI14" s="1"/>
      <c r="CJ14" s="1"/>
      <c r="DG14" s="2"/>
      <c r="DH14" s="2"/>
      <c r="DI14" s="2"/>
      <c r="DJ14" s="2"/>
      <c r="DK14" s="2"/>
      <c r="DL14" s="2"/>
      <c r="DM14" s="2"/>
      <c r="DR14" s="2"/>
      <c r="DS14" s="2"/>
    </row>
    <row r="15" spans="1:123" ht="18.75" x14ac:dyDescent="0.25">
      <c r="D15" s="2"/>
      <c r="G15" s="43"/>
      <c r="H15" s="22" t="s">
        <v>321</v>
      </c>
      <c r="J15" s="123" t="s">
        <v>83</v>
      </c>
      <c r="K15" s="123" t="s">
        <v>91</v>
      </c>
      <c r="L15" s="123" t="s">
        <v>46</v>
      </c>
      <c r="M15" s="123" t="s">
        <v>47</v>
      </c>
      <c r="N15" s="123" t="s">
        <v>142</v>
      </c>
      <c r="O15" s="124" t="s">
        <v>85</v>
      </c>
      <c r="P15" s="124" t="s">
        <v>51</v>
      </c>
      <c r="Q15" s="124" t="s">
        <v>132</v>
      </c>
      <c r="R15" s="123" t="s">
        <v>116</v>
      </c>
      <c r="S15" s="123" t="s">
        <v>182</v>
      </c>
      <c r="T15" s="123" t="s">
        <v>183</v>
      </c>
      <c r="U15" s="123" t="s">
        <v>184</v>
      </c>
      <c r="V15" s="123" t="s">
        <v>62</v>
      </c>
      <c r="W15" s="123" t="s">
        <v>93</v>
      </c>
      <c r="X15" s="124" t="s">
        <v>808</v>
      </c>
      <c r="Y15" s="124" t="s">
        <v>170</v>
      </c>
      <c r="Z15" s="124" t="s">
        <v>171</v>
      </c>
      <c r="AA15" s="123" t="s">
        <v>63</v>
      </c>
      <c r="AB15" s="123" t="s">
        <v>72</v>
      </c>
      <c r="AC15" s="123" t="s">
        <v>196</v>
      </c>
      <c r="AD15" s="123" t="s">
        <v>45</v>
      </c>
      <c r="AE15" s="123" t="s">
        <v>95</v>
      </c>
      <c r="AF15" s="123" t="s">
        <v>96</v>
      </c>
      <c r="AG15" s="123" t="s">
        <v>48</v>
      </c>
      <c r="AH15" s="123" t="s">
        <v>55</v>
      </c>
      <c r="AI15" s="123" t="s">
        <v>56</v>
      </c>
      <c r="AJ15" s="123" t="s">
        <v>267</v>
      </c>
      <c r="AK15" s="123" t="s">
        <v>50</v>
      </c>
      <c r="AL15" s="123" t="s">
        <v>97</v>
      </c>
      <c r="AM15" s="123" t="s">
        <v>52</v>
      </c>
      <c r="AN15" s="123" t="s">
        <v>243</v>
      </c>
      <c r="AO15" s="123" t="s">
        <v>197</v>
      </c>
      <c r="AP15" s="123" t="s">
        <v>53</v>
      </c>
      <c r="AQ15" s="123" t="s">
        <v>54</v>
      </c>
      <c r="AR15" s="123" t="s">
        <v>57</v>
      </c>
      <c r="AS15" s="123" t="s">
        <v>58</v>
      </c>
      <c r="AT15" s="123" t="s">
        <v>92</v>
      </c>
      <c r="AU15" s="123" t="s">
        <v>43</v>
      </c>
      <c r="AV15" s="123" t="s">
        <v>44</v>
      </c>
      <c r="AW15" s="123" t="s">
        <v>59</v>
      </c>
      <c r="AX15" s="123" t="s">
        <v>60</v>
      </c>
      <c r="AY15" s="123" t="s">
        <v>61</v>
      </c>
      <c r="AZ15" s="123" t="s">
        <v>163</v>
      </c>
      <c r="BA15" s="123" t="s">
        <v>42</v>
      </c>
      <c r="BB15" s="123" t="s">
        <v>143</v>
      </c>
      <c r="BC15" s="123" t="s">
        <v>49</v>
      </c>
      <c r="BD15" s="123" t="s">
        <v>559</v>
      </c>
      <c r="BE15" s="123" t="s">
        <v>181</v>
      </c>
      <c r="BF15" s="123" t="s">
        <v>40</v>
      </c>
      <c r="BG15" s="123" t="s">
        <v>94</v>
      </c>
      <c r="BH15" s="123" t="s">
        <v>185</v>
      </c>
      <c r="BI15" s="123" t="s">
        <v>509</v>
      </c>
      <c r="BJ15" s="123" t="s">
        <v>98</v>
      </c>
      <c r="BK15" s="123" t="s">
        <v>99</v>
      </c>
      <c r="BL15" s="123" t="s">
        <v>64</v>
      </c>
      <c r="BM15" s="123" t="s">
        <v>65</v>
      </c>
      <c r="BN15" s="123" t="s">
        <v>100</v>
      </c>
      <c r="BO15" s="123" t="s">
        <v>66</v>
      </c>
      <c r="BP15" s="123" t="s">
        <v>67</v>
      </c>
      <c r="BQ15" s="123" t="s">
        <v>68</v>
      </c>
      <c r="BR15" s="123" t="s">
        <v>69</v>
      </c>
      <c r="BS15" s="123" t="s">
        <v>70</v>
      </c>
      <c r="BT15" s="123" t="s">
        <v>187</v>
      </c>
      <c r="BU15" s="123" t="s">
        <v>71</v>
      </c>
      <c r="BV15" s="123" t="s">
        <v>101</v>
      </c>
      <c r="BW15" s="123" t="s">
        <v>186</v>
      </c>
      <c r="BX15" s="123" t="s">
        <v>73</v>
      </c>
      <c r="BY15" s="123" t="s">
        <v>74</v>
      </c>
      <c r="BZ15" s="123" t="s">
        <v>75</v>
      </c>
      <c r="CA15" s="123" t="s">
        <v>76</v>
      </c>
      <c r="CB15" s="123" t="s">
        <v>77</v>
      </c>
      <c r="CC15" s="123" t="s">
        <v>102</v>
      </c>
      <c r="CD15" s="123" t="s">
        <v>78</v>
      </c>
      <c r="CE15" s="123" t="s">
        <v>79</v>
      </c>
      <c r="CF15" s="123" t="s">
        <v>268</v>
      </c>
      <c r="CG15" s="123" t="s">
        <v>190</v>
      </c>
      <c r="CH15" s="123" t="s">
        <v>299</v>
      </c>
      <c r="CI15" s="123" t="s">
        <v>86</v>
      </c>
      <c r="CJ15" s="123" t="s">
        <v>128</v>
      </c>
      <c r="CK15" s="123" t="s">
        <v>213</v>
      </c>
      <c r="CL15" s="123" t="s">
        <v>126</v>
      </c>
      <c r="CM15" s="123" t="s">
        <v>113</v>
      </c>
      <c r="CN15" s="123" t="s">
        <v>119</v>
      </c>
      <c r="CO15" s="123" t="s">
        <v>144</v>
      </c>
      <c r="CP15" s="123" t="s">
        <v>316</v>
      </c>
      <c r="CQ15" s="123" t="s">
        <v>121</v>
      </c>
      <c r="CR15" s="124" t="s">
        <v>787</v>
      </c>
      <c r="CS15" s="124" t="s">
        <v>179</v>
      </c>
      <c r="CW15" s="2"/>
      <c r="CX15" s="22" t="s">
        <v>153</v>
      </c>
      <c r="CY15" s="22" t="s">
        <v>46</v>
      </c>
      <c r="CZ15" s="22" t="s">
        <v>199</v>
      </c>
      <c r="DA15" s="22" t="s">
        <v>168</v>
      </c>
      <c r="DB15" s="22" t="s">
        <v>200</v>
      </c>
      <c r="DC15" s="22" t="s">
        <v>138</v>
      </c>
      <c r="DD15" s="22" t="s">
        <v>139</v>
      </c>
      <c r="DE15" s="22" t="s">
        <v>201</v>
      </c>
      <c r="DF15" s="2"/>
      <c r="DG15" s="2"/>
      <c r="DH15" s="2"/>
      <c r="DI15" s="2"/>
      <c r="DJ15" s="2"/>
      <c r="DK15" s="2"/>
      <c r="DL15" s="2"/>
      <c r="DM15" s="2"/>
      <c r="DR15" s="2"/>
      <c r="DS15" s="2"/>
    </row>
    <row r="16" spans="1:123" ht="18.75" x14ac:dyDescent="0.25">
      <c r="D16" s="2"/>
      <c r="G16" s="43"/>
      <c r="H16" t="s">
        <v>1525</v>
      </c>
      <c r="J16" s="124">
        <v>30</v>
      </c>
      <c r="K16" s="125" t="s">
        <v>1357</v>
      </c>
      <c r="L16" s="125" t="s">
        <v>1358</v>
      </c>
      <c r="M16" s="126">
        <v>45261</v>
      </c>
      <c r="N16" s="127" t="s">
        <v>783</v>
      </c>
      <c r="O16" s="128" t="s">
        <v>89</v>
      </c>
      <c r="P16" s="128" t="s">
        <v>821</v>
      </c>
      <c r="Q16" s="128" t="s">
        <v>89</v>
      </c>
      <c r="R16" s="129"/>
      <c r="S16" s="129"/>
      <c r="T16" s="127" t="s">
        <v>89</v>
      </c>
      <c r="U16" s="127" t="s">
        <v>89</v>
      </c>
      <c r="V16" s="125" t="s">
        <v>103</v>
      </c>
      <c r="W16" s="125" t="s">
        <v>1359</v>
      </c>
      <c r="X16" s="125" t="s">
        <v>89</v>
      </c>
      <c r="Y16" s="130" t="s">
        <v>89</v>
      </c>
      <c r="Z16" s="130" t="s">
        <v>1360</v>
      </c>
      <c r="AA16" s="125" t="s">
        <v>1361</v>
      </c>
      <c r="AB16" s="125" t="s">
        <v>1362</v>
      </c>
      <c r="AC16" s="125" t="s">
        <v>1363</v>
      </c>
      <c r="AD16" s="125" t="s">
        <v>1364</v>
      </c>
      <c r="AE16" s="125" t="s">
        <v>305</v>
      </c>
      <c r="AF16" s="125" t="s">
        <v>305</v>
      </c>
      <c r="AG16" s="125" t="s">
        <v>305</v>
      </c>
      <c r="AH16" s="124">
        <v>2.1800000000000002</v>
      </c>
      <c r="AI16" s="128" t="s">
        <v>310</v>
      </c>
      <c r="AJ16" s="124">
        <v>7.5</v>
      </c>
      <c r="AK16" s="126">
        <v>46362</v>
      </c>
      <c r="AL16" s="125" t="s">
        <v>309</v>
      </c>
      <c r="AM16" s="124"/>
      <c r="AN16" s="125" t="s">
        <v>308</v>
      </c>
      <c r="AO16" s="125" t="s">
        <v>307</v>
      </c>
      <c r="AP16" s="125" t="s">
        <v>89</v>
      </c>
      <c r="AQ16" s="125" t="s">
        <v>306</v>
      </c>
      <c r="AR16" s="124">
        <v>100</v>
      </c>
      <c r="AS16" s="124"/>
      <c r="AT16" s="125" t="s">
        <v>1365</v>
      </c>
      <c r="AU16" s="125" t="s">
        <v>1366</v>
      </c>
      <c r="AV16" s="125" t="s">
        <v>1367</v>
      </c>
      <c r="AW16" s="124"/>
      <c r="AX16" s="124"/>
      <c r="AY16" s="124"/>
      <c r="AZ16" s="125" t="s">
        <v>244</v>
      </c>
      <c r="BA16" s="125" t="s">
        <v>1368</v>
      </c>
      <c r="BB16" s="125" t="s">
        <v>305</v>
      </c>
      <c r="BC16" s="125" t="s">
        <v>89</v>
      </c>
      <c r="BD16" s="125" t="s">
        <v>1</v>
      </c>
      <c r="BE16" s="125" t="s">
        <v>786</v>
      </c>
      <c r="BF16" s="125" t="s">
        <v>304</v>
      </c>
      <c r="BG16" s="125" t="s">
        <v>312</v>
      </c>
      <c r="BH16" s="125" t="s">
        <v>1369</v>
      </c>
      <c r="BI16" s="125" t="s">
        <v>1370</v>
      </c>
      <c r="BJ16" s="124">
        <v>10000</v>
      </c>
      <c r="BK16" s="124">
        <v>2.1800000000000002</v>
      </c>
      <c r="BL16" s="126">
        <v>45266</v>
      </c>
      <c r="BM16" s="126"/>
      <c r="BN16" s="124">
        <v>7.5</v>
      </c>
      <c r="BO16" s="125" t="s">
        <v>89</v>
      </c>
      <c r="BP16" s="126">
        <v>45632</v>
      </c>
      <c r="BQ16" s="125" t="s">
        <v>1357</v>
      </c>
      <c r="BR16" s="125" t="s">
        <v>89</v>
      </c>
      <c r="BS16" s="126">
        <v>45266</v>
      </c>
      <c r="BT16" s="125" t="s">
        <v>821</v>
      </c>
      <c r="BU16" s="126">
        <v>45266</v>
      </c>
      <c r="BV16" s="125" t="s">
        <v>554</v>
      </c>
      <c r="BW16" s="125" t="s">
        <v>1371</v>
      </c>
      <c r="BX16" s="125" t="s">
        <v>303</v>
      </c>
      <c r="BY16" s="125" t="s">
        <v>303</v>
      </c>
      <c r="BZ16" s="125" t="s">
        <v>302</v>
      </c>
      <c r="CA16" s="125" t="s">
        <v>301</v>
      </c>
      <c r="CB16" s="125" t="s">
        <v>300</v>
      </c>
      <c r="CC16" s="125" t="s">
        <v>89</v>
      </c>
      <c r="CD16" s="125" t="s">
        <v>791</v>
      </c>
      <c r="CE16" s="125" t="s">
        <v>89</v>
      </c>
      <c r="CF16" s="125" t="s">
        <v>198</v>
      </c>
      <c r="CG16" s="126"/>
      <c r="CH16" s="125" t="s">
        <v>6</v>
      </c>
      <c r="CI16" s="125" t="s">
        <v>10</v>
      </c>
      <c r="CJ16" s="125" t="s">
        <v>6</v>
      </c>
      <c r="CK16" s="125" t="s">
        <v>89</v>
      </c>
      <c r="CL16" s="126"/>
      <c r="CM16" s="124"/>
      <c r="CN16" s="125" t="s">
        <v>80</v>
      </c>
      <c r="CO16" s="125" t="s">
        <v>80</v>
      </c>
      <c r="CP16" s="125" t="s">
        <v>514</v>
      </c>
      <c r="CQ16" s="128" t="s">
        <v>1372</v>
      </c>
      <c r="CR16" s="124" t="s">
        <v>203</v>
      </c>
      <c r="CS16" s="128" t="s">
        <v>89</v>
      </c>
      <c r="CW16" s="2"/>
      <c r="CX16" t="s">
        <v>1348</v>
      </c>
      <c r="CY16" t="s">
        <v>89</v>
      </c>
      <c r="CZ16" t="s">
        <v>1349</v>
      </c>
      <c r="DA16" t="s">
        <v>89</v>
      </c>
      <c r="DB16" s="22" t="s">
        <v>89</v>
      </c>
      <c r="DC16" t="s">
        <v>89</v>
      </c>
      <c r="DD16" t="s">
        <v>147</v>
      </c>
      <c r="DE16" s="31">
        <v>45260</v>
      </c>
      <c r="DF16" s="2"/>
      <c r="DG16" s="2"/>
      <c r="DH16" s="2"/>
      <c r="DI16" s="2"/>
      <c r="DJ16" s="2"/>
      <c r="DK16" s="2"/>
      <c r="DL16" s="2"/>
      <c r="DM16" s="2"/>
      <c r="DR16" s="2"/>
      <c r="DS16" s="2"/>
    </row>
    <row r="17" spans="2:123" ht="15" x14ac:dyDescent="0.25">
      <c r="B17"/>
      <c r="H17" t="s">
        <v>288</v>
      </c>
      <c r="J17" s="124">
        <v>29</v>
      </c>
      <c r="K17" s="125" t="s">
        <v>1373</v>
      </c>
      <c r="L17" s="125" t="s">
        <v>1374</v>
      </c>
      <c r="M17" s="126">
        <v>45261</v>
      </c>
      <c r="N17" s="127" t="s">
        <v>1375</v>
      </c>
      <c r="O17" s="128" t="s">
        <v>89</v>
      </c>
      <c r="P17" s="128" t="s">
        <v>89</v>
      </c>
      <c r="Q17" s="128" t="s">
        <v>89</v>
      </c>
      <c r="R17" s="129"/>
      <c r="S17" s="129"/>
      <c r="T17" s="127" t="s">
        <v>89</v>
      </c>
      <c r="U17" s="127" t="s">
        <v>89</v>
      </c>
      <c r="V17" s="125" t="s">
        <v>103</v>
      </c>
      <c r="W17" s="125" t="s">
        <v>89</v>
      </c>
      <c r="X17" s="125" t="s">
        <v>89</v>
      </c>
      <c r="Y17" s="130" t="s">
        <v>89</v>
      </c>
      <c r="Z17" s="130" t="s">
        <v>89</v>
      </c>
      <c r="AA17" s="125" t="s">
        <v>1376</v>
      </c>
      <c r="AB17" s="125" t="s">
        <v>1377</v>
      </c>
      <c r="AC17" s="125" t="s">
        <v>1378</v>
      </c>
      <c r="AD17" s="125" t="s">
        <v>1379</v>
      </c>
      <c r="AE17" s="125" t="s">
        <v>1199</v>
      </c>
      <c r="AF17" s="125" t="s">
        <v>1200</v>
      </c>
      <c r="AG17" s="125" t="s">
        <v>305</v>
      </c>
      <c r="AH17" s="124">
        <v>20</v>
      </c>
      <c r="AI17" s="128" t="s">
        <v>310</v>
      </c>
      <c r="AJ17" s="124">
        <v>4</v>
      </c>
      <c r="AK17" s="126">
        <v>46364</v>
      </c>
      <c r="AL17" s="125" t="s">
        <v>313</v>
      </c>
      <c r="AM17" s="124"/>
      <c r="AN17" s="125" t="s">
        <v>308</v>
      </c>
      <c r="AO17" s="125" t="s">
        <v>328</v>
      </c>
      <c r="AP17" s="125" t="s">
        <v>89</v>
      </c>
      <c r="AQ17" s="125" t="s">
        <v>306</v>
      </c>
      <c r="AR17" s="124">
        <v>100</v>
      </c>
      <c r="AS17" s="124"/>
      <c r="AT17" s="125" t="s">
        <v>581</v>
      </c>
      <c r="AU17" s="125" t="s">
        <v>1380</v>
      </c>
      <c r="AV17" s="125" t="s">
        <v>89</v>
      </c>
      <c r="AW17" s="124"/>
      <c r="AX17" s="124"/>
      <c r="AY17" s="124"/>
      <c r="AZ17" s="125" t="s">
        <v>244</v>
      </c>
      <c r="BA17" s="125" t="s">
        <v>803</v>
      </c>
      <c r="BB17" s="125" t="s">
        <v>305</v>
      </c>
      <c r="BC17" s="125" t="s">
        <v>315</v>
      </c>
      <c r="BD17" s="125" t="s">
        <v>1</v>
      </c>
      <c r="BE17" s="125" t="s">
        <v>515</v>
      </c>
      <c r="BF17" s="125" t="s">
        <v>304</v>
      </c>
      <c r="BG17" s="125" t="s">
        <v>311</v>
      </c>
      <c r="BH17" s="125" t="s">
        <v>1381</v>
      </c>
      <c r="BI17" s="125" t="s">
        <v>1382</v>
      </c>
      <c r="BJ17" s="124">
        <v>10000</v>
      </c>
      <c r="BK17" s="124">
        <v>20</v>
      </c>
      <c r="BL17" s="126">
        <v>45268</v>
      </c>
      <c r="BM17" s="126"/>
      <c r="BN17" s="124">
        <v>4</v>
      </c>
      <c r="BO17" s="125" t="s">
        <v>89</v>
      </c>
      <c r="BP17" s="126">
        <v>45451</v>
      </c>
      <c r="BQ17" s="125" t="s">
        <v>1383</v>
      </c>
      <c r="BR17" s="125" t="s">
        <v>1373</v>
      </c>
      <c r="BS17" s="126">
        <v>45268</v>
      </c>
      <c r="BT17" s="125" t="s">
        <v>1384</v>
      </c>
      <c r="BU17" s="126">
        <v>45268</v>
      </c>
      <c r="BV17" s="125" t="s">
        <v>89</v>
      </c>
      <c r="BW17" s="125" t="s">
        <v>1385</v>
      </c>
      <c r="BX17" s="125" t="s">
        <v>303</v>
      </c>
      <c r="BY17" s="125" t="s">
        <v>303</v>
      </c>
      <c r="BZ17" s="125" t="s">
        <v>302</v>
      </c>
      <c r="CA17" s="125" t="s">
        <v>301</v>
      </c>
      <c r="CB17" s="125" t="s">
        <v>300</v>
      </c>
      <c r="CC17" s="125" t="s">
        <v>89</v>
      </c>
      <c r="CD17" s="125" t="s">
        <v>115</v>
      </c>
      <c r="CE17" s="125" t="s">
        <v>89</v>
      </c>
      <c r="CF17" s="125" t="s">
        <v>198</v>
      </c>
      <c r="CG17" s="126"/>
      <c r="CH17" s="125" t="s">
        <v>6</v>
      </c>
      <c r="CI17" s="125" t="s">
        <v>9</v>
      </c>
      <c r="CJ17" s="125" t="s">
        <v>129</v>
      </c>
      <c r="CK17" s="125" t="s">
        <v>89</v>
      </c>
      <c r="CL17" s="126"/>
      <c r="CM17" s="124"/>
      <c r="CN17" s="125" t="s">
        <v>80</v>
      </c>
      <c r="CO17" s="125" t="s">
        <v>1386</v>
      </c>
      <c r="CP17" s="125" t="s">
        <v>514</v>
      </c>
      <c r="CQ17" s="128" t="s">
        <v>1387</v>
      </c>
      <c r="CR17" s="124" t="s">
        <v>298</v>
      </c>
      <c r="CS17" s="128" t="s">
        <v>89</v>
      </c>
      <c r="CX17" t="s">
        <v>1348</v>
      </c>
      <c r="CY17" t="s">
        <v>89</v>
      </c>
      <c r="CZ17" t="s">
        <v>1350</v>
      </c>
      <c r="DA17" t="s">
        <v>89</v>
      </c>
      <c r="DB17" s="22" t="s">
        <v>89</v>
      </c>
      <c r="DC17" t="s">
        <v>89</v>
      </c>
      <c r="DD17" t="s">
        <v>147</v>
      </c>
      <c r="DE17" s="31">
        <v>45260</v>
      </c>
      <c r="DF17" s="2"/>
      <c r="DG17" s="2"/>
      <c r="DH17" s="2"/>
      <c r="DI17" s="2"/>
      <c r="DJ17" s="2"/>
      <c r="DK17" s="2"/>
      <c r="DL17" s="2"/>
      <c r="DM17" s="2"/>
      <c r="DR17" s="2"/>
      <c r="DS17" s="2"/>
    </row>
    <row r="18" spans="2:123" ht="18.75" x14ac:dyDescent="0.25">
      <c r="G18" s="43"/>
      <c r="J18" s="124">
        <v>28</v>
      </c>
      <c r="K18" s="125" t="s">
        <v>1388</v>
      </c>
      <c r="L18" s="125" t="s">
        <v>1389</v>
      </c>
      <c r="M18" s="126">
        <v>45261</v>
      </c>
      <c r="N18" s="127" t="s">
        <v>1172</v>
      </c>
      <c r="O18" s="128" t="s">
        <v>89</v>
      </c>
      <c r="P18" s="125" t="s">
        <v>89</v>
      </c>
      <c r="Q18" s="125" t="s">
        <v>89</v>
      </c>
      <c r="R18" s="129"/>
      <c r="S18" s="129"/>
      <c r="T18" s="127" t="s">
        <v>89</v>
      </c>
      <c r="U18" s="127" t="s">
        <v>89</v>
      </c>
      <c r="V18" s="125" t="s">
        <v>82</v>
      </c>
      <c r="W18" s="125" t="s">
        <v>89</v>
      </c>
      <c r="X18" s="125" t="s">
        <v>89</v>
      </c>
      <c r="Y18" s="130" t="s">
        <v>89</v>
      </c>
      <c r="Z18" s="130" t="s">
        <v>89</v>
      </c>
      <c r="AA18" s="125" t="s">
        <v>89</v>
      </c>
      <c r="AB18" s="125" t="s">
        <v>89</v>
      </c>
      <c r="AC18" s="125" t="s">
        <v>1390</v>
      </c>
      <c r="AD18" s="125" t="s">
        <v>1391</v>
      </c>
      <c r="AE18" s="125" t="s">
        <v>305</v>
      </c>
      <c r="AF18" s="125" t="s">
        <v>305</v>
      </c>
      <c r="AG18" s="125" t="s">
        <v>305</v>
      </c>
      <c r="AH18" s="124">
        <v>1.65</v>
      </c>
      <c r="AI18" s="128" t="s">
        <v>555</v>
      </c>
      <c r="AJ18" s="124">
        <v>6.6</v>
      </c>
      <c r="AK18" s="126">
        <v>45630</v>
      </c>
      <c r="AL18" s="125" t="s">
        <v>313</v>
      </c>
      <c r="AM18" s="124"/>
      <c r="AN18" s="125" t="s">
        <v>308</v>
      </c>
      <c r="AO18" s="125" t="s">
        <v>798</v>
      </c>
      <c r="AP18" s="125" t="s">
        <v>89</v>
      </c>
      <c r="AQ18" s="125" t="s">
        <v>306</v>
      </c>
      <c r="AR18" s="124">
        <v>100</v>
      </c>
      <c r="AS18" s="124"/>
      <c r="AT18" s="125" t="s">
        <v>795</v>
      </c>
      <c r="AU18" s="125" t="s">
        <v>799</v>
      </c>
      <c r="AV18" s="125" t="s">
        <v>89</v>
      </c>
      <c r="AW18" s="124"/>
      <c r="AX18" s="124"/>
      <c r="AY18" s="124"/>
      <c r="AZ18" s="125" t="s">
        <v>244</v>
      </c>
      <c r="BA18" s="125" t="s">
        <v>803</v>
      </c>
      <c r="BB18" s="125" t="s">
        <v>305</v>
      </c>
      <c r="BC18" s="125" t="s">
        <v>570</v>
      </c>
      <c r="BD18" s="125" t="s">
        <v>1</v>
      </c>
      <c r="BE18" s="125" t="s">
        <v>800</v>
      </c>
      <c r="BF18" s="125" t="s">
        <v>304</v>
      </c>
      <c r="BG18" s="125" t="s">
        <v>312</v>
      </c>
      <c r="BH18" s="125" t="s">
        <v>89</v>
      </c>
      <c r="BI18" s="125" t="s">
        <v>1392</v>
      </c>
      <c r="BJ18" s="124">
        <v>1000</v>
      </c>
      <c r="BK18" s="124">
        <v>1.65</v>
      </c>
      <c r="BL18" s="126">
        <v>45266</v>
      </c>
      <c r="BM18" s="126"/>
      <c r="BN18" s="124">
        <v>6.6</v>
      </c>
      <c r="BO18" s="125" t="s">
        <v>89</v>
      </c>
      <c r="BP18" s="126">
        <v>45630</v>
      </c>
      <c r="BQ18" s="125" t="s">
        <v>1393</v>
      </c>
      <c r="BR18" s="125" t="s">
        <v>89</v>
      </c>
      <c r="BS18" s="126">
        <v>45266</v>
      </c>
      <c r="BT18" s="125" t="s">
        <v>89</v>
      </c>
      <c r="BU18" s="126">
        <v>45266</v>
      </c>
      <c r="BV18" s="125" t="s">
        <v>89</v>
      </c>
      <c r="BW18" s="125" t="s">
        <v>89</v>
      </c>
      <c r="BX18" s="125" t="s">
        <v>303</v>
      </c>
      <c r="BY18" s="125" t="s">
        <v>303</v>
      </c>
      <c r="BZ18" s="125" t="s">
        <v>302</v>
      </c>
      <c r="CA18" s="125" t="s">
        <v>301</v>
      </c>
      <c r="CB18" s="125" t="s">
        <v>300</v>
      </c>
      <c r="CC18" s="125" t="s">
        <v>89</v>
      </c>
      <c r="CD18" s="125" t="s">
        <v>89</v>
      </c>
      <c r="CE18" s="125" t="s">
        <v>1388</v>
      </c>
      <c r="CF18" s="125" t="s">
        <v>198</v>
      </c>
      <c r="CG18" s="126"/>
      <c r="CH18" s="125" t="s">
        <v>6</v>
      </c>
      <c r="CI18" s="125" t="s">
        <v>7</v>
      </c>
      <c r="CJ18" s="125" t="s">
        <v>6</v>
      </c>
      <c r="CK18" s="125" t="s">
        <v>89</v>
      </c>
      <c r="CL18" s="126"/>
      <c r="CM18" s="124"/>
      <c r="CN18" s="125" t="s">
        <v>80</v>
      </c>
      <c r="CO18" s="125" t="s">
        <v>80</v>
      </c>
      <c r="CP18" s="125" t="s">
        <v>514</v>
      </c>
      <c r="CQ18" s="128" t="s">
        <v>1394</v>
      </c>
      <c r="CR18" s="124" t="s">
        <v>558</v>
      </c>
      <c r="CS18" s="128" t="s">
        <v>89</v>
      </c>
      <c r="CX18" t="s">
        <v>1351</v>
      </c>
      <c r="CY18" t="s">
        <v>1352</v>
      </c>
      <c r="CZ18" t="s">
        <v>1353</v>
      </c>
      <c r="DA18" t="s">
        <v>1354</v>
      </c>
      <c r="DB18" s="22" t="s">
        <v>129</v>
      </c>
      <c r="DC18" t="s">
        <v>146</v>
      </c>
      <c r="DD18" t="s">
        <v>147</v>
      </c>
      <c r="DE18" s="31">
        <v>45258</v>
      </c>
      <c r="DF18" s="2"/>
      <c r="DG18" s="2"/>
      <c r="DH18" s="2"/>
      <c r="DI18" s="2"/>
      <c r="DJ18" s="2"/>
      <c r="DK18" s="2"/>
      <c r="DL18" s="2"/>
      <c r="DM18" s="2"/>
      <c r="DR18" s="2"/>
      <c r="DS18" s="2"/>
    </row>
    <row r="19" spans="2:123" ht="15.75" x14ac:dyDescent="0.25">
      <c r="E19" s="100"/>
      <c r="F19" s="100"/>
      <c r="J19" s="124">
        <v>27</v>
      </c>
      <c r="K19" s="125" t="s">
        <v>1395</v>
      </c>
      <c r="L19" s="125" t="s">
        <v>1396</v>
      </c>
      <c r="M19" s="126">
        <v>45261</v>
      </c>
      <c r="N19" s="127" t="s">
        <v>556</v>
      </c>
      <c r="O19" s="128" t="s">
        <v>1397</v>
      </c>
      <c r="P19" s="128" t="s">
        <v>846</v>
      </c>
      <c r="Q19" s="128" t="s">
        <v>846</v>
      </c>
      <c r="R19" s="129"/>
      <c r="S19" s="129"/>
      <c r="T19" s="127" t="s">
        <v>89</v>
      </c>
      <c r="U19" s="127" t="s">
        <v>89</v>
      </c>
      <c r="V19" s="125" t="s">
        <v>103</v>
      </c>
      <c r="W19" s="125" t="s">
        <v>1359</v>
      </c>
      <c r="X19" s="125" t="s">
        <v>89</v>
      </c>
      <c r="Y19" s="130" t="s">
        <v>1398</v>
      </c>
      <c r="Z19" s="130" t="s">
        <v>1399</v>
      </c>
      <c r="AA19" s="125" t="s">
        <v>1400</v>
      </c>
      <c r="AB19" s="125" t="s">
        <v>1401</v>
      </c>
      <c r="AC19" s="125" t="s">
        <v>1402</v>
      </c>
      <c r="AD19" s="125" t="s">
        <v>1403</v>
      </c>
      <c r="AE19" s="125" t="s">
        <v>305</v>
      </c>
      <c r="AF19" s="125" t="s">
        <v>305</v>
      </c>
      <c r="AG19" s="125" t="s">
        <v>305</v>
      </c>
      <c r="AH19" s="124">
        <v>3.363</v>
      </c>
      <c r="AI19" s="128" t="s">
        <v>1404</v>
      </c>
      <c r="AJ19" s="124">
        <v>3.9</v>
      </c>
      <c r="AK19" s="126">
        <v>46334</v>
      </c>
      <c r="AL19" s="125" t="s">
        <v>309</v>
      </c>
      <c r="AM19" s="124">
        <v>30</v>
      </c>
      <c r="AN19" s="125" t="s">
        <v>308</v>
      </c>
      <c r="AO19" s="125" t="s">
        <v>618</v>
      </c>
      <c r="AP19" s="125" t="s">
        <v>1405</v>
      </c>
      <c r="AQ19" s="125" t="s">
        <v>306</v>
      </c>
      <c r="AR19" s="124">
        <v>100</v>
      </c>
      <c r="AS19" s="124"/>
      <c r="AT19" s="125" t="s">
        <v>1406</v>
      </c>
      <c r="AU19" s="125" t="s">
        <v>1407</v>
      </c>
      <c r="AV19" s="125" t="s">
        <v>89</v>
      </c>
      <c r="AW19" s="124"/>
      <c r="AX19" s="124"/>
      <c r="AY19" s="124"/>
      <c r="AZ19" s="125" t="s">
        <v>244</v>
      </c>
      <c r="BA19" s="125" t="s">
        <v>803</v>
      </c>
      <c r="BB19" s="125" t="s">
        <v>305</v>
      </c>
      <c r="BC19" s="125" t="s">
        <v>804</v>
      </c>
      <c r="BD19" s="125" t="s">
        <v>1</v>
      </c>
      <c r="BE19" s="125" t="s">
        <v>1408</v>
      </c>
      <c r="BF19" s="125" t="s">
        <v>304</v>
      </c>
      <c r="BG19" s="125" t="s">
        <v>312</v>
      </c>
      <c r="BH19" s="125" t="s">
        <v>1409</v>
      </c>
      <c r="BI19" s="125" t="s">
        <v>1410</v>
      </c>
      <c r="BJ19" s="124">
        <v>10000</v>
      </c>
      <c r="BK19" s="124">
        <v>3.363</v>
      </c>
      <c r="BL19" s="126">
        <v>45268</v>
      </c>
      <c r="BM19" s="126"/>
      <c r="BN19" s="124">
        <v>3.9</v>
      </c>
      <c r="BO19" s="125" t="s">
        <v>89</v>
      </c>
      <c r="BP19" s="126">
        <v>45451</v>
      </c>
      <c r="BQ19" s="125" t="s">
        <v>1395</v>
      </c>
      <c r="BR19" s="125" t="s">
        <v>89</v>
      </c>
      <c r="BS19" s="126">
        <v>45268</v>
      </c>
      <c r="BT19" s="125" t="s">
        <v>846</v>
      </c>
      <c r="BU19" s="126">
        <v>45268</v>
      </c>
      <c r="BV19" s="125" t="s">
        <v>554</v>
      </c>
      <c r="BW19" s="125" t="s">
        <v>1411</v>
      </c>
      <c r="BX19" s="125" t="s">
        <v>303</v>
      </c>
      <c r="BY19" s="125" t="s">
        <v>303</v>
      </c>
      <c r="BZ19" s="125" t="s">
        <v>302</v>
      </c>
      <c r="CA19" s="125" t="s">
        <v>301</v>
      </c>
      <c r="CB19" s="125" t="s">
        <v>300</v>
      </c>
      <c r="CC19" s="125" t="s">
        <v>89</v>
      </c>
      <c r="CD19" s="125" t="s">
        <v>115</v>
      </c>
      <c r="CE19" s="125" t="s">
        <v>89</v>
      </c>
      <c r="CF19" s="125" t="s">
        <v>198</v>
      </c>
      <c r="CG19" s="126"/>
      <c r="CH19" s="125" t="s">
        <v>6</v>
      </c>
      <c r="CI19" s="125" t="s">
        <v>19</v>
      </c>
      <c r="CJ19" s="125" t="s">
        <v>6</v>
      </c>
      <c r="CK19" s="125" t="s">
        <v>89</v>
      </c>
      <c r="CL19" s="126"/>
      <c r="CM19" s="124"/>
      <c r="CN19" s="125" t="s">
        <v>80</v>
      </c>
      <c r="CO19" s="125" t="s">
        <v>80</v>
      </c>
      <c r="CP19" s="125" t="s">
        <v>514</v>
      </c>
      <c r="CQ19" s="128" t="s">
        <v>1412</v>
      </c>
      <c r="CR19" s="124" t="s">
        <v>203</v>
      </c>
      <c r="CS19" s="128" t="s">
        <v>89</v>
      </c>
      <c r="CX19" t="s">
        <v>1355</v>
      </c>
      <c r="CY19" t="s">
        <v>819</v>
      </c>
      <c r="CZ19" t="s">
        <v>349</v>
      </c>
      <c r="DA19" t="s">
        <v>1356</v>
      </c>
      <c r="DB19" s="22" t="s">
        <v>129</v>
      </c>
      <c r="DC19" t="s">
        <v>146</v>
      </c>
      <c r="DD19" t="s">
        <v>147</v>
      </c>
      <c r="DE19" s="31">
        <v>45254</v>
      </c>
      <c r="DF19" s="2"/>
      <c r="DG19" s="2"/>
      <c r="DH19" s="2"/>
      <c r="DI19" s="2"/>
      <c r="DJ19" s="2"/>
      <c r="DK19" s="2"/>
      <c r="DL19" s="2"/>
      <c r="DM19" s="2"/>
      <c r="DR19" s="2"/>
      <c r="DS19" s="2"/>
    </row>
    <row r="20" spans="2:123" ht="15" x14ac:dyDescent="0.25">
      <c r="J20" s="124">
        <v>26</v>
      </c>
      <c r="K20" s="125" t="s">
        <v>1054</v>
      </c>
      <c r="L20" s="125" t="s">
        <v>1413</v>
      </c>
      <c r="M20" s="126">
        <v>45261</v>
      </c>
      <c r="N20" s="127" t="s">
        <v>242</v>
      </c>
      <c r="O20" s="128" t="s">
        <v>1414</v>
      </c>
      <c r="P20" s="128" t="s">
        <v>1415</v>
      </c>
      <c r="Q20" s="128" t="s">
        <v>1415</v>
      </c>
      <c r="R20" s="129"/>
      <c r="S20" s="129"/>
      <c r="T20" s="127" t="s">
        <v>89</v>
      </c>
      <c r="U20" s="127" t="s">
        <v>89</v>
      </c>
      <c r="V20" s="125" t="s">
        <v>82</v>
      </c>
      <c r="W20" s="125" t="s">
        <v>242</v>
      </c>
      <c r="X20" s="125" t="s">
        <v>89</v>
      </c>
      <c r="Y20" s="130" t="s">
        <v>1416</v>
      </c>
      <c r="Z20" s="130" t="s">
        <v>1415</v>
      </c>
      <c r="AA20" s="125" t="s">
        <v>1417</v>
      </c>
      <c r="AB20" s="125" t="s">
        <v>1418</v>
      </c>
      <c r="AC20" s="125" t="s">
        <v>1419</v>
      </c>
      <c r="AD20" s="125" t="s">
        <v>1420</v>
      </c>
      <c r="AE20" s="125" t="s">
        <v>1421</v>
      </c>
      <c r="AF20" s="125" t="s">
        <v>1422</v>
      </c>
      <c r="AG20" s="125" t="s">
        <v>305</v>
      </c>
      <c r="AH20" s="124">
        <v>5</v>
      </c>
      <c r="AI20" s="128" t="s">
        <v>1152</v>
      </c>
      <c r="AJ20" s="124">
        <v>6.3</v>
      </c>
      <c r="AK20" s="126">
        <v>45997</v>
      </c>
      <c r="AL20" s="125" t="s">
        <v>1423</v>
      </c>
      <c r="AM20" s="124">
        <v>45</v>
      </c>
      <c r="AN20" s="125" t="s">
        <v>308</v>
      </c>
      <c r="AO20" s="125" t="s">
        <v>307</v>
      </c>
      <c r="AP20" s="125" t="s">
        <v>89</v>
      </c>
      <c r="AQ20" s="125" t="s">
        <v>306</v>
      </c>
      <c r="AR20" s="124">
        <v>100</v>
      </c>
      <c r="AS20" s="124"/>
      <c r="AT20" s="125" t="s">
        <v>1424</v>
      </c>
      <c r="AU20" s="125" t="s">
        <v>1425</v>
      </c>
      <c r="AV20" s="125" t="s">
        <v>89</v>
      </c>
      <c r="AW20" s="124"/>
      <c r="AX20" s="124"/>
      <c r="AY20" s="124"/>
      <c r="AZ20" s="125" t="s">
        <v>244</v>
      </c>
      <c r="BA20" s="125" t="s">
        <v>1426</v>
      </c>
      <c r="BB20" s="125" t="s">
        <v>305</v>
      </c>
      <c r="BC20" s="125" t="s">
        <v>315</v>
      </c>
      <c r="BD20" s="125" t="s">
        <v>2</v>
      </c>
      <c r="BE20" s="125" t="s">
        <v>1214</v>
      </c>
      <c r="BF20" s="125" t="s">
        <v>304</v>
      </c>
      <c r="BG20" s="125" t="s">
        <v>311</v>
      </c>
      <c r="BH20" s="125" t="s">
        <v>1427</v>
      </c>
      <c r="BI20" s="125" t="s">
        <v>1428</v>
      </c>
      <c r="BJ20" s="124">
        <v>1000</v>
      </c>
      <c r="BK20" s="124">
        <v>5</v>
      </c>
      <c r="BL20" s="126">
        <v>45266</v>
      </c>
      <c r="BM20" s="126"/>
      <c r="BN20" s="124">
        <v>6.3</v>
      </c>
      <c r="BO20" s="125" t="s">
        <v>89</v>
      </c>
      <c r="BP20" s="126">
        <v>45449</v>
      </c>
      <c r="BQ20" s="125" t="s">
        <v>1054</v>
      </c>
      <c r="BR20" s="125" t="s">
        <v>89</v>
      </c>
      <c r="BS20" s="126">
        <v>45266</v>
      </c>
      <c r="BT20" s="125" t="s">
        <v>1415</v>
      </c>
      <c r="BU20" s="126">
        <v>45266</v>
      </c>
      <c r="BV20" s="125" t="s">
        <v>89</v>
      </c>
      <c r="BW20" s="125" t="s">
        <v>1429</v>
      </c>
      <c r="BX20" s="125" t="s">
        <v>303</v>
      </c>
      <c r="BY20" s="125" t="s">
        <v>303</v>
      </c>
      <c r="BZ20" s="125" t="s">
        <v>302</v>
      </c>
      <c r="CA20" s="125" t="s">
        <v>301</v>
      </c>
      <c r="CB20" s="125" t="s">
        <v>300</v>
      </c>
      <c r="CC20" s="125" t="s">
        <v>89</v>
      </c>
      <c r="CD20" s="125" t="s">
        <v>115</v>
      </c>
      <c r="CE20" s="125" t="s">
        <v>89</v>
      </c>
      <c r="CF20" s="125" t="s">
        <v>198</v>
      </c>
      <c r="CG20" s="126"/>
      <c r="CH20" s="125" t="s">
        <v>6</v>
      </c>
      <c r="CI20" s="125" t="s">
        <v>17</v>
      </c>
      <c r="CJ20" s="125" t="s">
        <v>6</v>
      </c>
      <c r="CK20" s="125" t="s">
        <v>89</v>
      </c>
      <c r="CL20" s="126"/>
      <c r="CM20" s="124"/>
      <c r="CN20" s="125" t="s">
        <v>80</v>
      </c>
      <c r="CO20" s="125" t="s">
        <v>1251</v>
      </c>
      <c r="CP20" s="125" t="s">
        <v>624</v>
      </c>
      <c r="CQ20" s="128" t="s">
        <v>1430</v>
      </c>
      <c r="CR20" s="124" t="s">
        <v>203</v>
      </c>
      <c r="CS20" s="128" t="s">
        <v>89</v>
      </c>
      <c r="CX20" t="s">
        <v>810</v>
      </c>
      <c r="CY20" t="s">
        <v>811</v>
      </c>
      <c r="CZ20" t="s">
        <v>812</v>
      </c>
      <c r="DA20" t="s">
        <v>813</v>
      </c>
      <c r="DB20" s="22" t="s">
        <v>129</v>
      </c>
      <c r="DC20" t="s">
        <v>146</v>
      </c>
      <c r="DD20" t="s">
        <v>157</v>
      </c>
      <c r="DE20" s="31">
        <v>45253</v>
      </c>
      <c r="DF20" s="2"/>
      <c r="DG20" s="2"/>
      <c r="DH20" s="2"/>
      <c r="DI20" s="2"/>
      <c r="DJ20" s="2"/>
      <c r="DK20" s="2"/>
      <c r="DL20" s="2"/>
      <c r="DM20" s="2"/>
      <c r="DR20" s="2"/>
      <c r="DS20" s="2"/>
    </row>
    <row r="21" spans="2:123" ht="15" x14ac:dyDescent="0.25">
      <c r="J21" s="124">
        <v>25</v>
      </c>
      <c r="K21" s="125" t="s">
        <v>1431</v>
      </c>
      <c r="L21" s="125" t="s">
        <v>1432</v>
      </c>
      <c r="M21" s="126">
        <v>45261</v>
      </c>
      <c r="N21" s="127" t="s">
        <v>1375</v>
      </c>
      <c r="O21" s="128" t="s">
        <v>1433</v>
      </c>
      <c r="P21" s="128" t="s">
        <v>1434</v>
      </c>
      <c r="Q21" s="128" t="s">
        <v>1434</v>
      </c>
      <c r="R21" s="129"/>
      <c r="S21" s="129"/>
      <c r="T21" s="127" t="s">
        <v>89</v>
      </c>
      <c r="U21" s="127" t="s">
        <v>89</v>
      </c>
      <c r="V21" s="125" t="s">
        <v>103</v>
      </c>
      <c r="W21" s="125" t="s">
        <v>89</v>
      </c>
      <c r="X21" s="125" t="s">
        <v>89</v>
      </c>
      <c r="Y21" s="130" t="s">
        <v>1435</v>
      </c>
      <c r="Z21" s="130" t="s">
        <v>1434</v>
      </c>
      <c r="AA21" s="125" t="s">
        <v>1436</v>
      </c>
      <c r="AB21" s="125" t="s">
        <v>1437</v>
      </c>
      <c r="AC21" s="125" t="s">
        <v>1438</v>
      </c>
      <c r="AD21" s="125" t="s">
        <v>1439</v>
      </c>
      <c r="AE21" s="125" t="s">
        <v>305</v>
      </c>
      <c r="AF21" s="125" t="s">
        <v>305</v>
      </c>
      <c r="AG21" s="125" t="s">
        <v>305</v>
      </c>
      <c r="AH21" s="124">
        <v>4</v>
      </c>
      <c r="AI21" s="128" t="s">
        <v>310</v>
      </c>
      <c r="AJ21" s="124">
        <v>3.7</v>
      </c>
      <c r="AK21" s="126">
        <v>46364</v>
      </c>
      <c r="AL21" s="125" t="s">
        <v>313</v>
      </c>
      <c r="AM21" s="124">
        <v>20</v>
      </c>
      <c r="AN21" s="125" t="s">
        <v>308</v>
      </c>
      <c r="AO21" s="125" t="s">
        <v>618</v>
      </c>
      <c r="AP21" s="125" t="s">
        <v>1440</v>
      </c>
      <c r="AQ21" s="125" t="s">
        <v>306</v>
      </c>
      <c r="AR21" s="124">
        <v>100</v>
      </c>
      <c r="AS21" s="124"/>
      <c r="AT21" s="125" t="s">
        <v>1441</v>
      </c>
      <c r="AU21" s="125" t="s">
        <v>1442</v>
      </c>
      <c r="AV21" s="125" t="s">
        <v>89</v>
      </c>
      <c r="AW21" s="124"/>
      <c r="AX21" s="124"/>
      <c r="AY21" s="124"/>
      <c r="AZ21" s="125" t="s">
        <v>244</v>
      </c>
      <c r="BA21" s="125" t="s">
        <v>803</v>
      </c>
      <c r="BB21" s="125" t="s">
        <v>305</v>
      </c>
      <c r="BC21" s="125" t="s">
        <v>804</v>
      </c>
      <c r="BD21" s="125" t="s">
        <v>1</v>
      </c>
      <c r="BE21" s="125" t="s">
        <v>515</v>
      </c>
      <c r="BF21" s="125" t="s">
        <v>304</v>
      </c>
      <c r="BG21" s="125" t="s">
        <v>312</v>
      </c>
      <c r="BH21" s="125" t="s">
        <v>1443</v>
      </c>
      <c r="BI21" s="125" t="s">
        <v>1444</v>
      </c>
      <c r="BJ21" s="124">
        <v>100000</v>
      </c>
      <c r="BK21" s="124">
        <v>4</v>
      </c>
      <c r="BL21" s="126">
        <v>45268</v>
      </c>
      <c r="BM21" s="126"/>
      <c r="BN21" s="124">
        <v>3.7</v>
      </c>
      <c r="BO21" s="125" t="s">
        <v>89</v>
      </c>
      <c r="BP21" s="126">
        <v>45451</v>
      </c>
      <c r="BQ21" s="125" t="s">
        <v>1431</v>
      </c>
      <c r="BR21" s="125" t="s">
        <v>89</v>
      </c>
      <c r="BS21" s="126">
        <v>45268</v>
      </c>
      <c r="BT21" s="125" t="s">
        <v>1434</v>
      </c>
      <c r="BU21" s="126">
        <v>45268</v>
      </c>
      <c r="BV21" s="125" t="s">
        <v>554</v>
      </c>
      <c r="BW21" s="125" t="s">
        <v>1445</v>
      </c>
      <c r="BX21" s="125" t="s">
        <v>303</v>
      </c>
      <c r="BY21" s="125" t="s">
        <v>303</v>
      </c>
      <c r="BZ21" s="125" t="s">
        <v>302</v>
      </c>
      <c r="CA21" s="125" t="s">
        <v>301</v>
      </c>
      <c r="CB21" s="125" t="s">
        <v>300</v>
      </c>
      <c r="CC21" s="125" t="s">
        <v>89</v>
      </c>
      <c r="CD21" s="125" t="s">
        <v>115</v>
      </c>
      <c r="CE21" s="125" t="s">
        <v>89</v>
      </c>
      <c r="CF21" s="125" t="s">
        <v>198</v>
      </c>
      <c r="CG21" s="126"/>
      <c r="CH21" s="125" t="s">
        <v>6</v>
      </c>
      <c r="CI21" s="125" t="s">
        <v>15</v>
      </c>
      <c r="CJ21" s="125" t="s">
        <v>129</v>
      </c>
      <c r="CK21" s="125" t="s">
        <v>89</v>
      </c>
      <c r="CL21" s="126"/>
      <c r="CM21" s="124"/>
      <c r="CN21" s="125" t="s">
        <v>80</v>
      </c>
      <c r="CO21" s="125" t="s">
        <v>80</v>
      </c>
      <c r="CP21" s="125" t="s">
        <v>514</v>
      </c>
      <c r="CQ21" s="128" t="s">
        <v>1446</v>
      </c>
      <c r="CR21" s="124" t="s">
        <v>203</v>
      </c>
      <c r="CS21" s="128" t="s">
        <v>89</v>
      </c>
      <c r="CX21" t="s">
        <v>807</v>
      </c>
      <c r="CY21" t="s">
        <v>792</v>
      </c>
      <c r="CZ21" t="s">
        <v>793</v>
      </c>
      <c r="DA21" t="s">
        <v>814</v>
      </c>
      <c r="DB21" s="22" t="s">
        <v>130</v>
      </c>
      <c r="DC21" t="s">
        <v>146</v>
      </c>
      <c r="DD21" t="s">
        <v>147</v>
      </c>
      <c r="DE21" s="31">
        <v>45252</v>
      </c>
      <c r="DF21" s="2"/>
      <c r="DG21" s="2"/>
      <c r="DH21" s="2"/>
      <c r="DI21" s="2"/>
      <c r="DJ21" s="2"/>
      <c r="DK21" s="2"/>
      <c r="DL21" s="2"/>
      <c r="DM21" s="2"/>
      <c r="DR21" s="2"/>
      <c r="DS21" s="2"/>
    </row>
    <row r="22" spans="2:123" ht="15" x14ac:dyDescent="0.25">
      <c r="J22" s="124">
        <v>24</v>
      </c>
      <c r="K22" s="125" t="s">
        <v>325</v>
      </c>
      <c r="L22" s="125" t="s">
        <v>1447</v>
      </c>
      <c r="M22" s="126">
        <v>45261</v>
      </c>
      <c r="N22" s="127" t="s">
        <v>1129</v>
      </c>
      <c r="O22" s="128" t="s">
        <v>89</v>
      </c>
      <c r="P22" s="128" t="s">
        <v>89</v>
      </c>
      <c r="Q22" s="128" t="s">
        <v>89</v>
      </c>
      <c r="R22" s="129"/>
      <c r="S22" s="129"/>
      <c r="T22" s="127" t="s">
        <v>89</v>
      </c>
      <c r="U22" s="127" t="s">
        <v>89</v>
      </c>
      <c r="V22" s="125" t="s">
        <v>82</v>
      </c>
      <c r="W22" s="125" t="s">
        <v>89</v>
      </c>
      <c r="X22" s="125" t="s">
        <v>89</v>
      </c>
      <c r="Y22" s="130" t="s">
        <v>89</v>
      </c>
      <c r="Z22" s="130" t="s">
        <v>89</v>
      </c>
      <c r="AA22" s="125" t="s">
        <v>89</v>
      </c>
      <c r="AB22" s="125" t="s">
        <v>89</v>
      </c>
      <c r="AC22" s="125" t="s">
        <v>1448</v>
      </c>
      <c r="AD22" s="125" t="s">
        <v>1449</v>
      </c>
      <c r="AE22" s="125" t="s">
        <v>305</v>
      </c>
      <c r="AF22" s="125" t="s">
        <v>305</v>
      </c>
      <c r="AG22" s="125" t="s">
        <v>305</v>
      </c>
      <c r="AH22" s="124">
        <v>0.25</v>
      </c>
      <c r="AI22" s="128" t="s">
        <v>1450</v>
      </c>
      <c r="AJ22" s="124">
        <v>6.4</v>
      </c>
      <c r="AK22" s="126">
        <v>45450</v>
      </c>
      <c r="AL22" s="125" t="s">
        <v>106</v>
      </c>
      <c r="AM22" s="124"/>
      <c r="AN22" s="125" t="s">
        <v>308</v>
      </c>
      <c r="AO22" s="125" t="s">
        <v>328</v>
      </c>
      <c r="AP22" s="125" t="s">
        <v>89</v>
      </c>
      <c r="AQ22" s="125" t="s">
        <v>306</v>
      </c>
      <c r="AR22" s="124"/>
      <c r="AS22" s="124"/>
      <c r="AT22" s="125" t="s">
        <v>840</v>
      </c>
      <c r="AU22" s="125" t="s">
        <v>841</v>
      </c>
      <c r="AV22" s="125" t="s">
        <v>89</v>
      </c>
      <c r="AW22" s="124"/>
      <c r="AX22" s="124"/>
      <c r="AY22" s="124"/>
      <c r="AZ22" s="125" t="s">
        <v>244</v>
      </c>
      <c r="BA22" s="125" t="s">
        <v>329</v>
      </c>
      <c r="BB22" s="125" t="s">
        <v>305</v>
      </c>
      <c r="BC22" s="125" t="s">
        <v>89</v>
      </c>
      <c r="BD22" s="125" t="s">
        <v>81</v>
      </c>
      <c r="BE22" s="125" t="s">
        <v>1451</v>
      </c>
      <c r="BF22" s="125" t="s">
        <v>304</v>
      </c>
      <c r="BG22" s="125" t="s">
        <v>312</v>
      </c>
      <c r="BH22" s="125" t="s">
        <v>89</v>
      </c>
      <c r="BI22" s="125" t="s">
        <v>1186</v>
      </c>
      <c r="BJ22" s="124">
        <v>1000</v>
      </c>
      <c r="BK22" s="124">
        <v>0.25</v>
      </c>
      <c r="BL22" s="126">
        <v>45267</v>
      </c>
      <c r="BM22" s="126"/>
      <c r="BN22" s="124">
        <v>6.4</v>
      </c>
      <c r="BO22" s="125" t="s">
        <v>89</v>
      </c>
      <c r="BP22" s="126">
        <v>45450</v>
      </c>
      <c r="BQ22" s="125" t="s">
        <v>1187</v>
      </c>
      <c r="BR22" s="125" t="s">
        <v>325</v>
      </c>
      <c r="BS22" s="126">
        <v>45267</v>
      </c>
      <c r="BT22" s="125" t="s">
        <v>89</v>
      </c>
      <c r="BU22" s="126">
        <v>45267</v>
      </c>
      <c r="BV22" s="125" t="s">
        <v>89</v>
      </c>
      <c r="BW22" s="125" t="s">
        <v>89</v>
      </c>
      <c r="BX22" s="125" t="s">
        <v>303</v>
      </c>
      <c r="BY22" s="125" t="s">
        <v>303</v>
      </c>
      <c r="BZ22" s="125" t="s">
        <v>302</v>
      </c>
      <c r="CA22" s="125" t="s">
        <v>301</v>
      </c>
      <c r="CB22" s="125" t="s">
        <v>300</v>
      </c>
      <c r="CC22" s="125" t="s">
        <v>89</v>
      </c>
      <c r="CD22" s="125" t="s">
        <v>89</v>
      </c>
      <c r="CE22" s="125" t="s">
        <v>89</v>
      </c>
      <c r="CF22" s="125" t="s">
        <v>198</v>
      </c>
      <c r="CG22" s="126"/>
      <c r="CH22" s="125" t="s">
        <v>6</v>
      </c>
      <c r="CI22" s="125" t="s">
        <v>125</v>
      </c>
      <c r="CJ22" s="125" t="s">
        <v>6</v>
      </c>
      <c r="CK22" s="125" t="s">
        <v>89</v>
      </c>
      <c r="CL22" s="126"/>
      <c r="CM22" s="124"/>
      <c r="CN22" s="125" t="s">
        <v>80</v>
      </c>
      <c r="CO22" s="125" t="s">
        <v>623</v>
      </c>
      <c r="CP22" s="125" t="s">
        <v>514</v>
      </c>
      <c r="CQ22" s="128" t="s">
        <v>1452</v>
      </c>
      <c r="CR22" s="124" t="s">
        <v>558</v>
      </c>
      <c r="CS22" s="128" t="s">
        <v>89</v>
      </c>
      <c r="CX22" t="s">
        <v>807</v>
      </c>
      <c r="CY22" t="s">
        <v>790</v>
      </c>
      <c r="CZ22" t="s">
        <v>817</v>
      </c>
      <c r="DA22" t="s">
        <v>818</v>
      </c>
      <c r="DB22" s="22" t="s">
        <v>130</v>
      </c>
      <c r="DC22" t="s">
        <v>146</v>
      </c>
      <c r="DD22" t="s">
        <v>147</v>
      </c>
      <c r="DE22" s="31">
        <v>45252</v>
      </c>
      <c r="DF22" s="2"/>
      <c r="DG22" s="2"/>
      <c r="DH22" s="2"/>
      <c r="DI22" s="2"/>
      <c r="DJ22" s="2"/>
      <c r="DK22" s="2"/>
      <c r="DL22" s="2"/>
      <c r="DM22" s="2"/>
      <c r="DR22" s="2"/>
      <c r="DS22" s="2"/>
    </row>
    <row r="23" spans="2:123" ht="15.75" x14ac:dyDescent="0.25">
      <c r="D23" s="92"/>
      <c r="E23" s="92"/>
      <c r="F23" s="92"/>
      <c r="H23" s="22" t="s">
        <v>322</v>
      </c>
      <c r="J23" s="124">
        <v>23</v>
      </c>
      <c r="K23" s="125" t="s">
        <v>1132</v>
      </c>
      <c r="L23" s="125" t="s">
        <v>1133</v>
      </c>
      <c r="M23" s="126">
        <v>45260</v>
      </c>
      <c r="N23" s="127" t="s">
        <v>617</v>
      </c>
      <c r="O23" s="128" t="s">
        <v>89</v>
      </c>
      <c r="P23" s="128" t="s">
        <v>846</v>
      </c>
      <c r="Q23" s="128" t="s">
        <v>89</v>
      </c>
      <c r="R23" s="129"/>
      <c r="S23" s="129"/>
      <c r="T23" s="127" t="s">
        <v>89</v>
      </c>
      <c r="U23" s="127" t="s">
        <v>89</v>
      </c>
      <c r="V23" s="125" t="s">
        <v>103</v>
      </c>
      <c r="W23" s="125" t="s">
        <v>89</v>
      </c>
      <c r="X23" s="125" t="s">
        <v>89</v>
      </c>
      <c r="Y23" s="130" t="s">
        <v>89</v>
      </c>
      <c r="Z23" s="130" t="s">
        <v>846</v>
      </c>
      <c r="AA23" s="125" t="s">
        <v>1134</v>
      </c>
      <c r="AB23" s="125" t="s">
        <v>1135</v>
      </c>
      <c r="AC23" s="125" t="s">
        <v>1136</v>
      </c>
      <c r="AD23" s="125" t="s">
        <v>1137</v>
      </c>
      <c r="AE23" s="125" t="s">
        <v>305</v>
      </c>
      <c r="AF23" s="125" t="s">
        <v>305</v>
      </c>
      <c r="AG23" s="125" t="s">
        <v>305</v>
      </c>
      <c r="AH23" s="124">
        <v>3.6970000000000001</v>
      </c>
      <c r="AI23" s="128" t="s">
        <v>310</v>
      </c>
      <c r="AJ23" s="124">
        <v>3.9</v>
      </c>
      <c r="AK23" s="126">
        <v>46363</v>
      </c>
      <c r="AL23" s="125" t="s">
        <v>313</v>
      </c>
      <c r="AM23" s="124"/>
      <c r="AN23" s="125" t="s">
        <v>308</v>
      </c>
      <c r="AO23" s="125" t="s">
        <v>618</v>
      </c>
      <c r="AP23" s="125" t="s">
        <v>1138</v>
      </c>
      <c r="AQ23" s="125" t="s">
        <v>306</v>
      </c>
      <c r="AR23" s="124">
        <v>100</v>
      </c>
      <c r="AS23" s="124"/>
      <c r="AT23" s="125" t="s">
        <v>1139</v>
      </c>
      <c r="AU23" s="125" t="s">
        <v>1140</v>
      </c>
      <c r="AV23" s="125" t="s">
        <v>89</v>
      </c>
      <c r="AW23" s="124"/>
      <c r="AX23" s="124"/>
      <c r="AY23" s="124"/>
      <c r="AZ23" s="125" t="s">
        <v>244</v>
      </c>
      <c r="BA23" s="125" t="s">
        <v>803</v>
      </c>
      <c r="BB23" s="125" t="s">
        <v>305</v>
      </c>
      <c r="BC23" s="125" t="s">
        <v>570</v>
      </c>
      <c r="BD23" s="125" t="s">
        <v>1</v>
      </c>
      <c r="BE23" s="125" t="s">
        <v>515</v>
      </c>
      <c r="BF23" s="125" t="s">
        <v>304</v>
      </c>
      <c r="BG23" s="125" t="s">
        <v>312</v>
      </c>
      <c r="BH23" s="125" t="s">
        <v>1141</v>
      </c>
      <c r="BI23" s="125" t="s">
        <v>1142</v>
      </c>
      <c r="BJ23" s="124">
        <v>10000</v>
      </c>
      <c r="BK23" s="124">
        <v>3.6968000000000001</v>
      </c>
      <c r="BL23" s="126">
        <v>45267</v>
      </c>
      <c r="BM23" s="126"/>
      <c r="BN23" s="124">
        <v>3.9</v>
      </c>
      <c r="BO23" s="125" t="s">
        <v>89</v>
      </c>
      <c r="BP23" s="126">
        <v>45450</v>
      </c>
      <c r="BQ23" s="125" t="s">
        <v>1132</v>
      </c>
      <c r="BR23" s="125" t="s">
        <v>89</v>
      </c>
      <c r="BS23" s="126">
        <v>45267</v>
      </c>
      <c r="BT23" s="125" t="s">
        <v>846</v>
      </c>
      <c r="BU23" s="126">
        <v>45267</v>
      </c>
      <c r="BV23" s="125" t="s">
        <v>554</v>
      </c>
      <c r="BW23" s="125" t="s">
        <v>1143</v>
      </c>
      <c r="BX23" s="125" t="s">
        <v>303</v>
      </c>
      <c r="BY23" s="125" t="s">
        <v>303</v>
      </c>
      <c r="BZ23" s="125" t="s">
        <v>302</v>
      </c>
      <c r="CA23" s="125" t="s">
        <v>301</v>
      </c>
      <c r="CB23" s="125" t="s">
        <v>300</v>
      </c>
      <c r="CC23" s="125" t="s">
        <v>89</v>
      </c>
      <c r="CD23" s="125" t="s">
        <v>115</v>
      </c>
      <c r="CE23" s="125" t="s">
        <v>89</v>
      </c>
      <c r="CF23" s="125" t="s">
        <v>198</v>
      </c>
      <c r="CG23" s="126"/>
      <c r="CH23" s="125" t="s">
        <v>6</v>
      </c>
      <c r="CI23" s="125" t="s">
        <v>20</v>
      </c>
      <c r="CJ23" s="125" t="s">
        <v>6</v>
      </c>
      <c r="CK23" s="125" t="s">
        <v>89</v>
      </c>
      <c r="CL23" s="126"/>
      <c r="CM23" s="124"/>
      <c r="CN23" s="125" t="s">
        <v>80</v>
      </c>
      <c r="CO23" s="125" t="s">
        <v>80</v>
      </c>
      <c r="CP23" s="125" t="s">
        <v>514</v>
      </c>
      <c r="CQ23" s="128" t="s">
        <v>1144</v>
      </c>
      <c r="CR23" s="124" t="s">
        <v>203</v>
      </c>
      <c r="CS23" s="128" t="s">
        <v>89</v>
      </c>
      <c r="CX23" t="s">
        <v>807</v>
      </c>
      <c r="CY23" t="s">
        <v>788</v>
      </c>
      <c r="CZ23" t="s">
        <v>815</v>
      </c>
      <c r="DA23" t="s">
        <v>816</v>
      </c>
      <c r="DB23" s="22" t="s">
        <v>130</v>
      </c>
      <c r="DC23" t="s">
        <v>146</v>
      </c>
      <c r="DD23" t="s">
        <v>147</v>
      </c>
      <c r="DE23" s="31">
        <v>45252</v>
      </c>
      <c r="DF23" s="2"/>
      <c r="DG23" s="2"/>
      <c r="DH23" s="2"/>
      <c r="DI23" s="2"/>
      <c r="DJ23" s="2"/>
      <c r="DK23" s="2"/>
      <c r="DL23" s="2"/>
      <c r="DM23" s="2"/>
      <c r="DR23" s="2"/>
      <c r="DS23" s="2"/>
    </row>
    <row r="24" spans="2:123" ht="15.75" x14ac:dyDescent="0.25">
      <c r="D24" s="92"/>
      <c r="E24" s="92"/>
      <c r="F24" s="92"/>
      <c r="H24" t="s">
        <v>1525</v>
      </c>
      <c r="J24" s="124">
        <v>22</v>
      </c>
      <c r="K24" s="125" t="s">
        <v>1145</v>
      </c>
      <c r="L24" s="125" t="s">
        <v>1146</v>
      </c>
      <c r="M24" s="126">
        <v>45260</v>
      </c>
      <c r="N24" s="127" t="s">
        <v>783</v>
      </c>
      <c r="O24" s="128" t="s">
        <v>89</v>
      </c>
      <c r="P24" s="128" t="s">
        <v>1147</v>
      </c>
      <c r="Q24" s="128" t="s">
        <v>89</v>
      </c>
      <c r="R24" s="129"/>
      <c r="S24" s="129"/>
      <c r="T24" s="127" t="s">
        <v>89</v>
      </c>
      <c r="U24" s="127" t="s">
        <v>89</v>
      </c>
      <c r="V24" s="125" t="s">
        <v>103</v>
      </c>
      <c r="W24" s="125" t="s">
        <v>89</v>
      </c>
      <c r="X24" s="125" t="s">
        <v>89</v>
      </c>
      <c r="Y24" s="130" t="s">
        <v>89</v>
      </c>
      <c r="Z24" s="130" t="s">
        <v>1148</v>
      </c>
      <c r="AA24" s="125" t="s">
        <v>1149</v>
      </c>
      <c r="AB24" s="125" t="s">
        <v>89</v>
      </c>
      <c r="AC24" s="125" t="s">
        <v>1150</v>
      </c>
      <c r="AD24" s="125" t="s">
        <v>1151</v>
      </c>
      <c r="AE24" s="125" t="s">
        <v>305</v>
      </c>
      <c r="AF24" s="125" t="s">
        <v>305</v>
      </c>
      <c r="AG24" s="125" t="s">
        <v>305</v>
      </c>
      <c r="AH24" s="124">
        <v>2</v>
      </c>
      <c r="AI24" s="128" t="s">
        <v>1152</v>
      </c>
      <c r="AJ24" s="124">
        <v>8.5</v>
      </c>
      <c r="AK24" s="126">
        <v>45999</v>
      </c>
      <c r="AL24" s="125" t="s">
        <v>106</v>
      </c>
      <c r="AM24" s="124"/>
      <c r="AN24" s="125" t="s">
        <v>308</v>
      </c>
      <c r="AO24" s="125" t="s">
        <v>328</v>
      </c>
      <c r="AP24" s="125" t="s">
        <v>89</v>
      </c>
      <c r="AQ24" s="125" t="s">
        <v>306</v>
      </c>
      <c r="AR24" s="124">
        <v>100</v>
      </c>
      <c r="AS24" s="124"/>
      <c r="AT24" s="125" t="s">
        <v>581</v>
      </c>
      <c r="AU24" s="125" t="s">
        <v>1153</v>
      </c>
      <c r="AV24" s="125" t="s">
        <v>89</v>
      </c>
      <c r="AW24" s="124"/>
      <c r="AX24" s="124"/>
      <c r="AY24" s="124"/>
      <c r="AZ24" s="125" t="s">
        <v>244</v>
      </c>
      <c r="BA24" s="125" t="s">
        <v>329</v>
      </c>
      <c r="BB24" s="125" t="s">
        <v>305</v>
      </c>
      <c r="BC24" s="125" t="s">
        <v>570</v>
      </c>
      <c r="BD24" s="125" t="s">
        <v>1</v>
      </c>
      <c r="BE24" s="125" t="s">
        <v>1453</v>
      </c>
      <c r="BF24" s="125" t="s">
        <v>620</v>
      </c>
      <c r="BG24" s="125" t="s">
        <v>312</v>
      </c>
      <c r="BH24" s="125" t="s">
        <v>1154</v>
      </c>
      <c r="BI24" s="125" t="s">
        <v>1155</v>
      </c>
      <c r="BJ24" s="124">
        <v>10000</v>
      </c>
      <c r="BK24" s="124">
        <v>2</v>
      </c>
      <c r="BL24" s="126">
        <v>45268</v>
      </c>
      <c r="BM24" s="126"/>
      <c r="BN24" s="124">
        <v>8.5</v>
      </c>
      <c r="BO24" s="125" t="s">
        <v>89</v>
      </c>
      <c r="BP24" s="126">
        <v>45451</v>
      </c>
      <c r="BQ24" s="125" t="s">
        <v>1156</v>
      </c>
      <c r="BR24" s="125" t="s">
        <v>1145</v>
      </c>
      <c r="BS24" s="126">
        <v>45268</v>
      </c>
      <c r="BT24" s="125" t="s">
        <v>1148</v>
      </c>
      <c r="BU24" s="126">
        <v>45268</v>
      </c>
      <c r="BV24" s="125" t="s">
        <v>554</v>
      </c>
      <c r="BW24" s="125" t="s">
        <v>1157</v>
      </c>
      <c r="BX24" s="125" t="s">
        <v>303</v>
      </c>
      <c r="BY24" s="125" t="s">
        <v>303</v>
      </c>
      <c r="BZ24" s="125" t="s">
        <v>302</v>
      </c>
      <c r="CA24" s="125" t="s">
        <v>301</v>
      </c>
      <c r="CB24" s="125" t="s">
        <v>300</v>
      </c>
      <c r="CC24" s="125" t="s">
        <v>89</v>
      </c>
      <c r="CD24" s="125" t="s">
        <v>115</v>
      </c>
      <c r="CE24" s="125" t="s">
        <v>89</v>
      </c>
      <c r="CF24" s="125" t="s">
        <v>198</v>
      </c>
      <c r="CG24" s="126"/>
      <c r="CH24" s="125" t="s">
        <v>6</v>
      </c>
      <c r="CI24" s="125" t="s">
        <v>9</v>
      </c>
      <c r="CJ24" s="125" t="s">
        <v>6</v>
      </c>
      <c r="CK24" s="125" t="s">
        <v>89</v>
      </c>
      <c r="CL24" s="126"/>
      <c r="CM24" s="124"/>
      <c r="CN24" s="125" t="s">
        <v>80</v>
      </c>
      <c r="CO24" s="125" t="s">
        <v>80</v>
      </c>
      <c r="CP24" s="125" t="s">
        <v>514</v>
      </c>
      <c r="CQ24" s="128" t="s">
        <v>1158</v>
      </c>
      <c r="CR24" s="124" t="s">
        <v>203</v>
      </c>
      <c r="CS24" s="128" t="s">
        <v>89</v>
      </c>
      <c r="CX24" t="s">
        <v>852</v>
      </c>
      <c r="CY24" t="s">
        <v>853</v>
      </c>
      <c r="CZ24" t="s">
        <v>854</v>
      </c>
      <c r="DA24" t="s">
        <v>855</v>
      </c>
      <c r="DB24" s="22" t="s">
        <v>129</v>
      </c>
      <c r="DC24" t="s">
        <v>146</v>
      </c>
      <c r="DD24" t="s">
        <v>150</v>
      </c>
      <c r="DE24" s="31">
        <v>45244</v>
      </c>
      <c r="DG24" s="2"/>
      <c r="DH24" s="2"/>
      <c r="DI24" s="2"/>
      <c r="DJ24" s="2"/>
      <c r="DK24" s="2"/>
      <c r="DL24" s="2"/>
      <c r="DM24" s="2"/>
      <c r="DR24" s="2"/>
      <c r="DS24" s="2"/>
    </row>
    <row r="25" spans="2:123" ht="15.75" x14ac:dyDescent="0.25">
      <c r="D25" s="92"/>
      <c r="E25" s="92"/>
      <c r="F25" s="92"/>
      <c r="H25" t="s">
        <v>236</v>
      </c>
      <c r="J25" s="124">
        <v>21</v>
      </c>
      <c r="K25" s="125" t="s">
        <v>1159</v>
      </c>
      <c r="L25" s="125" t="s">
        <v>1160</v>
      </c>
      <c r="M25" s="126">
        <v>45260</v>
      </c>
      <c r="N25" s="127" t="s">
        <v>617</v>
      </c>
      <c r="O25" s="128" t="s">
        <v>89</v>
      </c>
      <c r="P25" s="128" t="s">
        <v>821</v>
      </c>
      <c r="Q25" s="128" t="s">
        <v>89</v>
      </c>
      <c r="R25" s="129"/>
      <c r="S25" s="129"/>
      <c r="T25" s="127" t="s">
        <v>89</v>
      </c>
      <c r="U25" s="127" t="s">
        <v>89</v>
      </c>
      <c r="V25" s="125" t="s">
        <v>103</v>
      </c>
      <c r="W25" s="125" t="s">
        <v>89</v>
      </c>
      <c r="X25" s="125" t="s">
        <v>89</v>
      </c>
      <c r="Y25" s="130" t="s">
        <v>89</v>
      </c>
      <c r="Z25" s="130" t="s">
        <v>821</v>
      </c>
      <c r="AA25" s="125" t="s">
        <v>1161</v>
      </c>
      <c r="AB25" s="125" t="s">
        <v>1162</v>
      </c>
      <c r="AC25" s="125" t="s">
        <v>1163</v>
      </c>
      <c r="AD25" s="125" t="s">
        <v>1164</v>
      </c>
      <c r="AE25" s="125" t="s">
        <v>305</v>
      </c>
      <c r="AF25" s="125" t="s">
        <v>305</v>
      </c>
      <c r="AG25" s="125" t="s">
        <v>305</v>
      </c>
      <c r="AH25" s="124">
        <v>3.53</v>
      </c>
      <c r="AI25" s="128" t="s">
        <v>555</v>
      </c>
      <c r="AJ25" s="124">
        <v>7.5</v>
      </c>
      <c r="AK25" s="126">
        <v>45629</v>
      </c>
      <c r="AL25" s="125" t="s">
        <v>313</v>
      </c>
      <c r="AM25" s="124"/>
      <c r="AN25" s="125" t="s">
        <v>308</v>
      </c>
      <c r="AO25" s="125" t="s">
        <v>307</v>
      </c>
      <c r="AP25" s="125" t="s">
        <v>89</v>
      </c>
      <c r="AQ25" s="125" t="s">
        <v>306</v>
      </c>
      <c r="AR25" s="124">
        <v>100</v>
      </c>
      <c r="AS25" s="124"/>
      <c r="AT25" s="125" t="s">
        <v>581</v>
      </c>
      <c r="AU25" s="125" t="s">
        <v>1165</v>
      </c>
      <c r="AV25" s="125" t="s">
        <v>89</v>
      </c>
      <c r="AW25" s="124"/>
      <c r="AX25" s="124"/>
      <c r="AY25" s="124"/>
      <c r="AZ25" s="125" t="s">
        <v>244</v>
      </c>
      <c r="BA25" s="125" t="s">
        <v>329</v>
      </c>
      <c r="BB25" s="125" t="s">
        <v>305</v>
      </c>
      <c r="BC25" s="125" t="s">
        <v>570</v>
      </c>
      <c r="BD25" s="125" t="s">
        <v>1</v>
      </c>
      <c r="BE25" s="125" t="s">
        <v>800</v>
      </c>
      <c r="BF25" s="125" t="s">
        <v>304</v>
      </c>
      <c r="BG25" s="125" t="s">
        <v>312</v>
      </c>
      <c r="BH25" s="125" t="s">
        <v>1166</v>
      </c>
      <c r="BI25" s="125" t="s">
        <v>1167</v>
      </c>
      <c r="BJ25" s="124">
        <v>10000</v>
      </c>
      <c r="BK25" s="124">
        <v>3.53</v>
      </c>
      <c r="BL25" s="126">
        <v>45265</v>
      </c>
      <c r="BM25" s="126"/>
      <c r="BN25" s="124">
        <v>7.5</v>
      </c>
      <c r="BO25" s="125" t="s">
        <v>89</v>
      </c>
      <c r="BP25" s="126">
        <v>45629</v>
      </c>
      <c r="BQ25" s="125" t="s">
        <v>1159</v>
      </c>
      <c r="BR25" s="125" t="s">
        <v>89</v>
      </c>
      <c r="BS25" s="126">
        <v>45265</v>
      </c>
      <c r="BT25" s="125" t="s">
        <v>821</v>
      </c>
      <c r="BU25" s="126">
        <v>45265</v>
      </c>
      <c r="BV25" s="125" t="s">
        <v>785</v>
      </c>
      <c r="BW25" s="125" t="s">
        <v>1168</v>
      </c>
      <c r="BX25" s="125" t="s">
        <v>303</v>
      </c>
      <c r="BY25" s="125" t="s">
        <v>303</v>
      </c>
      <c r="BZ25" s="125" t="s">
        <v>302</v>
      </c>
      <c r="CA25" s="125" t="s">
        <v>301</v>
      </c>
      <c r="CB25" s="125" t="s">
        <v>300</v>
      </c>
      <c r="CC25" s="125" t="s">
        <v>89</v>
      </c>
      <c r="CD25" s="125" t="s">
        <v>89</v>
      </c>
      <c r="CE25" s="125" t="s">
        <v>89</v>
      </c>
      <c r="CF25" s="125" t="s">
        <v>198</v>
      </c>
      <c r="CG25" s="126"/>
      <c r="CH25" s="125" t="s">
        <v>6</v>
      </c>
      <c r="CI25" s="125" t="s">
        <v>9</v>
      </c>
      <c r="CJ25" s="125" t="s">
        <v>6</v>
      </c>
      <c r="CK25" s="125" t="s">
        <v>89</v>
      </c>
      <c r="CL25" s="126"/>
      <c r="CM25" s="124"/>
      <c r="CN25" s="125" t="s">
        <v>80</v>
      </c>
      <c r="CO25" s="125" t="s">
        <v>80</v>
      </c>
      <c r="CP25" s="125" t="s">
        <v>514</v>
      </c>
      <c r="CQ25" s="128" t="s">
        <v>1169</v>
      </c>
      <c r="CR25" s="124" t="s">
        <v>203</v>
      </c>
      <c r="CS25" s="128" t="s">
        <v>89</v>
      </c>
      <c r="CX25" t="s">
        <v>856</v>
      </c>
      <c r="CY25" t="s">
        <v>857</v>
      </c>
      <c r="CZ25" t="s">
        <v>858</v>
      </c>
      <c r="DA25" t="s">
        <v>859</v>
      </c>
      <c r="DB25" s="22" t="s">
        <v>129</v>
      </c>
      <c r="DC25" t="s">
        <v>146</v>
      </c>
      <c r="DD25" t="s">
        <v>150</v>
      </c>
      <c r="DE25" s="31">
        <v>45233</v>
      </c>
      <c r="DG25" s="2"/>
      <c r="DH25" s="2"/>
      <c r="DI25" s="2"/>
      <c r="DJ25" s="2"/>
      <c r="DK25" s="2"/>
      <c r="DL25" s="2"/>
      <c r="DM25" s="2"/>
      <c r="DR25" s="2"/>
      <c r="DS25" s="2"/>
    </row>
    <row r="26" spans="2:123" ht="15.75" x14ac:dyDescent="0.25">
      <c r="D26" s="92"/>
      <c r="E26" s="92"/>
      <c r="F26" s="92"/>
      <c r="J26" s="124">
        <v>20</v>
      </c>
      <c r="K26" s="125" t="s">
        <v>1170</v>
      </c>
      <c r="L26" s="125" t="s">
        <v>1171</v>
      </c>
      <c r="M26" s="126">
        <v>45259</v>
      </c>
      <c r="N26" s="127" t="s">
        <v>1172</v>
      </c>
      <c r="O26" s="128" t="s">
        <v>89</v>
      </c>
      <c r="P26" s="128" t="s">
        <v>1173</v>
      </c>
      <c r="Q26" s="128" t="s">
        <v>89</v>
      </c>
      <c r="R26" s="129"/>
      <c r="S26" s="129"/>
      <c r="T26" s="127" t="s">
        <v>89</v>
      </c>
      <c r="U26" s="127" t="s">
        <v>89</v>
      </c>
      <c r="V26" s="125" t="s">
        <v>103</v>
      </c>
      <c r="W26" s="125" t="s">
        <v>89</v>
      </c>
      <c r="X26" s="125" t="s">
        <v>89</v>
      </c>
      <c r="Y26" s="130" t="s">
        <v>89</v>
      </c>
      <c r="Z26" s="130" t="s">
        <v>1173</v>
      </c>
      <c r="AA26" s="125" t="s">
        <v>89</v>
      </c>
      <c r="AB26" s="125" t="s">
        <v>89</v>
      </c>
      <c r="AC26" s="125" t="s">
        <v>1174</v>
      </c>
      <c r="AD26" s="125" t="s">
        <v>1175</v>
      </c>
      <c r="AE26" s="125" t="s">
        <v>305</v>
      </c>
      <c r="AF26" s="125" t="s">
        <v>305</v>
      </c>
      <c r="AG26" s="125" t="s">
        <v>305</v>
      </c>
      <c r="AH26" s="124">
        <v>3</v>
      </c>
      <c r="AI26" s="128" t="s">
        <v>310</v>
      </c>
      <c r="AJ26" s="124">
        <v>4.7</v>
      </c>
      <c r="AK26" s="126">
        <v>46362</v>
      </c>
      <c r="AL26" s="125" t="s">
        <v>313</v>
      </c>
      <c r="AM26" s="124"/>
      <c r="AN26" s="125" t="s">
        <v>308</v>
      </c>
      <c r="AO26" s="125" t="s">
        <v>1176</v>
      </c>
      <c r="AP26" s="125" t="s">
        <v>1177</v>
      </c>
      <c r="AQ26" s="125" t="s">
        <v>306</v>
      </c>
      <c r="AR26" s="124">
        <v>100</v>
      </c>
      <c r="AS26" s="124"/>
      <c r="AT26" s="125" t="s">
        <v>581</v>
      </c>
      <c r="AU26" s="125" t="s">
        <v>1178</v>
      </c>
      <c r="AV26" s="125" t="s">
        <v>89</v>
      </c>
      <c r="AW26" s="124"/>
      <c r="AX26" s="124"/>
      <c r="AY26" s="124"/>
      <c r="AZ26" s="125" t="s">
        <v>244</v>
      </c>
      <c r="BA26" s="125" t="s">
        <v>803</v>
      </c>
      <c r="BB26" s="125" t="s">
        <v>305</v>
      </c>
      <c r="BC26" s="125" t="s">
        <v>570</v>
      </c>
      <c r="BD26" s="125" t="s">
        <v>1</v>
      </c>
      <c r="BE26" s="125" t="s">
        <v>786</v>
      </c>
      <c r="BF26" s="125" t="s">
        <v>304</v>
      </c>
      <c r="BG26" s="125" t="s">
        <v>312</v>
      </c>
      <c r="BH26" s="125" t="s">
        <v>1179</v>
      </c>
      <c r="BI26" s="125" t="s">
        <v>1180</v>
      </c>
      <c r="BJ26" s="124">
        <v>10000</v>
      </c>
      <c r="BK26" s="124">
        <v>3</v>
      </c>
      <c r="BL26" s="126">
        <v>45266</v>
      </c>
      <c r="BM26" s="126"/>
      <c r="BN26" s="124">
        <v>4.7</v>
      </c>
      <c r="BO26" s="125" t="s">
        <v>89</v>
      </c>
      <c r="BP26" s="126">
        <v>45449</v>
      </c>
      <c r="BQ26" s="125" t="s">
        <v>1181</v>
      </c>
      <c r="BR26" s="125" t="s">
        <v>1182</v>
      </c>
      <c r="BS26" s="126">
        <v>45266</v>
      </c>
      <c r="BT26" s="125" t="s">
        <v>1173</v>
      </c>
      <c r="BU26" s="126">
        <v>45266</v>
      </c>
      <c r="BV26" s="125" t="s">
        <v>554</v>
      </c>
      <c r="BW26" s="125" t="s">
        <v>89</v>
      </c>
      <c r="BX26" s="125" t="s">
        <v>303</v>
      </c>
      <c r="BY26" s="125" t="s">
        <v>303</v>
      </c>
      <c r="BZ26" s="125" t="s">
        <v>302</v>
      </c>
      <c r="CA26" s="125" t="s">
        <v>301</v>
      </c>
      <c r="CB26" s="125" t="s">
        <v>300</v>
      </c>
      <c r="CC26" s="125" t="s">
        <v>89</v>
      </c>
      <c r="CD26" s="125" t="s">
        <v>115</v>
      </c>
      <c r="CE26" s="125" t="s">
        <v>1170</v>
      </c>
      <c r="CF26" s="125" t="s">
        <v>198</v>
      </c>
      <c r="CG26" s="126"/>
      <c r="CH26" s="125" t="s">
        <v>6</v>
      </c>
      <c r="CI26" s="125" t="s">
        <v>9</v>
      </c>
      <c r="CJ26" s="125" t="s">
        <v>6</v>
      </c>
      <c r="CK26" s="125" t="s">
        <v>89</v>
      </c>
      <c r="CL26" s="126"/>
      <c r="CM26" s="124"/>
      <c r="CN26" s="125" t="s">
        <v>80</v>
      </c>
      <c r="CO26" s="125" t="s">
        <v>80</v>
      </c>
      <c r="CP26" s="125" t="s">
        <v>514</v>
      </c>
      <c r="CQ26" s="128" t="s">
        <v>1183</v>
      </c>
      <c r="CR26" s="124" t="s">
        <v>558</v>
      </c>
      <c r="CS26" s="128" t="s">
        <v>89</v>
      </c>
      <c r="CX26" t="s">
        <v>860</v>
      </c>
      <c r="CY26" t="s">
        <v>861</v>
      </c>
      <c r="CZ26" t="s">
        <v>862</v>
      </c>
      <c r="DA26" t="s">
        <v>863</v>
      </c>
      <c r="DB26" s="22" t="s">
        <v>129</v>
      </c>
      <c r="DC26" t="s">
        <v>146</v>
      </c>
      <c r="DD26" t="s">
        <v>150</v>
      </c>
      <c r="DE26" s="31">
        <v>45225</v>
      </c>
      <c r="DH26" s="2"/>
      <c r="DI26" s="2"/>
      <c r="DJ26" s="2"/>
      <c r="DK26" s="2"/>
      <c r="DL26" s="2"/>
      <c r="DM26" s="2"/>
      <c r="DR26" s="2"/>
      <c r="DS26" s="2"/>
    </row>
    <row r="27" spans="2:123" ht="15.75" x14ac:dyDescent="0.25">
      <c r="D27" s="92"/>
      <c r="E27" s="92"/>
      <c r="F27" s="92"/>
      <c r="J27" s="124">
        <v>19</v>
      </c>
      <c r="K27" s="125" t="s">
        <v>325</v>
      </c>
      <c r="L27" s="125" t="s">
        <v>1454</v>
      </c>
      <c r="M27" s="126">
        <v>45259</v>
      </c>
      <c r="N27" s="127" t="s">
        <v>1129</v>
      </c>
      <c r="O27" s="128" t="s">
        <v>89</v>
      </c>
      <c r="P27" s="128" t="s">
        <v>89</v>
      </c>
      <c r="Q27" s="128" t="s">
        <v>89</v>
      </c>
      <c r="R27" s="129"/>
      <c r="S27" s="129"/>
      <c r="T27" s="127" t="s">
        <v>89</v>
      </c>
      <c r="U27" s="127" t="s">
        <v>89</v>
      </c>
      <c r="V27" s="125" t="s">
        <v>82</v>
      </c>
      <c r="W27" s="125" t="s">
        <v>89</v>
      </c>
      <c r="X27" s="125" t="s">
        <v>89</v>
      </c>
      <c r="Y27" s="130" t="s">
        <v>89</v>
      </c>
      <c r="Z27" s="130" t="s">
        <v>89</v>
      </c>
      <c r="AA27" s="125" t="s">
        <v>1455</v>
      </c>
      <c r="AB27" s="125" t="s">
        <v>89</v>
      </c>
      <c r="AC27" s="125" t="s">
        <v>1184</v>
      </c>
      <c r="AD27" s="125" t="s">
        <v>1456</v>
      </c>
      <c r="AE27" s="125" t="s">
        <v>305</v>
      </c>
      <c r="AF27" s="125" t="s">
        <v>305</v>
      </c>
      <c r="AG27" s="125" t="s">
        <v>305</v>
      </c>
      <c r="AH27" s="124">
        <v>0.95</v>
      </c>
      <c r="AI27" s="128" t="s">
        <v>1185</v>
      </c>
      <c r="AJ27" s="124">
        <v>6</v>
      </c>
      <c r="AK27" s="126">
        <v>45541</v>
      </c>
      <c r="AL27" s="125" t="s">
        <v>106</v>
      </c>
      <c r="AM27" s="124"/>
      <c r="AN27" s="125" t="s">
        <v>89</v>
      </c>
      <c r="AO27" s="125" t="s">
        <v>328</v>
      </c>
      <c r="AP27" s="125" t="s">
        <v>89</v>
      </c>
      <c r="AQ27" s="125" t="s">
        <v>306</v>
      </c>
      <c r="AR27" s="124"/>
      <c r="AS27" s="124"/>
      <c r="AT27" s="125" t="s">
        <v>840</v>
      </c>
      <c r="AU27" s="125" t="s">
        <v>841</v>
      </c>
      <c r="AV27" s="125" t="s">
        <v>89</v>
      </c>
      <c r="AW27" s="124"/>
      <c r="AX27" s="124"/>
      <c r="AY27" s="124"/>
      <c r="AZ27" s="125" t="s">
        <v>244</v>
      </c>
      <c r="BA27" s="125" t="s">
        <v>329</v>
      </c>
      <c r="BB27" s="125" t="s">
        <v>305</v>
      </c>
      <c r="BC27" s="125" t="s">
        <v>89</v>
      </c>
      <c r="BD27" s="125" t="s">
        <v>81</v>
      </c>
      <c r="BE27" s="125" t="s">
        <v>1457</v>
      </c>
      <c r="BF27" s="125" t="s">
        <v>304</v>
      </c>
      <c r="BG27" s="125" t="s">
        <v>312</v>
      </c>
      <c r="BH27" s="125" t="s">
        <v>89</v>
      </c>
      <c r="BI27" s="125" t="s">
        <v>1186</v>
      </c>
      <c r="BJ27" s="124">
        <v>1000</v>
      </c>
      <c r="BK27" s="124">
        <v>0.95</v>
      </c>
      <c r="BL27" s="126">
        <v>45266</v>
      </c>
      <c r="BM27" s="126"/>
      <c r="BN27" s="124">
        <v>6</v>
      </c>
      <c r="BO27" s="125" t="s">
        <v>89</v>
      </c>
      <c r="BP27" s="126">
        <v>45541</v>
      </c>
      <c r="BQ27" s="125" t="s">
        <v>1187</v>
      </c>
      <c r="BR27" s="125" t="s">
        <v>325</v>
      </c>
      <c r="BS27" s="126">
        <v>45266</v>
      </c>
      <c r="BT27" s="125" t="s">
        <v>89</v>
      </c>
      <c r="BU27" s="126">
        <v>45266</v>
      </c>
      <c r="BV27" s="125" t="s">
        <v>89</v>
      </c>
      <c r="BW27" s="125" t="s">
        <v>1455</v>
      </c>
      <c r="BX27" s="125" t="s">
        <v>303</v>
      </c>
      <c r="BY27" s="125" t="s">
        <v>303</v>
      </c>
      <c r="BZ27" s="125" t="s">
        <v>302</v>
      </c>
      <c r="CA27" s="125" t="s">
        <v>301</v>
      </c>
      <c r="CB27" s="125" t="s">
        <v>300</v>
      </c>
      <c r="CC27" s="125" t="s">
        <v>89</v>
      </c>
      <c r="CD27" s="125" t="s">
        <v>89</v>
      </c>
      <c r="CE27" s="125" t="s">
        <v>89</v>
      </c>
      <c r="CF27" s="125" t="s">
        <v>198</v>
      </c>
      <c r="CG27" s="126"/>
      <c r="CH27" s="125" t="s">
        <v>6</v>
      </c>
      <c r="CI27" s="125" t="s">
        <v>125</v>
      </c>
      <c r="CJ27" s="125" t="s">
        <v>6</v>
      </c>
      <c r="CK27" s="125" t="s">
        <v>89</v>
      </c>
      <c r="CL27" s="126"/>
      <c r="CM27" s="124"/>
      <c r="CN27" s="125" t="s">
        <v>80</v>
      </c>
      <c r="CO27" s="125" t="s">
        <v>623</v>
      </c>
      <c r="CP27" s="125" t="s">
        <v>514</v>
      </c>
      <c r="CQ27" s="128" t="s">
        <v>1458</v>
      </c>
      <c r="CR27" s="124" t="s">
        <v>558</v>
      </c>
      <c r="CS27" s="128" t="s">
        <v>89</v>
      </c>
      <c r="CX27" t="s">
        <v>864</v>
      </c>
      <c r="CY27" t="s">
        <v>865</v>
      </c>
      <c r="CZ27" t="s">
        <v>866</v>
      </c>
      <c r="DA27" t="s">
        <v>867</v>
      </c>
      <c r="DB27" s="22" t="s">
        <v>129</v>
      </c>
      <c r="DC27" t="s">
        <v>146</v>
      </c>
      <c r="DD27" t="s">
        <v>150</v>
      </c>
      <c r="DE27" s="31">
        <v>45219</v>
      </c>
      <c r="DF27" s="2"/>
      <c r="DI27" s="2"/>
      <c r="DJ27" s="2"/>
      <c r="DK27" s="2"/>
      <c r="DL27" s="2"/>
      <c r="DM27" s="2"/>
      <c r="DR27" s="2"/>
      <c r="DS27" s="2"/>
    </row>
    <row r="28" spans="2:123" ht="105" x14ac:dyDescent="0.25">
      <c r="D28" s="92"/>
      <c r="E28" s="92"/>
      <c r="F28" s="92"/>
      <c r="J28" s="124">
        <v>18</v>
      </c>
      <c r="K28" s="125" t="s">
        <v>1188</v>
      </c>
      <c r="L28" s="125" t="s">
        <v>1189</v>
      </c>
      <c r="M28" s="126">
        <v>45259</v>
      </c>
      <c r="N28" s="127" t="s">
        <v>253</v>
      </c>
      <c r="O28" s="128" t="s">
        <v>1190</v>
      </c>
      <c r="P28" s="128" t="s">
        <v>1191</v>
      </c>
      <c r="Q28" s="128" t="s">
        <v>1206</v>
      </c>
      <c r="R28" s="129">
        <v>9</v>
      </c>
      <c r="S28" s="129">
        <v>78</v>
      </c>
      <c r="T28" s="127" t="s">
        <v>1192</v>
      </c>
      <c r="U28" s="127" t="s">
        <v>1193</v>
      </c>
      <c r="V28" s="125" t="s">
        <v>82</v>
      </c>
      <c r="W28" s="125" t="s">
        <v>253</v>
      </c>
      <c r="X28" s="125" t="s">
        <v>89</v>
      </c>
      <c r="Y28" s="130" t="s">
        <v>1194</v>
      </c>
      <c r="Z28" s="130" t="s">
        <v>1195</v>
      </c>
      <c r="AA28" s="125" t="s">
        <v>1196</v>
      </c>
      <c r="AB28" s="125" t="s">
        <v>89</v>
      </c>
      <c r="AC28" s="125" t="s">
        <v>1197</v>
      </c>
      <c r="AD28" s="125" t="s">
        <v>1198</v>
      </c>
      <c r="AE28" s="125" t="s">
        <v>1199</v>
      </c>
      <c r="AF28" s="125" t="s">
        <v>1200</v>
      </c>
      <c r="AG28" s="125" t="s">
        <v>305</v>
      </c>
      <c r="AH28" s="124">
        <v>1.87</v>
      </c>
      <c r="AI28" s="128" t="s">
        <v>310</v>
      </c>
      <c r="AJ28" s="124">
        <v>6.125</v>
      </c>
      <c r="AK28" s="126">
        <v>46361</v>
      </c>
      <c r="AL28" s="125" t="s">
        <v>309</v>
      </c>
      <c r="AM28" s="124">
        <v>50</v>
      </c>
      <c r="AN28" s="125" t="s">
        <v>308</v>
      </c>
      <c r="AO28" s="125" t="s">
        <v>328</v>
      </c>
      <c r="AP28" s="125" t="s">
        <v>89</v>
      </c>
      <c r="AQ28" s="125" t="s">
        <v>306</v>
      </c>
      <c r="AR28" s="124">
        <v>100</v>
      </c>
      <c r="AS28" s="124"/>
      <c r="AT28" s="125" t="s">
        <v>1201</v>
      </c>
      <c r="AU28" s="125" t="s">
        <v>1202</v>
      </c>
      <c r="AV28" s="125" t="s">
        <v>89</v>
      </c>
      <c r="AW28" s="124"/>
      <c r="AX28" s="124">
        <v>0.98</v>
      </c>
      <c r="AY28" s="124">
        <v>0.18</v>
      </c>
      <c r="AZ28" s="125" t="s">
        <v>244</v>
      </c>
      <c r="BA28" s="125" t="s">
        <v>329</v>
      </c>
      <c r="BB28" s="125" t="s">
        <v>305</v>
      </c>
      <c r="BC28" s="125" t="s">
        <v>315</v>
      </c>
      <c r="BD28" s="125" t="s">
        <v>81</v>
      </c>
      <c r="BE28" s="125" t="s">
        <v>1459</v>
      </c>
      <c r="BF28" s="125" t="s">
        <v>622</v>
      </c>
      <c r="BG28" s="125" t="s">
        <v>311</v>
      </c>
      <c r="BH28" s="125" t="s">
        <v>1203</v>
      </c>
      <c r="BI28" s="125" t="s">
        <v>1204</v>
      </c>
      <c r="BJ28" s="124">
        <v>1000</v>
      </c>
      <c r="BK28" s="124">
        <v>1.87</v>
      </c>
      <c r="BL28" s="126">
        <v>45265</v>
      </c>
      <c r="BM28" s="126">
        <v>46361</v>
      </c>
      <c r="BN28" s="124">
        <v>6.125</v>
      </c>
      <c r="BO28" s="125" t="s">
        <v>89</v>
      </c>
      <c r="BP28" s="126">
        <v>45448</v>
      </c>
      <c r="BQ28" s="125" t="s">
        <v>1205</v>
      </c>
      <c r="BR28" s="125" t="s">
        <v>1188</v>
      </c>
      <c r="BS28" s="126">
        <v>45265</v>
      </c>
      <c r="BT28" s="125" t="s">
        <v>1206</v>
      </c>
      <c r="BU28" s="126">
        <v>45265</v>
      </c>
      <c r="BV28" s="125" t="s">
        <v>89</v>
      </c>
      <c r="BW28" s="125" t="s">
        <v>1207</v>
      </c>
      <c r="BX28" s="125" t="s">
        <v>303</v>
      </c>
      <c r="BY28" s="125" t="s">
        <v>303</v>
      </c>
      <c r="BZ28" s="125" t="s">
        <v>1130</v>
      </c>
      <c r="CA28" s="125" t="s">
        <v>301</v>
      </c>
      <c r="CB28" s="125" t="s">
        <v>836</v>
      </c>
      <c r="CC28" s="125" t="s">
        <v>89</v>
      </c>
      <c r="CD28" s="125" t="s">
        <v>115</v>
      </c>
      <c r="CE28" s="125" t="s">
        <v>89</v>
      </c>
      <c r="CF28" s="125" t="s">
        <v>198</v>
      </c>
      <c r="CG28" s="126"/>
      <c r="CH28" s="125" t="s">
        <v>6</v>
      </c>
      <c r="CI28" s="125" t="s">
        <v>12</v>
      </c>
      <c r="CJ28" s="125" t="s">
        <v>6</v>
      </c>
      <c r="CK28" s="125" t="s">
        <v>89</v>
      </c>
      <c r="CL28" s="126"/>
      <c r="CM28" s="124"/>
      <c r="CN28" s="125" t="s">
        <v>80</v>
      </c>
      <c r="CO28" s="125" t="s">
        <v>1208</v>
      </c>
      <c r="CP28" s="125" t="s">
        <v>514</v>
      </c>
      <c r="CQ28" s="128" t="s">
        <v>1209</v>
      </c>
      <c r="CR28" s="124" t="s">
        <v>1210</v>
      </c>
      <c r="CS28" s="128" t="s">
        <v>89</v>
      </c>
      <c r="CX28" t="s">
        <v>868</v>
      </c>
      <c r="CY28" t="s">
        <v>869</v>
      </c>
      <c r="CZ28" t="s">
        <v>870</v>
      </c>
      <c r="DA28" t="s">
        <v>871</v>
      </c>
      <c r="DB28" s="22" t="s">
        <v>130</v>
      </c>
      <c r="DC28" t="s">
        <v>149</v>
      </c>
      <c r="DD28" t="s">
        <v>150</v>
      </c>
      <c r="DE28" s="31">
        <v>45217</v>
      </c>
      <c r="DF28" s="2"/>
      <c r="DG28" s="2"/>
      <c r="DH28" s="2"/>
      <c r="DI28" s="2"/>
      <c r="DL28" s="2"/>
      <c r="DM28" s="2"/>
      <c r="DR28" s="2"/>
      <c r="DS28" s="2"/>
    </row>
    <row r="29" spans="2:123" ht="15" x14ac:dyDescent="0.25">
      <c r="J29" s="124">
        <v>17</v>
      </c>
      <c r="K29" s="125" t="s">
        <v>337</v>
      </c>
      <c r="L29" s="125" t="s">
        <v>1460</v>
      </c>
      <c r="M29" s="126">
        <v>45259</v>
      </c>
      <c r="N29" s="127" t="s">
        <v>1129</v>
      </c>
      <c r="O29" s="128" t="s">
        <v>89</v>
      </c>
      <c r="P29" s="128" t="s">
        <v>89</v>
      </c>
      <c r="Q29" s="128" t="s">
        <v>89</v>
      </c>
      <c r="R29" s="129"/>
      <c r="S29" s="129"/>
      <c r="T29" s="127" t="s">
        <v>89</v>
      </c>
      <c r="U29" s="127" t="s">
        <v>89</v>
      </c>
      <c r="V29" s="125" t="s">
        <v>82</v>
      </c>
      <c r="W29" s="125" t="s">
        <v>89</v>
      </c>
      <c r="X29" s="125" t="s">
        <v>89</v>
      </c>
      <c r="Y29" s="130" t="s">
        <v>89</v>
      </c>
      <c r="Z29" s="130" t="s">
        <v>89</v>
      </c>
      <c r="AA29" s="125" t="s">
        <v>1461</v>
      </c>
      <c r="AB29" s="125" t="s">
        <v>89</v>
      </c>
      <c r="AC29" s="125" t="s">
        <v>1462</v>
      </c>
      <c r="AD29" s="125" t="s">
        <v>1463</v>
      </c>
      <c r="AE29" s="125" t="s">
        <v>1464</v>
      </c>
      <c r="AF29" s="125" t="s">
        <v>563</v>
      </c>
      <c r="AG29" s="125" t="s">
        <v>305</v>
      </c>
      <c r="AH29" s="124">
        <v>2.5999999999999999E-2</v>
      </c>
      <c r="AI29" s="128" t="s">
        <v>1465</v>
      </c>
      <c r="AJ29" s="124">
        <v>5.57</v>
      </c>
      <c r="AK29" s="126">
        <v>45357</v>
      </c>
      <c r="AL29" s="125" t="s">
        <v>106</v>
      </c>
      <c r="AM29" s="124"/>
      <c r="AN29" s="125" t="s">
        <v>89</v>
      </c>
      <c r="AO29" s="125" t="s">
        <v>328</v>
      </c>
      <c r="AP29" s="125" t="s">
        <v>89</v>
      </c>
      <c r="AQ29" s="125" t="s">
        <v>306</v>
      </c>
      <c r="AR29" s="124">
        <v>100</v>
      </c>
      <c r="AS29" s="124"/>
      <c r="AT29" s="125" t="s">
        <v>840</v>
      </c>
      <c r="AU29" s="125" t="s">
        <v>841</v>
      </c>
      <c r="AV29" s="125" t="s">
        <v>89</v>
      </c>
      <c r="AW29" s="124"/>
      <c r="AX29" s="124"/>
      <c r="AY29" s="124"/>
      <c r="AZ29" s="125" t="s">
        <v>244</v>
      </c>
      <c r="BA29" s="125" t="s">
        <v>600</v>
      </c>
      <c r="BB29" s="125" t="s">
        <v>305</v>
      </c>
      <c r="BC29" s="125" t="s">
        <v>89</v>
      </c>
      <c r="BD29" s="125" t="s">
        <v>81</v>
      </c>
      <c r="BE29" s="125" t="s">
        <v>1466</v>
      </c>
      <c r="BF29" s="125" t="s">
        <v>622</v>
      </c>
      <c r="BG29" s="125" t="s">
        <v>311</v>
      </c>
      <c r="BH29" s="125" t="s">
        <v>89</v>
      </c>
      <c r="BI29" s="125" t="s">
        <v>1467</v>
      </c>
      <c r="BJ29" s="124">
        <v>1000</v>
      </c>
      <c r="BK29" s="124">
        <v>2.5999999999999999E-2</v>
      </c>
      <c r="BL29" s="126">
        <v>45266</v>
      </c>
      <c r="BM29" s="126"/>
      <c r="BN29" s="124">
        <v>5.57</v>
      </c>
      <c r="BO29" s="125" t="s">
        <v>89</v>
      </c>
      <c r="BP29" s="126">
        <v>45357</v>
      </c>
      <c r="BQ29" s="125" t="s">
        <v>1468</v>
      </c>
      <c r="BR29" s="125" t="s">
        <v>337</v>
      </c>
      <c r="BS29" s="126">
        <v>45266</v>
      </c>
      <c r="BT29" s="125" t="s">
        <v>89</v>
      </c>
      <c r="BU29" s="126">
        <v>45266</v>
      </c>
      <c r="BV29" s="125" t="s">
        <v>89</v>
      </c>
      <c r="BW29" s="125" t="s">
        <v>1461</v>
      </c>
      <c r="BX29" s="125" t="s">
        <v>303</v>
      </c>
      <c r="BY29" s="125" t="s">
        <v>303</v>
      </c>
      <c r="BZ29" s="125" t="s">
        <v>302</v>
      </c>
      <c r="CA29" s="125" t="s">
        <v>301</v>
      </c>
      <c r="CB29" s="125" t="s">
        <v>300</v>
      </c>
      <c r="CC29" s="125" t="s">
        <v>89</v>
      </c>
      <c r="CD29" s="125" t="s">
        <v>89</v>
      </c>
      <c r="CE29" s="125" t="s">
        <v>89</v>
      </c>
      <c r="CF29" s="125" t="s">
        <v>198</v>
      </c>
      <c r="CG29" s="126"/>
      <c r="CH29" s="125" t="s">
        <v>6</v>
      </c>
      <c r="CI29" s="125" t="s">
        <v>125</v>
      </c>
      <c r="CJ29" s="125" t="s">
        <v>6</v>
      </c>
      <c r="CK29" s="125" t="s">
        <v>89</v>
      </c>
      <c r="CL29" s="126"/>
      <c r="CM29" s="124"/>
      <c r="CN29" s="125" t="s">
        <v>80</v>
      </c>
      <c r="CO29" s="125" t="s">
        <v>1469</v>
      </c>
      <c r="CP29" s="125" t="s">
        <v>514</v>
      </c>
      <c r="CQ29" s="128" t="s">
        <v>1470</v>
      </c>
      <c r="CR29" s="124" t="s">
        <v>558</v>
      </c>
      <c r="CS29" s="128" t="s">
        <v>89</v>
      </c>
      <c r="CX29" t="s">
        <v>872</v>
      </c>
      <c r="CY29" t="s">
        <v>873</v>
      </c>
      <c r="CZ29" t="s">
        <v>874</v>
      </c>
      <c r="DA29" t="s">
        <v>875</v>
      </c>
      <c r="DB29" s="22" t="s">
        <v>129</v>
      </c>
      <c r="DC29" t="s">
        <v>146</v>
      </c>
      <c r="DD29" t="s">
        <v>150</v>
      </c>
      <c r="DE29" s="31">
        <v>45212</v>
      </c>
      <c r="DK29" s="2"/>
      <c r="DL29" s="2"/>
      <c r="DM29" s="2"/>
      <c r="DO29" s="1"/>
      <c r="DP29" s="1"/>
      <c r="DR29" s="2"/>
      <c r="DS29" s="2"/>
    </row>
    <row r="30" spans="2:123" ht="15" x14ac:dyDescent="0.25">
      <c r="J30" s="124">
        <v>16</v>
      </c>
      <c r="K30" s="125" t="s">
        <v>1145</v>
      </c>
      <c r="L30" s="125" t="s">
        <v>1211</v>
      </c>
      <c r="M30" s="126">
        <v>45258</v>
      </c>
      <c r="N30" s="127" t="s">
        <v>1172</v>
      </c>
      <c r="O30" s="128" t="s">
        <v>89</v>
      </c>
      <c r="P30" s="128" t="s">
        <v>89</v>
      </c>
      <c r="Q30" s="128" t="s">
        <v>89</v>
      </c>
      <c r="R30" s="129"/>
      <c r="S30" s="129"/>
      <c r="T30" s="127" t="s">
        <v>89</v>
      </c>
      <c r="U30" s="127" t="s">
        <v>89</v>
      </c>
      <c r="V30" s="125" t="s">
        <v>103</v>
      </c>
      <c r="W30" s="125" t="s">
        <v>89</v>
      </c>
      <c r="X30" s="125" t="s">
        <v>89</v>
      </c>
      <c r="Y30" s="130" t="s">
        <v>89</v>
      </c>
      <c r="Z30" s="130" t="s">
        <v>89</v>
      </c>
      <c r="AA30" s="125" t="s">
        <v>89</v>
      </c>
      <c r="AB30" s="125" t="s">
        <v>89</v>
      </c>
      <c r="AC30" s="125" t="s">
        <v>1212</v>
      </c>
      <c r="AD30" s="125" t="s">
        <v>1213</v>
      </c>
      <c r="AE30" s="125" t="s">
        <v>305</v>
      </c>
      <c r="AF30" s="125" t="s">
        <v>305</v>
      </c>
      <c r="AG30" s="125" t="s">
        <v>305</v>
      </c>
      <c r="AH30" s="124">
        <v>3</v>
      </c>
      <c r="AI30" s="128" t="s">
        <v>1152</v>
      </c>
      <c r="AJ30" s="124">
        <v>9</v>
      </c>
      <c r="AK30" s="126">
        <v>45992</v>
      </c>
      <c r="AL30" s="125" t="s">
        <v>106</v>
      </c>
      <c r="AM30" s="124"/>
      <c r="AN30" s="125" t="s">
        <v>308</v>
      </c>
      <c r="AO30" s="125" t="s">
        <v>328</v>
      </c>
      <c r="AP30" s="125" t="s">
        <v>89</v>
      </c>
      <c r="AQ30" s="125" t="s">
        <v>306</v>
      </c>
      <c r="AR30" s="124">
        <v>100</v>
      </c>
      <c r="AS30" s="124"/>
      <c r="AT30" s="125" t="s">
        <v>581</v>
      </c>
      <c r="AU30" s="125" t="s">
        <v>1153</v>
      </c>
      <c r="AV30" s="125" t="s">
        <v>89</v>
      </c>
      <c r="AW30" s="124"/>
      <c r="AX30" s="124"/>
      <c r="AY30" s="124"/>
      <c r="AZ30" s="125" t="s">
        <v>244</v>
      </c>
      <c r="BA30" s="125" t="s">
        <v>329</v>
      </c>
      <c r="BB30" s="125" t="s">
        <v>305</v>
      </c>
      <c r="BC30" s="125" t="s">
        <v>570</v>
      </c>
      <c r="BD30" s="125" t="s">
        <v>1</v>
      </c>
      <c r="BE30" s="125" t="s">
        <v>1471</v>
      </c>
      <c r="BF30" s="125" t="s">
        <v>620</v>
      </c>
      <c r="BG30" s="125" t="s">
        <v>312</v>
      </c>
      <c r="BH30" s="125" t="s">
        <v>89</v>
      </c>
      <c r="BI30" s="125" t="s">
        <v>1155</v>
      </c>
      <c r="BJ30" s="124">
        <v>10000</v>
      </c>
      <c r="BK30" s="124">
        <v>3</v>
      </c>
      <c r="BL30" s="126">
        <v>45261</v>
      </c>
      <c r="BM30" s="126"/>
      <c r="BN30" s="124">
        <v>9</v>
      </c>
      <c r="BO30" s="125" t="s">
        <v>89</v>
      </c>
      <c r="BP30" s="126">
        <v>45444</v>
      </c>
      <c r="BQ30" s="125" t="s">
        <v>1156</v>
      </c>
      <c r="BR30" s="125" t="s">
        <v>1145</v>
      </c>
      <c r="BS30" s="126">
        <v>45261</v>
      </c>
      <c r="BT30" s="125" t="s">
        <v>89</v>
      </c>
      <c r="BU30" s="126">
        <v>45261</v>
      </c>
      <c r="BV30" s="125" t="s">
        <v>89</v>
      </c>
      <c r="BW30" s="125" t="s">
        <v>89</v>
      </c>
      <c r="BX30" s="125" t="s">
        <v>303</v>
      </c>
      <c r="BY30" s="125" t="s">
        <v>303</v>
      </c>
      <c r="BZ30" s="125" t="s">
        <v>302</v>
      </c>
      <c r="CA30" s="125" t="s">
        <v>301</v>
      </c>
      <c r="CB30" s="125" t="s">
        <v>300</v>
      </c>
      <c r="CC30" s="125" t="s">
        <v>89</v>
      </c>
      <c r="CD30" s="125" t="s">
        <v>115</v>
      </c>
      <c r="CE30" s="125" t="s">
        <v>89</v>
      </c>
      <c r="CF30" s="125" t="s">
        <v>198</v>
      </c>
      <c r="CG30" s="126"/>
      <c r="CH30" s="125" t="s">
        <v>6</v>
      </c>
      <c r="CI30" s="125" t="s">
        <v>9</v>
      </c>
      <c r="CJ30" s="125" t="s">
        <v>6</v>
      </c>
      <c r="CK30" s="125" t="s">
        <v>89</v>
      </c>
      <c r="CL30" s="126"/>
      <c r="CM30" s="124"/>
      <c r="CN30" s="125" t="s">
        <v>80</v>
      </c>
      <c r="CO30" s="125" t="s">
        <v>80</v>
      </c>
      <c r="CP30" s="125" t="s">
        <v>514</v>
      </c>
      <c r="CQ30" s="128" t="s">
        <v>1215</v>
      </c>
      <c r="CR30" s="124" t="s">
        <v>203</v>
      </c>
      <c r="CS30" s="128" t="s">
        <v>89</v>
      </c>
      <c r="CX30" t="s">
        <v>876</v>
      </c>
      <c r="CY30" t="s">
        <v>877</v>
      </c>
      <c r="CZ30" t="s">
        <v>878</v>
      </c>
      <c r="DA30" t="s">
        <v>879</v>
      </c>
      <c r="DB30" s="22" t="s">
        <v>129</v>
      </c>
      <c r="DC30" t="s">
        <v>146</v>
      </c>
      <c r="DD30" t="s">
        <v>157</v>
      </c>
      <c r="DE30" s="31">
        <v>45197</v>
      </c>
      <c r="DL30" s="2"/>
      <c r="DM30" s="2"/>
      <c r="DP30" s="1"/>
      <c r="DQ30" s="1"/>
      <c r="DR30" s="2"/>
      <c r="DS30" s="2"/>
    </row>
    <row r="31" spans="2:123" ht="15" x14ac:dyDescent="0.25">
      <c r="J31" s="124">
        <v>15</v>
      </c>
      <c r="K31" s="125" t="s">
        <v>632</v>
      </c>
      <c r="L31" s="125" t="s">
        <v>1486</v>
      </c>
      <c r="M31" s="126">
        <v>45258</v>
      </c>
      <c r="N31" s="127" t="s">
        <v>1129</v>
      </c>
      <c r="O31" s="128" t="s">
        <v>89</v>
      </c>
      <c r="P31" s="128" t="s">
        <v>89</v>
      </c>
      <c r="Q31" s="128" t="s">
        <v>89</v>
      </c>
      <c r="R31" s="129"/>
      <c r="S31" s="129"/>
      <c r="T31" s="127" t="s">
        <v>89</v>
      </c>
      <c r="U31" s="127" t="s">
        <v>89</v>
      </c>
      <c r="V31" s="125" t="s">
        <v>82</v>
      </c>
      <c r="W31" s="125" t="s">
        <v>89</v>
      </c>
      <c r="X31" s="125" t="s">
        <v>89</v>
      </c>
      <c r="Y31" s="130" t="s">
        <v>89</v>
      </c>
      <c r="Z31" s="130" t="s">
        <v>89</v>
      </c>
      <c r="AA31" s="125" t="s">
        <v>89</v>
      </c>
      <c r="AB31" s="125" t="s">
        <v>89</v>
      </c>
      <c r="AC31" s="125" t="s">
        <v>1473</v>
      </c>
      <c r="AD31" s="125" t="s">
        <v>1474</v>
      </c>
      <c r="AE31" s="125" t="s">
        <v>562</v>
      </c>
      <c r="AF31" s="125" t="s">
        <v>563</v>
      </c>
      <c r="AG31" s="125" t="s">
        <v>305</v>
      </c>
      <c r="AH31" s="124">
        <v>2.9000000000000001E-2</v>
      </c>
      <c r="AI31" s="128" t="s">
        <v>1475</v>
      </c>
      <c r="AJ31" s="124">
        <v>6</v>
      </c>
      <c r="AK31" s="126">
        <v>47092</v>
      </c>
      <c r="AL31" s="125" t="s">
        <v>106</v>
      </c>
      <c r="AM31" s="124"/>
      <c r="AN31" s="125" t="s">
        <v>308</v>
      </c>
      <c r="AO31" s="125" t="s">
        <v>307</v>
      </c>
      <c r="AP31" s="125" t="s">
        <v>89</v>
      </c>
      <c r="AQ31" s="125" t="s">
        <v>306</v>
      </c>
      <c r="AR31" s="124">
        <v>100.53100000000001</v>
      </c>
      <c r="AS31" s="124"/>
      <c r="AT31" s="125" t="s">
        <v>314</v>
      </c>
      <c r="AU31" s="125" t="s">
        <v>789</v>
      </c>
      <c r="AV31" s="125" t="s">
        <v>89</v>
      </c>
      <c r="AW31" s="124"/>
      <c r="AX31" s="124"/>
      <c r="AY31" s="124"/>
      <c r="AZ31" s="125" t="s">
        <v>244</v>
      </c>
      <c r="BA31" s="125" t="s">
        <v>290</v>
      </c>
      <c r="BB31" s="125" t="s">
        <v>305</v>
      </c>
      <c r="BC31" s="125" t="s">
        <v>315</v>
      </c>
      <c r="BD31" s="125" t="s">
        <v>81</v>
      </c>
      <c r="BE31" s="125" t="s">
        <v>1476</v>
      </c>
      <c r="BF31" s="125" t="s">
        <v>564</v>
      </c>
      <c r="BG31" s="125" t="s">
        <v>311</v>
      </c>
      <c r="BH31" s="125" t="s">
        <v>89</v>
      </c>
      <c r="BI31" s="125" t="s">
        <v>1477</v>
      </c>
      <c r="BJ31" s="124">
        <v>1000</v>
      </c>
      <c r="BK31" s="124">
        <v>2.9000000000000001E-2</v>
      </c>
      <c r="BL31" s="126">
        <v>45265</v>
      </c>
      <c r="BM31" s="126"/>
      <c r="BN31" s="124">
        <v>6</v>
      </c>
      <c r="BO31" s="125" t="s">
        <v>89</v>
      </c>
      <c r="BP31" s="126">
        <v>45448</v>
      </c>
      <c r="BQ31" s="125" t="s">
        <v>1478</v>
      </c>
      <c r="BR31" s="125" t="s">
        <v>89</v>
      </c>
      <c r="BS31" s="126">
        <v>45265</v>
      </c>
      <c r="BT31" s="125" t="s">
        <v>89</v>
      </c>
      <c r="BU31" s="126">
        <v>45265</v>
      </c>
      <c r="BV31" s="125" t="s">
        <v>89</v>
      </c>
      <c r="BW31" s="125" t="s">
        <v>89</v>
      </c>
      <c r="BX31" s="125" t="s">
        <v>303</v>
      </c>
      <c r="BY31" s="125" t="s">
        <v>303</v>
      </c>
      <c r="BZ31" s="125" t="s">
        <v>302</v>
      </c>
      <c r="CA31" s="125" t="s">
        <v>301</v>
      </c>
      <c r="CB31" s="125" t="s">
        <v>836</v>
      </c>
      <c r="CC31" s="125" t="s">
        <v>89</v>
      </c>
      <c r="CD31" s="125" t="s">
        <v>115</v>
      </c>
      <c r="CE31" s="125" t="s">
        <v>89</v>
      </c>
      <c r="CF31" s="125" t="s">
        <v>198</v>
      </c>
      <c r="CG31" s="126"/>
      <c r="CH31" s="125" t="s">
        <v>6</v>
      </c>
      <c r="CI31" s="125" t="s">
        <v>11</v>
      </c>
      <c r="CJ31" s="125" t="s">
        <v>6</v>
      </c>
      <c r="CK31" s="125" t="s">
        <v>89</v>
      </c>
      <c r="CL31" s="126"/>
      <c r="CM31" s="124"/>
      <c r="CN31" s="125" t="s">
        <v>80</v>
      </c>
      <c r="CO31" s="125" t="s">
        <v>291</v>
      </c>
      <c r="CP31" s="125" t="s">
        <v>514</v>
      </c>
      <c r="CQ31" s="128" t="s">
        <v>1487</v>
      </c>
      <c r="CR31" s="124" t="s">
        <v>203</v>
      </c>
      <c r="CS31" s="128" t="s">
        <v>89</v>
      </c>
      <c r="CX31" t="s">
        <v>880</v>
      </c>
      <c r="CY31" t="s">
        <v>881</v>
      </c>
      <c r="CZ31" t="s">
        <v>882</v>
      </c>
      <c r="DA31" t="s">
        <v>883</v>
      </c>
      <c r="DB31" s="22" t="s">
        <v>129</v>
      </c>
      <c r="DC31" t="s">
        <v>146</v>
      </c>
      <c r="DD31" t="s">
        <v>157</v>
      </c>
      <c r="DE31" s="31">
        <v>45197</v>
      </c>
      <c r="DL31" s="2"/>
      <c r="DM31" s="2"/>
      <c r="DP31" s="1"/>
      <c r="DQ31" s="1"/>
      <c r="DR31" s="2"/>
      <c r="DS31" s="2"/>
    </row>
    <row r="32" spans="2:123" ht="15" x14ac:dyDescent="0.25">
      <c r="J32" s="124">
        <v>14</v>
      </c>
      <c r="K32" s="125" t="s">
        <v>632</v>
      </c>
      <c r="L32" s="125" t="s">
        <v>1480</v>
      </c>
      <c r="M32" s="126">
        <v>45258</v>
      </c>
      <c r="N32" s="127" t="s">
        <v>1129</v>
      </c>
      <c r="O32" s="128" t="s">
        <v>89</v>
      </c>
      <c r="P32" s="128" t="s">
        <v>89</v>
      </c>
      <c r="Q32" s="128" t="s">
        <v>89</v>
      </c>
      <c r="R32" s="129"/>
      <c r="S32" s="129"/>
      <c r="T32" s="127" t="s">
        <v>89</v>
      </c>
      <c r="U32" s="127" t="s">
        <v>89</v>
      </c>
      <c r="V32" s="125" t="s">
        <v>82</v>
      </c>
      <c r="W32" s="125" t="s">
        <v>89</v>
      </c>
      <c r="X32" s="125" t="s">
        <v>89</v>
      </c>
      <c r="Y32" s="130" t="s">
        <v>89</v>
      </c>
      <c r="Z32" s="130" t="s">
        <v>89</v>
      </c>
      <c r="AA32" s="125" t="s">
        <v>89</v>
      </c>
      <c r="AB32" s="125" t="s">
        <v>89</v>
      </c>
      <c r="AC32" s="125" t="s">
        <v>1481</v>
      </c>
      <c r="AD32" s="125" t="s">
        <v>1482</v>
      </c>
      <c r="AE32" s="125" t="s">
        <v>562</v>
      </c>
      <c r="AF32" s="125" t="s">
        <v>563</v>
      </c>
      <c r="AG32" s="125" t="s">
        <v>305</v>
      </c>
      <c r="AH32" s="124">
        <v>2.9000000000000001E-2</v>
      </c>
      <c r="AI32" s="128" t="s">
        <v>1475</v>
      </c>
      <c r="AJ32" s="124"/>
      <c r="AK32" s="126">
        <v>47092</v>
      </c>
      <c r="AL32" s="125" t="s">
        <v>106</v>
      </c>
      <c r="AM32" s="124"/>
      <c r="AN32" s="125" t="s">
        <v>308</v>
      </c>
      <c r="AO32" s="125" t="s">
        <v>307</v>
      </c>
      <c r="AP32" s="125" t="s">
        <v>89</v>
      </c>
      <c r="AQ32" s="125" t="s">
        <v>306</v>
      </c>
      <c r="AR32" s="124">
        <v>100.53100000000001</v>
      </c>
      <c r="AS32" s="124"/>
      <c r="AT32" s="125" t="s">
        <v>314</v>
      </c>
      <c r="AU32" s="125" t="s">
        <v>789</v>
      </c>
      <c r="AV32" s="125" t="s">
        <v>89</v>
      </c>
      <c r="AW32" s="124"/>
      <c r="AX32" s="124"/>
      <c r="AY32" s="124"/>
      <c r="AZ32" s="125" t="s">
        <v>244</v>
      </c>
      <c r="BA32" s="125" t="s">
        <v>290</v>
      </c>
      <c r="BB32" s="125" t="s">
        <v>305</v>
      </c>
      <c r="BC32" s="125" t="s">
        <v>315</v>
      </c>
      <c r="BD32" s="125" t="s">
        <v>81</v>
      </c>
      <c r="BE32" s="125" t="s">
        <v>1476</v>
      </c>
      <c r="BF32" s="125" t="s">
        <v>564</v>
      </c>
      <c r="BG32" s="125" t="s">
        <v>311</v>
      </c>
      <c r="BH32" s="125" t="s">
        <v>89</v>
      </c>
      <c r="BI32" s="125" t="s">
        <v>1477</v>
      </c>
      <c r="BJ32" s="124">
        <v>1000</v>
      </c>
      <c r="BK32" s="124">
        <v>2.9000000000000001E-2</v>
      </c>
      <c r="BL32" s="126">
        <v>45265</v>
      </c>
      <c r="BM32" s="126"/>
      <c r="BN32" s="124">
        <v>0</v>
      </c>
      <c r="BO32" s="125" t="s">
        <v>89</v>
      </c>
      <c r="BP32" s="126">
        <v>45448</v>
      </c>
      <c r="BQ32" s="125" t="s">
        <v>1478</v>
      </c>
      <c r="BR32" s="125" t="s">
        <v>89</v>
      </c>
      <c r="BS32" s="126">
        <v>45265</v>
      </c>
      <c r="BT32" s="125" t="s">
        <v>89</v>
      </c>
      <c r="BU32" s="126">
        <v>45265</v>
      </c>
      <c r="BV32" s="125" t="s">
        <v>89</v>
      </c>
      <c r="BW32" s="125" t="s">
        <v>89</v>
      </c>
      <c r="BX32" s="125" t="s">
        <v>303</v>
      </c>
      <c r="BY32" s="125" t="s">
        <v>303</v>
      </c>
      <c r="BZ32" s="125" t="s">
        <v>1130</v>
      </c>
      <c r="CA32" s="125" t="s">
        <v>301</v>
      </c>
      <c r="CB32" s="125" t="s">
        <v>836</v>
      </c>
      <c r="CC32" s="125" t="s">
        <v>89</v>
      </c>
      <c r="CD32" s="125" t="s">
        <v>115</v>
      </c>
      <c r="CE32" s="125" t="s">
        <v>89</v>
      </c>
      <c r="CF32" s="125" t="s">
        <v>198</v>
      </c>
      <c r="CG32" s="126"/>
      <c r="CH32" s="125" t="s">
        <v>6</v>
      </c>
      <c r="CI32" s="125" t="s">
        <v>11</v>
      </c>
      <c r="CJ32" s="125" t="s">
        <v>6</v>
      </c>
      <c r="CK32" s="125" t="s">
        <v>89</v>
      </c>
      <c r="CL32" s="126"/>
      <c r="CM32" s="124"/>
      <c r="CN32" s="125" t="s">
        <v>80</v>
      </c>
      <c r="CO32" s="125" t="s">
        <v>291</v>
      </c>
      <c r="CP32" s="125" t="s">
        <v>514</v>
      </c>
      <c r="CQ32" s="128" t="s">
        <v>1483</v>
      </c>
      <c r="CR32" s="124" t="s">
        <v>203</v>
      </c>
      <c r="CS32" s="128" t="s">
        <v>89</v>
      </c>
      <c r="CX32" t="s">
        <v>884</v>
      </c>
      <c r="CY32" t="s">
        <v>885</v>
      </c>
      <c r="CZ32" t="s">
        <v>886</v>
      </c>
      <c r="DA32" t="s">
        <v>887</v>
      </c>
      <c r="DB32" s="22" t="s">
        <v>129</v>
      </c>
      <c r="DC32" t="s">
        <v>146</v>
      </c>
      <c r="DD32" t="s">
        <v>157</v>
      </c>
      <c r="DE32" s="31">
        <v>45189</v>
      </c>
      <c r="DM32" s="2"/>
      <c r="DQ32" s="1"/>
      <c r="DS32" s="2"/>
    </row>
    <row r="33" spans="10:123" ht="15" x14ac:dyDescent="0.25">
      <c r="J33" s="124">
        <v>13</v>
      </c>
      <c r="K33" s="125" t="s">
        <v>632</v>
      </c>
      <c r="L33" s="125" t="s">
        <v>1484</v>
      </c>
      <c r="M33" s="126">
        <v>45258</v>
      </c>
      <c r="N33" s="127" t="s">
        <v>1129</v>
      </c>
      <c r="O33" s="128" t="s">
        <v>89</v>
      </c>
      <c r="P33" s="128" t="s">
        <v>89</v>
      </c>
      <c r="Q33" s="128" t="s">
        <v>89</v>
      </c>
      <c r="R33" s="129"/>
      <c r="S33" s="129"/>
      <c r="T33" s="127" t="s">
        <v>89</v>
      </c>
      <c r="U33" s="127" t="s">
        <v>89</v>
      </c>
      <c r="V33" s="125" t="s">
        <v>82</v>
      </c>
      <c r="W33" s="125" t="s">
        <v>89</v>
      </c>
      <c r="X33" s="125" t="s">
        <v>89</v>
      </c>
      <c r="Y33" s="130" t="s">
        <v>89</v>
      </c>
      <c r="Z33" s="130" t="s">
        <v>89</v>
      </c>
      <c r="AA33" s="125" t="s">
        <v>89</v>
      </c>
      <c r="AB33" s="125" t="s">
        <v>89</v>
      </c>
      <c r="AC33" s="125" t="s">
        <v>1473</v>
      </c>
      <c r="AD33" s="125" t="s">
        <v>1474</v>
      </c>
      <c r="AE33" s="125" t="s">
        <v>562</v>
      </c>
      <c r="AF33" s="125" t="s">
        <v>563</v>
      </c>
      <c r="AG33" s="125" t="s">
        <v>305</v>
      </c>
      <c r="AH33" s="124">
        <v>2.9000000000000001E-2</v>
      </c>
      <c r="AI33" s="128" t="s">
        <v>1475</v>
      </c>
      <c r="AJ33" s="124">
        <v>6</v>
      </c>
      <c r="AK33" s="126">
        <v>47092</v>
      </c>
      <c r="AL33" s="125" t="s">
        <v>106</v>
      </c>
      <c r="AM33" s="124"/>
      <c r="AN33" s="125" t="s">
        <v>308</v>
      </c>
      <c r="AO33" s="125" t="s">
        <v>307</v>
      </c>
      <c r="AP33" s="125" t="s">
        <v>89</v>
      </c>
      <c r="AQ33" s="125" t="s">
        <v>306</v>
      </c>
      <c r="AR33" s="124">
        <v>100.53100000000001</v>
      </c>
      <c r="AS33" s="124"/>
      <c r="AT33" s="125" t="s">
        <v>314</v>
      </c>
      <c r="AU33" s="125" t="s">
        <v>789</v>
      </c>
      <c r="AV33" s="125" t="s">
        <v>89</v>
      </c>
      <c r="AW33" s="124"/>
      <c r="AX33" s="124"/>
      <c r="AY33" s="124"/>
      <c r="AZ33" s="125" t="s">
        <v>244</v>
      </c>
      <c r="BA33" s="125" t="s">
        <v>290</v>
      </c>
      <c r="BB33" s="125" t="s">
        <v>305</v>
      </c>
      <c r="BC33" s="125" t="s">
        <v>315</v>
      </c>
      <c r="BD33" s="125" t="s">
        <v>81</v>
      </c>
      <c r="BE33" s="125" t="s">
        <v>1476</v>
      </c>
      <c r="BF33" s="125" t="s">
        <v>564</v>
      </c>
      <c r="BG33" s="125" t="s">
        <v>311</v>
      </c>
      <c r="BH33" s="125" t="s">
        <v>89</v>
      </c>
      <c r="BI33" s="125" t="s">
        <v>1477</v>
      </c>
      <c r="BJ33" s="124">
        <v>1000</v>
      </c>
      <c r="BK33" s="124">
        <v>2.9000000000000001E-2</v>
      </c>
      <c r="BL33" s="126">
        <v>45265</v>
      </c>
      <c r="BM33" s="126"/>
      <c r="BN33" s="124">
        <v>6</v>
      </c>
      <c r="BO33" s="125" t="s">
        <v>89</v>
      </c>
      <c r="BP33" s="126">
        <v>45448</v>
      </c>
      <c r="BQ33" s="125" t="s">
        <v>1478</v>
      </c>
      <c r="BR33" s="125" t="s">
        <v>89</v>
      </c>
      <c r="BS33" s="126">
        <v>45265</v>
      </c>
      <c r="BT33" s="125" t="s">
        <v>89</v>
      </c>
      <c r="BU33" s="126">
        <v>45265</v>
      </c>
      <c r="BV33" s="125" t="s">
        <v>89</v>
      </c>
      <c r="BW33" s="125" t="s">
        <v>89</v>
      </c>
      <c r="BX33" s="125" t="s">
        <v>303</v>
      </c>
      <c r="BY33" s="125" t="s">
        <v>303</v>
      </c>
      <c r="BZ33" s="125" t="s">
        <v>302</v>
      </c>
      <c r="CA33" s="125" t="s">
        <v>301</v>
      </c>
      <c r="CB33" s="125" t="s">
        <v>836</v>
      </c>
      <c r="CC33" s="125" t="s">
        <v>89</v>
      </c>
      <c r="CD33" s="125" t="s">
        <v>115</v>
      </c>
      <c r="CE33" s="125" t="s">
        <v>89</v>
      </c>
      <c r="CF33" s="125" t="s">
        <v>198</v>
      </c>
      <c r="CG33" s="126"/>
      <c r="CH33" s="125" t="s">
        <v>6</v>
      </c>
      <c r="CI33" s="125" t="s">
        <v>11</v>
      </c>
      <c r="CJ33" s="125" t="s">
        <v>6</v>
      </c>
      <c r="CK33" s="125" t="s">
        <v>89</v>
      </c>
      <c r="CL33" s="126"/>
      <c r="CM33" s="124"/>
      <c r="CN33" s="125" t="s">
        <v>80</v>
      </c>
      <c r="CO33" s="125" t="s">
        <v>291</v>
      </c>
      <c r="CP33" s="125" t="s">
        <v>514</v>
      </c>
      <c r="CQ33" s="128" t="s">
        <v>1485</v>
      </c>
      <c r="CR33" s="124" t="s">
        <v>203</v>
      </c>
      <c r="CS33" s="128" t="s">
        <v>89</v>
      </c>
      <c r="CX33" t="s">
        <v>888</v>
      </c>
      <c r="CY33" t="s">
        <v>889</v>
      </c>
      <c r="CZ33" t="s">
        <v>890</v>
      </c>
      <c r="DA33" t="s">
        <v>891</v>
      </c>
      <c r="DB33" s="22" t="s">
        <v>129</v>
      </c>
      <c r="DC33" t="s">
        <v>146</v>
      </c>
      <c r="DD33" t="s">
        <v>157</v>
      </c>
      <c r="DE33" s="31">
        <v>45189</v>
      </c>
      <c r="DM33" s="2"/>
      <c r="DQ33" s="1"/>
      <c r="DS33" s="2"/>
    </row>
    <row r="34" spans="10:123" ht="15" x14ac:dyDescent="0.25">
      <c r="J34" s="124">
        <v>12</v>
      </c>
      <c r="K34" s="125" t="s">
        <v>632</v>
      </c>
      <c r="L34" s="125" t="s">
        <v>1472</v>
      </c>
      <c r="M34" s="126">
        <v>45258</v>
      </c>
      <c r="N34" s="127" t="s">
        <v>1129</v>
      </c>
      <c r="O34" s="128" t="s">
        <v>89</v>
      </c>
      <c r="P34" s="128" t="s">
        <v>89</v>
      </c>
      <c r="Q34" s="128" t="s">
        <v>89</v>
      </c>
      <c r="R34" s="129"/>
      <c r="S34" s="129"/>
      <c r="T34" s="127" t="s">
        <v>89</v>
      </c>
      <c r="U34" s="127" t="s">
        <v>89</v>
      </c>
      <c r="V34" s="125" t="s">
        <v>82</v>
      </c>
      <c r="W34" s="125" t="s">
        <v>89</v>
      </c>
      <c r="X34" s="125" t="s">
        <v>89</v>
      </c>
      <c r="Y34" s="130" t="s">
        <v>89</v>
      </c>
      <c r="Z34" s="130" t="s">
        <v>89</v>
      </c>
      <c r="AA34" s="125" t="s">
        <v>89</v>
      </c>
      <c r="AB34" s="125" t="s">
        <v>89</v>
      </c>
      <c r="AC34" s="125" t="s">
        <v>1473</v>
      </c>
      <c r="AD34" s="125" t="s">
        <v>1474</v>
      </c>
      <c r="AE34" s="125" t="s">
        <v>562</v>
      </c>
      <c r="AF34" s="125" t="s">
        <v>563</v>
      </c>
      <c r="AG34" s="125" t="s">
        <v>305</v>
      </c>
      <c r="AH34" s="124">
        <v>2.9000000000000001E-2</v>
      </c>
      <c r="AI34" s="128" t="s">
        <v>1475</v>
      </c>
      <c r="AJ34" s="124">
        <v>6</v>
      </c>
      <c r="AK34" s="126">
        <v>47092</v>
      </c>
      <c r="AL34" s="125" t="s">
        <v>106</v>
      </c>
      <c r="AM34" s="124"/>
      <c r="AN34" s="125" t="s">
        <v>308</v>
      </c>
      <c r="AO34" s="125" t="s">
        <v>307</v>
      </c>
      <c r="AP34" s="125" t="s">
        <v>89</v>
      </c>
      <c r="AQ34" s="125" t="s">
        <v>306</v>
      </c>
      <c r="AR34" s="124">
        <v>100.53100000000001</v>
      </c>
      <c r="AS34" s="124"/>
      <c r="AT34" s="125" t="s">
        <v>314</v>
      </c>
      <c r="AU34" s="125" t="s">
        <v>789</v>
      </c>
      <c r="AV34" s="125" t="s">
        <v>89</v>
      </c>
      <c r="AW34" s="124"/>
      <c r="AX34" s="124"/>
      <c r="AY34" s="124"/>
      <c r="AZ34" s="125" t="s">
        <v>244</v>
      </c>
      <c r="BA34" s="125" t="s">
        <v>290</v>
      </c>
      <c r="BB34" s="125" t="s">
        <v>305</v>
      </c>
      <c r="BC34" s="125" t="s">
        <v>315</v>
      </c>
      <c r="BD34" s="125" t="s">
        <v>81</v>
      </c>
      <c r="BE34" s="125" t="s">
        <v>1476</v>
      </c>
      <c r="BF34" s="125" t="s">
        <v>564</v>
      </c>
      <c r="BG34" s="125" t="s">
        <v>311</v>
      </c>
      <c r="BH34" s="125" t="s">
        <v>89</v>
      </c>
      <c r="BI34" s="125" t="s">
        <v>1477</v>
      </c>
      <c r="BJ34" s="124">
        <v>1000</v>
      </c>
      <c r="BK34" s="124">
        <v>2.9000000000000001E-2</v>
      </c>
      <c r="BL34" s="126">
        <v>45265</v>
      </c>
      <c r="BM34" s="126"/>
      <c r="BN34" s="124">
        <v>6</v>
      </c>
      <c r="BO34" s="125" t="s">
        <v>89</v>
      </c>
      <c r="BP34" s="126">
        <v>45448</v>
      </c>
      <c r="BQ34" s="125" t="s">
        <v>1478</v>
      </c>
      <c r="BR34" s="125" t="s">
        <v>89</v>
      </c>
      <c r="BS34" s="126">
        <v>45265</v>
      </c>
      <c r="BT34" s="125" t="s">
        <v>89</v>
      </c>
      <c r="BU34" s="126">
        <v>45265</v>
      </c>
      <c r="BV34" s="125" t="s">
        <v>89</v>
      </c>
      <c r="BW34" s="125" t="s">
        <v>89</v>
      </c>
      <c r="BX34" s="125" t="s">
        <v>303</v>
      </c>
      <c r="BY34" s="125" t="s">
        <v>303</v>
      </c>
      <c r="BZ34" s="125" t="s">
        <v>302</v>
      </c>
      <c r="CA34" s="125" t="s">
        <v>301</v>
      </c>
      <c r="CB34" s="125" t="s">
        <v>836</v>
      </c>
      <c r="CC34" s="125" t="s">
        <v>89</v>
      </c>
      <c r="CD34" s="125" t="s">
        <v>115</v>
      </c>
      <c r="CE34" s="125" t="s">
        <v>89</v>
      </c>
      <c r="CF34" s="125" t="s">
        <v>198</v>
      </c>
      <c r="CG34" s="126"/>
      <c r="CH34" s="125" t="s">
        <v>6</v>
      </c>
      <c r="CI34" s="125" t="s">
        <v>11</v>
      </c>
      <c r="CJ34" s="125" t="s">
        <v>6</v>
      </c>
      <c r="CK34" s="125" t="s">
        <v>89</v>
      </c>
      <c r="CL34" s="126"/>
      <c r="CM34" s="124"/>
      <c r="CN34" s="125" t="s">
        <v>80</v>
      </c>
      <c r="CO34" s="125" t="s">
        <v>291</v>
      </c>
      <c r="CP34" s="125" t="s">
        <v>514</v>
      </c>
      <c r="CQ34" s="128" t="s">
        <v>1479</v>
      </c>
      <c r="CR34" s="124" t="s">
        <v>203</v>
      </c>
      <c r="CS34" s="128" t="s">
        <v>89</v>
      </c>
      <c r="CX34" t="s">
        <v>892</v>
      </c>
      <c r="CY34" t="s">
        <v>893</v>
      </c>
      <c r="CZ34" t="s">
        <v>894</v>
      </c>
      <c r="DA34" t="s">
        <v>895</v>
      </c>
      <c r="DB34" s="22" t="s">
        <v>129</v>
      </c>
      <c r="DC34" t="s">
        <v>146</v>
      </c>
      <c r="DD34" t="s">
        <v>147</v>
      </c>
      <c r="DE34" s="31">
        <v>45182</v>
      </c>
    </row>
    <row r="35" spans="10:123" ht="15" x14ac:dyDescent="0.25">
      <c r="J35" s="124">
        <v>11</v>
      </c>
      <c r="K35" s="125" t="s">
        <v>632</v>
      </c>
      <c r="L35" s="125" t="s">
        <v>1488</v>
      </c>
      <c r="M35" s="126">
        <v>45258</v>
      </c>
      <c r="N35" s="127" t="s">
        <v>1129</v>
      </c>
      <c r="O35" s="128" t="s">
        <v>89</v>
      </c>
      <c r="P35" s="128" t="s">
        <v>89</v>
      </c>
      <c r="Q35" s="128" t="s">
        <v>89</v>
      </c>
      <c r="R35" s="129"/>
      <c r="S35" s="129"/>
      <c r="T35" s="127" t="s">
        <v>89</v>
      </c>
      <c r="U35" s="127" t="s">
        <v>89</v>
      </c>
      <c r="V35" s="125" t="s">
        <v>82</v>
      </c>
      <c r="W35" s="125" t="s">
        <v>89</v>
      </c>
      <c r="X35" s="125" t="s">
        <v>89</v>
      </c>
      <c r="Y35" s="130" t="s">
        <v>89</v>
      </c>
      <c r="Z35" s="130" t="s">
        <v>89</v>
      </c>
      <c r="AA35" s="125" t="s">
        <v>89</v>
      </c>
      <c r="AB35" s="125" t="s">
        <v>89</v>
      </c>
      <c r="AC35" s="125" t="s">
        <v>1473</v>
      </c>
      <c r="AD35" s="125" t="s">
        <v>1474</v>
      </c>
      <c r="AE35" s="125" t="s">
        <v>562</v>
      </c>
      <c r="AF35" s="125" t="s">
        <v>563</v>
      </c>
      <c r="AG35" s="125" t="s">
        <v>305</v>
      </c>
      <c r="AH35" s="124">
        <v>2.9000000000000001E-2</v>
      </c>
      <c r="AI35" s="128" t="s">
        <v>1475</v>
      </c>
      <c r="AJ35" s="124">
        <v>6</v>
      </c>
      <c r="AK35" s="126">
        <v>47092</v>
      </c>
      <c r="AL35" s="125" t="s">
        <v>106</v>
      </c>
      <c r="AM35" s="124"/>
      <c r="AN35" s="125" t="s">
        <v>308</v>
      </c>
      <c r="AO35" s="125" t="s">
        <v>307</v>
      </c>
      <c r="AP35" s="125" t="s">
        <v>89</v>
      </c>
      <c r="AQ35" s="125" t="s">
        <v>306</v>
      </c>
      <c r="AR35" s="124">
        <v>100.53100000000001</v>
      </c>
      <c r="AS35" s="124"/>
      <c r="AT35" s="125" t="s">
        <v>314</v>
      </c>
      <c r="AU35" s="125" t="s">
        <v>789</v>
      </c>
      <c r="AV35" s="125" t="s">
        <v>89</v>
      </c>
      <c r="AW35" s="124"/>
      <c r="AX35" s="124"/>
      <c r="AY35" s="124"/>
      <c r="AZ35" s="125" t="s">
        <v>244</v>
      </c>
      <c r="BA35" s="125" t="s">
        <v>290</v>
      </c>
      <c r="BB35" s="125" t="s">
        <v>305</v>
      </c>
      <c r="BC35" s="125" t="s">
        <v>315</v>
      </c>
      <c r="BD35" s="125" t="s">
        <v>81</v>
      </c>
      <c r="BE35" s="125" t="s">
        <v>1476</v>
      </c>
      <c r="BF35" s="125" t="s">
        <v>564</v>
      </c>
      <c r="BG35" s="125" t="s">
        <v>311</v>
      </c>
      <c r="BH35" s="125" t="s">
        <v>89</v>
      </c>
      <c r="BI35" s="125" t="s">
        <v>1477</v>
      </c>
      <c r="BJ35" s="124">
        <v>1000</v>
      </c>
      <c r="BK35" s="124">
        <v>2.9000000000000001E-2</v>
      </c>
      <c r="BL35" s="126">
        <v>45265</v>
      </c>
      <c r="BM35" s="126"/>
      <c r="BN35" s="124">
        <v>6</v>
      </c>
      <c r="BO35" s="125" t="s">
        <v>89</v>
      </c>
      <c r="BP35" s="126">
        <v>45448</v>
      </c>
      <c r="BQ35" s="125" t="s">
        <v>1478</v>
      </c>
      <c r="BR35" s="125" t="s">
        <v>89</v>
      </c>
      <c r="BS35" s="126">
        <v>45265</v>
      </c>
      <c r="BT35" s="125" t="s">
        <v>89</v>
      </c>
      <c r="BU35" s="126">
        <v>45265</v>
      </c>
      <c r="BV35" s="125" t="s">
        <v>89</v>
      </c>
      <c r="BW35" s="125" t="s">
        <v>89</v>
      </c>
      <c r="BX35" s="125" t="s">
        <v>303</v>
      </c>
      <c r="BY35" s="125" t="s">
        <v>303</v>
      </c>
      <c r="BZ35" s="125" t="s">
        <v>302</v>
      </c>
      <c r="CA35" s="125" t="s">
        <v>301</v>
      </c>
      <c r="CB35" s="125" t="s">
        <v>836</v>
      </c>
      <c r="CC35" s="125" t="s">
        <v>89</v>
      </c>
      <c r="CD35" s="125" t="s">
        <v>115</v>
      </c>
      <c r="CE35" s="125" t="s">
        <v>89</v>
      </c>
      <c r="CF35" s="125" t="s">
        <v>198</v>
      </c>
      <c r="CG35" s="126"/>
      <c r="CH35" s="125" t="s">
        <v>6</v>
      </c>
      <c r="CI35" s="125" t="s">
        <v>11</v>
      </c>
      <c r="CJ35" s="125" t="s">
        <v>6</v>
      </c>
      <c r="CK35" s="125" t="s">
        <v>89</v>
      </c>
      <c r="CL35" s="126"/>
      <c r="CM35" s="124"/>
      <c r="CN35" s="125" t="s">
        <v>80</v>
      </c>
      <c r="CO35" s="125" t="s">
        <v>291</v>
      </c>
      <c r="CP35" s="125" t="s">
        <v>514</v>
      </c>
      <c r="CQ35" s="128" t="s">
        <v>1489</v>
      </c>
      <c r="CR35" s="124" t="s">
        <v>203</v>
      </c>
      <c r="CS35" s="128" t="s">
        <v>89</v>
      </c>
      <c r="CX35" t="s">
        <v>896</v>
      </c>
      <c r="CY35" t="s">
        <v>897</v>
      </c>
      <c r="CZ35" t="s">
        <v>898</v>
      </c>
      <c r="DA35" t="s">
        <v>899</v>
      </c>
      <c r="DB35" s="22" t="s">
        <v>129</v>
      </c>
      <c r="DC35" t="s">
        <v>900</v>
      </c>
      <c r="DD35" t="s">
        <v>147</v>
      </c>
      <c r="DE35" s="31">
        <v>45182</v>
      </c>
    </row>
    <row r="36" spans="10:123" ht="15" x14ac:dyDescent="0.25">
      <c r="J36" s="124">
        <v>10</v>
      </c>
      <c r="K36" s="125" t="s">
        <v>380</v>
      </c>
      <c r="L36" s="125" t="s">
        <v>1216</v>
      </c>
      <c r="M36" s="126">
        <v>45258</v>
      </c>
      <c r="N36" s="127" t="s">
        <v>253</v>
      </c>
      <c r="O36" s="128" t="s">
        <v>1217</v>
      </c>
      <c r="P36" s="128" t="s">
        <v>1218</v>
      </c>
      <c r="Q36" s="128" t="s">
        <v>1218</v>
      </c>
      <c r="R36" s="129"/>
      <c r="S36" s="129"/>
      <c r="T36" s="127" t="s">
        <v>89</v>
      </c>
      <c r="U36" s="127" t="s">
        <v>89</v>
      </c>
      <c r="V36" s="125" t="s">
        <v>82</v>
      </c>
      <c r="W36" s="125" t="s">
        <v>253</v>
      </c>
      <c r="X36" s="125" t="s">
        <v>89</v>
      </c>
      <c r="Y36" s="130" t="s">
        <v>1219</v>
      </c>
      <c r="Z36" s="130" t="s">
        <v>1220</v>
      </c>
      <c r="AA36" s="125" t="s">
        <v>1221</v>
      </c>
      <c r="AB36" s="125" t="s">
        <v>1222</v>
      </c>
      <c r="AC36" s="125" t="s">
        <v>1223</v>
      </c>
      <c r="AD36" s="125" t="s">
        <v>1224</v>
      </c>
      <c r="AE36" s="125" t="s">
        <v>1225</v>
      </c>
      <c r="AF36" s="125" t="s">
        <v>1200</v>
      </c>
      <c r="AG36" s="125" t="s">
        <v>305</v>
      </c>
      <c r="AH36" s="124">
        <v>5</v>
      </c>
      <c r="AI36" s="128" t="s">
        <v>1226</v>
      </c>
      <c r="AJ36" s="124">
        <v>6</v>
      </c>
      <c r="AK36" s="126">
        <v>48918</v>
      </c>
      <c r="AL36" s="125" t="s">
        <v>309</v>
      </c>
      <c r="AM36" s="124">
        <v>35</v>
      </c>
      <c r="AN36" s="125" t="s">
        <v>308</v>
      </c>
      <c r="AO36" s="125" t="s">
        <v>307</v>
      </c>
      <c r="AP36" s="125" t="s">
        <v>89</v>
      </c>
      <c r="AQ36" s="125" t="s">
        <v>1227</v>
      </c>
      <c r="AR36" s="124">
        <v>99.63</v>
      </c>
      <c r="AS36" s="124">
        <v>1.54E-2</v>
      </c>
      <c r="AT36" s="125" t="s">
        <v>840</v>
      </c>
      <c r="AU36" s="125" t="s">
        <v>841</v>
      </c>
      <c r="AV36" s="125" t="s">
        <v>89</v>
      </c>
      <c r="AW36" s="124"/>
      <c r="AX36" s="124"/>
      <c r="AY36" s="124"/>
      <c r="AZ36" s="125" t="s">
        <v>244</v>
      </c>
      <c r="BA36" s="125" t="s">
        <v>290</v>
      </c>
      <c r="BB36" s="125" t="s">
        <v>305</v>
      </c>
      <c r="BC36" s="125" t="s">
        <v>315</v>
      </c>
      <c r="BD36" s="125" t="s">
        <v>81</v>
      </c>
      <c r="BE36" s="125" t="s">
        <v>1490</v>
      </c>
      <c r="BF36" s="125" t="s">
        <v>622</v>
      </c>
      <c r="BG36" s="125" t="s">
        <v>311</v>
      </c>
      <c r="BH36" s="125" t="s">
        <v>1228</v>
      </c>
      <c r="BI36" s="125" t="s">
        <v>1229</v>
      </c>
      <c r="BJ36" s="124">
        <v>1000</v>
      </c>
      <c r="BK36" s="124">
        <v>5</v>
      </c>
      <c r="BL36" s="126">
        <v>45265</v>
      </c>
      <c r="BM36" s="126">
        <v>47092</v>
      </c>
      <c r="BN36" s="124">
        <v>6</v>
      </c>
      <c r="BO36" s="125" t="s">
        <v>89</v>
      </c>
      <c r="BP36" s="126">
        <v>45448</v>
      </c>
      <c r="BQ36" s="125" t="s">
        <v>380</v>
      </c>
      <c r="BR36" s="125" t="s">
        <v>89</v>
      </c>
      <c r="BS36" s="126">
        <v>45265</v>
      </c>
      <c r="BT36" s="125" t="s">
        <v>1230</v>
      </c>
      <c r="BU36" s="126">
        <v>45265</v>
      </c>
      <c r="BV36" s="125" t="s">
        <v>1231</v>
      </c>
      <c r="BW36" s="125" t="s">
        <v>1232</v>
      </c>
      <c r="BX36" s="125" t="s">
        <v>303</v>
      </c>
      <c r="BY36" s="125" t="s">
        <v>303</v>
      </c>
      <c r="BZ36" s="125" t="s">
        <v>1130</v>
      </c>
      <c r="CA36" s="125" t="s">
        <v>301</v>
      </c>
      <c r="CB36" s="125" t="s">
        <v>836</v>
      </c>
      <c r="CC36" s="125" t="s">
        <v>89</v>
      </c>
      <c r="CD36" s="125" t="s">
        <v>115</v>
      </c>
      <c r="CE36" s="125" t="s">
        <v>89</v>
      </c>
      <c r="CF36" s="125" t="s">
        <v>198</v>
      </c>
      <c r="CG36" s="126"/>
      <c r="CH36" s="125" t="s">
        <v>6</v>
      </c>
      <c r="CI36" s="125" t="s">
        <v>125</v>
      </c>
      <c r="CJ36" s="125" t="s">
        <v>129</v>
      </c>
      <c r="CK36" s="125" t="s">
        <v>89</v>
      </c>
      <c r="CL36" s="126"/>
      <c r="CM36" s="124"/>
      <c r="CN36" s="125" t="s">
        <v>1233</v>
      </c>
      <c r="CO36" s="125" t="s">
        <v>1234</v>
      </c>
      <c r="CP36" s="125" t="s">
        <v>514</v>
      </c>
      <c r="CQ36" s="128" t="s">
        <v>1235</v>
      </c>
      <c r="CR36" s="124" t="s">
        <v>298</v>
      </c>
      <c r="CS36" s="128" t="s">
        <v>89</v>
      </c>
      <c r="CX36" t="s">
        <v>901</v>
      </c>
      <c r="CY36" t="s">
        <v>902</v>
      </c>
      <c r="CZ36" t="s">
        <v>903</v>
      </c>
      <c r="DA36" t="s">
        <v>904</v>
      </c>
      <c r="DB36" s="22" t="s">
        <v>129</v>
      </c>
      <c r="DC36" t="s">
        <v>146</v>
      </c>
      <c r="DD36" t="s">
        <v>150</v>
      </c>
      <c r="DE36" s="31">
        <v>45182</v>
      </c>
    </row>
    <row r="37" spans="10:123" ht="15" x14ac:dyDescent="0.25">
      <c r="J37" s="124">
        <v>9</v>
      </c>
      <c r="K37" s="125" t="s">
        <v>1236</v>
      </c>
      <c r="L37" s="125" t="s">
        <v>1237</v>
      </c>
      <c r="M37" s="126">
        <v>45257</v>
      </c>
      <c r="N37" s="127" t="s">
        <v>251</v>
      </c>
      <c r="O37" s="128" t="s">
        <v>1238</v>
      </c>
      <c r="P37" s="128" t="s">
        <v>1239</v>
      </c>
      <c r="Q37" s="128" t="s">
        <v>1239</v>
      </c>
      <c r="R37" s="129"/>
      <c r="S37" s="129"/>
      <c r="T37" s="127" t="s">
        <v>89</v>
      </c>
      <c r="U37" s="127" t="s">
        <v>89</v>
      </c>
      <c r="V37" s="125" t="s">
        <v>82</v>
      </c>
      <c r="W37" s="125" t="s">
        <v>251</v>
      </c>
      <c r="X37" s="125" t="s">
        <v>89</v>
      </c>
      <c r="Y37" s="130" t="s">
        <v>1240</v>
      </c>
      <c r="Z37" s="130" t="s">
        <v>1239</v>
      </c>
      <c r="AA37" s="125" t="s">
        <v>1241</v>
      </c>
      <c r="AB37" s="125" t="s">
        <v>1242</v>
      </c>
      <c r="AC37" s="125" t="s">
        <v>1243</v>
      </c>
      <c r="AD37" s="125" t="s">
        <v>1244</v>
      </c>
      <c r="AE37" s="125" t="s">
        <v>305</v>
      </c>
      <c r="AF37" s="125" t="s">
        <v>305</v>
      </c>
      <c r="AG37" s="125" t="s">
        <v>305</v>
      </c>
      <c r="AH37" s="124">
        <v>3.3</v>
      </c>
      <c r="AI37" s="128" t="s">
        <v>310</v>
      </c>
      <c r="AJ37" s="124">
        <v>5.95</v>
      </c>
      <c r="AK37" s="126">
        <v>46360</v>
      </c>
      <c r="AL37" s="125" t="s">
        <v>313</v>
      </c>
      <c r="AM37" s="124">
        <v>40</v>
      </c>
      <c r="AN37" s="125" t="s">
        <v>308</v>
      </c>
      <c r="AO37" s="125" t="s">
        <v>328</v>
      </c>
      <c r="AP37" s="125" t="s">
        <v>89</v>
      </c>
      <c r="AQ37" s="125" t="s">
        <v>306</v>
      </c>
      <c r="AR37" s="124">
        <v>100</v>
      </c>
      <c r="AS37" s="124"/>
      <c r="AT37" s="125" t="s">
        <v>802</v>
      </c>
      <c r="AU37" s="125" t="s">
        <v>1245</v>
      </c>
      <c r="AV37" s="125" t="s">
        <v>1246</v>
      </c>
      <c r="AW37" s="124"/>
      <c r="AX37" s="124"/>
      <c r="AY37" s="124"/>
      <c r="AZ37" s="125" t="s">
        <v>244</v>
      </c>
      <c r="BA37" s="125" t="s">
        <v>784</v>
      </c>
      <c r="BB37" s="125" t="s">
        <v>305</v>
      </c>
      <c r="BC37" s="125" t="s">
        <v>315</v>
      </c>
      <c r="BD37" s="125" t="s">
        <v>1</v>
      </c>
      <c r="BE37" s="125" t="s">
        <v>786</v>
      </c>
      <c r="BF37" s="125" t="s">
        <v>304</v>
      </c>
      <c r="BG37" s="125" t="s">
        <v>311</v>
      </c>
      <c r="BH37" s="125" t="s">
        <v>1247</v>
      </c>
      <c r="BI37" s="125" t="s">
        <v>1248</v>
      </c>
      <c r="BJ37" s="124">
        <v>1000</v>
      </c>
      <c r="BK37" s="124">
        <v>3.3</v>
      </c>
      <c r="BL37" s="126">
        <v>45264</v>
      </c>
      <c r="BM37" s="126"/>
      <c r="BN37" s="124">
        <v>5.95</v>
      </c>
      <c r="BO37" s="125" t="s">
        <v>89</v>
      </c>
      <c r="BP37" s="126">
        <v>45447</v>
      </c>
      <c r="BQ37" s="125" t="s">
        <v>1249</v>
      </c>
      <c r="BR37" s="125" t="s">
        <v>1236</v>
      </c>
      <c r="BS37" s="126">
        <v>45264</v>
      </c>
      <c r="BT37" s="125" t="s">
        <v>1239</v>
      </c>
      <c r="BU37" s="126">
        <v>45264</v>
      </c>
      <c r="BV37" s="125" t="s">
        <v>785</v>
      </c>
      <c r="BW37" s="125" t="s">
        <v>1250</v>
      </c>
      <c r="BX37" s="125" t="s">
        <v>303</v>
      </c>
      <c r="BY37" s="125" t="s">
        <v>303</v>
      </c>
      <c r="BZ37" s="125" t="s">
        <v>302</v>
      </c>
      <c r="CA37" s="125" t="s">
        <v>301</v>
      </c>
      <c r="CB37" s="125" t="s">
        <v>300</v>
      </c>
      <c r="CC37" s="125" t="s">
        <v>89</v>
      </c>
      <c r="CD37" s="125" t="s">
        <v>115</v>
      </c>
      <c r="CE37" s="125" t="s">
        <v>89</v>
      </c>
      <c r="CF37" s="125" t="s">
        <v>198</v>
      </c>
      <c r="CG37" s="126"/>
      <c r="CH37" s="125" t="s">
        <v>6</v>
      </c>
      <c r="CI37" s="125" t="s">
        <v>16</v>
      </c>
      <c r="CJ37" s="125" t="s">
        <v>6</v>
      </c>
      <c r="CK37" s="125" t="s">
        <v>89</v>
      </c>
      <c r="CL37" s="126"/>
      <c r="CM37" s="124"/>
      <c r="CN37" s="125" t="s">
        <v>1251</v>
      </c>
      <c r="CO37" s="125" t="s">
        <v>1251</v>
      </c>
      <c r="CP37" s="125" t="s">
        <v>1252</v>
      </c>
      <c r="CQ37" s="128" t="s">
        <v>1253</v>
      </c>
      <c r="CR37" s="124" t="s">
        <v>558</v>
      </c>
      <c r="CS37" s="128" t="s">
        <v>89</v>
      </c>
      <c r="CX37" t="s">
        <v>905</v>
      </c>
      <c r="CY37" t="s">
        <v>906</v>
      </c>
      <c r="CZ37" t="s">
        <v>796</v>
      </c>
      <c r="DA37" t="s">
        <v>907</v>
      </c>
      <c r="DB37" s="22" t="s">
        <v>130</v>
      </c>
      <c r="DC37" t="s">
        <v>149</v>
      </c>
      <c r="DD37" t="s">
        <v>150</v>
      </c>
      <c r="DE37" s="31">
        <v>45181</v>
      </c>
    </row>
    <row r="38" spans="10:123" ht="15" x14ac:dyDescent="0.25">
      <c r="J38" s="124">
        <v>8</v>
      </c>
      <c r="K38" s="125" t="s">
        <v>1254</v>
      </c>
      <c r="L38" s="125" t="s">
        <v>1255</v>
      </c>
      <c r="M38" s="126">
        <v>45257</v>
      </c>
      <c r="N38" s="127" t="s">
        <v>556</v>
      </c>
      <c r="O38" s="128" t="s">
        <v>1256</v>
      </c>
      <c r="P38" s="128" t="s">
        <v>1257</v>
      </c>
      <c r="Q38" s="128" t="s">
        <v>1257</v>
      </c>
      <c r="R38" s="129"/>
      <c r="S38" s="129"/>
      <c r="T38" s="127" t="s">
        <v>89</v>
      </c>
      <c r="U38" s="127" t="s">
        <v>89</v>
      </c>
      <c r="V38" s="125" t="s">
        <v>103</v>
      </c>
      <c r="W38" s="125" t="s">
        <v>89</v>
      </c>
      <c r="X38" s="125" t="s">
        <v>89</v>
      </c>
      <c r="Y38" s="130" t="s">
        <v>1258</v>
      </c>
      <c r="Z38" s="130" t="s">
        <v>1257</v>
      </c>
      <c r="AA38" s="125" t="s">
        <v>1259</v>
      </c>
      <c r="AB38" s="125" t="s">
        <v>1260</v>
      </c>
      <c r="AC38" s="125" t="s">
        <v>1261</v>
      </c>
      <c r="AD38" s="125" t="s">
        <v>1262</v>
      </c>
      <c r="AE38" s="125" t="s">
        <v>305</v>
      </c>
      <c r="AF38" s="125" t="s">
        <v>305</v>
      </c>
      <c r="AG38" s="125" t="s">
        <v>305</v>
      </c>
      <c r="AH38" s="124">
        <v>7.1</v>
      </c>
      <c r="AI38" s="128" t="s">
        <v>310</v>
      </c>
      <c r="AJ38" s="124">
        <v>4.3</v>
      </c>
      <c r="AK38" s="126">
        <v>46361</v>
      </c>
      <c r="AL38" s="125" t="s">
        <v>313</v>
      </c>
      <c r="AM38" s="124">
        <v>40</v>
      </c>
      <c r="AN38" s="125" t="s">
        <v>308</v>
      </c>
      <c r="AO38" s="125" t="s">
        <v>798</v>
      </c>
      <c r="AP38" s="125" t="s">
        <v>89</v>
      </c>
      <c r="AQ38" s="125" t="s">
        <v>306</v>
      </c>
      <c r="AR38" s="124">
        <v>100</v>
      </c>
      <c r="AS38" s="124"/>
      <c r="AT38" s="125" t="s">
        <v>795</v>
      </c>
      <c r="AU38" s="125" t="s">
        <v>799</v>
      </c>
      <c r="AV38" s="125" t="s">
        <v>839</v>
      </c>
      <c r="AW38" s="124"/>
      <c r="AX38" s="124"/>
      <c r="AY38" s="124"/>
      <c r="AZ38" s="125" t="s">
        <v>244</v>
      </c>
      <c r="BA38" s="125" t="s">
        <v>1263</v>
      </c>
      <c r="BB38" s="125" t="s">
        <v>305</v>
      </c>
      <c r="BC38" s="125" t="s">
        <v>570</v>
      </c>
      <c r="BD38" s="125" t="s">
        <v>1</v>
      </c>
      <c r="BE38" s="125" t="s">
        <v>786</v>
      </c>
      <c r="BF38" s="125" t="s">
        <v>304</v>
      </c>
      <c r="BG38" s="125" t="s">
        <v>312</v>
      </c>
      <c r="BH38" s="125" t="s">
        <v>1264</v>
      </c>
      <c r="BI38" s="125" t="s">
        <v>1265</v>
      </c>
      <c r="BJ38" s="124">
        <v>10000</v>
      </c>
      <c r="BK38" s="124">
        <v>7.1</v>
      </c>
      <c r="BL38" s="126">
        <v>45265</v>
      </c>
      <c r="BM38" s="126"/>
      <c r="BN38" s="124">
        <v>4.3</v>
      </c>
      <c r="BO38" s="125" t="s">
        <v>89</v>
      </c>
      <c r="BP38" s="126">
        <v>45448</v>
      </c>
      <c r="BQ38" s="125" t="s">
        <v>1266</v>
      </c>
      <c r="BR38" s="125" t="s">
        <v>89</v>
      </c>
      <c r="BS38" s="126">
        <v>45265</v>
      </c>
      <c r="BT38" s="125" t="s">
        <v>1257</v>
      </c>
      <c r="BU38" s="126">
        <v>45265</v>
      </c>
      <c r="BV38" s="125" t="s">
        <v>785</v>
      </c>
      <c r="BW38" s="125" t="s">
        <v>1267</v>
      </c>
      <c r="BX38" s="125" t="s">
        <v>303</v>
      </c>
      <c r="BY38" s="125" t="s">
        <v>303</v>
      </c>
      <c r="BZ38" s="125" t="s">
        <v>302</v>
      </c>
      <c r="CA38" s="125" t="s">
        <v>301</v>
      </c>
      <c r="CB38" s="125" t="s">
        <v>300</v>
      </c>
      <c r="CC38" s="125" t="s">
        <v>89</v>
      </c>
      <c r="CD38" s="125" t="s">
        <v>115</v>
      </c>
      <c r="CE38" s="125" t="s">
        <v>1254</v>
      </c>
      <c r="CF38" s="125" t="s">
        <v>198</v>
      </c>
      <c r="CG38" s="126"/>
      <c r="CH38" s="125" t="s">
        <v>6</v>
      </c>
      <c r="CI38" s="125" t="s">
        <v>7</v>
      </c>
      <c r="CJ38" s="125" t="s">
        <v>6</v>
      </c>
      <c r="CK38" s="125" t="s">
        <v>89</v>
      </c>
      <c r="CL38" s="126"/>
      <c r="CM38" s="124"/>
      <c r="CN38" s="125" t="s">
        <v>80</v>
      </c>
      <c r="CO38" s="125" t="s">
        <v>80</v>
      </c>
      <c r="CP38" s="125" t="s">
        <v>514</v>
      </c>
      <c r="CQ38" s="128" t="s">
        <v>1268</v>
      </c>
      <c r="CR38" s="124" t="s">
        <v>298</v>
      </c>
      <c r="CS38" s="128" t="s">
        <v>89</v>
      </c>
      <c r="CX38" t="s">
        <v>908</v>
      </c>
      <c r="CY38" t="s">
        <v>909</v>
      </c>
      <c r="CZ38" t="s">
        <v>910</v>
      </c>
      <c r="DA38" t="s">
        <v>911</v>
      </c>
      <c r="DB38" s="22" t="s">
        <v>130</v>
      </c>
      <c r="DC38" t="s">
        <v>146</v>
      </c>
      <c r="DD38" t="s">
        <v>147</v>
      </c>
      <c r="DE38" s="31">
        <v>45180</v>
      </c>
    </row>
    <row r="39" spans="10:123" ht="15" x14ac:dyDescent="0.25">
      <c r="J39" s="124">
        <v>7</v>
      </c>
      <c r="K39" s="125" t="s">
        <v>1182</v>
      </c>
      <c r="L39" s="125" t="s">
        <v>1269</v>
      </c>
      <c r="M39" s="126">
        <v>45257</v>
      </c>
      <c r="N39" s="127" t="s">
        <v>797</v>
      </c>
      <c r="O39" s="128" t="s">
        <v>89</v>
      </c>
      <c r="P39" s="128" t="s">
        <v>846</v>
      </c>
      <c r="Q39" s="128" t="s">
        <v>89</v>
      </c>
      <c r="R39" s="129"/>
      <c r="S39" s="129"/>
      <c r="T39" s="127" t="s">
        <v>89</v>
      </c>
      <c r="U39" s="127" t="s">
        <v>89</v>
      </c>
      <c r="V39" s="125" t="s">
        <v>103</v>
      </c>
      <c r="W39" s="125" t="s">
        <v>89</v>
      </c>
      <c r="X39" s="125" t="s">
        <v>89</v>
      </c>
      <c r="Y39" s="130" t="s">
        <v>89</v>
      </c>
      <c r="Z39" s="130" t="s">
        <v>846</v>
      </c>
      <c r="AA39" s="125" t="s">
        <v>1270</v>
      </c>
      <c r="AB39" s="125" t="s">
        <v>89</v>
      </c>
      <c r="AC39" s="125" t="s">
        <v>1271</v>
      </c>
      <c r="AD39" s="125" t="s">
        <v>1272</v>
      </c>
      <c r="AE39" s="125" t="s">
        <v>305</v>
      </c>
      <c r="AF39" s="125" t="s">
        <v>305</v>
      </c>
      <c r="AG39" s="125" t="s">
        <v>305</v>
      </c>
      <c r="AH39" s="124">
        <v>1.92</v>
      </c>
      <c r="AI39" s="128" t="s">
        <v>310</v>
      </c>
      <c r="AJ39" s="124">
        <v>3.9</v>
      </c>
      <c r="AK39" s="126">
        <v>46362</v>
      </c>
      <c r="AL39" s="125" t="s">
        <v>313</v>
      </c>
      <c r="AM39" s="124"/>
      <c r="AN39" s="125" t="s">
        <v>308</v>
      </c>
      <c r="AO39" s="125" t="s">
        <v>794</v>
      </c>
      <c r="AP39" s="125" t="s">
        <v>1273</v>
      </c>
      <c r="AQ39" s="125" t="s">
        <v>306</v>
      </c>
      <c r="AR39" s="124">
        <v>100</v>
      </c>
      <c r="AS39" s="124"/>
      <c r="AT39" s="125" t="s">
        <v>581</v>
      </c>
      <c r="AU39" s="125" t="s">
        <v>1178</v>
      </c>
      <c r="AV39" s="125" t="s">
        <v>89</v>
      </c>
      <c r="AW39" s="124"/>
      <c r="AX39" s="124"/>
      <c r="AY39" s="124"/>
      <c r="AZ39" s="125" t="s">
        <v>244</v>
      </c>
      <c r="BA39" s="125" t="s">
        <v>803</v>
      </c>
      <c r="BB39" s="125" t="s">
        <v>305</v>
      </c>
      <c r="BC39" s="125" t="s">
        <v>804</v>
      </c>
      <c r="BD39" s="125" t="s">
        <v>1</v>
      </c>
      <c r="BE39" s="125" t="s">
        <v>786</v>
      </c>
      <c r="BF39" s="125" t="s">
        <v>304</v>
      </c>
      <c r="BG39" s="125" t="s">
        <v>312</v>
      </c>
      <c r="BH39" s="125" t="s">
        <v>1274</v>
      </c>
      <c r="BI39" s="125" t="s">
        <v>1275</v>
      </c>
      <c r="BJ39" s="124">
        <v>10000</v>
      </c>
      <c r="BK39" s="124">
        <v>1.92</v>
      </c>
      <c r="BL39" s="126">
        <v>45266</v>
      </c>
      <c r="BM39" s="126"/>
      <c r="BN39" s="124">
        <v>3.9</v>
      </c>
      <c r="BO39" s="125" t="s">
        <v>89</v>
      </c>
      <c r="BP39" s="126">
        <v>45449</v>
      </c>
      <c r="BQ39" s="125" t="s">
        <v>1181</v>
      </c>
      <c r="BR39" s="125" t="s">
        <v>1182</v>
      </c>
      <c r="BS39" s="126">
        <v>45266</v>
      </c>
      <c r="BT39" s="125" t="s">
        <v>846</v>
      </c>
      <c r="BU39" s="126">
        <v>45266</v>
      </c>
      <c r="BV39" s="125" t="s">
        <v>554</v>
      </c>
      <c r="BW39" s="125" t="s">
        <v>1276</v>
      </c>
      <c r="BX39" s="125" t="s">
        <v>303</v>
      </c>
      <c r="BY39" s="125" t="s">
        <v>303</v>
      </c>
      <c r="BZ39" s="125" t="s">
        <v>302</v>
      </c>
      <c r="CA39" s="125" t="s">
        <v>301</v>
      </c>
      <c r="CB39" s="125" t="s">
        <v>300</v>
      </c>
      <c r="CC39" s="125" t="s">
        <v>89</v>
      </c>
      <c r="CD39" s="125" t="s">
        <v>115</v>
      </c>
      <c r="CE39" s="125" t="s">
        <v>89</v>
      </c>
      <c r="CF39" s="125" t="s">
        <v>198</v>
      </c>
      <c r="CG39" s="126"/>
      <c r="CH39" s="125" t="s">
        <v>6</v>
      </c>
      <c r="CI39" s="125" t="s">
        <v>9</v>
      </c>
      <c r="CJ39" s="125" t="s">
        <v>6</v>
      </c>
      <c r="CK39" s="125" t="s">
        <v>89</v>
      </c>
      <c r="CL39" s="126"/>
      <c r="CM39" s="124"/>
      <c r="CN39" s="125" t="s">
        <v>80</v>
      </c>
      <c r="CO39" s="125" t="s">
        <v>80</v>
      </c>
      <c r="CP39" s="125" t="s">
        <v>514</v>
      </c>
      <c r="CQ39" s="128" t="s">
        <v>1277</v>
      </c>
      <c r="CR39" s="124" t="s">
        <v>558</v>
      </c>
      <c r="CS39" s="128" t="s">
        <v>89</v>
      </c>
      <c r="CX39" t="s">
        <v>912</v>
      </c>
      <c r="CY39" t="s">
        <v>913</v>
      </c>
      <c r="CZ39" t="s">
        <v>914</v>
      </c>
      <c r="DA39" t="s">
        <v>915</v>
      </c>
      <c r="DB39" s="22" t="s">
        <v>129</v>
      </c>
      <c r="DC39" t="s">
        <v>146</v>
      </c>
      <c r="DD39" t="s">
        <v>150</v>
      </c>
      <c r="DE39" s="31">
        <v>45167</v>
      </c>
    </row>
    <row r="40" spans="10:123" ht="15" x14ac:dyDescent="0.25">
      <c r="J40" s="124">
        <v>6</v>
      </c>
      <c r="K40" s="125" t="s">
        <v>983</v>
      </c>
      <c r="L40" s="125" t="s">
        <v>1278</v>
      </c>
      <c r="M40" s="126">
        <v>45257</v>
      </c>
      <c r="N40" s="127" t="s">
        <v>1129</v>
      </c>
      <c r="O40" s="128" t="s">
        <v>89</v>
      </c>
      <c r="P40" s="128" t="s">
        <v>89</v>
      </c>
      <c r="Q40" s="128" t="s">
        <v>89</v>
      </c>
      <c r="R40" s="129"/>
      <c r="S40" s="129"/>
      <c r="T40" s="127" t="s">
        <v>89</v>
      </c>
      <c r="U40" s="127" t="s">
        <v>89</v>
      </c>
      <c r="V40" s="125" t="s">
        <v>82</v>
      </c>
      <c r="W40" s="125" t="s">
        <v>242</v>
      </c>
      <c r="X40" s="125" t="s">
        <v>1279</v>
      </c>
      <c r="Y40" s="130" t="s">
        <v>89</v>
      </c>
      <c r="Z40" s="130" t="s">
        <v>89</v>
      </c>
      <c r="AA40" s="125" t="s">
        <v>89</v>
      </c>
      <c r="AB40" s="125" t="s">
        <v>89</v>
      </c>
      <c r="AC40" s="125" t="s">
        <v>1280</v>
      </c>
      <c r="AD40" s="125" t="s">
        <v>1281</v>
      </c>
      <c r="AE40" s="125" t="s">
        <v>1282</v>
      </c>
      <c r="AF40" s="125" t="s">
        <v>1283</v>
      </c>
      <c r="AG40" s="125" t="s">
        <v>305</v>
      </c>
      <c r="AH40" s="124">
        <v>0.5</v>
      </c>
      <c r="AI40" s="128" t="s">
        <v>310</v>
      </c>
      <c r="AJ40" s="124">
        <v>6.4466000000000001</v>
      </c>
      <c r="AK40" s="126">
        <v>46356</v>
      </c>
      <c r="AL40" s="125" t="s">
        <v>106</v>
      </c>
      <c r="AM40" s="124"/>
      <c r="AN40" s="125" t="s">
        <v>308</v>
      </c>
      <c r="AO40" s="125" t="s">
        <v>798</v>
      </c>
      <c r="AP40" s="125" t="s">
        <v>89</v>
      </c>
      <c r="AQ40" s="125" t="s">
        <v>306</v>
      </c>
      <c r="AR40" s="124"/>
      <c r="AS40" s="124"/>
      <c r="AT40" s="125" t="s">
        <v>1201</v>
      </c>
      <c r="AU40" s="125" t="s">
        <v>1202</v>
      </c>
      <c r="AV40" s="125" t="s">
        <v>89</v>
      </c>
      <c r="AW40" s="124"/>
      <c r="AX40" s="124"/>
      <c r="AY40" s="124"/>
      <c r="AZ40" s="125" t="s">
        <v>244</v>
      </c>
      <c r="BA40" s="125" t="s">
        <v>329</v>
      </c>
      <c r="BB40" s="125" t="s">
        <v>305</v>
      </c>
      <c r="BC40" s="125" t="s">
        <v>315</v>
      </c>
      <c r="BD40" s="125" t="s">
        <v>81</v>
      </c>
      <c r="BE40" s="125" t="s">
        <v>1491</v>
      </c>
      <c r="BF40" s="125" t="s">
        <v>622</v>
      </c>
      <c r="BG40" s="125" t="s">
        <v>311</v>
      </c>
      <c r="BH40" s="125" t="s">
        <v>89</v>
      </c>
      <c r="BI40" s="125" t="s">
        <v>1284</v>
      </c>
      <c r="BJ40" s="124">
        <v>1000</v>
      </c>
      <c r="BK40" s="124">
        <v>0.5</v>
      </c>
      <c r="BL40" s="126">
        <v>45260</v>
      </c>
      <c r="BM40" s="126"/>
      <c r="BN40" s="124">
        <v>6.4466000000000001</v>
      </c>
      <c r="BO40" s="125" t="s">
        <v>1285</v>
      </c>
      <c r="BP40" s="126">
        <v>45350</v>
      </c>
      <c r="BQ40" s="125" t="s">
        <v>1286</v>
      </c>
      <c r="BR40" s="125" t="s">
        <v>89</v>
      </c>
      <c r="BS40" s="126">
        <v>45260</v>
      </c>
      <c r="BT40" s="125" t="s">
        <v>89</v>
      </c>
      <c r="BU40" s="126">
        <v>45260</v>
      </c>
      <c r="BV40" s="125" t="s">
        <v>89</v>
      </c>
      <c r="BW40" s="125" t="s">
        <v>89</v>
      </c>
      <c r="BX40" s="125" t="s">
        <v>303</v>
      </c>
      <c r="BY40" s="125" t="s">
        <v>303</v>
      </c>
      <c r="BZ40" s="125" t="s">
        <v>565</v>
      </c>
      <c r="CA40" s="125" t="s">
        <v>301</v>
      </c>
      <c r="CB40" s="125" t="s">
        <v>300</v>
      </c>
      <c r="CC40" s="125" t="s">
        <v>89</v>
      </c>
      <c r="CD40" s="125" t="s">
        <v>89</v>
      </c>
      <c r="CE40" s="125" t="s">
        <v>983</v>
      </c>
      <c r="CF40" s="125" t="s">
        <v>198</v>
      </c>
      <c r="CG40" s="126"/>
      <c r="CH40" s="125" t="s">
        <v>6</v>
      </c>
      <c r="CI40" s="125" t="s">
        <v>12</v>
      </c>
      <c r="CJ40" s="125" t="s">
        <v>6</v>
      </c>
      <c r="CK40" s="125" t="s">
        <v>89</v>
      </c>
      <c r="CL40" s="126"/>
      <c r="CM40" s="124"/>
      <c r="CN40" s="125" t="s">
        <v>1287</v>
      </c>
      <c r="CO40" s="125" t="s">
        <v>1288</v>
      </c>
      <c r="CP40" s="125" t="s">
        <v>624</v>
      </c>
      <c r="CQ40" s="128" t="s">
        <v>1289</v>
      </c>
      <c r="CR40" s="124" t="s">
        <v>298</v>
      </c>
      <c r="CS40" s="128" t="s">
        <v>89</v>
      </c>
      <c r="CX40" t="s">
        <v>916</v>
      </c>
      <c r="CY40" t="s">
        <v>917</v>
      </c>
      <c r="CZ40" t="s">
        <v>918</v>
      </c>
      <c r="DA40" t="s">
        <v>919</v>
      </c>
      <c r="DB40" s="22" t="s">
        <v>130</v>
      </c>
      <c r="DC40" t="s">
        <v>146</v>
      </c>
      <c r="DD40" t="s">
        <v>150</v>
      </c>
      <c r="DE40" s="31">
        <v>45167</v>
      </c>
    </row>
    <row r="41" spans="10:123" ht="15" x14ac:dyDescent="0.25">
      <c r="J41" s="124">
        <v>5</v>
      </c>
      <c r="K41" s="125" t="s">
        <v>631</v>
      </c>
      <c r="L41" s="125" t="s">
        <v>1290</v>
      </c>
      <c r="M41" s="126">
        <v>45257</v>
      </c>
      <c r="N41" s="127" t="s">
        <v>1129</v>
      </c>
      <c r="O41" s="128" t="s">
        <v>89</v>
      </c>
      <c r="P41" s="128" t="s">
        <v>89</v>
      </c>
      <c r="Q41" s="128" t="s">
        <v>89</v>
      </c>
      <c r="R41" s="129"/>
      <c r="S41" s="129"/>
      <c r="T41" s="127" t="s">
        <v>89</v>
      </c>
      <c r="U41" s="127" t="s">
        <v>89</v>
      </c>
      <c r="V41" s="125" t="s">
        <v>228</v>
      </c>
      <c r="W41" s="125" t="s">
        <v>89</v>
      </c>
      <c r="X41" s="125" t="s">
        <v>1291</v>
      </c>
      <c r="Y41" s="130" t="s">
        <v>89</v>
      </c>
      <c r="Z41" s="130" t="s">
        <v>89</v>
      </c>
      <c r="AA41" s="125" t="s">
        <v>89</v>
      </c>
      <c r="AB41" s="125" t="s">
        <v>89</v>
      </c>
      <c r="AC41" s="125" t="s">
        <v>1292</v>
      </c>
      <c r="AD41" s="125" t="s">
        <v>1293</v>
      </c>
      <c r="AE41" s="125" t="s">
        <v>562</v>
      </c>
      <c r="AF41" s="125" t="s">
        <v>563</v>
      </c>
      <c r="AG41" s="125" t="s">
        <v>305</v>
      </c>
      <c r="AH41" s="124">
        <v>0.5</v>
      </c>
      <c r="AI41" s="128" t="s">
        <v>310</v>
      </c>
      <c r="AJ41" s="124">
        <v>6.77</v>
      </c>
      <c r="AK41" s="126">
        <v>46175</v>
      </c>
      <c r="AL41" s="125" t="s">
        <v>106</v>
      </c>
      <c r="AM41" s="124"/>
      <c r="AN41" s="125" t="s">
        <v>308</v>
      </c>
      <c r="AO41" s="125" t="s">
        <v>328</v>
      </c>
      <c r="AP41" s="125" t="s">
        <v>89</v>
      </c>
      <c r="AQ41" s="125" t="s">
        <v>306</v>
      </c>
      <c r="AR41" s="124">
        <v>100.0052</v>
      </c>
      <c r="AS41" s="124"/>
      <c r="AT41" s="125" t="s">
        <v>314</v>
      </c>
      <c r="AU41" s="125" t="s">
        <v>789</v>
      </c>
      <c r="AV41" s="125" t="s">
        <v>89</v>
      </c>
      <c r="AW41" s="124"/>
      <c r="AX41" s="124"/>
      <c r="AY41" s="124"/>
      <c r="AZ41" s="125" t="s">
        <v>205</v>
      </c>
      <c r="BA41" s="125" t="s">
        <v>290</v>
      </c>
      <c r="BB41" s="125" t="s">
        <v>305</v>
      </c>
      <c r="BC41" s="125" t="s">
        <v>315</v>
      </c>
      <c r="BD41" s="125" t="s">
        <v>81</v>
      </c>
      <c r="BE41" s="125" t="s">
        <v>1492</v>
      </c>
      <c r="BF41" s="125" t="s">
        <v>564</v>
      </c>
      <c r="BG41" s="125" t="s">
        <v>311</v>
      </c>
      <c r="BH41" s="125" t="s">
        <v>89</v>
      </c>
      <c r="BI41" s="125" t="s">
        <v>1294</v>
      </c>
      <c r="BJ41" s="124">
        <v>10000</v>
      </c>
      <c r="BK41" s="124">
        <v>1.25</v>
      </c>
      <c r="BL41" s="126">
        <v>45079</v>
      </c>
      <c r="BM41" s="126"/>
      <c r="BN41" s="124">
        <v>6.83</v>
      </c>
      <c r="BO41" s="125" t="s">
        <v>1295</v>
      </c>
      <c r="BP41" s="126">
        <v>45173</v>
      </c>
      <c r="BQ41" s="125" t="s">
        <v>1296</v>
      </c>
      <c r="BR41" s="125" t="s">
        <v>631</v>
      </c>
      <c r="BS41" s="126">
        <v>45079</v>
      </c>
      <c r="BT41" s="125" t="s">
        <v>89</v>
      </c>
      <c r="BU41" s="126">
        <v>45079</v>
      </c>
      <c r="BV41" s="125" t="s">
        <v>89</v>
      </c>
      <c r="BW41" s="125" t="s">
        <v>1297</v>
      </c>
      <c r="BX41" s="125" t="s">
        <v>303</v>
      </c>
      <c r="BY41" s="125" t="s">
        <v>303</v>
      </c>
      <c r="BZ41" s="125" t="s">
        <v>565</v>
      </c>
      <c r="CA41" s="125" t="s">
        <v>301</v>
      </c>
      <c r="CB41" s="125" t="s">
        <v>300</v>
      </c>
      <c r="CC41" s="125" t="s">
        <v>89</v>
      </c>
      <c r="CD41" s="125" t="s">
        <v>566</v>
      </c>
      <c r="CE41" s="125" t="s">
        <v>89</v>
      </c>
      <c r="CF41" s="125" t="s">
        <v>198</v>
      </c>
      <c r="CG41" s="126"/>
      <c r="CH41" s="125" t="s">
        <v>6</v>
      </c>
      <c r="CI41" s="125" t="s">
        <v>11</v>
      </c>
      <c r="CJ41" s="125" t="s">
        <v>6</v>
      </c>
      <c r="CK41" s="125" t="s">
        <v>89</v>
      </c>
      <c r="CL41" s="126"/>
      <c r="CM41" s="124"/>
      <c r="CN41" s="125" t="s">
        <v>1298</v>
      </c>
      <c r="CO41" s="125" t="s">
        <v>291</v>
      </c>
      <c r="CP41" s="125" t="s">
        <v>514</v>
      </c>
      <c r="CQ41" s="128" t="s">
        <v>1299</v>
      </c>
      <c r="CR41" s="124" t="s">
        <v>1300</v>
      </c>
      <c r="CS41" s="128" t="s">
        <v>89</v>
      </c>
      <c r="CX41" t="s">
        <v>920</v>
      </c>
      <c r="CY41" t="s">
        <v>921</v>
      </c>
      <c r="CZ41" t="s">
        <v>922</v>
      </c>
      <c r="DA41" t="s">
        <v>923</v>
      </c>
      <c r="DB41" s="22" t="s">
        <v>129</v>
      </c>
      <c r="DC41" t="s">
        <v>146</v>
      </c>
      <c r="DD41" t="s">
        <v>147</v>
      </c>
      <c r="DE41" s="31">
        <v>45161</v>
      </c>
    </row>
    <row r="42" spans="10:123" ht="15" x14ac:dyDescent="0.25">
      <c r="J42" s="124">
        <v>4</v>
      </c>
      <c r="K42" s="125" t="s">
        <v>500</v>
      </c>
      <c r="L42" s="125" t="s">
        <v>1301</v>
      </c>
      <c r="M42" s="126">
        <v>45257</v>
      </c>
      <c r="N42" s="127" t="s">
        <v>1129</v>
      </c>
      <c r="O42" s="128" t="s">
        <v>89</v>
      </c>
      <c r="P42" s="128" t="s">
        <v>89</v>
      </c>
      <c r="Q42" s="128" t="s">
        <v>89</v>
      </c>
      <c r="R42" s="129"/>
      <c r="S42" s="129"/>
      <c r="T42" s="127" t="s">
        <v>89</v>
      </c>
      <c r="U42" s="127" t="s">
        <v>89</v>
      </c>
      <c r="V42" s="125" t="s">
        <v>82</v>
      </c>
      <c r="W42" s="125" t="s">
        <v>89</v>
      </c>
      <c r="X42" s="125" t="s">
        <v>89</v>
      </c>
      <c r="Y42" s="130" t="s">
        <v>89</v>
      </c>
      <c r="Z42" s="130" t="s">
        <v>89</v>
      </c>
      <c r="AA42" s="125" t="s">
        <v>501</v>
      </c>
      <c r="AB42" s="125" t="s">
        <v>89</v>
      </c>
      <c r="AC42" s="125" t="s">
        <v>1302</v>
      </c>
      <c r="AD42" s="125" t="s">
        <v>1303</v>
      </c>
      <c r="AE42" s="125" t="s">
        <v>305</v>
      </c>
      <c r="AF42" s="125" t="s">
        <v>305</v>
      </c>
      <c r="AG42" s="125" t="s">
        <v>305</v>
      </c>
      <c r="AH42" s="124">
        <v>5.0000000000000001E-3</v>
      </c>
      <c r="AI42" s="128" t="s">
        <v>1304</v>
      </c>
      <c r="AJ42" s="124">
        <v>5.3</v>
      </c>
      <c r="AK42" s="126">
        <v>45351</v>
      </c>
      <c r="AL42" s="125" t="s">
        <v>106</v>
      </c>
      <c r="AM42" s="124"/>
      <c r="AN42" s="125" t="s">
        <v>308</v>
      </c>
      <c r="AO42" s="125" t="s">
        <v>328</v>
      </c>
      <c r="AP42" s="125" t="s">
        <v>89</v>
      </c>
      <c r="AQ42" s="125" t="s">
        <v>306</v>
      </c>
      <c r="AR42" s="124">
        <v>100</v>
      </c>
      <c r="AS42" s="124"/>
      <c r="AT42" s="125" t="s">
        <v>314</v>
      </c>
      <c r="AU42" s="125" t="s">
        <v>89</v>
      </c>
      <c r="AV42" s="125" t="s">
        <v>89</v>
      </c>
      <c r="AW42" s="124"/>
      <c r="AX42" s="124"/>
      <c r="AY42" s="124"/>
      <c r="AZ42" s="125" t="s">
        <v>244</v>
      </c>
      <c r="BA42" s="125" t="s">
        <v>329</v>
      </c>
      <c r="BB42" s="125" t="s">
        <v>305</v>
      </c>
      <c r="BC42" s="125" t="s">
        <v>89</v>
      </c>
      <c r="BD42" s="125" t="s">
        <v>81</v>
      </c>
      <c r="BE42" s="125" t="s">
        <v>1493</v>
      </c>
      <c r="BF42" s="125" t="s">
        <v>304</v>
      </c>
      <c r="BG42" s="125" t="s">
        <v>312</v>
      </c>
      <c r="BH42" s="125" t="s">
        <v>89</v>
      </c>
      <c r="BI42" s="125" t="s">
        <v>502</v>
      </c>
      <c r="BJ42" s="124">
        <v>500000</v>
      </c>
      <c r="BK42" s="124">
        <v>5.0000000000000001E-3</v>
      </c>
      <c r="BL42" s="126">
        <v>45259</v>
      </c>
      <c r="BM42" s="126"/>
      <c r="BN42" s="124">
        <v>5.3</v>
      </c>
      <c r="BO42" s="125" t="s">
        <v>89</v>
      </c>
      <c r="BP42" s="126">
        <v>45351</v>
      </c>
      <c r="BQ42" s="125" t="s">
        <v>503</v>
      </c>
      <c r="BR42" s="125" t="s">
        <v>500</v>
      </c>
      <c r="BS42" s="126">
        <v>45259</v>
      </c>
      <c r="BT42" s="125" t="s">
        <v>89</v>
      </c>
      <c r="BU42" s="126">
        <v>45259</v>
      </c>
      <c r="BV42" s="125" t="s">
        <v>89</v>
      </c>
      <c r="BW42" s="125" t="s">
        <v>501</v>
      </c>
      <c r="BX42" s="125" t="s">
        <v>303</v>
      </c>
      <c r="BY42" s="125" t="s">
        <v>303</v>
      </c>
      <c r="BZ42" s="125" t="s">
        <v>302</v>
      </c>
      <c r="CA42" s="125" t="s">
        <v>301</v>
      </c>
      <c r="CB42" s="125" t="s">
        <v>300</v>
      </c>
      <c r="CC42" s="125" t="s">
        <v>89</v>
      </c>
      <c r="CD42" s="125" t="s">
        <v>89</v>
      </c>
      <c r="CE42" s="125" t="s">
        <v>89</v>
      </c>
      <c r="CF42" s="125" t="s">
        <v>198</v>
      </c>
      <c r="CG42" s="126"/>
      <c r="CH42" s="125" t="s">
        <v>6</v>
      </c>
      <c r="CI42" s="125" t="s">
        <v>11</v>
      </c>
      <c r="CJ42" s="125" t="s">
        <v>6</v>
      </c>
      <c r="CK42" s="125" t="s">
        <v>89</v>
      </c>
      <c r="CL42" s="126"/>
      <c r="CM42" s="124"/>
      <c r="CN42" s="125" t="s">
        <v>80</v>
      </c>
      <c r="CO42" s="125" t="s">
        <v>80</v>
      </c>
      <c r="CP42" s="125" t="s">
        <v>514</v>
      </c>
      <c r="CQ42" s="128" t="s">
        <v>1305</v>
      </c>
      <c r="CR42" s="124" t="s">
        <v>298</v>
      </c>
      <c r="CS42" s="128" t="s">
        <v>89</v>
      </c>
      <c r="CX42" t="s">
        <v>924</v>
      </c>
      <c r="CY42" t="s">
        <v>925</v>
      </c>
      <c r="CZ42" t="s">
        <v>926</v>
      </c>
      <c r="DA42" t="s">
        <v>927</v>
      </c>
      <c r="DB42" s="22" t="s">
        <v>129</v>
      </c>
      <c r="DC42" t="s">
        <v>146</v>
      </c>
      <c r="DD42" t="s">
        <v>150</v>
      </c>
      <c r="DE42" s="31">
        <v>45160</v>
      </c>
    </row>
    <row r="43" spans="10:123" ht="15" x14ac:dyDescent="0.25">
      <c r="J43" s="124">
        <v>3</v>
      </c>
      <c r="K43" s="125" t="s">
        <v>349</v>
      </c>
      <c r="L43" s="125" t="s">
        <v>819</v>
      </c>
      <c r="M43" s="126">
        <v>45254</v>
      </c>
      <c r="N43" s="127" t="s">
        <v>253</v>
      </c>
      <c r="O43" s="128" t="s">
        <v>820</v>
      </c>
      <c r="P43" s="128" t="s">
        <v>821</v>
      </c>
      <c r="Q43" s="128" t="s">
        <v>821</v>
      </c>
      <c r="R43" s="129"/>
      <c r="S43" s="129"/>
      <c r="T43" s="127" t="s">
        <v>89</v>
      </c>
      <c r="U43" s="127" t="s">
        <v>89</v>
      </c>
      <c r="V43" s="125" t="s">
        <v>82</v>
      </c>
      <c r="W43" s="125" t="s">
        <v>253</v>
      </c>
      <c r="X43" s="125" t="s">
        <v>89</v>
      </c>
      <c r="Y43" s="130" t="s">
        <v>822</v>
      </c>
      <c r="Z43" s="130" t="s">
        <v>821</v>
      </c>
      <c r="AA43" s="125" t="s">
        <v>823</v>
      </c>
      <c r="AB43" s="125" t="s">
        <v>824</v>
      </c>
      <c r="AC43" s="125" t="s">
        <v>825</v>
      </c>
      <c r="AD43" s="125" t="s">
        <v>826</v>
      </c>
      <c r="AE43" s="125" t="s">
        <v>305</v>
      </c>
      <c r="AF43" s="125" t="s">
        <v>305</v>
      </c>
      <c r="AG43" s="125" t="s">
        <v>305</v>
      </c>
      <c r="AH43" s="124">
        <v>2.8</v>
      </c>
      <c r="AI43" s="128" t="s">
        <v>827</v>
      </c>
      <c r="AJ43" s="124">
        <v>7.5</v>
      </c>
      <c r="AK43" s="126">
        <v>49093</v>
      </c>
      <c r="AL43" s="125" t="s">
        <v>828</v>
      </c>
      <c r="AM43" s="124">
        <v>30</v>
      </c>
      <c r="AN43" s="125" t="s">
        <v>308</v>
      </c>
      <c r="AO43" s="125" t="s">
        <v>307</v>
      </c>
      <c r="AP43" s="125" t="s">
        <v>89</v>
      </c>
      <c r="AQ43" s="125" t="s">
        <v>829</v>
      </c>
      <c r="AR43" s="124">
        <v>100</v>
      </c>
      <c r="AS43" s="124"/>
      <c r="AT43" s="125" t="s">
        <v>830</v>
      </c>
      <c r="AU43" s="125" t="s">
        <v>831</v>
      </c>
      <c r="AV43" s="125" t="s">
        <v>89</v>
      </c>
      <c r="AW43" s="124"/>
      <c r="AX43" s="124"/>
      <c r="AY43" s="124"/>
      <c r="AZ43" s="125" t="s">
        <v>244</v>
      </c>
      <c r="BA43" s="125" t="s">
        <v>290</v>
      </c>
      <c r="BB43" s="125" t="s">
        <v>305</v>
      </c>
      <c r="BC43" s="125" t="s">
        <v>315</v>
      </c>
      <c r="BD43" s="125" t="s">
        <v>81</v>
      </c>
      <c r="BE43" s="125" t="s">
        <v>1494</v>
      </c>
      <c r="BF43" s="125" t="s">
        <v>832</v>
      </c>
      <c r="BG43" s="125" t="s">
        <v>312</v>
      </c>
      <c r="BH43" s="125" t="s">
        <v>833</v>
      </c>
      <c r="BI43" s="125" t="s">
        <v>834</v>
      </c>
      <c r="BJ43" s="124">
        <v>1000</v>
      </c>
      <c r="BK43" s="124">
        <v>2.8</v>
      </c>
      <c r="BL43" s="126">
        <v>45259</v>
      </c>
      <c r="BM43" s="126">
        <v>47267</v>
      </c>
      <c r="BN43" s="124">
        <v>7.5</v>
      </c>
      <c r="BO43" s="125" t="s">
        <v>89</v>
      </c>
      <c r="BP43" s="126">
        <v>45441</v>
      </c>
      <c r="BQ43" s="125" t="s">
        <v>349</v>
      </c>
      <c r="BR43" s="125" t="s">
        <v>89</v>
      </c>
      <c r="BS43" s="126">
        <v>45259</v>
      </c>
      <c r="BT43" s="125" t="s">
        <v>821</v>
      </c>
      <c r="BU43" s="126">
        <v>45259</v>
      </c>
      <c r="BV43" s="125" t="s">
        <v>89</v>
      </c>
      <c r="BW43" s="125" t="s">
        <v>835</v>
      </c>
      <c r="BX43" s="125" t="s">
        <v>303</v>
      </c>
      <c r="BY43" s="125" t="s">
        <v>303</v>
      </c>
      <c r="BZ43" s="125" t="s">
        <v>302</v>
      </c>
      <c r="CA43" s="125" t="s">
        <v>301</v>
      </c>
      <c r="CB43" s="125" t="s">
        <v>836</v>
      </c>
      <c r="CC43" s="125" t="s">
        <v>89</v>
      </c>
      <c r="CD43" s="125" t="s">
        <v>115</v>
      </c>
      <c r="CE43" s="125" t="s">
        <v>89</v>
      </c>
      <c r="CF43" s="125" t="s">
        <v>198</v>
      </c>
      <c r="CG43" s="126"/>
      <c r="CH43" s="125" t="s">
        <v>6</v>
      </c>
      <c r="CI43" s="125" t="s">
        <v>246</v>
      </c>
      <c r="CJ43" s="125" t="s">
        <v>129</v>
      </c>
      <c r="CK43" s="125" t="s">
        <v>89</v>
      </c>
      <c r="CL43" s="126"/>
      <c r="CM43" s="124"/>
      <c r="CN43" s="125" t="s">
        <v>80</v>
      </c>
      <c r="CO43" s="125" t="s">
        <v>80</v>
      </c>
      <c r="CP43" s="125" t="s">
        <v>514</v>
      </c>
      <c r="CQ43" s="128" t="s">
        <v>837</v>
      </c>
      <c r="CR43" s="124" t="s">
        <v>838</v>
      </c>
      <c r="CS43" s="128" t="s">
        <v>89</v>
      </c>
      <c r="CX43" t="s">
        <v>928</v>
      </c>
      <c r="CY43" t="s">
        <v>929</v>
      </c>
      <c r="CZ43" t="s">
        <v>930</v>
      </c>
      <c r="DA43" t="s">
        <v>931</v>
      </c>
      <c r="DB43" s="22" t="s">
        <v>130</v>
      </c>
      <c r="DC43" t="s">
        <v>146</v>
      </c>
      <c r="DD43" t="s">
        <v>150</v>
      </c>
      <c r="DE43" s="31">
        <v>45160</v>
      </c>
    </row>
    <row r="44" spans="10:123" ht="15" x14ac:dyDescent="0.25">
      <c r="J44" s="124">
        <v>2</v>
      </c>
      <c r="K44" s="125" t="s">
        <v>1145</v>
      </c>
      <c r="L44" s="125" t="s">
        <v>1306</v>
      </c>
      <c r="M44" s="126">
        <v>45254</v>
      </c>
      <c r="N44" s="127" t="s">
        <v>1172</v>
      </c>
      <c r="O44" s="128" t="s">
        <v>89</v>
      </c>
      <c r="P44" s="128" t="s">
        <v>89</v>
      </c>
      <c r="Q44" s="128" t="s">
        <v>89</v>
      </c>
      <c r="R44" s="129"/>
      <c r="S44" s="129"/>
      <c r="T44" s="127" t="s">
        <v>89</v>
      </c>
      <c r="U44" s="127" t="s">
        <v>89</v>
      </c>
      <c r="V44" s="125" t="s">
        <v>103</v>
      </c>
      <c r="W44" s="125" t="s">
        <v>89</v>
      </c>
      <c r="X44" s="125" t="s">
        <v>89</v>
      </c>
      <c r="Y44" s="130" t="s">
        <v>89</v>
      </c>
      <c r="Z44" s="130" t="s">
        <v>89</v>
      </c>
      <c r="AA44" s="125" t="s">
        <v>89</v>
      </c>
      <c r="AB44" s="125" t="s">
        <v>89</v>
      </c>
      <c r="AC44" s="125" t="s">
        <v>1307</v>
      </c>
      <c r="AD44" s="125" t="s">
        <v>1308</v>
      </c>
      <c r="AE44" s="125" t="s">
        <v>305</v>
      </c>
      <c r="AF44" s="125" t="s">
        <v>305</v>
      </c>
      <c r="AG44" s="125" t="s">
        <v>305</v>
      </c>
      <c r="AH44" s="124">
        <v>2</v>
      </c>
      <c r="AI44" s="128" t="s">
        <v>1309</v>
      </c>
      <c r="AJ44" s="124">
        <v>8.8000000000000007</v>
      </c>
      <c r="AK44" s="126">
        <v>45814</v>
      </c>
      <c r="AL44" s="125" t="s">
        <v>106</v>
      </c>
      <c r="AM44" s="124"/>
      <c r="AN44" s="125" t="s">
        <v>308</v>
      </c>
      <c r="AO44" s="125" t="s">
        <v>328</v>
      </c>
      <c r="AP44" s="125" t="s">
        <v>89</v>
      </c>
      <c r="AQ44" s="125" t="s">
        <v>306</v>
      </c>
      <c r="AR44" s="124">
        <v>100</v>
      </c>
      <c r="AS44" s="124"/>
      <c r="AT44" s="125" t="s">
        <v>581</v>
      </c>
      <c r="AU44" s="125" t="s">
        <v>1153</v>
      </c>
      <c r="AV44" s="125" t="s">
        <v>89</v>
      </c>
      <c r="AW44" s="124"/>
      <c r="AX44" s="124"/>
      <c r="AY44" s="124"/>
      <c r="AZ44" s="125" t="s">
        <v>244</v>
      </c>
      <c r="BA44" s="125" t="s">
        <v>329</v>
      </c>
      <c r="BB44" s="125" t="s">
        <v>305</v>
      </c>
      <c r="BC44" s="125" t="s">
        <v>570</v>
      </c>
      <c r="BD44" s="125" t="s">
        <v>1</v>
      </c>
      <c r="BE44" s="125" t="s">
        <v>1495</v>
      </c>
      <c r="BF44" s="125" t="s">
        <v>620</v>
      </c>
      <c r="BG44" s="125" t="s">
        <v>312</v>
      </c>
      <c r="BH44" s="125" t="s">
        <v>89</v>
      </c>
      <c r="BI44" s="125" t="s">
        <v>1155</v>
      </c>
      <c r="BJ44" s="124">
        <v>10000</v>
      </c>
      <c r="BK44" s="124">
        <v>2</v>
      </c>
      <c r="BL44" s="126">
        <v>45266</v>
      </c>
      <c r="BM44" s="126"/>
      <c r="BN44" s="124">
        <v>8.8000000000000007</v>
      </c>
      <c r="BO44" s="125" t="s">
        <v>89</v>
      </c>
      <c r="BP44" s="126">
        <v>45449</v>
      </c>
      <c r="BQ44" s="125" t="s">
        <v>1156</v>
      </c>
      <c r="BR44" s="125" t="s">
        <v>1145</v>
      </c>
      <c r="BS44" s="126">
        <v>45266</v>
      </c>
      <c r="BT44" s="125" t="s">
        <v>89</v>
      </c>
      <c r="BU44" s="126">
        <v>45266</v>
      </c>
      <c r="BV44" s="125" t="s">
        <v>89</v>
      </c>
      <c r="BW44" s="125" t="s">
        <v>89</v>
      </c>
      <c r="BX44" s="125" t="s">
        <v>303</v>
      </c>
      <c r="BY44" s="125" t="s">
        <v>303</v>
      </c>
      <c r="BZ44" s="125" t="s">
        <v>302</v>
      </c>
      <c r="CA44" s="125" t="s">
        <v>301</v>
      </c>
      <c r="CB44" s="125" t="s">
        <v>300</v>
      </c>
      <c r="CC44" s="125" t="s">
        <v>89</v>
      </c>
      <c r="CD44" s="125" t="s">
        <v>115</v>
      </c>
      <c r="CE44" s="125" t="s">
        <v>89</v>
      </c>
      <c r="CF44" s="125" t="s">
        <v>198</v>
      </c>
      <c r="CG44" s="126"/>
      <c r="CH44" s="125" t="s">
        <v>6</v>
      </c>
      <c r="CI44" s="125" t="s">
        <v>9</v>
      </c>
      <c r="CJ44" s="125" t="s">
        <v>6</v>
      </c>
      <c r="CK44" s="125" t="s">
        <v>89</v>
      </c>
      <c r="CL44" s="126"/>
      <c r="CM44" s="124"/>
      <c r="CN44" s="125" t="s">
        <v>80</v>
      </c>
      <c r="CO44" s="125" t="s">
        <v>80</v>
      </c>
      <c r="CP44" s="125" t="s">
        <v>514</v>
      </c>
      <c r="CQ44" s="128" t="s">
        <v>1310</v>
      </c>
      <c r="CR44" s="124" t="s">
        <v>203</v>
      </c>
      <c r="CS44" s="128" t="s">
        <v>89</v>
      </c>
      <c r="CX44" t="s">
        <v>932</v>
      </c>
      <c r="CY44" t="s">
        <v>933</v>
      </c>
      <c r="CZ44" t="s">
        <v>934</v>
      </c>
      <c r="DA44" t="s">
        <v>935</v>
      </c>
      <c r="DB44" s="22" t="s">
        <v>129</v>
      </c>
      <c r="DC44" t="s">
        <v>146</v>
      </c>
      <c r="DD44" t="s">
        <v>150</v>
      </c>
      <c r="DE44" s="31">
        <v>45148</v>
      </c>
    </row>
    <row r="45" spans="10:123" ht="15" x14ac:dyDescent="0.25">
      <c r="J45" s="124">
        <v>1</v>
      </c>
      <c r="K45" s="125" t="s">
        <v>1311</v>
      </c>
      <c r="L45" s="125" t="s">
        <v>1312</v>
      </c>
      <c r="M45" s="126">
        <v>45254</v>
      </c>
      <c r="N45" s="127" t="s">
        <v>1129</v>
      </c>
      <c r="O45" s="128" t="s">
        <v>89</v>
      </c>
      <c r="P45" s="128" t="s">
        <v>89</v>
      </c>
      <c r="Q45" s="128" t="s">
        <v>89</v>
      </c>
      <c r="R45" s="129"/>
      <c r="S45" s="129"/>
      <c r="T45" s="127" t="s">
        <v>89</v>
      </c>
      <c r="U45" s="127" t="s">
        <v>89</v>
      </c>
      <c r="V45" s="125" t="s">
        <v>103</v>
      </c>
      <c r="W45" s="125" t="s">
        <v>89</v>
      </c>
      <c r="X45" s="125" t="s">
        <v>89</v>
      </c>
      <c r="Y45" s="130" t="s">
        <v>89</v>
      </c>
      <c r="Z45" s="130" t="s">
        <v>89</v>
      </c>
      <c r="AA45" s="125" t="s">
        <v>1313</v>
      </c>
      <c r="AB45" s="125" t="s">
        <v>89</v>
      </c>
      <c r="AC45" s="125" t="s">
        <v>1314</v>
      </c>
      <c r="AD45" s="125" t="s">
        <v>1315</v>
      </c>
      <c r="AE45" s="125" t="s">
        <v>1316</v>
      </c>
      <c r="AF45" s="125" t="s">
        <v>563</v>
      </c>
      <c r="AG45" s="125" t="s">
        <v>305</v>
      </c>
      <c r="AH45" s="124">
        <v>3</v>
      </c>
      <c r="AI45" s="128" t="s">
        <v>310</v>
      </c>
      <c r="AJ45" s="124">
        <v>3.35</v>
      </c>
      <c r="AK45" s="126">
        <v>46357</v>
      </c>
      <c r="AL45" s="125" t="s">
        <v>106</v>
      </c>
      <c r="AM45" s="124"/>
      <c r="AN45" s="125" t="s">
        <v>308</v>
      </c>
      <c r="AO45" s="125" t="s">
        <v>307</v>
      </c>
      <c r="AP45" s="125" t="s">
        <v>89</v>
      </c>
      <c r="AQ45" s="125" t="s">
        <v>306</v>
      </c>
      <c r="AR45" s="124"/>
      <c r="AS45" s="124"/>
      <c r="AT45" s="125" t="s">
        <v>1201</v>
      </c>
      <c r="AU45" s="125" t="s">
        <v>89</v>
      </c>
      <c r="AV45" s="125" t="s">
        <v>89</v>
      </c>
      <c r="AW45" s="124"/>
      <c r="AX45" s="124"/>
      <c r="AY45" s="124"/>
      <c r="AZ45" s="125" t="s">
        <v>244</v>
      </c>
      <c r="BA45" s="125" t="s">
        <v>329</v>
      </c>
      <c r="BB45" s="125" t="s">
        <v>305</v>
      </c>
      <c r="BC45" s="125" t="s">
        <v>89</v>
      </c>
      <c r="BD45" s="125" t="s">
        <v>81</v>
      </c>
      <c r="BE45" s="125" t="s">
        <v>1491</v>
      </c>
      <c r="BF45" s="125" t="s">
        <v>622</v>
      </c>
      <c r="BG45" s="125" t="s">
        <v>311</v>
      </c>
      <c r="BH45" s="125" t="s">
        <v>89</v>
      </c>
      <c r="BI45" s="125" t="s">
        <v>1317</v>
      </c>
      <c r="BJ45" s="124">
        <v>1000000</v>
      </c>
      <c r="BK45" s="124">
        <v>3</v>
      </c>
      <c r="BL45" s="126">
        <v>45261</v>
      </c>
      <c r="BM45" s="126"/>
      <c r="BN45" s="124">
        <v>3.35</v>
      </c>
      <c r="BO45" s="125" t="s">
        <v>89</v>
      </c>
      <c r="BP45" s="126">
        <v>45628</v>
      </c>
      <c r="BQ45" s="125" t="s">
        <v>1311</v>
      </c>
      <c r="BR45" s="125" t="s">
        <v>89</v>
      </c>
      <c r="BS45" s="126">
        <v>45261</v>
      </c>
      <c r="BT45" s="125" t="s">
        <v>89</v>
      </c>
      <c r="BU45" s="126">
        <v>45261</v>
      </c>
      <c r="BV45" s="125" t="s">
        <v>89</v>
      </c>
      <c r="BW45" s="125" t="s">
        <v>1313</v>
      </c>
      <c r="BX45" s="125" t="s">
        <v>303</v>
      </c>
      <c r="BY45" s="125" t="s">
        <v>303</v>
      </c>
      <c r="BZ45" s="125" t="s">
        <v>302</v>
      </c>
      <c r="CA45" s="125" t="s">
        <v>301</v>
      </c>
      <c r="CB45" s="125" t="s">
        <v>300</v>
      </c>
      <c r="CC45" s="125" t="s">
        <v>89</v>
      </c>
      <c r="CD45" s="125" t="s">
        <v>791</v>
      </c>
      <c r="CE45" s="125" t="s">
        <v>89</v>
      </c>
      <c r="CF45" s="125" t="s">
        <v>198</v>
      </c>
      <c r="CG45" s="126"/>
      <c r="CH45" s="125" t="s">
        <v>6</v>
      </c>
      <c r="CI45" s="125" t="s">
        <v>12</v>
      </c>
      <c r="CJ45" s="125" t="s">
        <v>6</v>
      </c>
      <c r="CK45" s="125" t="s">
        <v>89</v>
      </c>
      <c r="CL45" s="126"/>
      <c r="CM45" s="124"/>
      <c r="CN45" s="125" t="s">
        <v>1287</v>
      </c>
      <c r="CO45" s="125" t="s">
        <v>1318</v>
      </c>
      <c r="CP45" s="125" t="s">
        <v>514</v>
      </c>
      <c r="CQ45" s="128" t="s">
        <v>1319</v>
      </c>
      <c r="CR45" s="124" t="s">
        <v>298</v>
      </c>
      <c r="CS45" s="128" t="s">
        <v>89</v>
      </c>
      <c r="CX45" t="s">
        <v>936</v>
      </c>
      <c r="CY45" t="s">
        <v>937</v>
      </c>
      <c r="CZ45" t="s">
        <v>938</v>
      </c>
      <c r="DA45" t="s">
        <v>939</v>
      </c>
      <c r="DB45" s="22" t="s">
        <v>130</v>
      </c>
      <c r="DC45" t="s">
        <v>146</v>
      </c>
      <c r="DD45" t="s">
        <v>157</v>
      </c>
      <c r="DE45" s="31">
        <v>45147</v>
      </c>
    </row>
    <row r="46" spans="10:123" ht="15" x14ac:dyDescent="0.25">
      <c r="CX46" t="s">
        <v>940</v>
      </c>
      <c r="CY46" t="s">
        <v>941</v>
      </c>
      <c r="CZ46" t="s">
        <v>942</v>
      </c>
      <c r="DA46" t="s">
        <v>943</v>
      </c>
      <c r="DB46" s="22" t="s">
        <v>129</v>
      </c>
      <c r="DC46" t="s">
        <v>146</v>
      </c>
      <c r="DD46" t="s">
        <v>157</v>
      </c>
      <c r="DE46" s="31">
        <v>45141</v>
      </c>
    </row>
    <row r="47" spans="10:123" ht="15" x14ac:dyDescent="0.25">
      <c r="S47" s="2" t="s">
        <v>89</v>
      </c>
      <c r="T47" s="2" t="s">
        <v>89</v>
      </c>
      <c r="CX47" t="s">
        <v>944</v>
      </c>
      <c r="CY47" t="s">
        <v>945</v>
      </c>
      <c r="CZ47" t="s">
        <v>801</v>
      </c>
      <c r="DA47" t="s">
        <v>946</v>
      </c>
      <c r="DB47" s="22" t="s">
        <v>129</v>
      </c>
      <c r="DC47" t="s">
        <v>146</v>
      </c>
      <c r="DD47" t="s">
        <v>147</v>
      </c>
      <c r="DE47" s="31">
        <v>45140</v>
      </c>
    </row>
    <row r="48" spans="10:123" ht="15" x14ac:dyDescent="0.25">
      <c r="T48" s="2" t="s">
        <v>89</v>
      </c>
      <c r="U48" s="1" t="s">
        <v>89</v>
      </c>
      <c r="CX48" t="s">
        <v>947</v>
      </c>
      <c r="CY48" t="s">
        <v>948</v>
      </c>
      <c r="CZ48" t="s">
        <v>949</v>
      </c>
      <c r="DA48" t="s">
        <v>950</v>
      </c>
      <c r="DB48" s="22" t="s">
        <v>130</v>
      </c>
      <c r="DC48" t="s">
        <v>149</v>
      </c>
      <c r="DD48" t="s">
        <v>147</v>
      </c>
      <c r="DE48" s="31">
        <v>45138</v>
      </c>
    </row>
    <row r="49" spans="20:109" ht="15" x14ac:dyDescent="0.25">
      <c r="T49" s="2" t="s">
        <v>89</v>
      </c>
      <c r="U49" s="1" t="s">
        <v>89</v>
      </c>
      <c r="CX49" t="s">
        <v>951</v>
      </c>
      <c r="CY49" t="s">
        <v>952</v>
      </c>
      <c r="CZ49" t="s">
        <v>953</v>
      </c>
      <c r="DA49" t="s">
        <v>954</v>
      </c>
      <c r="DB49" s="22" t="s">
        <v>129</v>
      </c>
      <c r="DC49" t="s">
        <v>146</v>
      </c>
      <c r="DD49" t="s">
        <v>157</v>
      </c>
      <c r="DE49" s="31">
        <v>45127</v>
      </c>
    </row>
    <row r="50" spans="20:109" ht="15" x14ac:dyDescent="0.25">
      <c r="T50" s="2" t="s">
        <v>89</v>
      </c>
      <c r="U50" s="1" t="s">
        <v>89</v>
      </c>
      <c r="CX50" t="s">
        <v>955</v>
      </c>
      <c r="CY50" t="s">
        <v>956</v>
      </c>
      <c r="CZ50" t="s">
        <v>957</v>
      </c>
      <c r="DA50" t="s">
        <v>958</v>
      </c>
      <c r="DB50" s="22" t="s">
        <v>129</v>
      </c>
      <c r="DC50" t="s">
        <v>146</v>
      </c>
      <c r="DD50" t="s">
        <v>150</v>
      </c>
      <c r="DE50" s="31">
        <v>45119</v>
      </c>
    </row>
    <row r="51" spans="20:109" ht="15" x14ac:dyDescent="0.25">
      <c r="T51" s="2" t="s">
        <v>89</v>
      </c>
      <c r="U51" s="1" t="s">
        <v>89</v>
      </c>
      <c r="CX51" t="s">
        <v>959</v>
      </c>
      <c r="CY51" t="s">
        <v>960</v>
      </c>
      <c r="CZ51" t="s">
        <v>961</v>
      </c>
      <c r="DA51" t="s">
        <v>962</v>
      </c>
      <c r="DB51" s="22" t="s">
        <v>129</v>
      </c>
      <c r="DC51" t="s">
        <v>146</v>
      </c>
      <c r="DD51" t="s">
        <v>150</v>
      </c>
      <c r="DE51" s="31">
        <v>45118</v>
      </c>
    </row>
    <row r="52" spans="20:109" ht="15" x14ac:dyDescent="0.25">
      <c r="T52" s="2" t="s">
        <v>89</v>
      </c>
      <c r="U52" s="1" t="s">
        <v>89</v>
      </c>
      <c r="CX52" t="s">
        <v>963</v>
      </c>
      <c r="CY52" t="s">
        <v>964</v>
      </c>
      <c r="CZ52" t="s">
        <v>965</v>
      </c>
      <c r="DA52" t="s">
        <v>966</v>
      </c>
      <c r="DB52" s="22" t="s">
        <v>129</v>
      </c>
      <c r="DC52" t="s">
        <v>146</v>
      </c>
      <c r="DD52" t="s">
        <v>147</v>
      </c>
      <c r="DE52" s="31">
        <v>45118</v>
      </c>
    </row>
    <row r="53" spans="20:109" ht="15" x14ac:dyDescent="0.25">
      <c r="T53" s="2" t="s">
        <v>89</v>
      </c>
      <c r="U53" s="1" t="s">
        <v>89</v>
      </c>
      <c r="CX53" t="s">
        <v>967</v>
      </c>
      <c r="CY53" t="s">
        <v>968</v>
      </c>
      <c r="CZ53" t="s">
        <v>625</v>
      </c>
      <c r="DA53" t="s">
        <v>969</v>
      </c>
      <c r="DB53" s="22" t="s">
        <v>129</v>
      </c>
      <c r="DC53" t="s">
        <v>146</v>
      </c>
      <c r="DD53" t="s">
        <v>147</v>
      </c>
      <c r="DE53" s="31">
        <v>45113</v>
      </c>
    </row>
    <row r="54" spans="20:109" ht="15" x14ac:dyDescent="0.25">
      <c r="T54" s="2" t="s">
        <v>89</v>
      </c>
      <c r="U54" s="1" t="s">
        <v>89</v>
      </c>
      <c r="CX54" t="s">
        <v>970</v>
      </c>
      <c r="CY54" t="s">
        <v>971</v>
      </c>
      <c r="CZ54" t="s">
        <v>349</v>
      </c>
      <c r="DA54" t="s">
        <v>972</v>
      </c>
      <c r="DB54" s="22" t="s">
        <v>129</v>
      </c>
      <c r="DC54" t="s">
        <v>146</v>
      </c>
      <c r="DD54" t="s">
        <v>147</v>
      </c>
      <c r="DE54" s="31">
        <v>45104</v>
      </c>
    </row>
    <row r="55" spans="20:109" ht="15" x14ac:dyDescent="0.25">
      <c r="T55" s="2" t="s">
        <v>89</v>
      </c>
      <c r="U55" s="1" t="s">
        <v>89</v>
      </c>
      <c r="CX55" t="s">
        <v>973</v>
      </c>
      <c r="CY55" t="s">
        <v>974</v>
      </c>
      <c r="CZ55" t="s">
        <v>975</v>
      </c>
      <c r="DA55" t="s">
        <v>976</v>
      </c>
      <c r="DB55" s="22" t="s">
        <v>130</v>
      </c>
      <c r="DC55" t="s">
        <v>146</v>
      </c>
      <c r="DD55" t="s">
        <v>150</v>
      </c>
      <c r="DE55" s="31">
        <v>45104</v>
      </c>
    </row>
    <row r="56" spans="20:109" ht="15" x14ac:dyDescent="0.25">
      <c r="T56" s="2" t="s">
        <v>89</v>
      </c>
      <c r="U56" s="1" t="s">
        <v>89</v>
      </c>
      <c r="CX56" t="s">
        <v>977</v>
      </c>
      <c r="CY56" t="s">
        <v>978</v>
      </c>
      <c r="CZ56" t="s">
        <v>979</v>
      </c>
      <c r="DA56" t="s">
        <v>980</v>
      </c>
      <c r="DB56" s="22" t="s">
        <v>129</v>
      </c>
      <c r="DC56" t="s">
        <v>146</v>
      </c>
      <c r="DD56" t="s">
        <v>150</v>
      </c>
      <c r="DE56" s="31">
        <v>45097</v>
      </c>
    </row>
    <row r="57" spans="20:109" ht="15" x14ac:dyDescent="0.25">
      <c r="T57" s="2" t="s">
        <v>89</v>
      </c>
      <c r="U57" s="1" t="s">
        <v>89</v>
      </c>
      <c r="CX57" t="s">
        <v>981</v>
      </c>
      <c r="CY57" t="s">
        <v>982</v>
      </c>
      <c r="CZ57" t="s">
        <v>983</v>
      </c>
      <c r="DA57" t="s">
        <v>984</v>
      </c>
      <c r="DB57" s="22" t="s">
        <v>129</v>
      </c>
      <c r="DC57" t="s">
        <v>900</v>
      </c>
      <c r="DD57" t="s">
        <v>147</v>
      </c>
      <c r="DE57" s="31">
        <v>45096</v>
      </c>
    </row>
    <row r="58" spans="20:109" ht="15" x14ac:dyDescent="0.25">
      <c r="T58" s="2" t="s">
        <v>89</v>
      </c>
      <c r="U58" s="1" t="s">
        <v>89</v>
      </c>
      <c r="CX58" t="s">
        <v>985</v>
      </c>
      <c r="CY58" t="s">
        <v>986</v>
      </c>
      <c r="CZ58" t="s">
        <v>987</v>
      </c>
      <c r="DA58" t="s">
        <v>988</v>
      </c>
      <c r="DB58" s="22" t="s">
        <v>129</v>
      </c>
      <c r="DC58" t="s">
        <v>146</v>
      </c>
      <c r="DD58" t="s">
        <v>150</v>
      </c>
      <c r="DE58" s="31">
        <v>45093</v>
      </c>
    </row>
    <row r="59" spans="20:109" ht="15" x14ac:dyDescent="0.25">
      <c r="T59" s="2" t="s">
        <v>89</v>
      </c>
      <c r="U59" s="1" t="s">
        <v>89</v>
      </c>
      <c r="CX59" t="s">
        <v>989</v>
      </c>
      <c r="CY59" t="s">
        <v>986</v>
      </c>
      <c r="CZ59" t="s">
        <v>987</v>
      </c>
      <c r="DA59" t="s">
        <v>990</v>
      </c>
      <c r="DB59" s="22" t="s">
        <v>129</v>
      </c>
      <c r="DC59" t="s">
        <v>146</v>
      </c>
      <c r="DD59" t="s">
        <v>150</v>
      </c>
      <c r="DE59" s="31">
        <v>45091</v>
      </c>
    </row>
    <row r="60" spans="20:109" ht="15" x14ac:dyDescent="0.25">
      <c r="T60" s="2" t="s">
        <v>89</v>
      </c>
      <c r="U60" s="1" t="s">
        <v>89</v>
      </c>
      <c r="CX60" t="s">
        <v>991</v>
      </c>
      <c r="CY60" t="s">
        <v>992</v>
      </c>
      <c r="CZ60" t="s">
        <v>993</v>
      </c>
      <c r="DA60" t="s">
        <v>994</v>
      </c>
      <c r="DB60" s="22" t="s">
        <v>129</v>
      </c>
      <c r="DC60" t="s">
        <v>146</v>
      </c>
      <c r="DD60" t="s">
        <v>150</v>
      </c>
      <c r="DE60" s="31">
        <v>45089</v>
      </c>
    </row>
    <row r="61" spans="20:109" ht="15" x14ac:dyDescent="0.25">
      <c r="T61" s="2" t="s">
        <v>89</v>
      </c>
      <c r="U61" s="1" t="s">
        <v>89</v>
      </c>
      <c r="CX61" t="s">
        <v>995</v>
      </c>
      <c r="CY61" t="s">
        <v>996</v>
      </c>
      <c r="CZ61" t="s">
        <v>997</v>
      </c>
      <c r="DA61" t="s">
        <v>998</v>
      </c>
      <c r="DB61" s="22" t="s">
        <v>129</v>
      </c>
      <c r="DC61" t="s">
        <v>146</v>
      </c>
      <c r="DD61" t="s">
        <v>150</v>
      </c>
      <c r="DE61" s="31">
        <v>45086</v>
      </c>
    </row>
    <row r="62" spans="20:109" ht="15" x14ac:dyDescent="0.25">
      <c r="T62" s="2" t="s">
        <v>89</v>
      </c>
      <c r="U62" s="1" t="s">
        <v>89</v>
      </c>
      <c r="CX62" t="s">
        <v>999</v>
      </c>
      <c r="CY62" t="s">
        <v>1000</v>
      </c>
      <c r="CZ62" t="s">
        <v>1001</v>
      </c>
      <c r="DA62" t="s">
        <v>1002</v>
      </c>
      <c r="DB62" s="22" t="s">
        <v>129</v>
      </c>
      <c r="DC62" t="s">
        <v>146</v>
      </c>
      <c r="DD62" t="s">
        <v>150</v>
      </c>
      <c r="DE62" s="31">
        <v>45086</v>
      </c>
    </row>
    <row r="63" spans="20:109" ht="15" x14ac:dyDescent="0.25">
      <c r="T63" s="2" t="s">
        <v>89</v>
      </c>
      <c r="U63" s="1" t="s">
        <v>89</v>
      </c>
      <c r="CX63" t="s">
        <v>1003</v>
      </c>
      <c r="CY63" t="s">
        <v>960</v>
      </c>
      <c r="CZ63" t="s">
        <v>961</v>
      </c>
      <c r="DA63" t="s">
        <v>1004</v>
      </c>
      <c r="DB63" s="22" t="s">
        <v>129</v>
      </c>
      <c r="DC63" t="s">
        <v>146</v>
      </c>
      <c r="DD63" t="s">
        <v>150</v>
      </c>
      <c r="DE63" s="31">
        <v>45083</v>
      </c>
    </row>
    <row r="64" spans="20:109" ht="15" x14ac:dyDescent="0.25">
      <c r="CX64" t="s">
        <v>1005</v>
      </c>
      <c r="CY64" t="s">
        <v>1006</v>
      </c>
      <c r="CZ64" t="s">
        <v>1007</v>
      </c>
      <c r="DA64" t="s">
        <v>1008</v>
      </c>
      <c r="DB64" s="22" t="s">
        <v>129</v>
      </c>
      <c r="DC64" t="s">
        <v>146</v>
      </c>
      <c r="DD64" t="s">
        <v>150</v>
      </c>
      <c r="DE64" s="31">
        <v>45078</v>
      </c>
    </row>
    <row r="65" spans="102:109" ht="15" x14ac:dyDescent="0.25">
      <c r="CX65" t="s">
        <v>1009</v>
      </c>
      <c r="CY65" t="s">
        <v>1010</v>
      </c>
      <c r="CZ65" t="s">
        <v>1011</v>
      </c>
      <c r="DA65" t="s">
        <v>1012</v>
      </c>
      <c r="DB65" s="22" t="s">
        <v>130</v>
      </c>
      <c r="DC65" t="s">
        <v>146</v>
      </c>
      <c r="DD65" t="s">
        <v>147</v>
      </c>
      <c r="DE65" s="31">
        <v>45069</v>
      </c>
    </row>
    <row r="66" spans="102:109" ht="15" x14ac:dyDescent="0.25">
      <c r="CX66" t="s">
        <v>1009</v>
      </c>
      <c r="CY66" t="s">
        <v>1013</v>
      </c>
      <c r="CZ66" t="s">
        <v>1014</v>
      </c>
      <c r="DA66" t="s">
        <v>1015</v>
      </c>
      <c r="DB66" s="22" t="s">
        <v>130</v>
      </c>
      <c r="DC66" t="s">
        <v>146</v>
      </c>
      <c r="DD66" t="s">
        <v>147</v>
      </c>
      <c r="DE66" s="31">
        <v>45069</v>
      </c>
    </row>
    <row r="67" spans="102:109" ht="15" x14ac:dyDescent="0.25">
      <c r="CX67" t="s">
        <v>1016</v>
      </c>
      <c r="CY67" t="s">
        <v>1017</v>
      </c>
      <c r="CZ67" t="s">
        <v>949</v>
      </c>
      <c r="DA67" t="s">
        <v>1018</v>
      </c>
      <c r="DB67" s="22" t="s">
        <v>130</v>
      </c>
      <c r="DC67" t="s">
        <v>149</v>
      </c>
      <c r="DD67" t="s">
        <v>147</v>
      </c>
      <c r="DE67" s="31">
        <v>45064</v>
      </c>
    </row>
    <row r="68" spans="102:109" ht="15" x14ac:dyDescent="0.25">
      <c r="CX68" t="s">
        <v>1019</v>
      </c>
      <c r="CY68" t="s">
        <v>1020</v>
      </c>
      <c r="CZ68" t="s">
        <v>1021</v>
      </c>
      <c r="DA68" t="s">
        <v>1022</v>
      </c>
      <c r="DB68" s="22" t="s">
        <v>129</v>
      </c>
      <c r="DC68" t="s">
        <v>146</v>
      </c>
      <c r="DD68" t="s">
        <v>147</v>
      </c>
      <c r="DE68" s="31">
        <v>45056</v>
      </c>
    </row>
    <row r="69" spans="102:109" ht="15" x14ac:dyDescent="0.25">
      <c r="CX69" t="s">
        <v>1023</v>
      </c>
      <c r="CY69" t="s">
        <v>1024</v>
      </c>
      <c r="CZ69" t="s">
        <v>1025</v>
      </c>
      <c r="DA69" t="s">
        <v>1026</v>
      </c>
      <c r="DB69" s="22" t="s">
        <v>129</v>
      </c>
      <c r="DC69" t="s">
        <v>146</v>
      </c>
      <c r="DD69" t="s">
        <v>147</v>
      </c>
      <c r="DE69" s="31">
        <v>45036</v>
      </c>
    </row>
    <row r="70" spans="102:109" ht="15" x14ac:dyDescent="0.25">
      <c r="CX70" t="s">
        <v>1023</v>
      </c>
      <c r="CY70" t="s">
        <v>1027</v>
      </c>
      <c r="CZ70" t="s">
        <v>1025</v>
      </c>
      <c r="DA70" t="s">
        <v>1028</v>
      </c>
      <c r="DB70" s="22" t="s">
        <v>129</v>
      </c>
      <c r="DC70" t="s">
        <v>146</v>
      </c>
      <c r="DD70" t="s">
        <v>147</v>
      </c>
      <c r="DE70" s="31">
        <v>45036</v>
      </c>
    </row>
    <row r="71" spans="102:109" ht="15" x14ac:dyDescent="0.25">
      <c r="CX71" t="s">
        <v>1029</v>
      </c>
      <c r="CY71" t="s">
        <v>1030</v>
      </c>
      <c r="CZ71" t="s">
        <v>1031</v>
      </c>
      <c r="DA71" t="s">
        <v>1032</v>
      </c>
      <c r="DB71" s="22" t="s">
        <v>130</v>
      </c>
      <c r="DC71" t="s">
        <v>149</v>
      </c>
      <c r="DD71" t="s">
        <v>150</v>
      </c>
      <c r="DE71" s="31">
        <v>45034</v>
      </c>
    </row>
    <row r="72" spans="102:109" ht="15" x14ac:dyDescent="0.25">
      <c r="CX72" t="s">
        <v>1033</v>
      </c>
      <c r="CY72" t="s">
        <v>1034</v>
      </c>
      <c r="CZ72" t="s">
        <v>1035</v>
      </c>
      <c r="DA72" t="s">
        <v>1036</v>
      </c>
      <c r="DB72" s="22" t="s">
        <v>130</v>
      </c>
      <c r="DC72" t="s">
        <v>146</v>
      </c>
      <c r="DD72" t="s">
        <v>150</v>
      </c>
      <c r="DE72" s="31">
        <v>45033</v>
      </c>
    </row>
    <row r="73" spans="102:109" ht="15" x14ac:dyDescent="0.25">
      <c r="CX73" t="s">
        <v>1037</v>
      </c>
      <c r="CY73" t="s">
        <v>1038</v>
      </c>
      <c r="CZ73" t="s">
        <v>1001</v>
      </c>
      <c r="DA73" t="s">
        <v>1039</v>
      </c>
      <c r="DB73" s="22" t="s">
        <v>129</v>
      </c>
      <c r="DC73" t="s">
        <v>146</v>
      </c>
      <c r="DD73" t="s">
        <v>150</v>
      </c>
      <c r="DE73" s="31">
        <v>45033</v>
      </c>
    </row>
    <row r="74" spans="102:109" ht="15" x14ac:dyDescent="0.25">
      <c r="CX74" t="s">
        <v>1040</v>
      </c>
      <c r="CY74" t="s">
        <v>1041</v>
      </c>
      <c r="CZ74" t="s">
        <v>1042</v>
      </c>
      <c r="DA74" t="s">
        <v>1043</v>
      </c>
      <c r="DB74" s="22" t="s">
        <v>130</v>
      </c>
      <c r="DC74" t="s">
        <v>149</v>
      </c>
      <c r="DD74" t="s">
        <v>147</v>
      </c>
      <c r="DE74" s="31">
        <v>45033</v>
      </c>
    </row>
    <row r="75" spans="102:109" ht="15" x14ac:dyDescent="0.25">
      <c r="CX75" t="s">
        <v>1044</v>
      </c>
      <c r="CY75" t="s">
        <v>1045</v>
      </c>
      <c r="CZ75" t="s">
        <v>1046</v>
      </c>
      <c r="DA75" t="s">
        <v>1047</v>
      </c>
      <c r="DB75" s="22" t="s">
        <v>130</v>
      </c>
      <c r="DC75" t="s">
        <v>149</v>
      </c>
      <c r="DD75" t="s">
        <v>150</v>
      </c>
      <c r="DE75" s="31">
        <v>45033</v>
      </c>
    </row>
    <row r="76" spans="102:109" ht="15" x14ac:dyDescent="0.25">
      <c r="CX76" t="s">
        <v>1048</v>
      </c>
      <c r="CY76" t="s">
        <v>1049</v>
      </c>
      <c r="CZ76" t="s">
        <v>1050</v>
      </c>
      <c r="DA76" t="s">
        <v>1051</v>
      </c>
      <c r="DB76" s="22" t="s">
        <v>129</v>
      </c>
      <c r="DC76" t="s">
        <v>146</v>
      </c>
      <c r="DD76" t="s">
        <v>157</v>
      </c>
      <c r="DE76" s="31">
        <v>45028</v>
      </c>
    </row>
    <row r="77" spans="102:109" ht="15" x14ac:dyDescent="0.25">
      <c r="CX77" t="s">
        <v>1052</v>
      </c>
      <c r="CY77" t="s">
        <v>1053</v>
      </c>
      <c r="CZ77" t="s">
        <v>1054</v>
      </c>
      <c r="DA77" t="s">
        <v>1055</v>
      </c>
      <c r="DB77" s="22" t="s">
        <v>129</v>
      </c>
      <c r="DC77" t="s">
        <v>146</v>
      </c>
      <c r="DD77" t="s">
        <v>150</v>
      </c>
      <c r="DE77" s="31">
        <v>45016</v>
      </c>
    </row>
    <row r="78" spans="102:109" ht="15" x14ac:dyDescent="0.25">
      <c r="CX78" t="s">
        <v>1056</v>
      </c>
      <c r="CY78" t="s">
        <v>1057</v>
      </c>
      <c r="CZ78" t="s">
        <v>1058</v>
      </c>
      <c r="DA78" t="s">
        <v>1059</v>
      </c>
      <c r="DB78" s="22" t="s">
        <v>129</v>
      </c>
      <c r="DC78" t="s">
        <v>146</v>
      </c>
      <c r="DD78" t="s">
        <v>157</v>
      </c>
      <c r="DE78" s="31">
        <v>45015</v>
      </c>
    </row>
    <row r="79" spans="102:109" ht="15" x14ac:dyDescent="0.25">
      <c r="CX79" t="s">
        <v>1060</v>
      </c>
      <c r="CY79" t="s">
        <v>1061</v>
      </c>
      <c r="CZ79" t="s">
        <v>1035</v>
      </c>
      <c r="DA79" t="s">
        <v>1062</v>
      </c>
      <c r="DB79" s="22" t="s">
        <v>130</v>
      </c>
      <c r="DC79" t="s">
        <v>146</v>
      </c>
      <c r="DD79" t="s">
        <v>150</v>
      </c>
      <c r="DE79" s="31">
        <v>45009</v>
      </c>
    </row>
    <row r="80" spans="102:109" ht="15" x14ac:dyDescent="0.25">
      <c r="CX80" t="s">
        <v>1063</v>
      </c>
      <c r="CY80" t="s">
        <v>1064</v>
      </c>
      <c r="CZ80" t="s">
        <v>1065</v>
      </c>
      <c r="DA80" t="s">
        <v>1066</v>
      </c>
      <c r="DB80" s="22" t="s">
        <v>130</v>
      </c>
      <c r="DC80" t="s">
        <v>149</v>
      </c>
      <c r="DD80" t="s">
        <v>150</v>
      </c>
      <c r="DE80" s="31">
        <v>45008</v>
      </c>
    </row>
    <row r="81" spans="102:109" ht="15" x14ac:dyDescent="0.25">
      <c r="CX81" t="s">
        <v>1067</v>
      </c>
      <c r="CY81" t="s">
        <v>1068</v>
      </c>
      <c r="CZ81" t="s">
        <v>1069</v>
      </c>
      <c r="DA81" t="s">
        <v>1070</v>
      </c>
      <c r="DB81" s="22" t="s">
        <v>129</v>
      </c>
      <c r="DC81" t="s">
        <v>146</v>
      </c>
      <c r="DD81" t="s">
        <v>150</v>
      </c>
      <c r="DE81" s="31">
        <v>45006</v>
      </c>
    </row>
    <row r="82" spans="102:109" ht="15" x14ac:dyDescent="0.25">
      <c r="CX82" t="s">
        <v>1071</v>
      </c>
      <c r="CY82" t="s">
        <v>1072</v>
      </c>
      <c r="CZ82" t="s">
        <v>1073</v>
      </c>
      <c r="DA82" t="s">
        <v>1074</v>
      </c>
      <c r="DB82" s="22" t="s">
        <v>129</v>
      </c>
      <c r="DC82" t="s">
        <v>146</v>
      </c>
      <c r="DD82" t="s">
        <v>150</v>
      </c>
      <c r="DE82" s="31">
        <v>45002</v>
      </c>
    </row>
    <row r="83" spans="102:109" ht="15" x14ac:dyDescent="0.25">
      <c r="CX83" t="s">
        <v>1075</v>
      </c>
      <c r="CY83" t="s">
        <v>1076</v>
      </c>
      <c r="CZ83" t="s">
        <v>1077</v>
      </c>
      <c r="DA83" t="s">
        <v>1078</v>
      </c>
      <c r="DB83" s="22" t="s">
        <v>129</v>
      </c>
      <c r="DC83" t="s">
        <v>146</v>
      </c>
      <c r="DD83" t="s">
        <v>157</v>
      </c>
      <c r="DE83" s="31">
        <v>44993</v>
      </c>
    </row>
    <row r="84" spans="102:109" ht="15" x14ac:dyDescent="0.25">
      <c r="CX84" t="s">
        <v>1079</v>
      </c>
      <c r="CY84" t="s">
        <v>1080</v>
      </c>
      <c r="CZ84" t="s">
        <v>1081</v>
      </c>
      <c r="DA84" t="s">
        <v>1082</v>
      </c>
      <c r="DB84" s="22" t="s">
        <v>129</v>
      </c>
      <c r="DC84" t="s">
        <v>146</v>
      </c>
      <c r="DD84" t="s">
        <v>150</v>
      </c>
      <c r="DE84" s="31">
        <v>44992</v>
      </c>
    </row>
    <row r="85" spans="102:109" ht="15" x14ac:dyDescent="0.25">
      <c r="CX85" t="s">
        <v>1083</v>
      </c>
      <c r="CY85" t="s">
        <v>1084</v>
      </c>
      <c r="CZ85" t="s">
        <v>987</v>
      </c>
      <c r="DA85" t="s">
        <v>1085</v>
      </c>
      <c r="DB85" s="22" t="s">
        <v>129</v>
      </c>
      <c r="DC85" t="s">
        <v>146</v>
      </c>
      <c r="DD85" t="s">
        <v>150</v>
      </c>
      <c r="DE85" s="31">
        <v>44992</v>
      </c>
    </row>
    <row r="86" spans="102:109" ht="15" x14ac:dyDescent="0.25">
      <c r="CX86" t="s">
        <v>1086</v>
      </c>
      <c r="CY86" t="s">
        <v>1087</v>
      </c>
      <c r="CZ86" t="s">
        <v>1088</v>
      </c>
      <c r="DA86" t="s">
        <v>1089</v>
      </c>
      <c r="DB86" s="22" t="s">
        <v>129</v>
      </c>
      <c r="DC86" t="s">
        <v>146</v>
      </c>
      <c r="DD86" t="s">
        <v>157</v>
      </c>
      <c r="DE86" s="31">
        <v>44988</v>
      </c>
    </row>
    <row r="87" spans="102:109" ht="15" x14ac:dyDescent="0.25">
      <c r="CX87" t="s">
        <v>1090</v>
      </c>
      <c r="CY87" t="s">
        <v>1091</v>
      </c>
      <c r="CZ87" t="s">
        <v>361</v>
      </c>
      <c r="DA87" t="s">
        <v>1092</v>
      </c>
      <c r="DB87" s="22" t="s">
        <v>129</v>
      </c>
      <c r="DC87" t="s">
        <v>146</v>
      </c>
      <c r="DD87" t="s">
        <v>147</v>
      </c>
      <c r="DE87" s="31">
        <v>44985</v>
      </c>
    </row>
    <row r="88" spans="102:109" ht="15" x14ac:dyDescent="0.25">
      <c r="CX88" t="s">
        <v>1093</v>
      </c>
      <c r="CY88" t="s">
        <v>1094</v>
      </c>
      <c r="CZ88" t="s">
        <v>1095</v>
      </c>
      <c r="DA88" t="s">
        <v>1096</v>
      </c>
      <c r="DB88" s="22" t="s">
        <v>129</v>
      </c>
      <c r="DC88" t="s">
        <v>146</v>
      </c>
      <c r="DD88" t="s">
        <v>147</v>
      </c>
      <c r="DE88" s="31">
        <v>44980</v>
      </c>
    </row>
    <row r="89" spans="102:109" ht="15" x14ac:dyDescent="0.25">
      <c r="CX89" t="s">
        <v>1097</v>
      </c>
      <c r="CY89" t="s">
        <v>1098</v>
      </c>
      <c r="CZ89" t="s">
        <v>1099</v>
      </c>
      <c r="DA89" t="s">
        <v>1100</v>
      </c>
      <c r="DB89" s="22" t="s">
        <v>129</v>
      </c>
      <c r="DC89" t="s">
        <v>146</v>
      </c>
      <c r="DD89" t="s">
        <v>157</v>
      </c>
      <c r="DE89" s="31">
        <v>44978</v>
      </c>
    </row>
    <row r="90" spans="102:109" ht="15" x14ac:dyDescent="0.25">
      <c r="CX90" t="s">
        <v>1101</v>
      </c>
      <c r="CY90" t="s">
        <v>1102</v>
      </c>
      <c r="CZ90" t="s">
        <v>1103</v>
      </c>
      <c r="DA90" t="s">
        <v>1104</v>
      </c>
      <c r="DB90" s="22" t="s">
        <v>129</v>
      </c>
      <c r="DC90" t="s">
        <v>146</v>
      </c>
      <c r="DD90" t="s">
        <v>147</v>
      </c>
      <c r="DE90" s="31">
        <v>44978</v>
      </c>
    </row>
    <row r="91" spans="102:109" ht="15" x14ac:dyDescent="0.25">
      <c r="CX91" t="s">
        <v>1105</v>
      </c>
      <c r="CY91" t="s">
        <v>1106</v>
      </c>
      <c r="CZ91" t="s">
        <v>1107</v>
      </c>
      <c r="DA91" t="s">
        <v>1108</v>
      </c>
      <c r="DB91" s="22" t="s">
        <v>129</v>
      </c>
      <c r="DC91" t="s">
        <v>146</v>
      </c>
      <c r="DD91" t="s">
        <v>150</v>
      </c>
      <c r="DE91" s="31">
        <v>44973</v>
      </c>
    </row>
    <row r="92" spans="102:109" ht="15" x14ac:dyDescent="0.25">
      <c r="CX92" t="s">
        <v>1109</v>
      </c>
      <c r="CY92" t="s">
        <v>1110</v>
      </c>
      <c r="CZ92" t="s">
        <v>1111</v>
      </c>
      <c r="DA92" t="s">
        <v>1112</v>
      </c>
      <c r="DB92" s="22" t="s">
        <v>129</v>
      </c>
      <c r="DC92" t="s">
        <v>146</v>
      </c>
      <c r="DD92" t="s">
        <v>150</v>
      </c>
      <c r="DE92" s="31">
        <v>44970</v>
      </c>
    </row>
    <row r="93" spans="102:109" ht="15" x14ac:dyDescent="0.25">
      <c r="CX93" t="s">
        <v>1113</v>
      </c>
      <c r="CY93" t="s">
        <v>1114</v>
      </c>
      <c r="CZ93" t="s">
        <v>1046</v>
      </c>
      <c r="DA93" t="s">
        <v>1115</v>
      </c>
      <c r="DB93" s="22" t="s">
        <v>129</v>
      </c>
      <c r="DC93" t="s">
        <v>146</v>
      </c>
      <c r="DD93" t="s">
        <v>150</v>
      </c>
      <c r="DE93" s="31">
        <v>44965</v>
      </c>
    </row>
    <row r="94" spans="102:109" ht="15" x14ac:dyDescent="0.25">
      <c r="CX94" t="s">
        <v>1116</v>
      </c>
      <c r="CY94" t="s">
        <v>1117</v>
      </c>
      <c r="CZ94" t="s">
        <v>1118</v>
      </c>
      <c r="DA94" t="s">
        <v>1119</v>
      </c>
      <c r="DB94" s="22" t="s">
        <v>130</v>
      </c>
      <c r="DC94" t="s">
        <v>146</v>
      </c>
      <c r="DD94" t="s">
        <v>150</v>
      </c>
      <c r="DE94" s="31">
        <v>44960</v>
      </c>
    </row>
    <row r="95" spans="102:109" ht="15" x14ac:dyDescent="0.25">
      <c r="CX95" t="s">
        <v>1120</v>
      </c>
      <c r="CY95" t="s">
        <v>1121</v>
      </c>
      <c r="CZ95" t="s">
        <v>1042</v>
      </c>
      <c r="DA95" t="s">
        <v>1122</v>
      </c>
      <c r="DB95" s="22" t="s">
        <v>130</v>
      </c>
      <c r="DC95" t="s">
        <v>146</v>
      </c>
      <c r="DD95" t="s">
        <v>147</v>
      </c>
      <c r="DE95" s="31">
        <v>44938</v>
      </c>
    </row>
    <row r="96" spans="102:109" ht="15" x14ac:dyDescent="0.25">
      <c r="CX96" t="s">
        <v>1123</v>
      </c>
      <c r="CY96" t="s">
        <v>1124</v>
      </c>
      <c r="CZ96" t="s">
        <v>1125</v>
      </c>
      <c r="DA96" t="s">
        <v>131</v>
      </c>
      <c r="DB96" s="22" t="s">
        <v>129</v>
      </c>
      <c r="DC96" t="s">
        <v>146</v>
      </c>
      <c r="DD96" t="s">
        <v>150</v>
      </c>
      <c r="DE96" s="31">
        <v>44938</v>
      </c>
    </row>
    <row r="97" spans="102:109" ht="15" x14ac:dyDescent="0.25">
      <c r="CX97" t="s">
        <v>1126</v>
      </c>
      <c r="CY97" t="s">
        <v>1127</v>
      </c>
      <c r="CZ97" t="s">
        <v>1128</v>
      </c>
      <c r="DA97" t="s">
        <v>544</v>
      </c>
      <c r="DB97" s="22" t="s">
        <v>129</v>
      </c>
      <c r="DC97" t="s">
        <v>146</v>
      </c>
      <c r="DD97" t="s">
        <v>147</v>
      </c>
      <c r="DE97" s="31">
        <v>44936</v>
      </c>
    </row>
    <row r="98" spans="102:109" ht="18" customHeight="1" x14ac:dyDescent="0.25">
      <c r="CZ98" s="2"/>
      <c r="DA98" s="2"/>
      <c r="DB98" s="2"/>
      <c r="DC98" s="2"/>
    </row>
    <row r="99" spans="102:109" ht="18" customHeight="1" x14ac:dyDescent="0.25">
      <c r="CZ99" s="2"/>
      <c r="DA99" s="2"/>
      <c r="DB99" s="2"/>
      <c r="DC99" s="2"/>
    </row>
    <row r="100" spans="102:109" ht="18" customHeight="1" x14ac:dyDescent="0.25">
      <c r="CZ100" s="2"/>
      <c r="DA100" s="2"/>
      <c r="DB100" s="2"/>
      <c r="DC100" s="2"/>
    </row>
    <row r="101" spans="102:109" ht="18" customHeight="1" x14ac:dyDescent="0.25">
      <c r="CZ101" s="2"/>
      <c r="DA101" s="2"/>
      <c r="DB101" s="2"/>
      <c r="DC101" s="2"/>
    </row>
    <row r="102" spans="102:109" ht="18" customHeight="1" x14ac:dyDescent="0.25">
      <c r="CZ102" s="2"/>
      <c r="DA102" s="2"/>
      <c r="DB102" s="2"/>
      <c r="DC102" s="2"/>
    </row>
    <row r="103" spans="102:109" ht="18" customHeight="1" x14ac:dyDescent="0.25">
      <c r="DA103" s="2"/>
      <c r="DB103" s="2"/>
      <c r="DC103" s="2"/>
      <c r="DD103" s="2"/>
    </row>
    <row r="104" spans="102:109" ht="18" customHeight="1" x14ac:dyDescent="0.25">
      <c r="DA104" s="2"/>
      <c r="DB104" s="2"/>
      <c r="DC104" s="2"/>
      <c r="DD104" s="2"/>
    </row>
    <row r="105" spans="102:109" ht="18" customHeight="1" x14ac:dyDescent="0.25">
      <c r="DA105" s="2"/>
      <c r="DB105" s="2"/>
      <c r="DC105" s="2"/>
      <c r="DD105" s="2"/>
    </row>
    <row r="106" spans="102:109" ht="18" customHeight="1" x14ac:dyDescent="0.25">
      <c r="DA106" s="2"/>
      <c r="DB106" s="2"/>
      <c r="DC106" s="2"/>
      <c r="DD106" s="2"/>
    </row>
    <row r="107" spans="102:109" ht="18" customHeight="1" x14ac:dyDescent="0.25">
      <c r="DB107" s="2"/>
      <c r="DC107" s="2"/>
      <c r="DD107" s="2"/>
      <c r="DE107" s="2"/>
    </row>
    <row r="108" spans="102:109" ht="18" customHeight="1" x14ac:dyDescent="0.25">
      <c r="DC108" s="2"/>
      <c r="DD108" s="2"/>
      <c r="DE108" s="2"/>
    </row>
  </sheetData>
  <phoneticPr fontId="14" type="noConversion"/>
  <conditionalFormatting sqref="G11">
    <cfRule type="iconSet" priority="26">
      <iconSet showValue="0">
        <cfvo type="percent" val="0"/>
        <cfvo type="num" val="-1"/>
        <cfvo type="num" val="0"/>
      </iconSet>
    </cfRule>
  </conditionalFormatting>
  <conditionalFormatting sqref="C5">
    <cfRule type="containsText" dxfId="447" priority="19" operator="containsText" text="KT">
      <formula>NOT(ISERROR(SEARCH("KT",C5)))</formula>
    </cfRule>
    <cfRule type="containsText" dxfId="446" priority="20" operator="containsText" text="JH">
      <formula>NOT(ISERROR(SEARCH("JH",C5)))</formula>
    </cfRule>
    <cfRule type="containsText" dxfId="445" priority="21" operator="containsText" text="CL">
      <formula>NOT(ISERROR(SEARCH("CL",C5)))</formula>
    </cfRule>
    <cfRule type="containsText" dxfId="444" priority="22" operator="containsText" text="CY">
      <formula>NOT(ISERROR(SEARCH("CY",C5)))</formula>
    </cfRule>
    <cfRule type="containsText" dxfId="443" priority="23" operator="containsText" text="ES">
      <formula>NOT(ISERROR(SEARCH("ES",C5)))</formula>
    </cfRule>
  </conditionalFormatting>
  <conditionalFormatting sqref="N16:CR45">
    <cfRule type="containsText" dxfId="442" priority="1" operator="containsText" text="【">
      <formula>NOT(ISERROR(SEARCH("【",N16)))</formula>
    </cfRule>
  </conditionalFormatting>
  <conditionalFormatting sqref="C9">
    <cfRule type="containsText" dxfId="441" priority="3" operator="containsText" text="ON">
      <formula>NOT(ISERROR(SEARCH("ON",C9)))</formula>
    </cfRule>
  </conditionalFormatting>
  <conditionalFormatting sqref="N16:U45">
    <cfRule type="notContainsBlanks" dxfId="440" priority="4">
      <formula>LEN(TRIM(N16))&gt;0</formula>
    </cfRule>
  </conditionalFormatting>
  <dataValidations count="13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6:C7" xr:uid="{A80797E9-1E83-4191-8030-5056F54365C4}">
      <formula1>"ON,OFF"</formula1>
    </dataValidation>
    <dataValidation type="list" allowBlank="1" showInputMessage="1" showErrorMessage="1" promptTitle="Need to add tap deal?" prompt="Please spark when needed" sqref="C9" xr:uid="{D786BBAC-8B85-4826-8AFB-917C888E43CA}">
      <formula1>"ON,OFF"</formula1>
    </dataValidation>
    <dataValidation type="list" allowBlank="1" showInputMessage="1" showErrorMessage="1" promptTitle="DMI only or DMI+BBG+台账?" prompt="If set to OFF - only DMI data will be loaded" sqref="C8:C9" xr:uid="{7354D1B4-C643-4336-B89D-A74F904D673A}">
      <formula1>"ON,OFF"</formula1>
    </dataValidation>
    <dataValidation allowBlank="1" showInputMessage="1" showErrorMessage="1" promptTitle="类型分布" prompt="银行/金融机构72%，主权基金/其他16%，基金/保险11%，私行1%" sqref="T1 T16:T45" xr:uid="{76884FCD-1F0B-4F5F-BA1A-78EA9C095F7D}"/>
    <dataValidation allowBlank="1" showInputMessage="1" showErrorMessage="1" promptTitle="地区分布" prompt="亚洲100%；" sqref="U1 U16:U45" xr:uid="{C0A75A14-6E99-4923-B074-C9631B3D90FF}"/>
    <dataValidation type="decimal" operator="notEqual" allowBlank="1" showInputMessage="1" showErrorMessage="1" promptTitle="No. of Accounts" prompt="Number only" sqref="S1 S16:S45" xr:uid="{FC5205AA-2587-4792-A09F-49EEB5719ED4}">
      <formula1>0</formula1>
    </dataValidation>
    <dataValidation type="decimal" operator="notEqual" allowBlank="1" showInputMessage="1" showErrorMessage="1" promptTitle="Final Orderbook" prompt="Number only" sqref="R1 R16:R45" xr:uid="{73AB3A6C-8C65-432B-9365-6D5774FD272C}">
      <formula1>0</formula1>
    </dataValidation>
    <dataValidation allowBlank="1" showInputMessage="1" showErrorMessage="1" promptTitle="FPG Format" prompt="No need to write bp_x000a_Decimal follow BBG_x000a__x000a_3.20%_x000a_3.8%_x000a_T+100_x000a_" sqref="P1 P16:P45" xr:uid="{0A82D2F5-B7A8-4EF1-8428-3252C475C423}"/>
    <dataValidation allowBlank="1" showInputMessage="1" showErrorMessage="1" promptTitle="IPG Format" prompt="No need to write bp_x000a_Decimal follow BBG_x000a_Use &quot;a&quot; for &quot;area&quot;_x000a__x000a_3.50%a_x000a_4%a_x000a_T+120a_x000a_" sqref="O1 O16:O45" xr:uid="{18ECFCFF-BBE6-4E00-8D15-032EA590AF24}"/>
    <dataValidation allowBlank="1" showInputMessage="1" showErrorMessage="1" promptTitle="最终定价" prompt="仅适用有IPG的交易" sqref="Q1 Q16:Q45" xr:uid="{D93404A0-0CFE-4417-B887-D3411720EE31}"/>
    <dataValidation type="list" allowBlank="1" showInputMessage="1" showErrorMessage="1" sqref="N16:N45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4</xdr:col>
                    <xdr:colOff>0</xdr:colOff>
                    <xdr:row>4</xdr:row>
                    <xdr:rowOff>76200</xdr:rowOff>
                  </from>
                  <to>
                    <xdr:col>8</xdr:col>
                    <xdr:colOff>438150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R79"/>
  <sheetViews>
    <sheetView topLeftCell="S1" zoomScale="70" zoomScaleNormal="70" workbookViewId="0">
      <selection activeCell="U6" sqref="U6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33203125" style="3" bestFit="1" customWidth="1"/>
    <col min="3" max="3" width="13.44140625" style="3" bestFit="1" customWidth="1"/>
    <col min="4" max="4" width="10.44140625" style="3" bestFit="1" customWidth="1"/>
    <col min="5" max="5" width="30" style="3" bestFit="1" customWidth="1"/>
    <col min="6" max="6" width="9.77734375" style="3" bestFit="1" customWidth="1"/>
    <col min="7" max="7" width="11.77734375" style="3" bestFit="1" customWidth="1" outlineLevel="1"/>
    <col min="8" max="8" width="13.6640625" style="3" bestFit="1" customWidth="1" outlineLevel="1"/>
    <col min="9" max="9" width="24.77734375" style="3" bestFit="1" customWidth="1" outlineLevel="1"/>
    <col min="10" max="11" width="12.6640625" style="3" bestFit="1" customWidth="1" outlineLevel="1"/>
    <col min="12" max="12" width="19.5546875" style="3" bestFit="1" customWidth="1" outlineLevel="1"/>
    <col min="13" max="13" width="19.5546875" style="3" bestFit="1" customWidth="1"/>
    <col min="14" max="15" width="3.6640625" style="3" customWidth="1"/>
    <col min="16" max="16" width="10.33203125" style="3" bestFit="1" customWidth="1"/>
    <col min="17" max="17" width="29.88671875" style="3" bestFit="1" customWidth="1"/>
    <col min="18" max="18" width="9.33203125" style="3" bestFit="1" customWidth="1"/>
    <col min="19" max="19" width="8" style="3" bestFit="1" customWidth="1"/>
    <col min="20" max="20" width="11.77734375" style="3" bestFit="1" customWidth="1"/>
    <col min="21" max="21" width="7.109375" style="3" bestFit="1" customWidth="1" outlineLevel="1"/>
    <col min="22" max="23" width="7.6640625" style="3" bestFit="1" customWidth="1" outlineLevel="1"/>
    <col min="24" max="24" width="4.6640625" style="3" bestFit="1" customWidth="1" outlineLevel="1"/>
    <col min="25" max="25" width="10.44140625" style="3" bestFit="1" customWidth="1" outlineLevel="1"/>
    <col min="26" max="26" width="4.44140625" style="3" bestFit="1" customWidth="1" outlineLevel="1"/>
    <col min="27" max="27" width="6.77734375" style="3" bestFit="1" customWidth="1" outlineLevel="1"/>
    <col min="28" max="28" width="7.6640625" style="3" bestFit="1" customWidth="1" outlineLevel="1"/>
    <col min="29" max="29" width="22.33203125" style="3" bestFit="1" customWidth="1" outlineLevel="1"/>
    <col min="30" max="30" width="6" style="3" bestFit="1" customWidth="1" outlineLevel="1"/>
    <col min="31" max="32" width="7" style="3" bestFit="1" customWidth="1" outlineLevel="1"/>
    <col min="33" max="33" width="13.33203125" style="3" bestFit="1" customWidth="1" outlineLevel="1"/>
    <col min="34" max="34" width="19.44140625" style="3" bestFit="1" customWidth="1" outlineLevel="1"/>
    <col min="35" max="35" width="19.5546875" style="3" bestFit="1" customWidth="1" outlineLevel="1"/>
    <col min="36" max="36" width="13.44140625" style="3" bestFit="1" customWidth="1" outlineLevel="1"/>
    <col min="37" max="37" width="19.5546875" style="3" bestFit="1" customWidth="1" outlineLevel="1"/>
    <col min="38" max="38" width="21.33203125" style="3" bestFit="1" customWidth="1"/>
    <col min="39" max="39" width="19.44140625" style="3" bestFit="1" customWidth="1"/>
    <col min="40" max="40" width="13.33203125" style="3" bestFit="1" customWidth="1"/>
    <col min="41" max="41" width="10.33203125" style="3" bestFit="1" customWidth="1"/>
    <col min="42" max="42" width="7.6640625" style="3" bestFit="1" customWidth="1"/>
    <col min="43" max="43" width="13.33203125" style="3" bestFit="1" customWidth="1"/>
    <col min="44" max="44" width="4.88671875" style="3" bestFit="1" customWidth="1"/>
    <col min="45" max="45" width="11.5546875" style="3" bestFit="1" customWidth="1"/>
    <col min="46" max="46" width="7.6640625" style="3" bestFit="1" customWidth="1"/>
    <col min="47" max="47" width="16.109375" style="3" bestFit="1" customWidth="1"/>
    <col min="48" max="48" width="4.44140625" style="3" bestFit="1" customWidth="1"/>
    <col min="49" max="49" width="11.5546875" style="3" bestFit="1" customWidth="1" outlineLevel="1"/>
    <col min="50" max="50" width="9" style="3" bestFit="1" customWidth="1" outlineLevel="1"/>
    <col min="51" max="51" width="8" style="3" bestFit="1" customWidth="1" outlineLevel="1"/>
    <col min="52" max="53" width="7.6640625" style="3" bestFit="1" customWidth="1" outlineLevel="1"/>
    <col min="54" max="54" width="8" style="3" bestFit="1" customWidth="1" outlineLevel="1"/>
    <col min="55" max="57" width="7.6640625" style="3" bestFit="1" customWidth="1"/>
    <col min="58" max="58" width="7.77734375" style="3" bestFit="1" customWidth="1"/>
    <col min="59" max="60" width="24.6640625" style="3" bestFit="1" customWidth="1"/>
    <col min="61" max="61" width="21.33203125" style="3" bestFit="1" customWidth="1"/>
    <col min="62" max="62" width="13.109375" style="19" bestFit="1" customWidth="1"/>
    <col min="63" max="63" width="7.21875" style="19" bestFit="1" customWidth="1"/>
    <col min="64" max="67" width="7.21875" style="19" customWidth="1"/>
    <col min="68" max="68" width="12.6640625" style="19" bestFit="1" customWidth="1"/>
    <col min="69" max="69" width="7.21875" style="19" customWidth="1"/>
    <col min="70" max="71" width="7.6640625" style="19" bestFit="1" customWidth="1"/>
    <col min="72" max="72" width="9.21875" style="19" bestFit="1" customWidth="1"/>
    <col min="73" max="74" width="9.44140625" style="19" bestFit="1" customWidth="1"/>
    <col min="75" max="76" width="11.109375" style="19" bestFit="1" customWidth="1"/>
    <col min="77" max="77" width="9.44140625" style="19" bestFit="1" customWidth="1"/>
    <col min="78" max="78" width="9" style="19" bestFit="1" customWidth="1"/>
    <col min="79" max="80" width="9.44140625" style="19" bestFit="1" customWidth="1"/>
    <col min="81" max="81" width="9.21875" style="19" bestFit="1" customWidth="1"/>
    <col min="82" max="82" width="8.77734375" style="19" bestFit="1" customWidth="1"/>
    <col min="83" max="83" width="9.21875" style="19" bestFit="1" customWidth="1"/>
    <col min="84" max="84" width="42.77734375" style="19" bestFit="1" customWidth="1"/>
    <col min="85" max="85" width="9.21875" style="19" bestFit="1" customWidth="1"/>
    <col min="86" max="86" width="9.44140625" style="19" bestFit="1" customWidth="1"/>
    <col min="87" max="87" width="8.77734375" style="19" bestFit="1" customWidth="1"/>
    <col min="88" max="88" width="9.21875" style="19" bestFit="1" customWidth="1"/>
    <col min="89" max="89" width="15.21875" style="19" bestFit="1" customWidth="1"/>
    <col min="90" max="90" width="5.88671875" style="19" bestFit="1" customWidth="1"/>
    <col min="91" max="91" width="10.77734375" style="19" bestFit="1" customWidth="1"/>
    <col min="92" max="92" width="10.88671875" style="19" bestFit="1" customWidth="1"/>
    <col min="93" max="93" width="11.44140625" style="19" bestFit="1" customWidth="1"/>
    <col min="94" max="94" width="13.5546875" style="19" bestFit="1" customWidth="1"/>
    <col min="95" max="95" width="42.77734375" style="19" bestFit="1" customWidth="1"/>
    <col min="96" max="96" width="9.21875" style="19" bestFit="1" customWidth="1"/>
    <col min="97" max="97" width="10.88671875" style="19" bestFit="1" customWidth="1"/>
    <col min="98" max="98" width="11.44140625" style="19" bestFit="1" customWidth="1"/>
    <col min="99" max="99" width="13.5546875" style="19" bestFit="1" customWidth="1"/>
    <col min="100" max="100" width="51.44140625" style="19" bestFit="1" customWidth="1"/>
    <col min="101" max="101" width="9.21875" style="19" bestFit="1" customWidth="1"/>
    <col min="102" max="102" width="51.44140625" style="19" bestFit="1" customWidth="1"/>
    <col min="103" max="103" width="9.21875" style="19" bestFit="1" customWidth="1"/>
    <col min="104" max="104" width="11.6640625" style="19" bestFit="1" customWidth="1"/>
    <col min="105" max="105" width="15.5546875" style="19" bestFit="1" customWidth="1"/>
    <col min="106" max="106" width="9.44140625" style="19" bestFit="1" customWidth="1"/>
    <col min="107" max="107" width="11.6640625" style="19" bestFit="1" customWidth="1"/>
    <col min="108" max="108" width="15.5546875" style="19" bestFit="1" customWidth="1"/>
    <col min="109" max="109" width="9.44140625" style="19" bestFit="1" customWidth="1"/>
    <col min="110" max="110" width="15.44140625" style="19" bestFit="1" customWidth="1"/>
    <col min="111" max="111" width="6.109375" style="19" bestFit="1" customWidth="1"/>
    <col min="112" max="112" width="15.21875" style="19" bestFit="1" customWidth="1"/>
    <col min="113" max="113" width="5.88671875" style="19" bestFit="1" customWidth="1"/>
    <col min="114" max="114" width="13.109375" style="19" bestFit="1" customWidth="1"/>
    <col min="115" max="115" width="5.88671875" style="19" bestFit="1" customWidth="1"/>
    <col min="116" max="116" width="9.6640625" style="19" bestFit="1" customWidth="1"/>
    <col min="117" max="117" width="14" style="19" bestFit="1" customWidth="1"/>
    <col min="118" max="118" width="14.109375" style="19" bestFit="1" customWidth="1"/>
    <col min="119" max="119" width="13.33203125" style="19" bestFit="1" customWidth="1"/>
    <col min="120" max="121" width="8.109375" style="19" customWidth="1"/>
    <col min="122" max="122" width="8.88671875" style="19" bestFit="1" customWidth="1"/>
    <col min="123" max="143" width="8.109375" style="3" customWidth="1"/>
    <col min="144" max="147" width="9" style="3" customWidth="1"/>
    <col min="148" max="148" width="2.88671875" style="3" customWidth="1"/>
    <col min="149" max="149" width="8.109375" style="3" customWidth="1"/>
    <col min="150" max="150" width="9" style="3" customWidth="1"/>
    <col min="151" max="151" width="6.109375" style="3" bestFit="1" customWidth="1"/>
    <col min="152" max="152" width="7.77734375" style="3" bestFit="1" customWidth="1"/>
    <col min="153" max="16384" width="8.88671875" style="3"/>
  </cols>
  <sheetData>
    <row r="1" spans="1:122" s="1" customFormat="1" ht="49.5" customHeight="1" x14ac:dyDescent="0.25">
      <c r="A1" s="24" t="s">
        <v>127</v>
      </c>
      <c r="C1" s="5"/>
      <c r="E1" s="90">
        <f>COUNTA(ForReview_Issuer[#Headers])</f>
        <v>11</v>
      </c>
      <c r="F1" s="74">
        <f>IF(E1&lt;=11,1,IF(E1&gt;13,-5,0))</f>
        <v>1</v>
      </c>
      <c r="R1" s="6"/>
      <c r="S1" s="90"/>
      <c r="T1" s="74"/>
      <c r="AR1" s="90"/>
      <c r="AS1" s="74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</row>
    <row r="2" spans="1:122" s="1" customFormat="1" ht="49.5" customHeight="1" x14ac:dyDescent="0.25">
      <c r="AF2" s="107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</row>
    <row r="3" spans="1:122" s="1" customFormat="1" ht="49.5" customHeight="1" x14ac:dyDescent="0.25">
      <c r="I3" s="75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</row>
    <row r="4" spans="1:122" ht="61.5" customHeight="1" x14ac:dyDescent="0.25">
      <c r="Q4" s="4"/>
      <c r="R4" s="6"/>
      <c r="S4" s="6"/>
      <c r="U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22" ht="15" x14ac:dyDescent="0.25">
      <c r="B5" s="124" t="s">
        <v>280</v>
      </c>
      <c r="C5" s="124" t="s">
        <v>46</v>
      </c>
      <c r="D5" s="124" t="s">
        <v>47</v>
      </c>
      <c r="E5" s="124" t="s">
        <v>91</v>
      </c>
      <c r="F5" s="124" t="s">
        <v>119</v>
      </c>
      <c r="G5" s="124" t="s">
        <v>144</v>
      </c>
      <c r="H5" s="124" t="s">
        <v>87</v>
      </c>
      <c r="I5" s="124" t="s">
        <v>629</v>
      </c>
      <c r="J5" s="124" t="s">
        <v>151</v>
      </c>
      <c r="K5" s="124" t="s">
        <v>152</v>
      </c>
      <c r="L5" s="124" t="s">
        <v>121</v>
      </c>
      <c r="P5" s="124" t="s">
        <v>47</v>
      </c>
      <c r="Q5" s="124" t="s">
        <v>91</v>
      </c>
      <c r="R5" s="124" t="s">
        <v>120</v>
      </c>
      <c r="S5" s="124" t="s">
        <v>85</v>
      </c>
      <c r="T5" s="124" t="s">
        <v>51</v>
      </c>
      <c r="U5" s="124" t="s">
        <v>132</v>
      </c>
      <c r="V5" s="124" t="s">
        <v>134</v>
      </c>
      <c r="W5" s="124" t="s">
        <v>122</v>
      </c>
      <c r="X5" s="124" t="s">
        <v>62</v>
      </c>
      <c r="Y5" s="124" t="s">
        <v>55</v>
      </c>
      <c r="Z5" s="124" t="s">
        <v>84</v>
      </c>
      <c r="AA5" s="124" t="s">
        <v>114</v>
      </c>
      <c r="AB5" s="124" t="s">
        <v>326</v>
      </c>
      <c r="AC5" s="124" t="s">
        <v>88</v>
      </c>
      <c r="AD5" s="124" t="s">
        <v>140</v>
      </c>
      <c r="AE5" s="124" t="s">
        <v>141</v>
      </c>
      <c r="AF5" s="124" t="s">
        <v>174</v>
      </c>
      <c r="AG5" s="124" t="s">
        <v>46</v>
      </c>
      <c r="AH5" s="124" t="s">
        <v>121</v>
      </c>
      <c r="AL5" s="124" t="s">
        <v>91</v>
      </c>
      <c r="AM5" s="135" t="s">
        <v>121</v>
      </c>
      <c r="AN5" s="135" t="s">
        <v>46</v>
      </c>
      <c r="AO5" s="135" t="s">
        <v>47</v>
      </c>
      <c r="AP5" s="123" t="s">
        <v>168</v>
      </c>
      <c r="AQ5" s="123" t="s">
        <v>153</v>
      </c>
      <c r="AR5" s="124" t="s">
        <v>546</v>
      </c>
      <c r="AS5" s="123" t="s">
        <v>139</v>
      </c>
      <c r="AT5" s="135" t="s">
        <v>138</v>
      </c>
      <c r="AU5" s="123" t="s">
        <v>148</v>
      </c>
      <c r="AV5" s="123" t="s">
        <v>137</v>
      </c>
      <c r="AW5" s="135" t="s">
        <v>128</v>
      </c>
      <c r="AX5" s="123" t="s">
        <v>164</v>
      </c>
      <c r="AY5" s="123" t="s">
        <v>165</v>
      </c>
      <c r="AZ5" s="123" t="s">
        <v>166</v>
      </c>
      <c r="BD5" s="124" t="s">
        <v>91</v>
      </c>
      <c r="BE5" s="124" t="s">
        <v>145</v>
      </c>
      <c r="BF5" s="124" t="s">
        <v>188</v>
      </c>
      <c r="BG5" s="124" t="s">
        <v>584</v>
      </c>
      <c r="BH5" s="124" t="s">
        <v>585</v>
      </c>
      <c r="BI5" s="124" t="s">
        <v>169</v>
      </c>
      <c r="BJ5" s="124" t="s">
        <v>586</v>
      </c>
      <c r="BK5" s="124" t="s">
        <v>86</v>
      </c>
      <c r="BL5" s="124" t="s">
        <v>43</v>
      </c>
      <c r="BM5" s="124" t="s">
        <v>44</v>
      </c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</row>
    <row r="6" spans="1:122" ht="15" x14ac:dyDescent="0.25">
      <c r="B6" s="124"/>
      <c r="C6" s="124" t="s">
        <v>1358</v>
      </c>
      <c r="D6" s="132">
        <v>45261</v>
      </c>
      <c r="E6" s="124" t="s">
        <v>1357</v>
      </c>
      <c r="F6" s="124" t="s">
        <v>80</v>
      </c>
      <c r="G6" s="124" t="s">
        <v>80</v>
      </c>
      <c r="H6" s="124" t="s">
        <v>35</v>
      </c>
      <c r="I6" s="128" t="s">
        <v>89</v>
      </c>
      <c r="J6" s="124" t="s">
        <v>6</v>
      </c>
      <c r="K6" s="124" t="s">
        <v>6</v>
      </c>
      <c r="L6" s="124" t="s">
        <v>1372</v>
      </c>
      <c r="P6" s="132">
        <v>45261</v>
      </c>
      <c r="Q6" s="124" t="s">
        <v>1357</v>
      </c>
      <c r="R6" s="124" t="s">
        <v>89</v>
      </c>
      <c r="S6" s="124" t="s">
        <v>89</v>
      </c>
      <c r="T6" s="124" t="s">
        <v>821</v>
      </c>
      <c r="U6" s="128" t="s">
        <v>89</v>
      </c>
      <c r="V6" s="124"/>
      <c r="W6" s="124" t="s">
        <v>89</v>
      </c>
      <c r="X6" s="124" t="s">
        <v>103</v>
      </c>
      <c r="Y6" s="124">
        <v>2.1800000000000002</v>
      </c>
      <c r="Z6" s="124" t="s">
        <v>131</v>
      </c>
      <c r="AA6" s="124" t="s">
        <v>821</v>
      </c>
      <c r="AB6" s="124" t="s">
        <v>6</v>
      </c>
      <c r="AC6" s="124" t="s">
        <v>215</v>
      </c>
      <c r="AD6" s="124">
        <v>0.29899999999999999</v>
      </c>
      <c r="AE6" s="124">
        <v>2.1800000000000002</v>
      </c>
      <c r="AF6" s="124">
        <v>2.34</v>
      </c>
      <c r="AG6" s="124" t="s">
        <v>1358</v>
      </c>
      <c r="AH6" s="124" t="s">
        <v>1372</v>
      </c>
      <c r="AL6" s="124" t="s">
        <v>349</v>
      </c>
      <c r="AM6" s="123" t="s">
        <v>837</v>
      </c>
      <c r="AN6" s="135" t="s">
        <v>819</v>
      </c>
      <c r="AO6" s="136">
        <v>45254</v>
      </c>
      <c r="AP6" s="123" t="s">
        <v>1356</v>
      </c>
      <c r="AQ6" s="123" t="s">
        <v>1355</v>
      </c>
      <c r="AR6" s="128" t="s">
        <v>583</v>
      </c>
      <c r="AS6" s="123" t="s">
        <v>147</v>
      </c>
      <c r="AT6" s="123" t="s">
        <v>146</v>
      </c>
      <c r="AU6" s="123" t="s">
        <v>583</v>
      </c>
      <c r="AV6" s="123" t="s">
        <v>583</v>
      </c>
      <c r="AW6" s="123" t="s">
        <v>129</v>
      </c>
      <c r="AX6" s="123" t="s">
        <v>89</v>
      </c>
      <c r="AY6" s="123" t="s">
        <v>89</v>
      </c>
      <c r="AZ6" s="123" t="s">
        <v>6</v>
      </c>
      <c r="BD6" s="124"/>
      <c r="BE6" s="124"/>
      <c r="BF6" s="124"/>
      <c r="BG6" s="124"/>
      <c r="BH6" s="124"/>
      <c r="BI6" s="124"/>
      <c r="BJ6" s="124"/>
      <c r="BK6" s="124"/>
      <c r="BL6" s="124"/>
      <c r="BM6" s="124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</row>
    <row r="7" spans="1:122" ht="15" x14ac:dyDescent="0.25">
      <c r="B7" s="124"/>
      <c r="C7" s="124" t="s">
        <v>1374</v>
      </c>
      <c r="D7" s="132">
        <v>45261</v>
      </c>
      <c r="E7" s="124" t="s">
        <v>1373</v>
      </c>
      <c r="F7" s="124" t="s">
        <v>80</v>
      </c>
      <c r="G7" s="124" t="s">
        <v>1386</v>
      </c>
      <c r="H7" s="124" t="s">
        <v>37</v>
      </c>
      <c r="I7" s="128" t="s">
        <v>89</v>
      </c>
      <c r="J7" s="124" t="s">
        <v>6</v>
      </c>
      <c r="K7" s="124" t="s">
        <v>129</v>
      </c>
      <c r="L7" s="124" t="s">
        <v>1387</v>
      </c>
      <c r="P7" s="132">
        <v>45261</v>
      </c>
      <c r="Q7" s="124" t="s">
        <v>1373</v>
      </c>
      <c r="R7" s="124" t="s">
        <v>89</v>
      </c>
      <c r="S7" s="124" t="s">
        <v>89</v>
      </c>
      <c r="T7" s="124" t="s">
        <v>89</v>
      </c>
      <c r="U7" s="128" t="s">
        <v>89</v>
      </c>
      <c r="V7" s="124"/>
      <c r="W7" s="124" t="s">
        <v>89</v>
      </c>
      <c r="X7" s="124" t="s">
        <v>103</v>
      </c>
      <c r="Y7" s="124">
        <v>20</v>
      </c>
      <c r="Z7" s="124" t="s">
        <v>131</v>
      </c>
      <c r="AA7" s="124" t="s">
        <v>1496</v>
      </c>
      <c r="AB7" s="124" t="s">
        <v>6</v>
      </c>
      <c r="AC7" s="124" t="s">
        <v>204</v>
      </c>
      <c r="AD7" s="124">
        <v>2.742</v>
      </c>
      <c r="AE7" s="124">
        <v>20</v>
      </c>
      <c r="AF7" s="124">
        <v>21.466000000000001</v>
      </c>
      <c r="AG7" s="124" t="s">
        <v>1374</v>
      </c>
      <c r="AH7" s="124" t="s">
        <v>1387</v>
      </c>
      <c r="AL7" s="124" t="s">
        <v>1373</v>
      </c>
      <c r="AM7" s="123" t="s">
        <v>1387</v>
      </c>
      <c r="AN7" s="135" t="s">
        <v>1374</v>
      </c>
      <c r="AO7" s="136">
        <v>45261</v>
      </c>
      <c r="AP7" s="123" t="s">
        <v>805</v>
      </c>
      <c r="AQ7" s="123" t="s">
        <v>805</v>
      </c>
      <c r="AR7" s="128" t="s">
        <v>583</v>
      </c>
      <c r="AS7" s="123" t="s">
        <v>583</v>
      </c>
      <c r="AT7" s="123" t="s">
        <v>583</v>
      </c>
      <c r="AU7" s="123" t="s">
        <v>583</v>
      </c>
      <c r="AV7" s="123" t="s">
        <v>583</v>
      </c>
      <c r="AW7" s="123" t="s">
        <v>129</v>
      </c>
      <c r="AX7" s="123" t="s">
        <v>89</v>
      </c>
      <c r="AY7" s="123" t="s">
        <v>89</v>
      </c>
      <c r="AZ7" s="123" t="s">
        <v>6</v>
      </c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22" ht="15" x14ac:dyDescent="0.25">
      <c r="B8" s="124"/>
      <c r="C8" s="124" t="s">
        <v>1389</v>
      </c>
      <c r="D8" s="132">
        <v>45261</v>
      </c>
      <c r="E8" s="124" t="s">
        <v>1388</v>
      </c>
      <c r="F8" s="124" t="s">
        <v>80</v>
      </c>
      <c r="G8" s="124" t="s">
        <v>80</v>
      </c>
      <c r="H8" s="124" t="s">
        <v>38</v>
      </c>
      <c r="I8" s="128" t="s">
        <v>89</v>
      </c>
      <c r="J8" s="124" t="s">
        <v>6</v>
      </c>
      <c r="K8" s="124" t="s">
        <v>6</v>
      </c>
      <c r="L8" s="124" t="s">
        <v>1394</v>
      </c>
      <c r="P8" s="132">
        <v>45261</v>
      </c>
      <c r="Q8" s="124" t="s">
        <v>1388</v>
      </c>
      <c r="R8" s="124" t="s">
        <v>89</v>
      </c>
      <c r="S8" s="124" t="s">
        <v>89</v>
      </c>
      <c r="T8" s="124" t="s">
        <v>89</v>
      </c>
      <c r="U8" s="128" t="s">
        <v>89</v>
      </c>
      <c r="V8" s="124"/>
      <c r="W8" s="124" t="s">
        <v>89</v>
      </c>
      <c r="X8" s="124" t="s">
        <v>82</v>
      </c>
      <c r="Y8" s="124">
        <v>1.65</v>
      </c>
      <c r="Z8" s="124" t="s">
        <v>544</v>
      </c>
      <c r="AA8" s="124" t="s">
        <v>1497</v>
      </c>
      <c r="AB8" s="124" t="s">
        <v>6</v>
      </c>
      <c r="AC8" s="124" t="s">
        <v>204</v>
      </c>
      <c r="AD8" s="124">
        <v>1.65</v>
      </c>
      <c r="AE8" s="124">
        <v>12.032999999999999</v>
      </c>
      <c r="AF8" s="124">
        <v>12.92</v>
      </c>
      <c r="AG8" s="124" t="s">
        <v>1389</v>
      </c>
      <c r="AH8" s="124" t="s">
        <v>1394</v>
      </c>
      <c r="AL8" s="121" t="s">
        <v>1431</v>
      </c>
      <c r="AM8" s="142" t="s">
        <v>1446</v>
      </c>
      <c r="AN8" s="143" t="s">
        <v>1432</v>
      </c>
      <c r="AO8" s="144">
        <v>45261</v>
      </c>
      <c r="AP8" s="142" t="s">
        <v>805</v>
      </c>
      <c r="AQ8" s="142" t="s">
        <v>805</v>
      </c>
      <c r="AR8" s="122" t="s">
        <v>583</v>
      </c>
      <c r="AS8" s="142" t="s">
        <v>583</v>
      </c>
      <c r="AT8" s="142" t="s">
        <v>583</v>
      </c>
      <c r="AU8" s="142" t="s">
        <v>583</v>
      </c>
      <c r="AV8" s="142" t="s">
        <v>583</v>
      </c>
      <c r="AW8" s="142" t="s">
        <v>129</v>
      </c>
      <c r="AX8" s="142" t="s">
        <v>89</v>
      </c>
      <c r="AY8" s="142" t="s">
        <v>89</v>
      </c>
      <c r="AZ8" s="142" t="s">
        <v>6</v>
      </c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</row>
    <row r="9" spans="1:122" ht="15" x14ac:dyDescent="0.25">
      <c r="B9" s="124"/>
      <c r="C9" s="124" t="s">
        <v>1396</v>
      </c>
      <c r="D9" s="132">
        <v>45261</v>
      </c>
      <c r="E9" s="124" t="s">
        <v>1395</v>
      </c>
      <c r="F9" s="124" t="s">
        <v>80</v>
      </c>
      <c r="G9" s="124" t="s">
        <v>80</v>
      </c>
      <c r="H9" s="124" t="s">
        <v>108</v>
      </c>
      <c r="I9" s="128" t="s">
        <v>634</v>
      </c>
      <c r="J9" s="124" t="s">
        <v>6</v>
      </c>
      <c r="K9" s="124" t="s">
        <v>6</v>
      </c>
      <c r="L9" s="124" t="s">
        <v>1412</v>
      </c>
      <c r="P9" s="132">
        <v>45261</v>
      </c>
      <c r="Q9" s="124" t="s">
        <v>1395</v>
      </c>
      <c r="R9" s="124" t="s">
        <v>1498</v>
      </c>
      <c r="S9" s="124" t="s">
        <v>1397</v>
      </c>
      <c r="T9" s="124" t="s">
        <v>846</v>
      </c>
      <c r="U9" s="128" t="s">
        <v>846</v>
      </c>
      <c r="V9" s="124">
        <v>30</v>
      </c>
      <c r="W9" s="124" t="s">
        <v>89</v>
      </c>
      <c r="X9" s="124" t="s">
        <v>103</v>
      </c>
      <c r="Y9" s="124">
        <v>3.363</v>
      </c>
      <c r="Z9" s="124" t="s">
        <v>1499</v>
      </c>
      <c r="AA9" s="124" t="s">
        <v>846</v>
      </c>
      <c r="AB9" s="124" t="s">
        <v>6</v>
      </c>
      <c r="AC9" s="124" t="s">
        <v>215</v>
      </c>
      <c r="AD9" s="124">
        <v>0.46100000000000002</v>
      </c>
      <c r="AE9" s="124">
        <v>3.363</v>
      </c>
      <c r="AF9" s="124">
        <v>3.61</v>
      </c>
      <c r="AG9" s="124" t="s">
        <v>1396</v>
      </c>
      <c r="AH9" s="124" t="s">
        <v>1412</v>
      </c>
      <c r="AL9" s="121" t="s">
        <v>380</v>
      </c>
      <c r="AM9" s="142" t="s">
        <v>1235</v>
      </c>
      <c r="AN9" s="143" t="s">
        <v>1216</v>
      </c>
      <c r="AO9" s="144">
        <v>45258</v>
      </c>
      <c r="AP9" s="142" t="s">
        <v>805</v>
      </c>
      <c r="AQ9" s="142" t="s">
        <v>805</v>
      </c>
      <c r="AR9" s="122" t="s">
        <v>583</v>
      </c>
      <c r="AS9" s="142" t="s">
        <v>583</v>
      </c>
      <c r="AT9" s="142" t="s">
        <v>583</v>
      </c>
      <c r="AU9" s="142" t="s">
        <v>583</v>
      </c>
      <c r="AV9" s="142" t="s">
        <v>583</v>
      </c>
      <c r="AW9" s="142" t="s">
        <v>129</v>
      </c>
      <c r="AX9" s="142" t="s">
        <v>89</v>
      </c>
      <c r="AY9" s="142" t="s">
        <v>89</v>
      </c>
      <c r="AZ9" s="142" t="s">
        <v>6</v>
      </c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</row>
    <row r="10" spans="1:122" ht="15" x14ac:dyDescent="0.25">
      <c r="B10" s="124"/>
      <c r="C10" s="124" t="s">
        <v>1413</v>
      </c>
      <c r="D10" s="132">
        <v>45261</v>
      </c>
      <c r="E10" s="124" t="s">
        <v>1054</v>
      </c>
      <c r="F10" s="124" t="s">
        <v>80</v>
      </c>
      <c r="G10" s="124" t="s">
        <v>1251</v>
      </c>
      <c r="H10" s="124" t="s">
        <v>35</v>
      </c>
      <c r="I10" s="128" t="s">
        <v>89</v>
      </c>
      <c r="J10" s="124" t="s">
        <v>129</v>
      </c>
      <c r="K10" s="124" t="s">
        <v>6</v>
      </c>
      <c r="L10" s="124" t="s">
        <v>1430</v>
      </c>
      <c r="P10" s="132">
        <v>45261</v>
      </c>
      <c r="Q10" s="124" t="s">
        <v>1054</v>
      </c>
      <c r="R10" s="124" t="s">
        <v>499</v>
      </c>
      <c r="S10" s="124" t="s">
        <v>1414</v>
      </c>
      <c r="T10" s="124" t="s">
        <v>1415</v>
      </c>
      <c r="U10" s="128" t="s">
        <v>1415</v>
      </c>
      <c r="V10" s="124">
        <v>45</v>
      </c>
      <c r="W10" s="124" t="s">
        <v>89</v>
      </c>
      <c r="X10" s="124" t="s">
        <v>82</v>
      </c>
      <c r="Y10" s="124">
        <v>5</v>
      </c>
      <c r="Z10" s="124" t="s">
        <v>1122</v>
      </c>
      <c r="AA10" s="124" t="s">
        <v>1415</v>
      </c>
      <c r="AB10" s="124" t="s">
        <v>6</v>
      </c>
      <c r="AC10" s="124" t="s">
        <v>1500</v>
      </c>
      <c r="AD10" s="124">
        <v>5</v>
      </c>
      <c r="AE10" s="124">
        <v>36.463999999999999</v>
      </c>
      <c r="AF10" s="124">
        <v>39.152999999999999</v>
      </c>
      <c r="AG10" s="124" t="s">
        <v>1413</v>
      </c>
      <c r="AH10" s="124" t="s">
        <v>1430</v>
      </c>
      <c r="AU10" s="19"/>
      <c r="AV10" s="19"/>
      <c r="AW10" s="19"/>
      <c r="AX10" s="19"/>
      <c r="AY10" s="19"/>
      <c r="AZ10" s="19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</row>
    <row r="11" spans="1:122" ht="15" x14ac:dyDescent="0.25">
      <c r="B11" s="124"/>
      <c r="C11" s="124" t="s">
        <v>1160</v>
      </c>
      <c r="D11" s="132">
        <v>45261</v>
      </c>
      <c r="E11" s="124" t="s">
        <v>1159</v>
      </c>
      <c r="F11" s="124" t="s">
        <v>80</v>
      </c>
      <c r="G11" s="124" t="s">
        <v>80</v>
      </c>
      <c r="H11" s="124" t="s">
        <v>35</v>
      </c>
      <c r="I11" s="128" t="s">
        <v>89</v>
      </c>
      <c r="J11" s="124" t="s">
        <v>89</v>
      </c>
      <c r="K11" s="124" t="s">
        <v>89</v>
      </c>
      <c r="L11" s="124" t="s">
        <v>1526</v>
      </c>
      <c r="P11" s="132">
        <v>45261</v>
      </c>
      <c r="Q11" s="124" t="s">
        <v>1159</v>
      </c>
      <c r="R11" s="124" t="s">
        <v>89</v>
      </c>
      <c r="S11" s="124" t="s">
        <v>89</v>
      </c>
      <c r="T11" s="124" t="s">
        <v>1524</v>
      </c>
      <c r="U11" s="128" t="s">
        <v>89</v>
      </c>
      <c r="V11" s="124"/>
      <c r="W11" s="124" t="s">
        <v>205</v>
      </c>
      <c r="X11" s="124" t="s">
        <v>103</v>
      </c>
      <c r="Y11" s="124">
        <v>1.04</v>
      </c>
      <c r="Z11" s="124" t="s">
        <v>544</v>
      </c>
      <c r="AA11" s="124" t="s">
        <v>821</v>
      </c>
      <c r="AB11" s="124" t="s">
        <v>89</v>
      </c>
      <c r="AC11" s="124" t="s">
        <v>204</v>
      </c>
      <c r="AD11" s="124">
        <v>0.14299999999999999</v>
      </c>
      <c r="AE11" s="124">
        <v>1.04</v>
      </c>
      <c r="AF11" s="124">
        <v>1.1160000000000001</v>
      </c>
      <c r="AG11" s="124" t="s">
        <v>1160</v>
      </c>
      <c r="AH11" s="124" t="s">
        <v>1526</v>
      </c>
      <c r="AU11" s="19"/>
      <c r="AV11" s="19"/>
      <c r="AW11" s="19"/>
      <c r="AX11" s="19"/>
      <c r="AY11" s="19"/>
      <c r="AZ11" s="19"/>
      <c r="BA11" s="23"/>
      <c r="BB11" s="19"/>
      <c r="BC11" s="19"/>
      <c r="BD11" s="19"/>
      <c r="BF11" s="19"/>
      <c r="BJ11" s="3"/>
      <c r="BK11" s="3"/>
      <c r="BL11" s="3"/>
      <c r="BM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</row>
    <row r="12" spans="1:122" ht="15" x14ac:dyDescent="0.25">
      <c r="B12" s="124"/>
      <c r="C12" s="124" t="s">
        <v>1432</v>
      </c>
      <c r="D12" s="132">
        <v>45261</v>
      </c>
      <c r="E12" s="124" t="s">
        <v>1431</v>
      </c>
      <c r="F12" s="124" t="s">
        <v>80</v>
      </c>
      <c r="G12" s="124" t="s">
        <v>80</v>
      </c>
      <c r="H12" s="124" t="s">
        <v>108</v>
      </c>
      <c r="I12" s="128" t="s">
        <v>631</v>
      </c>
      <c r="J12" s="124" t="s">
        <v>129</v>
      </c>
      <c r="K12" s="124" t="s">
        <v>6</v>
      </c>
      <c r="L12" s="124" t="s">
        <v>1446</v>
      </c>
      <c r="M12" s="19"/>
      <c r="P12" s="132">
        <v>45261</v>
      </c>
      <c r="Q12" s="124" t="s">
        <v>1431</v>
      </c>
      <c r="R12" s="124" t="s">
        <v>89</v>
      </c>
      <c r="S12" s="124" t="s">
        <v>1433</v>
      </c>
      <c r="T12" s="124" t="s">
        <v>1434</v>
      </c>
      <c r="U12" s="128" t="s">
        <v>1434</v>
      </c>
      <c r="V12" s="124">
        <v>20</v>
      </c>
      <c r="W12" s="124" t="s">
        <v>89</v>
      </c>
      <c r="X12" s="124" t="s">
        <v>103</v>
      </c>
      <c r="Y12" s="124">
        <v>4</v>
      </c>
      <c r="Z12" s="124" t="s">
        <v>131</v>
      </c>
      <c r="AA12" s="124" t="s">
        <v>1434</v>
      </c>
      <c r="AB12" s="124" t="s">
        <v>6</v>
      </c>
      <c r="AC12" s="124" t="s">
        <v>204</v>
      </c>
      <c r="AD12" s="124">
        <v>0.54800000000000004</v>
      </c>
      <c r="AE12" s="124">
        <v>4</v>
      </c>
      <c r="AF12" s="124">
        <v>4.2930000000000001</v>
      </c>
      <c r="AG12" s="124" t="s">
        <v>1432</v>
      </c>
      <c r="AH12" s="124" t="s">
        <v>1446</v>
      </c>
      <c r="AI12" s="19"/>
      <c r="AN12" s="19"/>
      <c r="AO12" s="19"/>
      <c r="AP12" s="19"/>
      <c r="AQ12" s="19"/>
      <c r="AU12" s="19"/>
      <c r="AV12" s="19"/>
      <c r="AW12" s="19"/>
      <c r="AX12" s="19"/>
      <c r="AY12" s="19"/>
      <c r="AZ12" s="19"/>
      <c r="BA12" s="19"/>
      <c r="BB12" s="19"/>
      <c r="BD12" s="19"/>
      <c r="BE12" s="19"/>
      <c r="BF12" s="19"/>
      <c r="BH12" s="19"/>
      <c r="BI12" s="19"/>
      <c r="BO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</row>
    <row r="13" spans="1:122" ht="15" x14ac:dyDescent="0.25">
      <c r="B13" s="124"/>
      <c r="C13" s="124" t="s">
        <v>1133</v>
      </c>
      <c r="D13" s="132">
        <v>45260</v>
      </c>
      <c r="E13" s="124" t="s">
        <v>1132</v>
      </c>
      <c r="F13" s="124" t="s">
        <v>80</v>
      </c>
      <c r="G13" s="124" t="s">
        <v>80</v>
      </c>
      <c r="H13" s="124" t="s">
        <v>108</v>
      </c>
      <c r="I13" s="128" t="s">
        <v>634</v>
      </c>
      <c r="J13" s="124" t="s">
        <v>6</v>
      </c>
      <c r="K13" s="124" t="s">
        <v>6</v>
      </c>
      <c r="L13" s="124" t="s">
        <v>1144</v>
      </c>
      <c r="M13" s="19"/>
      <c r="P13" s="132">
        <v>45260</v>
      </c>
      <c r="Q13" s="124" t="s">
        <v>1132</v>
      </c>
      <c r="R13" s="124" t="s">
        <v>89</v>
      </c>
      <c r="S13" s="124" t="s">
        <v>89</v>
      </c>
      <c r="T13" s="124" t="s">
        <v>846</v>
      </c>
      <c r="U13" s="128" t="s">
        <v>89</v>
      </c>
      <c r="V13" s="124"/>
      <c r="W13" s="124" t="s">
        <v>89</v>
      </c>
      <c r="X13" s="124" t="s">
        <v>103</v>
      </c>
      <c r="Y13" s="124">
        <v>3.6970000000000001</v>
      </c>
      <c r="Z13" s="124" t="s">
        <v>131</v>
      </c>
      <c r="AA13" s="124" t="s">
        <v>846</v>
      </c>
      <c r="AB13" s="124" t="s">
        <v>6</v>
      </c>
      <c r="AC13" s="124" t="s">
        <v>204</v>
      </c>
      <c r="AD13" s="124">
        <v>0.50700000000000001</v>
      </c>
      <c r="AE13" s="124">
        <v>3.6970000000000001</v>
      </c>
      <c r="AF13" s="124">
        <v>3.968</v>
      </c>
      <c r="AG13" s="124" t="s">
        <v>1133</v>
      </c>
      <c r="AH13" s="124" t="s">
        <v>1144</v>
      </c>
      <c r="AI13" s="19"/>
      <c r="AK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F13" s="19"/>
      <c r="BJ13" s="3"/>
      <c r="BK13" s="3"/>
      <c r="BL13" s="3"/>
      <c r="BM13" s="3"/>
      <c r="BN13" s="3"/>
      <c r="BO13" s="3"/>
      <c r="BP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</row>
    <row r="14" spans="1:122" ht="15" x14ac:dyDescent="0.25">
      <c r="B14" s="124"/>
      <c r="C14" s="124" t="s">
        <v>1146</v>
      </c>
      <c r="D14" s="132">
        <v>45260</v>
      </c>
      <c r="E14" s="124" t="s">
        <v>1145</v>
      </c>
      <c r="F14" s="124" t="s">
        <v>80</v>
      </c>
      <c r="G14" s="124" t="s">
        <v>80</v>
      </c>
      <c r="H14" s="124" t="s">
        <v>37</v>
      </c>
      <c r="I14" s="128" t="s">
        <v>89</v>
      </c>
      <c r="J14" s="124" t="s">
        <v>6</v>
      </c>
      <c r="K14" s="124" t="s">
        <v>6</v>
      </c>
      <c r="L14" s="124" t="s">
        <v>1158</v>
      </c>
      <c r="M14" s="19"/>
      <c r="P14" s="132">
        <v>45260</v>
      </c>
      <c r="Q14" s="124" t="s">
        <v>1145</v>
      </c>
      <c r="R14" s="124" t="s">
        <v>89</v>
      </c>
      <c r="S14" s="124" t="s">
        <v>89</v>
      </c>
      <c r="T14" s="124" t="s">
        <v>1147</v>
      </c>
      <c r="U14" s="128" t="s">
        <v>89</v>
      </c>
      <c r="V14" s="124"/>
      <c r="W14" s="124" t="s">
        <v>89</v>
      </c>
      <c r="X14" s="124" t="s">
        <v>103</v>
      </c>
      <c r="Y14" s="124">
        <v>2</v>
      </c>
      <c r="Z14" s="124" t="s">
        <v>1122</v>
      </c>
      <c r="AA14" s="124" t="s">
        <v>1147</v>
      </c>
      <c r="AB14" s="124" t="s">
        <v>6</v>
      </c>
      <c r="AC14" s="124" t="s">
        <v>106</v>
      </c>
      <c r="AD14" s="124">
        <v>0.27400000000000002</v>
      </c>
      <c r="AE14" s="124">
        <v>2</v>
      </c>
      <c r="AF14" s="124">
        <v>2.1469999999999998</v>
      </c>
      <c r="AG14" s="124" t="s">
        <v>1146</v>
      </c>
      <c r="AH14" s="124" t="s">
        <v>1158</v>
      </c>
      <c r="AI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I14" s="19"/>
      <c r="BJ14" s="3"/>
      <c r="BK14" s="3"/>
      <c r="BL14" s="3"/>
      <c r="BM14" s="3"/>
      <c r="BN14" s="3"/>
      <c r="BO14" s="3"/>
      <c r="BP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</row>
    <row r="15" spans="1:122" ht="15" x14ac:dyDescent="0.25">
      <c r="B15" s="121"/>
      <c r="C15" s="121" t="s">
        <v>1160</v>
      </c>
      <c r="D15" s="131">
        <v>45260</v>
      </c>
      <c r="E15" s="121" t="s">
        <v>1159</v>
      </c>
      <c r="F15" s="121" t="s">
        <v>80</v>
      </c>
      <c r="G15" s="121" t="s">
        <v>80</v>
      </c>
      <c r="H15" s="121" t="s">
        <v>35</v>
      </c>
      <c r="I15" s="122" t="s">
        <v>89</v>
      </c>
      <c r="J15" s="121" t="s">
        <v>6</v>
      </c>
      <c r="K15" s="121" t="s">
        <v>6</v>
      </c>
      <c r="L15" s="121" t="s">
        <v>1169</v>
      </c>
      <c r="M15" s="19"/>
      <c r="P15" s="131">
        <v>45260</v>
      </c>
      <c r="Q15" s="121" t="s">
        <v>1159</v>
      </c>
      <c r="R15" s="121" t="s">
        <v>89</v>
      </c>
      <c r="S15" s="121" t="s">
        <v>89</v>
      </c>
      <c r="T15" s="121" t="s">
        <v>821</v>
      </c>
      <c r="U15" s="122" t="s">
        <v>89</v>
      </c>
      <c r="V15" s="121"/>
      <c r="W15" s="121" t="s">
        <v>89</v>
      </c>
      <c r="X15" s="121" t="s">
        <v>103</v>
      </c>
      <c r="Y15" s="121">
        <v>3.53</v>
      </c>
      <c r="Z15" s="121" t="s">
        <v>544</v>
      </c>
      <c r="AA15" s="121" t="s">
        <v>821</v>
      </c>
      <c r="AB15" s="121" t="s">
        <v>6</v>
      </c>
      <c r="AC15" s="121" t="s">
        <v>204</v>
      </c>
      <c r="AD15" s="121">
        <v>0.48399999999999999</v>
      </c>
      <c r="AE15" s="121">
        <v>3.53</v>
      </c>
      <c r="AF15" s="121">
        <v>3.7890000000000001</v>
      </c>
      <c r="AG15" s="121" t="s">
        <v>1160</v>
      </c>
      <c r="AH15" s="121" t="s">
        <v>1169</v>
      </c>
      <c r="AI15" s="19"/>
      <c r="AJ15" s="19"/>
      <c r="AK15" s="19"/>
      <c r="AP15" s="19"/>
      <c r="AQ15" s="19"/>
      <c r="AR15" s="19"/>
      <c r="AS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</row>
    <row r="16" spans="1:122" ht="15" x14ac:dyDescent="0.25">
      <c r="B16" s="121"/>
      <c r="C16" s="121" t="s">
        <v>1171</v>
      </c>
      <c r="D16" s="131">
        <v>45259</v>
      </c>
      <c r="E16" s="121" t="s">
        <v>1170</v>
      </c>
      <c r="F16" s="121" t="s">
        <v>80</v>
      </c>
      <c r="G16" s="121" t="s">
        <v>80</v>
      </c>
      <c r="H16" s="121" t="s">
        <v>233</v>
      </c>
      <c r="I16" s="122" t="s">
        <v>653</v>
      </c>
      <c r="J16" s="121" t="s">
        <v>6</v>
      </c>
      <c r="K16" s="121" t="s">
        <v>6</v>
      </c>
      <c r="L16" s="121" t="s">
        <v>1183</v>
      </c>
      <c r="M16" s="19"/>
      <c r="P16" s="131">
        <v>45259</v>
      </c>
      <c r="Q16" s="121" t="s">
        <v>1170</v>
      </c>
      <c r="R16" s="121" t="s">
        <v>89</v>
      </c>
      <c r="S16" s="121" t="s">
        <v>89</v>
      </c>
      <c r="T16" s="121" t="s">
        <v>1173</v>
      </c>
      <c r="U16" s="122" t="s">
        <v>89</v>
      </c>
      <c r="V16" s="121"/>
      <c r="W16" s="121" t="s">
        <v>89</v>
      </c>
      <c r="X16" s="121" t="s">
        <v>103</v>
      </c>
      <c r="Y16" s="121">
        <v>3</v>
      </c>
      <c r="Z16" s="121" t="s">
        <v>131</v>
      </c>
      <c r="AA16" s="121" t="s">
        <v>1173</v>
      </c>
      <c r="AB16" s="121" t="s">
        <v>6</v>
      </c>
      <c r="AC16" s="121" t="s">
        <v>204</v>
      </c>
      <c r="AD16" s="121">
        <v>0.41099999999999998</v>
      </c>
      <c r="AE16" s="121">
        <v>3</v>
      </c>
      <c r="AF16" s="121">
        <v>3.22</v>
      </c>
      <c r="AG16" s="121" t="s">
        <v>1171</v>
      </c>
      <c r="AH16" s="121" t="s">
        <v>1183</v>
      </c>
      <c r="AI16" s="19"/>
      <c r="AJ16" s="19"/>
      <c r="AK16" s="19"/>
      <c r="AL16" s="19"/>
      <c r="AT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</row>
    <row r="17" spans="2:122" ht="15" x14ac:dyDescent="0.25">
      <c r="B17" s="121"/>
      <c r="C17" s="121" t="s">
        <v>1189</v>
      </c>
      <c r="D17" s="131">
        <v>45259</v>
      </c>
      <c r="E17" s="121" t="s">
        <v>1188</v>
      </c>
      <c r="F17" s="121" t="s">
        <v>80</v>
      </c>
      <c r="G17" s="121" t="s">
        <v>1208</v>
      </c>
      <c r="H17" s="121" t="s">
        <v>37</v>
      </c>
      <c r="I17" s="122" t="s">
        <v>89</v>
      </c>
      <c r="J17" s="121" t="s">
        <v>6</v>
      </c>
      <c r="K17" s="121" t="s">
        <v>6</v>
      </c>
      <c r="L17" s="121" t="s">
        <v>1209</v>
      </c>
      <c r="M17" s="19"/>
      <c r="P17" s="131">
        <v>45259</v>
      </c>
      <c r="Q17" s="121" t="s">
        <v>1188</v>
      </c>
      <c r="R17" s="121" t="s">
        <v>89</v>
      </c>
      <c r="S17" s="121" t="s">
        <v>1190</v>
      </c>
      <c r="T17" s="121" t="s">
        <v>1191</v>
      </c>
      <c r="U17" s="122" t="s">
        <v>1206</v>
      </c>
      <c r="V17" s="121">
        <v>52.5</v>
      </c>
      <c r="W17" s="121" t="s">
        <v>89</v>
      </c>
      <c r="X17" s="121" t="s">
        <v>82</v>
      </c>
      <c r="Y17" s="121">
        <v>1.87</v>
      </c>
      <c r="Z17" s="121" t="s">
        <v>131</v>
      </c>
      <c r="AA17" s="121" t="s">
        <v>1206</v>
      </c>
      <c r="AB17" s="121" t="s">
        <v>253</v>
      </c>
      <c r="AC17" s="121" t="s">
        <v>215</v>
      </c>
      <c r="AD17" s="121">
        <v>1.87</v>
      </c>
      <c r="AE17" s="121">
        <v>13.638</v>
      </c>
      <c r="AF17" s="121">
        <v>14.643000000000001</v>
      </c>
      <c r="AG17" s="121" t="s">
        <v>1189</v>
      </c>
      <c r="AH17" s="121" t="s">
        <v>1209</v>
      </c>
      <c r="AI17" s="19"/>
      <c r="AJ17" s="19"/>
      <c r="AK17" s="19"/>
      <c r="AL17" s="19"/>
      <c r="AO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</row>
    <row r="18" spans="2:122" ht="15" x14ac:dyDescent="0.25">
      <c r="B18" s="121"/>
      <c r="C18" s="121" t="s">
        <v>1211</v>
      </c>
      <c r="D18" s="131">
        <v>45258</v>
      </c>
      <c r="E18" s="121" t="s">
        <v>1145</v>
      </c>
      <c r="F18" s="121" t="s">
        <v>80</v>
      </c>
      <c r="G18" s="121" t="s">
        <v>80</v>
      </c>
      <c r="H18" s="121" t="s">
        <v>37</v>
      </c>
      <c r="I18" s="122" t="s">
        <v>89</v>
      </c>
      <c r="J18" s="121" t="s">
        <v>6</v>
      </c>
      <c r="K18" s="121" t="s">
        <v>6</v>
      </c>
      <c r="L18" s="121" t="s">
        <v>1215</v>
      </c>
      <c r="M18" s="19"/>
      <c r="P18" s="131">
        <v>45258</v>
      </c>
      <c r="Q18" s="121" t="s">
        <v>1145</v>
      </c>
      <c r="R18" s="121" t="s">
        <v>89</v>
      </c>
      <c r="S18" s="121" t="s">
        <v>89</v>
      </c>
      <c r="T18" s="121" t="s">
        <v>89</v>
      </c>
      <c r="U18" s="122" t="s">
        <v>89</v>
      </c>
      <c r="V18" s="121"/>
      <c r="W18" s="121" t="s">
        <v>89</v>
      </c>
      <c r="X18" s="121" t="s">
        <v>103</v>
      </c>
      <c r="Y18" s="121">
        <v>3</v>
      </c>
      <c r="Z18" s="121" t="s">
        <v>1122</v>
      </c>
      <c r="AA18" s="121" t="s">
        <v>1320</v>
      </c>
      <c r="AB18" s="121" t="s">
        <v>6</v>
      </c>
      <c r="AC18" s="121" t="s">
        <v>106</v>
      </c>
      <c r="AD18" s="121">
        <v>0.41099999999999998</v>
      </c>
      <c r="AE18" s="121">
        <v>3</v>
      </c>
      <c r="AF18" s="121">
        <v>3.22</v>
      </c>
      <c r="AG18" s="121" t="s">
        <v>1211</v>
      </c>
      <c r="AH18" s="121" t="s">
        <v>1215</v>
      </c>
      <c r="AI18" s="19"/>
      <c r="AJ18" s="19"/>
      <c r="AK18" s="19"/>
      <c r="AL18" s="19"/>
      <c r="AQ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</row>
    <row r="19" spans="2:122" ht="15" x14ac:dyDescent="0.25">
      <c r="B19" s="121"/>
      <c r="C19" s="121" t="s">
        <v>1216</v>
      </c>
      <c r="D19" s="131">
        <v>45258</v>
      </c>
      <c r="E19" s="121" t="s">
        <v>380</v>
      </c>
      <c r="F19" s="121" t="s">
        <v>1233</v>
      </c>
      <c r="G19" s="121" t="s">
        <v>1234</v>
      </c>
      <c r="H19" s="121" t="s">
        <v>35</v>
      </c>
      <c r="I19" s="122" t="s">
        <v>89</v>
      </c>
      <c r="J19" s="121" t="s">
        <v>129</v>
      </c>
      <c r="K19" s="121" t="s">
        <v>6</v>
      </c>
      <c r="L19" s="121" t="s">
        <v>1235</v>
      </c>
      <c r="M19" s="19"/>
      <c r="N19" s="19"/>
      <c r="O19" s="19"/>
      <c r="P19" s="131">
        <v>45258</v>
      </c>
      <c r="Q19" s="121" t="s">
        <v>380</v>
      </c>
      <c r="R19" s="121" t="s">
        <v>89</v>
      </c>
      <c r="S19" s="121" t="s">
        <v>1217</v>
      </c>
      <c r="T19" s="121" t="s">
        <v>1218</v>
      </c>
      <c r="U19" s="122" t="s">
        <v>1218</v>
      </c>
      <c r="V19" s="121">
        <v>35</v>
      </c>
      <c r="W19" s="121" t="s">
        <v>89</v>
      </c>
      <c r="X19" s="121" t="s">
        <v>82</v>
      </c>
      <c r="Y19" s="121">
        <v>5</v>
      </c>
      <c r="Z19" s="121" t="s">
        <v>1096</v>
      </c>
      <c r="AA19" s="121" t="s">
        <v>1321</v>
      </c>
      <c r="AB19" s="121" t="s">
        <v>253</v>
      </c>
      <c r="AC19" s="121" t="s">
        <v>215</v>
      </c>
      <c r="AD19" s="121">
        <v>5</v>
      </c>
      <c r="AE19" s="121">
        <v>36.463999999999999</v>
      </c>
      <c r="AF19" s="121">
        <v>39.152999999999999</v>
      </c>
      <c r="AG19" s="121" t="s">
        <v>1216</v>
      </c>
      <c r="AH19" s="121" t="s">
        <v>1235</v>
      </c>
      <c r="AI19" s="19"/>
      <c r="AJ19" s="19"/>
      <c r="AK19" s="19"/>
      <c r="AL19" s="19"/>
      <c r="AM19" s="19"/>
      <c r="AN19" s="19"/>
      <c r="AO19" s="19"/>
      <c r="AQ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N19" s="3"/>
      <c r="BO19" s="3"/>
      <c r="BP19" s="3"/>
      <c r="BZ19" s="3"/>
      <c r="CB19" s="3"/>
      <c r="CC19" s="3"/>
      <c r="CD19" s="3"/>
      <c r="CE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</row>
    <row r="20" spans="2:122" ht="15" x14ac:dyDescent="0.25">
      <c r="B20" s="121"/>
      <c r="C20" s="121" t="s">
        <v>1237</v>
      </c>
      <c r="D20" s="131">
        <v>45257</v>
      </c>
      <c r="E20" s="121" t="s">
        <v>1236</v>
      </c>
      <c r="F20" s="121" t="s">
        <v>1251</v>
      </c>
      <c r="G20" s="121" t="s">
        <v>1251</v>
      </c>
      <c r="H20" s="121" t="s">
        <v>37</v>
      </c>
      <c r="I20" s="122" t="s">
        <v>89</v>
      </c>
      <c r="J20" s="121" t="s">
        <v>6</v>
      </c>
      <c r="K20" s="121" t="s">
        <v>6</v>
      </c>
      <c r="L20" s="121" t="s">
        <v>1253</v>
      </c>
      <c r="M20" s="19"/>
      <c r="N20" s="19"/>
      <c r="O20" s="19"/>
      <c r="P20" s="131">
        <v>45257</v>
      </c>
      <c r="Q20" s="121" t="s">
        <v>1236</v>
      </c>
      <c r="R20" s="121" t="s">
        <v>510</v>
      </c>
      <c r="S20" s="121" t="s">
        <v>1238</v>
      </c>
      <c r="T20" s="121" t="s">
        <v>1239</v>
      </c>
      <c r="U20" s="122" t="s">
        <v>1239</v>
      </c>
      <c r="V20" s="121">
        <v>40</v>
      </c>
      <c r="W20" s="121" t="s">
        <v>89</v>
      </c>
      <c r="X20" s="121" t="s">
        <v>82</v>
      </c>
      <c r="Y20" s="121">
        <v>3.3</v>
      </c>
      <c r="Z20" s="121" t="s">
        <v>131</v>
      </c>
      <c r="AA20" s="121" t="s">
        <v>1239</v>
      </c>
      <c r="AB20" s="121" t="s">
        <v>6</v>
      </c>
      <c r="AC20" s="121" t="s">
        <v>204</v>
      </c>
      <c r="AD20" s="121">
        <v>3.3</v>
      </c>
      <c r="AE20" s="121">
        <v>24.065999999999999</v>
      </c>
      <c r="AF20" s="121">
        <v>25.841000000000001</v>
      </c>
      <c r="AG20" s="121" t="s">
        <v>1237</v>
      </c>
      <c r="AH20" s="121" t="s">
        <v>1253</v>
      </c>
      <c r="AI20" s="19"/>
      <c r="AJ20" s="19"/>
      <c r="AK20" s="19"/>
      <c r="AL20" s="19"/>
      <c r="AM20" s="19"/>
      <c r="AN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CI20" s="3"/>
      <c r="CJ20" s="3"/>
      <c r="CM20" s="3"/>
      <c r="CN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</row>
    <row r="21" spans="2:122" ht="15" x14ac:dyDescent="0.25">
      <c r="B21" s="121"/>
      <c r="C21" s="121" t="s">
        <v>1255</v>
      </c>
      <c r="D21" s="131">
        <v>45257</v>
      </c>
      <c r="E21" s="121" t="s">
        <v>1254</v>
      </c>
      <c r="F21" s="121" t="s">
        <v>80</v>
      </c>
      <c r="G21" s="121" t="s">
        <v>80</v>
      </c>
      <c r="H21" s="121" t="s">
        <v>38</v>
      </c>
      <c r="I21" s="122" t="s">
        <v>89</v>
      </c>
      <c r="J21" s="121" t="s">
        <v>6</v>
      </c>
      <c r="K21" s="121" t="s">
        <v>6</v>
      </c>
      <c r="L21" s="121" t="s">
        <v>1268</v>
      </c>
      <c r="M21" s="19"/>
      <c r="N21" s="19"/>
      <c r="O21" s="19"/>
      <c r="P21" s="131">
        <v>45257</v>
      </c>
      <c r="Q21" s="121" t="s">
        <v>1254</v>
      </c>
      <c r="R21" s="121" t="s">
        <v>89</v>
      </c>
      <c r="S21" s="121" t="s">
        <v>1256</v>
      </c>
      <c r="T21" s="121" t="s">
        <v>1257</v>
      </c>
      <c r="U21" s="122" t="s">
        <v>1257</v>
      </c>
      <c r="V21" s="121">
        <v>40</v>
      </c>
      <c r="W21" s="121" t="s">
        <v>89</v>
      </c>
      <c r="X21" s="121" t="s">
        <v>103</v>
      </c>
      <c r="Y21" s="121">
        <v>7.1</v>
      </c>
      <c r="Z21" s="121" t="s">
        <v>131</v>
      </c>
      <c r="AA21" s="121" t="s">
        <v>1257</v>
      </c>
      <c r="AB21" s="121" t="s">
        <v>6</v>
      </c>
      <c r="AC21" s="121" t="s">
        <v>204</v>
      </c>
      <c r="AD21" s="121">
        <v>0.97299999999999998</v>
      </c>
      <c r="AE21" s="121">
        <v>7.1</v>
      </c>
      <c r="AF21" s="121">
        <v>7.62</v>
      </c>
      <c r="AG21" s="121" t="s">
        <v>1255</v>
      </c>
      <c r="AH21" s="121" t="s">
        <v>1268</v>
      </c>
      <c r="AI21" s="19"/>
      <c r="AJ21" s="19"/>
      <c r="AK21" s="19"/>
      <c r="AL21" s="19"/>
      <c r="AM21" s="19"/>
      <c r="AN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CI21" s="3"/>
      <c r="CJ21" s="3"/>
      <c r="CM21" s="3"/>
      <c r="CN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</row>
    <row r="22" spans="2:122" ht="15" x14ac:dyDescent="0.25">
      <c r="B22" s="121"/>
      <c r="C22" s="121" t="s">
        <v>1269</v>
      </c>
      <c r="D22" s="131">
        <v>45257</v>
      </c>
      <c r="E22" s="121" t="s">
        <v>1182</v>
      </c>
      <c r="F22" s="121" t="s">
        <v>80</v>
      </c>
      <c r="G22" s="121" t="s">
        <v>80</v>
      </c>
      <c r="H22" s="121" t="s">
        <v>109</v>
      </c>
      <c r="I22" s="122" t="s">
        <v>634</v>
      </c>
      <c r="J22" s="121" t="s">
        <v>6</v>
      </c>
      <c r="K22" s="121" t="s">
        <v>6</v>
      </c>
      <c r="L22" s="121" t="s">
        <v>1277</v>
      </c>
      <c r="M22" s="19"/>
      <c r="N22" s="19"/>
      <c r="O22" s="19"/>
      <c r="P22" s="131">
        <v>45257</v>
      </c>
      <c r="Q22" s="121" t="s">
        <v>1182</v>
      </c>
      <c r="R22" s="121" t="s">
        <v>89</v>
      </c>
      <c r="S22" s="121" t="s">
        <v>89</v>
      </c>
      <c r="T22" s="121" t="s">
        <v>846</v>
      </c>
      <c r="U22" s="122" t="s">
        <v>89</v>
      </c>
      <c r="V22" s="121"/>
      <c r="W22" s="121" t="s">
        <v>89</v>
      </c>
      <c r="X22" s="121" t="s">
        <v>103</v>
      </c>
      <c r="Y22" s="121">
        <v>1.92</v>
      </c>
      <c r="Z22" s="121" t="s">
        <v>131</v>
      </c>
      <c r="AA22" s="121" t="s">
        <v>846</v>
      </c>
      <c r="AB22" s="121" t="s">
        <v>6</v>
      </c>
      <c r="AC22" s="121" t="s">
        <v>204</v>
      </c>
      <c r="AD22" s="121">
        <v>0.26300000000000001</v>
      </c>
      <c r="AE22" s="121">
        <v>1.92</v>
      </c>
      <c r="AF22" s="121">
        <v>2.0609999999999999</v>
      </c>
      <c r="AG22" s="121" t="s">
        <v>1269</v>
      </c>
      <c r="AH22" s="121" t="s">
        <v>1277</v>
      </c>
      <c r="AI22" s="19"/>
      <c r="AJ22" s="19"/>
      <c r="AK22" s="19"/>
      <c r="AL22" s="19"/>
      <c r="AM22" s="19"/>
      <c r="AN22" s="19"/>
      <c r="AO22" s="19"/>
      <c r="AP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CN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</row>
    <row r="23" spans="2:122" ht="15" x14ac:dyDescent="0.25">
      <c r="B23" s="121"/>
      <c r="C23" s="121" t="s">
        <v>819</v>
      </c>
      <c r="D23" s="131">
        <v>45254</v>
      </c>
      <c r="E23" s="121" t="s">
        <v>349</v>
      </c>
      <c r="F23" s="121" t="s">
        <v>80</v>
      </c>
      <c r="G23" s="121" t="s">
        <v>80</v>
      </c>
      <c r="H23" s="121" t="s">
        <v>35</v>
      </c>
      <c r="I23" s="122" t="s">
        <v>89</v>
      </c>
      <c r="J23" s="121" t="s">
        <v>6</v>
      </c>
      <c r="K23" s="121" t="s">
        <v>6</v>
      </c>
      <c r="L23" s="121" t="s">
        <v>837</v>
      </c>
      <c r="M23" s="19"/>
      <c r="N23" s="19"/>
      <c r="O23" s="19"/>
      <c r="P23" s="131">
        <v>45254</v>
      </c>
      <c r="Q23" s="121" t="s">
        <v>349</v>
      </c>
      <c r="R23" s="121" t="s">
        <v>89</v>
      </c>
      <c r="S23" s="121" t="s">
        <v>820</v>
      </c>
      <c r="T23" s="121" t="s">
        <v>821</v>
      </c>
      <c r="U23" s="122" t="s">
        <v>821</v>
      </c>
      <c r="V23" s="121">
        <v>30</v>
      </c>
      <c r="W23" s="121" t="s">
        <v>89</v>
      </c>
      <c r="X23" s="121" t="s">
        <v>82</v>
      </c>
      <c r="Y23" s="121">
        <v>2.8</v>
      </c>
      <c r="Z23" s="121" t="s">
        <v>845</v>
      </c>
      <c r="AA23" s="121" t="s">
        <v>821</v>
      </c>
      <c r="AB23" s="121" t="s">
        <v>253</v>
      </c>
      <c r="AC23" s="121" t="s">
        <v>843</v>
      </c>
      <c r="AD23" s="121">
        <v>2.8</v>
      </c>
      <c r="AE23" s="121">
        <v>20.420000000000002</v>
      </c>
      <c r="AF23" s="121">
        <v>21.925999999999998</v>
      </c>
      <c r="AG23" s="121" t="s">
        <v>819</v>
      </c>
      <c r="AH23" s="121" t="s">
        <v>837</v>
      </c>
      <c r="AI23" s="19"/>
      <c r="AJ23" s="19"/>
      <c r="AK23" s="19"/>
      <c r="AL23" s="19"/>
      <c r="AM23" s="19"/>
      <c r="AN23" s="19"/>
      <c r="AO23" s="19"/>
      <c r="AP23" s="19"/>
      <c r="AQ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CN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</row>
    <row r="24" spans="2:122" ht="15" x14ac:dyDescent="0.25">
      <c r="B24" s="121"/>
      <c r="C24" s="121" t="s">
        <v>1306</v>
      </c>
      <c r="D24" s="131">
        <v>45254</v>
      </c>
      <c r="E24" s="121" t="s">
        <v>1145</v>
      </c>
      <c r="F24" s="121" t="s">
        <v>80</v>
      </c>
      <c r="G24" s="121" t="s">
        <v>80</v>
      </c>
      <c r="H24" s="121" t="s">
        <v>37</v>
      </c>
      <c r="I24" s="122" t="s">
        <v>89</v>
      </c>
      <c r="J24" s="121" t="s">
        <v>6</v>
      </c>
      <c r="K24" s="121" t="s">
        <v>6</v>
      </c>
      <c r="L24" s="121" t="s">
        <v>1310</v>
      </c>
      <c r="M24" s="19"/>
      <c r="N24" s="19"/>
      <c r="O24" s="19"/>
      <c r="P24" s="131">
        <v>45254</v>
      </c>
      <c r="Q24" s="121" t="s">
        <v>1145</v>
      </c>
      <c r="R24" s="121" t="s">
        <v>89</v>
      </c>
      <c r="S24" s="121" t="s">
        <v>89</v>
      </c>
      <c r="T24" s="121" t="s">
        <v>89</v>
      </c>
      <c r="U24" s="122" t="s">
        <v>89</v>
      </c>
      <c r="V24" s="121"/>
      <c r="W24" s="121" t="s">
        <v>89</v>
      </c>
      <c r="X24" s="121" t="s">
        <v>103</v>
      </c>
      <c r="Y24" s="121">
        <v>2</v>
      </c>
      <c r="Z24" s="121" t="s">
        <v>1322</v>
      </c>
      <c r="AA24" s="121" t="s">
        <v>1323</v>
      </c>
      <c r="AB24" s="121" t="s">
        <v>6</v>
      </c>
      <c r="AC24" s="121" t="s">
        <v>106</v>
      </c>
      <c r="AD24" s="121">
        <v>0.27400000000000002</v>
      </c>
      <c r="AE24" s="121">
        <v>2</v>
      </c>
      <c r="AF24" s="121">
        <v>2.1469999999999998</v>
      </c>
      <c r="AG24" s="121" t="s">
        <v>1306</v>
      </c>
      <c r="AH24" s="121" t="s">
        <v>1310</v>
      </c>
      <c r="AI24" s="19"/>
      <c r="AJ24" s="19"/>
      <c r="AK24" s="19"/>
      <c r="AL24" s="19"/>
      <c r="AM24" s="19"/>
      <c r="AN24" s="19"/>
      <c r="AO24" s="19"/>
      <c r="AP24" s="19"/>
      <c r="AQ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CN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</row>
    <row r="25" spans="2:122" ht="13.5" x14ac:dyDescent="0.25">
      <c r="K25" s="19"/>
      <c r="L25" s="19"/>
      <c r="M25" s="19"/>
      <c r="N25" s="19"/>
      <c r="O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CN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</row>
    <row r="26" spans="2:122" ht="13.5" x14ac:dyDescent="0.25">
      <c r="M26" s="19"/>
      <c r="N26" s="19"/>
      <c r="O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CN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</row>
    <row r="27" spans="2:122" ht="13.5" x14ac:dyDescent="0.25">
      <c r="N27" s="19"/>
      <c r="O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CO27" s="3"/>
      <c r="CP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</row>
    <row r="28" spans="2:122" ht="13.5" x14ac:dyDescent="0.25">
      <c r="N28" s="19"/>
      <c r="O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CO28" s="3"/>
      <c r="CP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</row>
    <row r="29" spans="2:122" ht="13.5" x14ac:dyDescent="0.25">
      <c r="N29" s="19"/>
      <c r="O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CO29" s="3"/>
      <c r="CP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</row>
    <row r="30" spans="2:122" ht="13.5" x14ac:dyDescent="0.25">
      <c r="N30" s="19"/>
      <c r="O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CO30" s="3"/>
      <c r="CP30" s="3"/>
      <c r="CR30" s="3"/>
      <c r="CS30" s="3"/>
      <c r="CT30" s="3"/>
      <c r="CU30" s="3"/>
      <c r="CV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</row>
    <row r="31" spans="2:122" ht="13.5" x14ac:dyDescent="0.25">
      <c r="N31" s="19"/>
      <c r="O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CO31" s="3"/>
      <c r="CP31" s="3"/>
      <c r="CR31" s="3"/>
      <c r="CS31" s="3"/>
      <c r="CT31" s="3"/>
      <c r="CU31" s="3"/>
      <c r="CV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</row>
    <row r="32" spans="2:122" ht="13.5" x14ac:dyDescent="0.25"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CO32" s="3"/>
      <c r="CP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</row>
    <row r="33" spans="14:122" ht="13.5" x14ac:dyDescent="0.25"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CO33" s="3"/>
      <c r="CP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</row>
    <row r="34" spans="14:122" ht="13.5" x14ac:dyDescent="0.25"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CP34" s="3"/>
      <c r="CQ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</row>
    <row r="35" spans="14:122" ht="13.5" x14ac:dyDescent="0.25"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CP35" s="3"/>
      <c r="CQ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</row>
    <row r="36" spans="14:122" ht="13.5" x14ac:dyDescent="0.25"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CP36" s="3"/>
      <c r="CQ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</row>
    <row r="37" spans="14:122" ht="13.5" x14ac:dyDescent="0.25"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CP37" s="3"/>
      <c r="CQ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</row>
    <row r="38" spans="14:122" ht="13.5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CP38" s="3"/>
      <c r="CQ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</row>
    <row r="39" spans="14:122" ht="13.5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CP39" s="3"/>
      <c r="CQ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</row>
    <row r="40" spans="14:122" ht="13.5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CP40" s="3"/>
      <c r="CQ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</row>
    <row r="41" spans="14:122" ht="13.5" x14ac:dyDescent="0.25"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CP41" s="3"/>
      <c r="CQ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</row>
    <row r="42" spans="14:122" ht="13.5" x14ac:dyDescent="0.25"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CP42" s="3"/>
      <c r="CQ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</row>
    <row r="43" spans="14:122" ht="13.5" x14ac:dyDescent="0.25"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CP43" s="3"/>
      <c r="CQ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</row>
    <row r="44" spans="14:122" ht="13.5" x14ac:dyDescent="0.25"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CP44" s="3"/>
      <c r="CQ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</row>
    <row r="45" spans="14:122" ht="13.5" x14ac:dyDescent="0.25"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CP45" s="3"/>
      <c r="CQ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</row>
    <row r="46" spans="14:122" ht="13.5" x14ac:dyDescent="0.25"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CP46" s="3"/>
      <c r="CQ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</row>
    <row r="47" spans="14:122" ht="13.5" x14ac:dyDescent="0.25"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CP47" s="3"/>
      <c r="CQ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</row>
    <row r="48" spans="14:122" ht="13.5" x14ac:dyDescent="0.25"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CP48" s="3"/>
      <c r="CQ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</row>
    <row r="49" spans="14:122" ht="13.5" x14ac:dyDescent="0.25"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CP49" s="3"/>
      <c r="CQ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</row>
    <row r="50" spans="14:122" ht="13.5" x14ac:dyDescent="0.25"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CP50" s="3"/>
      <c r="CQ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</row>
    <row r="51" spans="14:122" ht="15.75" customHeight="1" x14ac:dyDescent="0.25"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CP51" s="3"/>
      <c r="CQ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</row>
    <row r="52" spans="14:122" ht="15.75" customHeight="1" x14ac:dyDescent="0.25"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CP52" s="3"/>
      <c r="CQ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</row>
    <row r="53" spans="14:122" ht="15.75" customHeight="1" x14ac:dyDescent="0.25"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CP53" s="3"/>
      <c r="CQ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</row>
    <row r="54" spans="14:122" ht="15.75" customHeight="1" x14ac:dyDescent="0.25"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CP54" s="3"/>
      <c r="CQ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</row>
    <row r="55" spans="14:122" ht="15.75" customHeight="1" x14ac:dyDescent="0.25"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CP55" s="3"/>
      <c r="CQ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</row>
    <row r="56" spans="14:122" ht="15.75" customHeight="1" x14ac:dyDescent="0.25"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S56" s="19"/>
      <c r="AT56" s="19"/>
      <c r="AU56" s="19"/>
      <c r="AV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CP56" s="3"/>
      <c r="CQ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</row>
    <row r="57" spans="14:122" ht="15.75" customHeight="1" x14ac:dyDescent="0.25"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S57" s="19"/>
      <c r="AT57" s="19"/>
      <c r="AU57" s="19"/>
      <c r="AV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CP57" s="3"/>
      <c r="CQ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</row>
    <row r="58" spans="14:122" ht="15.75" customHeight="1" x14ac:dyDescent="0.25"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S58" s="19"/>
      <c r="AT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CP58" s="3"/>
      <c r="CQ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</row>
    <row r="59" spans="14:122" ht="13.5" x14ac:dyDescent="0.25"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T59" s="19"/>
      <c r="AY59" s="19"/>
      <c r="AZ59" s="19"/>
      <c r="BB59" s="19"/>
      <c r="BC59" s="19"/>
      <c r="BF59" s="19"/>
      <c r="BG59" s="19"/>
      <c r="BH59" s="19"/>
      <c r="BI59" s="19"/>
      <c r="CP59" s="3"/>
      <c r="CQ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</row>
    <row r="60" spans="14:122" ht="13.5" x14ac:dyDescent="0.25"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Y60" s="19"/>
      <c r="BB60" s="19"/>
      <c r="BC60" s="19"/>
      <c r="BF60" s="19"/>
      <c r="CP60" s="3"/>
      <c r="CQ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</row>
    <row r="61" spans="14:122" ht="13.5" x14ac:dyDescent="0.25"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M61" s="19"/>
      <c r="AN61" s="19"/>
      <c r="AO61" s="19"/>
      <c r="AP61" s="19"/>
      <c r="AY61" s="19"/>
      <c r="BB61" s="19"/>
      <c r="BC61" s="19"/>
      <c r="BF61" s="19"/>
      <c r="CP61" s="3"/>
      <c r="CQ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</row>
    <row r="62" spans="14:122" ht="13.5" x14ac:dyDescent="0.25"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M62" s="19"/>
      <c r="AN62" s="19"/>
      <c r="AO62" s="19"/>
      <c r="AP62" s="19"/>
      <c r="AY62" s="19"/>
      <c r="BB62" s="19"/>
      <c r="BC62" s="19"/>
      <c r="BF62" s="19"/>
      <c r="CP62" s="3"/>
      <c r="CQ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</row>
    <row r="63" spans="14:122" ht="13.5" x14ac:dyDescent="0.25"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M63" s="19"/>
      <c r="AN63" s="19"/>
      <c r="AO63" s="19"/>
      <c r="AP63" s="19"/>
      <c r="AY63" s="19"/>
      <c r="BB63" s="19"/>
      <c r="CP63" s="3"/>
      <c r="CQ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</row>
    <row r="64" spans="14:122" ht="13.5" x14ac:dyDescent="0.25"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M64" s="19"/>
      <c r="AN64" s="19"/>
      <c r="AO64" s="19"/>
      <c r="AY64" s="19"/>
      <c r="CP64" s="3"/>
      <c r="CQ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</row>
    <row r="65" spans="14:122" ht="13.5" x14ac:dyDescent="0.25"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M65" s="19"/>
      <c r="AN65" s="19"/>
      <c r="AO65" s="19"/>
      <c r="CP65" s="3"/>
      <c r="CQ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</row>
    <row r="66" spans="14:122" ht="13.5" x14ac:dyDescent="0.25"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M66" s="19"/>
      <c r="AN66" s="19"/>
      <c r="AO66" s="19"/>
      <c r="CP66" s="3"/>
      <c r="CQ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</row>
    <row r="67" spans="14:122" ht="13.5" x14ac:dyDescent="0.25"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O67" s="19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</row>
    <row r="68" spans="14:122" ht="13.5" x14ac:dyDescent="0.25"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O68" s="19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</row>
    <row r="69" spans="14:122" ht="13.5" x14ac:dyDescent="0.25"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O69" s="19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</row>
    <row r="70" spans="14:122" ht="13.5" x14ac:dyDescent="0.25"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</row>
    <row r="71" spans="14:122" ht="13.5" x14ac:dyDescent="0.25"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</row>
    <row r="72" spans="14:122" ht="13.5" x14ac:dyDescent="0.25"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</row>
    <row r="73" spans="14:122" ht="13.5" x14ac:dyDescent="0.25">
      <c r="P73" s="19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</row>
    <row r="74" spans="14:122" ht="15.75" customHeight="1" x14ac:dyDescent="0.25">
      <c r="P74" s="19"/>
    </row>
    <row r="75" spans="14:122" ht="15.75" customHeight="1" x14ac:dyDescent="0.25">
      <c r="P75" s="19"/>
    </row>
    <row r="76" spans="14:122" ht="15.75" customHeight="1" x14ac:dyDescent="0.25">
      <c r="P76" s="19"/>
    </row>
    <row r="77" spans="14:122" ht="15.75" customHeight="1" x14ac:dyDescent="0.25">
      <c r="P77" s="19"/>
    </row>
    <row r="78" spans="14:122" ht="15.75" customHeight="1" x14ac:dyDescent="0.25">
      <c r="P78" s="19"/>
    </row>
    <row r="79" spans="14:122" ht="15.75" customHeight="1" x14ac:dyDescent="0.25">
      <c r="P79" s="19"/>
    </row>
  </sheetData>
  <phoneticPr fontId="14" type="noConversion"/>
  <conditionalFormatting sqref="G3:M3">
    <cfRule type="expression" dxfId="430" priority="19">
      <formula>$G$3&lt;&gt;0</formula>
    </cfRule>
  </conditionalFormatting>
  <conditionalFormatting sqref="T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12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657225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DE37"/>
  <sheetViews>
    <sheetView workbookViewId="0">
      <selection activeCell="J12" sqref="J12"/>
    </sheetView>
  </sheetViews>
  <sheetFormatPr defaultRowHeight="15" x14ac:dyDescent="0.25"/>
  <cols>
    <col min="1" max="1" width="7.109375" style="1" bestFit="1" customWidth="1"/>
    <col min="2" max="2" width="29.88671875" style="1" bestFit="1" customWidth="1"/>
    <col min="3" max="3" width="13.33203125" style="1" bestFit="1" customWidth="1"/>
    <col min="4" max="5" width="10.33203125" style="1" bestFit="1" customWidth="1"/>
    <col min="6" max="6" width="9.44140625" style="1" bestFit="1" customWidth="1"/>
    <col min="7" max="7" width="11.77734375" style="1" bestFit="1" customWidth="1"/>
    <col min="8" max="8" width="7.109375" style="1" bestFit="1" customWidth="1"/>
    <col min="9" max="9" width="10.33203125" style="1" bestFit="1" customWidth="1"/>
    <col min="10" max="10" width="12.5546875" style="1" bestFit="1" customWidth="1"/>
    <col min="11" max="11" width="59.6640625" style="1" bestFit="1" customWidth="1"/>
    <col min="12" max="12" width="27.33203125" style="1" bestFit="1" customWidth="1"/>
    <col min="13" max="13" width="5.88671875" style="1" bestFit="1" customWidth="1"/>
    <col min="14" max="14" width="20.44140625" style="1" bestFit="1" customWidth="1"/>
    <col min="15" max="15" width="12.77734375" style="1" bestFit="1" customWidth="1"/>
    <col min="16" max="17" width="80.88671875" style="1" bestFit="1" customWidth="1"/>
    <col min="18" max="18" width="20.77734375" style="1" bestFit="1" customWidth="1"/>
    <col min="19" max="19" width="42.77734375" style="1" bestFit="1" customWidth="1"/>
    <col min="20" max="20" width="10" style="1" bestFit="1" customWidth="1"/>
    <col min="21" max="21" width="12.5546875" style="1" bestFit="1" customWidth="1"/>
    <col min="22" max="22" width="9.21875" style="1" bestFit="1" customWidth="1"/>
    <col min="23" max="24" width="12" style="1" bestFit="1" customWidth="1"/>
    <col min="25" max="25" width="10.21875" style="1" bestFit="1" customWidth="1"/>
    <col min="26" max="26" width="10.33203125" style="1" bestFit="1" customWidth="1"/>
    <col min="27" max="27" width="61.6640625" style="1" bestFit="1" customWidth="1"/>
    <col min="28" max="28" width="12.5546875" style="1" bestFit="1" customWidth="1"/>
    <col min="29" max="29" width="9.21875" style="1" bestFit="1" customWidth="1"/>
    <col min="30" max="30" width="17.6640625" style="1" bestFit="1" customWidth="1"/>
    <col min="31" max="31" width="33.21875" style="1" bestFit="1" customWidth="1"/>
    <col min="32" max="32" width="20.6640625" style="1" bestFit="1" customWidth="1"/>
    <col min="33" max="33" width="9" style="1" bestFit="1" customWidth="1"/>
    <col min="34" max="34" width="9.21875" style="1" bestFit="1" customWidth="1"/>
    <col min="35" max="35" width="12.6640625" style="1" bestFit="1" customWidth="1"/>
    <col min="36" max="36" width="7.6640625" style="1" bestFit="1" customWidth="1"/>
    <col min="37" max="37" width="14.44140625" style="1" bestFit="1" customWidth="1"/>
    <col min="38" max="41" width="9.21875" style="1" bestFit="1" customWidth="1"/>
    <col min="42" max="42" width="9.33203125" style="1" bestFit="1" customWidth="1"/>
    <col min="43" max="44" width="12.5546875" style="1" bestFit="1" customWidth="1"/>
    <col min="45" max="45" width="9.44140625" style="1" bestFit="1" customWidth="1"/>
    <col min="46" max="46" width="9.88671875" style="1" bestFit="1" customWidth="1"/>
    <col min="47" max="47" width="14.44140625" style="1" bestFit="1" customWidth="1"/>
    <col min="48" max="48" width="9.21875" style="1" bestFit="1" customWidth="1"/>
    <col min="49" max="49" width="80.88671875" style="1" bestFit="1" customWidth="1"/>
    <col min="50" max="50" width="8.33203125" style="1" bestFit="1" customWidth="1"/>
    <col min="51" max="51" width="12.5546875" style="1" bestFit="1" customWidth="1"/>
    <col min="52" max="52" width="9.21875" style="1" bestFit="1" customWidth="1"/>
    <col min="53" max="53" width="10.33203125" style="1" bestFit="1" customWidth="1"/>
    <col min="54" max="54" width="10.88671875" style="1" bestFit="1" customWidth="1"/>
    <col min="55" max="55" width="12.5546875" style="1" bestFit="1" customWidth="1"/>
    <col min="56" max="56" width="10.88671875" style="1" bestFit="1" customWidth="1"/>
    <col min="57" max="57" width="47.33203125" style="1" bestFit="1" customWidth="1"/>
    <col min="58" max="58" width="26.44140625" style="1" bestFit="1" customWidth="1"/>
    <col min="59" max="59" width="10.88671875" style="1" bestFit="1" customWidth="1"/>
    <col min="60" max="60" width="10.21875" style="1" bestFit="1" customWidth="1"/>
    <col min="61" max="61" width="10.33203125" style="1" bestFit="1" customWidth="1"/>
    <col min="62" max="62" width="64.109375" style="1" bestFit="1" customWidth="1"/>
    <col min="63" max="63" width="80.88671875" style="1" bestFit="1" customWidth="1"/>
    <col min="64" max="64" width="10.88671875" style="1" bestFit="1" customWidth="1"/>
    <col min="65" max="70" width="9.21875" style="1" bestFit="1" customWidth="1"/>
    <col min="71" max="71" width="28.109375" style="1" bestFit="1" customWidth="1"/>
    <col min="72" max="72" width="12" style="1" bestFit="1" customWidth="1"/>
    <col min="73" max="73" width="10.88671875" style="1" bestFit="1" customWidth="1"/>
    <col min="74" max="74" width="9.33203125" style="1" bestFit="1" customWidth="1"/>
    <col min="75" max="75" width="5.88671875" style="1" bestFit="1" customWidth="1"/>
    <col min="76" max="76" width="11.109375" style="1" bestFit="1" customWidth="1"/>
    <col min="77" max="77" width="14.21875" style="1" bestFit="1" customWidth="1"/>
    <col min="78" max="78" width="18.21875" style="1" bestFit="1" customWidth="1"/>
    <col min="79" max="80" width="9.21875" style="1" bestFit="1" customWidth="1"/>
    <col min="81" max="81" width="14.6640625" style="1" bestFit="1" customWidth="1"/>
    <col min="82" max="82" width="12.5546875" style="1" bestFit="1" customWidth="1"/>
    <col min="83" max="83" width="12.44140625" style="1" bestFit="1" customWidth="1"/>
    <col min="84" max="84" width="13.5546875" style="1" bestFit="1" customWidth="1"/>
    <col min="85" max="85" width="9.21875" style="1" bestFit="1" customWidth="1"/>
    <col min="86" max="86" width="10.88671875" style="1" bestFit="1" customWidth="1"/>
    <col min="87" max="87" width="24.6640625" style="1" bestFit="1" customWidth="1"/>
    <col min="88" max="88" width="22.33203125" style="1" bestFit="1" customWidth="1"/>
    <col min="89" max="89" width="9.21875" style="1" bestFit="1" customWidth="1"/>
    <col min="90" max="90" width="7.21875" style="1" bestFit="1" customWidth="1"/>
    <col min="91" max="93" width="7" style="1" bestFit="1" customWidth="1"/>
    <col min="94" max="94" width="7.5546875" style="1" bestFit="1" customWidth="1"/>
    <col min="95" max="95" width="7" style="1" bestFit="1" customWidth="1"/>
    <col min="96" max="96" width="7.5546875" style="1" bestFit="1" customWidth="1"/>
    <col min="97" max="97" width="80.88671875" style="1" bestFit="1" customWidth="1"/>
    <col min="98" max="99" width="10.88671875" style="1" bestFit="1" customWidth="1"/>
    <col min="100" max="101" width="12.77734375" style="1" bestFit="1" customWidth="1"/>
    <col min="102" max="102" width="8" style="1" bestFit="1" customWidth="1"/>
    <col min="103" max="103" width="11.77734375" style="1" bestFit="1" customWidth="1"/>
    <col min="104" max="104" width="9.21875" style="1" bestFit="1" customWidth="1"/>
    <col min="105" max="105" width="5.88671875" style="1" bestFit="1" customWidth="1"/>
    <col min="106" max="107" width="9.21875" style="1" bestFit="1" customWidth="1"/>
    <col min="108" max="108" width="9.33203125" style="1" bestFit="1" customWidth="1"/>
    <col min="109" max="110" width="19.44140625" style="1" customWidth="1"/>
    <col min="111" max="112" width="19.44140625" style="1" bestFit="1" customWidth="1"/>
    <col min="113" max="113" width="5.88671875" style="1" bestFit="1" customWidth="1"/>
    <col min="114" max="117" width="19.44140625" style="1" bestFit="1" customWidth="1"/>
    <col min="118" max="121" width="20" style="1" bestFit="1" customWidth="1"/>
    <col min="122" max="122" width="19.44140625" style="1" bestFit="1" customWidth="1"/>
    <col min="123" max="123" width="11.109375" style="1" bestFit="1" customWidth="1"/>
    <col min="124" max="124" width="14.44140625" style="1" bestFit="1" customWidth="1"/>
    <col min="125" max="125" width="10" style="1" bestFit="1" customWidth="1"/>
    <col min="126" max="126" width="10.33203125" style="1" bestFit="1" customWidth="1"/>
    <col min="127" max="127" width="9.44140625" style="1" bestFit="1" customWidth="1"/>
    <col min="128" max="128" width="12.6640625" style="1" bestFit="1" customWidth="1"/>
    <col min="129" max="129" width="15.5546875" style="1" bestFit="1" customWidth="1"/>
    <col min="130" max="130" width="9.44140625" style="1" bestFit="1" customWidth="1"/>
    <col min="131" max="131" width="7.6640625" style="1" bestFit="1" customWidth="1"/>
    <col min="132" max="132" width="6.88671875" style="1" bestFit="1" customWidth="1"/>
    <col min="133" max="133" width="5.88671875" style="1" bestFit="1" customWidth="1"/>
    <col min="134" max="136" width="6.109375" style="1" bestFit="1" customWidth="1"/>
    <col min="137" max="138" width="9.44140625" style="1" bestFit="1" customWidth="1"/>
    <col min="139" max="139" width="5.88671875" style="1" bestFit="1" customWidth="1"/>
    <col min="140" max="141" width="17.44140625" style="1" bestFit="1" customWidth="1"/>
    <col min="142" max="142" width="17.44140625" style="1" customWidth="1"/>
    <col min="143" max="143" width="17.44140625" style="1" bestFit="1" customWidth="1"/>
    <col min="144" max="16384" width="8.88671875" style="1"/>
  </cols>
  <sheetData>
    <row r="1" spans="1:109" ht="46.5" x14ac:dyDescent="0.25">
      <c r="A1" s="32" t="s">
        <v>319</v>
      </c>
    </row>
    <row r="6" spans="1:109" x14ac:dyDescent="0.25">
      <c r="A6" t="s">
        <v>83</v>
      </c>
      <c r="B6" t="s">
        <v>91</v>
      </c>
      <c r="C6" t="s">
        <v>46</v>
      </c>
      <c r="D6" t="s">
        <v>47</v>
      </c>
      <c r="E6" t="s">
        <v>142</v>
      </c>
      <c r="F6" t="s">
        <v>170</v>
      </c>
      <c r="G6" t="s">
        <v>171</v>
      </c>
      <c r="H6" t="s">
        <v>132</v>
      </c>
      <c r="I6" t="s">
        <v>116</v>
      </c>
      <c r="J6" t="s">
        <v>182</v>
      </c>
      <c r="K6" t="s">
        <v>183</v>
      </c>
      <c r="L6" t="s">
        <v>184</v>
      </c>
      <c r="M6" t="s">
        <v>62</v>
      </c>
      <c r="N6" t="s">
        <v>317</v>
      </c>
      <c r="O6" t="s">
        <v>66</v>
      </c>
      <c r="P6" t="s">
        <v>63</v>
      </c>
      <c r="Q6" t="s">
        <v>72</v>
      </c>
      <c r="R6" t="s">
        <v>196</v>
      </c>
      <c r="S6" t="s">
        <v>45</v>
      </c>
      <c r="T6" t="s">
        <v>95</v>
      </c>
      <c r="U6" t="s">
        <v>96</v>
      </c>
      <c r="V6" t="s">
        <v>48</v>
      </c>
      <c r="W6" t="s">
        <v>55</v>
      </c>
      <c r="X6" t="s">
        <v>56</v>
      </c>
      <c r="Y6" t="s">
        <v>267</v>
      </c>
      <c r="Z6" t="s">
        <v>50</v>
      </c>
      <c r="AA6" t="s">
        <v>97</v>
      </c>
      <c r="AB6" t="s">
        <v>52</v>
      </c>
      <c r="AC6" t="s">
        <v>243</v>
      </c>
      <c r="AD6" t="s">
        <v>197</v>
      </c>
      <c r="AE6" t="s">
        <v>53</v>
      </c>
      <c r="AF6" t="s">
        <v>54</v>
      </c>
      <c r="AG6" t="s">
        <v>57</v>
      </c>
      <c r="AH6" t="s">
        <v>58</v>
      </c>
      <c r="AI6" t="s">
        <v>92</v>
      </c>
      <c r="AJ6" t="s">
        <v>43</v>
      </c>
      <c r="AK6" t="s">
        <v>44</v>
      </c>
      <c r="AL6" t="s">
        <v>59</v>
      </c>
      <c r="AM6" t="s">
        <v>60</v>
      </c>
      <c r="AN6" t="s">
        <v>61</v>
      </c>
      <c r="AO6" t="s">
        <v>163</v>
      </c>
      <c r="AP6" t="s">
        <v>42</v>
      </c>
      <c r="AQ6" t="s">
        <v>143</v>
      </c>
      <c r="AR6" t="s">
        <v>49</v>
      </c>
      <c r="AS6" t="s">
        <v>559</v>
      </c>
      <c r="AT6" t="s">
        <v>181</v>
      </c>
      <c r="AU6" t="s">
        <v>40</v>
      </c>
      <c r="AV6" t="s">
        <v>94</v>
      </c>
      <c r="AW6" t="s">
        <v>185</v>
      </c>
      <c r="AX6" t="s">
        <v>509</v>
      </c>
      <c r="AY6" t="s">
        <v>98</v>
      </c>
      <c r="AZ6" t="s">
        <v>99</v>
      </c>
      <c r="BA6" t="s">
        <v>64</v>
      </c>
      <c r="BB6" t="s">
        <v>65</v>
      </c>
      <c r="BC6" t="s">
        <v>100</v>
      </c>
      <c r="BD6" t="s">
        <v>67</v>
      </c>
      <c r="BE6" t="s">
        <v>68</v>
      </c>
      <c r="BF6" t="s">
        <v>69</v>
      </c>
      <c r="BG6" t="s">
        <v>70</v>
      </c>
      <c r="BH6" t="s">
        <v>187</v>
      </c>
      <c r="BI6" t="s">
        <v>71</v>
      </c>
      <c r="BJ6" t="s">
        <v>101</v>
      </c>
      <c r="BK6" t="s">
        <v>186</v>
      </c>
      <c r="BL6" t="s">
        <v>73</v>
      </c>
      <c r="BM6" t="s">
        <v>74</v>
      </c>
      <c r="BN6" t="s">
        <v>75</v>
      </c>
      <c r="BO6" t="s">
        <v>76</v>
      </c>
      <c r="BP6" t="s">
        <v>77</v>
      </c>
      <c r="BQ6" t="s">
        <v>102</v>
      </c>
      <c r="BR6" t="s">
        <v>78</v>
      </c>
      <c r="BS6" t="s">
        <v>79</v>
      </c>
      <c r="BT6" t="s">
        <v>268</v>
      </c>
      <c r="BU6" t="s">
        <v>190</v>
      </c>
      <c r="BV6" t="s">
        <v>299</v>
      </c>
      <c r="BW6" t="s">
        <v>86</v>
      </c>
      <c r="BX6" t="s">
        <v>128</v>
      </c>
      <c r="BY6" t="s">
        <v>213</v>
      </c>
      <c r="BZ6" t="s">
        <v>126</v>
      </c>
      <c r="CA6" t="s">
        <v>113</v>
      </c>
      <c r="CB6" t="s">
        <v>119</v>
      </c>
      <c r="CC6" t="s">
        <v>144</v>
      </c>
      <c r="CD6" t="s">
        <v>787</v>
      </c>
      <c r="CE6" t="s">
        <v>179</v>
      </c>
      <c r="CF6" t="s">
        <v>87</v>
      </c>
      <c r="CG6" t="s">
        <v>122</v>
      </c>
      <c r="CH6" t="s">
        <v>628</v>
      </c>
      <c r="CI6" t="s">
        <v>629</v>
      </c>
      <c r="CJ6" t="s">
        <v>88</v>
      </c>
      <c r="CK6" t="s">
        <v>172</v>
      </c>
      <c r="CL6" t="s">
        <v>531</v>
      </c>
      <c r="CM6" t="s">
        <v>82</v>
      </c>
      <c r="CN6" t="s">
        <v>103</v>
      </c>
      <c r="CO6" t="s">
        <v>105</v>
      </c>
      <c r="CP6" t="s">
        <v>140</v>
      </c>
      <c r="CQ6" t="s">
        <v>141</v>
      </c>
      <c r="CR6" t="s">
        <v>174</v>
      </c>
      <c r="CS6" t="s">
        <v>234</v>
      </c>
      <c r="CT6" t="s">
        <v>152</v>
      </c>
      <c r="CU6" t="s">
        <v>151</v>
      </c>
      <c r="CV6" t="s">
        <v>808</v>
      </c>
      <c r="CW6" t="s">
        <v>114</v>
      </c>
      <c r="CX6" t="s">
        <v>85</v>
      </c>
      <c r="CY6" t="s">
        <v>51</v>
      </c>
      <c r="CZ6" t="s">
        <v>134</v>
      </c>
      <c r="DA6" t="s">
        <v>84</v>
      </c>
      <c r="DB6" t="s">
        <v>173</v>
      </c>
      <c r="DC6" t="s">
        <v>326</v>
      </c>
      <c r="DD6" t="s">
        <v>120</v>
      </c>
      <c r="DE6" t="s">
        <v>121</v>
      </c>
    </row>
    <row r="7" spans="1:109" x14ac:dyDescent="0.25">
      <c r="A7" s="121">
        <v>31</v>
      </c>
      <c r="B7" s="122" t="s">
        <v>1357</v>
      </c>
      <c r="C7" s="122" t="s">
        <v>1358</v>
      </c>
      <c r="D7" s="131">
        <v>45261</v>
      </c>
      <c r="E7" s="122" t="s">
        <v>783</v>
      </c>
      <c r="F7" s="122" t="s">
        <v>89</v>
      </c>
      <c r="G7" s="122" t="s">
        <v>821</v>
      </c>
      <c r="H7" s="120" t="s">
        <v>89</v>
      </c>
      <c r="I7" s="121"/>
      <c r="J7" s="121"/>
      <c r="K7" s="122" t="s">
        <v>89</v>
      </c>
      <c r="L7" s="122" t="s">
        <v>89</v>
      </c>
      <c r="M7" s="122" t="s">
        <v>103</v>
      </c>
      <c r="N7" s="122" t="s">
        <v>1501</v>
      </c>
      <c r="O7" s="122" t="s">
        <v>89</v>
      </c>
      <c r="P7" s="122" t="s">
        <v>1361</v>
      </c>
      <c r="Q7" s="122" t="s">
        <v>1362</v>
      </c>
      <c r="R7" s="122" t="s">
        <v>1363</v>
      </c>
      <c r="S7" s="122" t="s">
        <v>1364</v>
      </c>
      <c r="T7" s="122" t="s">
        <v>305</v>
      </c>
      <c r="U7" s="122" t="s">
        <v>305</v>
      </c>
      <c r="V7" s="122" t="s">
        <v>305</v>
      </c>
      <c r="W7" s="122">
        <v>2.1800000000000002</v>
      </c>
      <c r="X7" s="122" t="s">
        <v>310</v>
      </c>
      <c r="Y7" s="121">
        <v>7.5</v>
      </c>
      <c r="Z7" s="131">
        <v>46362</v>
      </c>
      <c r="AA7" s="122" t="s">
        <v>309</v>
      </c>
      <c r="AB7" s="121"/>
      <c r="AC7" s="122" t="s">
        <v>308</v>
      </c>
      <c r="AD7" s="122" t="s">
        <v>307</v>
      </c>
      <c r="AE7" s="122" t="s">
        <v>89</v>
      </c>
      <c r="AF7" s="122" t="s">
        <v>306</v>
      </c>
      <c r="AG7" s="121">
        <v>100</v>
      </c>
      <c r="AH7" s="121"/>
      <c r="AI7" s="122" t="s">
        <v>1365</v>
      </c>
      <c r="AJ7" s="122" t="s">
        <v>1366</v>
      </c>
      <c r="AK7" s="122" t="s">
        <v>1367</v>
      </c>
      <c r="AL7" s="121"/>
      <c r="AM7" s="121"/>
      <c r="AN7" s="121"/>
      <c r="AO7" s="122" t="s">
        <v>244</v>
      </c>
      <c r="AP7" s="122" t="s">
        <v>1368</v>
      </c>
      <c r="AQ7" s="122" t="s">
        <v>305</v>
      </c>
      <c r="AR7" s="122" t="s">
        <v>89</v>
      </c>
      <c r="AS7" t="s">
        <v>1</v>
      </c>
      <c r="AT7" s="121" t="s">
        <v>786</v>
      </c>
      <c r="AU7" s="122" t="s">
        <v>304</v>
      </c>
      <c r="AV7" s="122" t="s">
        <v>312</v>
      </c>
      <c r="AW7" s="122" t="s">
        <v>1369</v>
      </c>
      <c r="AX7" s="122" t="s">
        <v>1370</v>
      </c>
      <c r="AY7" s="121">
        <v>10000</v>
      </c>
      <c r="AZ7" s="121">
        <v>2.1800000000000002</v>
      </c>
      <c r="BA7" s="131">
        <v>45266</v>
      </c>
      <c r="BB7" s="131"/>
      <c r="BC7" s="121">
        <v>7.5</v>
      </c>
      <c r="BD7" s="131">
        <v>45632</v>
      </c>
      <c r="BE7" s="122" t="s">
        <v>1357</v>
      </c>
      <c r="BF7" s="122" t="s">
        <v>89</v>
      </c>
      <c r="BG7" s="131">
        <v>45266</v>
      </c>
      <c r="BH7" s="122" t="s">
        <v>821</v>
      </c>
      <c r="BI7" s="131">
        <v>45266</v>
      </c>
      <c r="BJ7" s="122" t="s">
        <v>554</v>
      </c>
      <c r="BK7" s="122" t="s">
        <v>1371</v>
      </c>
      <c r="BL7" s="122" t="s">
        <v>303</v>
      </c>
      <c r="BM7" s="122" t="s">
        <v>303</v>
      </c>
      <c r="BN7" s="122" t="s">
        <v>302</v>
      </c>
      <c r="BO7" s="122" t="s">
        <v>301</v>
      </c>
      <c r="BP7" s="122" t="s">
        <v>300</v>
      </c>
      <c r="BQ7" s="122" t="s">
        <v>89</v>
      </c>
      <c r="BR7" s="122" t="s">
        <v>791</v>
      </c>
      <c r="BS7" s="122" t="s">
        <v>89</v>
      </c>
      <c r="BT7" s="122" t="s">
        <v>198</v>
      </c>
      <c r="BU7" s="131"/>
      <c r="BV7" s="122" t="s">
        <v>6</v>
      </c>
      <c r="BW7" s="122" t="s">
        <v>10</v>
      </c>
      <c r="BX7" s="122" t="s">
        <v>6</v>
      </c>
      <c r="BY7" s="122" t="s">
        <v>89</v>
      </c>
      <c r="BZ7" s="131"/>
      <c r="CA7" s="121"/>
      <c r="CB7" s="122" t="s">
        <v>80</v>
      </c>
      <c r="CC7" s="122" t="s">
        <v>80</v>
      </c>
      <c r="CD7" s="120" t="s">
        <v>203</v>
      </c>
      <c r="CE7" s="120" t="s">
        <v>89</v>
      </c>
      <c r="CF7" s="122" t="s">
        <v>35</v>
      </c>
      <c r="CG7" s="122" t="s">
        <v>89</v>
      </c>
      <c r="CH7" s="120" t="s">
        <v>89</v>
      </c>
      <c r="CI7" s="120" t="s">
        <v>89</v>
      </c>
      <c r="CJ7" s="122" t="s">
        <v>215</v>
      </c>
      <c r="CK7" s="122" t="s">
        <v>89</v>
      </c>
      <c r="CL7" s="120" t="s">
        <v>532</v>
      </c>
      <c r="CM7">
        <v>0.1371</v>
      </c>
      <c r="CN7">
        <v>1</v>
      </c>
      <c r="CO7">
        <v>1.0732999999999999</v>
      </c>
      <c r="CP7" s="122">
        <v>0.29899999999999999</v>
      </c>
      <c r="CQ7" s="122">
        <v>2.1800000000000002</v>
      </c>
      <c r="CR7" s="122">
        <v>2.34</v>
      </c>
      <c r="CS7" s="122" t="s">
        <v>89</v>
      </c>
      <c r="CT7" s="122" t="s">
        <v>6</v>
      </c>
      <c r="CU7" s="122" t="s">
        <v>6</v>
      </c>
      <c r="CV7" s="120" t="s">
        <v>89</v>
      </c>
      <c r="CW7" s="122" t="s">
        <v>821</v>
      </c>
      <c r="CX7" s="122" t="s">
        <v>89</v>
      </c>
      <c r="CY7" s="122" t="s">
        <v>821</v>
      </c>
      <c r="CZ7" s="121"/>
      <c r="DA7" s="122" t="s">
        <v>131</v>
      </c>
      <c r="DB7" s="122" t="s">
        <v>89</v>
      </c>
      <c r="DC7" s="120" t="s">
        <v>6</v>
      </c>
      <c r="DD7" s="120" t="s">
        <v>89</v>
      </c>
      <c r="DE7" s="122" t="s">
        <v>1372</v>
      </c>
    </row>
    <row r="8" spans="1:109" x14ac:dyDescent="0.25">
      <c r="A8" s="121">
        <v>30</v>
      </c>
      <c r="B8" s="122" t="s">
        <v>1373</v>
      </c>
      <c r="C8" s="122" t="s">
        <v>1374</v>
      </c>
      <c r="D8" s="131">
        <v>45261</v>
      </c>
      <c r="E8" s="122" t="s">
        <v>1375</v>
      </c>
      <c r="F8" s="122" t="s">
        <v>89</v>
      </c>
      <c r="G8" s="122" t="s">
        <v>89</v>
      </c>
      <c r="H8" s="120" t="s">
        <v>89</v>
      </c>
      <c r="I8" s="121"/>
      <c r="J8" s="121"/>
      <c r="K8" s="122" t="s">
        <v>89</v>
      </c>
      <c r="L8" s="122" t="s">
        <v>89</v>
      </c>
      <c r="M8" s="122" t="s">
        <v>103</v>
      </c>
      <c r="N8" s="122" t="s">
        <v>514</v>
      </c>
      <c r="O8" s="122" t="s">
        <v>89</v>
      </c>
      <c r="P8" s="122" t="s">
        <v>1376</v>
      </c>
      <c r="Q8" s="122" t="s">
        <v>1377</v>
      </c>
      <c r="R8" s="122" t="s">
        <v>1378</v>
      </c>
      <c r="S8" s="122" t="s">
        <v>1379</v>
      </c>
      <c r="T8" s="122" t="s">
        <v>1199</v>
      </c>
      <c r="U8" s="122" t="s">
        <v>1200</v>
      </c>
      <c r="V8" s="122" t="s">
        <v>305</v>
      </c>
      <c r="W8" s="122">
        <v>20</v>
      </c>
      <c r="X8" s="122" t="s">
        <v>310</v>
      </c>
      <c r="Y8" s="121">
        <v>4</v>
      </c>
      <c r="Z8" s="131">
        <v>46364</v>
      </c>
      <c r="AA8" s="122" t="s">
        <v>313</v>
      </c>
      <c r="AB8" s="121"/>
      <c r="AC8" s="122" t="s">
        <v>308</v>
      </c>
      <c r="AD8" s="122" t="s">
        <v>328</v>
      </c>
      <c r="AE8" s="122" t="s">
        <v>89</v>
      </c>
      <c r="AF8" s="122" t="s">
        <v>306</v>
      </c>
      <c r="AG8" s="121">
        <v>100</v>
      </c>
      <c r="AH8" s="121"/>
      <c r="AI8" s="122" t="s">
        <v>581</v>
      </c>
      <c r="AJ8" s="122" t="s">
        <v>1380</v>
      </c>
      <c r="AK8" s="122" t="s">
        <v>89</v>
      </c>
      <c r="AL8" s="121"/>
      <c r="AM8" s="121"/>
      <c r="AN8" s="121"/>
      <c r="AO8" s="122" t="s">
        <v>244</v>
      </c>
      <c r="AP8" s="122" t="s">
        <v>803</v>
      </c>
      <c r="AQ8" s="122" t="s">
        <v>305</v>
      </c>
      <c r="AR8" s="122" t="s">
        <v>315</v>
      </c>
      <c r="AS8" t="s">
        <v>1</v>
      </c>
      <c r="AT8" s="121" t="s">
        <v>515</v>
      </c>
      <c r="AU8" s="122" t="s">
        <v>304</v>
      </c>
      <c r="AV8" s="122" t="s">
        <v>311</v>
      </c>
      <c r="AW8" s="122" t="s">
        <v>1381</v>
      </c>
      <c r="AX8" s="122" t="s">
        <v>1382</v>
      </c>
      <c r="AY8" s="121">
        <v>10000</v>
      </c>
      <c r="AZ8" s="121">
        <v>20</v>
      </c>
      <c r="BA8" s="131">
        <v>45268</v>
      </c>
      <c r="BB8" s="131"/>
      <c r="BC8" s="121">
        <v>4</v>
      </c>
      <c r="BD8" s="131">
        <v>45451</v>
      </c>
      <c r="BE8" s="122" t="s">
        <v>1383</v>
      </c>
      <c r="BF8" s="122" t="s">
        <v>1373</v>
      </c>
      <c r="BG8" s="131">
        <v>45268</v>
      </c>
      <c r="BH8" s="122" t="s">
        <v>1384</v>
      </c>
      <c r="BI8" s="131">
        <v>45268</v>
      </c>
      <c r="BJ8" s="122" t="s">
        <v>89</v>
      </c>
      <c r="BK8" s="122" t="s">
        <v>1385</v>
      </c>
      <c r="BL8" s="122" t="s">
        <v>303</v>
      </c>
      <c r="BM8" s="122" t="s">
        <v>303</v>
      </c>
      <c r="BN8" s="122" t="s">
        <v>302</v>
      </c>
      <c r="BO8" s="122" t="s">
        <v>301</v>
      </c>
      <c r="BP8" s="122" t="s">
        <v>300</v>
      </c>
      <c r="BQ8" s="122" t="s">
        <v>89</v>
      </c>
      <c r="BR8" s="122" t="s">
        <v>115</v>
      </c>
      <c r="BS8" s="122" t="s">
        <v>89</v>
      </c>
      <c r="BT8" s="122" t="s">
        <v>198</v>
      </c>
      <c r="BU8" s="131"/>
      <c r="BV8" s="122" t="s">
        <v>6</v>
      </c>
      <c r="BW8" s="122" t="s">
        <v>9</v>
      </c>
      <c r="BX8" s="122" t="s">
        <v>129</v>
      </c>
      <c r="BY8" s="122" t="s">
        <v>89</v>
      </c>
      <c r="BZ8" s="131"/>
      <c r="CA8" s="121"/>
      <c r="CB8" s="122" t="s">
        <v>80</v>
      </c>
      <c r="CC8" s="122" t="s">
        <v>1386</v>
      </c>
      <c r="CD8" s="120" t="s">
        <v>298</v>
      </c>
      <c r="CE8" s="120" t="s">
        <v>89</v>
      </c>
      <c r="CF8" s="122" t="s">
        <v>37</v>
      </c>
      <c r="CG8" s="122" t="s">
        <v>89</v>
      </c>
      <c r="CH8" s="120" t="s">
        <v>89</v>
      </c>
      <c r="CI8" s="120" t="s">
        <v>89</v>
      </c>
      <c r="CJ8" s="122" t="s">
        <v>204</v>
      </c>
      <c r="CK8" s="122" t="s">
        <v>89</v>
      </c>
      <c r="CL8" s="120" t="s">
        <v>532</v>
      </c>
      <c r="CM8">
        <v>0.1371</v>
      </c>
      <c r="CN8">
        <v>1</v>
      </c>
      <c r="CO8">
        <v>1.0732999999999999</v>
      </c>
      <c r="CP8" s="122">
        <v>2.742</v>
      </c>
      <c r="CQ8" s="122">
        <v>20</v>
      </c>
      <c r="CR8" s="122">
        <v>21.466000000000001</v>
      </c>
      <c r="CS8" s="122" t="s">
        <v>89</v>
      </c>
      <c r="CT8" s="122" t="s">
        <v>129</v>
      </c>
      <c r="CU8" s="122" t="s">
        <v>6</v>
      </c>
      <c r="CV8" s="120" t="s">
        <v>89</v>
      </c>
      <c r="CW8" s="122" t="s">
        <v>1496</v>
      </c>
      <c r="CX8" s="122" t="s">
        <v>89</v>
      </c>
      <c r="CY8" s="122" t="s">
        <v>89</v>
      </c>
      <c r="CZ8" s="121"/>
      <c r="DA8" s="122" t="s">
        <v>131</v>
      </c>
      <c r="DB8" s="122" t="s">
        <v>89</v>
      </c>
      <c r="DC8" s="120" t="s">
        <v>6</v>
      </c>
      <c r="DD8" s="120" t="s">
        <v>89</v>
      </c>
      <c r="DE8" s="122" t="s">
        <v>1387</v>
      </c>
    </row>
    <row r="9" spans="1:109" x14ac:dyDescent="0.25">
      <c r="A9" s="121">
        <v>29</v>
      </c>
      <c r="B9" s="122" t="s">
        <v>1388</v>
      </c>
      <c r="C9" s="122" t="s">
        <v>1389</v>
      </c>
      <c r="D9" s="131">
        <v>45261</v>
      </c>
      <c r="E9" s="122" t="s">
        <v>1172</v>
      </c>
      <c r="F9" s="122" t="s">
        <v>89</v>
      </c>
      <c r="G9" s="122" t="s">
        <v>89</v>
      </c>
      <c r="H9" s="120" t="s">
        <v>89</v>
      </c>
      <c r="I9" s="121"/>
      <c r="J9" s="121"/>
      <c r="K9" s="122" t="s">
        <v>89</v>
      </c>
      <c r="L9" s="122" t="s">
        <v>89</v>
      </c>
      <c r="M9" s="122" t="s">
        <v>82</v>
      </c>
      <c r="N9" s="122" t="s">
        <v>514</v>
      </c>
      <c r="O9" s="122" t="s">
        <v>89</v>
      </c>
      <c r="P9" s="122" t="s">
        <v>89</v>
      </c>
      <c r="Q9" s="122" t="s">
        <v>89</v>
      </c>
      <c r="R9" s="122" t="s">
        <v>1390</v>
      </c>
      <c r="S9" s="122" t="s">
        <v>1391</v>
      </c>
      <c r="T9" s="122" t="s">
        <v>305</v>
      </c>
      <c r="U9" s="122" t="s">
        <v>305</v>
      </c>
      <c r="V9" s="122" t="s">
        <v>305</v>
      </c>
      <c r="W9" s="122">
        <v>1.65</v>
      </c>
      <c r="X9" s="122" t="s">
        <v>555</v>
      </c>
      <c r="Y9" s="121">
        <v>6.6</v>
      </c>
      <c r="Z9" s="131">
        <v>45630</v>
      </c>
      <c r="AA9" s="122" t="s">
        <v>313</v>
      </c>
      <c r="AB9" s="121"/>
      <c r="AC9" s="122" t="s">
        <v>308</v>
      </c>
      <c r="AD9" s="122" t="s">
        <v>798</v>
      </c>
      <c r="AE9" s="122" t="s">
        <v>89</v>
      </c>
      <c r="AF9" s="122" t="s">
        <v>306</v>
      </c>
      <c r="AG9" s="121">
        <v>100</v>
      </c>
      <c r="AH9" s="121"/>
      <c r="AI9" s="122" t="s">
        <v>795</v>
      </c>
      <c r="AJ9" s="122" t="s">
        <v>799</v>
      </c>
      <c r="AK9" s="122" t="s">
        <v>89</v>
      </c>
      <c r="AL9" s="121"/>
      <c r="AM9" s="121"/>
      <c r="AN9" s="121"/>
      <c r="AO9" s="122" t="s">
        <v>244</v>
      </c>
      <c r="AP9" s="122" t="s">
        <v>803</v>
      </c>
      <c r="AQ9" s="122" t="s">
        <v>305</v>
      </c>
      <c r="AR9" s="122" t="s">
        <v>570</v>
      </c>
      <c r="AS9" t="s">
        <v>1</v>
      </c>
      <c r="AT9" s="121" t="s">
        <v>800</v>
      </c>
      <c r="AU9" s="122" t="s">
        <v>304</v>
      </c>
      <c r="AV9" s="122" t="s">
        <v>312</v>
      </c>
      <c r="AW9" s="122" t="s">
        <v>89</v>
      </c>
      <c r="AX9" s="122" t="s">
        <v>1392</v>
      </c>
      <c r="AY9" s="121">
        <v>1000</v>
      </c>
      <c r="AZ9" s="121">
        <v>1.65</v>
      </c>
      <c r="BA9" s="131">
        <v>45266</v>
      </c>
      <c r="BB9" s="131"/>
      <c r="BC9" s="121">
        <v>6.6</v>
      </c>
      <c r="BD9" s="131">
        <v>45630</v>
      </c>
      <c r="BE9" s="122" t="s">
        <v>1393</v>
      </c>
      <c r="BF9" s="122" t="s">
        <v>89</v>
      </c>
      <c r="BG9" s="131">
        <v>45266</v>
      </c>
      <c r="BH9" s="122" t="s">
        <v>89</v>
      </c>
      <c r="BI9" s="131">
        <v>45266</v>
      </c>
      <c r="BJ9" s="122" t="s">
        <v>89</v>
      </c>
      <c r="BK9" s="122" t="s">
        <v>89</v>
      </c>
      <c r="BL9" s="122" t="s">
        <v>303</v>
      </c>
      <c r="BM9" s="122" t="s">
        <v>303</v>
      </c>
      <c r="BN9" s="122" t="s">
        <v>302</v>
      </c>
      <c r="BO9" s="122" t="s">
        <v>301</v>
      </c>
      <c r="BP9" s="122" t="s">
        <v>300</v>
      </c>
      <c r="BQ9" s="122" t="s">
        <v>89</v>
      </c>
      <c r="BR9" s="122" t="s">
        <v>89</v>
      </c>
      <c r="BS9" s="122" t="s">
        <v>1388</v>
      </c>
      <c r="BT9" s="122" t="s">
        <v>198</v>
      </c>
      <c r="BU9" s="131"/>
      <c r="BV9" s="122" t="s">
        <v>6</v>
      </c>
      <c r="BW9" s="122" t="s">
        <v>7</v>
      </c>
      <c r="BX9" s="122" t="s">
        <v>6</v>
      </c>
      <c r="BY9" s="122" t="s">
        <v>89</v>
      </c>
      <c r="BZ9" s="131"/>
      <c r="CA9" s="121"/>
      <c r="CB9" s="122" t="s">
        <v>80</v>
      </c>
      <c r="CC9" s="122" t="s">
        <v>80</v>
      </c>
      <c r="CD9" s="120" t="s">
        <v>558</v>
      </c>
      <c r="CE9" s="120" t="s">
        <v>89</v>
      </c>
      <c r="CF9" s="122" t="s">
        <v>38</v>
      </c>
      <c r="CG9" s="122" t="s">
        <v>89</v>
      </c>
      <c r="CH9" s="120" t="s">
        <v>89</v>
      </c>
      <c r="CI9" s="120" t="s">
        <v>89</v>
      </c>
      <c r="CJ9" s="122" t="s">
        <v>204</v>
      </c>
      <c r="CK9" s="122" t="s">
        <v>89</v>
      </c>
      <c r="CL9" s="120" t="s">
        <v>532</v>
      </c>
      <c r="CM9">
        <v>1</v>
      </c>
      <c r="CN9">
        <v>7.2927999999999997</v>
      </c>
      <c r="CO9">
        <v>7.8305999999999996</v>
      </c>
      <c r="CP9" s="122">
        <v>1.65</v>
      </c>
      <c r="CQ9" s="122">
        <v>12.032999999999999</v>
      </c>
      <c r="CR9" s="122">
        <v>12.92</v>
      </c>
      <c r="CS9" s="122" t="s">
        <v>89</v>
      </c>
      <c r="CT9" s="122" t="s">
        <v>6</v>
      </c>
      <c r="CU9" s="122" t="s">
        <v>6</v>
      </c>
      <c r="CV9" s="120" t="s">
        <v>89</v>
      </c>
      <c r="CW9" s="122" t="s">
        <v>1497</v>
      </c>
      <c r="CX9" s="122" t="s">
        <v>89</v>
      </c>
      <c r="CY9" s="122" t="s">
        <v>89</v>
      </c>
      <c r="CZ9" s="121"/>
      <c r="DA9" s="122" t="s">
        <v>544</v>
      </c>
      <c r="DB9" s="122" t="s">
        <v>557</v>
      </c>
      <c r="DC9" s="120" t="s">
        <v>6</v>
      </c>
      <c r="DD9" s="120" t="s">
        <v>89</v>
      </c>
      <c r="DE9" s="122" t="s">
        <v>1394</v>
      </c>
    </row>
    <row r="10" spans="1:109" x14ac:dyDescent="0.25">
      <c r="A10" s="121">
        <v>28</v>
      </c>
      <c r="B10" s="122" t="s">
        <v>1395</v>
      </c>
      <c r="C10" s="122" t="s">
        <v>1396</v>
      </c>
      <c r="D10" s="131">
        <v>45261</v>
      </c>
      <c r="E10" s="122" t="s">
        <v>556</v>
      </c>
      <c r="F10" s="122" t="s">
        <v>1397</v>
      </c>
      <c r="G10" s="122" t="s">
        <v>846</v>
      </c>
      <c r="H10" s="120" t="s">
        <v>846</v>
      </c>
      <c r="I10" s="121"/>
      <c r="J10" s="121"/>
      <c r="K10" s="122" t="s">
        <v>89</v>
      </c>
      <c r="L10" s="122" t="s">
        <v>89</v>
      </c>
      <c r="M10" s="122" t="s">
        <v>103</v>
      </c>
      <c r="N10" s="122" t="s">
        <v>1501</v>
      </c>
      <c r="O10" s="122" t="s">
        <v>89</v>
      </c>
      <c r="P10" s="122" t="s">
        <v>1400</v>
      </c>
      <c r="Q10" s="122" t="s">
        <v>1401</v>
      </c>
      <c r="R10" s="122" t="s">
        <v>1402</v>
      </c>
      <c r="S10" s="122" t="s">
        <v>1403</v>
      </c>
      <c r="T10" s="122" t="s">
        <v>305</v>
      </c>
      <c r="U10" s="122" t="s">
        <v>305</v>
      </c>
      <c r="V10" s="122" t="s">
        <v>305</v>
      </c>
      <c r="W10" s="122">
        <v>3.363</v>
      </c>
      <c r="X10" s="122" t="s">
        <v>1404</v>
      </c>
      <c r="Y10" s="121">
        <v>3.9</v>
      </c>
      <c r="Z10" s="131">
        <v>46334</v>
      </c>
      <c r="AA10" s="122" t="s">
        <v>309</v>
      </c>
      <c r="AB10" s="121">
        <v>30</v>
      </c>
      <c r="AC10" s="122" t="s">
        <v>308</v>
      </c>
      <c r="AD10" s="122" t="s">
        <v>618</v>
      </c>
      <c r="AE10" s="122" t="s">
        <v>1405</v>
      </c>
      <c r="AF10" s="122" t="s">
        <v>306</v>
      </c>
      <c r="AG10" s="121">
        <v>100</v>
      </c>
      <c r="AH10" s="121"/>
      <c r="AI10" s="122" t="s">
        <v>1406</v>
      </c>
      <c r="AJ10" s="122" t="s">
        <v>1407</v>
      </c>
      <c r="AK10" s="122" t="s">
        <v>89</v>
      </c>
      <c r="AL10" s="121"/>
      <c r="AM10" s="121"/>
      <c r="AN10" s="121"/>
      <c r="AO10" s="122" t="s">
        <v>244</v>
      </c>
      <c r="AP10" s="122" t="s">
        <v>803</v>
      </c>
      <c r="AQ10" s="122" t="s">
        <v>305</v>
      </c>
      <c r="AR10" s="122" t="s">
        <v>804</v>
      </c>
      <c r="AS10" t="s">
        <v>1</v>
      </c>
      <c r="AT10" s="121" t="s">
        <v>1408</v>
      </c>
      <c r="AU10" s="122" t="s">
        <v>304</v>
      </c>
      <c r="AV10" s="122" t="s">
        <v>312</v>
      </c>
      <c r="AW10" s="122" t="s">
        <v>1409</v>
      </c>
      <c r="AX10" s="122" t="s">
        <v>1410</v>
      </c>
      <c r="AY10" s="121">
        <v>10000</v>
      </c>
      <c r="AZ10" s="121">
        <v>3.363</v>
      </c>
      <c r="BA10" s="131">
        <v>45268</v>
      </c>
      <c r="BB10" s="131"/>
      <c r="BC10" s="121">
        <v>3.9</v>
      </c>
      <c r="BD10" s="131">
        <v>45451</v>
      </c>
      <c r="BE10" s="122" t="s">
        <v>1395</v>
      </c>
      <c r="BF10" s="122" t="s">
        <v>89</v>
      </c>
      <c r="BG10" s="131">
        <v>45268</v>
      </c>
      <c r="BH10" s="122" t="s">
        <v>846</v>
      </c>
      <c r="BI10" s="131">
        <v>45268</v>
      </c>
      <c r="BJ10" s="122" t="s">
        <v>554</v>
      </c>
      <c r="BK10" s="122" t="s">
        <v>1411</v>
      </c>
      <c r="BL10" s="122" t="s">
        <v>303</v>
      </c>
      <c r="BM10" s="122" t="s">
        <v>303</v>
      </c>
      <c r="BN10" s="122" t="s">
        <v>302</v>
      </c>
      <c r="BO10" s="122" t="s">
        <v>301</v>
      </c>
      <c r="BP10" s="122" t="s">
        <v>300</v>
      </c>
      <c r="BQ10" s="122" t="s">
        <v>89</v>
      </c>
      <c r="BR10" s="122" t="s">
        <v>115</v>
      </c>
      <c r="BS10" s="122" t="s">
        <v>89</v>
      </c>
      <c r="BT10" s="122" t="s">
        <v>198</v>
      </c>
      <c r="BU10" s="131"/>
      <c r="BV10" s="122" t="s">
        <v>6</v>
      </c>
      <c r="BW10" s="122" t="s">
        <v>19</v>
      </c>
      <c r="BX10" s="122" t="s">
        <v>6</v>
      </c>
      <c r="BY10" s="122" t="s">
        <v>89</v>
      </c>
      <c r="BZ10" s="131"/>
      <c r="CA10" s="121"/>
      <c r="CB10" s="122" t="s">
        <v>80</v>
      </c>
      <c r="CC10" s="122" t="s">
        <v>80</v>
      </c>
      <c r="CD10" s="120" t="s">
        <v>203</v>
      </c>
      <c r="CE10" s="120" t="s">
        <v>89</v>
      </c>
      <c r="CF10" s="122" t="s">
        <v>108</v>
      </c>
      <c r="CG10" s="122" t="s">
        <v>89</v>
      </c>
      <c r="CH10" s="120" t="s">
        <v>1502</v>
      </c>
      <c r="CI10" s="120" t="s">
        <v>634</v>
      </c>
      <c r="CJ10" s="122" t="s">
        <v>215</v>
      </c>
      <c r="CK10" s="122" t="s">
        <v>89</v>
      </c>
      <c r="CL10" s="120" t="s">
        <v>532</v>
      </c>
      <c r="CM10">
        <v>0.1371</v>
      </c>
      <c r="CN10">
        <v>1</v>
      </c>
      <c r="CO10">
        <v>1.0732999999999999</v>
      </c>
      <c r="CP10" s="122">
        <v>0.46100000000000002</v>
      </c>
      <c r="CQ10" s="122">
        <v>3.363</v>
      </c>
      <c r="CR10" s="122">
        <v>3.61</v>
      </c>
      <c r="CS10" s="122" t="s">
        <v>89</v>
      </c>
      <c r="CT10" s="122" t="s">
        <v>6</v>
      </c>
      <c r="CU10" s="122" t="s">
        <v>6</v>
      </c>
      <c r="CV10" s="120" t="s">
        <v>89</v>
      </c>
      <c r="CW10" s="122" t="s">
        <v>846</v>
      </c>
      <c r="CX10" s="122" t="s">
        <v>1397</v>
      </c>
      <c r="CY10" s="122" t="s">
        <v>846</v>
      </c>
      <c r="CZ10" s="121">
        <v>30</v>
      </c>
      <c r="DA10" s="122" t="s">
        <v>1499</v>
      </c>
      <c r="DB10" s="122" t="s">
        <v>89</v>
      </c>
      <c r="DC10" s="120" t="s">
        <v>6</v>
      </c>
      <c r="DD10" s="120" t="s">
        <v>1498</v>
      </c>
      <c r="DE10" s="122" t="s">
        <v>1412</v>
      </c>
    </row>
    <row r="11" spans="1:109" x14ac:dyDescent="0.25">
      <c r="A11" s="121">
        <v>27</v>
      </c>
      <c r="B11" s="122" t="s">
        <v>1054</v>
      </c>
      <c r="C11" s="122" t="s">
        <v>1413</v>
      </c>
      <c r="D11" s="131">
        <v>45261</v>
      </c>
      <c r="E11" s="122" t="s">
        <v>242</v>
      </c>
      <c r="F11" s="122" t="s">
        <v>1414</v>
      </c>
      <c r="G11" s="122" t="s">
        <v>1415</v>
      </c>
      <c r="H11" s="120" t="s">
        <v>1415</v>
      </c>
      <c r="I11" s="121"/>
      <c r="J11" s="121"/>
      <c r="K11" s="122" t="s">
        <v>89</v>
      </c>
      <c r="L11" s="122" t="s">
        <v>89</v>
      </c>
      <c r="M11" s="122" t="s">
        <v>82</v>
      </c>
      <c r="N11" s="122" t="s">
        <v>1503</v>
      </c>
      <c r="O11" s="122" t="s">
        <v>89</v>
      </c>
      <c r="P11" s="122" t="s">
        <v>1417</v>
      </c>
      <c r="Q11" s="122" t="s">
        <v>1418</v>
      </c>
      <c r="R11" s="122" t="s">
        <v>1419</v>
      </c>
      <c r="S11" s="122" t="s">
        <v>1420</v>
      </c>
      <c r="T11" s="122" t="s">
        <v>1421</v>
      </c>
      <c r="U11" s="122" t="s">
        <v>1422</v>
      </c>
      <c r="V11" s="122" t="s">
        <v>305</v>
      </c>
      <c r="W11" s="122">
        <v>5</v>
      </c>
      <c r="X11" s="122" t="s">
        <v>1152</v>
      </c>
      <c r="Y11" s="121">
        <v>6.3</v>
      </c>
      <c r="Z11" s="131">
        <v>45997</v>
      </c>
      <c r="AA11" s="122" t="s">
        <v>1423</v>
      </c>
      <c r="AB11" s="121">
        <v>45</v>
      </c>
      <c r="AC11" s="122" t="s">
        <v>308</v>
      </c>
      <c r="AD11" s="122" t="s">
        <v>307</v>
      </c>
      <c r="AE11" s="122" t="s">
        <v>89</v>
      </c>
      <c r="AF11" s="122" t="s">
        <v>306</v>
      </c>
      <c r="AG11" s="121">
        <v>100</v>
      </c>
      <c r="AH11" s="121"/>
      <c r="AI11" s="122" t="s">
        <v>1424</v>
      </c>
      <c r="AJ11" s="122" t="s">
        <v>1425</v>
      </c>
      <c r="AK11" s="122" t="s">
        <v>89</v>
      </c>
      <c r="AL11" s="121"/>
      <c r="AM11" s="121"/>
      <c r="AN11" s="121"/>
      <c r="AO11" s="122" t="s">
        <v>244</v>
      </c>
      <c r="AP11" s="122" t="s">
        <v>1426</v>
      </c>
      <c r="AQ11" s="122" t="s">
        <v>305</v>
      </c>
      <c r="AR11" s="122" t="s">
        <v>315</v>
      </c>
      <c r="AS11" t="s">
        <v>2</v>
      </c>
      <c r="AT11" s="121" t="s">
        <v>1214</v>
      </c>
      <c r="AU11" s="122" t="s">
        <v>304</v>
      </c>
      <c r="AV11" s="122" t="s">
        <v>311</v>
      </c>
      <c r="AW11" s="122" t="s">
        <v>1427</v>
      </c>
      <c r="AX11" s="122" t="s">
        <v>1428</v>
      </c>
      <c r="AY11" s="121">
        <v>1000</v>
      </c>
      <c r="AZ11" s="121">
        <v>5</v>
      </c>
      <c r="BA11" s="131">
        <v>45266</v>
      </c>
      <c r="BB11" s="131"/>
      <c r="BC11" s="121">
        <v>6.3</v>
      </c>
      <c r="BD11" s="131">
        <v>45449</v>
      </c>
      <c r="BE11" s="122" t="s">
        <v>1054</v>
      </c>
      <c r="BF11" s="122" t="s">
        <v>89</v>
      </c>
      <c r="BG11" s="131">
        <v>45266</v>
      </c>
      <c r="BH11" s="122" t="s">
        <v>1415</v>
      </c>
      <c r="BI11" s="131">
        <v>45266</v>
      </c>
      <c r="BJ11" s="122" t="s">
        <v>89</v>
      </c>
      <c r="BK11" s="122" t="s">
        <v>1429</v>
      </c>
      <c r="BL11" s="122" t="s">
        <v>303</v>
      </c>
      <c r="BM11" s="122" t="s">
        <v>303</v>
      </c>
      <c r="BN11" s="122" t="s">
        <v>302</v>
      </c>
      <c r="BO11" s="122" t="s">
        <v>301</v>
      </c>
      <c r="BP11" s="122" t="s">
        <v>300</v>
      </c>
      <c r="BQ11" s="122" t="s">
        <v>89</v>
      </c>
      <c r="BR11" s="122" t="s">
        <v>115</v>
      </c>
      <c r="BS11" s="122" t="s">
        <v>89</v>
      </c>
      <c r="BT11" s="122" t="s">
        <v>198</v>
      </c>
      <c r="BU11" s="131"/>
      <c r="BV11" s="122" t="s">
        <v>6</v>
      </c>
      <c r="BW11" s="122" t="s">
        <v>17</v>
      </c>
      <c r="BX11" s="122" t="s">
        <v>6</v>
      </c>
      <c r="BY11" s="122" t="s">
        <v>89</v>
      </c>
      <c r="BZ11" s="131"/>
      <c r="CA11" s="121"/>
      <c r="CB11" s="122" t="s">
        <v>80</v>
      </c>
      <c r="CC11" s="122" t="s">
        <v>1251</v>
      </c>
      <c r="CD11" s="120" t="s">
        <v>203</v>
      </c>
      <c r="CE11" s="120" t="s">
        <v>89</v>
      </c>
      <c r="CF11" s="122" t="s">
        <v>35</v>
      </c>
      <c r="CG11" s="122" t="s">
        <v>89</v>
      </c>
      <c r="CH11" s="120" t="s">
        <v>89</v>
      </c>
      <c r="CI11" s="120" t="s">
        <v>89</v>
      </c>
      <c r="CJ11" s="122" t="s">
        <v>1500</v>
      </c>
      <c r="CK11" s="122" t="s">
        <v>89</v>
      </c>
      <c r="CL11" s="120" t="s">
        <v>532</v>
      </c>
      <c r="CM11">
        <v>1</v>
      </c>
      <c r="CN11">
        <v>7.2927999999999997</v>
      </c>
      <c r="CO11">
        <v>7.8305999999999996</v>
      </c>
      <c r="CP11" s="122">
        <v>5</v>
      </c>
      <c r="CQ11" s="122">
        <v>36.463999999999999</v>
      </c>
      <c r="CR11" s="122">
        <v>39.152999999999999</v>
      </c>
      <c r="CS11" s="122" t="s">
        <v>89</v>
      </c>
      <c r="CT11" s="122" t="s">
        <v>6</v>
      </c>
      <c r="CU11" s="122" t="s">
        <v>129</v>
      </c>
      <c r="CV11" s="120" t="s">
        <v>89</v>
      </c>
      <c r="CW11" s="122" t="s">
        <v>1415</v>
      </c>
      <c r="CX11" s="122" t="s">
        <v>1414</v>
      </c>
      <c r="CY11" s="122" t="s">
        <v>1415</v>
      </c>
      <c r="CZ11" s="121">
        <v>45</v>
      </c>
      <c r="DA11" s="122" t="s">
        <v>1122</v>
      </c>
      <c r="DB11" s="122" t="s">
        <v>89</v>
      </c>
      <c r="DC11" s="120" t="s">
        <v>6</v>
      </c>
      <c r="DD11" s="120" t="s">
        <v>499</v>
      </c>
      <c r="DE11" s="122" t="s">
        <v>1430</v>
      </c>
    </row>
    <row r="12" spans="1:109" x14ac:dyDescent="0.25">
      <c r="A12" s="121">
        <v>26</v>
      </c>
      <c r="B12" s="122" t="s">
        <v>1159</v>
      </c>
      <c r="C12" s="122" t="s">
        <v>1160</v>
      </c>
      <c r="D12" s="131">
        <v>45261</v>
      </c>
      <c r="E12" s="122" t="s">
        <v>89</v>
      </c>
      <c r="F12" s="122" t="s">
        <v>89</v>
      </c>
      <c r="G12" s="122" t="s">
        <v>89</v>
      </c>
      <c r="H12" s="120" t="s">
        <v>89</v>
      </c>
      <c r="I12" s="121"/>
      <c r="J12" s="121"/>
      <c r="K12" s="122" t="s">
        <v>89</v>
      </c>
      <c r="L12" s="122" t="s">
        <v>89</v>
      </c>
      <c r="M12" s="122" t="s">
        <v>103</v>
      </c>
      <c r="N12" s="122"/>
      <c r="O12" s="122" t="s">
        <v>89</v>
      </c>
      <c r="P12" s="122" t="s">
        <v>89</v>
      </c>
      <c r="Q12" s="122" t="s">
        <v>89</v>
      </c>
      <c r="R12" s="122" t="s">
        <v>89</v>
      </c>
      <c r="S12" s="122" t="s">
        <v>89</v>
      </c>
      <c r="T12" s="122" t="s">
        <v>89</v>
      </c>
      <c r="U12" s="122" t="s">
        <v>89</v>
      </c>
      <c r="V12" s="122" t="s">
        <v>89</v>
      </c>
      <c r="W12" s="122">
        <v>1.04</v>
      </c>
      <c r="X12" s="122" t="s">
        <v>89</v>
      </c>
      <c r="Y12" s="121"/>
      <c r="Z12" s="131">
        <v>45629</v>
      </c>
      <c r="AA12" s="122" t="s">
        <v>89</v>
      </c>
      <c r="AB12" s="121"/>
      <c r="AC12" s="122" t="s">
        <v>89</v>
      </c>
      <c r="AD12" s="122" t="s">
        <v>89</v>
      </c>
      <c r="AE12" s="122" t="s">
        <v>89</v>
      </c>
      <c r="AF12" s="122" t="s">
        <v>89</v>
      </c>
      <c r="AG12" s="121"/>
      <c r="AH12" s="121"/>
      <c r="AI12" s="122" t="s">
        <v>89</v>
      </c>
      <c r="AJ12" s="122" t="s">
        <v>89</v>
      </c>
      <c r="AK12" s="122" t="s">
        <v>89</v>
      </c>
      <c r="AL12" s="121"/>
      <c r="AM12" s="121"/>
      <c r="AN12" s="121"/>
      <c r="AO12" s="122" t="s">
        <v>89</v>
      </c>
      <c r="AP12" s="122" t="s">
        <v>89</v>
      </c>
      <c r="AQ12" s="122" t="s">
        <v>89</v>
      </c>
      <c r="AR12" s="122" t="s">
        <v>570</v>
      </c>
      <c r="AS12"/>
      <c r="AT12" s="121"/>
      <c r="AU12" s="122" t="s">
        <v>89</v>
      </c>
      <c r="AV12" s="122" t="s">
        <v>89</v>
      </c>
      <c r="AW12" s="122" t="s">
        <v>1166</v>
      </c>
      <c r="AX12" s="122" t="s">
        <v>1167</v>
      </c>
      <c r="AY12" s="121"/>
      <c r="AZ12" s="121"/>
      <c r="BA12" s="131">
        <v>45265</v>
      </c>
      <c r="BB12" s="131"/>
      <c r="BC12" s="121"/>
      <c r="BD12" s="131">
        <v>45629</v>
      </c>
      <c r="BE12" s="122" t="s">
        <v>1159</v>
      </c>
      <c r="BF12" s="122" t="s">
        <v>89</v>
      </c>
      <c r="BG12" s="131"/>
      <c r="BH12" s="122" t="s">
        <v>89</v>
      </c>
      <c r="BI12" s="131"/>
      <c r="BJ12" s="122" t="s">
        <v>89</v>
      </c>
      <c r="BK12" s="122" t="s">
        <v>89</v>
      </c>
      <c r="BL12" s="122" t="s">
        <v>89</v>
      </c>
      <c r="BM12" s="122" t="s">
        <v>89</v>
      </c>
      <c r="BN12" s="122" t="s">
        <v>89</v>
      </c>
      <c r="BO12" s="122" t="s">
        <v>89</v>
      </c>
      <c r="BP12" s="122" t="s">
        <v>89</v>
      </c>
      <c r="BQ12" s="122" t="s">
        <v>89</v>
      </c>
      <c r="BR12" s="122" t="s">
        <v>89</v>
      </c>
      <c r="BS12" s="122" t="s">
        <v>89</v>
      </c>
      <c r="BT12" s="122" t="s">
        <v>1523</v>
      </c>
      <c r="BU12" s="131"/>
      <c r="BV12" s="122" t="s">
        <v>89</v>
      </c>
      <c r="BW12" s="122" t="s">
        <v>89</v>
      </c>
      <c r="BX12" s="122" t="s">
        <v>89</v>
      </c>
      <c r="BY12" s="122" t="s">
        <v>89</v>
      </c>
      <c r="BZ12" s="131"/>
      <c r="CA12" s="121"/>
      <c r="CB12" s="122" t="s">
        <v>80</v>
      </c>
      <c r="CC12" s="122" t="s">
        <v>80</v>
      </c>
      <c r="CD12" s="120" t="s">
        <v>203</v>
      </c>
      <c r="CE12" s="120" t="s">
        <v>89</v>
      </c>
      <c r="CF12" s="122" t="s">
        <v>35</v>
      </c>
      <c r="CG12" s="122" t="s">
        <v>205</v>
      </c>
      <c r="CH12" s="120" t="s">
        <v>89</v>
      </c>
      <c r="CI12" s="120" t="s">
        <v>89</v>
      </c>
      <c r="CJ12" s="122" t="s">
        <v>204</v>
      </c>
      <c r="CK12" s="122" t="s">
        <v>89</v>
      </c>
      <c r="CL12" s="120" t="s">
        <v>532</v>
      </c>
      <c r="CM12">
        <v>0.1371</v>
      </c>
      <c r="CN12">
        <v>1</v>
      </c>
      <c r="CO12">
        <v>1.0732999999999999</v>
      </c>
      <c r="CP12" s="122">
        <v>0.14299999999999999</v>
      </c>
      <c r="CQ12" s="122">
        <v>1.04</v>
      </c>
      <c r="CR12" s="122">
        <v>1.1160000000000001</v>
      </c>
      <c r="CS12" s="122" t="s">
        <v>89</v>
      </c>
      <c r="CT12" s="122" t="s">
        <v>89</v>
      </c>
      <c r="CU12" s="122" t="s">
        <v>89</v>
      </c>
      <c r="CV12" s="120" t="s">
        <v>89</v>
      </c>
      <c r="CW12" s="122" t="s">
        <v>821</v>
      </c>
      <c r="CX12" s="122" t="s">
        <v>89</v>
      </c>
      <c r="CY12" s="122" t="s">
        <v>1524</v>
      </c>
      <c r="CZ12" s="121"/>
      <c r="DA12" s="122" t="s">
        <v>544</v>
      </c>
      <c r="DB12" s="122" t="s">
        <v>557</v>
      </c>
      <c r="DC12" s="120" t="s">
        <v>89</v>
      </c>
      <c r="DD12" s="120" t="s">
        <v>89</v>
      </c>
      <c r="DE12" s="122" t="s">
        <v>1526</v>
      </c>
    </row>
    <row r="13" spans="1:109" x14ac:dyDescent="0.25">
      <c r="A13" s="121">
        <v>25</v>
      </c>
      <c r="B13" s="122" t="s">
        <v>1431</v>
      </c>
      <c r="C13" s="122" t="s">
        <v>1432</v>
      </c>
      <c r="D13" s="131">
        <v>45261</v>
      </c>
      <c r="E13" s="122" t="s">
        <v>1375</v>
      </c>
      <c r="F13" s="122" t="s">
        <v>1433</v>
      </c>
      <c r="G13" s="122" t="s">
        <v>1434</v>
      </c>
      <c r="H13" s="120" t="s">
        <v>1434</v>
      </c>
      <c r="I13" s="121"/>
      <c r="J13" s="121"/>
      <c r="K13" s="122" t="s">
        <v>89</v>
      </c>
      <c r="L13" s="122" t="s">
        <v>89</v>
      </c>
      <c r="M13" s="122" t="s">
        <v>103</v>
      </c>
      <c r="N13" s="122" t="s">
        <v>514</v>
      </c>
      <c r="O13" s="122" t="s">
        <v>89</v>
      </c>
      <c r="P13" s="122" t="s">
        <v>1436</v>
      </c>
      <c r="Q13" s="122" t="s">
        <v>1437</v>
      </c>
      <c r="R13" s="122" t="s">
        <v>1438</v>
      </c>
      <c r="S13" s="122" t="s">
        <v>1439</v>
      </c>
      <c r="T13" s="122" t="s">
        <v>305</v>
      </c>
      <c r="U13" s="122" t="s">
        <v>305</v>
      </c>
      <c r="V13" s="122" t="s">
        <v>305</v>
      </c>
      <c r="W13" s="122">
        <v>4</v>
      </c>
      <c r="X13" s="122" t="s">
        <v>310</v>
      </c>
      <c r="Y13" s="121">
        <v>3.7</v>
      </c>
      <c r="Z13" s="131">
        <v>46364</v>
      </c>
      <c r="AA13" s="122" t="s">
        <v>313</v>
      </c>
      <c r="AB13" s="121">
        <v>20</v>
      </c>
      <c r="AC13" s="122" t="s">
        <v>308</v>
      </c>
      <c r="AD13" s="122" t="s">
        <v>618</v>
      </c>
      <c r="AE13" s="122" t="s">
        <v>1440</v>
      </c>
      <c r="AF13" s="122" t="s">
        <v>306</v>
      </c>
      <c r="AG13" s="121">
        <v>100</v>
      </c>
      <c r="AH13" s="121"/>
      <c r="AI13" s="122" t="s">
        <v>1441</v>
      </c>
      <c r="AJ13" s="122" t="s">
        <v>1442</v>
      </c>
      <c r="AK13" s="122" t="s">
        <v>89</v>
      </c>
      <c r="AL13" s="121"/>
      <c r="AM13" s="121"/>
      <c r="AN13" s="121"/>
      <c r="AO13" s="122" t="s">
        <v>244</v>
      </c>
      <c r="AP13" s="122" t="s">
        <v>803</v>
      </c>
      <c r="AQ13" s="122" t="s">
        <v>305</v>
      </c>
      <c r="AR13" s="122" t="s">
        <v>804</v>
      </c>
      <c r="AS13" t="s">
        <v>1</v>
      </c>
      <c r="AT13" s="121" t="s">
        <v>515</v>
      </c>
      <c r="AU13" s="122" t="s">
        <v>304</v>
      </c>
      <c r="AV13" s="122" t="s">
        <v>312</v>
      </c>
      <c r="AW13" s="122" t="s">
        <v>1443</v>
      </c>
      <c r="AX13" s="122" t="s">
        <v>1444</v>
      </c>
      <c r="AY13" s="121">
        <v>100000</v>
      </c>
      <c r="AZ13" s="121">
        <v>4</v>
      </c>
      <c r="BA13" s="131">
        <v>45268</v>
      </c>
      <c r="BB13" s="131"/>
      <c r="BC13" s="121">
        <v>3.7</v>
      </c>
      <c r="BD13" s="131">
        <v>45451</v>
      </c>
      <c r="BE13" s="122" t="s">
        <v>1431</v>
      </c>
      <c r="BF13" s="122" t="s">
        <v>89</v>
      </c>
      <c r="BG13" s="131">
        <v>45268</v>
      </c>
      <c r="BH13" s="122" t="s">
        <v>1434</v>
      </c>
      <c r="BI13" s="131">
        <v>45268</v>
      </c>
      <c r="BJ13" s="122" t="s">
        <v>554</v>
      </c>
      <c r="BK13" s="122" t="s">
        <v>1445</v>
      </c>
      <c r="BL13" s="122" t="s">
        <v>303</v>
      </c>
      <c r="BM13" s="122" t="s">
        <v>303</v>
      </c>
      <c r="BN13" s="122" t="s">
        <v>302</v>
      </c>
      <c r="BO13" s="122" t="s">
        <v>301</v>
      </c>
      <c r="BP13" s="122" t="s">
        <v>300</v>
      </c>
      <c r="BQ13" s="122" t="s">
        <v>89</v>
      </c>
      <c r="BR13" s="122" t="s">
        <v>115</v>
      </c>
      <c r="BS13" s="122" t="s">
        <v>89</v>
      </c>
      <c r="BT13" s="122" t="s">
        <v>198</v>
      </c>
      <c r="BU13" s="131"/>
      <c r="BV13" s="122" t="s">
        <v>6</v>
      </c>
      <c r="BW13" s="122" t="s">
        <v>15</v>
      </c>
      <c r="BX13" s="122" t="s">
        <v>129</v>
      </c>
      <c r="BY13" s="122" t="s">
        <v>89</v>
      </c>
      <c r="BZ13" s="131"/>
      <c r="CA13" s="121"/>
      <c r="CB13" s="122" t="s">
        <v>80</v>
      </c>
      <c r="CC13" s="122" t="s">
        <v>80</v>
      </c>
      <c r="CD13" s="120" t="s">
        <v>203</v>
      </c>
      <c r="CE13" s="120" t="s">
        <v>89</v>
      </c>
      <c r="CF13" s="122" t="s">
        <v>108</v>
      </c>
      <c r="CG13" s="122" t="s">
        <v>89</v>
      </c>
      <c r="CH13" s="120" t="s">
        <v>1504</v>
      </c>
      <c r="CI13" s="120" t="s">
        <v>631</v>
      </c>
      <c r="CJ13" s="122" t="s">
        <v>204</v>
      </c>
      <c r="CK13" s="122" t="s">
        <v>89</v>
      </c>
      <c r="CL13" s="120" t="s">
        <v>532</v>
      </c>
      <c r="CM13">
        <v>0.1371</v>
      </c>
      <c r="CN13">
        <v>1</v>
      </c>
      <c r="CO13">
        <v>1.0732999999999999</v>
      </c>
      <c r="CP13" s="122">
        <v>0.54800000000000004</v>
      </c>
      <c r="CQ13" s="122">
        <v>4</v>
      </c>
      <c r="CR13" s="122">
        <v>4.2930000000000001</v>
      </c>
      <c r="CS13" s="122" t="s">
        <v>89</v>
      </c>
      <c r="CT13" s="122" t="s">
        <v>6</v>
      </c>
      <c r="CU13" s="122" t="s">
        <v>129</v>
      </c>
      <c r="CV13" s="120" t="s">
        <v>89</v>
      </c>
      <c r="CW13" s="122" t="s">
        <v>1434</v>
      </c>
      <c r="CX13" s="122" t="s">
        <v>1433</v>
      </c>
      <c r="CY13" s="122" t="s">
        <v>1434</v>
      </c>
      <c r="CZ13" s="121">
        <v>20</v>
      </c>
      <c r="DA13" s="122" t="s">
        <v>131</v>
      </c>
      <c r="DB13" s="122" t="s">
        <v>89</v>
      </c>
      <c r="DC13" s="120" t="s">
        <v>6</v>
      </c>
      <c r="DD13" s="120" t="s">
        <v>89</v>
      </c>
      <c r="DE13" s="122" t="s">
        <v>1446</v>
      </c>
    </row>
    <row r="14" spans="1:109" x14ac:dyDescent="0.25">
      <c r="A14" s="121">
        <v>24</v>
      </c>
      <c r="B14" s="122" t="s">
        <v>325</v>
      </c>
      <c r="C14" s="122" t="s">
        <v>1447</v>
      </c>
      <c r="D14" s="131">
        <v>45261</v>
      </c>
      <c r="E14" s="122" t="s">
        <v>1129</v>
      </c>
      <c r="F14" s="122" t="s">
        <v>89</v>
      </c>
      <c r="G14" s="122" t="s">
        <v>89</v>
      </c>
      <c r="H14" s="120" t="s">
        <v>89</v>
      </c>
      <c r="I14" s="121"/>
      <c r="J14" s="121"/>
      <c r="K14" s="122" t="s">
        <v>89</v>
      </c>
      <c r="L14" s="122" t="s">
        <v>89</v>
      </c>
      <c r="M14" s="122" t="s">
        <v>82</v>
      </c>
      <c r="N14" s="122" t="s">
        <v>514</v>
      </c>
      <c r="O14" s="122" t="s">
        <v>89</v>
      </c>
      <c r="P14" s="122" t="s">
        <v>89</v>
      </c>
      <c r="Q14" s="122" t="s">
        <v>89</v>
      </c>
      <c r="R14" s="122" t="s">
        <v>1448</v>
      </c>
      <c r="S14" s="122" t="s">
        <v>1449</v>
      </c>
      <c r="T14" s="122" t="s">
        <v>305</v>
      </c>
      <c r="U14" s="122" t="s">
        <v>305</v>
      </c>
      <c r="V14" s="122" t="s">
        <v>305</v>
      </c>
      <c r="W14" s="122">
        <v>0.25</v>
      </c>
      <c r="X14" s="122" t="s">
        <v>1450</v>
      </c>
      <c r="Y14" s="121">
        <v>6.4</v>
      </c>
      <c r="Z14" s="131">
        <v>45450</v>
      </c>
      <c r="AA14" s="122" t="s">
        <v>106</v>
      </c>
      <c r="AB14" s="121"/>
      <c r="AC14" s="122" t="s">
        <v>308</v>
      </c>
      <c r="AD14" s="122" t="s">
        <v>328</v>
      </c>
      <c r="AE14" s="122" t="s">
        <v>89</v>
      </c>
      <c r="AF14" s="122" t="s">
        <v>306</v>
      </c>
      <c r="AG14" s="121"/>
      <c r="AH14" s="121"/>
      <c r="AI14" s="122" t="s">
        <v>840</v>
      </c>
      <c r="AJ14" s="122" t="s">
        <v>841</v>
      </c>
      <c r="AK14" s="122" t="s">
        <v>89</v>
      </c>
      <c r="AL14" s="121"/>
      <c r="AM14" s="121"/>
      <c r="AN14" s="121"/>
      <c r="AO14" s="122" t="s">
        <v>244</v>
      </c>
      <c r="AP14" s="122" t="s">
        <v>329</v>
      </c>
      <c r="AQ14" s="122" t="s">
        <v>305</v>
      </c>
      <c r="AR14" s="122" t="s">
        <v>89</v>
      </c>
      <c r="AS14" t="s">
        <v>81</v>
      </c>
      <c r="AT14" s="121" t="s">
        <v>1451</v>
      </c>
      <c r="AU14" s="122" t="s">
        <v>304</v>
      </c>
      <c r="AV14" s="122" t="s">
        <v>312</v>
      </c>
      <c r="AW14" s="122" t="s">
        <v>89</v>
      </c>
      <c r="AX14" s="122" t="s">
        <v>1186</v>
      </c>
      <c r="AY14" s="121">
        <v>1000</v>
      </c>
      <c r="AZ14" s="121">
        <v>0.25</v>
      </c>
      <c r="BA14" s="131">
        <v>45267</v>
      </c>
      <c r="BB14" s="131"/>
      <c r="BC14" s="121">
        <v>6.4</v>
      </c>
      <c r="BD14" s="131">
        <v>45450</v>
      </c>
      <c r="BE14" s="122" t="s">
        <v>1187</v>
      </c>
      <c r="BF14" s="122" t="s">
        <v>325</v>
      </c>
      <c r="BG14" s="131">
        <v>45267</v>
      </c>
      <c r="BH14" s="122" t="s">
        <v>89</v>
      </c>
      <c r="BI14" s="131">
        <v>45267</v>
      </c>
      <c r="BJ14" s="122" t="s">
        <v>89</v>
      </c>
      <c r="BK14" s="122" t="s">
        <v>89</v>
      </c>
      <c r="BL14" s="122" t="s">
        <v>303</v>
      </c>
      <c r="BM14" s="122" t="s">
        <v>303</v>
      </c>
      <c r="BN14" s="122" t="s">
        <v>302</v>
      </c>
      <c r="BO14" s="122" t="s">
        <v>301</v>
      </c>
      <c r="BP14" s="122" t="s">
        <v>300</v>
      </c>
      <c r="BQ14" s="122" t="s">
        <v>89</v>
      </c>
      <c r="BR14" s="122" t="s">
        <v>89</v>
      </c>
      <c r="BS14" s="122" t="s">
        <v>89</v>
      </c>
      <c r="BT14" s="122" t="s">
        <v>198</v>
      </c>
      <c r="BU14" s="131"/>
      <c r="BV14" s="122" t="s">
        <v>6</v>
      </c>
      <c r="BW14" s="122" t="s">
        <v>125</v>
      </c>
      <c r="BX14" s="122" t="s">
        <v>6</v>
      </c>
      <c r="BY14" s="122" t="s">
        <v>89</v>
      </c>
      <c r="BZ14" s="131"/>
      <c r="CA14" s="121"/>
      <c r="CB14" s="122" t="s">
        <v>80</v>
      </c>
      <c r="CC14" s="122" t="s">
        <v>623</v>
      </c>
      <c r="CD14" s="120" t="s">
        <v>558</v>
      </c>
      <c r="CE14" s="120" t="s">
        <v>89</v>
      </c>
      <c r="CF14" s="122" t="s">
        <v>37</v>
      </c>
      <c r="CG14" s="122" t="s">
        <v>89</v>
      </c>
      <c r="CH14" s="120" t="s">
        <v>89</v>
      </c>
      <c r="CI14" s="120" t="s">
        <v>89</v>
      </c>
      <c r="CJ14" s="122" t="s">
        <v>106</v>
      </c>
      <c r="CK14" s="122" t="s">
        <v>89</v>
      </c>
      <c r="CL14" s="120" t="s">
        <v>532</v>
      </c>
      <c r="CM14">
        <v>1</v>
      </c>
      <c r="CN14">
        <v>7.2927999999999997</v>
      </c>
      <c r="CO14">
        <v>7.8305999999999996</v>
      </c>
      <c r="CP14" s="122">
        <v>0.25</v>
      </c>
      <c r="CQ14" s="122">
        <v>1.823</v>
      </c>
      <c r="CR14" s="122">
        <v>1.958</v>
      </c>
      <c r="CS14" s="122" t="s">
        <v>89</v>
      </c>
      <c r="CT14" s="122" t="s">
        <v>6</v>
      </c>
      <c r="CU14" s="122" t="s">
        <v>6</v>
      </c>
      <c r="CV14" s="120" t="s">
        <v>89</v>
      </c>
      <c r="CW14" s="122" t="s">
        <v>1505</v>
      </c>
      <c r="CX14" s="122" t="s">
        <v>89</v>
      </c>
      <c r="CY14" s="122" t="s">
        <v>89</v>
      </c>
      <c r="CZ14" s="121"/>
      <c r="DA14" s="122" t="s">
        <v>1506</v>
      </c>
      <c r="DB14" s="122" t="s">
        <v>1507</v>
      </c>
      <c r="DC14" s="120" t="s">
        <v>6</v>
      </c>
      <c r="DD14" s="120" t="s">
        <v>89</v>
      </c>
      <c r="DE14" s="122" t="s">
        <v>1452</v>
      </c>
    </row>
    <row r="15" spans="1:109" x14ac:dyDescent="0.25">
      <c r="A15" s="121">
        <v>23</v>
      </c>
      <c r="B15" s="122" t="s">
        <v>1132</v>
      </c>
      <c r="C15" s="122" t="s">
        <v>1133</v>
      </c>
      <c r="D15" s="131">
        <v>45260</v>
      </c>
      <c r="E15" s="122" t="s">
        <v>617</v>
      </c>
      <c r="F15" s="122" t="s">
        <v>89</v>
      </c>
      <c r="G15" s="122" t="s">
        <v>846</v>
      </c>
      <c r="H15" s="120" t="s">
        <v>89</v>
      </c>
      <c r="I15" s="121"/>
      <c r="J15" s="121"/>
      <c r="K15" s="122" t="s">
        <v>89</v>
      </c>
      <c r="L15" s="122" t="s">
        <v>89</v>
      </c>
      <c r="M15" s="122" t="s">
        <v>103</v>
      </c>
      <c r="N15" s="122" t="s">
        <v>514</v>
      </c>
      <c r="O15" s="122" t="s">
        <v>89</v>
      </c>
      <c r="P15" s="122" t="s">
        <v>1134</v>
      </c>
      <c r="Q15" s="122" t="s">
        <v>1135</v>
      </c>
      <c r="R15" s="122" t="s">
        <v>1136</v>
      </c>
      <c r="S15" s="122" t="s">
        <v>1137</v>
      </c>
      <c r="T15" s="122" t="s">
        <v>305</v>
      </c>
      <c r="U15" s="122" t="s">
        <v>305</v>
      </c>
      <c r="V15" s="122" t="s">
        <v>305</v>
      </c>
      <c r="W15" s="122">
        <v>3.6970000000000001</v>
      </c>
      <c r="X15" s="122" t="s">
        <v>310</v>
      </c>
      <c r="Y15" s="121">
        <v>3.9</v>
      </c>
      <c r="Z15" s="131">
        <v>46363</v>
      </c>
      <c r="AA15" s="122" t="s">
        <v>313</v>
      </c>
      <c r="AB15" s="121"/>
      <c r="AC15" s="122" t="s">
        <v>308</v>
      </c>
      <c r="AD15" s="122" t="s">
        <v>618</v>
      </c>
      <c r="AE15" s="122" t="s">
        <v>1138</v>
      </c>
      <c r="AF15" s="122" t="s">
        <v>306</v>
      </c>
      <c r="AG15" s="121">
        <v>100</v>
      </c>
      <c r="AH15" s="121"/>
      <c r="AI15" s="122" t="s">
        <v>1139</v>
      </c>
      <c r="AJ15" s="122" t="s">
        <v>1140</v>
      </c>
      <c r="AK15" s="122" t="s">
        <v>89</v>
      </c>
      <c r="AL15" s="121"/>
      <c r="AM15" s="121"/>
      <c r="AN15" s="121"/>
      <c r="AO15" s="122" t="s">
        <v>244</v>
      </c>
      <c r="AP15" s="122" t="s">
        <v>803</v>
      </c>
      <c r="AQ15" s="122" t="s">
        <v>305</v>
      </c>
      <c r="AR15" s="122" t="s">
        <v>570</v>
      </c>
      <c r="AS15" t="s">
        <v>1</v>
      </c>
      <c r="AT15" s="121" t="s">
        <v>515</v>
      </c>
      <c r="AU15" s="122" t="s">
        <v>304</v>
      </c>
      <c r="AV15" s="122" t="s">
        <v>312</v>
      </c>
      <c r="AW15" s="122" t="s">
        <v>1141</v>
      </c>
      <c r="AX15" s="122" t="s">
        <v>1142</v>
      </c>
      <c r="AY15" s="121">
        <v>10000</v>
      </c>
      <c r="AZ15" s="121">
        <v>3.6968000000000001</v>
      </c>
      <c r="BA15" s="131">
        <v>45267</v>
      </c>
      <c r="BB15" s="131"/>
      <c r="BC15" s="121">
        <v>3.9</v>
      </c>
      <c r="BD15" s="131">
        <v>45450</v>
      </c>
      <c r="BE15" s="122" t="s">
        <v>1132</v>
      </c>
      <c r="BF15" s="122" t="s">
        <v>89</v>
      </c>
      <c r="BG15" s="131">
        <v>45267</v>
      </c>
      <c r="BH15" s="122" t="s">
        <v>846</v>
      </c>
      <c r="BI15" s="131">
        <v>45267</v>
      </c>
      <c r="BJ15" s="122" t="s">
        <v>554</v>
      </c>
      <c r="BK15" s="122" t="s">
        <v>1143</v>
      </c>
      <c r="BL15" s="122" t="s">
        <v>303</v>
      </c>
      <c r="BM15" s="122" t="s">
        <v>303</v>
      </c>
      <c r="BN15" s="122" t="s">
        <v>302</v>
      </c>
      <c r="BO15" s="122" t="s">
        <v>301</v>
      </c>
      <c r="BP15" s="122" t="s">
        <v>300</v>
      </c>
      <c r="BQ15" s="122" t="s">
        <v>89</v>
      </c>
      <c r="BR15" s="122" t="s">
        <v>115</v>
      </c>
      <c r="BS15" s="122" t="s">
        <v>89</v>
      </c>
      <c r="BT15" s="122" t="s">
        <v>198</v>
      </c>
      <c r="BU15" s="131"/>
      <c r="BV15" s="122" t="s">
        <v>6</v>
      </c>
      <c r="BW15" s="122" t="s">
        <v>20</v>
      </c>
      <c r="BX15" s="122" t="s">
        <v>6</v>
      </c>
      <c r="BY15" s="122" t="s">
        <v>89</v>
      </c>
      <c r="BZ15" s="131"/>
      <c r="CA15" s="121"/>
      <c r="CB15" s="122" t="s">
        <v>80</v>
      </c>
      <c r="CC15" s="122" t="s">
        <v>80</v>
      </c>
      <c r="CD15" s="120" t="s">
        <v>203</v>
      </c>
      <c r="CE15" s="120" t="s">
        <v>89</v>
      </c>
      <c r="CF15" s="122" t="s">
        <v>108</v>
      </c>
      <c r="CG15" s="122" t="s">
        <v>89</v>
      </c>
      <c r="CH15" s="120" t="s">
        <v>1324</v>
      </c>
      <c r="CI15" s="120" t="s">
        <v>634</v>
      </c>
      <c r="CJ15" s="122" t="s">
        <v>204</v>
      </c>
      <c r="CK15" s="122" t="s">
        <v>89</v>
      </c>
      <c r="CL15" s="120" t="s">
        <v>532</v>
      </c>
      <c r="CM15">
        <v>0.1371</v>
      </c>
      <c r="CN15">
        <v>1</v>
      </c>
      <c r="CO15">
        <v>1.0732999999999999</v>
      </c>
      <c r="CP15" s="122">
        <v>0.50700000000000001</v>
      </c>
      <c r="CQ15" s="122">
        <v>3.6970000000000001</v>
      </c>
      <c r="CR15" s="122">
        <v>3.968</v>
      </c>
      <c r="CS15" s="122" t="s">
        <v>89</v>
      </c>
      <c r="CT15" s="122" t="s">
        <v>6</v>
      </c>
      <c r="CU15" s="122" t="s">
        <v>6</v>
      </c>
      <c r="CV15" s="120" t="s">
        <v>89</v>
      </c>
      <c r="CW15" s="122" t="s">
        <v>846</v>
      </c>
      <c r="CX15" s="122" t="s">
        <v>89</v>
      </c>
      <c r="CY15" s="122" t="s">
        <v>846</v>
      </c>
      <c r="CZ15" s="121"/>
      <c r="DA15" s="122" t="s">
        <v>131</v>
      </c>
      <c r="DB15" s="122" t="s">
        <v>89</v>
      </c>
      <c r="DC15" s="120" t="s">
        <v>6</v>
      </c>
      <c r="DD15" s="120" t="s">
        <v>89</v>
      </c>
      <c r="DE15" s="122" t="s">
        <v>1144</v>
      </c>
    </row>
    <row r="16" spans="1:109" x14ac:dyDescent="0.25">
      <c r="A16" s="121">
        <v>22</v>
      </c>
      <c r="B16" s="122" t="s">
        <v>1145</v>
      </c>
      <c r="C16" s="122" t="s">
        <v>1146</v>
      </c>
      <c r="D16" s="131">
        <v>45260</v>
      </c>
      <c r="E16" s="122" t="s">
        <v>783</v>
      </c>
      <c r="F16" s="122" t="s">
        <v>89</v>
      </c>
      <c r="G16" s="122" t="s">
        <v>1147</v>
      </c>
      <c r="H16" s="120" t="s">
        <v>89</v>
      </c>
      <c r="I16" s="121"/>
      <c r="J16" s="121"/>
      <c r="K16" s="122" t="s">
        <v>89</v>
      </c>
      <c r="L16" s="122" t="s">
        <v>89</v>
      </c>
      <c r="M16" s="122" t="s">
        <v>103</v>
      </c>
      <c r="N16" s="122" t="s">
        <v>514</v>
      </c>
      <c r="O16" s="122" t="s">
        <v>89</v>
      </c>
      <c r="P16" s="122" t="s">
        <v>1149</v>
      </c>
      <c r="Q16" s="122" t="s">
        <v>89</v>
      </c>
      <c r="R16" s="122" t="s">
        <v>1150</v>
      </c>
      <c r="S16" s="122" t="s">
        <v>1151</v>
      </c>
      <c r="T16" s="122" t="s">
        <v>305</v>
      </c>
      <c r="U16" s="122" t="s">
        <v>305</v>
      </c>
      <c r="V16" s="122" t="s">
        <v>305</v>
      </c>
      <c r="W16" s="122">
        <v>2</v>
      </c>
      <c r="X16" s="122" t="s">
        <v>1152</v>
      </c>
      <c r="Y16" s="121">
        <v>8.5</v>
      </c>
      <c r="Z16" s="131">
        <v>45999</v>
      </c>
      <c r="AA16" s="122" t="s">
        <v>106</v>
      </c>
      <c r="AB16" s="121"/>
      <c r="AC16" s="122" t="s">
        <v>308</v>
      </c>
      <c r="AD16" s="122" t="s">
        <v>328</v>
      </c>
      <c r="AE16" s="122" t="s">
        <v>89</v>
      </c>
      <c r="AF16" s="122" t="s">
        <v>306</v>
      </c>
      <c r="AG16" s="121">
        <v>100</v>
      </c>
      <c r="AH16" s="121"/>
      <c r="AI16" s="122" t="s">
        <v>581</v>
      </c>
      <c r="AJ16" s="122" t="s">
        <v>1153</v>
      </c>
      <c r="AK16" s="122" t="s">
        <v>89</v>
      </c>
      <c r="AL16" s="121"/>
      <c r="AM16" s="121"/>
      <c r="AN16" s="121"/>
      <c r="AO16" s="122" t="s">
        <v>244</v>
      </c>
      <c r="AP16" s="122" t="s">
        <v>329</v>
      </c>
      <c r="AQ16" s="122" t="s">
        <v>305</v>
      </c>
      <c r="AR16" s="122" t="s">
        <v>570</v>
      </c>
      <c r="AS16" t="s">
        <v>1</v>
      </c>
      <c r="AT16" s="121" t="s">
        <v>1453</v>
      </c>
      <c r="AU16" s="122" t="s">
        <v>620</v>
      </c>
      <c r="AV16" s="122" t="s">
        <v>312</v>
      </c>
      <c r="AW16" s="122" t="s">
        <v>1154</v>
      </c>
      <c r="AX16" s="122" t="s">
        <v>1155</v>
      </c>
      <c r="AY16" s="121">
        <v>10000</v>
      </c>
      <c r="AZ16" s="121">
        <v>2</v>
      </c>
      <c r="BA16" s="131">
        <v>45268</v>
      </c>
      <c r="BB16" s="131"/>
      <c r="BC16" s="121">
        <v>8.5</v>
      </c>
      <c r="BD16" s="131">
        <v>45451</v>
      </c>
      <c r="BE16" s="122" t="s">
        <v>1156</v>
      </c>
      <c r="BF16" s="122" t="s">
        <v>1145</v>
      </c>
      <c r="BG16" s="131">
        <v>45268</v>
      </c>
      <c r="BH16" s="122" t="s">
        <v>1148</v>
      </c>
      <c r="BI16" s="131">
        <v>45268</v>
      </c>
      <c r="BJ16" s="122" t="s">
        <v>554</v>
      </c>
      <c r="BK16" s="122" t="s">
        <v>1157</v>
      </c>
      <c r="BL16" s="122" t="s">
        <v>303</v>
      </c>
      <c r="BM16" s="122" t="s">
        <v>303</v>
      </c>
      <c r="BN16" s="122" t="s">
        <v>302</v>
      </c>
      <c r="BO16" s="122" t="s">
        <v>301</v>
      </c>
      <c r="BP16" s="122" t="s">
        <v>300</v>
      </c>
      <c r="BQ16" s="122" t="s">
        <v>89</v>
      </c>
      <c r="BR16" s="122" t="s">
        <v>115</v>
      </c>
      <c r="BS16" s="122" t="s">
        <v>89</v>
      </c>
      <c r="BT16" s="122" t="s">
        <v>198</v>
      </c>
      <c r="BU16" s="131"/>
      <c r="BV16" s="122" t="s">
        <v>6</v>
      </c>
      <c r="BW16" s="122" t="s">
        <v>9</v>
      </c>
      <c r="BX16" s="122" t="s">
        <v>6</v>
      </c>
      <c r="BY16" s="122" t="s">
        <v>89</v>
      </c>
      <c r="BZ16" s="131"/>
      <c r="CA16" s="121"/>
      <c r="CB16" s="122" t="s">
        <v>80</v>
      </c>
      <c r="CC16" s="122" t="s">
        <v>80</v>
      </c>
      <c r="CD16" s="120" t="s">
        <v>203</v>
      </c>
      <c r="CE16" s="120" t="s">
        <v>89</v>
      </c>
      <c r="CF16" s="122" t="s">
        <v>37</v>
      </c>
      <c r="CG16" s="122" t="s">
        <v>89</v>
      </c>
      <c r="CH16" s="120" t="s">
        <v>89</v>
      </c>
      <c r="CI16" s="120" t="s">
        <v>89</v>
      </c>
      <c r="CJ16" s="122" t="s">
        <v>106</v>
      </c>
      <c r="CK16" s="122" t="s">
        <v>89</v>
      </c>
      <c r="CL16" s="120" t="s">
        <v>532</v>
      </c>
      <c r="CM16">
        <v>0.1371</v>
      </c>
      <c r="CN16">
        <v>1</v>
      </c>
      <c r="CO16">
        <v>1.0732999999999999</v>
      </c>
      <c r="CP16" s="122">
        <v>0.27400000000000002</v>
      </c>
      <c r="CQ16" s="122">
        <v>2</v>
      </c>
      <c r="CR16" s="122">
        <v>2.1469999999999998</v>
      </c>
      <c r="CS16" s="122" t="s">
        <v>89</v>
      </c>
      <c r="CT16" s="122" t="s">
        <v>6</v>
      </c>
      <c r="CU16" s="122" t="s">
        <v>6</v>
      </c>
      <c r="CV16" s="120" t="s">
        <v>89</v>
      </c>
      <c r="CW16" s="122" t="s">
        <v>1147</v>
      </c>
      <c r="CX16" s="122" t="s">
        <v>89</v>
      </c>
      <c r="CY16" s="122" t="s">
        <v>1147</v>
      </c>
      <c r="CZ16" s="121"/>
      <c r="DA16" s="122" t="s">
        <v>1122</v>
      </c>
      <c r="DB16" s="122" t="s">
        <v>89</v>
      </c>
      <c r="DC16" s="120" t="s">
        <v>6</v>
      </c>
      <c r="DD16" s="120" t="s">
        <v>89</v>
      </c>
      <c r="DE16" s="122" t="s">
        <v>1158</v>
      </c>
    </row>
    <row r="17" spans="1:109" x14ac:dyDescent="0.25">
      <c r="A17" s="121">
        <v>21</v>
      </c>
      <c r="B17" s="122" t="s">
        <v>1159</v>
      </c>
      <c r="C17" s="122" t="s">
        <v>1160</v>
      </c>
      <c r="D17" s="131">
        <v>45260</v>
      </c>
      <c r="E17" s="122" t="s">
        <v>617</v>
      </c>
      <c r="F17" s="122" t="s">
        <v>89</v>
      </c>
      <c r="G17" s="122" t="s">
        <v>821</v>
      </c>
      <c r="H17" s="120" t="s">
        <v>89</v>
      </c>
      <c r="I17" s="121"/>
      <c r="J17" s="121"/>
      <c r="K17" s="122" t="s">
        <v>89</v>
      </c>
      <c r="L17" s="122" t="s">
        <v>89</v>
      </c>
      <c r="M17" s="122" t="s">
        <v>103</v>
      </c>
      <c r="N17" s="122" t="s">
        <v>514</v>
      </c>
      <c r="O17" s="122" t="s">
        <v>89</v>
      </c>
      <c r="P17" s="122" t="s">
        <v>1161</v>
      </c>
      <c r="Q17" s="122" t="s">
        <v>1162</v>
      </c>
      <c r="R17" s="122" t="s">
        <v>1163</v>
      </c>
      <c r="S17" s="122" t="s">
        <v>1164</v>
      </c>
      <c r="T17" s="122" t="s">
        <v>305</v>
      </c>
      <c r="U17" s="122" t="s">
        <v>305</v>
      </c>
      <c r="V17" s="122" t="s">
        <v>305</v>
      </c>
      <c r="W17" s="122">
        <v>3.53</v>
      </c>
      <c r="X17" s="122" t="s">
        <v>555</v>
      </c>
      <c r="Y17" s="121">
        <v>7.5</v>
      </c>
      <c r="Z17" s="131">
        <v>45629</v>
      </c>
      <c r="AA17" s="122" t="s">
        <v>313</v>
      </c>
      <c r="AB17" s="121"/>
      <c r="AC17" s="122" t="s">
        <v>308</v>
      </c>
      <c r="AD17" s="122" t="s">
        <v>307</v>
      </c>
      <c r="AE17" s="122" t="s">
        <v>89</v>
      </c>
      <c r="AF17" s="122" t="s">
        <v>306</v>
      </c>
      <c r="AG17" s="121">
        <v>100</v>
      </c>
      <c r="AH17" s="121"/>
      <c r="AI17" s="122" t="s">
        <v>581</v>
      </c>
      <c r="AJ17" s="122" t="s">
        <v>1165</v>
      </c>
      <c r="AK17" s="122" t="s">
        <v>89</v>
      </c>
      <c r="AL17" s="121"/>
      <c r="AM17" s="121"/>
      <c r="AN17" s="121"/>
      <c r="AO17" s="122" t="s">
        <v>244</v>
      </c>
      <c r="AP17" s="122" t="s">
        <v>329</v>
      </c>
      <c r="AQ17" s="122" t="s">
        <v>305</v>
      </c>
      <c r="AR17" s="122" t="s">
        <v>570</v>
      </c>
      <c r="AS17" t="s">
        <v>1</v>
      </c>
      <c r="AT17" s="121" t="s">
        <v>800</v>
      </c>
      <c r="AU17" s="122" t="s">
        <v>304</v>
      </c>
      <c r="AV17" s="122" t="s">
        <v>312</v>
      </c>
      <c r="AW17" s="122" t="s">
        <v>1166</v>
      </c>
      <c r="AX17" s="122" t="s">
        <v>1167</v>
      </c>
      <c r="AY17" s="121">
        <v>10000</v>
      </c>
      <c r="AZ17" s="121">
        <v>3.53</v>
      </c>
      <c r="BA17" s="131">
        <v>45265</v>
      </c>
      <c r="BB17" s="131"/>
      <c r="BC17" s="121">
        <v>7.5</v>
      </c>
      <c r="BD17" s="131">
        <v>45629</v>
      </c>
      <c r="BE17" s="122" t="s">
        <v>1159</v>
      </c>
      <c r="BF17" s="122" t="s">
        <v>89</v>
      </c>
      <c r="BG17" s="131">
        <v>45265</v>
      </c>
      <c r="BH17" s="122" t="s">
        <v>821</v>
      </c>
      <c r="BI17" s="131">
        <v>45265</v>
      </c>
      <c r="BJ17" s="122" t="s">
        <v>785</v>
      </c>
      <c r="BK17" s="122" t="s">
        <v>1168</v>
      </c>
      <c r="BL17" s="122" t="s">
        <v>303</v>
      </c>
      <c r="BM17" s="122" t="s">
        <v>303</v>
      </c>
      <c r="BN17" s="122" t="s">
        <v>302</v>
      </c>
      <c r="BO17" s="122" t="s">
        <v>301</v>
      </c>
      <c r="BP17" s="122" t="s">
        <v>300</v>
      </c>
      <c r="BQ17" s="122" t="s">
        <v>89</v>
      </c>
      <c r="BR17" s="122" t="s">
        <v>89</v>
      </c>
      <c r="BS17" s="122" t="s">
        <v>89</v>
      </c>
      <c r="BT17" s="122" t="s">
        <v>198</v>
      </c>
      <c r="BU17" s="131"/>
      <c r="BV17" s="122" t="s">
        <v>6</v>
      </c>
      <c r="BW17" s="122" t="s">
        <v>9</v>
      </c>
      <c r="BX17" s="122" t="s">
        <v>6</v>
      </c>
      <c r="BY17" s="122" t="s">
        <v>89</v>
      </c>
      <c r="BZ17" s="131"/>
      <c r="CA17" s="121"/>
      <c r="CB17" s="122" t="s">
        <v>80</v>
      </c>
      <c r="CC17" s="122" t="s">
        <v>80</v>
      </c>
      <c r="CD17" s="120" t="s">
        <v>203</v>
      </c>
      <c r="CE17" s="120" t="s">
        <v>89</v>
      </c>
      <c r="CF17" s="122" t="s">
        <v>35</v>
      </c>
      <c r="CG17" s="122" t="s">
        <v>89</v>
      </c>
      <c r="CH17" s="120" t="s">
        <v>89</v>
      </c>
      <c r="CI17" s="120" t="s">
        <v>89</v>
      </c>
      <c r="CJ17" s="122" t="s">
        <v>204</v>
      </c>
      <c r="CK17" s="122" t="s">
        <v>89</v>
      </c>
      <c r="CL17" s="120" t="s">
        <v>532</v>
      </c>
      <c r="CM17">
        <v>0.1371</v>
      </c>
      <c r="CN17">
        <v>1</v>
      </c>
      <c r="CO17">
        <v>1.0732999999999999</v>
      </c>
      <c r="CP17" s="122">
        <v>0.48399999999999999</v>
      </c>
      <c r="CQ17" s="122">
        <v>3.53</v>
      </c>
      <c r="CR17" s="122">
        <v>3.7890000000000001</v>
      </c>
      <c r="CS17" s="122" t="s">
        <v>89</v>
      </c>
      <c r="CT17" s="122" t="s">
        <v>6</v>
      </c>
      <c r="CU17" s="122" t="s">
        <v>6</v>
      </c>
      <c r="CV17" s="120" t="s">
        <v>89</v>
      </c>
      <c r="CW17" s="122" t="s">
        <v>821</v>
      </c>
      <c r="CX17" s="122" t="s">
        <v>89</v>
      </c>
      <c r="CY17" s="122" t="s">
        <v>821</v>
      </c>
      <c r="CZ17" s="121"/>
      <c r="DA17" s="122" t="s">
        <v>544</v>
      </c>
      <c r="DB17" s="122" t="s">
        <v>557</v>
      </c>
      <c r="DC17" s="120" t="s">
        <v>6</v>
      </c>
      <c r="DD17" s="120" t="s">
        <v>89</v>
      </c>
      <c r="DE17" s="122" t="s">
        <v>1169</v>
      </c>
    </row>
    <row r="18" spans="1:109" x14ac:dyDescent="0.25">
      <c r="A18" s="121">
        <v>20</v>
      </c>
      <c r="B18" s="122" t="s">
        <v>1170</v>
      </c>
      <c r="C18" s="122" t="s">
        <v>1171</v>
      </c>
      <c r="D18" s="131">
        <v>45259</v>
      </c>
      <c r="E18" s="122" t="s">
        <v>1172</v>
      </c>
      <c r="F18" s="122" t="s">
        <v>89</v>
      </c>
      <c r="G18" s="122" t="s">
        <v>1173</v>
      </c>
      <c r="H18" s="120" t="s">
        <v>89</v>
      </c>
      <c r="I18" s="121"/>
      <c r="J18" s="121"/>
      <c r="K18" s="122" t="s">
        <v>89</v>
      </c>
      <c r="L18" s="122" t="s">
        <v>89</v>
      </c>
      <c r="M18" s="122" t="s">
        <v>103</v>
      </c>
      <c r="N18" s="122" t="s">
        <v>514</v>
      </c>
      <c r="O18" s="122" t="s">
        <v>89</v>
      </c>
      <c r="P18" s="122" t="s">
        <v>89</v>
      </c>
      <c r="Q18" s="122" t="s">
        <v>89</v>
      </c>
      <c r="R18" s="122" t="s">
        <v>1174</v>
      </c>
      <c r="S18" s="122" t="s">
        <v>1175</v>
      </c>
      <c r="T18" s="122" t="s">
        <v>305</v>
      </c>
      <c r="U18" s="122" t="s">
        <v>305</v>
      </c>
      <c r="V18" s="122" t="s">
        <v>305</v>
      </c>
      <c r="W18" s="122">
        <v>3</v>
      </c>
      <c r="X18" s="122" t="s">
        <v>310</v>
      </c>
      <c r="Y18" s="121">
        <v>4.7</v>
      </c>
      <c r="Z18" s="131">
        <v>46362</v>
      </c>
      <c r="AA18" s="122" t="s">
        <v>313</v>
      </c>
      <c r="AB18" s="121"/>
      <c r="AC18" s="122" t="s">
        <v>308</v>
      </c>
      <c r="AD18" s="122" t="s">
        <v>1176</v>
      </c>
      <c r="AE18" s="122" t="s">
        <v>1177</v>
      </c>
      <c r="AF18" s="122" t="s">
        <v>306</v>
      </c>
      <c r="AG18" s="121">
        <v>100</v>
      </c>
      <c r="AH18" s="121"/>
      <c r="AI18" s="122" t="s">
        <v>581</v>
      </c>
      <c r="AJ18" s="122" t="s">
        <v>1178</v>
      </c>
      <c r="AK18" s="122" t="s">
        <v>89</v>
      </c>
      <c r="AL18" s="121"/>
      <c r="AM18" s="121"/>
      <c r="AN18" s="121"/>
      <c r="AO18" s="122" t="s">
        <v>244</v>
      </c>
      <c r="AP18" s="122" t="s">
        <v>803</v>
      </c>
      <c r="AQ18" s="122" t="s">
        <v>305</v>
      </c>
      <c r="AR18" s="122" t="s">
        <v>570</v>
      </c>
      <c r="AS18" t="s">
        <v>1</v>
      </c>
      <c r="AT18" s="121" t="s">
        <v>786</v>
      </c>
      <c r="AU18" s="122" t="s">
        <v>304</v>
      </c>
      <c r="AV18" s="122" t="s">
        <v>312</v>
      </c>
      <c r="AW18" s="122" t="s">
        <v>1179</v>
      </c>
      <c r="AX18" s="122" t="s">
        <v>1180</v>
      </c>
      <c r="AY18" s="121">
        <v>10000</v>
      </c>
      <c r="AZ18" s="121">
        <v>3</v>
      </c>
      <c r="BA18" s="131">
        <v>45266</v>
      </c>
      <c r="BB18" s="131"/>
      <c r="BC18" s="121">
        <v>4.7</v>
      </c>
      <c r="BD18" s="131">
        <v>45449</v>
      </c>
      <c r="BE18" s="122" t="s">
        <v>1181</v>
      </c>
      <c r="BF18" s="122" t="s">
        <v>1182</v>
      </c>
      <c r="BG18" s="131">
        <v>45266</v>
      </c>
      <c r="BH18" s="122" t="s">
        <v>1173</v>
      </c>
      <c r="BI18" s="131">
        <v>45266</v>
      </c>
      <c r="BJ18" s="122" t="s">
        <v>554</v>
      </c>
      <c r="BK18" s="122" t="s">
        <v>89</v>
      </c>
      <c r="BL18" s="122" t="s">
        <v>303</v>
      </c>
      <c r="BM18" s="122" t="s">
        <v>303</v>
      </c>
      <c r="BN18" s="122" t="s">
        <v>302</v>
      </c>
      <c r="BO18" s="122" t="s">
        <v>301</v>
      </c>
      <c r="BP18" s="122" t="s">
        <v>300</v>
      </c>
      <c r="BQ18" s="122" t="s">
        <v>89</v>
      </c>
      <c r="BR18" s="122" t="s">
        <v>115</v>
      </c>
      <c r="BS18" s="122" t="s">
        <v>1170</v>
      </c>
      <c r="BT18" s="122" t="s">
        <v>198</v>
      </c>
      <c r="BU18" s="131"/>
      <c r="BV18" s="122" t="s">
        <v>6</v>
      </c>
      <c r="BW18" s="122" t="s">
        <v>9</v>
      </c>
      <c r="BX18" s="122" t="s">
        <v>6</v>
      </c>
      <c r="BY18" s="122" t="s">
        <v>89</v>
      </c>
      <c r="BZ18" s="131"/>
      <c r="CA18" s="121"/>
      <c r="CB18" s="122" t="s">
        <v>80</v>
      </c>
      <c r="CC18" s="122" t="s">
        <v>80</v>
      </c>
      <c r="CD18" s="120" t="s">
        <v>558</v>
      </c>
      <c r="CE18" s="120" t="s">
        <v>89</v>
      </c>
      <c r="CF18" s="122" t="s">
        <v>233</v>
      </c>
      <c r="CG18" s="122" t="s">
        <v>89</v>
      </c>
      <c r="CH18" s="120" t="s">
        <v>1325</v>
      </c>
      <c r="CI18" s="120" t="s">
        <v>653</v>
      </c>
      <c r="CJ18" s="122" t="s">
        <v>204</v>
      </c>
      <c r="CK18" s="122" t="s">
        <v>89</v>
      </c>
      <c r="CL18" s="120" t="s">
        <v>532</v>
      </c>
      <c r="CM18">
        <v>0.1371</v>
      </c>
      <c r="CN18">
        <v>1</v>
      </c>
      <c r="CO18">
        <v>1.0732999999999999</v>
      </c>
      <c r="CP18" s="122">
        <v>0.41099999999999998</v>
      </c>
      <c r="CQ18" s="122">
        <v>3</v>
      </c>
      <c r="CR18" s="122">
        <v>3.22</v>
      </c>
      <c r="CS18" s="122" t="s">
        <v>89</v>
      </c>
      <c r="CT18" s="122" t="s">
        <v>6</v>
      </c>
      <c r="CU18" s="122" t="s">
        <v>6</v>
      </c>
      <c r="CV18" s="120" t="s">
        <v>89</v>
      </c>
      <c r="CW18" s="122" t="s">
        <v>1173</v>
      </c>
      <c r="CX18" s="122" t="s">
        <v>89</v>
      </c>
      <c r="CY18" s="122" t="s">
        <v>1173</v>
      </c>
      <c r="CZ18" s="121"/>
      <c r="DA18" s="122" t="s">
        <v>131</v>
      </c>
      <c r="DB18" s="122" t="s">
        <v>89</v>
      </c>
      <c r="DC18" s="120" t="s">
        <v>6</v>
      </c>
      <c r="DD18" s="120" t="s">
        <v>89</v>
      </c>
      <c r="DE18" s="122" t="s">
        <v>1183</v>
      </c>
    </row>
    <row r="19" spans="1:109" x14ac:dyDescent="0.25">
      <c r="A19" s="121">
        <v>19</v>
      </c>
      <c r="B19" s="122" t="s">
        <v>325</v>
      </c>
      <c r="C19" s="122" t="s">
        <v>1454</v>
      </c>
      <c r="D19" s="131">
        <v>45259</v>
      </c>
      <c r="E19" s="122" t="s">
        <v>1129</v>
      </c>
      <c r="F19" s="122" t="s">
        <v>89</v>
      </c>
      <c r="G19" s="122" t="s">
        <v>89</v>
      </c>
      <c r="H19" s="120" t="s">
        <v>89</v>
      </c>
      <c r="I19" s="121"/>
      <c r="J19" s="121"/>
      <c r="K19" s="122" t="s">
        <v>89</v>
      </c>
      <c r="L19" s="122" t="s">
        <v>89</v>
      </c>
      <c r="M19" s="122" t="s">
        <v>82</v>
      </c>
      <c r="N19" s="122" t="s">
        <v>514</v>
      </c>
      <c r="O19" s="122" t="s">
        <v>89</v>
      </c>
      <c r="P19" s="122" t="s">
        <v>1455</v>
      </c>
      <c r="Q19" s="122" t="s">
        <v>89</v>
      </c>
      <c r="R19" s="122" t="s">
        <v>1184</v>
      </c>
      <c r="S19" s="122" t="s">
        <v>1456</v>
      </c>
      <c r="T19" s="122" t="s">
        <v>305</v>
      </c>
      <c r="U19" s="122" t="s">
        <v>305</v>
      </c>
      <c r="V19" s="122" t="s">
        <v>305</v>
      </c>
      <c r="W19" s="122">
        <v>0.95</v>
      </c>
      <c r="X19" s="122" t="s">
        <v>1185</v>
      </c>
      <c r="Y19" s="121">
        <v>6</v>
      </c>
      <c r="Z19" s="131">
        <v>45541</v>
      </c>
      <c r="AA19" s="122" t="s">
        <v>106</v>
      </c>
      <c r="AB19" s="121"/>
      <c r="AC19" s="122" t="s">
        <v>89</v>
      </c>
      <c r="AD19" s="122" t="s">
        <v>328</v>
      </c>
      <c r="AE19" s="122" t="s">
        <v>89</v>
      </c>
      <c r="AF19" s="122" t="s">
        <v>306</v>
      </c>
      <c r="AG19" s="121"/>
      <c r="AH19" s="121"/>
      <c r="AI19" s="122" t="s">
        <v>840</v>
      </c>
      <c r="AJ19" s="122" t="s">
        <v>841</v>
      </c>
      <c r="AK19" s="122" t="s">
        <v>89</v>
      </c>
      <c r="AL19" s="121"/>
      <c r="AM19" s="121"/>
      <c r="AN19" s="121"/>
      <c r="AO19" s="122" t="s">
        <v>244</v>
      </c>
      <c r="AP19" s="122" t="s">
        <v>329</v>
      </c>
      <c r="AQ19" s="122" t="s">
        <v>305</v>
      </c>
      <c r="AR19" s="122" t="s">
        <v>89</v>
      </c>
      <c r="AS19" t="s">
        <v>81</v>
      </c>
      <c r="AT19" s="121" t="s">
        <v>1457</v>
      </c>
      <c r="AU19" s="122" t="s">
        <v>304</v>
      </c>
      <c r="AV19" s="122" t="s">
        <v>312</v>
      </c>
      <c r="AW19" s="122" t="s">
        <v>89</v>
      </c>
      <c r="AX19" s="122" t="s">
        <v>1186</v>
      </c>
      <c r="AY19" s="121">
        <v>1000</v>
      </c>
      <c r="AZ19" s="121">
        <v>0.95</v>
      </c>
      <c r="BA19" s="131">
        <v>45266</v>
      </c>
      <c r="BB19" s="131"/>
      <c r="BC19" s="121">
        <v>6</v>
      </c>
      <c r="BD19" s="131">
        <v>45541</v>
      </c>
      <c r="BE19" s="122" t="s">
        <v>1187</v>
      </c>
      <c r="BF19" s="122" t="s">
        <v>325</v>
      </c>
      <c r="BG19" s="131">
        <v>45266</v>
      </c>
      <c r="BH19" s="122" t="s">
        <v>89</v>
      </c>
      <c r="BI19" s="131">
        <v>45266</v>
      </c>
      <c r="BJ19" s="122" t="s">
        <v>89</v>
      </c>
      <c r="BK19" s="122" t="s">
        <v>1455</v>
      </c>
      <c r="BL19" s="122" t="s">
        <v>303</v>
      </c>
      <c r="BM19" s="122" t="s">
        <v>303</v>
      </c>
      <c r="BN19" s="122" t="s">
        <v>302</v>
      </c>
      <c r="BO19" s="122" t="s">
        <v>301</v>
      </c>
      <c r="BP19" s="122" t="s">
        <v>300</v>
      </c>
      <c r="BQ19" s="122" t="s">
        <v>89</v>
      </c>
      <c r="BR19" s="122" t="s">
        <v>89</v>
      </c>
      <c r="BS19" s="122" t="s">
        <v>89</v>
      </c>
      <c r="BT19" s="122" t="s">
        <v>198</v>
      </c>
      <c r="BU19" s="131"/>
      <c r="BV19" s="122" t="s">
        <v>6</v>
      </c>
      <c r="BW19" s="122" t="s">
        <v>125</v>
      </c>
      <c r="BX19" s="122" t="s">
        <v>6</v>
      </c>
      <c r="BY19" s="122" t="s">
        <v>89</v>
      </c>
      <c r="BZ19" s="131"/>
      <c r="CA19" s="121"/>
      <c r="CB19" s="122" t="s">
        <v>80</v>
      </c>
      <c r="CC19" s="122" t="s">
        <v>623</v>
      </c>
      <c r="CD19" s="120" t="s">
        <v>558</v>
      </c>
      <c r="CE19" s="120" t="s">
        <v>89</v>
      </c>
      <c r="CF19" s="122" t="s">
        <v>37</v>
      </c>
      <c r="CG19" s="122" t="s">
        <v>89</v>
      </c>
      <c r="CH19" s="120" t="s">
        <v>89</v>
      </c>
      <c r="CI19" s="120" t="s">
        <v>89</v>
      </c>
      <c r="CJ19" s="122" t="s">
        <v>106</v>
      </c>
      <c r="CK19" s="122" t="s">
        <v>89</v>
      </c>
      <c r="CL19" s="120" t="s">
        <v>532</v>
      </c>
      <c r="CM19">
        <v>1</v>
      </c>
      <c r="CN19">
        <v>7.2927999999999997</v>
      </c>
      <c r="CO19">
        <v>7.8305999999999996</v>
      </c>
      <c r="CP19" s="122">
        <v>0.95</v>
      </c>
      <c r="CQ19" s="122">
        <v>6.9279999999999999</v>
      </c>
      <c r="CR19" s="122">
        <v>7.4390000000000001</v>
      </c>
      <c r="CS19" s="122" t="s">
        <v>89</v>
      </c>
      <c r="CT19" s="122" t="s">
        <v>6</v>
      </c>
      <c r="CU19" s="122" t="s">
        <v>130</v>
      </c>
      <c r="CV19" s="120" t="s">
        <v>89</v>
      </c>
      <c r="CW19" s="122" t="s">
        <v>1321</v>
      </c>
      <c r="CX19" s="122" t="s">
        <v>89</v>
      </c>
      <c r="CY19" s="122" t="s">
        <v>89</v>
      </c>
      <c r="CZ19" s="121"/>
      <c r="DA19" s="122" t="s">
        <v>1326</v>
      </c>
      <c r="DB19" s="122" t="s">
        <v>1327</v>
      </c>
      <c r="DC19" s="120" t="s">
        <v>6</v>
      </c>
      <c r="DD19" s="120" t="s">
        <v>89</v>
      </c>
      <c r="DE19" s="122" t="s">
        <v>1458</v>
      </c>
    </row>
    <row r="20" spans="1:109" x14ac:dyDescent="0.25">
      <c r="A20" s="121">
        <v>18</v>
      </c>
      <c r="B20" s="122" t="s">
        <v>1188</v>
      </c>
      <c r="C20" s="122" t="s">
        <v>1189</v>
      </c>
      <c r="D20" s="131">
        <v>45259</v>
      </c>
      <c r="E20" s="122" t="s">
        <v>253</v>
      </c>
      <c r="F20" s="122" t="s">
        <v>1190</v>
      </c>
      <c r="G20" s="122" t="s">
        <v>1191</v>
      </c>
      <c r="H20" s="120" t="s">
        <v>1206</v>
      </c>
      <c r="I20" s="121">
        <v>9</v>
      </c>
      <c r="J20" s="121">
        <v>78</v>
      </c>
      <c r="K20" s="122" t="s">
        <v>1192</v>
      </c>
      <c r="L20" s="122" t="s">
        <v>1193</v>
      </c>
      <c r="M20" s="122" t="s">
        <v>82</v>
      </c>
      <c r="N20" s="122" t="s">
        <v>842</v>
      </c>
      <c r="O20" s="122" t="s">
        <v>89</v>
      </c>
      <c r="P20" s="122" t="s">
        <v>1196</v>
      </c>
      <c r="Q20" s="122" t="s">
        <v>89</v>
      </c>
      <c r="R20" s="122" t="s">
        <v>1197</v>
      </c>
      <c r="S20" s="122" t="s">
        <v>1198</v>
      </c>
      <c r="T20" s="122" t="s">
        <v>1199</v>
      </c>
      <c r="U20" s="122" t="s">
        <v>1200</v>
      </c>
      <c r="V20" s="122" t="s">
        <v>305</v>
      </c>
      <c r="W20" s="122">
        <v>1.87</v>
      </c>
      <c r="X20" s="122" t="s">
        <v>310</v>
      </c>
      <c r="Y20" s="121">
        <v>6.125</v>
      </c>
      <c r="Z20" s="131">
        <v>46361</v>
      </c>
      <c r="AA20" s="122" t="s">
        <v>309</v>
      </c>
      <c r="AB20" s="121">
        <v>50</v>
      </c>
      <c r="AC20" s="122" t="s">
        <v>308</v>
      </c>
      <c r="AD20" s="122" t="s">
        <v>328</v>
      </c>
      <c r="AE20" s="122" t="s">
        <v>89</v>
      </c>
      <c r="AF20" s="122" t="s">
        <v>306</v>
      </c>
      <c r="AG20" s="121">
        <v>100</v>
      </c>
      <c r="AH20" s="121"/>
      <c r="AI20" s="122" t="s">
        <v>1201</v>
      </c>
      <c r="AJ20" s="122" t="s">
        <v>1202</v>
      </c>
      <c r="AK20" s="122" t="s">
        <v>89</v>
      </c>
      <c r="AL20" s="121"/>
      <c r="AM20" s="121">
        <v>0.98</v>
      </c>
      <c r="AN20" s="121">
        <v>0.18</v>
      </c>
      <c r="AO20" s="122" t="s">
        <v>244</v>
      </c>
      <c r="AP20" s="122" t="s">
        <v>329</v>
      </c>
      <c r="AQ20" s="122" t="s">
        <v>305</v>
      </c>
      <c r="AR20" s="122" t="s">
        <v>315</v>
      </c>
      <c r="AS20" t="s">
        <v>81</v>
      </c>
      <c r="AT20" s="121" t="s">
        <v>1459</v>
      </c>
      <c r="AU20" s="122" t="s">
        <v>622</v>
      </c>
      <c r="AV20" s="122" t="s">
        <v>311</v>
      </c>
      <c r="AW20" s="122" t="s">
        <v>1203</v>
      </c>
      <c r="AX20" s="122" t="s">
        <v>1204</v>
      </c>
      <c r="AY20" s="121">
        <v>1000</v>
      </c>
      <c r="AZ20" s="121">
        <v>1.87</v>
      </c>
      <c r="BA20" s="131">
        <v>45265</v>
      </c>
      <c r="BB20" s="131">
        <v>46361</v>
      </c>
      <c r="BC20" s="121">
        <v>6.125</v>
      </c>
      <c r="BD20" s="131">
        <v>45448</v>
      </c>
      <c r="BE20" s="122" t="s">
        <v>1205</v>
      </c>
      <c r="BF20" s="122" t="s">
        <v>1188</v>
      </c>
      <c r="BG20" s="131">
        <v>45265</v>
      </c>
      <c r="BH20" s="122" t="s">
        <v>1206</v>
      </c>
      <c r="BI20" s="131">
        <v>45265</v>
      </c>
      <c r="BJ20" s="122" t="s">
        <v>89</v>
      </c>
      <c r="BK20" s="122" t="s">
        <v>1207</v>
      </c>
      <c r="BL20" s="122" t="s">
        <v>303</v>
      </c>
      <c r="BM20" s="122" t="s">
        <v>303</v>
      </c>
      <c r="BN20" s="122" t="s">
        <v>1130</v>
      </c>
      <c r="BO20" s="122" t="s">
        <v>301</v>
      </c>
      <c r="BP20" s="122" t="s">
        <v>836</v>
      </c>
      <c r="BQ20" s="122" t="s">
        <v>89</v>
      </c>
      <c r="BR20" s="122" t="s">
        <v>115</v>
      </c>
      <c r="BS20" s="122" t="s">
        <v>89</v>
      </c>
      <c r="BT20" s="122" t="s">
        <v>198</v>
      </c>
      <c r="BU20" s="131"/>
      <c r="BV20" s="122" t="s">
        <v>6</v>
      </c>
      <c r="BW20" s="122" t="s">
        <v>12</v>
      </c>
      <c r="BX20" s="122" t="s">
        <v>6</v>
      </c>
      <c r="BY20" s="122" t="s">
        <v>89</v>
      </c>
      <c r="BZ20" s="131"/>
      <c r="CA20" s="121"/>
      <c r="CB20" s="122" t="s">
        <v>80</v>
      </c>
      <c r="CC20" s="122" t="s">
        <v>1208</v>
      </c>
      <c r="CD20" s="120" t="s">
        <v>1210</v>
      </c>
      <c r="CE20" s="120" t="s">
        <v>89</v>
      </c>
      <c r="CF20" s="122" t="s">
        <v>37</v>
      </c>
      <c r="CG20" s="122" t="s">
        <v>89</v>
      </c>
      <c r="CH20" s="120" t="s">
        <v>89</v>
      </c>
      <c r="CI20" s="120" t="s">
        <v>89</v>
      </c>
      <c r="CJ20" s="122" t="s">
        <v>215</v>
      </c>
      <c r="CK20" s="122" t="s">
        <v>89</v>
      </c>
      <c r="CL20" s="120" t="s">
        <v>532</v>
      </c>
      <c r="CM20">
        <v>1</v>
      </c>
      <c r="CN20">
        <v>7.2927999999999997</v>
      </c>
      <c r="CO20">
        <v>7.8305999999999996</v>
      </c>
      <c r="CP20" s="122">
        <v>1.87</v>
      </c>
      <c r="CQ20" s="122">
        <v>13.638</v>
      </c>
      <c r="CR20" s="122">
        <v>14.643000000000001</v>
      </c>
      <c r="CS20" s="122" t="s">
        <v>1527</v>
      </c>
      <c r="CT20" s="122" t="s">
        <v>6</v>
      </c>
      <c r="CU20" s="122" t="s">
        <v>6</v>
      </c>
      <c r="CV20" s="120" t="s">
        <v>89</v>
      </c>
      <c r="CW20" s="122" t="s">
        <v>1206</v>
      </c>
      <c r="CX20" s="122" t="s">
        <v>1190</v>
      </c>
      <c r="CY20" s="122" t="s">
        <v>1191</v>
      </c>
      <c r="CZ20" s="121">
        <v>52.5</v>
      </c>
      <c r="DA20" s="122" t="s">
        <v>131</v>
      </c>
      <c r="DB20" s="122" t="s">
        <v>89</v>
      </c>
      <c r="DC20" s="120" t="s">
        <v>253</v>
      </c>
      <c r="DD20" s="120" t="s">
        <v>89</v>
      </c>
      <c r="DE20" s="122" t="s">
        <v>1209</v>
      </c>
    </row>
    <row r="21" spans="1:109" x14ac:dyDescent="0.25">
      <c r="A21" s="121">
        <v>17</v>
      </c>
      <c r="B21" s="122" t="s">
        <v>337</v>
      </c>
      <c r="C21" s="122" t="s">
        <v>1460</v>
      </c>
      <c r="D21" s="131">
        <v>45259</v>
      </c>
      <c r="E21" s="122" t="s">
        <v>1129</v>
      </c>
      <c r="F21" s="122" t="s">
        <v>89</v>
      </c>
      <c r="G21" s="122" t="s">
        <v>89</v>
      </c>
      <c r="H21" s="120" t="s">
        <v>89</v>
      </c>
      <c r="I21" s="121"/>
      <c r="J21" s="121"/>
      <c r="K21" s="122" t="s">
        <v>89</v>
      </c>
      <c r="L21" s="122" t="s">
        <v>89</v>
      </c>
      <c r="M21" s="122" t="s">
        <v>82</v>
      </c>
      <c r="N21" s="122" t="s">
        <v>514</v>
      </c>
      <c r="O21" s="122" t="s">
        <v>89</v>
      </c>
      <c r="P21" s="122" t="s">
        <v>1461</v>
      </c>
      <c r="Q21" s="122" t="s">
        <v>89</v>
      </c>
      <c r="R21" s="122" t="s">
        <v>1462</v>
      </c>
      <c r="S21" s="122" t="s">
        <v>1463</v>
      </c>
      <c r="T21" s="122" t="s">
        <v>1464</v>
      </c>
      <c r="U21" s="122" t="s">
        <v>563</v>
      </c>
      <c r="V21" s="122" t="s">
        <v>305</v>
      </c>
      <c r="W21" s="122">
        <v>2.5999999999999999E-2</v>
      </c>
      <c r="X21" s="122" t="s">
        <v>1465</v>
      </c>
      <c r="Y21" s="121">
        <v>5.57</v>
      </c>
      <c r="Z21" s="131">
        <v>45357</v>
      </c>
      <c r="AA21" s="122" t="s">
        <v>106</v>
      </c>
      <c r="AB21" s="121"/>
      <c r="AC21" s="122" t="s">
        <v>89</v>
      </c>
      <c r="AD21" s="122" t="s">
        <v>328</v>
      </c>
      <c r="AE21" s="122" t="s">
        <v>89</v>
      </c>
      <c r="AF21" s="122" t="s">
        <v>306</v>
      </c>
      <c r="AG21" s="121">
        <v>100</v>
      </c>
      <c r="AH21" s="121"/>
      <c r="AI21" s="122" t="s">
        <v>840</v>
      </c>
      <c r="AJ21" s="122" t="s">
        <v>841</v>
      </c>
      <c r="AK21" s="122" t="s">
        <v>89</v>
      </c>
      <c r="AL21" s="121"/>
      <c r="AM21" s="121"/>
      <c r="AN21" s="121"/>
      <c r="AO21" s="122" t="s">
        <v>244</v>
      </c>
      <c r="AP21" s="122" t="s">
        <v>600</v>
      </c>
      <c r="AQ21" s="122" t="s">
        <v>305</v>
      </c>
      <c r="AR21" s="122" t="s">
        <v>89</v>
      </c>
      <c r="AS21" t="s">
        <v>81</v>
      </c>
      <c r="AT21" s="121" t="s">
        <v>1466</v>
      </c>
      <c r="AU21" s="122" t="s">
        <v>622</v>
      </c>
      <c r="AV21" s="122" t="s">
        <v>311</v>
      </c>
      <c r="AW21" s="122" t="s">
        <v>89</v>
      </c>
      <c r="AX21" s="122" t="s">
        <v>1467</v>
      </c>
      <c r="AY21" s="121">
        <v>1000</v>
      </c>
      <c r="AZ21" s="121">
        <v>2.5999999999999999E-2</v>
      </c>
      <c r="BA21" s="131">
        <v>45266</v>
      </c>
      <c r="BB21" s="131"/>
      <c r="BC21" s="121">
        <v>5.57</v>
      </c>
      <c r="BD21" s="131">
        <v>45357</v>
      </c>
      <c r="BE21" s="122" t="s">
        <v>1468</v>
      </c>
      <c r="BF21" s="122" t="s">
        <v>337</v>
      </c>
      <c r="BG21" s="131">
        <v>45266</v>
      </c>
      <c r="BH21" s="122" t="s">
        <v>89</v>
      </c>
      <c r="BI21" s="131">
        <v>45266</v>
      </c>
      <c r="BJ21" s="122" t="s">
        <v>89</v>
      </c>
      <c r="BK21" s="122" t="s">
        <v>1461</v>
      </c>
      <c r="BL21" s="122" t="s">
        <v>303</v>
      </c>
      <c r="BM21" s="122" t="s">
        <v>303</v>
      </c>
      <c r="BN21" s="122" t="s">
        <v>302</v>
      </c>
      <c r="BO21" s="122" t="s">
        <v>301</v>
      </c>
      <c r="BP21" s="122" t="s">
        <v>300</v>
      </c>
      <c r="BQ21" s="122" t="s">
        <v>89</v>
      </c>
      <c r="BR21" s="122" t="s">
        <v>89</v>
      </c>
      <c r="BS21" s="122" t="s">
        <v>89</v>
      </c>
      <c r="BT21" s="122" t="s">
        <v>198</v>
      </c>
      <c r="BU21" s="131"/>
      <c r="BV21" s="122" t="s">
        <v>6</v>
      </c>
      <c r="BW21" s="122" t="s">
        <v>125</v>
      </c>
      <c r="BX21" s="122" t="s">
        <v>6</v>
      </c>
      <c r="BY21" s="122" t="s">
        <v>89</v>
      </c>
      <c r="BZ21" s="131"/>
      <c r="CA21" s="121"/>
      <c r="CB21" s="122" t="s">
        <v>80</v>
      </c>
      <c r="CC21" s="122" t="s">
        <v>1469</v>
      </c>
      <c r="CD21" s="120" t="s">
        <v>558</v>
      </c>
      <c r="CE21" s="120" t="s">
        <v>89</v>
      </c>
      <c r="CF21" s="122" t="s">
        <v>37</v>
      </c>
      <c r="CG21" s="122" t="s">
        <v>89</v>
      </c>
      <c r="CH21" s="120" t="s">
        <v>89</v>
      </c>
      <c r="CI21" s="120" t="s">
        <v>89</v>
      </c>
      <c r="CJ21" s="122" t="s">
        <v>106</v>
      </c>
      <c r="CK21" s="122" t="s">
        <v>89</v>
      </c>
      <c r="CL21" s="120" t="s">
        <v>532</v>
      </c>
      <c r="CM21">
        <v>1</v>
      </c>
      <c r="CN21">
        <v>7.2927999999999997</v>
      </c>
      <c r="CO21">
        <v>7.8305999999999996</v>
      </c>
      <c r="CP21" s="122">
        <v>2.5999999999999999E-2</v>
      </c>
      <c r="CQ21" s="122">
        <v>0.19</v>
      </c>
      <c r="CR21" s="122">
        <v>0.20399999999999999</v>
      </c>
      <c r="CS21" s="122" t="s">
        <v>89</v>
      </c>
      <c r="CT21" s="122" t="s">
        <v>6</v>
      </c>
      <c r="CU21" s="122" t="s">
        <v>6</v>
      </c>
      <c r="CV21" s="120" t="s">
        <v>89</v>
      </c>
      <c r="CW21" s="122" t="s">
        <v>1508</v>
      </c>
      <c r="CX21" s="122" t="s">
        <v>89</v>
      </c>
      <c r="CY21" s="122" t="s">
        <v>89</v>
      </c>
      <c r="CZ21" s="121"/>
      <c r="DA21" s="122" t="s">
        <v>1509</v>
      </c>
      <c r="DB21" s="122" t="s">
        <v>806</v>
      </c>
      <c r="DC21" s="120" t="s">
        <v>6</v>
      </c>
      <c r="DD21" s="120" t="s">
        <v>89</v>
      </c>
      <c r="DE21" s="122" t="s">
        <v>1470</v>
      </c>
    </row>
    <row r="22" spans="1:109" x14ac:dyDescent="0.25">
      <c r="A22" s="121">
        <v>16</v>
      </c>
      <c r="B22" s="122" t="s">
        <v>1145</v>
      </c>
      <c r="C22" s="122" t="s">
        <v>1211</v>
      </c>
      <c r="D22" s="131">
        <v>45258</v>
      </c>
      <c r="E22" s="122" t="s">
        <v>1172</v>
      </c>
      <c r="F22" s="122" t="s">
        <v>89</v>
      </c>
      <c r="G22" s="122" t="s">
        <v>89</v>
      </c>
      <c r="H22" s="120" t="s">
        <v>89</v>
      </c>
      <c r="I22" s="121"/>
      <c r="J22" s="121"/>
      <c r="K22" s="122" t="s">
        <v>89</v>
      </c>
      <c r="L22" s="122" t="s">
        <v>89</v>
      </c>
      <c r="M22" s="122" t="s">
        <v>103</v>
      </c>
      <c r="N22" s="122" t="s">
        <v>514</v>
      </c>
      <c r="O22" s="122" t="s">
        <v>89</v>
      </c>
      <c r="P22" s="122" t="s">
        <v>89</v>
      </c>
      <c r="Q22" s="122" t="s">
        <v>89</v>
      </c>
      <c r="R22" s="122" t="s">
        <v>1212</v>
      </c>
      <c r="S22" s="122" t="s">
        <v>1213</v>
      </c>
      <c r="T22" s="122" t="s">
        <v>305</v>
      </c>
      <c r="U22" s="122" t="s">
        <v>305</v>
      </c>
      <c r="V22" s="122" t="s">
        <v>305</v>
      </c>
      <c r="W22" s="122">
        <v>3</v>
      </c>
      <c r="X22" s="122" t="s">
        <v>1152</v>
      </c>
      <c r="Y22" s="121">
        <v>9</v>
      </c>
      <c r="Z22" s="131">
        <v>45992</v>
      </c>
      <c r="AA22" s="122" t="s">
        <v>106</v>
      </c>
      <c r="AB22" s="121"/>
      <c r="AC22" s="122" t="s">
        <v>308</v>
      </c>
      <c r="AD22" s="122" t="s">
        <v>328</v>
      </c>
      <c r="AE22" s="122" t="s">
        <v>89</v>
      </c>
      <c r="AF22" s="122" t="s">
        <v>306</v>
      </c>
      <c r="AG22" s="121">
        <v>100</v>
      </c>
      <c r="AH22" s="121"/>
      <c r="AI22" s="122" t="s">
        <v>581</v>
      </c>
      <c r="AJ22" s="122" t="s">
        <v>1153</v>
      </c>
      <c r="AK22" s="122" t="s">
        <v>89</v>
      </c>
      <c r="AL22" s="121"/>
      <c r="AM22" s="121"/>
      <c r="AN22" s="121"/>
      <c r="AO22" s="122" t="s">
        <v>244</v>
      </c>
      <c r="AP22" s="122" t="s">
        <v>329</v>
      </c>
      <c r="AQ22" s="122" t="s">
        <v>305</v>
      </c>
      <c r="AR22" s="122" t="s">
        <v>570</v>
      </c>
      <c r="AS22" t="s">
        <v>1</v>
      </c>
      <c r="AT22" s="121" t="s">
        <v>1471</v>
      </c>
      <c r="AU22" s="122" t="s">
        <v>620</v>
      </c>
      <c r="AV22" s="122" t="s">
        <v>312</v>
      </c>
      <c r="AW22" s="122" t="s">
        <v>89</v>
      </c>
      <c r="AX22" s="122" t="s">
        <v>1155</v>
      </c>
      <c r="AY22" s="121">
        <v>10000</v>
      </c>
      <c r="AZ22" s="121">
        <v>3</v>
      </c>
      <c r="BA22" s="131">
        <v>45261</v>
      </c>
      <c r="BB22" s="131"/>
      <c r="BC22" s="121">
        <v>9</v>
      </c>
      <c r="BD22" s="131">
        <v>45444</v>
      </c>
      <c r="BE22" s="122" t="s">
        <v>1156</v>
      </c>
      <c r="BF22" s="122" t="s">
        <v>1145</v>
      </c>
      <c r="BG22" s="131">
        <v>45261</v>
      </c>
      <c r="BH22" s="122" t="s">
        <v>89</v>
      </c>
      <c r="BI22" s="131">
        <v>45261</v>
      </c>
      <c r="BJ22" s="122" t="s">
        <v>89</v>
      </c>
      <c r="BK22" s="122" t="s">
        <v>89</v>
      </c>
      <c r="BL22" s="122" t="s">
        <v>303</v>
      </c>
      <c r="BM22" s="122" t="s">
        <v>303</v>
      </c>
      <c r="BN22" s="122" t="s">
        <v>302</v>
      </c>
      <c r="BO22" s="122" t="s">
        <v>301</v>
      </c>
      <c r="BP22" s="122" t="s">
        <v>300</v>
      </c>
      <c r="BQ22" s="122" t="s">
        <v>89</v>
      </c>
      <c r="BR22" s="122" t="s">
        <v>115</v>
      </c>
      <c r="BS22" s="122" t="s">
        <v>89</v>
      </c>
      <c r="BT22" s="122" t="s">
        <v>198</v>
      </c>
      <c r="BU22" s="131"/>
      <c r="BV22" s="122" t="s">
        <v>6</v>
      </c>
      <c r="BW22" s="122" t="s">
        <v>9</v>
      </c>
      <c r="BX22" s="122" t="s">
        <v>6</v>
      </c>
      <c r="BY22" s="122" t="s">
        <v>89</v>
      </c>
      <c r="BZ22" s="131"/>
      <c r="CA22" s="121"/>
      <c r="CB22" s="122" t="s">
        <v>80</v>
      </c>
      <c r="CC22" s="122" t="s">
        <v>80</v>
      </c>
      <c r="CD22" s="120" t="s">
        <v>203</v>
      </c>
      <c r="CE22" s="120" t="s">
        <v>89</v>
      </c>
      <c r="CF22" s="122" t="s">
        <v>37</v>
      </c>
      <c r="CG22" s="122" t="s">
        <v>89</v>
      </c>
      <c r="CH22" s="120" t="s">
        <v>89</v>
      </c>
      <c r="CI22" s="120" t="s">
        <v>89</v>
      </c>
      <c r="CJ22" s="122" t="s">
        <v>106</v>
      </c>
      <c r="CK22" s="122" t="s">
        <v>89</v>
      </c>
      <c r="CL22" s="120" t="s">
        <v>532</v>
      </c>
      <c r="CM22">
        <v>0.1371</v>
      </c>
      <c r="CN22">
        <v>1</v>
      </c>
      <c r="CO22">
        <v>1.0732999999999999</v>
      </c>
      <c r="CP22" s="122">
        <v>0.41099999999999998</v>
      </c>
      <c r="CQ22" s="122">
        <v>3</v>
      </c>
      <c r="CR22" s="122">
        <v>3.22</v>
      </c>
      <c r="CS22" s="122" t="s">
        <v>89</v>
      </c>
      <c r="CT22" s="122" t="s">
        <v>6</v>
      </c>
      <c r="CU22" s="122" t="s">
        <v>6</v>
      </c>
      <c r="CV22" s="120" t="s">
        <v>89</v>
      </c>
      <c r="CW22" s="122" t="s">
        <v>1320</v>
      </c>
      <c r="CX22" s="122" t="s">
        <v>89</v>
      </c>
      <c r="CY22" s="122" t="s">
        <v>89</v>
      </c>
      <c r="CZ22" s="121"/>
      <c r="DA22" s="122" t="s">
        <v>1122</v>
      </c>
      <c r="DB22" s="122" t="s">
        <v>89</v>
      </c>
      <c r="DC22" s="120" t="s">
        <v>6</v>
      </c>
      <c r="DD22" s="120" t="s">
        <v>89</v>
      </c>
      <c r="DE22" s="122" t="s">
        <v>1215</v>
      </c>
    </row>
    <row r="23" spans="1:109" x14ac:dyDescent="0.25">
      <c r="A23" s="121">
        <v>15</v>
      </c>
      <c r="B23" s="122" t="s">
        <v>632</v>
      </c>
      <c r="C23" s="122" t="s">
        <v>1472</v>
      </c>
      <c r="D23" s="131">
        <v>45258</v>
      </c>
      <c r="E23" s="122" t="s">
        <v>1129</v>
      </c>
      <c r="F23" s="122" t="s">
        <v>89</v>
      </c>
      <c r="G23" s="122" t="s">
        <v>89</v>
      </c>
      <c r="H23" s="120" t="s">
        <v>89</v>
      </c>
      <c r="I23" s="121"/>
      <c r="J23" s="121"/>
      <c r="K23" s="122" t="s">
        <v>89</v>
      </c>
      <c r="L23" s="122" t="s">
        <v>89</v>
      </c>
      <c r="M23" s="122" t="s">
        <v>82</v>
      </c>
      <c r="N23" s="122" t="s">
        <v>514</v>
      </c>
      <c r="O23" s="122" t="s">
        <v>89</v>
      </c>
      <c r="P23" s="122" t="s">
        <v>89</v>
      </c>
      <c r="Q23" s="122" t="s">
        <v>89</v>
      </c>
      <c r="R23" s="122" t="s">
        <v>1473</v>
      </c>
      <c r="S23" s="122" t="s">
        <v>1474</v>
      </c>
      <c r="T23" s="122" t="s">
        <v>562</v>
      </c>
      <c r="U23" s="122" t="s">
        <v>563</v>
      </c>
      <c r="V23" s="122" t="s">
        <v>305</v>
      </c>
      <c r="W23" s="122">
        <v>2.9000000000000001E-2</v>
      </c>
      <c r="X23" s="122" t="s">
        <v>1475</v>
      </c>
      <c r="Y23" s="121">
        <v>6</v>
      </c>
      <c r="Z23" s="131">
        <v>47092</v>
      </c>
      <c r="AA23" s="122" t="s">
        <v>106</v>
      </c>
      <c r="AB23" s="121"/>
      <c r="AC23" s="122" t="s">
        <v>308</v>
      </c>
      <c r="AD23" s="122" t="s">
        <v>307</v>
      </c>
      <c r="AE23" s="122" t="s">
        <v>89</v>
      </c>
      <c r="AF23" s="122" t="s">
        <v>306</v>
      </c>
      <c r="AG23" s="121">
        <v>100.53100000000001</v>
      </c>
      <c r="AH23" s="121"/>
      <c r="AI23" s="122" t="s">
        <v>314</v>
      </c>
      <c r="AJ23" s="122" t="s">
        <v>789</v>
      </c>
      <c r="AK23" s="122" t="s">
        <v>89</v>
      </c>
      <c r="AL23" s="121"/>
      <c r="AM23" s="121"/>
      <c r="AN23" s="121"/>
      <c r="AO23" s="122" t="s">
        <v>244</v>
      </c>
      <c r="AP23" s="122" t="s">
        <v>290</v>
      </c>
      <c r="AQ23" s="122" t="s">
        <v>305</v>
      </c>
      <c r="AR23" s="122" t="s">
        <v>315</v>
      </c>
      <c r="AS23" t="s">
        <v>81</v>
      </c>
      <c r="AT23" s="121" t="s">
        <v>1476</v>
      </c>
      <c r="AU23" s="122" t="s">
        <v>564</v>
      </c>
      <c r="AV23" s="122" t="s">
        <v>311</v>
      </c>
      <c r="AW23" s="122" t="s">
        <v>89</v>
      </c>
      <c r="AX23" s="122" t="s">
        <v>1477</v>
      </c>
      <c r="AY23" s="121">
        <v>1000</v>
      </c>
      <c r="AZ23" s="121">
        <v>2.9000000000000001E-2</v>
      </c>
      <c r="BA23" s="131">
        <v>45265</v>
      </c>
      <c r="BB23" s="131"/>
      <c r="BC23" s="121">
        <v>6</v>
      </c>
      <c r="BD23" s="131">
        <v>45448</v>
      </c>
      <c r="BE23" s="122" t="s">
        <v>1478</v>
      </c>
      <c r="BF23" s="122" t="s">
        <v>89</v>
      </c>
      <c r="BG23" s="131">
        <v>45265</v>
      </c>
      <c r="BH23" s="122" t="s">
        <v>89</v>
      </c>
      <c r="BI23" s="131">
        <v>45265</v>
      </c>
      <c r="BJ23" s="122" t="s">
        <v>89</v>
      </c>
      <c r="BK23" s="122" t="s">
        <v>89</v>
      </c>
      <c r="BL23" s="122" t="s">
        <v>303</v>
      </c>
      <c r="BM23" s="122" t="s">
        <v>303</v>
      </c>
      <c r="BN23" s="122" t="s">
        <v>302</v>
      </c>
      <c r="BO23" s="122" t="s">
        <v>301</v>
      </c>
      <c r="BP23" s="122" t="s">
        <v>836</v>
      </c>
      <c r="BQ23" s="122" t="s">
        <v>89</v>
      </c>
      <c r="BR23" s="122" t="s">
        <v>115</v>
      </c>
      <c r="BS23" s="122" t="s">
        <v>89</v>
      </c>
      <c r="BT23" s="122" t="s">
        <v>198</v>
      </c>
      <c r="BU23" s="131"/>
      <c r="BV23" s="122" t="s">
        <v>6</v>
      </c>
      <c r="BW23" s="122" t="s">
        <v>11</v>
      </c>
      <c r="BX23" s="122" t="s">
        <v>6</v>
      </c>
      <c r="BY23" s="122" t="s">
        <v>89</v>
      </c>
      <c r="BZ23" s="131"/>
      <c r="CA23" s="121"/>
      <c r="CB23" s="122" t="s">
        <v>80</v>
      </c>
      <c r="CC23" s="122" t="s">
        <v>291</v>
      </c>
      <c r="CD23" s="120" t="s">
        <v>203</v>
      </c>
      <c r="CE23" s="120" t="s">
        <v>89</v>
      </c>
      <c r="CF23" s="122" t="s">
        <v>35</v>
      </c>
      <c r="CG23" s="122" t="s">
        <v>89</v>
      </c>
      <c r="CH23" s="120" t="s">
        <v>89</v>
      </c>
      <c r="CI23" s="120" t="s">
        <v>89</v>
      </c>
      <c r="CJ23" s="122" t="s">
        <v>106</v>
      </c>
      <c r="CK23" s="122" t="s">
        <v>1510</v>
      </c>
      <c r="CL23" s="120" t="s">
        <v>532</v>
      </c>
      <c r="CM23">
        <v>1</v>
      </c>
      <c r="CN23">
        <v>7.2927999999999997</v>
      </c>
      <c r="CO23">
        <v>7.8305999999999996</v>
      </c>
      <c r="CP23" s="122">
        <v>2.9000000000000001E-2</v>
      </c>
      <c r="CQ23" s="122">
        <v>0.21099999999999999</v>
      </c>
      <c r="CR23" s="122">
        <v>0.22700000000000001</v>
      </c>
      <c r="CS23" s="122" t="s">
        <v>89</v>
      </c>
      <c r="CT23" s="122" t="s">
        <v>6</v>
      </c>
      <c r="CU23" s="122" t="s">
        <v>6</v>
      </c>
      <c r="CV23" s="120" t="s">
        <v>89</v>
      </c>
      <c r="CW23" s="122" t="s">
        <v>1321</v>
      </c>
      <c r="CX23" s="122" t="s">
        <v>89</v>
      </c>
      <c r="CY23" s="122" t="s">
        <v>89</v>
      </c>
      <c r="CZ23" s="121"/>
      <c r="DA23" s="122" t="s">
        <v>1115</v>
      </c>
      <c r="DB23" s="122" t="s">
        <v>89</v>
      </c>
      <c r="DC23" s="120" t="s">
        <v>6</v>
      </c>
      <c r="DD23" s="120" t="s">
        <v>89</v>
      </c>
      <c r="DE23" s="122" t="s">
        <v>1479</v>
      </c>
    </row>
    <row r="24" spans="1:109" x14ac:dyDescent="0.25">
      <c r="A24" s="121">
        <v>14</v>
      </c>
      <c r="B24" s="122" t="s">
        <v>632</v>
      </c>
      <c r="C24" s="122" t="s">
        <v>1484</v>
      </c>
      <c r="D24" s="131">
        <v>45258</v>
      </c>
      <c r="E24" s="122" t="s">
        <v>1129</v>
      </c>
      <c r="F24" s="122" t="s">
        <v>89</v>
      </c>
      <c r="G24" s="122" t="s">
        <v>89</v>
      </c>
      <c r="H24" s="120" t="s">
        <v>89</v>
      </c>
      <c r="I24" s="121"/>
      <c r="J24" s="121"/>
      <c r="K24" s="122" t="s">
        <v>89</v>
      </c>
      <c r="L24" s="122" t="s">
        <v>89</v>
      </c>
      <c r="M24" s="122" t="s">
        <v>82</v>
      </c>
      <c r="N24" s="122" t="s">
        <v>514</v>
      </c>
      <c r="O24" s="122" t="s">
        <v>89</v>
      </c>
      <c r="P24" s="122" t="s">
        <v>89</v>
      </c>
      <c r="Q24" s="122" t="s">
        <v>89</v>
      </c>
      <c r="R24" s="122" t="s">
        <v>1473</v>
      </c>
      <c r="S24" s="122" t="s">
        <v>1474</v>
      </c>
      <c r="T24" s="122" t="s">
        <v>562</v>
      </c>
      <c r="U24" s="122" t="s">
        <v>563</v>
      </c>
      <c r="V24" s="122" t="s">
        <v>305</v>
      </c>
      <c r="W24" s="122">
        <v>2.9000000000000001E-2</v>
      </c>
      <c r="X24" s="122" t="s">
        <v>1475</v>
      </c>
      <c r="Y24" s="121">
        <v>6</v>
      </c>
      <c r="Z24" s="131">
        <v>47092</v>
      </c>
      <c r="AA24" s="122" t="s">
        <v>106</v>
      </c>
      <c r="AB24" s="121"/>
      <c r="AC24" s="122" t="s">
        <v>308</v>
      </c>
      <c r="AD24" s="122" t="s">
        <v>307</v>
      </c>
      <c r="AE24" s="122" t="s">
        <v>89</v>
      </c>
      <c r="AF24" s="122" t="s">
        <v>306</v>
      </c>
      <c r="AG24" s="121">
        <v>100.53100000000001</v>
      </c>
      <c r="AH24" s="121"/>
      <c r="AI24" s="122" t="s">
        <v>314</v>
      </c>
      <c r="AJ24" s="122" t="s">
        <v>789</v>
      </c>
      <c r="AK24" s="122" t="s">
        <v>89</v>
      </c>
      <c r="AL24" s="121"/>
      <c r="AM24" s="121"/>
      <c r="AN24" s="121"/>
      <c r="AO24" s="122" t="s">
        <v>244</v>
      </c>
      <c r="AP24" s="122" t="s">
        <v>290</v>
      </c>
      <c r="AQ24" s="122" t="s">
        <v>305</v>
      </c>
      <c r="AR24" s="122" t="s">
        <v>315</v>
      </c>
      <c r="AS24" t="s">
        <v>81</v>
      </c>
      <c r="AT24" s="121" t="s">
        <v>1476</v>
      </c>
      <c r="AU24" s="122" t="s">
        <v>564</v>
      </c>
      <c r="AV24" s="122" t="s">
        <v>311</v>
      </c>
      <c r="AW24" s="122" t="s">
        <v>89</v>
      </c>
      <c r="AX24" s="122" t="s">
        <v>1477</v>
      </c>
      <c r="AY24" s="121">
        <v>1000</v>
      </c>
      <c r="AZ24" s="121">
        <v>2.9000000000000001E-2</v>
      </c>
      <c r="BA24" s="131">
        <v>45265</v>
      </c>
      <c r="BB24" s="131"/>
      <c r="BC24" s="121">
        <v>6</v>
      </c>
      <c r="BD24" s="131">
        <v>45448</v>
      </c>
      <c r="BE24" s="122" t="s">
        <v>1478</v>
      </c>
      <c r="BF24" s="122" t="s">
        <v>89</v>
      </c>
      <c r="BG24" s="131">
        <v>45265</v>
      </c>
      <c r="BH24" s="122" t="s">
        <v>89</v>
      </c>
      <c r="BI24" s="131">
        <v>45265</v>
      </c>
      <c r="BJ24" s="122" t="s">
        <v>89</v>
      </c>
      <c r="BK24" s="122" t="s">
        <v>89</v>
      </c>
      <c r="BL24" s="122" t="s">
        <v>303</v>
      </c>
      <c r="BM24" s="122" t="s">
        <v>303</v>
      </c>
      <c r="BN24" s="122" t="s">
        <v>302</v>
      </c>
      <c r="BO24" s="122" t="s">
        <v>301</v>
      </c>
      <c r="BP24" s="122" t="s">
        <v>836</v>
      </c>
      <c r="BQ24" s="122" t="s">
        <v>89</v>
      </c>
      <c r="BR24" s="122" t="s">
        <v>115</v>
      </c>
      <c r="BS24" s="122" t="s">
        <v>89</v>
      </c>
      <c r="BT24" s="122" t="s">
        <v>198</v>
      </c>
      <c r="BU24" s="131"/>
      <c r="BV24" s="122" t="s">
        <v>6</v>
      </c>
      <c r="BW24" s="122" t="s">
        <v>11</v>
      </c>
      <c r="BX24" s="122" t="s">
        <v>6</v>
      </c>
      <c r="BY24" s="122" t="s">
        <v>89</v>
      </c>
      <c r="BZ24" s="131"/>
      <c r="CA24" s="121"/>
      <c r="CB24" s="122" t="s">
        <v>80</v>
      </c>
      <c r="CC24" s="122" t="s">
        <v>291</v>
      </c>
      <c r="CD24" s="120" t="s">
        <v>203</v>
      </c>
      <c r="CE24" s="120" t="s">
        <v>89</v>
      </c>
      <c r="CF24" s="122" t="s">
        <v>35</v>
      </c>
      <c r="CG24" s="122" t="s">
        <v>89</v>
      </c>
      <c r="CH24" s="120" t="s">
        <v>89</v>
      </c>
      <c r="CI24" s="120" t="s">
        <v>89</v>
      </c>
      <c r="CJ24" s="122" t="s">
        <v>106</v>
      </c>
      <c r="CK24" s="122" t="s">
        <v>1510</v>
      </c>
      <c r="CL24" s="120" t="s">
        <v>532</v>
      </c>
      <c r="CM24">
        <v>1</v>
      </c>
      <c r="CN24">
        <v>7.2927999999999997</v>
      </c>
      <c r="CO24">
        <v>7.8305999999999996</v>
      </c>
      <c r="CP24" s="122">
        <v>2.9000000000000001E-2</v>
      </c>
      <c r="CQ24" s="122">
        <v>0.21099999999999999</v>
      </c>
      <c r="CR24" s="122">
        <v>0.22700000000000001</v>
      </c>
      <c r="CS24" s="122" t="s">
        <v>89</v>
      </c>
      <c r="CT24" s="122" t="s">
        <v>6</v>
      </c>
      <c r="CU24" s="122" t="s">
        <v>6</v>
      </c>
      <c r="CV24" s="120" t="s">
        <v>89</v>
      </c>
      <c r="CW24" s="122" t="s">
        <v>1321</v>
      </c>
      <c r="CX24" s="122" t="s">
        <v>89</v>
      </c>
      <c r="CY24" s="122" t="s">
        <v>89</v>
      </c>
      <c r="CZ24" s="121"/>
      <c r="DA24" s="122" t="s">
        <v>1115</v>
      </c>
      <c r="DB24" s="122" t="s">
        <v>89</v>
      </c>
      <c r="DC24" s="120" t="s">
        <v>6</v>
      </c>
      <c r="DD24" s="120" t="s">
        <v>89</v>
      </c>
      <c r="DE24" s="122" t="s">
        <v>1485</v>
      </c>
    </row>
    <row r="25" spans="1:109" x14ac:dyDescent="0.25">
      <c r="A25" s="121">
        <v>13</v>
      </c>
      <c r="B25" s="122" t="s">
        <v>632</v>
      </c>
      <c r="C25" s="122" t="s">
        <v>1486</v>
      </c>
      <c r="D25" s="131">
        <v>45258</v>
      </c>
      <c r="E25" s="122" t="s">
        <v>1129</v>
      </c>
      <c r="F25" s="122" t="s">
        <v>89</v>
      </c>
      <c r="G25" s="122" t="s">
        <v>89</v>
      </c>
      <c r="H25" s="120" t="s">
        <v>89</v>
      </c>
      <c r="I25" s="121"/>
      <c r="J25" s="121"/>
      <c r="K25" s="122" t="s">
        <v>89</v>
      </c>
      <c r="L25" s="122" t="s">
        <v>89</v>
      </c>
      <c r="M25" s="122" t="s">
        <v>82</v>
      </c>
      <c r="N25" s="122" t="s">
        <v>514</v>
      </c>
      <c r="O25" s="122" t="s">
        <v>89</v>
      </c>
      <c r="P25" s="122" t="s">
        <v>89</v>
      </c>
      <c r="Q25" s="122" t="s">
        <v>89</v>
      </c>
      <c r="R25" s="122" t="s">
        <v>1473</v>
      </c>
      <c r="S25" s="122" t="s">
        <v>1474</v>
      </c>
      <c r="T25" s="122" t="s">
        <v>562</v>
      </c>
      <c r="U25" s="122" t="s">
        <v>563</v>
      </c>
      <c r="V25" s="122" t="s">
        <v>305</v>
      </c>
      <c r="W25" s="122">
        <v>2.9000000000000001E-2</v>
      </c>
      <c r="X25" s="122" t="s">
        <v>1475</v>
      </c>
      <c r="Y25" s="121">
        <v>6</v>
      </c>
      <c r="Z25" s="131">
        <v>47092</v>
      </c>
      <c r="AA25" s="122" t="s">
        <v>106</v>
      </c>
      <c r="AB25" s="121"/>
      <c r="AC25" s="122" t="s">
        <v>308</v>
      </c>
      <c r="AD25" s="122" t="s">
        <v>307</v>
      </c>
      <c r="AE25" s="122" t="s">
        <v>89</v>
      </c>
      <c r="AF25" s="122" t="s">
        <v>306</v>
      </c>
      <c r="AG25" s="121">
        <v>100.53100000000001</v>
      </c>
      <c r="AH25" s="121"/>
      <c r="AI25" s="122" t="s">
        <v>314</v>
      </c>
      <c r="AJ25" s="122" t="s">
        <v>789</v>
      </c>
      <c r="AK25" s="122" t="s">
        <v>89</v>
      </c>
      <c r="AL25" s="121"/>
      <c r="AM25" s="121"/>
      <c r="AN25" s="121"/>
      <c r="AO25" s="122" t="s">
        <v>244</v>
      </c>
      <c r="AP25" s="122" t="s">
        <v>290</v>
      </c>
      <c r="AQ25" s="122" t="s">
        <v>305</v>
      </c>
      <c r="AR25" s="122" t="s">
        <v>315</v>
      </c>
      <c r="AS25" t="s">
        <v>81</v>
      </c>
      <c r="AT25" s="121" t="s">
        <v>1476</v>
      </c>
      <c r="AU25" s="122" t="s">
        <v>564</v>
      </c>
      <c r="AV25" s="122" t="s">
        <v>311</v>
      </c>
      <c r="AW25" s="122" t="s">
        <v>89</v>
      </c>
      <c r="AX25" s="122" t="s">
        <v>1477</v>
      </c>
      <c r="AY25" s="121">
        <v>1000</v>
      </c>
      <c r="AZ25" s="121">
        <v>2.9000000000000001E-2</v>
      </c>
      <c r="BA25" s="131">
        <v>45265</v>
      </c>
      <c r="BB25" s="131"/>
      <c r="BC25" s="121">
        <v>6</v>
      </c>
      <c r="BD25" s="131">
        <v>45448</v>
      </c>
      <c r="BE25" s="122" t="s">
        <v>1478</v>
      </c>
      <c r="BF25" s="122" t="s">
        <v>89</v>
      </c>
      <c r="BG25" s="131">
        <v>45265</v>
      </c>
      <c r="BH25" s="122" t="s">
        <v>89</v>
      </c>
      <c r="BI25" s="131">
        <v>45265</v>
      </c>
      <c r="BJ25" s="122" t="s">
        <v>89</v>
      </c>
      <c r="BK25" s="122" t="s">
        <v>89</v>
      </c>
      <c r="BL25" s="122" t="s">
        <v>303</v>
      </c>
      <c r="BM25" s="122" t="s">
        <v>303</v>
      </c>
      <c r="BN25" s="122" t="s">
        <v>302</v>
      </c>
      <c r="BO25" s="122" t="s">
        <v>301</v>
      </c>
      <c r="BP25" s="122" t="s">
        <v>836</v>
      </c>
      <c r="BQ25" s="122" t="s">
        <v>89</v>
      </c>
      <c r="BR25" s="122" t="s">
        <v>115</v>
      </c>
      <c r="BS25" s="122" t="s">
        <v>89</v>
      </c>
      <c r="BT25" s="122" t="s">
        <v>198</v>
      </c>
      <c r="BU25" s="131"/>
      <c r="BV25" s="122" t="s">
        <v>6</v>
      </c>
      <c r="BW25" s="122" t="s">
        <v>11</v>
      </c>
      <c r="BX25" s="122" t="s">
        <v>6</v>
      </c>
      <c r="BY25" s="122" t="s">
        <v>89</v>
      </c>
      <c r="BZ25" s="131"/>
      <c r="CA25" s="121"/>
      <c r="CB25" s="122" t="s">
        <v>80</v>
      </c>
      <c r="CC25" s="122" t="s">
        <v>291</v>
      </c>
      <c r="CD25" s="120" t="s">
        <v>203</v>
      </c>
      <c r="CE25" s="120" t="s">
        <v>89</v>
      </c>
      <c r="CF25" s="122" t="s">
        <v>35</v>
      </c>
      <c r="CG25" s="122" t="s">
        <v>89</v>
      </c>
      <c r="CH25" s="120" t="s">
        <v>89</v>
      </c>
      <c r="CI25" s="120" t="s">
        <v>89</v>
      </c>
      <c r="CJ25" s="122" t="s">
        <v>106</v>
      </c>
      <c r="CK25" s="122" t="s">
        <v>1510</v>
      </c>
      <c r="CL25" s="120" t="s">
        <v>532</v>
      </c>
      <c r="CM25">
        <v>1</v>
      </c>
      <c r="CN25">
        <v>7.2927999999999997</v>
      </c>
      <c r="CO25">
        <v>7.8305999999999996</v>
      </c>
      <c r="CP25" s="122">
        <v>2.9000000000000001E-2</v>
      </c>
      <c r="CQ25" s="122">
        <v>0.21099999999999999</v>
      </c>
      <c r="CR25" s="122">
        <v>0.22700000000000001</v>
      </c>
      <c r="CS25" s="122" t="s">
        <v>89</v>
      </c>
      <c r="CT25" s="122" t="s">
        <v>6</v>
      </c>
      <c r="CU25" s="122" t="s">
        <v>6</v>
      </c>
      <c r="CV25" s="120" t="s">
        <v>89</v>
      </c>
      <c r="CW25" s="122" t="s">
        <v>1321</v>
      </c>
      <c r="CX25" s="122" t="s">
        <v>89</v>
      </c>
      <c r="CY25" s="122" t="s">
        <v>89</v>
      </c>
      <c r="CZ25" s="121"/>
      <c r="DA25" s="122" t="s">
        <v>1115</v>
      </c>
      <c r="DB25" s="122" t="s">
        <v>89</v>
      </c>
      <c r="DC25" s="120" t="s">
        <v>6</v>
      </c>
      <c r="DD25" s="120" t="s">
        <v>89</v>
      </c>
      <c r="DE25" s="122" t="s">
        <v>1487</v>
      </c>
    </row>
    <row r="26" spans="1:109" x14ac:dyDescent="0.25">
      <c r="A26" s="121">
        <v>12</v>
      </c>
      <c r="B26" s="122" t="s">
        <v>632</v>
      </c>
      <c r="C26" s="122" t="s">
        <v>1480</v>
      </c>
      <c r="D26" s="131">
        <v>45258</v>
      </c>
      <c r="E26" s="122" t="s">
        <v>1129</v>
      </c>
      <c r="F26" s="122" t="s">
        <v>89</v>
      </c>
      <c r="G26" s="122" t="s">
        <v>89</v>
      </c>
      <c r="H26" s="120" t="s">
        <v>89</v>
      </c>
      <c r="I26" s="121"/>
      <c r="J26" s="121"/>
      <c r="K26" s="122" t="s">
        <v>89</v>
      </c>
      <c r="L26" s="122" t="s">
        <v>89</v>
      </c>
      <c r="M26" s="122" t="s">
        <v>82</v>
      </c>
      <c r="N26" s="122" t="s">
        <v>514</v>
      </c>
      <c r="O26" s="122" t="s">
        <v>89</v>
      </c>
      <c r="P26" s="122" t="s">
        <v>89</v>
      </c>
      <c r="Q26" s="122" t="s">
        <v>89</v>
      </c>
      <c r="R26" s="122" t="s">
        <v>1481</v>
      </c>
      <c r="S26" s="122" t="s">
        <v>1482</v>
      </c>
      <c r="T26" s="122" t="s">
        <v>562</v>
      </c>
      <c r="U26" s="122" t="s">
        <v>563</v>
      </c>
      <c r="V26" s="122" t="s">
        <v>305</v>
      </c>
      <c r="W26" s="122">
        <v>2.9000000000000001E-2</v>
      </c>
      <c r="X26" s="122" t="s">
        <v>1475</v>
      </c>
      <c r="Y26" s="121"/>
      <c r="Z26" s="131">
        <v>47092</v>
      </c>
      <c r="AA26" s="122" t="s">
        <v>106</v>
      </c>
      <c r="AB26" s="121"/>
      <c r="AC26" s="122" t="s">
        <v>308</v>
      </c>
      <c r="AD26" s="122" t="s">
        <v>307</v>
      </c>
      <c r="AE26" s="122" t="s">
        <v>89</v>
      </c>
      <c r="AF26" s="122" t="s">
        <v>306</v>
      </c>
      <c r="AG26" s="121">
        <v>100.53100000000001</v>
      </c>
      <c r="AH26" s="121"/>
      <c r="AI26" s="122" t="s">
        <v>314</v>
      </c>
      <c r="AJ26" s="122" t="s">
        <v>789</v>
      </c>
      <c r="AK26" s="122" t="s">
        <v>89</v>
      </c>
      <c r="AL26" s="121"/>
      <c r="AM26" s="121"/>
      <c r="AN26" s="121"/>
      <c r="AO26" s="122" t="s">
        <v>244</v>
      </c>
      <c r="AP26" s="122" t="s">
        <v>290</v>
      </c>
      <c r="AQ26" s="122" t="s">
        <v>305</v>
      </c>
      <c r="AR26" s="122" t="s">
        <v>315</v>
      </c>
      <c r="AS26" t="s">
        <v>81</v>
      </c>
      <c r="AT26" s="121" t="s">
        <v>1476</v>
      </c>
      <c r="AU26" s="122" t="s">
        <v>564</v>
      </c>
      <c r="AV26" s="122" t="s">
        <v>311</v>
      </c>
      <c r="AW26" s="122" t="s">
        <v>89</v>
      </c>
      <c r="AX26" s="122" t="s">
        <v>1477</v>
      </c>
      <c r="AY26" s="121">
        <v>1000</v>
      </c>
      <c r="AZ26" s="121">
        <v>2.9000000000000001E-2</v>
      </c>
      <c r="BA26" s="131">
        <v>45265</v>
      </c>
      <c r="BB26" s="131"/>
      <c r="BC26" s="121">
        <v>0</v>
      </c>
      <c r="BD26" s="131">
        <v>45448</v>
      </c>
      <c r="BE26" s="122" t="s">
        <v>1478</v>
      </c>
      <c r="BF26" s="122" t="s">
        <v>89</v>
      </c>
      <c r="BG26" s="131">
        <v>45265</v>
      </c>
      <c r="BH26" s="122" t="s">
        <v>89</v>
      </c>
      <c r="BI26" s="131">
        <v>45265</v>
      </c>
      <c r="BJ26" s="122" t="s">
        <v>89</v>
      </c>
      <c r="BK26" s="122" t="s">
        <v>89</v>
      </c>
      <c r="BL26" s="122" t="s">
        <v>303</v>
      </c>
      <c r="BM26" s="122" t="s">
        <v>303</v>
      </c>
      <c r="BN26" s="122" t="s">
        <v>1130</v>
      </c>
      <c r="BO26" s="122" t="s">
        <v>301</v>
      </c>
      <c r="BP26" s="122" t="s">
        <v>836</v>
      </c>
      <c r="BQ26" s="122" t="s">
        <v>89</v>
      </c>
      <c r="BR26" s="122" t="s">
        <v>115</v>
      </c>
      <c r="BS26" s="122" t="s">
        <v>89</v>
      </c>
      <c r="BT26" s="122" t="s">
        <v>198</v>
      </c>
      <c r="BU26" s="131"/>
      <c r="BV26" s="122" t="s">
        <v>6</v>
      </c>
      <c r="BW26" s="122" t="s">
        <v>11</v>
      </c>
      <c r="BX26" s="122" t="s">
        <v>6</v>
      </c>
      <c r="BY26" s="122" t="s">
        <v>89</v>
      </c>
      <c r="BZ26" s="131"/>
      <c r="CA26" s="121"/>
      <c r="CB26" s="122" t="s">
        <v>80</v>
      </c>
      <c r="CC26" s="122" t="s">
        <v>291</v>
      </c>
      <c r="CD26" s="120" t="s">
        <v>203</v>
      </c>
      <c r="CE26" s="120" t="s">
        <v>89</v>
      </c>
      <c r="CF26" s="122" t="s">
        <v>35</v>
      </c>
      <c r="CG26" s="122" t="s">
        <v>89</v>
      </c>
      <c r="CH26" s="120" t="s">
        <v>89</v>
      </c>
      <c r="CI26" s="120" t="s">
        <v>89</v>
      </c>
      <c r="CJ26" s="122" t="s">
        <v>106</v>
      </c>
      <c r="CK26" s="122" t="s">
        <v>1510</v>
      </c>
      <c r="CL26" s="120" t="s">
        <v>532</v>
      </c>
      <c r="CM26">
        <v>1</v>
      </c>
      <c r="CN26">
        <v>7.2927999999999997</v>
      </c>
      <c r="CO26">
        <v>7.8305999999999996</v>
      </c>
      <c r="CP26" s="122">
        <v>2.9000000000000001E-2</v>
      </c>
      <c r="CQ26" s="122">
        <v>0.21099999999999999</v>
      </c>
      <c r="CR26" s="122">
        <v>0.22700000000000001</v>
      </c>
      <c r="CS26" s="122" t="s">
        <v>89</v>
      </c>
      <c r="CT26" s="122" t="s">
        <v>6</v>
      </c>
      <c r="CU26" s="122" t="s">
        <v>6</v>
      </c>
      <c r="CV26" s="120" t="s">
        <v>89</v>
      </c>
      <c r="CW26" s="122" t="s">
        <v>583</v>
      </c>
      <c r="CX26" s="122" t="s">
        <v>89</v>
      </c>
      <c r="CY26" s="122" t="s">
        <v>89</v>
      </c>
      <c r="CZ26" s="121"/>
      <c r="DA26" s="122" t="s">
        <v>1115</v>
      </c>
      <c r="DB26" s="122" t="s">
        <v>89</v>
      </c>
      <c r="DC26" s="120" t="s">
        <v>6</v>
      </c>
      <c r="DD26" s="120" t="s">
        <v>89</v>
      </c>
      <c r="DE26" s="122" t="s">
        <v>1483</v>
      </c>
    </row>
    <row r="27" spans="1:109" x14ac:dyDescent="0.25">
      <c r="A27" s="121">
        <v>11</v>
      </c>
      <c r="B27" s="122" t="s">
        <v>632</v>
      </c>
      <c r="C27" s="122" t="s">
        <v>1488</v>
      </c>
      <c r="D27" s="131">
        <v>45258</v>
      </c>
      <c r="E27" s="122" t="s">
        <v>1129</v>
      </c>
      <c r="F27" s="122" t="s">
        <v>89</v>
      </c>
      <c r="G27" s="122" t="s">
        <v>89</v>
      </c>
      <c r="H27" s="120" t="s">
        <v>89</v>
      </c>
      <c r="I27" s="121"/>
      <c r="J27" s="121"/>
      <c r="K27" s="122" t="s">
        <v>89</v>
      </c>
      <c r="L27" s="122" t="s">
        <v>89</v>
      </c>
      <c r="M27" s="122" t="s">
        <v>82</v>
      </c>
      <c r="N27" s="122" t="s">
        <v>514</v>
      </c>
      <c r="O27" s="122" t="s">
        <v>89</v>
      </c>
      <c r="P27" s="122" t="s">
        <v>89</v>
      </c>
      <c r="Q27" s="122" t="s">
        <v>89</v>
      </c>
      <c r="R27" s="122" t="s">
        <v>1473</v>
      </c>
      <c r="S27" s="122" t="s">
        <v>1474</v>
      </c>
      <c r="T27" s="122" t="s">
        <v>562</v>
      </c>
      <c r="U27" s="122" t="s">
        <v>563</v>
      </c>
      <c r="V27" s="122" t="s">
        <v>305</v>
      </c>
      <c r="W27" s="122">
        <v>2.9000000000000001E-2</v>
      </c>
      <c r="X27" s="122" t="s">
        <v>1475</v>
      </c>
      <c r="Y27" s="121">
        <v>6</v>
      </c>
      <c r="Z27" s="131">
        <v>47092</v>
      </c>
      <c r="AA27" s="122" t="s">
        <v>106</v>
      </c>
      <c r="AB27" s="121"/>
      <c r="AC27" s="122" t="s">
        <v>308</v>
      </c>
      <c r="AD27" s="122" t="s">
        <v>307</v>
      </c>
      <c r="AE27" s="122" t="s">
        <v>89</v>
      </c>
      <c r="AF27" s="122" t="s">
        <v>306</v>
      </c>
      <c r="AG27" s="121">
        <v>100.53100000000001</v>
      </c>
      <c r="AH27" s="121"/>
      <c r="AI27" s="122" t="s">
        <v>314</v>
      </c>
      <c r="AJ27" s="122" t="s">
        <v>789</v>
      </c>
      <c r="AK27" s="122" t="s">
        <v>89</v>
      </c>
      <c r="AL27" s="121"/>
      <c r="AM27" s="121"/>
      <c r="AN27" s="121"/>
      <c r="AO27" s="122" t="s">
        <v>244</v>
      </c>
      <c r="AP27" s="122" t="s">
        <v>290</v>
      </c>
      <c r="AQ27" s="122" t="s">
        <v>305</v>
      </c>
      <c r="AR27" s="122" t="s">
        <v>315</v>
      </c>
      <c r="AS27" t="s">
        <v>81</v>
      </c>
      <c r="AT27" s="121" t="s">
        <v>1476</v>
      </c>
      <c r="AU27" s="122" t="s">
        <v>564</v>
      </c>
      <c r="AV27" s="122" t="s">
        <v>311</v>
      </c>
      <c r="AW27" s="122" t="s">
        <v>89</v>
      </c>
      <c r="AX27" s="122" t="s">
        <v>1477</v>
      </c>
      <c r="AY27" s="121">
        <v>1000</v>
      </c>
      <c r="AZ27" s="121">
        <v>2.9000000000000001E-2</v>
      </c>
      <c r="BA27" s="131">
        <v>45265</v>
      </c>
      <c r="BB27" s="131"/>
      <c r="BC27" s="121">
        <v>6</v>
      </c>
      <c r="BD27" s="131">
        <v>45448</v>
      </c>
      <c r="BE27" s="122" t="s">
        <v>1478</v>
      </c>
      <c r="BF27" s="122" t="s">
        <v>89</v>
      </c>
      <c r="BG27" s="131">
        <v>45265</v>
      </c>
      <c r="BH27" s="122" t="s">
        <v>89</v>
      </c>
      <c r="BI27" s="131">
        <v>45265</v>
      </c>
      <c r="BJ27" s="122" t="s">
        <v>89</v>
      </c>
      <c r="BK27" s="122" t="s">
        <v>89</v>
      </c>
      <c r="BL27" s="122" t="s">
        <v>303</v>
      </c>
      <c r="BM27" s="122" t="s">
        <v>303</v>
      </c>
      <c r="BN27" s="122" t="s">
        <v>302</v>
      </c>
      <c r="BO27" s="122" t="s">
        <v>301</v>
      </c>
      <c r="BP27" s="122" t="s">
        <v>836</v>
      </c>
      <c r="BQ27" s="122" t="s">
        <v>89</v>
      </c>
      <c r="BR27" s="122" t="s">
        <v>115</v>
      </c>
      <c r="BS27" s="122" t="s">
        <v>89</v>
      </c>
      <c r="BT27" s="122" t="s">
        <v>198</v>
      </c>
      <c r="BU27" s="131"/>
      <c r="BV27" s="122" t="s">
        <v>6</v>
      </c>
      <c r="BW27" s="122" t="s">
        <v>11</v>
      </c>
      <c r="BX27" s="122" t="s">
        <v>6</v>
      </c>
      <c r="BY27" s="122" t="s">
        <v>89</v>
      </c>
      <c r="BZ27" s="131"/>
      <c r="CA27" s="121"/>
      <c r="CB27" s="122" t="s">
        <v>80</v>
      </c>
      <c r="CC27" s="122" t="s">
        <v>291</v>
      </c>
      <c r="CD27" s="120" t="s">
        <v>203</v>
      </c>
      <c r="CE27" s="120" t="s">
        <v>89</v>
      </c>
      <c r="CF27" s="122" t="s">
        <v>35</v>
      </c>
      <c r="CG27" s="122" t="s">
        <v>89</v>
      </c>
      <c r="CH27" s="120" t="s">
        <v>89</v>
      </c>
      <c r="CI27" s="120" t="s">
        <v>89</v>
      </c>
      <c r="CJ27" s="122" t="s">
        <v>106</v>
      </c>
      <c r="CK27" s="122" t="s">
        <v>1510</v>
      </c>
      <c r="CL27" s="120" t="s">
        <v>532</v>
      </c>
      <c r="CM27">
        <v>1</v>
      </c>
      <c r="CN27">
        <v>7.2927999999999997</v>
      </c>
      <c r="CO27">
        <v>7.8305999999999996</v>
      </c>
      <c r="CP27" s="122">
        <v>2.9000000000000001E-2</v>
      </c>
      <c r="CQ27" s="122">
        <v>0.21099999999999999</v>
      </c>
      <c r="CR27" s="122">
        <v>0.22700000000000001</v>
      </c>
      <c r="CS27" s="122" t="s">
        <v>89</v>
      </c>
      <c r="CT27" s="122" t="s">
        <v>6</v>
      </c>
      <c r="CU27" s="122" t="s">
        <v>6</v>
      </c>
      <c r="CV27" s="120" t="s">
        <v>89</v>
      </c>
      <c r="CW27" s="122" t="s">
        <v>1321</v>
      </c>
      <c r="CX27" s="122" t="s">
        <v>89</v>
      </c>
      <c r="CY27" s="122" t="s">
        <v>89</v>
      </c>
      <c r="CZ27" s="121"/>
      <c r="DA27" s="122" t="s">
        <v>1115</v>
      </c>
      <c r="DB27" s="122" t="s">
        <v>89</v>
      </c>
      <c r="DC27" s="120" t="s">
        <v>6</v>
      </c>
      <c r="DD27" s="120" t="s">
        <v>89</v>
      </c>
      <c r="DE27" s="122" t="s">
        <v>1489</v>
      </c>
    </row>
    <row r="28" spans="1:109" x14ac:dyDescent="0.25">
      <c r="A28" s="121">
        <v>10</v>
      </c>
      <c r="B28" s="122" t="s">
        <v>380</v>
      </c>
      <c r="C28" s="122" t="s">
        <v>1216</v>
      </c>
      <c r="D28" s="131">
        <v>45258</v>
      </c>
      <c r="E28" s="122" t="s">
        <v>253</v>
      </c>
      <c r="F28" s="122" t="s">
        <v>1217</v>
      </c>
      <c r="G28" s="122" t="s">
        <v>1218</v>
      </c>
      <c r="H28" s="120" t="s">
        <v>1218</v>
      </c>
      <c r="I28" s="121"/>
      <c r="J28" s="121"/>
      <c r="K28" s="122" t="s">
        <v>89</v>
      </c>
      <c r="L28" s="122" t="s">
        <v>89</v>
      </c>
      <c r="M28" s="122" t="s">
        <v>82</v>
      </c>
      <c r="N28" s="122" t="s">
        <v>842</v>
      </c>
      <c r="O28" s="122" t="s">
        <v>89</v>
      </c>
      <c r="P28" s="122" t="s">
        <v>1221</v>
      </c>
      <c r="Q28" s="122" t="s">
        <v>1222</v>
      </c>
      <c r="R28" s="122" t="s">
        <v>1223</v>
      </c>
      <c r="S28" s="122" t="s">
        <v>1224</v>
      </c>
      <c r="T28" s="122" t="s">
        <v>1225</v>
      </c>
      <c r="U28" s="122" t="s">
        <v>1200</v>
      </c>
      <c r="V28" s="122" t="s">
        <v>305</v>
      </c>
      <c r="W28" s="122">
        <v>5</v>
      </c>
      <c r="X28" s="122" t="s">
        <v>1226</v>
      </c>
      <c r="Y28" s="121">
        <v>6</v>
      </c>
      <c r="Z28" s="131">
        <v>48918</v>
      </c>
      <c r="AA28" s="122" t="s">
        <v>309</v>
      </c>
      <c r="AB28" s="121">
        <v>35</v>
      </c>
      <c r="AC28" s="122" t="s">
        <v>308</v>
      </c>
      <c r="AD28" s="122" t="s">
        <v>307</v>
      </c>
      <c r="AE28" s="122" t="s">
        <v>89</v>
      </c>
      <c r="AF28" s="122" t="s">
        <v>1227</v>
      </c>
      <c r="AG28" s="121">
        <v>99.63</v>
      </c>
      <c r="AH28" s="121">
        <v>1.54E-2</v>
      </c>
      <c r="AI28" s="122" t="s">
        <v>840</v>
      </c>
      <c r="AJ28" s="122" t="s">
        <v>841</v>
      </c>
      <c r="AK28" s="122" t="s">
        <v>89</v>
      </c>
      <c r="AL28" s="121"/>
      <c r="AM28" s="121"/>
      <c r="AN28" s="121"/>
      <c r="AO28" s="122" t="s">
        <v>244</v>
      </c>
      <c r="AP28" s="122" t="s">
        <v>290</v>
      </c>
      <c r="AQ28" s="122" t="s">
        <v>305</v>
      </c>
      <c r="AR28" s="122" t="s">
        <v>315</v>
      </c>
      <c r="AS28" t="s">
        <v>81</v>
      </c>
      <c r="AT28" s="121" t="s">
        <v>1490</v>
      </c>
      <c r="AU28" s="122" t="s">
        <v>622</v>
      </c>
      <c r="AV28" s="122" t="s">
        <v>311</v>
      </c>
      <c r="AW28" s="122" t="s">
        <v>1228</v>
      </c>
      <c r="AX28" s="122" t="s">
        <v>1229</v>
      </c>
      <c r="AY28" s="121">
        <v>1000</v>
      </c>
      <c r="AZ28" s="121">
        <v>5</v>
      </c>
      <c r="BA28" s="131">
        <v>45265</v>
      </c>
      <c r="BB28" s="131">
        <v>47092</v>
      </c>
      <c r="BC28" s="121">
        <v>6</v>
      </c>
      <c r="BD28" s="131">
        <v>45448</v>
      </c>
      <c r="BE28" s="122" t="s">
        <v>380</v>
      </c>
      <c r="BF28" s="122" t="s">
        <v>89</v>
      </c>
      <c r="BG28" s="131">
        <v>45265</v>
      </c>
      <c r="BH28" s="122" t="s">
        <v>1230</v>
      </c>
      <c r="BI28" s="131">
        <v>45265</v>
      </c>
      <c r="BJ28" s="122" t="s">
        <v>1231</v>
      </c>
      <c r="BK28" s="122" t="s">
        <v>1232</v>
      </c>
      <c r="BL28" s="122" t="s">
        <v>303</v>
      </c>
      <c r="BM28" s="122" t="s">
        <v>303</v>
      </c>
      <c r="BN28" s="122" t="s">
        <v>1130</v>
      </c>
      <c r="BO28" s="122" t="s">
        <v>301</v>
      </c>
      <c r="BP28" s="122" t="s">
        <v>836</v>
      </c>
      <c r="BQ28" s="122" t="s">
        <v>89</v>
      </c>
      <c r="BR28" s="122" t="s">
        <v>115</v>
      </c>
      <c r="BS28" s="122" t="s">
        <v>89</v>
      </c>
      <c r="BT28" s="122" t="s">
        <v>198</v>
      </c>
      <c r="BU28" s="131"/>
      <c r="BV28" s="122" t="s">
        <v>6</v>
      </c>
      <c r="BW28" s="122" t="s">
        <v>125</v>
      </c>
      <c r="BX28" s="122" t="s">
        <v>129</v>
      </c>
      <c r="BY28" s="122" t="s">
        <v>89</v>
      </c>
      <c r="BZ28" s="131"/>
      <c r="CA28" s="121"/>
      <c r="CB28" s="122" t="s">
        <v>1233</v>
      </c>
      <c r="CC28" s="122" t="s">
        <v>1234</v>
      </c>
      <c r="CD28" s="120" t="s">
        <v>298</v>
      </c>
      <c r="CE28" s="120" t="s">
        <v>89</v>
      </c>
      <c r="CF28" s="122" t="s">
        <v>35</v>
      </c>
      <c r="CG28" s="122" t="s">
        <v>89</v>
      </c>
      <c r="CH28" s="120" t="s">
        <v>89</v>
      </c>
      <c r="CI28" s="120" t="s">
        <v>89</v>
      </c>
      <c r="CJ28" s="122" t="s">
        <v>215</v>
      </c>
      <c r="CK28" s="122" t="s">
        <v>89</v>
      </c>
      <c r="CL28" s="120" t="s">
        <v>532</v>
      </c>
      <c r="CM28">
        <v>1</v>
      </c>
      <c r="CN28">
        <v>7.2927999999999997</v>
      </c>
      <c r="CO28">
        <v>7.8305999999999996</v>
      </c>
      <c r="CP28" s="122">
        <v>5</v>
      </c>
      <c r="CQ28" s="122">
        <v>36.463999999999999</v>
      </c>
      <c r="CR28" s="122">
        <v>39.152999999999999</v>
      </c>
      <c r="CS28" s="122" t="s">
        <v>89</v>
      </c>
      <c r="CT28" s="122" t="s">
        <v>6</v>
      </c>
      <c r="CU28" s="122" t="s">
        <v>129</v>
      </c>
      <c r="CV28" s="120" t="s">
        <v>89</v>
      </c>
      <c r="CW28" s="122" t="s">
        <v>1321</v>
      </c>
      <c r="CX28" s="122" t="s">
        <v>1217</v>
      </c>
      <c r="CY28" s="122" t="s">
        <v>1218</v>
      </c>
      <c r="CZ28" s="121">
        <v>35</v>
      </c>
      <c r="DA28" s="122" t="s">
        <v>1096</v>
      </c>
      <c r="DB28" s="122" t="s">
        <v>89</v>
      </c>
      <c r="DC28" s="120" t="s">
        <v>253</v>
      </c>
      <c r="DD28" s="120" t="s">
        <v>89</v>
      </c>
      <c r="DE28" s="122" t="s">
        <v>1235</v>
      </c>
    </row>
    <row r="29" spans="1:109" x14ac:dyDescent="0.25">
      <c r="A29" s="121">
        <v>9</v>
      </c>
      <c r="B29" s="122" t="s">
        <v>1236</v>
      </c>
      <c r="C29" s="122" t="s">
        <v>1237</v>
      </c>
      <c r="D29" s="131">
        <v>45257</v>
      </c>
      <c r="E29" s="122" t="s">
        <v>251</v>
      </c>
      <c r="F29" s="122" t="s">
        <v>1238</v>
      </c>
      <c r="G29" s="122" t="s">
        <v>1239</v>
      </c>
      <c r="H29" s="120" t="s">
        <v>1239</v>
      </c>
      <c r="I29" s="121"/>
      <c r="J29" s="121"/>
      <c r="K29" s="122" t="s">
        <v>89</v>
      </c>
      <c r="L29" s="122" t="s">
        <v>89</v>
      </c>
      <c r="M29" s="122" t="s">
        <v>82</v>
      </c>
      <c r="N29" s="122" t="s">
        <v>1328</v>
      </c>
      <c r="O29" s="122" t="s">
        <v>89</v>
      </c>
      <c r="P29" s="122" t="s">
        <v>1241</v>
      </c>
      <c r="Q29" s="122" t="s">
        <v>1242</v>
      </c>
      <c r="R29" s="122" t="s">
        <v>1243</v>
      </c>
      <c r="S29" s="122" t="s">
        <v>1244</v>
      </c>
      <c r="T29" s="122" t="s">
        <v>305</v>
      </c>
      <c r="U29" s="122" t="s">
        <v>305</v>
      </c>
      <c r="V29" s="122" t="s">
        <v>305</v>
      </c>
      <c r="W29" s="122">
        <v>3.3</v>
      </c>
      <c r="X29" s="122" t="s">
        <v>310</v>
      </c>
      <c r="Y29" s="121">
        <v>5.95</v>
      </c>
      <c r="Z29" s="131">
        <v>46360</v>
      </c>
      <c r="AA29" s="122" t="s">
        <v>313</v>
      </c>
      <c r="AB29" s="121">
        <v>40</v>
      </c>
      <c r="AC29" s="122" t="s">
        <v>308</v>
      </c>
      <c r="AD29" s="122" t="s">
        <v>328</v>
      </c>
      <c r="AE29" s="122" t="s">
        <v>89</v>
      </c>
      <c r="AF29" s="122" t="s">
        <v>306</v>
      </c>
      <c r="AG29" s="121">
        <v>100</v>
      </c>
      <c r="AH29" s="121"/>
      <c r="AI29" s="122" t="s">
        <v>802</v>
      </c>
      <c r="AJ29" s="122" t="s">
        <v>1245</v>
      </c>
      <c r="AK29" s="122" t="s">
        <v>1246</v>
      </c>
      <c r="AL29" s="121"/>
      <c r="AM29" s="121"/>
      <c r="AN29" s="121"/>
      <c r="AO29" s="122" t="s">
        <v>244</v>
      </c>
      <c r="AP29" s="122" t="s">
        <v>784</v>
      </c>
      <c r="AQ29" s="122" t="s">
        <v>305</v>
      </c>
      <c r="AR29" s="122" t="s">
        <v>315</v>
      </c>
      <c r="AS29" t="s">
        <v>1</v>
      </c>
      <c r="AT29" s="121" t="s">
        <v>786</v>
      </c>
      <c r="AU29" s="122" t="s">
        <v>304</v>
      </c>
      <c r="AV29" s="122" t="s">
        <v>311</v>
      </c>
      <c r="AW29" s="122" t="s">
        <v>1247</v>
      </c>
      <c r="AX29" s="122" t="s">
        <v>1248</v>
      </c>
      <c r="AY29" s="121">
        <v>1000</v>
      </c>
      <c r="AZ29" s="121">
        <v>3.3</v>
      </c>
      <c r="BA29" s="131">
        <v>45264</v>
      </c>
      <c r="BB29" s="131"/>
      <c r="BC29" s="121">
        <v>5.95</v>
      </c>
      <c r="BD29" s="131">
        <v>45447</v>
      </c>
      <c r="BE29" s="122" t="s">
        <v>1249</v>
      </c>
      <c r="BF29" s="122" t="s">
        <v>1236</v>
      </c>
      <c r="BG29" s="131">
        <v>45264</v>
      </c>
      <c r="BH29" s="122" t="s">
        <v>1239</v>
      </c>
      <c r="BI29" s="131">
        <v>45264</v>
      </c>
      <c r="BJ29" s="122" t="s">
        <v>785</v>
      </c>
      <c r="BK29" s="122" t="s">
        <v>1250</v>
      </c>
      <c r="BL29" s="122" t="s">
        <v>303</v>
      </c>
      <c r="BM29" s="122" t="s">
        <v>303</v>
      </c>
      <c r="BN29" s="122" t="s">
        <v>302</v>
      </c>
      <c r="BO29" s="122" t="s">
        <v>301</v>
      </c>
      <c r="BP29" s="122" t="s">
        <v>300</v>
      </c>
      <c r="BQ29" s="122" t="s">
        <v>89</v>
      </c>
      <c r="BR29" s="122" t="s">
        <v>115</v>
      </c>
      <c r="BS29" s="122" t="s">
        <v>89</v>
      </c>
      <c r="BT29" s="122" t="s">
        <v>198</v>
      </c>
      <c r="BU29" s="131"/>
      <c r="BV29" s="122" t="s">
        <v>6</v>
      </c>
      <c r="BW29" s="122" t="s">
        <v>16</v>
      </c>
      <c r="BX29" s="122" t="s">
        <v>6</v>
      </c>
      <c r="BY29" s="122" t="s">
        <v>89</v>
      </c>
      <c r="BZ29" s="131"/>
      <c r="CA29" s="121"/>
      <c r="CB29" s="122" t="s">
        <v>1251</v>
      </c>
      <c r="CC29" s="122" t="s">
        <v>1251</v>
      </c>
      <c r="CD29" s="120" t="s">
        <v>558</v>
      </c>
      <c r="CE29" s="120" t="s">
        <v>89</v>
      </c>
      <c r="CF29" s="122" t="s">
        <v>37</v>
      </c>
      <c r="CG29" s="122" t="s">
        <v>89</v>
      </c>
      <c r="CH29" s="120" t="s">
        <v>89</v>
      </c>
      <c r="CI29" s="120" t="s">
        <v>89</v>
      </c>
      <c r="CJ29" s="122" t="s">
        <v>204</v>
      </c>
      <c r="CK29" s="122" t="s">
        <v>89</v>
      </c>
      <c r="CL29" s="120" t="s">
        <v>532</v>
      </c>
      <c r="CM29">
        <v>1</v>
      </c>
      <c r="CN29">
        <v>7.2927999999999997</v>
      </c>
      <c r="CO29">
        <v>7.8305999999999996</v>
      </c>
      <c r="CP29" s="122">
        <v>3.3</v>
      </c>
      <c r="CQ29" s="122">
        <v>24.065999999999999</v>
      </c>
      <c r="CR29" s="122">
        <v>25.841000000000001</v>
      </c>
      <c r="CS29" s="122" t="s">
        <v>89</v>
      </c>
      <c r="CT29" s="122" t="s">
        <v>6</v>
      </c>
      <c r="CU29" s="122" t="s">
        <v>6</v>
      </c>
      <c r="CV29" s="120" t="s">
        <v>89</v>
      </c>
      <c r="CW29" s="122" t="s">
        <v>1239</v>
      </c>
      <c r="CX29" s="122" t="s">
        <v>1238</v>
      </c>
      <c r="CY29" s="122" t="s">
        <v>1239</v>
      </c>
      <c r="CZ29" s="121">
        <v>40</v>
      </c>
      <c r="DA29" s="122" t="s">
        <v>131</v>
      </c>
      <c r="DB29" s="122" t="s">
        <v>89</v>
      </c>
      <c r="DC29" s="120" t="s">
        <v>6</v>
      </c>
      <c r="DD29" s="120" t="s">
        <v>510</v>
      </c>
      <c r="DE29" s="122" t="s">
        <v>1253</v>
      </c>
    </row>
    <row r="30" spans="1:109" x14ac:dyDescent="0.25">
      <c r="A30" s="121">
        <v>8</v>
      </c>
      <c r="B30" s="122" t="s">
        <v>1254</v>
      </c>
      <c r="C30" s="122" t="s">
        <v>1255</v>
      </c>
      <c r="D30" s="131">
        <v>45257</v>
      </c>
      <c r="E30" s="122" t="s">
        <v>556</v>
      </c>
      <c r="F30" s="122" t="s">
        <v>1256</v>
      </c>
      <c r="G30" s="122" t="s">
        <v>1257</v>
      </c>
      <c r="H30" s="120" t="s">
        <v>1257</v>
      </c>
      <c r="I30" s="121"/>
      <c r="J30" s="121"/>
      <c r="K30" s="122" t="s">
        <v>89</v>
      </c>
      <c r="L30" s="122" t="s">
        <v>89</v>
      </c>
      <c r="M30" s="122" t="s">
        <v>103</v>
      </c>
      <c r="N30" s="122" t="s">
        <v>514</v>
      </c>
      <c r="O30" s="122" t="s">
        <v>89</v>
      </c>
      <c r="P30" s="122" t="s">
        <v>1259</v>
      </c>
      <c r="Q30" s="122" t="s">
        <v>1260</v>
      </c>
      <c r="R30" s="122" t="s">
        <v>1261</v>
      </c>
      <c r="S30" s="122" t="s">
        <v>1262</v>
      </c>
      <c r="T30" s="122" t="s">
        <v>305</v>
      </c>
      <c r="U30" s="122" t="s">
        <v>305</v>
      </c>
      <c r="V30" s="122" t="s">
        <v>305</v>
      </c>
      <c r="W30" s="122">
        <v>7.1</v>
      </c>
      <c r="X30" s="122" t="s">
        <v>310</v>
      </c>
      <c r="Y30" s="121">
        <v>4.3</v>
      </c>
      <c r="Z30" s="131">
        <v>46361</v>
      </c>
      <c r="AA30" s="122" t="s">
        <v>313</v>
      </c>
      <c r="AB30" s="121">
        <v>40</v>
      </c>
      <c r="AC30" s="122" t="s">
        <v>308</v>
      </c>
      <c r="AD30" s="122" t="s">
        <v>798</v>
      </c>
      <c r="AE30" s="122" t="s">
        <v>89</v>
      </c>
      <c r="AF30" s="122" t="s">
        <v>306</v>
      </c>
      <c r="AG30" s="121">
        <v>100</v>
      </c>
      <c r="AH30" s="121"/>
      <c r="AI30" s="122" t="s">
        <v>795</v>
      </c>
      <c r="AJ30" s="122" t="s">
        <v>799</v>
      </c>
      <c r="AK30" s="122" t="s">
        <v>839</v>
      </c>
      <c r="AL30" s="121"/>
      <c r="AM30" s="121"/>
      <c r="AN30" s="121"/>
      <c r="AO30" s="122" t="s">
        <v>244</v>
      </c>
      <c r="AP30" s="122" t="s">
        <v>1263</v>
      </c>
      <c r="AQ30" s="122" t="s">
        <v>305</v>
      </c>
      <c r="AR30" s="122" t="s">
        <v>570</v>
      </c>
      <c r="AS30" t="s">
        <v>1</v>
      </c>
      <c r="AT30" s="121" t="s">
        <v>786</v>
      </c>
      <c r="AU30" s="122" t="s">
        <v>304</v>
      </c>
      <c r="AV30" s="122" t="s">
        <v>312</v>
      </c>
      <c r="AW30" s="122" t="s">
        <v>1264</v>
      </c>
      <c r="AX30" s="122" t="s">
        <v>1265</v>
      </c>
      <c r="AY30" s="121">
        <v>10000</v>
      </c>
      <c r="AZ30" s="121">
        <v>7.1</v>
      </c>
      <c r="BA30" s="131">
        <v>45265</v>
      </c>
      <c r="BB30" s="131"/>
      <c r="BC30" s="121">
        <v>4.3</v>
      </c>
      <c r="BD30" s="131">
        <v>45448</v>
      </c>
      <c r="BE30" s="122" t="s">
        <v>1266</v>
      </c>
      <c r="BF30" s="122" t="s">
        <v>89</v>
      </c>
      <c r="BG30" s="131">
        <v>45265</v>
      </c>
      <c r="BH30" s="122" t="s">
        <v>1257</v>
      </c>
      <c r="BI30" s="131">
        <v>45265</v>
      </c>
      <c r="BJ30" s="122" t="s">
        <v>785</v>
      </c>
      <c r="BK30" s="122" t="s">
        <v>1267</v>
      </c>
      <c r="BL30" s="122" t="s">
        <v>303</v>
      </c>
      <c r="BM30" s="122" t="s">
        <v>303</v>
      </c>
      <c r="BN30" s="122" t="s">
        <v>302</v>
      </c>
      <c r="BO30" s="122" t="s">
        <v>301</v>
      </c>
      <c r="BP30" s="122" t="s">
        <v>300</v>
      </c>
      <c r="BQ30" s="122" t="s">
        <v>89</v>
      </c>
      <c r="BR30" s="122" t="s">
        <v>115</v>
      </c>
      <c r="BS30" s="122" t="s">
        <v>1254</v>
      </c>
      <c r="BT30" s="122" t="s">
        <v>198</v>
      </c>
      <c r="BU30" s="131"/>
      <c r="BV30" s="122" t="s">
        <v>6</v>
      </c>
      <c r="BW30" s="122" t="s">
        <v>7</v>
      </c>
      <c r="BX30" s="122" t="s">
        <v>6</v>
      </c>
      <c r="BY30" s="122" t="s">
        <v>89</v>
      </c>
      <c r="BZ30" s="131"/>
      <c r="CA30" s="121"/>
      <c r="CB30" s="122" t="s">
        <v>80</v>
      </c>
      <c r="CC30" s="122" t="s">
        <v>80</v>
      </c>
      <c r="CD30" s="120" t="s">
        <v>298</v>
      </c>
      <c r="CE30" s="120" t="s">
        <v>89</v>
      </c>
      <c r="CF30" s="122" t="s">
        <v>38</v>
      </c>
      <c r="CG30" s="122" t="s">
        <v>89</v>
      </c>
      <c r="CH30" s="120" t="s">
        <v>89</v>
      </c>
      <c r="CI30" s="120" t="s">
        <v>89</v>
      </c>
      <c r="CJ30" s="122" t="s">
        <v>204</v>
      </c>
      <c r="CK30" s="122" t="s">
        <v>89</v>
      </c>
      <c r="CL30" s="120" t="s">
        <v>532</v>
      </c>
      <c r="CM30">
        <v>0.1371</v>
      </c>
      <c r="CN30">
        <v>1</v>
      </c>
      <c r="CO30">
        <v>1.0732999999999999</v>
      </c>
      <c r="CP30" s="122">
        <v>0.97299999999999998</v>
      </c>
      <c r="CQ30" s="122">
        <v>7.1</v>
      </c>
      <c r="CR30" s="122">
        <v>7.62</v>
      </c>
      <c r="CS30" s="122" t="s">
        <v>89</v>
      </c>
      <c r="CT30" s="122" t="s">
        <v>6</v>
      </c>
      <c r="CU30" s="122" t="s">
        <v>6</v>
      </c>
      <c r="CV30" s="120" t="s">
        <v>89</v>
      </c>
      <c r="CW30" s="122" t="s">
        <v>1257</v>
      </c>
      <c r="CX30" s="122" t="s">
        <v>1256</v>
      </c>
      <c r="CY30" s="122" t="s">
        <v>1257</v>
      </c>
      <c r="CZ30" s="121">
        <v>40</v>
      </c>
      <c r="DA30" s="122" t="s">
        <v>131</v>
      </c>
      <c r="DB30" s="122" t="s">
        <v>89</v>
      </c>
      <c r="DC30" s="120" t="s">
        <v>6</v>
      </c>
      <c r="DD30" s="120" t="s">
        <v>89</v>
      </c>
      <c r="DE30" s="122" t="s">
        <v>1268</v>
      </c>
    </row>
    <row r="31" spans="1:109" x14ac:dyDescent="0.25">
      <c r="A31" s="121">
        <v>7</v>
      </c>
      <c r="B31" s="122" t="s">
        <v>1182</v>
      </c>
      <c r="C31" s="122" t="s">
        <v>1269</v>
      </c>
      <c r="D31" s="131">
        <v>45257</v>
      </c>
      <c r="E31" s="122" t="s">
        <v>797</v>
      </c>
      <c r="F31" s="122" t="s">
        <v>89</v>
      </c>
      <c r="G31" s="122" t="s">
        <v>846</v>
      </c>
      <c r="H31" s="120" t="s">
        <v>89</v>
      </c>
      <c r="I31" s="121"/>
      <c r="J31" s="121"/>
      <c r="K31" s="122" t="s">
        <v>89</v>
      </c>
      <c r="L31" s="122" t="s">
        <v>89</v>
      </c>
      <c r="M31" s="122" t="s">
        <v>103</v>
      </c>
      <c r="N31" s="122" t="s">
        <v>514</v>
      </c>
      <c r="O31" s="122" t="s">
        <v>89</v>
      </c>
      <c r="P31" s="122" t="s">
        <v>1270</v>
      </c>
      <c r="Q31" s="122" t="s">
        <v>89</v>
      </c>
      <c r="R31" s="122" t="s">
        <v>1271</v>
      </c>
      <c r="S31" s="122" t="s">
        <v>1272</v>
      </c>
      <c r="T31" s="122" t="s">
        <v>305</v>
      </c>
      <c r="U31" s="122" t="s">
        <v>305</v>
      </c>
      <c r="V31" s="122" t="s">
        <v>305</v>
      </c>
      <c r="W31" s="122">
        <v>1.92</v>
      </c>
      <c r="X31" s="122" t="s">
        <v>310</v>
      </c>
      <c r="Y31" s="121">
        <v>3.9</v>
      </c>
      <c r="Z31" s="131">
        <v>46362</v>
      </c>
      <c r="AA31" s="122" t="s">
        <v>313</v>
      </c>
      <c r="AB31" s="121"/>
      <c r="AC31" s="122" t="s">
        <v>308</v>
      </c>
      <c r="AD31" s="122" t="s">
        <v>794</v>
      </c>
      <c r="AE31" s="122" t="s">
        <v>1273</v>
      </c>
      <c r="AF31" s="122" t="s">
        <v>306</v>
      </c>
      <c r="AG31" s="121">
        <v>100</v>
      </c>
      <c r="AH31" s="121"/>
      <c r="AI31" s="122" t="s">
        <v>581</v>
      </c>
      <c r="AJ31" s="122" t="s">
        <v>1178</v>
      </c>
      <c r="AK31" s="122" t="s">
        <v>89</v>
      </c>
      <c r="AL31" s="121"/>
      <c r="AM31" s="121"/>
      <c r="AN31" s="121"/>
      <c r="AO31" s="122" t="s">
        <v>244</v>
      </c>
      <c r="AP31" s="122" t="s">
        <v>803</v>
      </c>
      <c r="AQ31" s="122" t="s">
        <v>305</v>
      </c>
      <c r="AR31" s="122" t="s">
        <v>804</v>
      </c>
      <c r="AS31" t="s">
        <v>1</v>
      </c>
      <c r="AT31" s="121" t="s">
        <v>786</v>
      </c>
      <c r="AU31" s="122" t="s">
        <v>304</v>
      </c>
      <c r="AV31" s="122" t="s">
        <v>312</v>
      </c>
      <c r="AW31" s="122" t="s">
        <v>1274</v>
      </c>
      <c r="AX31" s="122" t="s">
        <v>1275</v>
      </c>
      <c r="AY31" s="121">
        <v>10000</v>
      </c>
      <c r="AZ31" s="121">
        <v>1.92</v>
      </c>
      <c r="BA31" s="131">
        <v>45266</v>
      </c>
      <c r="BB31" s="131"/>
      <c r="BC31" s="121">
        <v>3.9</v>
      </c>
      <c r="BD31" s="131">
        <v>45449</v>
      </c>
      <c r="BE31" s="122" t="s">
        <v>1181</v>
      </c>
      <c r="BF31" s="122" t="s">
        <v>1182</v>
      </c>
      <c r="BG31" s="131">
        <v>45266</v>
      </c>
      <c r="BH31" s="122" t="s">
        <v>846</v>
      </c>
      <c r="BI31" s="131">
        <v>45266</v>
      </c>
      <c r="BJ31" s="122" t="s">
        <v>554</v>
      </c>
      <c r="BK31" s="122" t="s">
        <v>1276</v>
      </c>
      <c r="BL31" s="122" t="s">
        <v>303</v>
      </c>
      <c r="BM31" s="122" t="s">
        <v>303</v>
      </c>
      <c r="BN31" s="122" t="s">
        <v>302</v>
      </c>
      <c r="BO31" s="122" t="s">
        <v>301</v>
      </c>
      <c r="BP31" s="122" t="s">
        <v>300</v>
      </c>
      <c r="BQ31" s="122" t="s">
        <v>89</v>
      </c>
      <c r="BR31" s="122" t="s">
        <v>115</v>
      </c>
      <c r="BS31" s="122" t="s">
        <v>89</v>
      </c>
      <c r="BT31" s="122" t="s">
        <v>198</v>
      </c>
      <c r="BU31" s="131"/>
      <c r="BV31" s="122" t="s">
        <v>6</v>
      </c>
      <c r="BW31" s="122" t="s">
        <v>9</v>
      </c>
      <c r="BX31" s="122" t="s">
        <v>6</v>
      </c>
      <c r="BY31" s="122" t="s">
        <v>89</v>
      </c>
      <c r="BZ31" s="131"/>
      <c r="CA31" s="121"/>
      <c r="CB31" s="122" t="s">
        <v>80</v>
      </c>
      <c r="CC31" s="122" t="s">
        <v>80</v>
      </c>
      <c r="CD31" s="120" t="s">
        <v>558</v>
      </c>
      <c r="CE31" s="120" t="s">
        <v>89</v>
      </c>
      <c r="CF31" s="122" t="s">
        <v>109</v>
      </c>
      <c r="CG31" s="122" t="s">
        <v>89</v>
      </c>
      <c r="CH31" s="120" t="s">
        <v>1325</v>
      </c>
      <c r="CI31" s="120" t="s">
        <v>634</v>
      </c>
      <c r="CJ31" s="122" t="s">
        <v>204</v>
      </c>
      <c r="CK31" s="122" t="s">
        <v>89</v>
      </c>
      <c r="CL31" s="120" t="s">
        <v>532</v>
      </c>
      <c r="CM31">
        <v>0.1371</v>
      </c>
      <c r="CN31">
        <v>1</v>
      </c>
      <c r="CO31">
        <v>1.0732999999999999</v>
      </c>
      <c r="CP31" s="122">
        <v>0.26300000000000001</v>
      </c>
      <c r="CQ31" s="122">
        <v>1.92</v>
      </c>
      <c r="CR31" s="122">
        <v>2.0609999999999999</v>
      </c>
      <c r="CS31" s="122" t="s">
        <v>89</v>
      </c>
      <c r="CT31" s="122" t="s">
        <v>6</v>
      </c>
      <c r="CU31" s="122" t="s">
        <v>6</v>
      </c>
      <c r="CV31" s="120" t="s">
        <v>89</v>
      </c>
      <c r="CW31" s="122" t="s">
        <v>846</v>
      </c>
      <c r="CX31" s="122" t="s">
        <v>89</v>
      </c>
      <c r="CY31" s="122" t="s">
        <v>846</v>
      </c>
      <c r="CZ31" s="121"/>
      <c r="DA31" s="122" t="s">
        <v>131</v>
      </c>
      <c r="DB31" s="122" t="s">
        <v>89</v>
      </c>
      <c r="DC31" s="120" t="s">
        <v>6</v>
      </c>
      <c r="DD31" s="120" t="s">
        <v>89</v>
      </c>
      <c r="DE31" s="122" t="s">
        <v>1277</v>
      </c>
    </row>
    <row r="32" spans="1:109" x14ac:dyDescent="0.25">
      <c r="A32" s="121">
        <v>6</v>
      </c>
      <c r="B32" s="122" t="s">
        <v>983</v>
      </c>
      <c r="C32" s="122" t="s">
        <v>1278</v>
      </c>
      <c r="D32" s="131">
        <v>45257</v>
      </c>
      <c r="E32" s="122" t="s">
        <v>1129</v>
      </c>
      <c r="F32" s="122" t="s">
        <v>89</v>
      </c>
      <c r="G32" s="122" t="s">
        <v>89</v>
      </c>
      <c r="H32" s="120" t="s">
        <v>89</v>
      </c>
      <c r="I32" s="121"/>
      <c r="J32" s="121"/>
      <c r="K32" s="122" t="s">
        <v>89</v>
      </c>
      <c r="L32" s="122" t="s">
        <v>89</v>
      </c>
      <c r="M32" s="122" t="s">
        <v>82</v>
      </c>
      <c r="N32" s="122" t="s">
        <v>1503</v>
      </c>
      <c r="O32" s="122" t="s">
        <v>1279</v>
      </c>
      <c r="P32" s="122" t="s">
        <v>89</v>
      </c>
      <c r="Q32" s="122" t="s">
        <v>89</v>
      </c>
      <c r="R32" s="122" t="s">
        <v>1280</v>
      </c>
      <c r="S32" s="122" t="s">
        <v>1281</v>
      </c>
      <c r="T32" s="122" t="s">
        <v>1282</v>
      </c>
      <c r="U32" s="122" t="s">
        <v>1283</v>
      </c>
      <c r="V32" s="122" t="s">
        <v>305</v>
      </c>
      <c r="W32" s="122">
        <v>0.5</v>
      </c>
      <c r="X32" s="122" t="s">
        <v>310</v>
      </c>
      <c r="Y32" s="121">
        <v>6.4466000000000001</v>
      </c>
      <c r="Z32" s="131">
        <v>46356</v>
      </c>
      <c r="AA32" s="122" t="s">
        <v>106</v>
      </c>
      <c r="AB32" s="121"/>
      <c r="AC32" s="122" t="s">
        <v>308</v>
      </c>
      <c r="AD32" s="122" t="s">
        <v>798</v>
      </c>
      <c r="AE32" s="122" t="s">
        <v>89</v>
      </c>
      <c r="AF32" s="122" t="s">
        <v>306</v>
      </c>
      <c r="AG32" s="121"/>
      <c r="AH32" s="121"/>
      <c r="AI32" s="122" t="s">
        <v>1201</v>
      </c>
      <c r="AJ32" s="122" t="s">
        <v>1202</v>
      </c>
      <c r="AK32" s="122" t="s">
        <v>89</v>
      </c>
      <c r="AL32" s="121"/>
      <c r="AM32" s="121"/>
      <c r="AN32" s="121"/>
      <c r="AO32" s="122" t="s">
        <v>244</v>
      </c>
      <c r="AP32" s="122" t="s">
        <v>329</v>
      </c>
      <c r="AQ32" s="122" t="s">
        <v>305</v>
      </c>
      <c r="AR32" s="122" t="s">
        <v>315</v>
      </c>
      <c r="AS32" t="s">
        <v>81</v>
      </c>
      <c r="AT32" s="121" t="s">
        <v>1491</v>
      </c>
      <c r="AU32" s="122" t="s">
        <v>622</v>
      </c>
      <c r="AV32" s="122" t="s">
        <v>311</v>
      </c>
      <c r="AW32" s="122" t="s">
        <v>89</v>
      </c>
      <c r="AX32" s="122" t="s">
        <v>1284</v>
      </c>
      <c r="AY32" s="121">
        <v>1000</v>
      </c>
      <c r="AZ32" s="121">
        <v>0.5</v>
      </c>
      <c r="BA32" s="131">
        <v>45260</v>
      </c>
      <c r="BB32" s="131"/>
      <c r="BC32" s="121">
        <v>6.4466000000000001</v>
      </c>
      <c r="BD32" s="131">
        <v>45350</v>
      </c>
      <c r="BE32" s="122" t="s">
        <v>1286</v>
      </c>
      <c r="BF32" s="122" t="s">
        <v>89</v>
      </c>
      <c r="BG32" s="131">
        <v>45260</v>
      </c>
      <c r="BH32" s="122" t="s">
        <v>89</v>
      </c>
      <c r="BI32" s="131">
        <v>45260</v>
      </c>
      <c r="BJ32" s="122" t="s">
        <v>89</v>
      </c>
      <c r="BK32" s="122" t="s">
        <v>89</v>
      </c>
      <c r="BL32" s="122" t="s">
        <v>303</v>
      </c>
      <c r="BM32" s="122" t="s">
        <v>303</v>
      </c>
      <c r="BN32" s="122" t="s">
        <v>565</v>
      </c>
      <c r="BO32" s="122" t="s">
        <v>301</v>
      </c>
      <c r="BP32" s="122" t="s">
        <v>300</v>
      </c>
      <c r="BQ32" s="122" t="s">
        <v>89</v>
      </c>
      <c r="BR32" s="122" t="s">
        <v>89</v>
      </c>
      <c r="BS32" s="122" t="s">
        <v>983</v>
      </c>
      <c r="BT32" s="122" t="s">
        <v>198</v>
      </c>
      <c r="BU32" s="131"/>
      <c r="BV32" s="122" t="s">
        <v>6</v>
      </c>
      <c r="BW32" s="122" t="s">
        <v>12</v>
      </c>
      <c r="BX32" s="122" t="s">
        <v>6</v>
      </c>
      <c r="BY32" s="122" t="s">
        <v>89</v>
      </c>
      <c r="BZ32" s="131"/>
      <c r="CA32" s="121"/>
      <c r="CB32" s="122" t="s">
        <v>1287</v>
      </c>
      <c r="CC32" s="122" t="s">
        <v>1288</v>
      </c>
      <c r="CD32" s="120" t="s">
        <v>298</v>
      </c>
      <c r="CE32" s="120" t="s">
        <v>89</v>
      </c>
      <c r="CF32" s="122" t="s">
        <v>38</v>
      </c>
      <c r="CG32" s="122" t="s">
        <v>89</v>
      </c>
      <c r="CH32" s="120" t="s">
        <v>89</v>
      </c>
      <c r="CI32" s="120" t="s">
        <v>89</v>
      </c>
      <c r="CJ32" s="122" t="s">
        <v>106</v>
      </c>
      <c r="CK32" s="122" t="s">
        <v>89</v>
      </c>
      <c r="CL32" s="120" t="s">
        <v>532</v>
      </c>
      <c r="CM32">
        <v>1</v>
      </c>
      <c r="CN32">
        <v>7.2927999999999997</v>
      </c>
      <c r="CO32">
        <v>7.8305999999999996</v>
      </c>
      <c r="CP32" s="122">
        <v>0.5</v>
      </c>
      <c r="CQ32" s="122">
        <v>3.6459999999999999</v>
      </c>
      <c r="CR32" s="122">
        <v>3.915</v>
      </c>
      <c r="CS32" s="122" t="s">
        <v>89</v>
      </c>
      <c r="CT32" s="122" t="s">
        <v>6</v>
      </c>
      <c r="CU32" s="122" t="s">
        <v>6</v>
      </c>
      <c r="CV32" s="120" t="s">
        <v>1279</v>
      </c>
      <c r="CW32" s="122" t="s">
        <v>1279</v>
      </c>
      <c r="CX32" s="122" t="s">
        <v>89</v>
      </c>
      <c r="CY32" s="122" t="s">
        <v>89</v>
      </c>
      <c r="CZ32" s="121"/>
      <c r="DA32" s="122" t="s">
        <v>131</v>
      </c>
      <c r="DB32" s="122" t="s">
        <v>89</v>
      </c>
      <c r="DC32" s="120" t="s">
        <v>567</v>
      </c>
      <c r="DD32" s="120" t="s">
        <v>499</v>
      </c>
      <c r="DE32" s="122" t="s">
        <v>1289</v>
      </c>
    </row>
    <row r="33" spans="1:109" x14ac:dyDescent="0.25">
      <c r="A33" s="121">
        <v>5</v>
      </c>
      <c r="B33" s="122" t="s">
        <v>631</v>
      </c>
      <c r="C33" s="122" t="s">
        <v>1290</v>
      </c>
      <c r="D33" s="131">
        <v>45257</v>
      </c>
      <c r="E33" s="122" t="s">
        <v>1129</v>
      </c>
      <c r="F33" s="122" t="s">
        <v>89</v>
      </c>
      <c r="G33" s="122" t="s">
        <v>89</v>
      </c>
      <c r="H33" s="120" t="s">
        <v>89</v>
      </c>
      <c r="I33" s="121"/>
      <c r="J33" s="121"/>
      <c r="K33" s="122" t="s">
        <v>89</v>
      </c>
      <c r="L33" s="122" t="s">
        <v>89</v>
      </c>
      <c r="M33" s="122" t="s">
        <v>228</v>
      </c>
      <c r="N33" s="122" t="s">
        <v>514</v>
      </c>
      <c r="O33" s="122" t="s">
        <v>1291</v>
      </c>
      <c r="P33" s="122" t="s">
        <v>89</v>
      </c>
      <c r="Q33" s="122" t="s">
        <v>89</v>
      </c>
      <c r="R33" s="122" t="s">
        <v>1292</v>
      </c>
      <c r="S33" s="122" t="s">
        <v>1293</v>
      </c>
      <c r="T33" s="122" t="s">
        <v>562</v>
      </c>
      <c r="U33" s="122" t="s">
        <v>563</v>
      </c>
      <c r="V33" s="122" t="s">
        <v>305</v>
      </c>
      <c r="W33" s="122">
        <v>0.5</v>
      </c>
      <c r="X33" s="122" t="s">
        <v>310</v>
      </c>
      <c r="Y33" s="121">
        <v>6.77</v>
      </c>
      <c r="Z33" s="131">
        <v>46175</v>
      </c>
      <c r="AA33" s="122" t="s">
        <v>106</v>
      </c>
      <c r="AB33" s="121"/>
      <c r="AC33" s="122" t="s">
        <v>308</v>
      </c>
      <c r="AD33" s="122" t="s">
        <v>328</v>
      </c>
      <c r="AE33" s="122" t="s">
        <v>89</v>
      </c>
      <c r="AF33" s="122" t="s">
        <v>306</v>
      </c>
      <c r="AG33" s="121">
        <v>100.0052</v>
      </c>
      <c r="AH33" s="121"/>
      <c r="AI33" s="122" t="s">
        <v>314</v>
      </c>
      <c r="AJ33" s="122" t="s">
        <v>789</v>
      </c>
      <c r="AK33" s="122" t="s">
        <v>89</v>
      </c>
      <c r="AL33" s="121"/>
      <c r="AM33" s="121"/>
      <c r="AN33" s="121"/>
      <c r="AO33" s="122" t="s">
        <v>205</v>
      </c>
      <c r="AP33" s="122" t="s">
        <v>290</v>
      </c>
      <c r="AQ33" s="122" t="s">
        <v>305</v>
      </c>
      <c r="AR33" s="122" t="s">
        <v>315</v>
      </c>
      <c r="AS33" t="s">
        <v>81</v>
      </c>
      <c r="AT33" s="121" t="s">
        <v>1492</v>
      </c>
      <c r="AU33" s="122" t="s">
        <v>564</v>
      </c>
      <c r="AV33" s="122" t="s">
        <v>311</v>
      </c>
      <c r="AW33" s="122" t="s">
        <v>89</v>
      </c>
      <c r="AX33" s="122" t="s">
        <v>1294</v>
      </c>
      <c r="AY33" s="121">
        <v>10000</v>
      </c>
      <c r="AZ33" s="121">
        <v>1.25</v>
      </c>
      <c r="BA33" s="131">
        <v>45079</v>
      </c>
      <c r="BB33" s="131"/>
      <c r="BC33" s="121">
        <v>6.83</v>
      </c>
      <c r="BD33" s="131">
        <v>45173</v>
      </c>
      <c r="BE33" s="122" t="s">
        <v>1296</v>
      </c>
      <c r="BF33" s="122" t="s">
        <v>631</v>
      </c>
      <c r="BG33" s="131">
        <v>45079</v>
      </c>
      <c r="BH33" s="122" t="s">
        <v>89</v>
      </c>
      <c r="BI33" s="131">
        <v>45079</v>
      </c>
      <c r="BJ33" s="122" t="s">
        <v>89</v>
      </c>
      <c r="BK33" s="122" t="s">
        <v>1297</v>
      </c>
      <c r="BL33" s="122" t="s">
        <v>303</v>
      </c>
      <c r="BM33" s="122" t="s">
        <v>303</v>
      </c>
      <c r="BN33" s="122" t="s">
        <v>565</v>
      </c>
      <c r="BO33" s="122" t="s">
        <v>301</v>
      </c>
      <c r="BP33" s="122" t="s">
        <v>300</v>
      </c>
      <c r="BQ33" s="122" t="s">
        <v>89</v>
      </c>
      <c r="BR33" s="122" t="s">
        <v>566</v>
      </c>
      <c r="BS33" s="122" t="s">
        <v>89</v>
      </c>
      <c r="BT33" s="122" t="s">
        <v>198</v>
      </c>
      <c r="BU33" s="131"/>
      <c r="BV33" s="122" t="s">
        <v>6</v>
      </c>
      <c r="BW33" s="122" t="s">
        <v>11</v>
      </c>
      <c r="BX33" s="122" t="s">
        <v>6</v>
      </c>
      <c r="BY33" s="122" t="s">
        <v>89</v>
      </c>
      <c r="BZ33" s="131"/>
      <c r="CA33" s="121"/>
      <c r="CB33" s="122" t="s">
        <v>1298</v>
      </c>
      <c r="CC33" s="122" t="s">
        <v>291</v>
      </c>
      <c r="CD33" s="120" t="s">
        <v>1300</v>
      </c>
      <c r="CE33" s="120" t="s">
        <v>89</v>
      </c>
      <c r="CF33" s="122" t="s">
        <v>37</v>
      </c>
      <c r="CG33" s="122" t="s">
        <v>1131</v>
      </c>
      <c r="CH33" s="120" t="s">
        <v>89</v>
      </c>
      <c r="CI33" s="120" t="s">
        <v>89</v>
      </c>
      <c r="CJ33" s="122" t="s">
        <v>106</v>
      </c>
      <c r="CK33" s="122" t="s">
        <v>89</v>
      </c>
      <c r="CL33" s="120" t="s">
        <v>532</v>
      </c>
      <c r="CM33">
        <v>0.5998</v>
      </c>
      <c r="CN33">
        <v>4.3754999999999997</v>
      </c>
      <c r="CO33">
        <v>4.6967999999999996</v>
      </c>
      <c r="CP33" s="122">
        <v>0.3</v>
      </c>
      <c r="CQ33" s="122">
        <v>2.1880000000000002</v>
      </c>
      <c r="CR33" s="122">
        <v>2.3479999999999999</v>
      </c>
      <c r="CS33" s="122" t="s">
        <v>89</v>
      </c>
      <c r="CT33" s="122" t="s">
        <v>6</v>
      </c>
      <c r="CU33" s="122" t="s">
        <v>6</v>
      </c>
      <c r="CV33" s="120" t="s">
        <v>1291</v>
      </c>
      <c r="CW33" s="122" t="s">
        <v>1291</v>
      </c>
      <c r="CX33" s="122" t="s">
        <v>89</v>
      </c>
      <c r="CY33" s="122" t="s">
        <v>89</v>
      </c>
      <c r="CZ33" s="121"/>
      <c r="DA33" s="122" t="s">
        <v>131</v>
      </c>
      <c r="DB33" s="122" t="s">
        <v>89</v>
      </c>
      <c r="DC33" s="120" t="s">
        <v>567</v>
      </c>
      <c r="DD33" s="120" t="s">
        <v>89</v>
      </c>
      <c r="DE33" s="122" t="s">
        <v>1299</v>
      </c>
    </row>
    <row r="34" spans="1:109" x14ac:dyDescent="0.25">
      <c r="A34" s="121">
        <v>4</v>
      </c>
      <c r="B34" s="122" t="s">
        <v>500</v>
      </c>
      <c r="C34" s="122" t="s">
        <v>1301</v>
      </c>
      <c r="D34" s="131">
        <v>45257</v>
      </c>
      <c r="E34" s="122" t="s">
        <v>1129</v>
      </c>
      <c r="F34" s="122" t="s">
        <v>89</v>
      </c>
      <c r="G34" s="122" t="s">
        <v>89</v>
      </c>
      <c r="H34" s="120" t="s">
        <v>89</v>
      </c>
      <c r="I34" s="121"/>
      <c r="J34" s="121"/>
      <c r="K34" s="122" t="s">
        <v>89</v>
      </c>
      <c r="L34" s="122" t="s">
        <v>89</v>
      </c>
      <c r="M34" s="122" t="s">
        <v>82</v>
      </c>
      <c r="N34" s="122" t="s">
        <v>514</v>
      </c>
      <c r="O34" s="122" t="s">
        <v>89</v>
      </c>
      <c r="P34" s="122" t="s">
        <v>501</v>
      </c>
      <c r="Q34" s="122" t="s">
        <v>89</v>
      </c>
      <c r="R34" s="122" t="s">
        <v>1302</v>
      </c>
      <c r="S34" s="122" t="s">
        <v>1303</v>
      </c>
      <c r="T34" s="122" t="s">
        <v>305</v>
      </c>
      <c r="U34" s="122" t="s">
        <v>305</v>
      </c>
      <c r="V34" s="122" t="s">
        <v>305</v>
      </c>
      <c r="W34" s="122">
        <v>5.0000000000000001E-3</v>
      </c>
      <c r="X34" s="122" t="s">
        <v>1304</v>
      </c>
      <c r="Y34" s="121">
        <v>5.3</v>
      </c>
      <c r="Z34" s="131">
        <v>45351</v>
      </c>
      <c r="AA34" s="122" t="s">
        <v>106</v>
      </c>
      <c r="AB34" s="121"/>
      <c r="AC34" s="122" t="s">
        <v>308</v>
      </c>
      <c r="AD34" s="122" t="s">
        <v>328</v>
      </c>
      <c r="AE34" s="122" t="s">
        <v>89</v>
      </c>
      <c r="AF34" s="122" t="s">
        <v>306</v>
      </c>
      <c r="AG34" s="121">
        <v>100</v>
      </c>
      <c r="AH34" s="121"/>
      <c r="AI34" s="122" t="s">
        <v>314</v>
      </c>
      <c r="AJ34" s="122" t="s">
        <v>89</v>
      </c>
      <c r="AK34" s="122" t="s">
        <v>89</v>
      </c>
      <c r="AL34" s="121"/>
      <c r="AM34" s="121"/>
      <c r="AN34" s="121"/>
      <c r="AO34" s="122" t="s">
        <v>244</v>
      </c>
      <c r="AP34" s="122" t="s">
        <v>329</v>
      </c>
      <c r="AQ34" s="122" t="s">
        <v>305</v>
      </c>
      <c r="AR34" s="122" t="s">
        <v>89</v>
      </c>
      <c r="AS34" t="s">
        <v>81</v>
      </c>
      <c r="AT34" s="121" t="s">
        <v>1493</v>
      </c>
      <c r="AU34" s="122" t="s">
        <v>304</v>
      </c>
      <c r="AV34" s="122" t="s">
        <v>312</v>
      </c>
      <c r="AW34" s="122" t="s">
        <v>89</v>
      </c>
      <c r="AX34" s="122" t="s">
        <v>502</v>
      </c>
      <c r="AY34" s="121">
        <v>500000</v>
      </c>
      <c r="AZ34" s="121">
        <v>5.0000000000000001E-3</v>
      </c>
      <c r="BA34" s="131">
        <v>45259</v>
      </c>
      <c r="BB34" s="131"/>
      <c r="BC34" s="121">
        <v>5.3</v>
      </c>
      <c r="BD34" s="131">
        <v>45351</v>
      </c>
      <c r="BE34" s="122" t="s">
        <v>503</v>
      </c>
      <c r="BF34" s="122" t="s">
        <v>500</v>
      </c>
      <c r="BG34" s="131">
        <v>45259</v>
      </c>
      <c r="BH34" s="122" t="s">
        <v>89</v>
      </c>
      <c r="BI34" s="131">
        <v>45259</v>
      </c>
      <c r="BJ34" s="122" t="s">
        <v>89</v>
      </c>
      <c r="BK34" s="122" t="s">
        <v>501</v>
      </c>
      <c r="BL34" s="122" t="s">
        <v>303</v>
      </c>
      <c r="BM34" s="122" t="s">
        <v>303</v>
      </c>
      <c r="BN34" s="122" t="s">
        <v>302</v>
      </c>
      <c r="BO34" s="122" t="s">
        <v>301</v>
      </c>
      <c r="BP34" s="122" t="s">
        <v>300</v>
      </c>
      <c r="BQ34" s="122" t="s">
        <v>89</v>
      </c>
      <c r="BR34" s="122" t="s">
        <v>89</v>
      </c>
      <c r="BS34" s="122" t="s">
        <v>89</v>
      </c>
      <c r="BT34" s="122" t="s">
        <v>198</v>
      </c>
      <c r="BU34" s="131"/>
      <c r="BV34" s="122" t="s">
        <v>6</v>
      </c>
      <c r="BW34" s="122" t="s">
        <v>11</v>
      </c>
      <c r="BX34" s="122" t="s">
        <v>6</v>
      </c>
      <c r="BY34" s="122" t="s">
        <v>89</v>
      </c>
      <c r="BZ34" s="131"/>
      <c r="CA34" s="121"/>
      <c r="CB34" s="122" t="s">
        <v>80</v>
      </c>
      <c r="CC34" s="122" t="s">
        <v>80</v>
      </c>
      <c r="CD34" s="120" t="s">
        <v>298</v>
      </c>
      <c r="CE34" s="120" t="s">
        <v>89</v>
      </c>
      <c r="CF34" s="122" t="s">
        <v>37</v>
      </c>
      <c r="CG34" s="122" t="s">
        <v>89</v>
      </c>
      <c r="CH34" s="120" t="s">
        <v>89</v>
      </c>
      <c r="CI34" s="120" t="s">
        <v>89</v>
      </c>
      <c r="CJ34" s="122" t="s">
        <v>106</v>
      </c>
      <c r="CK34" s="122" t="s">
        <v>89</v>
      </c>
      <c r="CL34" s="120" t="s">
        <v>532</v>
      </c>
      <c r="CM34">
        <v>1</v>
      </c>
      <c r="CN34">
        <v>7.2927999999999997</v>
      </c>
      <c r="CO34">
        <v>7.8305999999999996</v>
      </c>
      <c r="CP34" s="122">
        <v>5.0000000000000001E-3</v>
      </c>
      <c r="CQ34" s="122">
        <v>3.5999999999999997E-2</v>
      </c>
      <c r="CR34" s="122">
        <v>3.9E-2</v>
      </c>
      <c r="CS34" s="122" t="s">
        <v>89</v>
      </c>
      <c r="CT34" s="122" t="s">
        <v>6</v>
      </c>
      <c r="CU34" s="122" t="s">
        <v>6</v>
      </c>
      <c r="CV34" s="120" t="s">
        <v>89</v>
      </c>
      <c r="CW34" s="122" t="s">
        <v>1329</v>
      </c>
      <c r="CX34" s="122" t="s">
        <v>89</v>
      </c>
      <c r="CY34" s="122" t="s">
        <v>89</v>
      </c>
      <c r="CZ34" s="121"/>
      <c r="DA34" s="122" t="s">
        <v>1330</v>
      </c>
      <c r="DB34" s="122" t="s">
        <v>806</v>
      </c>
      <c r="DC34" s="120" t="s">
        <v>6</v>
      </c>
      <c r="DD34" s="120" t="s">
        <v>89</v>
      </c>
      <c r="DE34" s="122" t="s">
        <v>1305</v>
      </c>
    </row>
    <row r="35" spans="1:109" x14ac:dyDescent="0.25">
      <c r="A35" s="121">
        <v>3</v>
      </c>
      <c r="B35" s="122" t="s">
        <v>349</v>
      </c>
      <c r="C35" s="122" t="s">
        <v>819</v>
      </c>
      <c r="D35" s="131">
        <v>45254</v>
      </c>
      <c r="E35" s="122" t="s">
        <v>253</v>
      </c>
      <c r="F35" s="122" t="s">
        <v>820</v>
      </c>
      <c r="G35" s="122" t="s">
        <v>821</v>
      </c>
      <c r="H35" s="120" t="s">
        <v>821</v>
      </c>
      <c r="I35" s="121"/>
      <c r="J35" s="121"/>
      <c r="K35" s="122" t="s">
        <v>89</v>
      </c>
      <c r="L35" s="122" t="s">
        <v>89</v>
      </c>
      <c r="M35" s="122" t="s">
        <v>82</v>
      </c>
      <c r="N35" s="122" t="s">
        <v>842</v>
      </c>
      <c r="O35" s="122" t="s">
        <v>89</v>
      </c>
      <c r="P35" s="122" t="s">
        <v>823</v>
      </c>
      <c r="Q35" s="122" t="s">
        <v>824</v>
      </c>
      <c r="R35" s="122" t="s">
        <v>825</v>
      </c>
      <c r="S35" s="122" t="s">
        <v>826</v>
      </c>
      <c r="T35" s="122" t="s">
        <v>305</v>
      </c>
      <c r="U35" s="122" t="s">
        <v>305</v>
      </c>
      <c r="V35" s="122" t="s">
        <v>305</v>
      </c>
      <c r="W35" s="122">
        <v>2.8</v>
      </c>
      <c r="X35" s="122" t="s">
        <v>827</v>
      </c>
      <c r="Y35" s="121">
        <v>7.5</v>
      </c>
      <c r="Z35" s="131">
        <v>49093</v>
      </c>
      <c r="AA35" s="122" t="s">
        <v>828</v>
      </c>
      <c r="AB35" s="121">
        <v>30</v>
      </c>
      <c r="AC35" s="122" t="s">
        <v>308</v>
      </c>
      <c r="AD35" s="122" t="s">
        <v>307</v>
      </c>
      <c r="AE35" s="122" t="s">
        <v>89</v>
      </c>
      <c r="AF35" s="122" t="s">
        <v>829</v>
      </c>
      <c r="AG35" s="121">
        <v>100</v>
      </c>
      <c r="AH35" s="121"/>
      <c r="AI35" s="122" t="s">
        <v>830</v>
      </c>
      <c r="AJ35" s="122" t="s">
        <v>831</v>
      </c>
      <c r="AK35" s="122" t="s">
        <v>89</v>
      </c>
      <c r="AL35" s="121"/>
      <c r="AM35" s="121"/>
      <c r="AN35" s="121"/>
      <c r="AO35" s="122" t="s">
        <v>244</v>
      </c>
      <c r="AP35" s="122" t="s">
        <v>290</v>
      </c>
      <c r="AQ35" s="122" t="s">
        <v>305</v>
      </c>
      <c r="AR35" s="122" t="s">
        <v>315</v>
      </c>
      <c r="AS35" t="s">
        <v>81</v>
      </c>
      <c r="AT35" s="121" t="s">
        <v>1494</v>
      </c>
      <c r="AU35" s="122" t="s">
        <v>832</v>
      </c>
      <c r="AV35" s="122" t="s">
        <v>312</v>
      </c>
      <c r="AW35" s="122" t="s">
        <v>833</v>
      </c>
      <c r="AX35" s="122" t="s">
        <v>834</v>
      </c>
      <c r="AY35" s="121">
        <v>1000</v>
      </c>
      <c r="AZ35" s="121">
        <v>2.8</v>
      </c>
      <c r="BA35" s="131">
        <v>45259</v>
      </c>
      <c r="BB35" s="131">
        <v>47267</v>
      </c>
      <c r="BC35" s="121">
        <v>7.5</v>
      </c>
      <c r="BD35" s="131">
        <v>45441</v>
      </c>
      <c r="BE35" s="122" t="s">
        <v>349</v>
      </c>
      <c r="BF35" s="122" t="s">
        <v>89</v>
      </c>
      <c r="BG35" s="131">
        <v>45259</v>
      </c>
      <c r="BH35" s="122" t="s">
        <v>821</v>
      </c>
      <c r="BI35" s="131">
        <v>45259</v>
      </c>
      <c r="BJ35" s="122" t="s">
        <v>89</v>
      </c>
      <c r="BK35" s="122" t="s">
        <v>835</v>
      </c>
      <c r="BL35" s="122" t="s">
        <v>303</v>
      </c>
      <c r="BM35" s="122" t="s">
        <v>303</v>
      </c>
      <c r="BN35" s="122" t="s">
        <v>302</v>
      </c>
      <c r="BO35" s="122" t="s">
        <v>301</v>
      </c>
      <c r="BP35" s="122" t="s">
        <v>836</v>
      </c>
      <c r="BQ35" s="122" t="s">
        <v>89</v>
      </c>
      <c r="BR35" s="122" t="s">
        <v>115</v>
      </c>
      <c r="BS35" s="122" t="s">
        <v>89</v>
      </c>
      <c r="BT35" s="122" t="s">
        <v>198</v>
      </c>
      <c r="BU35" s="131"/>
      <c r="BV35" s="122" t="s">
        <v>6</v>
      </c>
      <c r="BW35" s="122" t="s">
        <v>246</v>
      </c>
      <c r="BX35" s="122" t="s">
        <v>129</v>
      </c>
      <c r="BY35" s="122" t="s">
        <v>89</v>
      </c>
      <c r="BZ35" s="131"/>
      <c r="CA35" s="121"/>
      <c r="CB35" s="122" t="s">
        <v>80</v>
      </c>
      <c r="CC35" s="122" t="s">
        <v>80</v>
      </c>
      <c r="CD35" s="120" t="s">
        <v>838</v>
      </c>
      <c r="CE35" s="120" t="s">
        <v>89</v>
      </c>
      <c r="CF35" s="122" t="s">
        <v>35</v>
      </c>
      <c r="CG35" s="122" t="s">
        <v>89</v>
      </c>
      <c r="CH35" s="120" t="s">
        <v>89</v>
      </c>
      <c r="CI35" s="120" t="s">
        <v>89</v>
      </c>
      <c r="CJ35" s="122" t="s">
        <v>843</v>
      </c>
      <c r="CK35" s="122" t="s">
        <v>844</v>
      </c>
      <c r="CL35" s="120" t="s">
        <v>532</v>
      </c>
      <c r="CM35">
        <v>1</v>
      </c>
      <c r="CN35">
        <v>7.2927999999999997</v>
      </c>
      <c r="CO35">
        <v>7.8305999999999996</v>
      </c>
      <c r="CP35" s="122">
        <v>2.8</v>
      </c>
      <c r="CQ35" s="122">
        <v>20.420000000000002</v>
      </c>
      <c r="CR35" s="122">
        <v>21.925999999999998</v>
      </c>
      <c r="CS35" s="122" t="s">
        <v>89</v>
      </c>
      <c r="CT35" s="122" t="s">
        <v>6</v>
      </c>
      <c r="CU35" s="122" t="s">
        <v>6</v>
      </c>
      <c r="CV35" s="120" t="s">
        <v>89</v>
      </c>
      <c r="CW35" s="122" t="s">
        <v>821</v>
      </c>
      <c r="CX35" s="122" t="s">
        <v>820</v>
      </c>
      <c r="CY35" s="122" t="s">
        <v>821</v>
      </c>
      <c r="CZ35" s="121">
        <v>30</v>
      </c>
      <c r="DA35" s="122" t="s">
        <v>845</v>
      </c>
      <c r="DB35" s="122" t="s">
        <v>89</v>
      </c>
      <c r="DC35" s="120" t="s">
        <v>253</v>
      </c>
      <c r="DD35" s="120" t="s">
        <v>89</v>
      </c>
      <c r="DE35" s="122" t="s">
        <v>837</v>
      </c>
    </row>
    <row r="36" spans="1:109" x14ac:dyDescent="0.25">
      <c r="A36" s="121">
        <v>2</v>
      </c>
      <c r="B36" s="122" t="s">
        <v>1145</v>
      </c>
      <c r="C36" s="122" t="s">
        <v>1306</v>
      </c>
      <c r="D36" s="131">
        <v>45254</v>
      </c>
      <c r="E36" s="122" t="s">
        <v>1172</v>
      </c>
      <c r="F36" s="122" t="s">
        <v>89</v>
      </c>
      <c r="G36" s="122" t="s">
        <v>89</v>
      </c>
      <c r="H36" s="120" t="s">
        <v>89</v>
      </c>
      <c r="I36" s="121"/>
      <c r="J36" s="121"/>
      <c r="K36" s="122" t="s">
        <v>89</v>
      </c>
      <c r="L36" s="122" t="s">
        <v>89</v>
      </c>
      <c r="M36" s="122" t="s">
        <v>103</v>
      </c>
      <c r="N36" s="122" t="s">
        <v>514</v>
      </c>
      <c r="O36" s="122" t="s">
        <v>89</v>
      </c>
      <c r="P36" s="122" t="s">
        <v>89</v>
      </c>
      <c r="Q36" s="122" t="s">
        <v>89</v>
      </c>
      <c r="R36" s="122" t="s">
        <v>1307</v>
      </c>
      <c r="S36" s="122" t="s">
        <v>1308</v>
      </c>
      <c r="T36" s="122" t="s">
        <v>305</v>
      </c>
      <c r="U36" s="122" t="s">
        <v>305</v>
      </c>
      <c r="V36" s="122" t="s">
        <v>305</v>
      </c>
      <c r="W36" s="122">
        <v>2</v>
      </c>
      <c r="X36" s="122" t="s">
        <v>1309</v>
      </c>
      <c r="Y36" s="121">
        <v>8.8000000000000007</v>
      </c>
      <c r="Z36" s="131">
        <v>45814</v>
      </c>
      <c r="AA36" s="122" t="s">
        <v>106</v>
      </c>
      <c r="AB36" s="121"/>
      <c r="AC36" s="122" t="s">
        <v>308</v>
      </c>
      <c r="AD36" s="122" t="s">
        <v>328</v>
      </c>
      <c r="AE36" s="122" t="s">
        <v>89</v>
      </c>
      <c r="AF36" s="122" t="s">
        <v>306</v>
      </c>
      <c r="AG36" s="121">
        <v>100</v>
      </c>
      <c r="AH36" s="121"/>
      <c r="AI36" s="122" t="s">
        <v>581</v>
      </c>
      <c r="AJ36" s="122" t="s">
        <v>1153</v>
      </c>
      <c r="AK36" s="122" t="s">
        <v>89</v>
      </c>
      <c r="AL36" s="121"/>
      <c r="AM36" s="121"/>
      <c r="AN36" s="121"/>
      <c r="AO36" s="122" t="s">
        <v>244</v>
      </c>
      <c r="AP36" s="122" t="s">
        <v>329</v>
      </c>
      <c r="AQ36" s="122" t="s">
        <v>305</v>
      </c>
      <c r="AR36" s="122" t="s">
        <v>570</v>
      </c>
      <c r="AS36" t="s">
        <v>1</v>
      </c>
      <c r="AT36" s="121" t="s">
        <v>1495</v>
      </c>
      <c r="AU36" s="122" t="s">
        <v>620</v>
      </c>
      <c r="AV36" s="122" t="s">
        <v>312</v>
      </c>
      <c r="AW36" s="122" t="s">
        <v>89</v>
      </c>
      <c r="AX36" s="122" t="s">
        <v>1155</v>
      </c>
      <c r="AY36" s="121">
        <v>10000</v>
      </c>
      <c r="AZ36" s="121">
        <v>2</v>
      </c>
      <c r="BA36" s="131">
        <v>45266</v>
      </c>
      <c r="BB36" s="131"/>
      <c r="BC36" s="121">
        <v>8.8000000000000007</v>
      </c>
      <c r="BD36" s="131">
        <v>45449</v>
      </c>
      <c r="BE36" s="122" t="s">
        <v>1156</v>
      </c>
      <c r="BF36" s="122" t="s">
        <v>1145</v>
      </c>
      <c r="BG36" s="131">
        <v>45266</v>
      </c>
      <c r="BH36" s="122" t="s">
        <v>89</v>
      </c>
      <c r="BI36" s="131">
        <v>45266</v>
      </c>
      <c r="BJ36" s="122" t="s">
        <v>89</v>
      </c>
      <c r="BK36" s="122" t="s">
        <v>89</v>
      </c>
      <c r="BL36" s="122" t="s">
        <v>303</v>
      </c>
      <c r="BM36" s="122" t="s">
        <v>303</v>
      </c>
      <c r="BN36" s="122" t="s">
        <v>302</v>
      </c>
      <c r="BO36" s="122" t="s">
        <v>301</v>
      </c>
      <c r="BP36" s="122" t="s">
        <v>300</v>
      </c>
      <c r="BQ36" s="122" t="s">
        <v>89</v>
      </c>
      <c r="BR36" s="122" t="s">
        <v>115</v>
      </c>
      <c r="BS36" s="122" t="s">
        <v>89</v>
      </c>
      <c r="BT36" s="122" t="s">
        <v>198</v>
      </c>
      <c r="BU36" s="131"/>
      <c r="BV36" s="122" t="s">
        <v>6</v>
      </c>
      <c r="BW36" s="122" t="s">
        <v>9</v>
      </c>
      <c r="BX36" s="122" t="s">
        <v>6</v>
      </c>
      <c r="BY36" s="122" t="s">
        <v>89</v>
      </c>
      <c r="BZ36" s="131"/>
      <c r="CA36" s="121"/>
      <c r="CB36" s="122" t="s">
        <v>80</v>
      </c>
      <c r="CC36" s="122" t="s">
        <v>80</v>
      </c>
      <c r="CD36" s="120" t="s">
        <v>203</v>
      </c>
      <c r="CE36" s="120" t="s">
        <v>89</v>
      </c>
      <c r="CF36" s="122" t="s">
        <v>37</v>
      </c>
      <c r="CG36" s="122" t="s">
        <v>89</v>
      </c>
      <c r="CH36" s="120" t="s">
        <v>89</v>
      </c>
      <c r="CI36" s="120" t="s">
        <v>89</v>
      </c>
      <c r="CJ36" s="122" t="s">
        <v>106</v>
      </c>
      <c r="CK36" s="122" t="s">
        <v>89</v>
      </c>
      <c r="CL36" s="120" t="s">
        <v>532</v>
      </c>
      <c r="CM36">
        <v>0.1371</v>
      </c>
      <c r="CN36">
        <v>1</v>
      </c>
      <c r="CO36">
        <v>1.0732999999999999</v>
      </c>
      <c r="CP36" s="122">
        <v>0.27400000000000002</v>
      </c>
      <c r="CQ36" s="122">
        <v>2</v>
      </c>
      <c r="CR36" s="122">
        <v>2.1469999999999998</v>
      </c>
      <c r="CS36" s="122" t="s">
        <v>89</v>
      </c>
      <c r="CT36" s="122" t="s">
        <v>6</v>
      </c>
      <c r="CU36" s="122" t="s">
        <v>6</v>
      </c>
      <c r="CV36" s="120" t="s">
        <v>89</v>
      </c>
      <c r="CW36" s="122" t="s">
        <v>1323</v>
      </c>
      <c r="CX36" s="122" t="s">
        <v>89</v>
      </c>
      <c r="CY36" s="122" t="s">
        <v>89</v>
      </c>
      <c r="CZ36" s="121"/>
      <c r="DA36" s="122" t="s">
        <v>1322</v>
      </c>
      <c r="DB36" s="122" t="s">
        <v>89</v>
      </c>
      <c r="DC36" s="120" t="s">
        <v>6</v>
      </c>
      <c r="DD36" s="120" t="s">
        <v>89</v>
      </c>
      <c r="DE36" s="122" t="s">
        <v>1310</v>
      </c>
    </row>
    <row r="37" spans="1:109" x14ac:dyDescent="0.25">
      <c r="A37" s="121">
        <v>1</v>
      </c>
      <c r="B37" s="122" t="s">
        <v>1311</v>
      </c>
      <c r="C37" s="122" t="s">
        <v>1312</v>
      </c>
      <c r="D37" s="131">
        <v>45254</v>
      </c>
      <c r="E37" s="122" t="s">
        <v>1129</v>
      </c>
      <c r="F37" s="122" t="s">
        <v>89</v>
      </c>
      <c r="G37" s="122" t="s">
        <v>89</v>
      </c>
      <c r="H37" s="120" t="s">
        <v>89</v>
      </c>
      <c r="I37" s="121"/>
      <c r="J37" s="121"/>
      <c r="K37" s="122" t="s">
        <v>89</v>
      </c>
      <c r="L37" s="122" t="s">
        <v>89</v>
      </c>
      <c r="M37" s="122" t="s">
        <v>103</v>
      </c>
      <c r="N37" s="122" t="s">
        <v>514</v>
      </c>
      <c r="O37" s="122" t="s">
        <v>89</v>
      </c>
      <c r="P37" s="122" t="s">
        <v>1313</v>
      </c>
      <c r="Q37" s="122" t="s">
        <v>89</v>
      </c>
      <c r="R37" s="122" t="s">
        <v>1314</v>
      </c>
      <c r="S37" s="122" t="s">
        <v>1315</v>
      </c>
      <c r="T37" s="122" t="s">
        <v>1316</v>
      </c>
      <c r="U37" s="122" t="s">
        <v>563</v>
      </c>
      <c r="V37" s="122" t="s">
        <v>305</v>
      </c>
      <c r="W37" s="122">
        <v>3</v>
      </c>
      <c r="X37" s="122" t="s">
        <v>310</v>
      </c>
      <c r="Y37" s="121">
        <v>3.35</v>
      </c>
      <c r="Z37" s="131">
        <v>46357</v>
      </c>
      <c r="AA37" s="122" t="s">
        <v>106</v>
      </c>
      <c r="AB37" s="121"/>
      <c r="AC37" s="122" t="s">
        <v>308</v>
      </c>
      <c r="AD37" s="122" t="s">
        <v>307</v>
      </c>
      <c r="AE37" s="122" t="s">
        <v>89</v>
      </c>
      <c r="AF37" s="122" t="s">
        <v>306</v>
      </c>
      <c r="AG37" s="121"/>
      <c r="AH37" s="121"/>
      <c r="AI37" s="122" t="s">
        <v>1201</v>
      </c>
      <c r="AJ37" s="122" t="s">
        <v>89</v>
      </c>
      <c r="AK37" s="122" t="s">
        <v>89</v>
      </c>
      <c r="AL37" s="121"/>
      <c r="AM37" s="121"/>
      <c r="AN37" s="121"/>
      <c r="AO37" s="122" t="s">
        <v>244</v>
      </c>
      <c r="AP37" s="122" t="s">
        <v>329</v>
      </c>
      <c r="AQ37" s="122" t="s">
        <v>305</v>
      </c>
      <c r="AR37" s="122" t="s">
        <v>89</v>
      </c>
      <c r="AS37" t="s">
        <v>81</v>
      </c>
      <c r="AT37" s="121" t="s">
        <v>1491</v>
      </c>
      <c r="AU37" s="122" t="s">
        <v>622</v>
      </c>
      <c r="AV37" s="122" t="s">
        <v>311</v>
      </c>
      <c r="AW37" s="122" t="s">
        <v>89</v>
      </c>
      <c r="AX37" s="122" t="s">
        <v>1317</v>
      </c>
      <c r="AY37" s="121">
        <v>1000000</v>
      </c>
      <c r="AZ37" s="121">
        <v>3</v>
      </c>
      <c r="BA37" s="131">
        <v>45261</v>
      </c>
      <c r="BB37" s="131"/>
      <c r="BC37" s="121">
        <v>3.35</v>
      </c>
      <c r="BD37" s="131">
        <v>45628</v>
      </c>
      <c r="BE37" s="122" t="s">
        <v>1311</v>
      </c>
      <c r="BF37" s="122" t="s">
        <v>89</v>
      </c>
      <c r="BG37" s="131">
        <v>45261</v>
      </c>
      <c r="BH37" s="122" t="s">
        <v>89</v>
      </c>
      <c r="BI37" s="131">
        <v>45261</v>
      </c>
      <c r="BJ37" s="122" t="s">
        <v>89</v>
      </c>
      <c r="BK37" s="122" t="s">
        <v>1313</v>
      </c>
      <c r="BL37" s="122" t="s">
        <v>303</v>
      </c>
      <c r="BM37" s="122" t="s">
        <v>303</v>
      </c>
      <c r="BN37" s="122" t="s">
        <v>302</v>
      </c>
      <c r="BO37" s="122" t="s">
        <v>301</v>
      </c>
      <c r="BP37" s="122" t="s">
        <v>300</v>
      </c>
      <c r="BQ37" s="122" t="s">
        <v>89</v>
      </c>
      <c r="BR37" s="122" t="s">
        <v>791</v>
      </c>
      <c r="BS37" s="122" t="s">
        <v>89</v>
      </c>
      <c r="BT37" s="122" t="s">
        <v>198</v>
      </c>
      <c r="BU37" s="131"/>
      <c r="BV37" s="122" t="s">
        <v>6</v>
      </c>
      <c r="BW37" s="122" t="s">
        <v>12</v>
      </c>
      <c r="BX37" s="122" t="s">
        <v>6</v>
      </c>
      <c r="BY37" s="122" t="s">
        <v>89</v>
      </c>
      <c r="BZ37" s="131"/>
      <c r="CA37" s="121"/>
      <c r="CB37" s="122" t="s">
        <v>1287</v>
      </c>
      <c r="CC37" s="122" t="s">
        <v>1318</v>
      </c>
      <c r="CD37" s="120" t="s">
        <v>298</v>
      </c>
      <c r="CE37" s="120" t="s">
        <v>89</v>
      </c>
      <c r="CF37" s="122" t="s">
        <v>35</v>
      </c>
      <c r="CG37" s="122" t="s">
        <v>89</v>
      </c>
      <c r="CH37" s="120" t="s">
        <v>89</v>
      </c>
      <c r="CI37" s="120" t="s">
        <v>89</v>
      </c>
      <c r="CJ37" s="122" t="s">
        <v>106</v>
      </c>
      <c r="CK37" s="122" t="s">
        <v>89</v>
      </c>
      <c r="CL37" s="120" t="s">
        <v>532</v>
      </c>
      <c r="CM37">
        <v>0.1371</v>
      </c>
      <c r="CN37">
        <v>1</v>
      </c>
      <c r="CO37">
        <v>1.0732999999999999</v>
      </c>
      <c r="CP37" s="122">
        <v>0.41099999999999998</v>
      </c>
      <c r="CQ37" s="122">
        <v>3</v>
      </c>
      <c r="CR37" s="122">
        <v>3.22</v>
      </c>
      <c r="CS37" s="122" t="s">
        <v>89</v>
      </c>
      <c r="CT37" s="122" t="s">
        <v>6</v>
      </c>
      <c r="CU37" s="122" t="s">
        <v>6</v>
      </c>
      <c r="CV37" s="120" t="s">
        <v>89</v>
      </c>
      <c r="CW37" s="122" t="s">
        <v>1331</v>
      </c>
      <c r="CX37" s="122" t="s">
        <v>89</v>
      </c>
      <c r="CY37" s="122" t="s">
        <v>89</v>
      </c>
      <c r="CZ37" s="121"/>
      <c r="DA37" s="122" t="s">
        <v>131</v>
      </c>
      <c r="DB37" s="122" t="s">
        <v>89</v>
      </c>
      <c r="DC37" s="120" t="s">
        <v>6</v>
      </c>
      <c r="DD37" s="120" t="s">
        <v>89</v>
      </c>
      <c r="DE37" s="122" t="s">
        <v>1319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U105"/>
  <sheetViews>
    <sheetView topLeftCell="R1" zoomScale="70" zoomScaleNormal="70" workbookViewId="0">
      <selection activeCell="AE8" sqref="AE8"/>
    </sheetView>
  </sheetViews>
  <sheetFormatPr defaultColWidth="8.88671875" defaultRowHeight="20.100000000000001" customHeight="1" x14ac:dyDescent="0.25"/>
  <cols>
    <col min="1" max="1" width="12.44140625" style="20" bestFit="1" customWidth="1"/>
    <col min="2" max="2" width="13.33203125" style="20" bestFit="1" customWidth="1"/>
    <col min="3" max="3" width="15.44140625" style="20" bestFit="1" customWidth="1"/>
    <col min="4" max="4" width="35.88671875" style="20" customWidth="1"/>
    <col min="5" max="5" width="19.21875" style="20" customWidth="1"/>
    <col min="6" max="6" width="18.109375" style="20" bestFit="1" customWidth="1"/>
    <col min="7" max="7" width="8.88671875" style="20" bestFit="1" customWidth="1"/>
    <col min="8" max="8" width="24.88671875" style="20" bestFit="1" customWidth="1"/>
    <col min="9" max="9" width="13.5546875" style="20" bestFit="1" customWidth="1"/>
    <col min="10" max="10" width="9.33203125" style="20" bestFit="1" customWidth="1"/>
    <col min="11" max="11" width="19.44140625" style="20" bestFit="1" customWidth="1"/>
    <col min="12" max="15" width="2.21875" style="20" customWidth="1"/>
    <col min="16" max="16" width="17.88671875" style="20" customWidth="1"/>
    <col min="17" max="17" width="36.6640625" style="20" bestFit="1" customWidth="1"/>
    <col min="18" max="18" width="9" style="20" bestFit="1" customWidth="1"/>
    <col min="19" max="19" width="15.6640625" style="20" bestFit="1" customWidth="1"/>
    <col min="20" max="20" width="13.33203125" style="20" bestFit="1" customWidth="1"/>
    <col min="21" max="21" width="15.6640625" style="1" bestFit="1" customWidth="1"/>
    <col min="22" max="22" width="11.77734375" style="1" customWidth="1"/>
    <col min="24" max="24" width="4.6640625" style="1" bestFit="1" customWidth="1"/>
    <col min="25" max="25" width="10.44140625" style="1" bestFit="1" customWidth="1"/>
    <col min="26" max="26" width="4.44140625" style="20" bestFit="1" customWidth="1"/>
    <col min="27" max="27" width="6.77734375" style="20" bestFit="1" customWidth="1"/>
    <col min="28" max="28" width="11.44140625" style="1" customWidth="1"/>
    <col min="29" max="29" width="22.33203125" style="1" bestFit="1" customWidth="1"/>
    <col min="30" max="30" width="6" style="20" bestFit="1" customWidth="1"/>
    <col min="31" max="32" width="7" style="20" bestFit="1" customWidth="1"/>
    <col min="33" max="33" width="13.33203125" style="20" bestFit="1" customWidth="1"/>
    <col min="34" max="34" width="19.44140625" style="1" bestFit="1" customWidth="1"/>
    <col min="35" max="35" width="20" style="1" bestFit="1" customWidth="1"/>
    <col min="36" max="36" width="6.6640625" style="1" customWidth="1"/>
    <col min="37" max="39" width="7.88671875" style="34" customWidth="1"/>
    <col min="40" max="40" width="21.33203125" style="20" bestFit="1" customWidth="1"/>
    <col min="41" max="41" width="33.109375" style="20" customWidth="1"/>
    <col min="42" max="42" width="19.33203125" style="20" bestFit="1" customWidth="1"/>
    <col min="43" max="43" width="13.21875" style="20" bestFit="1" customWidth="1"/>
    <col min="44" max="44" width="10.33203125" style="20" bestFit="1" customWidth="1"/>
    <col min="45" max="45" width="13.33203125" style="20" bestFit="1" customWidth="1"/>
    <col min="46" max="47" width="12" style="20" bestFit="1" customWidth="1"/>
    <col min="48" max="48" width="11.5546875" style="20" bestFit="1" customWidth="1"/>
    <col min="49" max="49" width="14.44140625" style="20" customWidth="1"/>
    <col min="50" max="50" width="13.6640625" style="20" bestFit="1" customWidth="1"/>
    <col min="51" max="51" width="10.77734375" style="20" bestFit="1" customWidth="1"/>
    <col min="52" max="53" width="9.33203125" style="20" bestFit="1" customWidth="1"/>
    <col min="54" max="54" width="9.88671875" style="20" customWidth="1"/>
    <col min="55" max="55" width="7.6640625" style="34" bestFit="1" customWidth="1"/>
    <col min="56" max="56" width="4.109375" style="34" customWidth="1"/>
    <col min="57" max="57" width="4.109375" style="20" customWidth="1"/>
    <col min="58" max="58" width="28.109375" style="20" bestFit="1" customWidth="1"/>
    <col min="59" max="59" width="26.44140625" style="20" bestFit="1" customWidth="1"/>
    <col min="60" max="60" width="14.44140625" style="20" bestFit="1" customWidth="1"/>
    <col min="61" max="61" width="11.5546875" style="20" customWidth="1"/>
    <col min="62" max="62" width="12.44140625" style="20" bestFit="1" customWidth="1"/>
    <col min="63" max="64" width="10.77734375" style="20" bestFit="1" customWidth="1"/>
    <col min="65" max="67" width="11.33203125" style="20" bestFit="1" customWidth="1"/>
    <col min="68" max="68" width="15.6640625" style="20" customWidth="1"/>
    <col min="69" max="71" width="1.77734375" style="20" customWidth="1"/>
    <col min="72" max="72" width="10.5546875" style="20" bestFit="1" customWidth="1"/>
    <col min="73" max="73" width="37.33203125" style="20" bestFit="1" customWidth="1"/>
    <col min="74" max="75" width="1.33203125" style="20" customWidth="1"/>
    <col min="76" max="16384" width="8.88671875" style="20"/>
  </cols>
  <sheetData>
    <row r="1" spans="1:73" s="34" customFormat="1" ht="49.5" x14ac:dyDescent="0.55000000000000004">
      <c r="A1" s="33" t="s">
        <v>773</v>
      </c>
      <c r="C1" s="42" t="s">
        <v>284</v>
      </c>
      <c r="F1" s="41" t="s">
        <v>280</v>
      </c>
      <c r="G1" s="41" t="s">
        <v>87</v>
      </c>
      <c r="H1" s="41" t="s">
        <v>629</v>
      </c>
      <c r="I1" s="41" t="s">
        <v>151</v>
      </c>
      <c r="J1" s="87" t="s">
        <v>285</v>
      </c>
      <c r="P1" s="33" t="s">
        <v>266</v>
      </c>
      <c r="Q1" s="42" t="s">
        <v>283</v>
      </c>
      <c r="R1" s="41" t="s">
        <v>120</v>
      </c>
      <c r="S1" s="41" t="s">
        <v>85</v>
      </c>
      <c r="T1" s="41" t="s">
        <v>51</v>
      </c>
      <c r="U1" s="41" t="s">
        <v>132</v>
      </c>
      <c r="W1" s="41" t="s">
        <v>205</v>
      </c>
      <c r="X1" s="41" t="s">
        <v>87</v>
      </c>
      <c r="Y1" s="41" t="s">
        <v>62</v>
      </c>
      <c r="AN1" s="33" t="s">
        <v>287</v>
      </c>
      <c r="AO1" s="42" t="s">
        <v>281</v>
      </c>
      <c r="AT1" s="87" t="s">
        <v>546</v>
      </c>
      <c r="AU1" s="41" t="s">
        <v>139</v>
      </c>
      <c r="AV1" s="41" t="s">
        <v>138</v>
      </c>
      <c r="AX1" s="41" t="s">
        <v>128</v>
      </c>
      <c r="AY1" s="41" t="s">
        <v>164</v>
      </c>
      <c r="AZ1" s="41" t="s">
        <v>165</v>
      </c>
      <c r="BA1" s="41" t="s">
        <v>166</v>
      </c>
      <c r="BC1" s="145" t="s">
        <v>282</v>
      </c>
      <c r="BF1" s="33" t="s">
        <v>772</v>
      </c>
      <c r="BG1" s="41" t="s">
        <v>145</v>
      </c>
      <c r="BH1" s="41" t="s">
        <v>188</v>
      </c>
      <c r="BI1" s="41" t="s">
        <v>584</v>
      </c>
      <c r="BJ1" s="41" t="s">
        <v>585</v>
      </c>
      <c r="BK1" s="41" t="s">
        <v>169</v>
      </c>
      <c r="BL1" s="116" t="s">
        <v>586</v>
      </c>
      <c r="BS1" s="117" t="s">
        <v>774</v>
      </c>
    </row>
    <row r="2" spans="1:73" s="35" customFormat="1" ht="75" customHeight="1" x14ac:dyDescent="0.35">
      <c r="A2" s="88" t="s">
        <v>286</v>
      </c>
      <c r="D2" s="45"/>
      <c r="I2" s="45"/>
      <c r="J2" s="45"/>
      <c r="Q2" s="36"/>
      <c r="R2" s="45" t="s">
        <v>216</v>
      </c>
      <c r="S2" s="45" t="s">
        <v>216</v>
      </c>
      <c r="T2" s="45" t="s">
        <v>216</v>
      </c>
      <c r="U2" s="45" t="s">
        <v>216</v>
      </c>
      <c r="V2" s="45" t="s">
        <v>216</v>
      </c>
      <c r="W2" s="45" t="s">
        <v>216</v>
      </c>
      <c r="X2" s="46"/>
      <c r="Y2" s="45"/>
      <c r="AJ2" s="34"/>
      <c r="AK2" s="34"/>
      <c r="AL2" s="34"/>
      <c r="AU2" s="45"/>
      <c r="AV2" s="45"/>
      <c r="AW2" s="45"/>
      <c r="AX2" s="45"/>
      <c r="AY2" s="45"/>
      <c r="AZ2" s="45"/>
      <c r="BA2" s="45"/>
      <c r="BB2" s="34"/>
      <c r="BC2" s="34"/>
      <c r="BG2" s="45" t="s">
        <v>216</v>
      </c>
      <c r="BH2" s="45" t="s">
        <v>216</v>
      </c>
      <c r="BI2" s="45" t="s">
        <v>216</v>
      </c>
      <c r="BJ2" s="45" t="s">
        <v>216</v>
      </c>
      <c r="BK2" s="45" t="s">
        <v>216</v>
      </c>
      <c r="BL2" s="45" t="s">
        <v>216</v>
      </c>
      <c r="BS2" s="118" t="s">
        <v>775</v>
      </c>
    </row>
    <row r="3" spans="1:73" s="38" customFormat="1" ht="15" x14ac:dyDescent="0.25">
      <c r="A3" s="79" t="s">
        <v>280</v>
      </c>
      <c r="B3" s="37" t="s">
        <v>46</v>
      </c>
      <c r="C3" s="37" t="s">
        <v>47</v>
      </c>
      <c r="D3" s="37" t="s">
        <v>91</v>
      </c>
      <c r="E3" s="37" t="s">
        <v>119</v>
      </c>
      <c r="F3" s="37" t="s">
        <v>144</v>
      </c>
      <c r="G3" s="37" t="s">
        <v>87</v>
      </c>
      <c r="H3" s="37" t="s">
        <v>629</v>
      </c>
      <c r="I3" s="37" t="s">
        <v>151</v>
      </c>
      <c r="J3" s="37" t="s">
        <v>152</v>
      </c>
      <c r="K3" s="37" t="s">
        <v>121</v>
      </c>
      <c r="P3" s="37" t="s">
        <v>47</v>
      </c>
      <c r="Q3" s="37" t="s">
        <v>91</v>
      </c>
      <c r="R3" s="37" t="s">
        <v>120</v>
      </c>
      <c r="S3" s="37" t="s">
        <v>85</v>
      </c>
      <c r="T3" s="37" t="s">
        <v>51</v>
      </c>
      <c r="U3" s="37" t="s">
        <v>132</v>
      </c>
      <c r="V3" s="37" t="s">
        <v>134</v>
      </c>
      <c r="W3" s="37" t="s">
        <v>122</v>
      </c>
      <c r="X3" s="37" t="s">
        <v>62</v>
      </c>
      <c r="Y3" s="37" t="s">
        <v>55</v>
      </c>
      <c r="Z3" s="37" t="s">
        <v>84</v>
      </c>
      <c r="AA3" s="37" t="s">
        <v>114</v>
      </c>
      <c r="AB3" s="37" t="s">
        <v>326</v>
      </c>
      <c r="AC3" s="37" t="s">
        <v>88</v>
      </c>
      <c r="AD3" s="37" t="s">
        <v>140</v>
      </c>
      <c r="AE3" s="37" t="s">
        <v>141</v>
      </c>
      <c r="AF3" s="37" t="s">
        <v>174</v>
      </c>
      <c r="AG3" s="37" t="s">
        <v>46</v>
      </c>
      <c r="AH3" s="37" t="s">
        <v>121</v>
      </c>
      <c r="AI3" s="37"/>
      <c r="AJ3" s="34"/>
      <c r="AK3" s="34"/>
      <c r="AL3" s="34"/>
      <c r="AN3" s="37" t="s">
        <v>91</v>
      </c>
      <c r="AO3" s="37" t="s">
        <v>121</v>
      </c>
      <c r="AP3" s="37" t="s">
        <v>46</v>
      </c>
      <c r="AQ3" s="37" t="s">
        <v>47</v>
      </c>
      <c r="AR3" s="37" t="s">
        <v>168</v>
      </c>
      <c r="AS3" s="37" t="s">
        <v>153</v>
      </c>
      <c r="AT3" s="37" t="s">
        <v>546</v>
      </c>
      <c r="AU3" s="37" t="s">
        <v>139</v>
      </c>
      <c r="AV3" s="37" t="s">
        <v>138</v>
      </c>
      <c r="AW3" s="37" t="s">
        <v>148</v>
      </c>
      <c r="AX3" s="37" t="s">
        <v>137</v>
      </c>
      <c r="AY3" s="37" t="s">
        <v>128</v>
      </c>
      <c r="AZ3" s="37" t="s">
        <v>164</v>
      </c>
      <c r="BA3" s="37" t="s">
        <v>165</v>
      </c>
      <c r="BB3" s="37" t="s">
        <v>166</v>
      </c>
      <c r="BC3" s="34"/>
      <c r="BD3" s="34"/>
      <c r="BF3" s="37" t="s">
        <v>91</v>
      </c>
      <c r="BG3" s="37" t="s">
        <v>145</v>
      </c>
      <c r="BH3" s="37" t="s">
        <v>188</v>
      </c>
      <c r="BI3" s="37" t="s">
        <v>584</v>
      </c>
      <c r="BJ3" s="37" t="s">
        <v>585</v>
      </c>
      <c r="BK3" s="37" t="s">
        <v>169</v>
      </c>
      <c r="BL3" s="37" t="s">
        <v>586</v>
      </c>
      <c r="BM3" s="37" t="s">
        <v>86</v>
      </c>
      <c r="BN3" s="37" t="s">
        <v>43</v>
      </c>
      <c r="BO3" s="37" t="s">
        <v>44</v>
      </c>
      <c r="BS3" s="37"/>
      <c r="BT3" s="37" t="s">
        <v>83</v>
      </c>
      <c r="BU3" s="38" t="s">
        <v>679</v>
      </c>
    </row>
    <row r="4" spans="1:73" ht="16.5" x14ac:dyDescent="0.3">
      <c r="A4" s="30"/>
      <c r="B4" s="21" t="s">
        <v>1358</v>
      </c>
      <c r="C4" s="78">
        <v>45261</v>
      </c>
      <c r="D4" s="77" t="s">
        <v>1357</v>
      </c>
      <c r="E4" s="89" t="s">
        <v>80</v>
      </c>
      <c r="F4" s="89" t="s">
        <v>80</v>
      </c>
      <c r="G4" s="21" t="s">
        <v>35</v>
      </c>
      <c r="H4" s="21" t="s">
        <v>89</v>
      </c>
      <c r="I4" s="21" t="s">
        <v>6</v>
      </c>
      <c r="J4" s="21" t="s">
        <v>6</v>
      </c>
      <c r="K4" s="21" t="s">
        <v>1372</v>
      </c>
      <c r="P4" s="84">
        <v>45261</v>
      </c>
      <c r="Q4" s="84" t="s">
        <v>1357</v>
      </c>
      <c r="R4" s="39" t="s">
        <v>89</v>
      </c>
      <c r="S4" s="39" t="s">
        <v>89</v>
      </c>
      <c r="T4" s="86" t="s">
        <v>821</v>
      </c>
      <c r="U4" s="86" t="s">
        <v>89</v>
      </c>
      <c r="V4" s="39"/>
      <c r="W4" s="85" t="s">
        <v>89</v>
      </c>
      <c r="X4" s="39" t="s">
        <v>103</v>
      </c>
      <c r="Y4" s="40">
        <v>2.1800000000000002</v>
      </c>
      <c r="Z4" s="39" t="s">
        <v>131</v>
      </c>
      <c r="AA4" s="39" t="s">
        <v>821</v>
      </c>
      <c r="AB4" s="39" t="s">
        <v>6</v>
      </c>
      <c r="AC4" s="39" t="s">
        <v>215</v>
      </c>
      <c r="AD4" s="39">
        <v>0.29899999999999999</v>
      </c>
      <c r="AE4" s="39">
        <v>2.1800000000000002</v>
      </c>
      <c r="AF4" s="39">
        <v>2.34</v>
      </c>
      <c r="AG4" s="39" t="s">
        <v>1358</v>
      </c>
      <c r="AH4" s="39" t="s">
        <v>1372</v>
      </c>
      <c r="AI4" s="39"/>
      <c r="AJ4" s="34"/>
      <c r="AM4" s="20"/>
      <c r="AN4" s="38" t="s">
        <v>349</v>
      </c>
      <c r="AO4" s="38" t="s">
        <v>837</v>
      </c>
      <c r="AP4" s="80" t="s">
        <v>819</v>
      </c>
      <c r="AQ4" s="80">
        <v>45254</v>
      </c>
      <c r="AR4" s="38" t="s">
        <v>1356</v>
      </c>
      <c r="AS4" s="38" t="s">
        <v>1355</v>
      </c>
      <c r="AT4" s="38" t="s">
        <v>5</v>
      </c>
      <c r="AU4" s="38" t="s">
        <v>147</v>
      </c>
      <c r="AV4" s="81" t="s">
        <v>146</v>
      </c>
      <c r="AW4" s="38" t="s">
        <v>847</v>
      </c>
      <c r="AX4" s="82" t="s">
        <v>848</v>
      </c>
      <c r="AY4" s="38" t="s">
        <v>129</v>
      </c>
      <c r="AZ4" s="83"/>
      <c r="BA4" s="83"/>
      <c r="BB4" s="81" t="s">
        <v>6</v>
      </c>
      <c r="BF4" s="38" t="s">
        <v>1395</v>
      </c>
      <c r="BG4" s="38" t="s">
        <v>1512</v>
      </c>
      <c r="BH4" s="38" t="s">
        <v>210</v>
      </c>
      <c r="BI4" s="38"/>
      <c r="BJ4" s="38"/>
      <c r="BK4" s="38" t="s">
        <v>160</v>
      </c>
      <c r="BL4" s="38" t="s">
        <v>606</v>
      </c>
      <c r="BM4" s="38" t="s">
        <v>19</v>
      </c>
      <c r="BN4" s="38" t="s">
        <v>1407</v>
      </c>
      <c r="BO4" s="38" t="s">
        <v>89</v>
      </c>
      <c r="BS4"/>
      <c r="BT4" s="21">
        <v>1</v>
      </c>
      <c r="BU4" s="20" t="s">
        <v>680</v>
      </c>
    </row>
    <row r="5" spans="1:73" ht="16.5" x14ac:dyDescent="0.3">
      <c r="A5" s="30"/>
      <c r="B5" s="21" t="s">
        <v>1374</v>
      </c>
      <c r="C5" s="78">
        <v>45261</v>
      </c>
      <c r="D5" s="77" t="s">
        <v>1373</v>
      </c>
      <c r="E5" s="89" t="s">
        <v>80</v>
      </c>
      <c r="F5" s="89" t="s">
        <v>1386</v>
      </c>
      <c r="G5" s="21" t="s">
        <v>37</v>
      </c>
      <c r="H5" s="21" t="s">
        <v>89</v>
      </c>
      <c r="I5" s="21" t="s">
        <v>6</v>
      </c>
      <c r="J5" s="21" t="s">
        <v>129</v>
      </c>
      <c r="K5" s="21" t="s">
        <v>1387</v>
      </c>
      <c r="P5" s="84">
        <v>45261</v>
      </c>
      <c r="Q5" s="84" t="s">
        <v>1373</v>
      </c>
      <c r="R5" s="39" t="s">
        <v>89</v>
      </c>
      <c r="S5" s="39" t="s">
        <v>89</v>
      </c>
      <c r="T5" s="39" t="s">
        <v>89</v>
      </c>
      <c r="U5" s="39" t="s">
        <v>89</v>
      </c>
      <c r="V5" s="39"/>
      <c r="W5" s="85" t="s">
        <v>89</v>
      </c>
      <c r="X5" s="39" t="s">
        <v>103</v>
      </c>
      <c r="Y5" s="40">
        <v>20</v>
      </c>
      <c r="Z5" s="39" t="s">
        <v>131</v>
      </c>
      <c r="AA5" s="39" t="s">
        <v>1496</v>
      </c>
      <c r="AB5" s="39" t="s">
        <v>6</v>
      </c>
      <c r="AC5" s="39" t="s">
        <v>204</v>
      </c>
      <c r="AD5" s="39">
        <v>2.742</v>
      </c>
      <c r="AE5" s="39">
        <v>20</v>
      </c>
      <c r="AF5" s="39">
        <v>21.466000000000001</v>
      </c>
      <c r="AG5" s="39" t="s">
        <v>1374</v>
      </c>
      <c r="AH5" s="39" t="s">
        <v>1387</v>
      </c>
      <c r="AI5" s="39"/>
      <c r="AJ5" s="34"/>
      <c r="AM5" s="20"/>
      <c r="AN5" s="38" t="s">
        <v>1373</v>
      </c>
      <c r="AO5" s="38" t="s">
        <v>1387</v>
      </c>
      <c r="AP5" s="80" t="s">
        <v>1374</v>
      </c>
      <c r="AQ5" s="80">
        <v>45261</v>
      </c>
      <c r="AR5" s="38" t="s">
        <v>805</v>
      </c>
      <c r="AS5" s="38" t="s">
        <v>805</v>
      </c>
      <c r="AT5" s="38" t="s">
        <v>4</v>
      </c>
      <c r="AU5" s="38" t="s">
        <v>150</v>
      </c>
      <c r="AV5" s="81" t="s">
        <v>146</v>
      </c>
      <c r="AW5" s="38" t="s">
        <v>1516</v>
      </c>
      <c r="AX5" s="82">
        <v>2023</v>
      </c>
      <c r="AY5" s="38" t="s">
        <v>129</v>
      </c>
      <c r="AZ5" s="83"/>
      <c r="BA5" s="83"/>
      <c r="BB5" s="81" t="s">
        <v>6</v>
      </c>
      <c r="BF5" s="38" t="s">
        <v>1431</v>
      </c>
      <c r="BG5" s="38" t="s">
        <v>1513</v>
      </c>
      <c r="BH5" s="38" t="s">
        <v>210</v>
      </c>
      <c r="BI5" s="38"/>
      <c r="BJ5" s="38"/>
      <c r="BK5" s="38" t="s">
        <v>160</v>
      </c>
      <c r="BL5" s="38" t="s">
        <v>606</v>
      </c>
      <c r="BM5" s="38" t="s">
        <v>15</v>
      </c>
      <c r="BN5" s="38" t="s">
        <v>1442</v>
      </c>
      <c r="BO5" s="38" t="s">
        <v>89</v>
      </c>
      <c r="BS5"/>
      <c r="BT5" s="21">
        <v>2</v>
      </c>
      <c r="BU5" s="20" t="s">
        <v>681</v>
      </c>
    </row>
    <row r="6" spans="1:73" ht="16.5" x14ac:dyDescent="0.3">
      <c r="A6" s="21"/>
      <c r="B6" s="21" t="s">
        <v>1389</v>
      </c>
      <c r="C6" s="78">
        <v>45261</v>
      </c>
      <c r="D6" s="77" t="s">
        <v>1388</v>
      </c>
      <c r="E6" s="89" t="s">
        <v>80</v>
      </c>
      <c r="F6" s="21" t="s">
        <v>80</v>
      </c>
      <c r="G6" s="21" t="s">
        <v>38</v>
      </c>
      <c r="H6" s="21" t="s">
        <v>89</v>
      </c>
      <c r="I6" s="21" t="s">
        <v>6</v>
      </c>
      <c r="J6" s="21" t="s">
        <v>6</v>
      </c>
      <c r="K6" s="21" t="s">
        <v>1394</v>
      </c>
      <c r="P6" s="84">
        <v>45261</v>
      </c>
      <c r="Q6" s="84" t="s">
        <v>1388</v>
      </c>
      <c r="R6" s="40" t="s">
        <v>89</v>
      </c>
      <c r="S6" s="40" t="s">
        <v>89</v>
      </c>
      <c r="T6" s="102" t="s">
        <v>89</v>
      </c>
      <c r="U6" s="39" t="s">
        <v>89</v>
      </c>
      <c r="V6" s="39"/>
      <c r="W6" s="86" t="s">
        <v>89</v>
      </c>
      <c r="X6" s="39" t="s">
        <v>82</v>
      </c>
      <c r="Y6" s="40">
        <v>1.65</v>
      </c>
      <c r="Z6" s="39" t="s">
        <v>544</v>
      </c>
      <c r="AA6" s="39" t="s">
        <v>1497</v>
      </c>
      <c r="AB6" s="39" t="s">
        <v>6</v>
      </c>
      <c r="AC6" s="39" t="s">
        <v>204</v>
      </c>
      <c r="AD6" s="39">
        <v>1.65</v>
      </c>
      <c r="AE6" s="39">
        <v>12.032999999999999</v>
      </c>
      <c r="AF6" s="39">
        <v>12.92</v>
      </c>
      <c r="AG6" s="39" t="s">
        <v>1389</v>
      </c>
      <c r="AH6" s="39" t="s">
        <v>1394</v>
      </c>
      <c r="AI6" s="39"/>
      <c r="AJ6" s="34"/>
      <c r="AM6" s="20"/>
      <c r="AN6" s="38" t="s">
        <v>1431</v>
      </c>
      <c r="AO6" s="38" t="s">
        <v>1446</v>
      </c>
      <c r="AP6" s="80" t="s">
        <v>1432</v>
      </c>
      <c r="AQ6" s="80">
        <v>45261</v>
      </c>
      <c r="AR6" s="38" t="s">
        <v>805</v>
      </c>
      <c r="AS6" s="38" t="s">
        <v>805</v>
      </c>
      <c r="AT6" s="38" t="s">
        <v>191</v>
      </c>
      <c r="AU6" s="38" t="s">
        <v>157</v>
      </c>
      <c r="AV6" s="81" t="s">
        <v>156</v>
      </c>
      <c r="AW6" s="38" t="s">
        <v>1515</v>
      </c>
      <c r="AX6" s="82"/>
      <c r="AY6" s="38" t="s">
        <v>129</v>
      </c>
      <c r="AZ6" s="83"/>
      <c r="BA6" s="81" t="s">
        <v>1517</v>
      </c>
      <c r="BB6" s="38" t="s">
        <v>6</v>
      </c>
      <c r="BF6" s="38" t="s">
        <v>1254</v>
      </c>
      <c r="BG6" s="38" t="s">
        <v>1511</v>
      </c>
      <c r="BH6" s="38" t="s">
        <v>210</v>
      </c>
      <c r="BI6" s="38"/>
      <c r="BJ6" s="38"/>
      <c r="BK6" s="38" t="s">
        <v>160</v>
      </c>
      <c r="BL6" s="38" t="s">
        <v>608</v>
      </c>
      <c r="BM6" s="38" t="s">
        <v>7</v>
      </c>
      <c r="BN6" s="38" t="s">
        <v>799</v>
      </c>
      <c r="BO6" s="38" t="s">
        <v>839</v>
      </c>
      <c r="BS6"/>
      <c r="BT6" s="21">
        <v>3</v>
      </c>
      <c r="BU6" s="20" t="s">
        <v>682</v>
      </c>
    </row>
    <row r="7" spans="1:73" ht="16.5" x14ac:dyDescent="0.3">
      <c r="A7" s="21"/>
      <c r="B7" s="21" t="s">
        <v>1396</v>
      </c>
      <c r="C7" s="78">
        <v>45261</v>
      </c>
      <c r="D7" s="77" t="s">
        <v>1395</v>
      </c>
      <c r="E7" s="89" t="s">
        <v>80</v>
      </c>
      <c r="F7" s="21" t="s">
        <v>80</v>
      </c>
      <c r="G7" s="21" t="s">
        <v>108</v>
      </c>
      <c r="H7" s="21" t="s">
        <v>634</v>
      </c>
      <c r="I7" s="21" t="s">
        <v>6</v>
      </c>
      <c r="J7" s="21" t="s">
        <v>6</v>
      </c>
      <c r="K7" s="21" t="s">
        <v>1412</v>
      </c>
      <c r="P7" s="84">
        <v>45261</v>
      </c>
      <c r="Q7" s="84" t="s">
        <v>1395</v>
      </c>
      <c r="R7" s="39" t="s">
        <v>1498</v>
      </c>
      <c r="S7" s="40" t="s">
        <v>1397</v>
      </c>
      <c r="T7" s="110" t="s">
        <v>846</v>
      </c>
      <c r="U7" s="39" t="s">
        <v>846</v>
      </c>
      <c r="V7" s="39">
        <v>30</v>
      </c>
      <c r="W7" s="86" t="s">
        <v>89</v>
      </c>
      <c r="X7" s="39" t="s">
        <v>103</v>
      </c>
      <c r="Y7" s="40">
        <v>3.363</v>
      </c>
      <c r="Z7" s="39" t="s">
        <v>1499</v>
      </c>
      <c r="AA7" s="39" t="s">
        <v>846</v>
      </c>
      <c r="AB7" s="39" t="s">
        <v>6</v>
      </c>
      <c r="AC7" s="39" t="s">
        <v>215</v>
      </c>
      <c r="AD7" s="39">
        <v>0.46100000000000002</v>
      </c>
      <c r="AE7" s="39">
        <v>3.363</v>
      </c>
      <c r="AF7" s="39">
        <v>3.61</v>
      </c>
      <c r="AG7" s="39" t="s">
        <v>1396</v>
      </c>
      <c r="AH7" s="39" t="s">
        <v>1412</v>
      </c>
      <c r="AI7" s="39"/>
      <c r="AJ7" s="34"/>
      <c r="AM7" s="20"/>
      <c r="AN7" s="38" t="s">
        <v>380</v>
      </c>
      <c r="AO7" s="38" t="s">
        <v>1235</v>
      </c>
      <c r="AP7" s="80" t="s">
        <v>1216</v>
      </c>
      <c r="AQ7" s="80">
        <v>45258</v>
      </c>
      <c r="AR7" s="38" t="s">
        <v>805</v>
      </c>
      <c r="AS7" s="38" t="s">
        <v>805</v>
      </c>
      <c r="AT7" s="38" t="s">
        <v>5</v>
      </c>
      <c r="AU7" s="38" t="s">
        <v>147</v>
      </c>
      <c r="AV7" s="81" t="s">
        <v>146</v>
      </c>
      <c r="AW7" s="38" t="s">
        <v>1333</v>
      </c>
      <c r="AX7" s="82">
        <v>2023</v>
      </c>
      <c r="AY7" s="38" t="s">
        <v>129</v>
      </c>
      <c r="AZ7" s="83"/>
      <c r="BA7" s="83"/>
      <c r="BB7" s="81" t="s">
        <v>6</v>
      </c>
      <c r="BF7" s="38" t="s">
        <v>1182</v>
      </c>
      <c r="BG7" s="38" t="s">
        <v>1332</v>
      </c>
      <c r="BH7" s="38" t="s">
        <v>210</v>
      </c>
      <c r="BI7" s="38"/>
      <c r="BJ7" s="38"/>
      <c r="BK7" s="38" t="s">
        <v>160</v>
      </c>
      <c r="BL7" s="38" t="s">
        <v>606</v>
      </c>
      <c r="BM7" s="38" t="s">
        <v>9</v>
      </c>
      <c r="BN7" s="38" t="s">
        <v>1178</v>
      </c>
      <c r="BO7" s="38" t="s">
        <v>89</v>
      </c>
      <c r="BS7"/>
      <c r="BT7" s="21">
        <v>4</v>
      </c>
      <c r="BU7" s="20" t="s">
        <v>683</v>
      </c>
    </row>
    <row r="8" spans="1:73" ht="15" x14ac:dyDescent="0.25">
      <c r="A8" s="21"/>
      <c r="B8" s="21" t="s">
        <v>1413</v>
      </c>
      <c r="C8" s="78">
        <v>45261</v>
      </c>
      <c r="D8" s="77" t="s">
        <v>1054</v>
      </c>
      <c r="E8" s="89" t="s">
        <v>1251</v>
      </c>
      <c r="F8" s="89" t="s">
        <v>1514</v>
      </c>
      <c r="G8" s="21" t="s">
        <v>35</v>
      </c>
      <c r="H8" s="21" t="s">
        <v>89</v>
      </c>
      <c r="I8" s="21" t="s">
        <v>129</v>
      </c>
      <c r="J8" s="21" t="s">
        <v>6</v>
      </c>
      <c r="K8" s="21" t="s">
        <v>1430</v>
      </c>
      <c r="P8" s="84">
        <v>45261</v>
      </c>
      <c r="Q8" s="84" t="s">
        <v>1054</v>
      </c>
      <c r="R8" s="40" t="s">
        <v>499</v>
      </c>
      <c r="S8" s="40" t="s">
        <v>1414</v>
      </c>
      <c r="T8" s="39" t="s">
        <v>1415</v>
      </c>
      <c r="U8" s="86" t="s">
        <v>1415</v>
      </c>
      <c r="V8" s="39">
        <v>45</v>
      </c>
      <c r="W8" s="86" t="s">
        <v>89</v>
      </c>
      <c r="X8" s="39" t="s">
        <v>82</v>
      </c>
      <c r="Y8" s="40">
        <v>5</v>
      </c>
      <c r="Z8" s="39" t="s">
        <v>1122</v>
      </c>
      <c r="AA8" s="39" t="s">
        <v>1415</v>
      </c>
      <c r="AB8" s="39" t="s">
        <v>6</v>
      </c>
      <c r="AC8" s="39" t="s">
        <v>1500</v>
      </c>
      <c r="AD8" s="39">
        <v>5</v>
      </c>
      <c r="AE8" s="39">
        <v>36.463999999999999</v>
      </c>
      <c r="AF8" s="39">
        <v>39.152999999999999</v>
      </c>
      <c r="AG8" s="39" t="s">
        <v>1413</v>
      </c>
      <c r="AH8" s="39" t="s">
        <v>1430</v>
      </c>
      <c r="AI8" s="39"/>
      <c r="AJ8" s="34"/>
      <c r="AM8" s="20"/>
      <c r="AN8" s="38"/>
      <c r="AO8" s="38"/>
      <c r="AP8" s="80"/>
      <c r="AQ8" s="80"/>
      <c r="AR8" s="38"/>
      <c r="AS8" s="38"/>
      <c r="AT8" s="38"/>
      <c r="AU8" s="38"/>
      <c r="AV8" s="81"/>
      <c r="AW8" s="38"/>
      <c r="AX8" s="81"/>
      <c r="AY8" s="38"/>
      <c r="AZ8" s="83"/>
      <c r="BA8" s="81"/>
      <c r="BB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S8"/>
      <c r="BT8" s="21">
        <v>5</v>
      </c>
      <c r="BU8" s="20" t="s">
        <v>684</v>
      </c>
    </row>
    <row r="9" spans="1:73" ht="15" x14ac:dyDescent="0.25">
      <c r="A9" s="21"/>
      <c r="B9" s="21" t="s">
        <v>1160</v>
      </c>
      <c r="C9" s="78">
        <v>45261</v>
      </c>
      <c r="D9" s="77" t="s">
        <v>1159</v>
      </c>
      <c r="E9" s="89" t="s">
        <v>80</v>
      </c>
      <c r="F9" s="21" t="s">
        <v>80</v>
      </c>
      <c r="G9" s="21" t="s">
        <v>35</v>
      </c>
      <c r="H9" s="21" t="s">
        <v>89</v>
      </c>
      <c r="I9" s="21" t="s">
        <v>89</v>
      </c>
      <c r="J9" s="21" t="s">
        <v>89</v>
      </c>
      <c r="K9" s="21" t="s">
        <v>1526</v>
      </c>
      <c r="P9" s="84">
        <v>45261</v>
      </c>
      <c r="Q9" s="84" t="s">
        <v>1159</v>
      </c>
      <c r="R9" s="40" t="s">
        <v>89</v>
      </c>
      <c r="S9" s="40" t="s">
        <v>89</v>
      </c>
      <c r="T9" s="86" t="s">
        <v>1524</v>
      </c>
      <c r="U9" s="39" t="s">
        <v>89</v>
      </c>
      <c r="V9" s="39"/>
      <c r="W9" s="86" t="s">
        <v>205</v>
      </c>
      <c r="X9" s="40" t="s">
        <v>103</v>
      </c>
      <c r="Y9" s="40">
        <v>1.04</v>
      </c>
      <c r="Z9" s="39" t="s">
        <v>544</v>
      </c>
      <c r="AA9" s="39" t="s">
        <v>821</v>
      </c>
      <c r="AB9" s="39" t="s">
        <v>89</v>
      </c>
      <c r="AC9" s="39" t="s">
        <v>204</v>
      </c>
      <c r="AD9" s="39">
        <v>0.14299999999999999</v>
      </c>
      <c r="AE9" s="39">
        <v>1.04</v>
      </c>
      <c r="AF9" s="39">
        <v>1.1160000000000001</v>
      </c>
      <c r="AG9" s="39" t="s">
        <v>1160</v>
      </c>
      <c r="AH9" s="39" t="s">
        <v>1526</v>
      </c>
      <c r="AI9" s="39"/>
      <c r="AJ9" s="34"/>
      <c r="AM9" s="20"/>
      <c r="AN9" s="38"/>
      <c r="AO9" s="38"/>
      <c r="AP9" s="80"/>
      <c r="AQ9" s="80"/>
      <c r="AR9" s="38"/>
      <c r="AS9" s="38"/>
      <c r="AT9" s="38"/>
      <c r="AU9" s="38"/>
      <c r="AV9" s="81"/>
      <c r="AW9" s="81"/>
      <c r="AX9" s="81"/>
      <c r="AY9" s="38"/>
      <c r="AZ9" s="83"/>
      <c r="BA9" s="81"/>
      <c r="BB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S9"/>
      <c r="BT9" s="21">
        <v>6</v>
      </c>
      <c r="BU9" s="20" t="s">
        <v>685</v>
      </c>
    </row>
    <row r="10" spans="1:73" ht="15" x14ac:dyDescent="0.25">
      <c r="A10" s="21"/>
      <c r="B10" s="21" t="s">
        <v>1432</v>
      </c>
      <c r="C10" s="78">
        <v>45261</v>
      </c>
      <c r="D10" s="77" t="s">
        <v>1431</v>
      </c>
      <c r="E10" s="89" t="s">
        <v>80</v>
      </c>
      <c r="F10" s="89" t="s">
        <v>80</v>
      </c>
      <c r="G10" s="21" t="s">
        <v>108</v>
      </c>
      <c r="H10" s="21" t="s">
        <v>631</v>
      </c>
      <c r="I10" s="21" t="s">
        <v>129</v>
      </c>
      <c r="J10" s="21" t="s">
        <v>6</v>
      </c>
      <c r="K10" s="21" t="s">
        <v>1446</v>
      </c>
      <c r="P10" s="84">
        <v>45261</v>
      </c>
      <c r="Q10" s="84" t="s">
        <v>1431</v>
      </c>
      <c r="R10" s="40" t="s">
        <v>89</v>
      </c>
      <c r="S10" s="40" t="s">
        <v>1433</v>
      </c>
      <c r="T10" s="39" t="s">
        <v>1434</v>
      </c>
      <c r="U10" s="39" t="s">
        <v>1434</v>
      </c>
      <c r="V10" s="39">
        <v>20</v>
      </c>
      <c r="W10" s="86" t="s">
        <v>89</v>
      </c>
      <c r="X10" s="39" t="s">
        <v>103</v>
      </c>
      <c r="Y10" s="40">
        <v>4</v>
      </c>
      <c r="Z10" s="39" t="s">
        <v>131</v>
      </c>
      <c r="AA10" s="39" t="s">
        <v>1434</v>
      </c>
      <c r="AB10" s="39" t="s">
        <v>6</v>
      </c>
      <c r="AC10" s="39" t="s">
        <v>204</v>
      </c>
      <c r="AD10" s="39">
        <v>0.54800000000000004</v>
      </c>
      <c r="AE10" s="39">
        <v>4</v>
      </c>
      <c r="AF10" s="39">
        <v>4.2930000000000001</v>
      </c>
      <c r="AG10" s="39" t="s">
        <v>1432</v>
      </c>
      <c r="AH10" s="39" t="s">
        <v>1446</v>
      </c>
      <c r="AI10" s="39"/>
      <c r="AJ10" s="34"/>
      <c r="AM10" s="20"/>
      <c r="AN10" s="38"/>
      <c r="AO10" s="38"/>
      <c r="AP10" s="80"/>
      <c r="AQ10" s="80"/>
      <c r="AR10" s="38"/>
      <c r="AS10" s="38"/>
      <c r="AT10" s="38"/>
      <c r="AU10" s="38"/>
      <c r="AV10" s="81"/>
      <c r="AW10" s="38"/>
      <c r="AX10" s="38"/>
      <c r="AY10" s="38"/>
      <c r="AZ10" s="83"/>
      <c r="BA10" s="38"/>
      <c r="BB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S10"/>
      <c r="BT10" s="21">
        <v>7</v>
      </c>
      <c r="BU10" s="20" t="s">
        <v>686</v>
      </c>
    </row>
    <row r="11" spans="1:73" ht="15" x14ac:dyDescent="0.25">
      <c r="A11" s="21"/>
      <c r="B11" s="21" t="s">
        <v>1133</v>
      </c>
      <c r="C11" s="78">
        <v>45260</v>
      </c>
      <c r="D11" s="77" t="s">
        <v>1132</v>
      </c>
      <c r="E11" s="21" t="s">
        <v>80</v>
      </c>
      <c r="F11" s="89" t="s">
        <v>80</v>
      </c>
      <c r="G11" s="21" t="s">
        <v>108</v>
      </c>
      <c r="H11" s="21" t="s">
        <v>634</v>
      </c>
      <c r="I11" s="21" t="s">
        <v>6</v>
      </c>
      <c r="J11" s="21" t="s">
        <v>6</v>
      </c>
      <c r="K11" s="21" t="s">
        <v>1144</v>
      </c>
      <c r="P11" s="84">
        <v>45260</v>
      </c>
      <c r="Q11" s="84" t="s">
        <v>1132</v>
      </c>
      <c r="R11" s="40" t="s">
        <v>89</v>
      </c>
      <c r="S11" s="40" t="s">
        <v>89</v>
      </c>
      <c r="T11" s="39" t="s">
        <v>846</v>
      </c>
      <c r="U11" s="86" t="s">
        <v>89</v>
      </c>
      <c r="V11" s="39"/>
      <c r="W11" s="86" t="s">
        <v>89</v>
      </c>
      <c r="X11" s="39" t="s">
        <v>103</v>
      </c>
      <c r="Y11" s="40">
        <v>3.6970000000000001</v>
      </c>
      <c r="Z11" s="39" t="s">
        <v>131</v>
      </c>
      <c r="AA11" s="39" t="s">
        <v>846</v>
      </c>
      <c r="AB11" s="39" t="s">
        <v>6</v>
      </c>
      <c r="AC11" s="39" t="s">
        <v>204</v>
      </c>
      <c r="AD11" s="39">
        <v>0.50700000000000001</v>
      </c>
      <c r="AE11" s="39">
        <v>3.6970000000000001</v>
      </c>
      <c r="AF11" s="39">
        <v>3.968</v>
      </c>
      <c r="AG11" s="39" t="s">
        <v>1133</v>
      </c>
      <c r="AH11" s="39" t="s">
        <v>1144</v>
      </c>
      <c r="AI11" s="39"/>
      <c r="AJ11" s="34"/>
      <c r="AM11" s="20"/>
      <c r="AN11" s="38"/>
      <c r="AO11" s="38"/>
      <c r="AP11" s="80"/>
      <c r="AQ11" s="80"/>
      <c r="AR11" s="38"/>
      <c r="AS11" s="38"/>
      <c r="AT11" s="38"/>
      <c r="AU11" s="38"/>
      <c r="AV11" s="81"/>
      <c r="AW11" s="38"/>
      <c r="AX11" s="38"/>
      <c r="AY11" s="38"/>
      <c r="AZ11" s="80"/>
      <c r="BA11" s="38"/>
      <c r="BB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S11"/>
      <c r="BT11" s="21">
        <v>8</v>
      </c>
      <c r="BU11" s="20" t="s">
        <v>687</v>
      </c>
    </row>
    <row r="12" spans="1:73" ht="15" x14ac:dyDescent="0.25">
      <c r="A12" s="21"/>
      <c r="B12" s="21" t="s">
        <v>1146</v>
      </c>
      <c r="C12" s="78">
        <v>45260</v>
      </c>
      <c r="D12" s="77" t="s">
        <v>1145</v>
      </c>
      <c r="E12" s="21" t="s">
        <v>80</v>
      </c>
      <c r="F12" s="21" t="s">
        <v>80</v>
      </c>
      <c r="G12" s="21" t="s">
        <v>37</v>
      </c>
      <c r="H12" s="21" t="s">
        <v>89</v>
      </c>
      <c r="I12" s="21" t="s">
        <v>6</v>
      </c>
      <c r="J12" s="21" t="s">
        <v>6</v>
      </c>
      <c r="K12" s="21" t="s">
        <v>1158</v>
      </c>
      <c r="P12" s="84">
        <v>45260</v>
      </c>
      <c r="Q12" s="84" t="s">
        <v>1145</v>
      </c>
      <c r="R12" s="39" t="s">
        <v>89</v>
      </c>
      <c r="S12" s="40" t="s">
        <v>89</v>
      </c>
      <c r="T12" s="86" t="s">
        <v>1147</v>
      </c>
      <c r="U12" s="39" t="s">
        <v>89</v>
      </c>
      <c r="V12" s="39"/>
      <c r="W12" s="86" t="s">
        <v>89</v>
      </c>
      <c r="X12" s="39" t="s">
        <v>103</v>
      </c>
      <c r="Y12" s="40">
        <v>2</v>
      </c>
      <c r="Z12" s="39" t="s">
        <v>1122</v>
      </c>
      <c r="AA12" s="39" t="s">
        <v>1147</v>
      </c>
      <c r="AB12" s="39" t="s">
        <v>6</v>
      </c>
      <c r="AC12" s="39" t="s">
        <v>106</v>
      </c>
      <c r="AD12" s="39">
        <v>0.27400000000000002</v>
      </c>
      <c r="AE12" s="39">
        <v>2</v>
      </c>
      <c r="AF12" s="39">
        <v>2.1469999999999998</v>
      </c>
      <c r="AG12" s="39" t="s">
        <v>1146</v>
      </c>
      <c r="AH12" s="39" t="s">
        <v>1158</v>
      </c>
      <c r="AI12" s="39"/>
      <c r="AJ12" s="34"/>
      <c r="AM12" s="20"/>
      <c r="AN12" s="38"/>
      <c r="AO12" s="38"/>
      <c r="AP12" s="80"/>
      <c r="AQ12" s="80"/>
      <c r="AR12" s="38"/>
      <c r="AS12" s="38"/>
      <c r="AT12" s="38"/>
      <c r="AU12" s="38"/>
      <c r="AV12" s="81"/>
      <c r="AW12" s="38"/>
      <c r="AX12" s="38"/>
      <c r="AY12" s="38"/>
      <c r="AZ12" s="80"/>
      <c r="BA12" s="38"/>
      <c r="BB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S12"/>
      <c r="BT12" s="21">
        <v>9</v>
      </c>
      <c r="BU12" s="20" t="s">
        <v>688</v>
      </c>
    </row>
    <row r="13" spans="1:73" ht="15" x14ac:dyDescent="0.25">
      <c r="A13" s="21"/>
      <c r="B13" s="21" t="s">
        <v>1160</v>
      </c>
      <c r="C13" s="78">
        <v>45260</v>
      </c>
      <c r="D13" s="77" t="s">
        <v>1159</v>
      </c>
      <c r="E13" s="21" t="s">
        <v>80</v>
      </c>
      <c r="F13" s="21" t="s">
        <v>80</v>
      </c>
      <c r="G13" s="21" t="s">
        <v>35</v>
      </c>
      <c r="H13" s="21" t="s">
        <v>89</v>
      </c>
      <c r="I13" s="21" t="s">
        <v>6</v>
      </c>
      <c r="J13" s="21" t="s">
        <v>6</v>
      </c>
      <c r="K13" s="21" t="s">
        <v>1169</v>
      </c>
      <c r="P13" s="84">
        <v>45260</v>
      </c>
      <c r="Q13" s="84" t="s">
        <v>1159</v>
      </c>
      <c r="R13" s="39" t="s">
        <v>89</v>
      </c>
      <c r="S13" s="39" t="s">
        <v>89</v>
      </c>
      <c r="T13" s="86" t="s">
        <v>821</v>
      </c>
      <c r="U13" s="39" t="s">
        <v>89</v>
      </c>
      <c r="V13" s="39"/>
      <c r="W13" s="86" t="s">
        <v>89</v>
      </c>
      <c r="X13" s="39" t="s">
        <v>103</v>
      </c>
      <c r="Y13" s="40">
        <v>3.53</v>
      </c>
      <c r="Z13" s="39" t="s">
        <v>544</v>
      </c>
      <c r="AA13" s="39" t="s">
        <v>821</v>
      </c>
      <c r="AB13" s="39" t="s">
        <v>6</v>
      </c>
      <c r="AC13" s="39" t="s">
        <v>204</v>
      </c>
      <c r="AD13" s="39">
        <v>0.48399999999999999</v>
      </c>
      <c r="AE13" s="39">
        <v>3.53</v>
      </c>
      <c r="AF13" s="39">
        <v>3.7890000000000001</v>
      </c>
      <c r="AG13" s="39" t="s">
        <v>1160</v>
      </c>
      <c r="AH13" s="39" t="s">
        <v>1169</v>
      </c>
      <c r="AI13" s="39"/>
      <c r="AJ13" s="34"/>
      <c r="AM13" s="20"/>
      <c r="AZ13" s="38"/>
      <c r="BA13" s="38"/>
      <c r="BB13" s="34"/>
      <c r="BD13" s="20"/>
      <c r="BS13"/>
      <c r="BT13" s="21">
        <v>10</v>
      </c>
      <c r="BU13" s="20" t="s">
        <v>689</v>
      </c>
    </row>
    <row r="14" spans="1:73" ht="15" x14ac:dyDescent="0.25">
      <c r="A14" s="21"/>
      <c r="B14" s="21" t="s">
        <v>1171</v>
      </c>
      <c r="C14" s="78">
        <v>45259</v>
      </c>
      <c r="D14" s="77" t="s">
        <v>1170</v>
      </c>
      <c r="E14" s="21" t="s">
        <v>80</v>
      </c>
      <c r="F14" s="21" t="s">
        <v>80</v>
      </c>
      <c r="G14" s="21" t="s">
        <v>233</v>
      </c>
      <c r="H14" s="21" t="s">
        <v>653</v>
      </c>
      <c r="I14" s="21" t="s">
        <v>6</v>
      </c>
      <c r="J14" s="21" t="s">
        <v>6</v>
      </c>
      <c r="K14" s="21" t="s">
        <v>1183</v>
      </c>
      <c r="P14" s="84">
        <v>45259</v>
      </c>
      <c r="Q14" s="84" t="s">
        <v>1170</v>
      </c>
      <c r="R14" s="39" t="s">
        <v>89</v>
      </c>
      <c r="S14" s="39" t="s">
        <v>89</v>
      </c>
      <c r="T14" s="86" t="s">
        <v>1173</v>
      </c>
      <c r="U14" s="86" t="s">
        <v>89</v>
      </c>
      <c r="V14" s="39"/>
      <c r="W14" s="39" t="s">
        <v>89</v>
      </c>
      <c r="X14" s="39" t="s">
        <v>103</v>
      </c>
      <c r="Y14" s="40">
        <v>3</v>
      </c>
      <c r="Z14" s="39" t="s">
        <v>131</v>
      </c>
      <c r="AA14" s="39" t="s">
        <v>1173</v>
      </c>
      <c r="AB14" s="39" t="s">
        <v>6</v>
      </c>
      <c r="AC14" s="39" t="s">
        <v>204</v>
      </c>
      <c r="AD14" s="39">
        <v>0.41099999999999998</v>
      </c>
      <c r="AE14" s="39">
        <v>3</v>
      </c>
      <c r="AF14" s="39">
        <v>3.22</v>
      </c>
      <c r="AG14" s="39" t="s">
        <v>1171</v>
      </c>
      <c r="AH14" s="39" t="s">
        <v>1183</v>
      </c>
      <c r="AI14" s="39"/>
      <c r="AJ14" s="34"/>
      <c r="AM14" s="20"/>
      <c r="BA14" s="38"/>
      <c r="BB14" s="34"/>
      <c r="BD14" s="20"/>
      <c r="BS14"/>
      <c r="BT14" s="21">
        <v>11</v>
      </c>
      <c r="BU14" s="20" t="s">
        <v>690</v>
      </c>
    </row>
    <row r="15" spans="1:73" ht="15" x14ac:dyDescent="0.25">
      <c r="A15" s="21"/>
      <c r="B15" s="21" t="s">
        <v>1189</v>
      </c>
      <c r="C15" s="78">
        <v>45259</v>
      </c>
      <c r="D15" s="77" t="s">
        <v>1188</v>
      </c>
      <c r="E15" s="21" t="s">
        <v>80</v>
      </c>
      <c r="F15" s="21" t="s">
        <v>1208</v>
      </c>
      <c r="G15" s="21" t="s">
        <v>37</v>
      </c>
      <c r="H15" s="21" t="s">
        <v>89</v>
      </c>
      <c r="I15" s="21" t="s">
        <v>6</v>
      </c>
      <c r="J15" s="21" t="s">
        <v>6</v>
      </c>
      <c r="K15" s="21" t="s">
        <v>1209</v>
      </c>
      <c r="P15" s="84">
        <v>45259</v>
      </c>
      <c r="Q15" s="84" t="s">
        <v>1188</v>
      </c>
      <c r="R15" s="39" t="s">
        <v>89</v>
      </c>
      <c r="S15" s="39" t="s">
        <v>1190</v>
      </c>
      <c r="T15" s="86" t="s">
        <v>1191</v>
      </c>
      <c r="U15" s="39" t="s">
        <v>1206</v>
      </c>
      <c r="V15" s="39">
        <v>52.5</v>
      </c>
      <c r="W15" s="86" t="s">
        <v>89</v>
      </c>
      <c r="X15" s="39" t="s">
        <v>82</v>
      </c>
      <c r="Y15" s="40">
        <v>1.87</v>
      </c>
      <c r="Z15" s="39" t="s">
        <v>131</v>
      </c>
      <c r="AA15" s="39" t="s">
        <v>1206</v>
      </c>
      <c r="AB15" s="39" t="s">
        <v>253</v>
      </c>
      <c r="AC15" s="39" t="s">
        <v>215</v>
      </c>
      <c r="AD15" s="39">
        <v>1.87</v>
      </c>
      <c r="AE15" s="39">
        <v>13.638</v>
      </c>
      <c r="AF15" s="39">
        <v>14.643000000000001</v>
      </c>
      <c r="AG15" s="39" t="s">
        <v>1189</v>
      </c>
      <c r="AH15" s="39" t="s">
        <v>1209</v>
      </c>
      <c r="AI15" s="39"/>
      <c r="AJ15" s="34"/>
      <c r="AM15" s="20"/>
      <c r="BA15" s="38"/>
      <c r="BB15" s="34"/>
      <c r="BD15" s="20"/>
      <c r="BS15"/>
      <c r="BT15" s="21">
        <v>12</v>
      </c>
      <c r="BU15" s="20" t="s">
        <v>691</v>
      </c>
    </row>
    <row r="16" spans="1:73" ht="15" x14ac:dyDescent="0.25">
      <c r="A16" s="21"/>
      <c r="B16" s="21" t="s">
        <v>1211</v>
      </c>
      <c r="C16" s="78">
        <v>45258</v>
      </c>
      <c r="D16" s="77" t="s">
        <v>1145</v>
      </c>
      <c r="E16" s="21" t="s">
        <v>80</v>
      </c>
      <c r="F16" s="21" t="s">
        <v>80</v>
      </c>
      <c r="G16" s="21" t="s">
        <v>37</v>
      </c>
      <c r="H16" s="21" t="s">
        <v>89</v>
      </c>
      <c r="I16" s="21" t="s">
        <v>6</v>
      </c>
      <c r="J16" s="21" t="s">
        <v>6</v>
      </c>
      <c r="K16" s="21" t="s">
        <v>1215</v>
      </c>
      <c r="P16" s="84">
        <v>45258</v>
      </c>
      <c r="Q16" s="84" t="s">
        <v>1145</v>
      </c>
      <c r="R16" s="39" t="s">
        <v>89</v>
      </c>
      <c r="S16" s="39" t="s">
        <v>89</v>
      </c>
      <c r="T16" s="86" t="s">
        <v>89</v>
      </c>
      <c r="U16" s="39" t="s">
        <v>89</v>
      </c>
      <c r="V16" s="39"/>
      <c r="W16" s="39" t="s">
        <v>89</v>
      </c>
      <c r="X16" s="39" t="s">
        <v>103</v>
      </c>
      <c r="Y16" s="40">
        <v>3</v>
      </c>
      <c r="Z16" s="39" t="s">
        <v>1122</v>
      </c>
      <c r="AA16" s="39" t="s">
        <v>1320</v>
      </c>
      <c r="AB16" s="39" t="s">
        <v>6</v>
      </c>
      <c r="AC16" s="39" t="s">
        <v>106</v>
      </c>
      <c r="AD16" s="39">
        <v>0.41099999999999998</v>
      </c>
      <c r="AE16" s="39">
        <v>3</v>
      </c>
      <c r="AF16" s="39">
        <v>3.22</v>
      </c>
      <c r="AG16" s="39" t="s">
        <v>1211</v>
      </c>
      <c r="AH16" s="39" t="s">
        <v>1215</v>
      </c>
      <c r="AI16" s="39"/>
      <c r="AJ16" s="34"/>
      <c r="AM16" s="20"/>
      <c r="BB16" s="34"/>
      <c r="BD16" s="20"/>
      <c r="BS16"/>
      <c r="BT16" s="21">
        <v>13</v>
      </c>
      <c r="BU16" s="20" t="s">
        <v>692</v>
      </c>
    </row>
    <row r="17" spans="1:73" ht="15" x14ac:dyDescent="0.25">
      <c r="A17" s="21"/>
      <c r="B17" s="21" t="s">
        <v>1216</v>
      </c>
      <c r="C17" s="78">
        <v>45258</v>
      </c>
      <c r="D17" s="77" t="s">
        <v>380</v>
      </c>
      <c r="E17" s="21" t="s">
        <v>1233</v>
      </c>
      <c r="F17" s="21" t="s">
        <v>1234</v>
      </c>
      <c r="G17" s="21" t="s">
        <v>35</v>
      </c>
      <c r="H17" s="21" t="s">
        <v>89</v>
      </c>
      <c r="I17" s="21" t="s">
        <v>129</v>
      </c>
      <c r="J17" s="21" t="s">
        <v>6</v>
      </c>
      <c r="K17" s="21" t="s">
        <v>1235</v>
      </c>
      <c r="P17" s="84">
        <v>45258</v>
      </c>
      <c r="Q17" s="84" t="s">
        <v>380</v>
      </c>
      <c r="R17" s="39" t="s">
        <v>89</v>
      </c>
      <c r="S17" s="39" t="s">
        <v>1217</v>
      </c>
      <c r="T17" s="39" t="s">
        <v>1218</v>
      </c>
      <c r="U17" s="39" t="s">
        <v>1218</v>
      </c>
      <c r="V17" s="39">
        <v>35</v>
      </c>
      <c r="W17" s="39" t="s">
        <v>89</v>
      </c>
      <c r="X17" s="39" t="s">
        <v>82</v>
      </c>
      <c r="Y17" s="40">
        <v>5</v>
      </c>
      <c r="Z17" s="39" t="s">
        <v>1096</v>
      </c>
      <c r="AA17" s="39" t="s">
        <v>1321</v>
      </c>
      <c r="AB17" s="39" t="s">
        <v>253</v>
      </c>
      <c r="AC17" s="39" t="s">
        <v>215</v>
      </c>
      <c r="AD17" s="39">
        <v>5</v>
      </c>
      <c r="AE17" s="39">
        <v>36.463999999999999</v>
      </c>
      <c r="AF17" s="39">
        <v>39.152999999999999</v>
      </c>
      <c r="AG17" s="39" t="s">
        <v>1216</v>
      </c>
      <c r="AH17" s="39" t="s">
        <v>1235</v>
      </c>
      <c r="AI17" s="39"/>
      <c r="AJ17" s="34"/>
      <c r="AM17" s="20"/>
      <c r="BB17" s="34"/>
      <c r="BD17" s="20"/>
      <c r="BS17"/>
      <c r="BT17" s="21">
        <v>14</v>
      </c>
      <c r="BU17" s="20" t="s">
        <v>693</v>
      </c>
    </row>
    <row r="18" spans="1:73" ht="15" x14ac:dyDescent="0.25">
      <c r="A18" s="21"/>
      <c r="B18" s="21" t="s">
        <v>1237</v>
      </c>
      <c r="C18" s="78">
        <v>45257</v>
      </c>
      <c r="D18" s="77" t="s">
        <v>1236</v>
      </c>
      <c r="E18" s="21" t="s">
        <v>1251</v>
      </c>
      <c r="F18" s="21" t="s">
        <v>1251</v>
      </c>
      <c r="G18" s="21" t="s">
        <v>37</v>
      </c>
      <c r="H18" s="21" t="s">
        <v>89</v>
      </c>
      <c r="I18" s="21" t="s">
        <v>6</v>
      </c>
      <c r="J18" s="21" t="s">
        <v>6</v>
      </c>
      <c r="K18" s="21" t="s">
        <v>1253</v>
      </c>
      <c r="P18" s="84">
        <v>45257</v>
      </c>
      <c r="Q18" s="84" t="s">
        <v>1236</v>
      </c>
      <c r="R18" s="39" t="s">
        <v>510</v>
      </c>
      <c r="S18" s="39" t="s">
        <v>1238</v>
      </c>
      <c r="T18" s="39" t="s">
        <v>1239</v>
      </c>
      <c r="U18" s="39" t="s">
        <v>1239</v>
      </c>
      <c r="V18" s="39">
        <v>40</v>
      </c>
      <c r="W18" s="39" t="s">
        <v>89</v>
      </c>
      <c r="X18" s="39" t="s">
        <v>82</v>
      </c>
      <c r="Y18" s="40">
        <v>3.3</v>
      </c>
      <c r="Z18" s="39" t="s">
        <v>131</v>
      </c>
      <c r="AA18" s="39" t="s">
        <v>1239</v>
      </c>
      <c r="AB18" s="39" t="s">
        <v>6</v>
      </c>
      <c r="AC18" s="39" t="s">
        <v>204</v>
      </c>
      <c r="AD18" s="39">
        <v>3.3</v>
      </c>
      <c r="AE18" s="39">
        <v>24.065999999999999</v>
      </c>
      <c r="AF18" s="39">
        <v>25.841000000000001</v>
      </c>
      <c r="AG18" s="39" t="s">
        <v>1237</v>
      </c>
      <c r="AH18" s="39" t="s">
        <v>1253</v>
      </c>
      <c r="AI18" s="39"/>
      <c r="AJ18" s="34"/>
      <c r="AM18" s="20"/>
      <c r="BB18" s="34"/>
      <c r="BD18" s="20"/>
      <c r="BS18"/>
      <c r="BT18" s="21">
        <v>15</v>
      </c>
      <c r="BU18" s="20" t="s">
        <v>694</v>
      </c>
    </row>
    <row r="19" spans="1:73" ht="15" x14ac:dyDescent="0.25">
      <c r="A19" s="21"/>
      <c r="B19" s="21" t="s">
        <v>1255</v>
      </c>
      <c r="C19" s="78">
        <v>45257</v>
      </c>
      <c r="D19" s="77" t="s">
        <v>1254</v>
      </c>
      <c r="E19" s="21" t="s">
        <v>80</v>
      </c>
      <c r="F19" s="21" t="s">
        <v>80</v>
      </c>
      <c r="G19" s="21" t="s">
        <v>38</v>
      </c>
      <c r="H19" s="21" t="s">
        <v>89</v>
      </c>
      <c r="I19" s="21" t="s">
        <v>6</v>
      </c>
      <c r="J19" s="21" t="s">
        <v>6</v>
      </c>
      <c r="K19" s="21" t="s">
        <v>1268</v>
      </c>
      <c r="P19" s="84">
        <v>45257</v>
      </c>
      <c r="Q19" s="84" t="s">
        <v>1254</v>
      </c>
      <c r="R19" s="39" t="s">
        <v>89</v>
      </c>
      <c r="S19" s="39" t="s">
        <v>1256</v>
      </c>
      <c r="T19" s="39" t="s">
        <v>1257</v>
      </c>
      <c r="U19" s="39" t="s">
        <v>1257</v>
      </c>
      <c r="V19" s="39">
        <v>40</v>
      </c>
      <c r="W19" s="39" t="s">
        <v>89</v>
      </c>
      <c r="X19" s="39" t="s">
        <v>103</v>
      </c>
      <c r="Y19" s="40">
        <v>7.1</v>
      </c>
      <c r="Z19" s="39" t="s">
        <v>131</v>
      </c>
      <c r="AA19" s="39" t="s">
        <v>1257</v>
      </c>
      <c r="AB19" s="39" t="s">
        <v>6</v>
      </c>
      <c r="AC19" s="39" t="s">
        <v>204</v>
      </c>
      <c r="AD19" s="39">
        <v>0.97299999999999998</v>
      </c>
      <c r="AE19" s="39">
        <v>7.1</v>
      </c>
      <c r="AF19" s="39">
        <v>7.62</v>
      </c>
      <c r="AG19" s="39" t="s">
        <v>1255</v>
      </c>
      <c r="AH19" s="39" t="s">
        <v>1268</v>
      </c>
      <c r="AI19" s="39"/>
      <c r="AJ19" s="34"/>
      <c r="AM19" s="20"/>
      <c r="BB19" s="34"/>
      <c r="BD19" s="20"/>
      <c r="BS19"/>
      <c r="BT19" s="21">
        <v>16</v>
      </c>
      <c r="BU19" s="20" t="s">
        <v>695</v>
      </c>
    </row>
    <row r="20" spans="1:73" ht="15" x14ac:dyDescent="0.25">
      <c r="A20" s="21"/>
      <c r="B20" s="21" t="s">
        <v>1269</v>
      </c>
      <c r="C20" s="78">
        <v>45257</v>
      </c>
      <c r="D20" s="77" t="s">
        <v>1182</v>
      </c>
      <c r="E20" s="21" t="s">
        <v>80</v>
      </c>
      <c r="F20" s="21" t="s">
        <v>80</v>
      </c>
      <c r="G20" s="21" t="s">
        <v>109</v>
      </c>
      <c r="H20" s="21" t="s">
        <v>634</v>
      </c>
      <c r="I20" s="21" t="s">
        <v>6</v>
      </c>
      <c r="J20" s="21" t="s">
        <v>6</v>
      </c>
      <c r="K20" s="21" t="s">
        <v>1277</v>
      </c>
      <c r="P20" s="84">
        <v>45257</v>
      </c>
      <c r="Q20" s="84" t="s">
        <v>1182</v>
      </c>
      <c r="R20" s="39" t="s">
        <v>89</v>
      </c>
      <c r="S20" s="39" t="s">
        <v>89</v>
      </c>
      <c r="T20" s="39" t="s">
        <v>846</v>
      </c>
      <c r="U20" s="39" t="s">
        <v>89</v>
      </c>
      <c r="V20" s="39"/>
      <c r="W20" s="39" t="s">
        <v>89</v>
      </c>
      <c r="X20" s="39" t="s">
        <v>103</v>
      </c>
      <c r="Y20" s="40">
        <v>1.92</v>
      </c>
      <c r="Z20" s="39" t="s">
        <v>131</v>
      </c>
      <c r="AA20" s="39" t="s">
        <v>846</v>
      </c>
      <c r="AB20" s="39" t="s">
        <v>6</v>
      </c>
      <c r="AC20" s="39" t="s">
        <v>204</v>
      </c>
      <c r="AD20" s="39">
        <v>0.26300000000000001</v>
      </c>
      <c r="AE20" s="39">
        <v>1.92</v>
      </c>
      <c r="AF20" s="39">
        <v>2.0609999999999999</v>
      </c>
      <c r="AG20" s="39" t="s">
        <v>1269</v>
      </c>
      <c r="AH20" s="39" t="s">
        <v>1277</v>
      </c>
      <c r="AI20" s="39"/>
      <c r="AJ20" s="34"/>
      <c r="AM20" s="20"/>
      <c r="BB20" s="34"/>
      <c r="BD20" s="20"/>
      <c r="BS20"/>
      <c r="BT20" s="21">
        <v>17</v>
      </c>
      <c r="BU20" s="20" t="s">
        <v>696</v>
      </c>
    </row>
    <row r="21" spans="1:73" ht="15" x14ac:dyDescent="0.25">
      <c r="A21" s="21"/>
      <c r="B21" s="21" t="s">
        <v>819</v>
      </c>
      <c r="C21" s="78">
        <v>45254</v>
      </c>
      <c r="D21" s="77" t="s">
        <v>349</v>
      </c>
      <c r="E21" s="21" t="s">
        <v>80</v>
      </c>
      <c r="F21" s="21" t="s">
        <v>80</v>
      </c>
      <c r="G21" s="21" t="s">
        <v>35</v>
      </c>
      <c r="H21" s="21" t="s">
        <v>89</v>
      </c>
      <c r="I21" s="21" t="s">
        <v>6</v>
      </c>
      <c r="J21" s="21" t="s">
        <v>6</v>
      </c>
      <c r="K21" s="21" t="s">
        <v>837</v>
      </c>
      <c r="P21" s="84">
        <v>45254</v>
      </c>
      <c r="Q21" s="84" t="s">
        <v>349</v>
      </c>
      <c r="R21" s="39" t="s">
        <v>89</v>
      </c>
      <c r="S21" s="39" t="s">
        <v>820</v>
      </c>
      <c r="T21" s="86" t="s">
        <v>821</v>
      </c>
      <c r="U21" s="39" t="s">
        <v>821</v>
      </c>
      <c r="V21" s="39">
        <v>30</v>
      </c>
      <c r="W21" s="39" t="s">
        <v>89</v>
      </c>
      <c r="X21" s="39" t="s">
        <v>82</v>
      </c>
      <c r="Y21" s="40">
        <v>2.8</v>
      </c>
      <c r="Z21" s="39" t="s">
        <v>845</v>
      </c>
      <c r="AA21" s="39" t="s">
        <v>821</v>
      </c>
      <c r="AB21" s="39" t="s">
        <v>253</v>
      </c>
      <c r="AC21" s="39" t="s">
        <v>843</v>
      </c>
      <c r="AD21" s="39">
        <v>2.8</v>
      </c>
      <c r="AE21" s="39">
        <v>20.420000000000002</v>
      </c>
      <c r="AF21" s="39">
        <v>21.925999999999998</v>
      </c>
      <c r="AG21" s="39" t="s">
        <v>819</v>
      </c>
      <c r="AH21" s="39" t="s">
        <v>837</v>
      </c>
      <c r="AI21" s="39"/>
      <c r="AJ21" s="34"/>
      <c r="AM21" s="20"/>
      <c r="BB21" s="34"/>
      <c r="BD21" s="20"/>
      <c r="BS21"/>
      <c r="BT21" s="21">
        <v>18</v>
      </c>
      <c r="BU21" s="20" t="s">
        <v>697</v>
      </c>
    </row>
    <row r="22" spans="1:73" ht="15" x14ac:dyDescent="0.25">
      <c r="A22" s="21"/>
      <c r="B22" s="21" t="s">
        <v>1306</v>
      </c>
      <c r="C22" s="78">
        <v>45254</v>
      </c>
      <c r="D22" s="77" t="s">
        <v>1145</v>
      </c>
      <c r="E22" s="21" t="s">
        <v>80</v>
      </c>
      <c r="F22" s="21" t="s">
        <v>80</v>
      </c>
      <c r="G22" s="21" t="s">
        <v>37</v>
      </c>
      <c r="H22" s="21" t="s">
        <v>89</v>
      </c>
      <c r="I22" s="21" t="s">
        <v>6</v>
      </c>
      <c r="J22" s="21" t="s">
        <v>6</v>
      </c>
      <c r="K22" s="21" t="s">
        <v>1310</v>
      </c>
      <c r="P22" s="84">
        <v>45254</v>
      </c>
      <c r="Q22" s="84" t="s">
        <v>1145</v>
      </c>
      <c r="R22" s="39" t="s">
        <v>89</v>
      </c>
      <c r="S22" s="39" t="s">
        <v>89</v>
      </c>
      <c r="T22" s="39" t="s">
        <v>89</v>
      </c>
      <c r="U22" s="39" t="s">
        <v>89</v>
      </c>
      <c r="V22" s="39"/>
      <c r="W22" s="39" t="s">
        <v>89</v>
      </c>
      <c r="X22" s="39" t="s">
        <v>103</v>
      </c>
      <c r="Y22" s="40">
        <v>2</v>
      </c>
      <c r="Z22" s="39" t="s">
        <v>1322</v>
      </c>
      <c r="AA22" s="39" t="s">
        <v>1323</v>
      </c>
      <c r="AB22" s="39" t="s">
        <v>6</v>
      </c>
      <c r="AC22" s="39" t="s">
        <v>106</v>
      </c>
      <c r="AD22" s="39">
        <v>0.27400000000000002</v>
      </c>
      <c r="AE22" s="39">
        <v>2</v>
      </c>
      <c r="AF22" s="39">
        <v>2.1469999999999998</v>
      </c>
      <c r="AG22" s="39" t="s">
        <v>1306</v>
      </c>
      <c r="AH22" s="39" t="s">
        <v>1310</v>
      </c>
      <c r="AI22" s="39"/>
      <c r="AJ22" s="34"/>
      <c r="AM22" s="20"/>
      <c r="BB22" s="34"/>
      <c r="BD22" s="20"/>
      <c r="BS22"/>
      <c r="BT22" s="21">
        <v>19</v>
      </c>
      <c r="BU22" s="20" t="s">
        <v>698</v>
      </c>
    </row>
    <row r="23" spans="1:73" ht="15" x14ac:dyDescent="0.25">
      <c r="A23" s="21"/>
      <c r="B23" s="21"/>
      <c r="C23" s="78"/>
      <c r="D23" s="77"/>
      <c r="E23" s="21"/>
      <c r="F23" s="21"/>
      <c r="G23" s="21"/>
      <c r="H23" s="21"/>
      <c r="I23" s="21"/>
      <c r="J23" s="21"/>
      <c r="K23" s="21"/>
      <c r="P23" s="84"/>
      <c r="Q23" s="84"/>
      <c r="R23" s="39"/>
      <c r="S23" s="39"/>
      <c r="T23" s="39"/>
      <c r="U23" s="39"/>
      <c r="V23" s="39"/>
      <c r="W23" s="39"/>
      <c r="X23" s="39"/>
      <c r="Y23" s="40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4"/>
      <c r="AM23" s="20"/>
      <c r="BB23" s="34"/>
      <c r="BD23" s="20"/>
      <c r="BS23"/>
      <c r="BT23" s="21">
        <v>20</v>
      </c>
      <c r="BU23" s="20" t="s">
        <v>699</v>
      </c>
    </row>
    <row r="24" spans="1:73" ht="15" x14ac:dyDescent="0.25">
      <c r="A24" s="21"/>
      <c r="B24" s="21"/>
      <c r="C24" s="78"/>
      <c r="D24" s="77"/>
      <c r="E24" s="21"/>
      <c r="F24" s="21"/>
      <c r="G24" s="21"/>
      <c r="H24" s="21"/>
      <c r="I24" s="21"/>
      <c r="J24" s="21"/>
      <c r="K24" s="21"/>
      <c r="P24" s="84"/>
      <c r="Q24" s="84"/>
      <c r="R24" s="39"/>
      <c r="S24" s="39"/>
      <c r="T24" s="39"/>
      <c r="U24" s="39"/>
      <c r="V24" s="39"/>
      <c r="W24" s="39"/>
      <c r="X24" s="39"/>
      <c r="Y24" s="40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4"/>
      <c r="AM24" s="20"/>
      <c r="BB24" s="34"/>
      <c r="BD24" s="20"/>
      <c r="BS24"/>
      <c r="BT24" s="21">
        <v>21</v>
      </c>
      <c r="BU24" s="20" t="s">
        <v>700</v>
      </c>
    </row>
    <row r="25" spans="1:73" ht="15" x14ac:dyDescent="0.25">
      <c r="A25" s="21"/>
      <c r="B25" s="21"/>
      <c r="C25" s="78"/>
      <c r="D25" s="77"/>
      <c r="E25" s="21"/>
      <c r="F25" s="21"/>
      <c r="G25" s="21"/>
      <c r="H25" s="21"/>
      <c r="I25" s="21"/>
      <c r="J25" s="21"/>
      <c r="K25" s="21"/>
      <c r="P25" s="84"/>
      <c r="Q25" s="84"/>
      <c r="R25" s="39"/>
      <c r="S25" s="39"/>
      <c r="T25" s="39"/>
      <c r="U25" s="39"/>
      <c r="V25" s="39"/>
      <c r="W25" s="39"/>
      <c r="X25" s="39"/>
      <c r="Y25" s="40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4"/>
      <c r="AM25" s="20"/>
      <c r="BB25" s="34"/>
      <c r="BD25" s="20"/>
      <c r="BS25"/>
      <c r="BT25" s="21">
        <v>22</v>
      </c>
      <c r="BU25" s="20" t="s">
        <v>701</v>
      </c>
    </row>
    <row r="26" spans="1:73" ht="15" x14ac:dyDescent="0.25">
      <c r="A26" s="21"/>
      <c r="B26" s="21"/>
      <c r="C26" s="78"/>
      <c r="D26" s="77"/>
      <c r="E26" s="21"/>
      <c r="F26" s="21"/>
      <c r="G26" s="21"/>
      <c r="H26" s="21"/>
      <c r="I26" s="21"/>
      <c r="J26" s="21"/>
      <c r="K26" s="21"/>
      <c r="P26" s="84"/>
      <c r="Q26" s="84"/>
      <c r="R26" s="39"/>
      <c r="S26" s="39"/>
      <c r="T26" s="39"/>
      <c r="U26" s="39"/>
      <c r="V26" s="39"/>
      <c r="W26" s="39"/>
      <c r="X26" s="39"/>
      <c r="Y26" s="40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4"/>
      <c r="AM26" s="20"/>
      <c r="BB26" s="34"/>
      <c r="BD26" s="20"/>
      <c r="BS26"/>
      <c r="BT26" s="21">
        <v>23</v>
      </c>
      <c r="BU26" s="20" t="s">
        <v>702</v>
      </c>
    </row>
    <row r="27" spans="1:73" ht="15" x14ac:dyDescent="0.25">
      <c r="P27" s="38"/>
      <c r="Q27" s="38"/>
      <c r="R27" s="38"/>
      <c r="S27" s="38"/>
      <c r="T27" s="38"/>
      <c r="Z27" s="38"/>
      <c r="AA27" s="38"/>
      <c r="AD27" s="38"/>
      <c r="AE27" s="38"/>
      <c r="AF27" s="38"/>
      <c r="AG27" s="38"/>
      <c r="BT27">
        <v>24</v>
      </c>
      <c r="BU27" s="21" t="s">
        <v>703</v>
      </c>
    </row>
    <row r="28" spans="1:73" ht="15" x14ac:dyDescent="0.25">
      <c r="P28" s="38"/>
      <c r="Q28" s="38"/>
      <c r="R28" s="38"/>
      <c r="S28" s="38"/>
      <c r="T28" s="38"/>
      <c r="Z28" s="38"/>
      <c r="AA28" s="38"/>
      <c r="AD28" s="38"/>
      <c r="AE28" s="38"/>
      <c r="AF28" s="38"/>
      <c r="AG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T28">
        <v>25</v>
      </c>
      <c r="BU28" s="21" t="s">
        <v>704</v>
      </c>
    </row>
    <row r="29" spans="1:73" ht="15" x14ac:dyDescent="0.25">
      <c r="P29" s="38"/>
      <c r="Q29" s="38"/>
      <c r="R29" s="38"/>
      <c r="S29" s="38"/>
      <c r="T29" s="38"/>
      <c r="Z29" s="38"/>
      <c r="AA29" s="38"/>
      <c r="AD29" s="38"/>
      <c r="AE29" s="38"/>
      <c r="AF29" s="38"/>
      <c r="AG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T29">
        <v>26</v>
      </c>
      <c r="BU29" s="21" t="s">
        <v>705</v>
      </c>
    </row>
    <row r="30" spans="1:73" ht="15" x14ac:dyDescent="0.25">
      <c r="P30" s="38"/>
      <c r="Q30" s="38"/>
      <c r="R30" s="38"/>
      <c r="S30" s="38"/>
      <c r="T30" s="38"/>
      <c r="Z30" s="38"/>
      <c r="AA30" s="38"/>
      <c r="AD30" s="38"/>
      <c r="AE30" s="38"/>
      <c r="AF30" s="38"/>
      <c r="AG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T30">
        <v>27</v>
      </c>
      <c r="BU30" s="21" t="s">
        <v>706</v>
      </c>
    </row>
    <row r="31" spans="1:73" ht="15" x14ac:dyDescent="0.25">
      <c r="P31" s="38"/>
      <c r="Q31" s="38"/>
      <c r="R31" s="38"/>
      <c r="S31" s="38"/>
      <c r="T31" s="38"/>
      <c r="Z31" s="38"/>
      <c r="AA31" s="38"/>
      <c r="AD31" s="38"/>
      <c r="AE31" s="38"/>
      <c r="AF31" s="38"/>
      <c r="AG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T31">
        <v>28</v>
      </c>
      <c r="BU31" s="21" t="s">
        <v>707</v>
      </c>
    </row>
    <row r="32" spans="1:73" ht="15" x14ac:dyDescent="0.25">
      <c r="P32" s="38"/>
      <c r="Q32" s="38"/>
      <c r="R32" s="38"/>
      <c r="S32" s="38"/>
      <c r="T32" s="38"/>
      <c r="Z32" s="38"/>
      <c r="AA32" s="38"/>
      <c r="AD32" s="38"/>
      <c r="AE32" s="38"/>
      <c r="AF32" s="38"/>
      <c r="AG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T32">
        <v>29</v>
      </c>
      <c r="BU32" s="21" t="s">
        <v>708</v>
      </c>
    </row>
    <row r="33" spans="16:73" ht="15" x14ac:dyDescent="0.25">
      <c r="P33" s="38"/>
      <c r="Q33" s="38"/>
      <c r="R33" s="38"/>
      <c r="S33" s="38"/>
      <c r="T33" s="38"/>
      <c r="Z33" s="38"/>
      <c r="AA33" s="38"/>
      <c r="AD33" s="38"/>
      <c r="AE33" s="38"/>
      <c r="AF33" s="38"/>
      <c r="AG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T33">
        <v>30</v>
      </c>
      <c r="BU33" s="21" t="s">
        <v>709</v>
      </c>
    </row>
    <row r="34" spans="16:73" ht="15" x14ac:dyDescent="0.25">
      <c r="P34" s="38"/>
      <c r="Q34" s="38"/>
      <c r="R34" s="38"/>
      <c r="S34" s="38"/>
      <c r="T34" s="38"/>
      <c r="Z34" s="38"/>
      <c r="AA34" s="38"/>
      <c r="AD34" s="38"/>
      <c r="AE34" s="38"/>
      <c r="AF34" s="38"/>
      <c r="AG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T34">
        <v>31</v>
      </c>
      <c r="BU34" s="21" t="s">
        <v>710</v>
      </c>
    </row>
    <row r="35" spans="16:73" ht="15" x14ac:dyDescent="0.25">
      <c r="P35" s="39"/>
      <c r="R35" s="25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T35">
        <v>32</v>
      </c>
      <c r="BU35" s="21" t="s">
        <v>711</v>
      </c>
    </row>
    <row r="36" spans="16:73" ht="15" x14ac:dyDescent="0.25">
      <c r="P36" s="39"/>
      <c r="R36" s="25"/>
      <c r="BT36">
        <v>33</v>
      </c>
      <c r="BU36" s="21" t="s">
        <v>712</v>
      </c>
    </row>
    <row r="37" spans="16:73" ht="15" x14ac:dyDescent="0.25">
      <c r="R37" s="25"/>
      <c r="BT37">
        <v>34</v>
      </c>
      <c r="BU37" s="21" t="s">
        <v>713</v>
      </c>
    </row>
    <row r="38" spans="16:73" ht="15" x14ac:dyDescent="0.25">
      <c r="R38" s="25"/>
      <c r="BT38">
        <v>35</v>
      </c>
      <c r="BU38" s="21" t="s">
        <v>714</v>
      </c>
    </row>
    <row r="39" spans="16:73" ht="15" x14ac:dyDescent="0.25">
      <c r="R39" s="25"/>
      <c r="BT39">
        <v>36</v>
      </c>
      <c r="BU39" s="21" t="s">
        <v>715</v>
      </c>
    </row>
    <row r="40" spans="16:73" ht="15" x14ac:dyDescent="0.25">
      <c r="R40" s="25"/>
      <c r="BT40">
        <v>37</v>
      </c>
      <c r="BU40" s="21" t="s">
        <v>716</v>
      </c>
    </row>
    <row r="41" spans="16:73" ht="15" x14ac:dyDescent="0.25">
      <c r="R41" s="25"/>
      <c r="BT41">
        <v>38</v>
      </c>
      <c r="BU41" s="21" t="s">
        <v>717</v>
      </c>
    </row>
    <row r="42" spans="16:73" ht="15" x14ac:dyDescent="0.25">
      <c r="R42" s="25"/>
      <c r="BT42">
        <v>39</v>
      </c>
      <c r="BU42" s="21" t="s">
        <v>718</v>
      </c>
    </row>
    <row r="43" spans="16:73" ht="15" x14ac:dyDescent="0.25">
      <c r="R43" s="25"/>
      <c r="BT43">
        <v>40</v>
      </c>
      <c r="BU43" s="21" t="s">
        <v>719</v>
      </c>
    </row>
    <row r="44" spans="16:73" ht="15" x14ac:dyDescent="0.25">
      <c r="R44" s="25"/>
      <c r="BT44">
        <v>41</v>
      </c>
      <c r="BU44" s="21" t="s">
        <v>720</v>
      </c>
    </row>
    <row r="45" spans="16:73" ht="15" x14ac:dyDescent="0.25">
      <c r="R45" s="25"/>
      <c r="BT45">
        <v>42</v>
      </c>
      <c r="BU45" s="21" t="s">
        <v>721</v>
      </c>
    </row>
    <row r="46" spans="16:73" ht="15" x14ac:dyDescent="0.25">
      <c r="R46" s="25"/>
      <c r="BT46">
        <v>43</v>
      </c>
      <c r="BU46" s="21" t="s">
        <v>722</v>
      </c>
    </row>
    <row r="47" spans="16:73" ht="15" x14ac:dyDescent="0.25">
      <c r="R47" s="25"/>
      <c r="BT47">
        <v>44</v>
      </c>
      <c r="BU47" s="21" t="s">
        <v>723</v>
      </c>
    </row>
    <row r="48" spans="16:73" ht="15" x14ac:dyDescent="0.25">
      <c r="R48" s="25"/>
      <c r="BT48">
        <v>45</v>
      </c>
      <c r="BU48" s="21" t="s">
        <v>776</v>
      </c>
    </row>
    <row r="49" spans="18:73" ht="15" x14ac:dyDescent="0.25">
      <c r="R49" s="25"/>
      <c r="BT49">
        <v>46</v>
      </c>
      <c r="BU49" s="21" t="s">
        <v>724</v>
      </c>
    </row>
    <row r="50" spans="18:73" ht="15" x14ac:dyDescent="0.25">
      <c r="R50" s="25"/>
      <c r="BT50">
        <v>47</v>
      </c>
      <c r="BU50" s="21" t="s">
        <v>725</v>
      </c>
    </row>
    <row r="51" spans="18:73" ht="15" x14ac:dyDescent="0.25">
      <c r="R51" s="25"/>
      <c r="BT51">
        <v>48</v>
      </c>
      <c r="BU51" s="21" t="s">
        <v>726</v>
      </c>
    </row>
    <row r="52" spans="18:73" ht="15" x14ac:dyDescent="0.25">
      <c r="R52" s="25"/>
      <c r="BT52">
        <v>49</v>
      </c>
      <c r="BU52" s="21" t="s">
        <v>727</v>
      </c>
    </row>
    <row r="53" spans="18:73" ht="15" x14ac:dyDescent="0.25">
      <c r="BT53">
        <v>50</v>
      </c>
      <c r="BU53" s="21" t="s">
        <v>728</v>
      </c>
    </row>
    <row r="54" spans="18:73" ht="15" x14ac:dyDescent="0.25">
      <c r="BT54">
        <v>51</v>
      </c>
      <c r="BU54" s="21" t="s">
        <v>777</v>
      </c>
    </row>
    <row r="55" spans="18:73" ht="15" x14ac:dyDescent="0.25">
      <c r="BT55">
        <v>52</v>
      </c>
      <c r="BU55" s="21" t="s">
        <v>778</v>
      </c>
    </row>
    <row r="56" spans="18:73" ht="15" x14ac:dyDescent="0.25">
      <c r="BT56">
        <v>53</v>
      </c>
      <c r="BU56" s="21" t="s">
        <v>729</v>
      </c>
    </row>
    <row r="57" spans="18:73" ht="15" x14ac:dyDescent="0.25">
      <c r="BT57">
        <v>54</v>
      </c>
      <c r="BU57" s="21" t="s">
        <v>730</v>
      </c>
    </row>
    <row r="58" spans="18:73" ht="15" x14ac:dyDescent="0.25">
      <c r="BT58">
        <v>55</v>
      </c>
      <c r="BU58" s="21" t="s">
        <v>731</v>
      </c>
    </row>
    <row r="59" spans="18:73" ht="15" x14ac:dyDescent="0.25">
      <c r="BT59">
        <v>56</v>
      </c>
      <c r="BU59" s="21" t="s">
        <v>732</v>
      </c>
    </row>
    <row r="60" spans="18:73" ht="15" x14ac:dyDescent="0.25">
      <c r="BT60">
        <v>57</v>
      </c>
      <c r="BU60" s="21" t="s">
        <v>733</v>
      </c>
    </row>
    <row r="61" spans="18:73" ht="15" x14ac:dyDescent="0.25">
      <c r="BT61">
        <v>58</v>
      </c>
      <c r="BU61" s="21" t="s">
        <v>734</v>
      </c>
    </row>
    <row r="62" spans="18:73" ht="15" x14ac:dyDescent="0.25">
      <c r="BT62">
        <v>59</v>
      </c>
      <c r="BU62" s="21" t="s">
        <v>735</v>
      </c>
    </row>
    <row r="63" spans="18:73" ht="15" x14ac:dyDescent="0.25">
      <c r="BT63">
        <v>60</v>
      </c>
      <c r="BU63" s="21" t="s">
        <v>736</v>
      </c>
    </row>
    <row r="64" spans="18:73" ht="15" x14ac:dyDescent="0.25">
      <c r="BT64">
        <v>61</v>
      </c>
      <c r="BU64" s="21" t="s">
        <v>737</v>
      </c>
    </row>
    <row r="65" spans="72:73" ht="15" x14ac:dyDescent="0.25">
      <c r="BT65">
        <v>62</v>
      </c>
      <c r="BU65" s="21" t="s">
        <v>738</v>
      </c>
    </row>
    <row r="66" spans="72:73" ht="15" x14ac:dyDescent="0.25">
      <c r="BT66">
        <v>63</v>
      </c>
      <c r="BU66" s="21" t="s">
        <v>739</v>
      </c>
    </row>
    <row r="67" spans="72:73" ht="15" x14ac:dyDescent="0.25">
      <c r="BT67">
        <v>64</v>
      </c>
      <c r="BU67" s="21" t="s">
        <v>740</v>
      </c>
    </row>
    <row r="68" spans="72:73" ht="15" x14ac:dyDescent="0.25">
      <c r="BT68">
        <v>65</v>
      </c>
      <c r="BU68" s="21" t="s">
        <v>741</v>
      </c>
    </row>
    <row r="69" spans="72:73" ht="15" x14ac:dyDescent="0.25">
      <c r="BT69">
        <v>66</v>
      </c>
      <c r="BU69" s="21" t="s">
        <v>742</v>
      </c>
    </row>
    <row r="70" spans="72:73" ht="15" x14ac:dyDescent="0.25">
      <c r="BT70">
        <v>67</v>
      </c>
      <c r="BU70" s="21" t="s">
        <v>743</v>
      </c>
    </row>
    <row r="71" spans="72:73" ht="15" x14ac:dyDescent="0.25">
      <c r="BT71">
        <v>68</v>
      </c>
      <c r="BU71" s="21" t="s">
        <v>744</v>
      </c>
    </row>
    <row r="72" spans="72:73" ht="15" x14ac:dyDescent="0.25">
      <c r="BT72">
        <v>69</v>
      </c>
      <c r="BU72" s="21" t="s">
        <v>745</v>
      </c>
    </row>
    <row r="73" spans="72:73" ht="15" x14ac:dyDescent="0.25">
      <c r="BT73">
        <v>70</v>
      </c>
      <c r="BU73" s="21" t="s">
        <v>746</v>
      </c>
    </row>
    <row r="74" spans="72:73" ht="15" x14ac:dyDescent="0.25">
      <c r="BT74">
        <v>71</v>
      </c>
      <c r="BU74" s="21" t="s">
        <v>747</v>
      </c>
    </row>
    <row r="75" spans="72:73" ht="15" x14ac:dyDescent="0.25">
      <c r="BT75">
        <v>72</v>
      </c>
      <c r="BU75" s="21" t="s">
        <v>748</v>
      </c>
    </row>
    <row r="76" spans="72:73" ht="15" x14ac:dyDescent="0.25">
      <c r="BT76">
        <v>73</v>
      </c>
      <c r="BU76" s="21" t="s">
        <v>749</v>
      </c>
    </row>
    <row r="77" spans="72:73" ht="15" x14ac:dyDescent="0.25">
      <c r="BT77">
        <v>74</v>
      </c>
      <c r="BU77" s="21" t="s">
        <v>750</v>
      </c>
    </row>
    <row r="78" spans="72:73" ht="15" x14ac:dyDescent="0.25">
      <c r="BT78">
        <v>75</v>
      </c>
      <c r="BU78" s="21" t="s">
        <v>751</v>
      </c>
    </row>
    <row r="79" spans="72:73" ht="15" x14ac:dyDescent="0.25">
      <c r="BT79">
        <v>76</v>
      </c>
      <c r="BU79" s="21" t="s">
        <v>752</v>
      </c>
    </row>
    <row r="80" spans="72:73" ht="15" x14ac:dyDescent="0.25">
      <c r="BT80">
        <v>77</v>
      </c>
      <c r="BU80" s="21" t="s">
        <v>753</v>
      </c>
    </row>
    <row r="81" spans="72:73" ht="15" x14ac:dyDescent="0.25">
      <c r="BT81">
        <v>78</v>
      </c>
      <c r="BU81" s="21" t="s">
        <v>754</v>
      </c>
    </row>
    <row r="82" spans="72:73" ht="15" x14ac:dyDescent="0.25">
      <c r="BT82">
        <v>79</v>
      </c>
      <c r="BU82" s="21" t="s">
        <v>755</v>
      </c>
    </row>
    <row r="83" spans="72:73" ht="15" x14ac:dyDescent="0.25">
      <c r="BT83">
        <v>80</v>
      </c>
      <c r="BU83" s="21" t="s">
        <v>756</v>
      </c>
    </row>
    <row r="84" spans="72:73" ht="15" x14ac:dyDescent="0.25">
      <c r="BT84">
        <v>81</v>
      </c>
      <c r="BU84" s="21" t="s">
        <v>757</v>
      </c>
    </row>
    <row r="85" spans="72:73" ht="15" x14ac:dyDescent="0.25">
      <c r="BT85">
        <v>82</v>
      </c>
      <c r="BU85" s="21" t="s">
        <v>758</v>
      </c>
    </row>
    <row r="86" spans="72:73" ht="15" x14ac:dyDescent="0.25">
      <c r="BT86">
        <v>83</v>
      </c>
      <c r="BU86" s="21" t="s">
        <v>759</v>
      </c>
    </row>
    <row r="87" spans="72:73" ht="15" x14ac:dyDescent="0.25">
      <c r="BT87">
        <v>84</v>
      </c>
      <c r="BU87" s="21" t="s">
        <v>760</v>
      </c>
    </row>
    <row r="88" spans="72:73" ht="15" x14ac:dyDescent="0.25">
      <c r="BT88">
        <v>85</v>
      </c>
      <c r="BU88" s="21" t="s">
        <v>761</v>
      </c>
    </row>
    <row r="89" spans="72:73" ht="15" x14ac:dyDescent="0.25">
      <c r="BT89">
        <v>86</v>
      </c>
      <c r="BU89" s="21" t="s">
        <v>762</v>
      </c>
    </row>
    <row r="90" spans="72:73" ht="15" x14ac:dyDescent="0.25">
      <c r="BT90">
        <v>87</v>
      </c>
      <c r="BU90" s="21" t="s">
        <v>763</v>
      </c>
    </row>
    <row r="91" spans="72:73" ht="15" x14ac:dyDescent="0.25">
      <c r="BT91">
        <v>88</v>
      </c>
      <c r="BU91" s="21" t="s">
        <v>764</v>
      </c>
    </row>
    <row r="92" spans="72:73" ht="15" x14ac:dyDescent="0.25">
      <c r="BT92">
        <v>89</v>
      </c>
      <c r="BU92" s="21" t="s">
        <v>765</v>
      </c>
    </row>
    <row r="93" spans="72:73" ht="15" x14ac:dyDescent="0.25">
      <c r="BT93">
        <v>90</v>
      </c>
      <c r="BU93" s="21" t="s">
        <v>766</v>
      </c>
    </row>
    <row r="94" spans="72:73" ht="15" x14ac:dyDescent="0.25">
      <c r="BT94">
        <v>91</v>
      </c>
      <c r="BU94" s="21" t="s">
        <v>767</v>
      </c>
    </row>
    <row r="95" spans="72:73" ht="15" x14ac:dyDescent="0.25">
      <c r="BT95">
        <v>92</v>
      </c>
      <c r="BU95" s="21" t="s">
        <v>768</v>
      </c>
    </row>
    <row r="96" spans="72:73" ht="15" x14ac:dyDescent="0.25">
      <c r="BT96">
        <v>93</v>
      </c>
      <c r="BU96" s="21" t="s">
        <v>779</v>
      </c>
    </row>
    <row r="97" spans="72:73" ht="15" x14ac:dyDescent="0.25">
      <c r="BT97">
        <v>94</v>
      </c>
      <c r="BU97" s="21" t="s">
        <v>769</v>
      </c>
    </row>
    <row r="98" spans="72:73" ht="15" x14ac:dyDescent="0.25">
      <c r="BT98">
        <v>95</v>
      </c>
      <c r="BU98" s="21" t="s">
        <v>770</v>
      </c>
    </row>
    <row r="99" spans="72:73" ht="15" x14ac:dyDescent="0.25">
      <c r="BT99">
        <v>96</v>
      </c>
      <c r="BU99" s="21" t="s">
        <v>771</v>
      </c>
    </row>
    <row r="100" spans="72:73" ht="15" x14ac:dyDescent="0.25">
      <c r="BT100">
        <v>97</v>
      </c>
      <c r="BU100" s="21" t="s">
        <v>780</v>
      </c>
    </row>
    <row r="101" spans="72:73" ht="15" x14ac:dyDescent="0.25"/>
    <row r="102" spans="72:73" ht="24.75" customHeight="1" x14ac:dyDescent="0.25"/>
    <row r="103" spans="72:73" ht="24.75" customHeight="1" x14ac:dyDescent="0.25"/>
    <row r="104" spans="72:73" ht="24.75" customHeight="1" x14ac:dyDescent="0.25"/>
    <row r="105" spans="72:73" ht="24.75" customHeight="1" x14ac:dyDescent="0.25"/>
  </sheetData>
  <phoneticPr fontId="14" type="noConversion"/>
  <conditionalFormatting sqref="AN4:AR12 AU9:BB12 A4:K26 AX8:BB8 AU4:AV8 AZ4:AZ7 AX4:BB6 AY7:BB7 BF4:BO12 P4:AI26">
    <cfRule type="containsText" dxfId="269" priority="18" operator="containsText" text="【">
      <formula>NOT(ISERROR(SEARCH("【",A4)))</formula>
    </cfRule>
  </conditionalFormatting>
  <conditionalFormatting sqref="A4:A26">
    <cfRule type="containsText" dxfId="268" priority="26" operator="containsText" text="【">
      <formula>NOT(ISERROR(SEARCH("【",A4)))</formula>
    </cfRule>
  </conditionalFormatting>
  <conditionalFormatting sqref="AU9:BB12 D4:J26 AX8:BB8 AU4:AV8 AZ4:AZ7 AX4:BB6 AY7:BB7 BG4:BL12 R4:W26">
    <cfRule type="notContainsBlanks" dxfId="267" priority="8">
      <formula>LEN(TRIM(D4))&gt;0</formula>
    </cfRule>
  </conditionalFormatting>
  <conditionalFormatting sqref="AT1 AT4:AT12">
    <cfRule type="containsText" dxfId="266" priority="9" operator="containsText" text="KT">
      <formula>NOT(ISERROR(SEARCH("KT",AT1)))</formula>
    </cfRule>
    <cfRule type="containsText" dxfId="265" priority="10" operator="containsText" text="JH">
      <formula>NOT(ISERROR(SEARCH("JH",AT1)))</formula>
    </cfRule>
    <cfRule type="containsText" dxfId="264" priority="11" operator="containsText" text="CL">
      <formula>NOT(ISERROR(SEARCH("CL",AT1)))</formula>
    </cfRule>
    <cfRule type="containsText" dxfId="263" priority="12" operator="containsText" text="CY">
      <formula>NOT(ISERROR(SEARCH("CY",AT1)))</formula>
    </cfRule>
    <cfRule type="containsText" dxfId="262" priority="13" operator="containsText" text="ES">
      <formula>NOT(ISERROR(SEARCH("ES",AT1)))</formula>
    </cfRule>
  </conditionalFormatting>
  <conditionalFormatting sqref="BL4:BL12">
    <cfRule type="expression" dxfId="261" priority="3">
      <formula>BK4="地方国企"</formula>
    </cfRule>
  </conditionalFormatting>
  <conditionalFormatting sqref="BL1">
    <cfRule type="containsText" dxfId="260" priority="7" operator="containsText" text="【">
      <formula>NOT(ISERROR(SEARCH("【",BL1)))</formula>
    </cfRule>
  </conditionalFormatting>
  <conditionalFormatting sqref="BL1">
    <cfRule type="notContainsBlanks" dxfId="259" priority="6">
      <formula>LEN(TRIM(BL1))&gt;0</formula>
    </cfRule>
  </conditionalFormatting>
  <conditionalFormatting sqref="BI4:BI12">
    <cfRule type="expression" dxfId="258" priority="16">
      <formula>"BH4=“金融机构"</formula>
    </cfRule>
  </conditionalFormatting>
  <conditionalFormatting sqref="BL1">
    <cfRule type="expression" dxfId="257" priority="28">
      <formula>BJ1="地方国企"</formula>
    </cfRule>
  </conditionalFormatting>
  <conditionalFormatting sqref="AX7">
    <cfRule type="containsText" dxfId="256" priority="2" operator="containsText" text="【">
      <formula>NOT(ISERROR(SEARCH("【",AX7)))</formula>
    </cfRule>
  </conditionalFormatting>
  <conditionalFormatting sqref="AX7">
    <cfRule type="notContainsBlanks" dxfId="255" priority="1">
      <formula>LEN(TRIM(AX7))&gt;0</formula>
    </cfRule>
  </conditionalFormatting>
  <dataValidations xWindow="1432" yWindow="409" count="27">
    <dataValidation type="list" allowBlank="1" showInputMessage="1" showErrorMessage="1" sqref="BK1 BK4:BK12" xr:uid="{21783900-F659-4209-99D3-9EAAA747AE7E}">
      <formula1>dd_中资属性</formula1>
    </dataValidation>
    <dataValidation type="list" allowBlank="1" showInputMessage="1" showErrorMessage="1" sqref="BJ1 BH1 BK8:BK12 BH4:BH12" xr:uid="{D6EA802C-C03D-4F7C-B298-9BA437E7E113}">
      <formula1>dd_板块</formula1>
    </dataValidation>
    <dataValidation type="list" allowBlank="1" showInputMessage="1" sqref="AZ1 BA8:BA12 BA6" xr:uid="{B88AFDCA-D984-475E-A57B-FF17C86B4C32}">
      <formula1>"--,B&amp;D FOP,B&amp;D DvP,Arranger,DM,CCDC"</formula1>
    </dataValidation>
    <dataValidation type="list" allowBlank="1" showInputMessage="1" sqref="BA1 BB5:BB12" xr:uid="{893BD8AB-C42B-496D-94CE-280D7C470CCE}">
      <formula1>"--,合名"</formula1>
    </dataValidation>
    <dataValidation type="list" allowBlank="1" showInputMessage="1" sqref="AX1 AY4:AY12" xr:uid="{B057F6CA-21EE-45C8-A8C7-A14E2582C2B2}">
      <formula1>dd_BISL_ROLE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S1 S4:S26" xr:uid="{13AE057E-73D1-4DB8-908B-343C193F10E0}"/>
    <dataValidation allowBlank="1" showInputMessage="1" showErrorMessage="1" promptTitle="FPG Format" prompt="No need to write bp_x000a_Decimal follow BBG_x000a__x000a_3.20%_x000a_3.8%_x000a_T+100_x000a_" sqref="T1 T4:T26" xr:uid="{C212CF39-5558-453C-A763-7A5BA0815F8E}"/>
    <dataValidation type="list" allowBlank="1" showInputMessage="1" showErrorMessage="1" sqref="W1 W4:W26" xr:uid="{56EA2680-AC7C-4E7D-B011-A7C49D1896CF}">
      <formula1>$W$1</formula1>
    </dataValidation>
    <dataValidation type="list" allowBlank="1" showInputMessage="1" showErrorMessage="1" sqref="AU1 AU4:AU12" xr:uid="{806DA17E-6C99-4E8F-93B4-DD5EFACB4785}">
      <formula1>dd_coverage</formula1>
    </dataValidation>
    <dataValidation type="list" allowBlank="1" showInputMessage="1" showErrorMessage="1" sqref="AV1 AV4:AV12" xr:uid="{D48692D9-546D-4628-B165-191D5F4E316F}">
      <formula1>dd_sfcrole</formula1>
    </dataValidation>
    <dataValidation type="list" allowBlank="1" showInputMessage="1" sqref="Y1 X4:X26" xr:uid="{0001E9C4-7263-406F-9DE8-65474CD465FF}">
      <formula1>dd_货币</formula1>
    </dataValidation>
    <dataValidation type="list" allowBlank="1" showInputMessage="1" sqref="X1 G1 G4:G26" xr:uid="{F60F4280-0C71-409D-8E70-6CF8A45A7597}">
      <formula1>dd_结构</formula1>
    </dataValidation>
    <dataValidation type="list" allowBlank="1" showInputMessage="1" sqref="H1 H4:H26" xr:uid="{6B8C3309-DC6D-4B4D-93DE-3960B062B7B9}">
      <formula1>dd_备证行</formula1>
    </dataValidation>
    <dataValidation type="list" allowBlank="1" showInputMessage="1" showErrorMessage="1" errorTitle="Clear Cell Value" error="If there is no need to hide or delete anymore" sqref="F1" xr:uid="{DA7C80CD-C5AA-424B-9579-A32820154BDD}">
      <formula1>"【删除】,【隐藏】"</formula1>
    </dataValidation>
    <dataValidation type="list" allowBlank="1" showInputMessage="1" showErrorMessage="1" errorTitle="Clear Cell Value" error="If there is no need to hide or delete anymore" sqref="A4:A26" xr:uid="{56792CC8-3F32-4DE2-B7D5-628372FBAE35}">
      <formula1>"【FIMTN],【删除】,【隐藏】"</formula1>
    </dataValidation>
    <dataValidation type="list" allowBlank="1" showInputMessage="1" sqref="R1 R4:R26" xr:uid="{1862B695-0A91-48C6-A1EB-19EEA1AF08B3}">
      <formula1>INDIRECT($R$3)</formula1>
    </dataValidation>
    <dataValidation type="list" allowBlank="1" showInputMessage="1" showErrorMessage="1" sqref="J4:J26" xr:uid="{DFDED791-1C59-4A48-B46F-7337B5BEBA24}">
      <formula1>INDIRECT($I$3)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I1 I4:I26" xr:uid="{D6479CC3-4870-49E0-9D0E-D03A74F4F2AA}">
      <formula1>INDIRECT($I$3)</formula1>
    </dataValidation>
    <dataValidation type="list" allowBlank="1" showErrorMessage="1" promptTitle="⚠️Change Updator" prompt="will wipe out  last week's results" sqref="AT1 AT4:AT12" xr:uid="{59798641-AF25-4C44-B685-80C32F57C626}">
      <formula1>dd_updator</formula1>
    </dataValidation>
    <dataValidation type="list" allowBlank="1" showInputMessage="1" sqref="BK4:BK7" xr:uid="{73EC1308-4302-4BCA-90F9-0A0725271E60}">
      <formula1>dd_板块</formula1>
    </dataValidation>
    <dataValidation type="list" allowBlank="1" showInputMessage="1" sqref="BI1" xr:uid="{1B7EE69C-BBF8-4552-B681-24C5F6639F87}">
      <formula1>INDIRECT(BH1)</formula1>
    </dataValidation>
    <dataValidation type="list" errorStyle="warning" allowBlank="1" showInputMessage="1" showErrorMessage="1" sqref="BI4:BJ12 BL4:BL12" xr:uid="{4A2AF2EC-64E7-4320-89FB-28779A8EE326}">
      <formula1>INDIRECT(BH4)</formula1>
    </dataValidation>
    <dataValidation type="list" errorStyle="warning" allowBlank="1" showInputMessage="1" showErrorMessage="1" sqref="BL1" xr:uid="{781A2A31-EC44-408B-9ACF-2045E3586984}">
      <formula1>INDIRECT(BJ1)</formula1>
    </dataValidation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BG1 BG4:BG12" xr:uid="{D2DF5943-91E3-41AB-B9D2-B99067FDAB5B}"/>
    <dataValidation type="list" allowBlank="1" showInputMessage="1" showErrorMessage="1" sqref="BM4:BM12" xr:uid="{AE973D9A-0C6C-44E8-B8D4-1B96EDD50829}">
      <formula1>INDIRECT($BM$3)</formula1>
    </dataValidation>
    <dataValidation type="list" allowBlank="1" showInputMessage="1" showErrorMessage="1" promptTitle="Lead已改为Active" prompt="." sqref="AY1 BA4:BA5 AZ8:AZ12 AZ4:AZ6 AZ7:BA7" xr:uid="{0C91AE2C-E722-46F4-AE79-D22332911574}">
      <formula1>"--,Sole,Left-lead,Active"</formula1>
    </dataValidation>
    <dataValidation allowBlank="1" showInputMessage="1" showErrorMessage="1" promptTitle="最终定价" prompt="仅适用有IPG的交易" sqref="U1 U4:U26" xr:uid="{4D11C42E-1804-4AC5-B37A-023A23FA2B93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RefreshAll">
                <anchor moveWithCells="1">
                  <from>
                    <xdr:col>75</xdr:col>
                    <xdr:colOff>133350</xdr:colOff>
                    <xdr:row>11</xdr:row>
                    <xdr:rowOff>9525</xdr:rowOff>
                  </from>
                  <to>
                    <xdr:col>79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>
    <tabColor rgb="FF234473"/>
  </sheetPr>
  <dimension ref="B1:DI37"/>
  <sheetViews>
    <sheetView topLeftCell="AJ1" zoomScale="85" zoomScaleNormal="85" workbookViewId="0">
      <selection activeCell="AO21" sqref="AO21"/>
    </sheetView>
  </sheetViews>
  <sheetFormatPr defaultRowHeight="15" x14ac:dyDescent="0.25"/>
  <cols>
    <col min="1" max="1" width="11.109375" style="1" bestFit="1" customWidth="1"/>
    <col min="2" max="2" width="7.109375" style="1" bestFit="1" customWidth="1"/>
    <col min="3" max="3" width="10.88671875" style="1" bestFit="1" customWidth="1"/>
    <col min="4" max="4" width="29.88671875" style="1" bestFit="1" customWidth="1"/>
    <col min="5" max="5" width="13.33203125" style="1" bestFit="1" customWidth="1"/>
    <col min="6" max="6" width="10.33203125" style="1" bestFit="1" customWidth="1"/>
    <col min="7" max="7" width="9.21875" style="1" bestFit="1" customWidth="1"/>
    <col min="8" max="8" width="11.6640625" style="1" bestFit="1" customWidth="1"/>
    <col min="9" max="9" width="12.5546875" style="1" bestFit="1" customWidth="1"/>
    <col min="10" max="10" width="5.88671875" style="1" bestFit="1" customWidth="1"/>
    <col min="11" max="11" width="12" style="1" bestFit="1" customWidth="1"/>
    <col min="12" max="12" width="5.88671875" style="1" bestFit="1" customWidth="1"/>
    <col min="13" max="13" width="6.77734375" style="1" bestFit="1" customWidth="1"/>
    <col min="14" max="14" width="8" style="1" bestFit="1" customWidth="1"/>
    <col min="15" max="15" width="11.77734375" style="1" bestFit="1" customWidth="1"/>
    <col min="16" max="16" width="7.109375" style="1" bestFit="1" customWidth="1"/>
    <col min="17" max="18" width="9.21875" style="1" bestFit="1" customWidth="1"/>
    <col min="19" max="19" width="7.5546875" style="1" bestFit="1" customWidth="1"/>
    <col min="20" max="20" width="13.5546875" style="1" bestFit="1" customWidth="1"/>
    <col min="21" max="21" width="22.33203125" style="1" bestFit="1" customWidth="1"/>
    <col min="22" max="23" width="10.88671875" style="1" bestFit="1" customWidth="1"/>
    <col min="24" max="25" width="9.21875" style="1" bestFit="1" customWidth="1"/>
    <col min="26" max="26" width="10.33203125" style="1" bestFit="1" customWidth="1"/>
    <col min="27" max="27" width="10.88671875" style="1" bestFit="1" customWidth="1"/>
    <col min="28" max="28" width="9.33203125" style="1" bestFit="1" customWidth="1"/>
    <col min="29" max="29" width="7.5546875" style="1" bestFit="1" customWidth="1"/>
    <col min="30" max="30" width="7" style="1" bestFit="1" customWidth="1"/>
    <col min="31" max="31" width="7.5546875" style="1" bestFit="1" customWidth="1"/>
    <col min="32" max="32" width="8.33203125" style="1" bestFit="1" customWidth="1"/>
    <col min="33" max="33" width="12.5546875" style="1" bestFit="1" customWidth="1"/>
    <col min="34" max="34" width="14.21875" style="1" bestFit="1" customWidth="1"/>
    <col min="35" max="35" width="9.21875" style="1" bestFit="1" customWidth="1"/>
    <col min="36" max="36" width="29.88671875" style="1" bestFit="1" customWidth="1"/>
    <col min="37" max="37" width="26.44140625" style="1" bestFit="1" customWidth="1"/>
    <col min="38" max="38" width="28.109375" style="1" bestFit="1" customWidth="1"/>
    <col min="39" max="39" width="24.6640625" style="1" bestFit="1" customWidth="1"/>
    <col min="40" max="40" width="6" style="1" bestFit="1" customWidth="1"/>
    <col min="41" max="41" width="9.21875" style="1" bestFit="1" customWidth="1"/>
    <col min="42" max="42" width="5.88671875" style="1" bestFit="1" customWidth="1"/>
    <col min="43" max="43" width="9.21875" style="1" bestFit="1" customWidth="1"/>
    <col min="44" max="44" width="10" style="1" bestFit="1" customWidth="1"/>
    <col min="45" max="45" width="12.44140625" style="1" bestFit="1" customWidth="1"/>
    <col min="46" max="47" width="80.88671875" style="1" bestFit="1" customWidth="1"/>
    <col min="48" max="48" width="9.21875" style="1" bestFit="1" customWidth="1"/>
    <col min="49" max="49" width="12" style="1" bestFit="1" customWidth="1"/>
    <col min="50" max="50" width="19.44140625" style="1" bestFit="1" customWidth="1"/>
    <col min="51" max="51" width="10.5546875" style="1" bestFit="1" customWidth="1"/>
    <col min="52" max="52" width="16.6640625" style="1" bestFit="1" customWidth="1"/>
    <col min="53" max="53" width="5.5546875" style="1" bestFit="1" customWidth="1"/>
    <col min="54" max="54" width="12.88671875" style="1" bestFit="1" customWidth="1"/>
    <col min="55" max="55" width="15.21875" style="1" bestFit="1" customWidth="1"/>
    <col min="56" max="56" width="5.88671875" style="1" bestFit="1" customWidth="1"/>
    <col min="57" max="57" width="11.109375" style="1" bestFit="1" customWidth="1"/>
    <col min="58" max="58" width="9.21875" style="1" bestFit="1" customWidth="1"/>
    <col min="59" max="59" width="8.77734375" style="1" bestFit="1" customWidth="1"/>
    <col min="60" max="61" width="9.21875" style="1" bestFit="1" customWidth="1"/>
    <col min="62" max="62" width="11.44140625" style="1" bestFit="1" customWidth="1"/>
    <col min="63" max="63" width="11.5546875" style="1" bestFit="1" customWidth="1"/>
    <col min="64" max="65" width="14.109375" style="1" bestFit="1" customWidth="1"/>
    <col min="66" max="66" width="14.21875" style="1" bestFit="1" customWidth="1"/>
    <col min="67" max="67" width="9.21875" style="1" bestFit="1" customWidth="1"/>
    <col min="68" max="68" width="10.88671875" style="1" bestFit="1" customWidth="1"/>
    <col min="69" max="69" width="9.21875" style="1" bestFit="1" customWidth="1"/>
    <col min="70" max="70" width="11.33203125" style="1" bestFit="1" customWidth="1"/>
    <col min="71" max="71" width="13.77734375" style="1" bestFit="1" customWidth="1"/>
    <col min="72" max="72" width="10.33203125" style="1" bestFit="1" customWidth="1"/>
    <col min="73" max="73" width="7.6640625" style="1" bestFit="1" customWidth="1"/>
    <col min="74" max="74" width="8.44140625" style="1" bestFit="1" customWidth="1"/>
    <col min="75" max="75" width="12.6640625" style="1" bestFit="1" customWidth="1"/>
    <col min="76" max="76" width="7.6640625" style="1" bestFit="1" customWidth="1"/>
    <col min="77" max="79" width="9.21875" style="1" bestFit="1" customWidth="1"/>
    <col min="80" max="80" width="6" style="1" bestFit="1" customWidth="1"/>
    <col min="81" max="81" width="5.88671875" style="1" bestFit="1" customWidth="1"/>
    <col min="82" max="82" width="7.6640625" style="1" bestFit="1" customWidth="1"/>
    <col min="83" max="83" width="6" style="1" bestFit="1" customWidth="1"/>
    <col min="84" max="84" width="10.88671875" style="1" bestFit="1" customWidth="1"/>
    <col min="85" max="85" width="14.21875" style="1" bestFit="1" customWidth="1"/>
    <col min="86" max="86" width="9.44140625" style="1" bestFit="1" customWidth="1"/>
    <col min="87" max="87" width="9.109375" style="1" bestFit="1" customWidth="1"/>
    <col min="88" max="88" width="41.88671875" style="1" bestFit="1" customWidth="1"/>
    <col min="89" max="89" width="80.88671875" style="1" bestFit="1" customWidth="1"/>
    <col min="90" max="90" width="9.33203125" style="1" bestFit="1" customWidth="1"/>
    <col min="91" max="91" width="14.21875" style="1" bestFit="1" customWidth="1"/>
    <col min="92" max="93" width="15.21875" style="1" bestFit="1" customWidth="1"/>
    <col min="94" max="94" width="9.33203125" style="1" bestFit="1" customWidth="1"/>
    <col min="95" max="95" width="10.88671875" style="1" bestFit="1" customWidth="1"/>
    <col min="96" max="96" width="13.33203125" style="1" bestFit="1" customWidth="1"/>
    <col min="97" max="97" width="9.44140625" style="1" bestFit="1" customWidth="1"/>
    <col min="98" max="98" width="9.109375" style="1" customWidth="1"/>
    <col min="99" max="99" width="9.33203125" style="1" bestFit="1" customWidth="1"/>
    <col min="100" max="100" width="11.109375" style="1" bestFit="1" customWidth="1"/>
    <col min="101" max="101" width="13.5546875" style="1" bestFit="1" customWidth="1"/>
    <col min="102" max="103" width="9.33203125" style="1" bestFit="1" customWidth="1"/>
    <col min="104" max="106" width="6.109375" style="1" bestFit="1" customWidth="1"/>
    <col min="107" max="107" width="11.109375" style="1" bestFit="1" customWidth="1"/>
    <col min="108" max="108" width="13.5546875" style="1" bestFit="1" customWidth="1"/>
    <col min="109" max="109" width="6.109375" style="1" bestFit="1" customWidth="1"/>
    <col min="110" max="110" width="9.33203125" style="1" bestFit="1" customWidth="1"/>
    <col min="111" max="111" width="9.21875" style="1" bestFit="1" customWidth="1"/>
    <col min="112" max="112" width="10.33203125" style="1" bestFit="1" customWidth="1"/>
    <col min="113" max="113" width="9.33203125" style="1" bestFit="1" customWidth="1"/>
    <col min="114" max="115" width="6" style="1" bestFit="1" customWidth="1"/>
    <col min="116" max="116" width="9.21875" style="1" bestFit="1" customWidth="1"/>
    <col min="117" max="117" width="7.5546875" style="1" bestFit="1" customWidth="1"/>
    <col min="118" max="118" width="14.88671875" style="1" bestFit="1" customWidth="1"/>
    <col min="119" max="119" width="31.5546875" style="1" bestFit="1" customWidth="1"/>
    <col min="120" max="121" width="9.21875" style="1" bestFit="1" customWidth="1"/>
    <col min="122" max="122" width="12.5546875" style="1" bestFit="1" customWidth="1"/>
    <col min="123" max="123" width="37.33203125" style="1" bestFit="1" customWidth="1"/>
    <col min="124" max="124" width="10.33203125" style="1" bestFit="1" customWidth="1"/>
    <col min="125" max="125" width="10.21875" style="1" bestFit="1" customWidth="1"/>
    <col min="126" max="126" width="12" style="1" bestFit="1" customWidth="1"/>
    <col min="127" max="127" width="9.21875" style="1" bestFit="1" customWidth="1"/>
    <col min="128" max="128" width="12.5546875" style="1" bestFit="1" customWidth="1"/>
    <col min="129" max="129" width="10" style="1" bestFit="1" customWidth="1"/>
    <col min="130" max="130" width="21.5546875" style="1" bestFit="1" customWidth="1"/>
    <col min="131" max="131" width="12" style="1" bestFit="1" customWidth="1"/>
    <col min="132" max="132" width="10.88671875" style="1" bestFit="1" customWidth="1"/>
    <col min="133" max="133" width="9.33203125" style="1" bestFit="1" customWidth="1"/>
    <col min="134" max="134" width="5.88671875" style="1" bestFit="1" customWidth="1"/>
    <col min="135" max="135" width="10.88671875" style="1" bestFit="1" customWidth="1"/>
    <col min="136" max="136" width="14.21875" style="1" bestFit="1" customWidth="1"/>
    <col min="137" max="137" width="80.88671875" style="1" bestFit="1" customWidth="1"/>
    <col min="138" max="138" width="9.21875" style="1" bestFit="1" customWidth="1"/>
    <col min="139" max="139" width="11" style="1" bestFit="1" customWidth="1"/>
    <col min="140" max="140" width="80.88671875" style="1" bestFit="1" customWidth="1"/>
    <col min="141" max="142" width="9.21875" style="1" bestFit="1" customWidth="1"/>
    <col min="143" max="143" width="7.6640625" style="1" bestFit="1" customWidth="1"/>
    <col min="144" max="145" width="6.77734375" style="1" bestFit="1" customWidth="1"/>
    <col min="146" max="146" width="5.88671875" style="1" bestFit="1" customWidth="1"/>
    <col min="147" max="147" width="7.6640625" style="1" bestFit="1" customWidth="1"/>
    <col min="148" max="149" width="6.77734375" style="1" bestFit="1" customWidth="1"/>
    <col min="150" max="150" width="6.109375" style="1" bestFit="1" customWidth="1"/>
    <col min="151" max="151" width="14.88671875" style="1" bestFit="1" customWidth="1"/>
    <col min="152" max="152" width="9.44140625" style="1" bestFit="1" customWidth="1"/>
    <col min="153" max="153" width="8.109375" style="1" bestFit="1" customWidth="1"/>
    <col min="154" max="154" width="7.33203125" style="1" bestFit="1" customWidth="1"/>
    <col min="155" max="155" width="9.44140625" style="1" bestFit="1" customWidth="1"/>
    <col min="156" max="156" width="14" style="1" bestFit="1" customWidth="1"/>
    <col min="157" max="157" width="13.109375" style="1" bestFit="1" customWidth="1"/>
    <col min="158" max="158" width="16.5546875" style="1" bestFit="1" customWidth="1"/>
    <col min="159" max="159" width="11.109375" style="1" bestFit="1" customWidth="1"/>
    <col min="160" max="160" width="14.44140625" style="1" bestFit="1" customWidth="1"/>
    <col min="161" max="161" width="10" style="1" bestFit="1" customWidth="1"/>
    <col min="162" max="162" width="10.33203125" style="1" bestFit="1" customWidth="1"/>
    <col min="163" max="163" width="9.44140625" style="1" bestFit="1" customWidth="1"/>
    <col min="164" max="164" width="12.6640625" style="1" bestFit="1" customWidth="1"/>
    <col min="165" max="165" width="15.5546875" style="1" bestFit="1" customWidth="1"/>
    <col min="166" max="166" width="9.44140625" style="1" bestFit="1" customWidth="1"/>
    <col min="167" max="167" width="7.6640625" style="1" bestFit="1" customWidth="1"/>
    <col min="168" max="168" width="8.109375" style="1" bestFit="1" customWidth="1"/>
    <col min="169" max="170" width="6.77734375" style="1" bestFit="1" customWidth="1"/>
    <col min="171" max="171" width="6.109375" style="1" bestFit="1" customWidth="1"/>
    <col min="172" max="172" width="14.88671875" style="1" bestFit="1" customWidth="1"/>
    <col min="173" max="173" width="9.44140625" style="1" bestFit="1" customWidth="1"/>
    <col min="174" max="174" width="8.109375" style="1" customWidth="1"/>
    <col min="175" max="175" width="9.44140625" style="1" bestFit="1" customWidth="1"/>
    <col min="176" max="176" width="12.77734375" style="1" bestFit="1" customWidth="1"/>
    <col min="177" max="179" width="9.44140625" style="1" bestFit="1" customWidth="1"/>
    <col min="180" max="180" width="8.33203125" style="1" bestFit="1" customWidth="1"/>
    <col min="181" max="181" width="12.77734375" style="1" bestFit="1" customWidth="1"/>
    <col min="182" max="182" width="9.33203125" style="1" bestFit="1" customWidth="1"/>
    <col min="183" max="184" width="9.44140625" style="1" bestFit="1" customWidth="1"/>
    <col min="185" max="185" width="15.33203125" style="1" bestFit="1" customWidth="1"/>
    <col min="186" max="186" width="6.109375" style="1" bestFit="1" customWidth="1"/>
    <col min="187" max="187" width="9.44140625" style="1" bestFit="1" customWidth="1"/>
    <col min="188" max="188" width="12.6640625" style="1" bestFit="1" customWidth="1"/>
    <col min="189" max="189" width="9.21875" style="1" bestFit="1" customWidth="1"/>
    <col min="190" max="191" width="10.6640625" style="1" bestFit="1" customWidth="1"/>
    <col min="192" max="192" width="6.109375" style="1" bestFit="1" customWidth="1"/>
    <col min="193" max="193" width="15.88671875" style="1" bestFit="1" customWidth="1"/>
    <col min="194" max="194" width="15.6640625" style="1" bestFit="1" customWidth="1"/>
    <col min="195" max="195" width="26.6640625" style="1" bestFit="1" customWidth="1"/>
    <col min="196" max="196" width="12.21875" style="1" bestFit="1" customWidth="1"/>
    <col min="197" max="197" width="17.44140625" style="1" bestFit="1" customWidth="1"/>
    <col min="198" max="198" width="12.21875" style="1" bestFit="1" customWidth="1"/>
    <col min="199" max="199" width="17.44140625" style="1" bestFit="1" customWidth="1"/>
    <col min="200" max="200" width="6.109375" style="1" bestFit="1" customWidth="1"/>
    <col min="201" max="201" width="9.44140625" style="1" bestFit="1" customWidth="1"/>
    <col min="202" max="202" width="12.6640625" style="1" bestFit="1" customWidth="1"/>
    <col min="203" max="203" width="9.21875" style="1" bestFit="1" customWidth="1"/>
    <col min="204" max="204" width="9.33203125" style="1" bestFit="1" customWidth="1"/>
    <col min="205" max="205" width="9.44140625" style="1" bestFit="1" customWidth="1"/>
    <col min="206" max="206" width="6.109375" style="1" bestFit="1" customWidth="1"/>
    <col min="207" max="207" width="15.88671875" style="1" bestFit="1" customWidth="1"/>
    <col min="208" max="208" width="15.6640625" style="1" bestFit="1" customWidth="1"/>
    <col min="209" max="209" width="26" style="1" bestFit="1" customWidth="1"/>
    <col min="210" max="210" width="13.77734375" style="1" bestFit="1" customWidth="1"/>
    <col min="211" max="211" width="10.77734375" style="1" bestFit="1" customWidth="1"/>
    <col min="212" max="212" width="17.44140625" style="1" bestFit="1" customWidth="1"/>
    <col min="213" max="16384" width="8.88671875" style="1"/>
  </cols>
  <sheetData>
    <row r="1" spans="2:113" ht="88.5" customHeight="1" x14ac:dyDescent="0.25"/>
    <row r="6" spans="2:113" x14ac:dyDescent="0.25">
      <c r="B6" s="124" t="s">
        <v>83</v>
      </c>
      <c r="C6" s="124" t="s">
        <v>280</v>
      </c>
      <c r="D6" s="124" t="s">
        <v>91</v>
      </c>
      <c r="E6" s="124" t="s">
        <v>46</v>
      </c>
      <c r="F6" s="124" t="s">
        <v>47</v>
      </c>
      <c r="G6" s="124" t="s">
        <v>119</v>
      </c>
      <c r="H6" s="124" t="s">
        <v>144</v>
      </c>
      <c r="I6" s="124" t="s">
        <v>49</v>
      </c>
      <c r="J6" s="124" t="s">
        <v>62</v>
      </c>
      <c r="K6" s="124" t="s">
        <v>55</v>
      </c>
      <c r="L6" s="124" t="s">
        <v>84</v>
      </c>
      <c r="M6" s="124" t="s">
        <v>114</v>
      </c>
      <c r="N6" s="124" t="s">
        <v>85</v>
      </c>
      <c r="O6" s="124" t="s">
        <v>51</v>
      </c>
      <c r="P6" s="124" t="s">
        <v>132</v>
      </c>
      <c r="Q6" s="124" t="s">
        <v>134</v>
      </c>
      <c r="R6" s="124" t="s">
        <v>135</v>
      </c>
      <c r="S6" s="124" t="s">
        <v>57</v>
      </c>
      <c r="T6" s="124" t="s">
        <v>87</v>
      </c>
      <c r="U6" s="124" t="s">
        <v>88</v>
      </c>
      <c r="V6" s="124" t="s">
        <v>151</v>
      </c>
      <c r="W6" s="124" t="s">
        <v>152</v>
      </c>
      <c r="X6" s="124" t="s">
        <v>122</v>
      </c>
      <c r="Y6" s="124" t="s">
        <v>78</v>
      </c>
      <c r="Z6" s="124" t="s">
        <v>64</v>
      </c>
      <c r="AA6" s="124" t="s">
        <v>67</v>
      </c>
      <c r="AB6" s="124" t="s">
        <v>50</v>
      </c>
      <c r="AC6" s="124" t="s">
        <v>140</v>
      </c>
      <c r="AD6" s="124" t="s">
        <v>141</v>
      </c>
      <c r="AE6" s="124" t="s">
        <v>174</v>
      </c>
      <c r="AF6" s="124" t="s">
        <v>509</v>
      </c>
      <c r="AG6" s="124" t="s">
        <v>787</v>
      </c>
      <c r="AH6" s="124" t="s">
        <v>213</v>
      </c>
      <c r="AI6" s="124" t="s">
        <v>172</v>
      </c>
      <c r="AJ6" s="124" t="s">
        <v>68</v>
      </c>
      <c r="AK6" s="124" t="s">
        <v>69</v>
      </c>
      <c r="AL6" s="124" t="s">
        <v>79</v>
      </c>
      <c r="AM6" s="124" t="s">
        <v>629</v>
      </c>
      <c r="AN6" s="124" t="s">
        <v>120</v>
      </c>
      <c r="AO6" s="124" t="s">
        <v>326</v>
      </c>
      <c r="AP6" s="124" t="s">
        <v>177</v>
      </c>
      <c r="AQ6" s="124" t="s">
        <v>173</v>
      </c>
      <c r="AR6" s="124" t="s">
        <v>178</v>
      </c>
      <c r="AS6" s="124" t="s">
        <v>179</v>
      </c>
      <c r="AT6" s="124" t="s">
        <v>234</v>
      </c>
      <c r="AU6" s="124" t="s">
        <v>185</v>
      </c>
      <c r="AV6" s="124" t="s">
        <v>163</v>
      </c>
      <c r="AW6" s="124" t="s">
        <v>268</v>
      </c>
      <c r="AX6" s="124" t="s">
        <v>121</v>
      </c>
      <c r="AY6" s="124" t="s">
        <v>507</v>
      </c>
      <c r="AZ6" s="124" t="s">
        <v>545</v>
      </c>
      <c r="BA6" s="124" t="s">
        <v>546</v>
      </c>
      <c r="BB6" s="124" t="s">
        <v>547</v>
      </c>
      <c r="BC6" s="124" t="s">
        <v>148</v>
      </c>
      <c r="BD6" s="124" t="s">
        <v>137</v>
      </c>
      <c r="BE6" s="124" t="s">
        <v>128</v>
      </c>
      <c r="BF6" s="124" t="s">
        <v>138</v>
      </c>
      <c r="BG6" s="124" t="s">
        <v>165</v>
      </c>
      <c r="BH6" s="124" t="s">
        <v>164</v>
      </c>
      <c r="BI6" s="124" t="s">
        <v>166</v>
      </c>
      <c r="BJ6" s="124" t="s">
        <v>139</v>
      </c>
      <c r="BK6" s="124" t="s">
        <v>548</v>
      </c>
      <c r="BL6" s="124" t="s">
        <v>549</v>
      </c>
      <c r="BM6" s="124" t="s">
        <v>550</v>
      </c>
      <c r="BN6" s="124" t="s">
        <v>551</v>
      </c>
      <c r="BO6" s="124" t="s">
        <v>552</v>
      </c>
      <c r="BP6" s="124" t="s">
        <v>553</v>
      </c>
      <c r="BQ6" s="124" t="s">
        <v>168</v>
      </c>
      <c r="BR6" s="124" t="s">
        <v>289</v>
      </c>
      <c r="BS6" s="124" t="s">
        <v>517</v>
      </c>
      <c r="BT6" s="124" t="s">
        <v>221</v>
      </c>
      <c r="BU6" s="124" t="s">
        <v>505</v>
      </c>
      <c r="BV6" s="124" t="s">
        <v>508</v>
      </c>
      <c r="BW6" s="124" t="s">
        <v>626</v>
      </c>
      <c r="BX6" s="124" t="s">
        <v>188</v>
      </c>
      <c r="BY6" s="124" t="s">
        <v>584</v>
      </c>
      <c r="BZ6" s="124" t="s">
        <v>585</v>
      </c>
      <c r="CA6" s="124" t="s">
        <v>169</v>
      </c>
      <c r="CB6" s="124" t="s">
        <v>586</v>
      </c>
      <c r="CC6" s="124" t="s">
        <v>86</v>
      </c>
      <c r="CD6" s="124" t="s">
        <v>43</v>
      </c>
      <c r="CE6" s="124" t="s">
        <v>44</v>
      </c>
      <c r="CF6" s="124" t="s">
        <v>190</v>
      </c>
      <c r="CG6" s="124" t="s">
        <v>627</v>
      </c>
      <c r="CH6" s="124" t="s">
        <v>559</v>
      </c>
      <c r="CI6" s="124" t="s">
        <v>506</v>
      </c>
      <c r="CJ6" s="124" t="s">
        <v>130</v>
      </c>
      <c r="CK6" s="124" t="s">
        <v>129</v>
      </c>
      <c r="CL6" s="124" t="s">
        <v>136</v>
      </c>
      <c r="CM6" s="124" t="s">
        <v>180</v>
      </c>
    </row>
    <row r="7" spans="2:113" x14ac:dyDescent="0.25">
      <c r="B7" s="124">
        <v>31</v>
      </c>
      <c r="C7" s="124" t="s">
        <v>89</v>
      </c>
      <c r="D7" s="124" t="s">
        <v>1357</v>
      </c>
      <c r="E7" s="124" t="s">
        <v>1358</v>
      </c>
      <c r="F7" s="132">
        <v>45261</v>
      </c>
      <c r="G7" s="124" t="s">
        <v>80</v>
      </c>
      <c r="H7" s="124" t="s">
        <v>80</v>
      </c>
      <c r="I7" s="124" t="s">
        <v>6</v>
      </c>
      <c r="J7" s="124" t="s">
        <v>103</v>
      </c>
      <c r="K7" s="124">
        <v>2.1800000000000002</v>
      </c>
      <c r="L7" s="124" t="s">
        <v>131</v>
      </c>
      <c r="M7" s="124" t="s">
        <v>821</v>
      </c>
      <c r="N7" s="124" t="s">
        <v>6</v>
      </c>
      <c r="O7" s="124" t="s">
        <v>821</v>
      </c>
      <c r="P7" s="124" t="s">
        <v>6</v>
      </c>
      <c r="Q7" s="124" t="s">
        <v>6</v>
      </c>
      <c r="R7" s="124" t="s">
        <v>89</v>
      </c>
      <c r="S7" s="124">
        <v>100</v>
      </c>
      <c r="T7" s="124" t="s">
        <v>35</v>
      </c>
      <c r="U7" s="124" t="s">
        <v>215</v>
      </c>
      <c r="V7" s="124" t="s">
        <v>6</v>
      </c>
      <c r="W7" s="124" t="s">
        <v>6</v>
      </c>
      <c r="X7" s="124" t="s">
        <v>89</v>
      </c>
      <c r="Y7" s="124" t="s">
        <v>791</v>
      </c>
      <c r="Z7" s="132">
        <v>45266</v>
      </c>
      <c r="AA7" s="132">
        <v>45632</v>
      </c>
      <c r="AB7" s="132">
        <v>46362</v>
      </c>
      <c r="AC7" s="124">
        <v>0.29899999999999999</v>
      </c>
      <c r="AD7" s="124">
        <v>2.1800000000000002</v>
      </c>
      <c r="AE7" s="124">
        <v>2.34</v>
      </c>
      <c r="AF7" s="124" t="s">
        <v>1370</v>
      </c>
      <c r="AG7" s="128" t="s">
        <v>203</v>
      </c>
      <c r="AH7" s="124" t="s">
        <v>6</v>
      </c>
      <c r="AI7" s="124" t="s">
        <v>89</v>
      </c>
      <c r="AJ7" s="124" t="s">
        <v>1357</v>
      </c>
      <c r="AK7" s="124" t="s">
        <v>6</v>
      </c>
      <c r="AL7" s="124" t="s">
        <v>89</v>
      </c>
      <c r="AM7" s="128" t="s">
        <v>89</v>
      </c>
      <c r="AN7" s="124" t="s">
        <v>89</v>
      </c>
      <c r="AO7" s="124" t="s">
        <v>6</v>
      </c>
      <c r="AP7" s="124" t="s">
        <v>89</v>
      </c>
      <c r="AQ7" s="124" t="s">
        <v>89</v>
      </c>
      <c r="AR7" s="124" t="s">
        <v>6</v>
      </c>
      <c r="AS7" s="124" t="s">
        <v>89</v>
      </c>
      <c r="AT7" s="124" t="s">
        <v>89</v>
      </c>
      <c r="AU7" s="124" t="s">
        <v>1369</v>
      </c>
      <c r="AV7" s="124" t="s">
        <v>244</v>
      </c>
      <c r="AW7" s="124" t="s">
        <v>198</v>
      </c>
      <c r="AX7" s="124" t="s">
        <v>1372</v>
      </c>
      <c r="AY7" s="124" t="s">
        <v>498</v>
      </c>
      <c r="AZ7" s="132"/>
      <c r="BA7" s="124" t="s">
        <v>89</v>
      </c>
      <c r="BB7" s="128" t="s">
        <v>89</v>
      </c>
      <c r="BC7" s="124" t="s">
        <v>89</v>
      </c>
      <c r="BD7" s="124" t="s">
        <v>89</v>
      </c>
      <c r="BE7" s="124" t="s">
        <v>6</v>
      </c>
      <c r="BF7" s="124" t="s">
        <v>89</v>
      </c>
      <c r="BG7" s="124" t="s">
        <v>6</v>
      </c>
      <c r="BH7" s="124" t="s">
        <v>6</v>
      </c>
      <c r="BI7" s="124" t="s">
        <v>6</v>
      </c>
      <c r="BJ7" s="124" t="s">
        <v>89</v>
      </c>
      <c r="BK7" s="124" t="s">
        <v>89</v>
      </c>
      <c r="BL7" s="124"/>
      <c r="BM7" s="124"/>
      <c r="BN7" s="124" t="s">
        <v>89</v>
      </c>
      <c r="BO7" s="124" t="s">
        <v>89</v>
      </c>
      <c r="BP7" s="133"/>
      <c r="BQ7" s="124" t="s">
        <v>89</v>
      </c>
      <c r="BR7" s="124" t="s">
        <v>89</v>
      </c>
      <c r="BS7" s="124" t="s">
        <v>89</v>
      </c>
      <c r="BT7" s="124"/>
      <c r="BU7" s="124" t="s">
        <v>89</v>
      </c>
      <c r="BV7" s="124"/>
      <c r="BW7" s="124" t="s">
        <v>89</v>
      </c>
      <c r="BX7" s="124" t="s">
        <v>89</v>
      </c>
      <c r="BY7" s="124" t="s">
        <v>6</v>
      </c>
      <c r="BZ7" s="124" t="s">
        <v>6</v>
      </c>
      <c r="CA7" s="124" t="s">
        <v>89</v>
      </c>
      <c r="CB7" s="124" t="s">
        <v>89</v>
      </c>
      <c r="CC7" s="124" t="s">
        <v>89</v>
      </c>
      <c r="CD7" s="124" t="s">
        <v>6</v>
      </c>
      <c r="CE7" s="124" t="s">
        <v>6</v>
      </c>
      <c r="CF7" s="134"/>
      <c r="CG7" s="134"/>
      <c r="CH7" s="124"/>
      <c r="CI7" s="124" t="s">
        <v>89</v>
      </c>
      <c r="CJ7" s="128" t="s">
        <v>89</v>
      </c>
      <c r="CK7" s="128" t="s">
        <v>89</v>
      </c>
      <c r="CL7" s="124" t="s">
        <v>191</v>
      </c>
      <c r="CM7" s="134">
        <v>45264.556935335648</v>
      </c>
      <c r="DA7" s="17"/>
      <c r="DI7" s="17"/>
    </row>
    <row r="8" spans="2:113" x14ac:dyDescent="0.25">
      <c r="B8" s="124">
        <v>30</v>
      </c>
      <c r="C8" s="124" t="s">
        <v>89</v>
      </c>
      <c r="D8" s="124" t="s">
        <v>1373</v>
      </c>
      <c r="E8" s="124" t="s">
        <v>1374</v>
      </c>
      <c r="F8" s="132">
        <v>45261</v>
      </c>
      <c r="G8" s="124" t="s">
        <v>80</v>
      </c>
      <c r="H8" s="124" t="s">
        <v>1386</v>
      </c>
      <c r="I8" s="124" t="s">
        <v>315</v>
      </c>
      <c r="J8" s="124" t="s">
        <v>103</v>
      </c>
      <c r="K8" s="124">
        <v>20</v>
      </c>
      <c r="L8" s="124" t="s">
        <v>131</v>
      </c>
      <c r="M8" s="124" t="s">
        <v>1496</v>
      </c>
      <c r="N8" s="124" t="s">
        <v>6</v>
      </c>
      <c r="O8" s="124" t="s">
        <v>6</v>
      </c>
      <c r="P8" s="124" t="s">
        <v>6</v>
      </c>
      <c r="Q8" s="124" t="s">
        <v>6</v>
      </c>
      <c r="R8" s="124" t="s">
        <v>89</v>
      </c>
      <c r="S8" s="124">
        <v>100</v>
      </c>
      <c r="T8" s="124" t="s">
        <v>37</v>
      </c>
      <c r="U8" s="124" t="s">
        <v>204</v>
      </c>
      <c r="V8" s="124" t="s">
        <v>6</v>
      </c>
      <c r="W8" s="124" t="s">
        <v>129</v>
      </c>
      <c r="X8" s="124" t="s">
        <v>89</v>
      </c>
      <c r="Y8" s="124" t="s">
        <v>115</v>
      </c>
      <c r="Z8" s="132">
        <v>45268</v>
      </c>
      <c r="AA8" s="132">
        <v>45451</v>
      </c>
      <c r="AB8" s="132">
        <v>46364</v>
      </c>
      <c r="AC8" s="124">
        <v>2.742</v>
      </c>
      <c r="AD8" s="124">
        <v>20</v>
      </c>
      <c r="AE8" s="124">
        <v>21.466000000000001</v>
      </c>
      <c r="AF8" s="124" t="s">
        <v>1382</v>
      </c>
      <c r="AG8" s="128" t="s">
        <v>298</v>
      </c>
      <c r="AH8" s="124" t="s">
        <v>6</v>
      </c>
      <c r="AI8" s="124" t="s">
        <v>89</v>
      </c>
      <c r="AJ8" s="124" t="s">
        <v>1383</v>
      </c>
      <c r="AK8" s="124" t="s">
        <v>1373</v>
      </c>
      <c r="AL8" s="124" t="s">
        <v>89</v>
      </c>
      <c r="AM8" s="128" t="s">
        <v>89</v>
      </c>
      <c r="AN8" s="124" t="s">
        <v>89</v>
      </c>
      <c r="AO8" s="124" t="s">
        <v>6</v>
      </c>
      <c r="AP8" s="124" t="s">
        <v>89</v>
      </c>
      <c r="AQ8" s="124" t="s">
        <v>89</v>
      </c>
      <c r="AR8" s="124" t="s">
        <v>6</v>
      </c>
      <c r="AS8" s="124" t="s">
        <v>89</v>
      </c>
      <c r="AT8" s="124" t="s">
        <v>89</v>
      </c>
      <c r="AU8" s="124" t="s">
        <v>1381</v>
      </c>
      <c r="AV8" s="124" t="s">
        <v>244</v>
      </c>
      <c r="AW8" s="124" t="s">
        <v>198</v>
      </c>
      <c r="AX8" s="124" t="s">
        <v>1387</v>
      </c>
      <c r="AY8" s="124" t="s">
        <v>498</v>
      </c>
      <c r="AZ8" s="132"/>
      <c r="BA8" s="124" t="s">
        <v>4</v>
      </c>
      <c r="BB8" s="128" t="s">
        <v>89</v>
      </c>
      <c r="BC8" s="124" t="s">
        <v>1516</v>
      </c>
      <c r="BD8" s="124" t="s">
        <v>1334</v>
      </c>
      <c r="BE8" s="124" t="s">
        <v>129</v>
      </c>
      <c r="BF8" s="124" t="s">
        <v>146</v>
      </c>
      <c r="BG8" s="124" t="s">
        <v>6</v>
      </c>
      <c r="BH8" s="124" t="s">
        <v>6</v>
      </c>
      <c r="BI8" s="124" t="s">
        <v>6</v>
      </c>
      <c r="BJ8" s="124" t="s">
        <v>150</v>
      </c>
      <c r="BK8" s="124" t="s">
        <v>89</v>
      </c>
      <c r="BL8" s="124"/>
      <c r="BM8" s="124"/>
      <c r="BN8" s="124" t="s">
        <v>89</v>
      </c>
      <c r="BO8" s="124" t="s">
        <v>89</v>
      </c>
      <c r="BP8" s="133"/>
      <c r="BQ8" s="124" t="s">
        <v>805</v>
      </c>
      <c r="BR8" s="124" t="s">
        <v>89</v>
      </c>
      <c r="BS8" s="124" t="s">
        <v>89</v>
      </c>
      <c r="BT8" s="124"/>
      <c r="BU8" s="124" t="s">
        <v>498</v>
      </c>
      <c r="BV8" s="124"/>
      <c r="BW8" s="124" t="s">
        <v>89</v>
      </c>
      <c r="BX8" s="124" t="s">
        <v>89</v>
      </c>
      <c r="BY8" s="124" t="s">
        <v>6</v>
      </c>
      <c r="BZ8" s="124" t="s">
        <v>6</v>
      </c>
      <c r="CA8" s="124" t="s">
        <v>89</v>
      </c>
      <c r="CB8" s="124" t="s">
        <v>89</v>
      </c>
      <c r="CC8" s="124" t="s">
        <v>89</v>
      </c>
      <c r="CD8" s="124" t="s">
        <v>6</v>
      </c>
      <c r="CE8" s="124" t="s">
        <v>6</v>
      </c>
      <c r="CF8" s="134"/>
      <c r="CG8" s="134"/>
      <c r="CH8" s="124"/>
      <c r="CI8" s="124" t="s">
        <v>89</v>
      </c>
      <c r="CJ8" s="128" t="s">
        <v>1518</v>
      </c>
      <c r="CK8" s="128" t="s">
        <v>1519</v>
      </c>
      <c r="CL8" s="124" t="s">
        <v>191</v>
      </c>
      <c r="CM8" s="134">
        <v>45264.556935335648</v>
      </c>
      <c r="DA8" s="17"/>
      <c r="DI8" s="17"/>
    </row>
    <row r="9" spans="2:113" x14ac:dyDescent="0.25">
      <c r="B9" s="124">
        <v>29</v>
      </c>
      <c r="C9" s="124" t="s">
        <v>89</v>
      </c>
      <c r="D9" s="124" t="s">
        <v>1388</v>
      </c>
      <c r="E9" s="124" t="s">
        <v>1389</v>
      </c>
      <c r="F9" s="132">
        <v>45261</v>
      </c>
      <c r="G9" s="124" t="s">
        <v>80</v>
      </c>
      <c r="H9" s="124" t="s">
        <v>80</v>
      </c>
      <c r="I9" s="124" t="s">
        <v>570</v>
      </c>
      <c r="J9" s="124" t="s">
        <v>82</v>
      </c>
      <c r="K9" s="124">
        <v>1.65</v>
      </c>
      <c r="L9" s="124" t="s">
        <v>544</v>
      </c>
      <c r="M9" s="124" t="s">
        <v>1497</v>
      </c>
      <c r="N9" s="124" t="s">
        <v>6</v>
      </c>
      <c r="O9" s="124" t="s">
        <v>6</v>
      </c>
      <c r="P9" s="124" t="s">
        <v>6</v>
      </c>
      <c r="Q9" s="124" t="s">
        <v>6</v>
      </c>
      <c r="R9" s="124" t="s">
        <v>89</v>
      </c>
      <c r="S9" s="124">
        <v>100</v>
      </c>
      <c r="T9" s="124" t="s">
        <v>38</v>
      </c>
      <c r="U9" s="124" t="s">
        <v>204</v>
      </c>
      <c r="V9" s="124" t="s">
        <v>6</v>
      </c>
      <c r="W9" s="124" t="s">
        <v>6</v>
      </c>
      <c r="X9" s="124" t="s">
        <v>89</v>
      </c>
      <c r="Y9" s="124" t="s">
        <v>89</v>
      </c>
      <c r="Z9" s="132">
        <v>45266</v>
      </c>
      <c r="AA9" s="132">
        <v>45630</v>
      </c>
      <c r="AB9" s="132">
        <v>45630</v>
      </c>
      <c r="AC9" s="124">
        <v>1.65</v>
      </c>
      <c r="AD9" s="124">
        <v>12.032999999999999</v>
      </c>
      <c r="AE9" s="124">
        <v>12.92</v>
      </c>
      <c r="AF9" s="124" t="s">
        <v>1392</v>
      </c>
      <c r="AG9" s="128" t="s">
        <v>558</v>
      </c>
      <c r="AH9" s="124" t="s">
        <v>6</v>
      </c>
      <c r="AI9" s="124" t="s">
        <v>89</v>
      </c>
      <c r="AJ9" s="124" t="s">
        <v>1393</v>
      </c>
      <c r="AK9" s="124" t="s">
        <v>6</v>
      </c>
      <c r="AL9" s="124" t="s">
        <v>1388</v>
      </c>
      <c r="AM9" s="128" t="s">
        <v>89</v>
      </c>
      <c r="AN9" s="124" t="s">
        <v>89</v>
      </c>
      <c r="AO9" s="124" t="s">
        <v>6</v>
      </c>
      <c r="AP9" s="124" t="s">
        <v>89</v>
      </c>
      <c r="AQ9" s="124" t="s">
        <v>557</v>
      </c>
      <c r="AR9" s="124" t="s">
        <v>6</v>
      </c>
      <c r="AS9" s="124" t="s">
        <v>89</v>
      </c>
      <c r="AT9" s="124" t="s">
        <v>89</v>
      </c>
      <c r="AU9" s="124" t="s">
        <v>89</v>
      </c>
      <c r="AV9" s="124" t="s">
        <v>244</v>
      </c>
      <c r="AW9" s="124" t="s">
        <v>198</v>
      </c>
      <c r="AX9" s="124" t="s">
        <v>1394</v>
      </c>
      <c r="AY9" s="124" t="s">
        <v>498</v>
      </c>
      <c r="AZ9" s="132"/>
      <c r="BA9" s="124" t="s">
        <v>89</v>
      </c>
      <c r="BB9" s="128" t="s">
        <v>89</v>
      </c>
      <c r="BC9" s="124" t="s">
        <v>89</v>
      </c>
      <c r="BD9" s="124" t="s">
        <v>89</v>
      </c>
      <c r="BE9" s="124" t="s">
        <v>6</v>
      </c>
      <c r="BF9" s="124" t="s">
        <v>89</v>
      </c>
      <c r="BG9" s="124" t="s">
        <v>6</v>
      </c>
      <c r="BH9" s="124" t="s">
        <v>6</v>
      </c>
      <c r="BI9" s="124" t="s">
        <v>6</v>
      </c>
      <c r="BJ9" s="124" t="s">
        <v>89</v>
      </c>
      <c r="BK9" s="124" t="s">
        <v>89</v>
      </c>
      <c r="BL9" s="124"/>
      <c r="BM9" s="124"/>
      <c r="BN9" s="124" t="s">
        <v>89</v>
      </c>
      <c r="BO9" s="124" t="s">
        <v>89</v>
      </c>
      <c r="BP9" s="133"/>
      <c r="BQ9" s="124" t="s">
        <v>89</v>
      </c>
      <c r="BR9" s="124" t="s">
        <v>89</v>
      </c>
      <c r="BS9" s="124" t="s">
        <v>89</v>
      </c>
      <c r="BT9" s="124"/>
      <c r="BU9" s="124" t="s">
        <v>89</v>
      </c>
      <c r="BV9" s="124"/>
      <c r="BW9" s="124" t="s">
        <v>89</v>
      </c>
      <c r="BX9" s="124" t="s">
        <v>89</v>
      </c>
      <c r="BY9" s="124" t="s">
        <v>6</v>
      </c>
      <c r="BZ9" s="124" t="s">
        <v>6</v>
      </c>
      <c r="CA9" s="124" t="s">
        <v>89</v>
      </c>
      <c r="CB9" s="124" t="s">
        <v>89</v>
      </c>
      <c r="CC9" s="124" t="s">
        <v>89</v>
      </c>
      <c r="CD9" s="124" t="s">
        <v>6</v>
      </c>
      <c r="CE9" s="124" t="s">
        <v>6</v>
      </c>
      <c r="CF9" s="134"/>
      <c r="CG9" s="134"/>
      <c r="CH9" s="124"/>
      <c r="CI9" s="124" t="s">
        <v>89</v>
      </c>
      <c r="CJ9" s="128" t="s">
        <v>89</v>
      </c>
      <c r="CK9" s="128" t="s">
        <v>89</v>
      </c>
      <c r="CL9" s="124" t="s">
        <v>191</v>
      </c>
      <c r="CM9" s="134">
        <v>45264.556935335648</v>
      </c>
      <c r="DA9" s="17"/>
      <c r="DI9" s="17"/>
    </row>
    <row r="10" spans="2:113" x14ac:dyDescent="0.25">
      <c r="B10" s="124">
        <v>28</v>
      </c>
      <c r="C10" s="124" t="s">
        <v>89</v>
      </c>
      <c r="D10" s="124" t="s">
        <v>1395</v>
      </c>
      <c r="E10" s="124" t="s">
        <v>1396</v>
      </c>
      <c r="F10" s="132">
        <v>45261</v>
      </c>
      <c r="G10" s="124" t="s">
        <v>80</v>
      </c>
      <c r="H10" s="124" t="s">
        <v>80</v>
      </c>
      <c r="I10" s="124" t="s">
        <v>804</v>
      </c>
      <c r="J10" s="124" t="s">
        <v>103</v>
      </c>
      <c r="K10" s="124">
        <v>3.363</v>
      </c>
      <c r="L10" s="124" t="s">
        <v>1499</v>
      </c>
      <c r="M10" s="124" t="s">
        <v>846</v>
      </c>
      <c r="N10" s="124" t="s">
        <v>1397</v>
      </c>
      <c r="O10" s="124" t="s">
        <v>846</v>
      </c>
      <c r="P10" s="124" t="s">
        <v>846</v>
      </c>
      <c r="Q10" s="124">
        <v>30</v>
      </c>
      <c r="R10" s="124" t="s">
        <v>89</v>
      </c>
      <c r="S10" s="124">
        <v>100</v>
      </c>
      <c r="T10" s="124" t="s">
        <v>108</v>
      </c>
      <c r="U10" s="124" t="s">
        <v>215</v>
      </c>
      <c r="V10" s="124" t="s">
        <v>6</v>
      </c>
      <c r="W10" s="124" t="s">
        <v>6</v>
      </c>
      <c r="X10" s="124" t="s">
        <v>89</v>
      </c>
      <c r="Y10" s="124" t="s">
        <v>115</v>
      </c>
      <c r="Z10" s="132">
        <v>45268</v>
      </c>
      <c r="AA10" s="132">
        <v>45451</v>
      </c>
      <c r="AB10" s="132">
        <v>46334</v>
      </c>
      <c r="AC10" s="124">
        <v>0.46100000000000002</v>
      </c>
      <c r="AD10" s="124">
        <v>3.363</v>
      </c>
      <c r="AE10" s="124">
        <v>3.61</v>
      </c>
      <c r="AF10" s="124" t="s">
        <v>1410</v>
      </c>
      <c r="AG10" s="128" t="s">
        <v>203</v>
      </c>
      <c r="AH10" s="124" t="s">
        <v>6</v>
      </c>
      <c r="AI10" s="124" t="s">
        <v>89</v>
      </c>
      <c r="AJ10" s="124" t="s">
        <v>1395</v>
      </c>
      <c r="AK10" s="124" t="s">
        <v>6</v>
      </c>
      <c r="AL10" s="124" t="s">
        <v>89</v>
      </c>
      <c r="AM10" s="128" t="s">
        <v>634</v>
      </c>
      <c r="AN10" s="124" t="s">
        <v>510</v>
      </c>
      <c r="AO10" s="124" t="s">
        <v>6</v>
      </c>
      <c r="AP10" s="124" t="s">
        <v>89</v>
      </c>
      <c r="AQ10" s="124" t="s">
        <v>89</v>
      </c>
      <c r="AR10" s="124" t="s">
        <v>6</v>
      </c>
      <c r="AS10" s="124" t="s">
        <v>89</v>
      </c>
      <c r="AT10" s="129" t="s">
        <v>89</v>
      </c>
      <c r="AU10" s="124" t="s">
        <v>1409</v>
      </c>
      <c r="AV10" s="124" t="s">
        <v>244</v>
      </c>
      <c r="AW10" s="124" t="s">
        <v>198</v>
      </c>
      <c r="AX10" s="124" t="s">
        <v>1412</v>
      </c>
      <c r="AY10" s="124" t="s">
        <v>498</v>
      </c>
      <c r="AZ10" s="132"/>
      <c r="BA10" s="124" t="s">
        <v>89</v>
      </c>
      <c r="BB10" s="128" t="s">
        <v>89</v>
      </c>
      <c r="BC10" s="124" t="s">
        <v>89</v>
      </c>
      <c r="BD10" s="124" t="s">
        <v>89</v>
      </c>
      <c r="BE10" s="124" t="s">
        <v>6</v>
      </c>
      <c r="BF10" s="124" t="s">
        <v>89</v>
      </c>
      <c r="BG10" s="124" t="s">
        <v>6</v>
      </c>
      <c r="BH10" s="124" t="s">
        <v>6</v>
      </c>
      <c r="BI10" s="124" t="s">
        <v>6</v>
      </c>
      <c r="BJ10" s="124" t="s">
        <v>89</v>
      </c>
      <c r="BK10" s="124" t="s">
        <v>89</v>
      </c>
      <c r="BL10" s="124"/>
      <c r="BM10" s="124"/>
      <c r="BN10" s="124" t="s">
        <v>89</v>
      </c>
      <c r="BO10" s="124" t="s">
        <v>89</v>
      </c>
      <c r="BP10" s="133"/>
      <c r="BQ10" s="124" t="s">
        <v>89</v>
      </c>
      <c r="BR10" s="124" t="s">
        <v>89</v>
      </c>
      <c r="BS10" s="124" t="s">
        <v>89</v>
      </c>
      <c r="BT10" s="124"/>
      <c r="BU10" s="124" t="s">
        <v>89</v>
      </c>
      <c r="BV10" s="124"/>
      <c r="BW10" s="124" t="s">
        <v>1512</v>
      </c>
      <c r="BX10" s="124" t="s">
        <v>210</v>
      </c>
      <c r="BY10" s="124" t="s">
        <v>6</v>
      </c>
      <c r="BZ10" s="124" t="s">
        <v>6</v>
      </c>
      <c r="CA10" s="124" t="s">
        <v>160</v>
      </c>
      <c r="CB10" s="124" t="s">
        <v>606</v>
      </c>
      <c r="CC10" s="124" t="s">
        <v>19</v>
      </c>
      <c r="CD10" s="124" t="s">
        <v>1407</v>
      </c>
      <c r="CE10" s="124" t="s">
        <v>6</v>
      </c>
      <c r="CF10" s="134"/>
      <c r="CG10" s="134">
        <v>45261</v>
      </c>
      <c r="CH10" s="124" t="s">
        <v>1</v>
      </c>
      <c r="CI10" s="124" t="s">
        <v>498</v>
      </c>
      <c r="CJ10" s="128" t="s">
        <v>89</v>
      </c>
      <c r="CK10" s="128" t="s">
        <v>89</v>
      </c>
      <c r="CL10" s="124" t="s">
        <v>191</v>
      </c>
      <c r="CM10" s="134">
        <v>45264.556935335648</v>
      </c>
      <c r="DA10" s="17"/>
      <c r="DI10" s="17"/>
    </row>
    <row r="11" spans="2:113" x14ac:dyDescent="0.25">
      <c r="B11" s="124">
        <v>27</v>
      </c>
      <c r="C11" s="124" t="s">
        <v>89</v>
      </c>
      <c r="D11" s="124" t="s">
        <v>1054</v>
      </c>
      <c r="E11" s="124" t="s">
        <v>1413</v>
      </c>
      <c r="F11" s="132">
        <v>45261</v>
      </c>
      <c r="G11" s="124" t="s">
        <v>1251</v>
      </c>
      <c r="H11" s="124" t="s">
        <v>1514</v>
      </c>
      <c r="I11" s="124" t="s">
        <v>315</v>
      </c>
      <c r="J11" s="124" t="s">
        <v>82</v>
      </c>
      <c r="K11" s="124">
        <v>5</v>
      </c>
      <c r="L11" s="124" t="s">
        <v>1122</v>
      </c>
      <c r="M11" s="124" t="s">
        <v>1415</v>
      </c>
      <c r="N11" s="124" t="s">
        <v>1414</v>
      </c>
      <c r="O11" s="124" t="s">
        <v>1415</v>
      </c>
      <c r="P11" s="124" t="s">
        <v>1415</v>
      </c>
      <c r="Q11" s="124">
        <v>45</v>
      </c>
      <c r="R11" s="124" t="s">
        <v>89</v>
      </c>
      <c r="S11" s="124">
        <v>100</v>
      </c>
      <c r="T11" s="124" t="s">
        <v>35</v>
      </c>
      <c r="U11" s="124" t="s">
        <v>1500</v>
      </c>
      <c r="V11" s="124" t="s">
        <v>129</v>
      </c>
      <c r="W11" s="124" t="s">
        <v>6</v>
      </c>
      <c r="X11" s="124" t="s">
        <v>89</v>
      </c>
      <c r="Y11" s="124" t="s">
        <v>115</v>
      </c>
      <c r="Z11" s="132">
        <v>45266</v>
      </c>
      <c r="AA11" s="132">
        <v>45449</v>
      </c>
      <c r="AB11" s="132">
        <v>45997</v>
      </c>
      <c r="AC11" s="124">
        <v>5</v>
      </c>
      <c r="AD11" s="124">
        <v>36.463999999999999</v>
      </c>
      <c r="AE11" s="124">
        <v>39.152999999999999</v>
      </c>
      <c r="AF11" s="124" t="s">
        <v>1428</v>
      </c>
      <c r="AG11" s="128" t="s">
        <v>203</v>
      </c>
      <c r="AH11" s="124" t="s">
        <v>6</v>
      </c>
      <c r="AI11" s="124" t="s">
        <v>89</v>
      </c>
      <c r="AJ11" s="124" t="s">
        <v>1054</v>
      </c>
      <c r="AK11" s="124" t="s">
        <v>6</v>
      </c>
      <c r="AL11" s="124" t="s">
        <v>89</v>
      </c>
      <c r="AM11" s="128" t="s">
        <v>89</v>
      </c>
      <c r="AN11" s="124" t="s">
        <v>499</v>
      </c>
      <c r="AO11" s="124" t="s">
        <v>6</v>
      </c>
      <c r="AP11" s="124" t="s">
        <v>89</v>
      </c>
      <c r="AQ11" s="124" t="s">
        <v>89</v>
      </c>
      <c r="AR11" s="124" t="s">
        <v>6</v>
      </c>
      <c r="AS11" s="124" t="s">
        <v>89</v>
      </c>
      <c r="AT11" s="124" t="s">
        <v>89</v>
      </c>
      <c r="AU11" s="124" t="s">
        <v>1427</v>
      </c>
      <c r="AV11" s="124" t="s">
        <v>244</v>
      </c>
      <c r="AW11" s="124" t="s">
        <v>198</v>
      </c>
      <c r="AX11" s="124" t="s">
        <v>1430</v>
      </c>
      <c r="AY11" s="124" t="s">
        <v>498</v>
      </c>
      <c r="AZ11" s="132"/>
      <c r="BA11" s="124" t="s">
        <v>89</v>
      </c>
      <c r="BB11" s="128" t="s">
        <v>89</v>
      </c>
      <c r="BC11" s="124" t="s">
        <v>89</v>
      </c>
      <c r="BD11" s="124" t="s">
        <v>89</v>
      </c>
      <c r="BE11" s="124" t="s">
        <v>6</v>
      </c>
      <c r="BF11" s="124" t="s">
        <v>89</v>
      </c>
      <c r="BG11" s="124" t="s">
        <v>6</v>
      </c>
      <c r="BH11" s="124" t="s">
        <v>6</v>
      </c>
      <c r="BI11" s="124" t="s">
        <v>6</v>
      </c>
      <c r="BJ11" s="124" t="s">
        <v>89</v>
      </c>
      <c r="BK11" s="124" t="s">
        <v>89</v>
      </c>
      <c r="BL11" s="124"/>
      <c r="BM11" s="124"/>
      <c r="BN11" s="124" t="s">
        <v>89</v>
      </c>
      <c r="BO11" s="124" t="s">
        <v>89</v>
      </c>
      <c r="BP11" s="133"/>
      <c r="BQ11" s="124" t="s">
        <v>89</v>
      </c>
      <c r="BR11" s="124" t="s">
        <v>89</v>
      </c>
      <c r="BS11" s="124" t="s">
        <v>89</v>
      </c>
      <c r="BT11" s="124"/>
      <c r="BU11" s="124" t="s">
        <v>89</v>
      </c>
      <c r="BV11" s="124"/>
      <c r="BW11" s="124" t="s">
        <v>89</v>
      </c>
      <c r="BX11" s="124" t="s">
        <v>89</v>
      </c>
      <c r="BY11" s="124" t="s">
        <v>6</v>
      </c>
      <c r="BZ11" s="124" t="s">
        <v>6</v>
      </c>
      <c r="CA11" s="124" t="s">
        <v>89</v>
      </c>
      <c r="CB11" s="124" t="s">
        <v>89</v>
      </c>
      <c r="CC11" s="124" t="s">
        <v>89</v>
      </c>
      <c r="CD11" s="124" t="s">
        <v>6</v>
      </c>
      <c r="CE11" s="124" t="s">
        <v>6</v>
      </c>
      <c r="CF11" s="134"/>
      <c r="CG11" s="134"/>
      <c r="CH11" s="124"/>
      <c r="CI11" s="124" t="s">
        <v>89</v>
      </c>
      <c r="CJ11" s="128" t="s">
        <v>89</v>
      </c>
      <c r="CK11" s="128" t="s">
        <v>89</v>
      </c>
      <c r="CL11" s="124" t="s">
        <v>191</v>
      </c>
      <c r="CM11" s="134">
        <v>45264.556935335648</v>
      </c>
      <c r="DA11" s="17"/>
      <c r="DI11" s="17"/>
    </row>
    <row r="12" spans="2:113" x14ac:dyDescent="0.25">
      <c r="B12" s="124">
        <v>26</v>
      </c>
      <c r="C12" s="124" t="s">
        <v>89</v>
      </c>
      <c r="D12" s="124" t="s">
        <v>1159</v>
      </c>
      <c r="E12" s="124" t="s">
        <v>1160</v>
      </c>
      <c r="F12" s="132">
        <v>45261</v>
      </c>
      <c r="G12" s="124" t="s">
        <v>80</v>
      </c>
      <c r="H12" s="124" t="s">
        <v>80</v>
      </c>
      <c r="I12" s="124" t="s">
        <v>570</v>
      </c>
      <c r="J12" s="124" t="s">
        <v>103</v>
      </c>
      <c r="K12" s="124">
        <v>1.04</v>
      </c>
      <c r="L12" s="124" t="s">
        <v>544</v>
      </c>
      <c r="M12" s="124" t="s">
        <v>821</v>
      </c>
      <c r="N12" s="124" t="s">
        <v>6</v>
      </c>
      <c r="O12" s="124" t="s">
        <v>821</v>
      </c>
      <c r="P12" s="124" t="s">
        <v>821</v>
      </c>
      <c r="Q12" s="124" t="s">
        <v>6</v>
      </c>
      <c r="R12" s="124" t="s">
        <v>89</v>
      </c>
      <c r="S12" s="124"/>
      <c r="T12" s="124" t="s">
        <v>35</v>
      </c>
      <c r="U12" s="124" t="s">
        <v>204</v>
      </c>
      <c r="V12" s="124" t="s">
        <v>6</v>
      </c>
      <c r="W12" s="124" t="s">
        <v>6</v>
      </c>
      <c r="X12" s="124" t="s">
        <v>205</v>
      </c>
      <c r="Y12" s="124" t="s">
        <v>89</v>
      </c>
      <c r="Z12" s="132">
        <v>45265</v>
      </c>
      <c r="AA12" s="132">
        <v>45629</v>
      </c>
      <c r="AB12" s="132">
        <v>45629</v>
      </c>
      <c r="AC12" s="124">
        <v>0.14299999999999999</v>
      </c>
      <c r="AD12" s="124">
        <v>1.04</v>
      </c>
      <c r="AE12" s="124">
        <v>1.1160000000000001</v>
      </c>
      <c r="AF12" s="124" t="s">
        <v>1167</v>
      </c>
      <c r="AG12" s="128" t="s">
        <v>203</v>
      </c>
      <c r="AH12" s="124" t="s">
        <v>6</v>
      </c>
      <c r="AI12" s="124" t="s">
        <v>89</v>
      </c>
      <c r="AJ12" s="124" t="s">
        <v>1159</v>
      </c>
      <c r="AK12" s="124" t="s">
        <v>6</v>
      </c>
      <c r="AL12" s="124" t="s">
        <v>89</v>
      </c>
      <c r="AM12" s="128" t="s">
        <v>89</v>
      </c>
      <c r="AN12" s="124" t="s">
        <v>89</v>
      </c>
      <c r="AO12" s="124" t="s">
        <v>89</v>
      </c>
      <c r="AP12" s="124" t="s">
        <v>89</v>
      </c>
      <c r="AQ12" s="124" t="s">
        <v>557</v>
      </c>
      <c r="AR12" s="124" t="s">
        <v>6</v>
      </c>
      <c r="AS12" s="124" t="s">
        <v>89</v>
      </c>
      <c r="AT12" s="124" t="s">
        <v>89</v>
      </c>
      <c r="AU12" s="124" t="s">
        <v>1166</v>
      </c>
      <c r="AV12" s="124" t="s">
        <v>89</v>
      </c>
      <c r="AW12" s="124" t="s">
        <v>1523</v>
      </c>
      <c r="AX12" s="124" t="s">
        <v>1526</v>
      </c>
      <c r="AY12" s="124" t="s">
        <v>498</v>
      </c>
      <c r="AZ12" s="132"/>
      <c r="BA12" s="124" t="s">
        <v>89</v>
      </c>
      <c r="BB12" s="128" t="s">
        <v>89</v>
      </c>
      <c r="BC12" s="124" t="s">
        <v>89</v>
      </c>
      <c r="BD12" s="124" t="s">
        <v>89</v>
      </c>
      <c r="BE12" s="124" t="s">
        <v>6</v>
      </c>
      <c r="BF12" s="124" t="s">
        <v>89</v>
      </c>
      <c r="BG12" s="124" t="s">
        <v>6</v>
      </c>
      <c r="BH12" s="124" t="s">
        <v>6</v>
      </c>
      <c r="BI12" s="124" t="s">
        <v>6</v>
      </c>
      <c r="BJ12" s="124" t="s">
        <v>89</v>
      </c>
      <c r="BK12" s="124" t="s">
        <v>89</v>
      </c>
      <c r="BL12" s="124"/>
      <c r="BM12" s="124"/>
      <c r="BN12" s="124" t="s">
        <v>89</v>
      </c>
      <c r="BO12" s="124" t="s">
        <v>89</v>
      </c>
      <c r="BP12" s="133"/>
      <c r="BQ12" s="124" t="s">
        <v>89</v>
      </c>
      <c r="BR12" s="124" t="s">
        <v>89</v>
      </c>
      <c r="BS12" s="124" t="s">
        <v>89</v>
      </c>
      <c r="BT12" s="124"/>
      <c r="BU12" s="124" t="s">
        <v>89</v>
      </c>
      <c r="BV12" s="124"/>
      <c r="BW12" s="124" t="s">
        <v>89</v>
      </c>
      <c r="BX12" s="124" t="s">
        <v>89</v>
      </c>
      <c r="BY12" s="124" t="s">
        <v>6</v>
      </c>
      <c r="BZ12" s="124" t="s">
        <v>6</v>
      </c>
      <c r="CA12" s="124" t="s">
        <v>89</v>
      </c>
      <c r="CB12" s="124" t="s">
        <v>89</v>
      </c>
      <c r="CC12" s="124" t="s">
        <v>89</v>
      </c>
      <c r="CD12" s="124" t="s">
        <v>6</v>
      </c>
      <c r="CE12" s="124" t="s">
        <v>6</v>
      </c>
      <c r="CF12" s="134"/>
      <c r="CG12" s="134"/>
      <c r="CH12" s="124"/>
      <c r="CI12" s="124" t="s">
        <v>89</v>
      </c>
      <c r="CJ12" s="128" t="s">
        <v>89</v>
      </c>
      <c r="CK12" s="128" t="s">
        <v>89</v>
      </c>
      <c r="CL12" s="124" t="s">
        <v>191</v>
      </c>
      <c r="CM12" s="134">
        <v>45264.556935335648</v>
      </c>
      <c r="DA12" s="17"/>
      <c r="DI12" s="17"/>
    </row>
    <row r="13" spans="2:113" x14ac:dyDescent="0.25">
      <c r="B13" s="124">
        <v>25</v>
      </c>
      <c r="C13" s="124" t="s">
        <v>89</v>
      </c>
      <c r="D13" s="124" t="s">
        <v>1431</v>
      </c>
      <c r="E13" s="124" t="s">
        <v>1432</v>
      </c>
      <c r="F13" s="132">
        <v>45261</v>
      </c>
      <c r="G13" s="124" t="s">
        <v>80</v>
      </c>
      <c r="H13" s="124" t="s">
        <v>80</v>
      </c>
      <c r="I13" s="124" t="s">
        <v>804</v>
      </c>
      <c r="J13" s="124" t="s">
        <v>103</v>
      </c>
      <c r="K13" s="124">
        <v>4</v>
      </c>
      <c r="L13" s="124" t="s">
        <v>131</v>
      </c>
      <c r="M13" s="124" t="s">
        <v>1434</v>
      </c>
      <c r="N13" s="124" t="s">
        <v>1433</v>
      </c>
      <c r="O13" s="124" t="s">
        <v>1434</v>
      </c>
      <c r="P13" s="124" t="s">
        <v>1434</v>
      </c>
      <c r="Q13" s="124">
        <v>20</v>
      </c>
      <c r="R13" s="124" t="s">
        <v>89</v>
      </c>
      <c r="S13" s="124">
        <v>100</v>
      </c>
      <c r="T13" s="124" t="s">
        <v>108</v>
      </c>
      <c r="U13" s="124" t="s">
        <v>204</v>
      </c>
      <c r="V13" s="124" t="s">
        <v>129</v>
      </c>
      <c r="W13" s="124" t="s">
        <v>6</v>
      </c>
      <c r="X13" s="124" t="s">
        <v>89</v>
      </c>
      <c r="Y13" s="124" t="s">
        <v>115</v>
      </c>
      <c r="Z13" s="132">
        <v>45268</v>
      </c>
      <c r="AA13" s="132">
        <v>45451</v>
      </c>
      <c r="AB13" s="132">
        <v>46364</v>
      </c>
      <c r="AC13" s="124">
        <v>0.54800000000000004</v>
      </c>
      <c r="AD13" s="124">
        <v>4</v>
      </c>
      <c r="AE13" s="124">
        <v>4.2930000000000001</v>
      </c>
      <c r="AF13" s="124" t="s">
        <v>1444</v>
      </c>
      <c r="AG13" s="128" t="s">
        <v>203</v>
      </c>
      <c r="AH13" s="124" t="s">
        <v>6</v>
      </c>
      <c r="AI13" s="124" t="s">
        <v>89</v>
      </c>
      <c r="AJ13" s="124" t="s">
        <v>1431</v>
      </c>
      <c r="AK13" s="124" t="s">
        <v>6</v>
      </c>
      <c r="AL13" s="124" t="s">
        <v>89</v>
      </c>
      <c r="AM13" s="128" t="s">
        <v>631</v>
      </c>
      <c r="AN13" s="124" t="s">
        <v>89</v>
      </c>
      <c r="AO13" s="124" t="s">
        <v>6</v>
      </c>
      <c r="AP13" s="124" t="s">
        <v>89</v>
      </c>
      <c r="AQ13" s="124" t="s">
        <v>89</v>
      </c>
      <c r="AR13" s="124" t="s">
        <v>6</v>
      </c>
      <c r="AS13" s="124" t="s">
        <v>89</v>
      </c>
      <c r="AT13" s="124" t="s">
        <v>89</v>
      </c>
      <c r="AU13" s="124" t="s">
        <v>1443</v>
      </c>
      <c r="AV13" s="124" t="s">
        <v>244</v>
      </c>
      <c r="AW13" s="124" t="s">
        <v>198</v>
      </c>
      <c r="AX13" s="124" t="s">
        <v>1446</v>
      </c>
      <c r="AY13" s="124" t="s">
        <v>498</v>
      </c>
      <c r="AZ13" s="132"/>
      <c r="BA13" s="124" t="s">
        <v>191</v>
      </c>
      <c r="BB13" s="128" t="s">
        <v>89</v>
      </c>
      <c r="BC13" s="124" t="s">
        <v>1515</v>
      </c>
      <c r="BD13" s="124" t="s">
        <v>89</v>
      </c>
      <c r="BE13" s="124" t="s">
        <v>129</v>
      </c>
      <c r="BF13" s="124" t="s">
        <v>156</v>
      </c>
      <c r="BG13" s="124" t="s">
        <v>1517</v>
      </c>
      <c r="BH13" s="124" t="s">
        <v>6</v>
      </c>
      <c r="BI13" s="124" t="s">
        <v>6</v>
      </c>
      <c r="BJ13" s="124" t="s">
        <v>157</v>
      </c>
      <c r="BK13" s="124" t="s">
        <v>89</v>
      </c>
      <c r="BL13" s="124"/>
      <c r="BM13" s="124"/>
      <c r="BN13" s="124" t="s">
        <v>89</v>
      </c>
      <c r="BO13" s="124" t="s">
        <v>89</v>
      </c>
      <c r="BP13" s="133"/>
      <c r="BQ13" s="124" t="s">
        <v>805</v>
      </c>
      <c r="BR13" s="124" t="s">
        <v>89</v>
      </c>
      <c r="BS13" s="124" t="s">
        <v>89</v>
      </c>
      <c r="BT13" s="124"/>
      <c r="BU13" s="124" t="s">
        <v>498</v>
      </c>
      <c r="BV13" s="124"/>
      <c r="BW13" s="124" t="s">
        <v>1513</v>
      </c>
      <c r="BX13" s="124" t="s">
        <v>210</v>
      </c>
      <c r="BY13" s="124" t="s">
        <v>6</v>
      </c>
      <c r="BZ13" s="124" t="s">
        <v>6</v>
      </c>
      <c r="CA13" s="124" t="s">
        <v>160</v>
      </c>
      <c r="CB13" s="124" t="s">
        <v>606</v>
      </c>
      <c r="CC13" s="124" t="s">
        <v>15</v>
      </c>
      <c r="CD13" s="124" t="s">
        <v>1442</v>
      </c>
      <c r="CE13" s="124" t="s">
        <v>6</v>
      </c>
      <c r="CF13" s="134"/>
      <c r="CG13" s="134">
        <v>45261</v>
      </c>
      <c r="CH13" s="124" t="s">
        <v>1</v>
      </c>
      <c r="CI13" s="124" t="s">
        <v>498</v>
      </c>
      <c r="CJ13" s="128" t="s">
        <v>1520</v>
      </c>
      <c r="CK13" s="128" t="s">
        <v>1521</v>
      </c>
      <c r="CL13" s="124" t="s">
        <v>191</v>
      </c>
      <c r="CM13" s="134">
        <v>45264.556935335648</v>
      </c>
      <c r="DA13" s="17"/>
      <c r="DI13" s="17"/>
    </row>
    <row r="14" spans="2:113" x14ac:dyDescent="0.25">
      <c r="B14" s="124">
        <v>24</v>
      </c>
      <c r="C14" s="124" t="s">
        <v>504</v>
      </c>
      <c r="D14" s="124" t="s">
        <v>325</v>
      </c>
      <c r="E14" s="124" t="s">
        <v>1447</v>
      </c>
      <c r="F14" s="132">
        <v>45261</v>
      </c>
      <c r="G14" s="124" t="s">
        <v>80</v>
      </c>
      <c r="H14" s="124" t="s">
        <v>89</v>
      </c>
      <c r="I14" s="124" t="s">
        <v>6</v>
      </c>
      <c r="J14" s="124" t="s">
        <v>82</v>
      </c>
      <c r="K14" s="124">
        <v>0.25</v>
      </c>
      <c r="L14" s="124" t="s">
        <v>1506</v>
      </c>
      <c r="M14" s="124" t="s">
        <v>89</v>
      </c>
      <c r="N14" s="124" t="s">
        <v>6</v>
      </c>
      <c r="O14" s="124" t="s">
        <v>6</v>
      </c>
      <c r="P14" s="124" t="s">
        <v>6</v>
      </c>
      <c r="Q14" s="124" t="s">
        <v>6</v>
      </c>
      <c r="R14" s="124" t="s">
        <v>89</v>
      </c>
      <c r="S14" s="124"/>
      <c r="T14" s="124" t="s">
        <v>89</v>
      </c>
      <c r="U14" s="124" t="s">
        <v>6</v>
      </c>
      <c r="V14" s="124" t="s">
        <v>6</v>
      </c>
      <c r="W14" s="124" t="s">
        <v>6</v>
      </c>
      <c r="X14" s="124" t="s">
        <v>89</v>
      </c>
      <c r="Y14" s="124" t="s">
        <v>89</v>
      </c>
      <c r="Z14" s="132"/>
      <c r="AA14" s="132"/>
      <c r="AB14" s="132"/>
      <c r="AC14" s="124">
        <v>0.25</v>
      </c>
      <c r="AD14" s="124"/>
      <c r="AE14" s="124"/>
      <c r="AF14" s="124" t="s">
        <v>89</v>
      </c>
      <c r="AG14" s="128" t="s">
        <v>89</v>
      </c>
      <c r="AH14" s="124" t="s">
        <v>6</v>
      </c>
      <c r="AI14" s="124" t="s">
        <v>89</v>
      </c>
      <c r="AJ14" s="124" t="s">
        <v>89</v>
      </c>
      <c r="AK14" s="124" t="s">
        <v>6</v>
      </c>
      <c r="AL14" s="124" t="s">
        <v>89</v>
      </c>
      <c r="AM14" s="128" t="s">
        <v>89</v>
      </c>
      <c r="AN14" s="124" t="s">
        <v>89</v>
      </c>
      <c r="AO14" s="124" t="s">
        <v>89</v>
      </c>
      <c r="AP14" s="124" t="s">
        <v>89</v>
      </c>
      <c r="AQ14" s="124" t="s">
        <v>89</v>
      </c>
      <c r="AR14" s="124" t="s">
        <v>6</v>
      </c>
      <c r="AS14" s="124" t="s">
        <v>89</v>
      </c>
      <c r="AT14" s="124" t="s">
        <v>89</v>
      </c>
      <c r="AU14" s="124" t="s">
        <v>89</v>
      </c>
      <c r="AV14" s="124" t="s">
        <v>89</v>
      </c>
      <c r="AW14" s="124" t="s">
        <v>89</v>
      </c>
      <c r="AX14" s="124" t="s">
        <v>1452</v>
      </c>
      <c r="AY14" s="124" t="s">
        <v>89</v>
      </c>
      <c r="AZ14" s="132"/>
      <c r="BA14" s="124" t="s">
        <v>89</v>
      </c>
      <c r="BB14" s="128" t="s">
        <v>89</v>
      </c>
      <c r="BC14" s="124" t="s">
        <v>89</v>
      </c>
      <c r="BD14" s="124" t="s">
        <v>89</v>
      </c>
      <c r="BE14" s="124" t="s">
        <v>6</v>
      </c>
      <c r="BF14" s="124" t="s">
        <v>89</v>
      </c>
      <c r="BG14" s="124" t="s">
        <v>6</v>
      </c>
      <c r="BH14" s="124" t="s">
        <v>6</v>
      </c>
      <c r="BI14" s="124" t="s">
        <v>6</v>
      </c>
      <c r="BJ14" s="124" t="s">
        <v>89</v>
      </c>
      <c r="BK14" s="124" t="s">
        <v>89</v>
      </c>
      <c r="BL14" s="124"/>
      <c r="BM14" s="124"/>
      <c r="BN14" s="124" t="s">
        <v>89</v>
      </c>
      <c r="BO14" s="124" t="s">
        <v>89</v>
      </c>
      <c r="BP14" s="133"/>
      <c r="BQ14" s="124" t="s">
        <v>89</v>
      </c>
      <c r="BR14" s="124" t="s">
        <v>89</v>
      </c>
      <c r="BS14" s="124" t="s">
        <v>89</v>
      </c>
      <c r="BT14" s="124"/>
      <c r="BU14" s="124" t="s">
        <v>89</v>
      </c>
      <c r="BV14" s="124" t="s">
        <v>498</v>
      </c>
      <c r="BW14" s="124" t="s">
        <v>89</v>
      </c>
      <c r="BX14" s="124" t="s">
        <v>89</v>
      </c>
      <c r="BY14" s="124" t="s">
        <v>6</v>
      </c>
      <c r="BZ14" s="124" t="s">
        <v>6</v>
      </c>
      <c r="CA14" s="124" t="s">
        <v>89</v>
      </c>
      <c r="CB14" s="124" t="s">
        <v>89</v>
      </c>
      <c r="CC14" s="124" t="s">
        <v>89</v>
      </c>
      <c r="CD14" s="124" t="s">
        <v>6</v>
      </c>
      <c r="CE14" s="124" t="s">
        <v>6</v>
      </c>
      <c r="CF14" s="134"/>
      <c r="CG14" s="134"/>
      <c r="CH14" s="124"/>
      <c r="CI14" s="124" t="s">
        <v>89</v>
      </c>
      <c r="CJ14" s="128" t="s">
        <v>89</v>
      </c>
      <c r="CK14" s="128" t="s">
        <v>89</v>
      </c>
      <c r="CL14" s="124" t="s">
        <v>191</v>
      </c>
      <c r="CM14" s="134">
        <v>45264.556935335648</v>
      </c>
      <c r="DA14" s="17"/>
      <c r="DI14" s="17"/>
    </row>
    <row r="15" spans="2:113" x14ac:dyDescent="0.25">
      <c r="B15" s="124">
        <v>23</v>
      </c>
      <c r="C15" s="124" t="s">
        <v>89</v>
      </c>
      <c r="D15" s="124" t="s">
        <v>1132</v>
      </c>
      <c r="E15" s="124" t="s">
        <v>1133</v>
      </c>
      <c r="F15" s="132">
        <v>45260</v>
      </c>
      <c r="G15" s="124" t="s">
        <v>80</v>
      </c>
      <c r="H15" s="124" t="s">
        <v>80</v>
      </c>
      <c r="I15" s="124" t="s">
        <v>570</v>
      </c>
      <c r="J15" s="124" t="s">
        <v>103</v>
      </c>
      <c r="K15" s="124">
        <v>3.6970000000000001</v>
      </c>
      <c r="L15" s="124" t="s">
        <v>131</v>
      </c>
      <c r="M15" s="124" t="s">
        <v>846</v>
      </c>
      <c r="N15" s="124" t="s">
        <v>6</v>
      </c>
      <c r="O15" s="124" t="s">
        <v>846</v>
      </c>
      <c r="P15" s="124" t="s">
        <v>6</v>
      </c>
      <c r="Q15" s="124" t="s">
        <v>6</v>
      </c>
      <c r="R15" s="124" t="s">
        <v>89</v>
      </c>
      <c r="S15" s="124">
        <v>100</v>
      </c>
      <c r="T15" s="124" t="s">
        <v>108</v>
      </c>
      <c r="U15" s="124" t="s">
        <v>204</v>
      </c>
      <c r="V15" s="124" t="s">
        <v>6</v>
      </c>
      <c r="W15" s="124" t="s">
        <v>6</v>
      </c>
      <c r="X15" s="124" t="s">
        <v>89</v>
      </c>
      <c r="Y15" s="124" t="s">
        <v>115</v>
      </c>
      <c r="Z15" s="132">
        <v>45267</v>
      </c>
      <c r="AA15" s="132">
        <v>45450</v>
      </c>
      <c r="AB15" s="132">
        <v>46363</v>
      </c>
      <c r="AC15" s="124">
        <v>0.50700000000000001</v>
      </c>
      <c r="AD15" s="124">
        <v>3.6970000000000001</v>
      </c>
      <c r="AE15" s="124">
        <v>3.968</v>
      </c>
      <c r="AF15" s="124" t="s">
        <v>1142</v>
      </c>
      <c r="AG15" s="128" t="s">
        <v>203</v>
      </c>
      <c r="AH15" s="124" t="s">
        <v>6</v>
      </c>
      <c r="AI15" s="124" t="s">
        <v>89</v>
      </c>
      <c r="AJ15" s="124" t="s">
        <v>1132</v>
      </c>
      <c r="AK15" s="124" t="s">
        <v>6</v>
      </c>
      <c r="AL15" s="124" t="s">
        <v>89</v>
      </c>
      <c r="AM15" s="128" t="s">
        <v>634</v>
      </c>
      <c r="AN15" s="124" t="s">
        <v>89</v>
      </c>
      <c r="AO15" s="124" t="s">
        <v>6</v>
      </c>
      <c r="AP15" s="124" t="s">
        <v>89</v>
      </c>
      <c r="AQ15" s="124" t="s">
        <v>89</v>
      </c>
      <c r="AR15" s="124" t="s">
        <v>6</v>
      </c>
      <c r="AS15" s="124" t="s">
        <v>89</v>
      </c>
      <c r="AT15" s="124" t="s">
        <v>89</v>
      </c>
      <c r="AU15" s="124" t="s">
        <v>1141</v>
      </c>
      <c r="AV15" s="124" t="s">
        <v>244</v>
      </c>
      <c r="AW15" s="124" t="s">
        <v>198</v>
      </c>
      <c r="AX15" s="124" t="s">
        <v>1144</v>
      </c>
      <c r="AY15" s="124" t="s">
        <v>498</v>
      </c>
      <c r="AZ15" s="132"/>
      <c r="BA15" s="124" t="s">
        <v>89</v>
      </c>
      <c r="BB15" s="128" t="s">
        <v>89</v>
      </c>
      <c r="BC15" s="124" t="s">
        <v>89</v>
      </c>
      <c r="BD15" s="124" t="s">
        <v>89</v>
      </c>
      <c r="BE15" s="124" t="s">
        <v>6</v>
      </c>
      <c r="BF15" s="124" t="s">
        <v>89</v>
      </c>
      <c r="BG15" s="124" t="s">
        <v>6</v>
      </c>
      <c r="BH15" s="124" t="s">
        <v>6</v>
      </c>
      <c r="BI15" s="124" t="s">
        <v>6</v>
      </c>
      <c r="BJ15" s="124" t="s">
        <v>89</v>
      </c>
      <c r="BK15" s="124" t="s">
        <v>89</v>
      </c>
      <c r="BL15" s="124"/>
      <c r="BM15" s="124"/>
      <c r="BN15" s="124" t="s">
        <v>89</v>
      </c>
      <c r="BO15" s="124" t="s">
        <v>89</v>
      </c>
      <c r="BP15" s="133"/>
      <c r="BQ15" s="124" t="s">
        <v>89</v>
      </c>
      <c r="BR15" s="124" t="s">
        <v>89</v>
      </c>
      <c r="BS15" s="124" t="s">
        <v>89</v>
      </c>
      <c r="BT15" s="124"/>
      <c r="BU15" s="124" t="s">
        <v>89</v>
      </c>
      <c r="BV15" s="124"/>
      <c r="BW15" s="124" t="s">
        <v>89</v>
      </c>
      <c r="BX15" s="124" t="s">
        <v>89</v>
      </c>
      <c r="BY15" s="124" t="s">
        <v>6</v>
      </c>
      <c r="BZ15" s="124" t="s">
        <v>6</v>
      </c>
      <c r="CA15" s="124" t="s">
        <v>89</v>
      </c>
      <c r="CB15" s="124" t="s">
        <v>89</v>
      </c>
      <c r="CC15" s="124" t="s">
        <v>89</v>
      </c>
      <c r="CD15" s="124" t="s">
        <v>6</v>
      </c>
      <c r="CE15" s="124" t="s">
        <v>6</v>
      </c>
      <c r="CF15" s="134"/>
      <c r="CG15" s="134"/>
      <c r="CH15" s="124"/>
      <c r="CI15" s="124" t="s">
        <v>89</v>
      </c>
      <c r="CJ15" s="128" t="s">
        <v>89</v>
      </c>
      <c r="CK15" s="128" t="s">
        <v>89</v>
      </c>
      <c r="CL15" s="124" t="s">
        <v>191</v>
      </c>
      <c r="CM15" s="134">
        <v>45264.556935335648</v>
      </c>
    </row>
    <row r="16" spans="2:113" x14ac:dyDescent="0.25">
      <c r="B16" s="124">
        <v>22</v>
      </c>
      <c r="C16" s="124" t="s">
        <v>89</v>
      </c>
      <c r="D16" s="124" t="s">
        <v>1145</v>
      </c>
      <c r="E16" s="124" t="s">
        <v>1146</v>
      </c>
      <c r="F16" s="132">
        <v>45260</v>
      </c>
      <c r="G16" s="124" t="s">
        <v>80</v>
      </c>
      <c r="H16" s="124" t="s">
        <v>80</v>
      </c>
      <c r="I16" s="124" t="s">
        <v>570</v>
      </c>
      <c r="J16" s="124" t="s">
        <v>103</v>
      </c>
      <c r="K16" s="124">
        <v>2</v>
      </c>
      <c r="L16" s="124" t="s">
        <v>1122</v>
      </c>
      <c r="M16" s="124" t="s">
        <v>1147</v>
      </c>
      <c r="N16" s="124" t="s">
        <v>6</v>
      </c>
      <c r="O16" s="124" t="s">
        <v>1147</v>
      </c>
      <c r="P16" s="124" t="s">
        <v>6</v>
      </c>
      <c r="Q16" s="124" t="s">
        <v>6</v>
      </c>
      <c r="R16" s="124" t="s">
        <v>89</v>
      </c>
      <c r="S16" s="124">
        <v>100</v>
      </c>
      <c r="T16" s="124" t="s">
        <v>37</v>
      </c>
      <c r="U16" s="124" t="s">
        <v>106</v>
      </c>
      <c r="V16" s="124" t="s">
        <v>6</v>
      </c>
      <c r="W16" s="124" t="s">
        <v>6</v>
      </c>
      <c r="X16" s="124" t="s">
        <v>89</v>
      </c>
      <c r="Y16" s="124" t="s">
        <v>115</v>
      </c>
      <c r="Z16" s="132">
        <v>45268</v>
      </c>
      <c r="AA16" s="132">
        <v>45451</v>
      </c>
      <c r="AB16" s="132">
        <v>45999</v>
      </c>
      <c r="AC16" s="124">
        <v>0.27400000000000002</v>
      </c>
      <c r="AD16" s="124">
        <v>2</v>
      </c>
      <c r="AE16" s="124">
        <v>2.1469999999999998</v>
      </c>
      <c r="AF16" s="124" t="s">
        <v>1155</v>
      </c>
      <c r="AG16" s="128" t="s">
        <v>203</v>
      </c>
      <c r="AH16" s="124" t="s">
        <v>6</v>
      </c>
      <c r="AI16" s="124" t="s">
        <v>89</v>
      </c>
      <c r="AJ16" s="124" t="s">
        <v>1156</v>
      </c>
      <c r="AK16" s="124" t="s">
        <v>1145</v>
      </c>
      <c r="AL16" s="124" t="s">
        <v>89</v>
      </c>
      <c r="AM16" s="128" t="s">
        <v>89</v>
      </c>
      <c r="AN16" s="124" t="s">
        <v>89</v>
      </c>
      <c r="AO16" s="124" t="s">
        <v>6</v>
      </c>
      <c r="AP16" s="124" t="s">
        <v>89</v>
      </c>
      <c r="AQ16" s="124" t="s">
        <v>89</v>
      </c>
      <c r="AR16" s="124" t="s">
        <v>6</v>
      </c>
      <c r="AS16" s="124" t="s">
        <v>89</v>
      </c>
      <c r="AT16" s="124" t="s">
        <v>89</v>
      </c>
      <c r="AU16" s="124" t="s">
        <v>1154</v>
      </c>
      <c r="AV16" s="124" t="s">
        <v>244</v>
      </c>
      <c r="AW16" s="124" t="s">
        <v>198</v>
      </c>
      <c r="AX16" s="124" t="s">
        <v>1158</v>
      </c>
      <c r="AY16" s="124" t="s">
        <v>498</v>
      </c>
      <c r="AZ16" s="132"/>
      <c r="BA16" s="124" t="s">
        <v>89</v>
      </c>
      <c r="BB16" s="128" t="s">
        <v>89</v>
      </c>
      <c r="BC16" s="124" t="s">
        <v>89</v>
      </c>
      <c r="BD16" s="124" t="s">
        <v>89</v>
      </c>
      <c r="BE16" s="124" t="s">
        <v>6</v>
      </c>
      <c r="BF16" s="124" t="s">
        <v>89</v>
      </c>
      <c r="BG16" s="124" t="s">
        <v>6</v>
      </c>
      <c r="BH16" s="124" t="s">
        <v>6</v>
      </c>
      <c r="BI16" s="124" t="s">
        <v>6</v>
      </c>
      <c r="BJ16" s="124" t="s">
        <v>89</v>
      </c>
      <c r="BK16" s="124" t="s">
        <v>89</v>
      </c>
      <c r="BL16" s="124"/>
      <c r="BM16" s="124"/>
      <c r="BN16" s="124" t="s">
        <v>89</v>
      </c>
      <c r="BO16" s="124" t="s">
        <v>89</v>
      </c>
      <c r="BP16" s="133"/>
      <c r="BQ16" s="124" t="s">
        <v>89</v>
      </c>
      <c r="BR16" s="124" t="s">
        <v>89</v>
      </c>
      <c r="BS16" s="124" t="s">
        <v>89</v>
      </c>
      <c r="BT16" s="124"/>
      <c r="BU16" s="124" t="s">
        <v>89</v>
      </c>
      <c r="BV16" s="124"/>
      <c r="BW16" s="124" t="s">
        <v>89</v>
      </c>
      <c r="BX16" s="124" t="s">
        <v>89</v>
      </c>
      <c r="BY16" s="124" t="s">
        <v>6</v>
      </c>
      <c r="BZ16" s="124" t="s">
        <v>6</v>
      </c>
      <c r="CA16" s="124" t="s">
        <v>89</v>
      </c>
      <c r="CB16" s="124" t="s">
        <v>89</v>
      </c>
      <c r="CC16" s="124" t="s">
        <v>89</v>
      </c>
      <c r="CD16" s="124" t="s">
        <v>6</v>
      </c>
      <c r="CE16" s="124" t="s">
        <v>6</v>
      </c>
      <c r="CF16" s="134"/>
      <c r="CG16" s="134"/>
      <c r="CH16" s="124"/>
      <c r="CI16" s="124" t="s">
        <v>89</v>
      </c>
      <c r="CJ16" s="128" t="s">
        <v>89</v>
      </c>
      <c r="CK16" s="128" t="s">
        <v>89</v>
      </c>
      <c r="CL16" s="124" t="s">
        <v>191</v>
      </c>
      <c r="CM16" s="134">
        <v>45264.556935335648</v>
      </c>
    </row>
    <row r="17" spans="2:91" x14ac:dyDescent="0.25">
      <c r="B17" s="124">
        <v>21</v>
      </c>
      <c r="C17" s="124" t="s">
        <v>89</v>
      </c>
      <c r="D17" s="124" t="s">
        <v>1159</v>
      </c>
      <c r="E17" s="124" t="s">
        <v>1160</v>
      </c>
      <c r="F17" s="132">
        <v>45260</v>
      </c>
      <c r="G17" s="124" t="s">
        <v>80</v>
      </c>
      <c r="H17" s="124" t="s">
        <v>80</v>
      </c>
      <c r="I17" s="124" t="s">
        <v>570</v>
      </c>
      <c r="J17" s="124" t="s">
        <v>103</v>
      </c>
      <c r="K17" s="124">
        <v>3.53</v>
      </c>
      <c r="L17" s="124" t="s">
        <v>544</v>
      </c>
      <c r="M17" s="124" t="s">
        <v>821</v>
      </c>
      <c r="N17" s="124" t="s">
        <v>6</v>
      </c>
      <c r="O17" s="124" t="s">
        <v>821</v>
      </c>
      <c r="P17" s="124" t="s">
        <v>6</v>
      </c>
      <c r="Q17" s="124" t="s">
        <v>6</v>
      </c>
      <c r="R17" s="124" t="s">
        <v>89</v>
      </c>
      <c r="S17" s="124">
        <v>100</v>
      </c>
      <c r="T17" s="124" t="s">
        <v>35</v>
      </c>
      <c r="U17" s="124" t="s">
        <v>204</v>
      </c>
      <c r="V17" s="124" t="s">
        <v>6</v>
      </c>
      <c r="W17" s="124" t="s">
        <v>6</v>
      </c>
      <c r="X17" s="124" t="s">
        <v>89</v>
      </c>
      <c r="Y17" s="124" t="s">
        <v>89</v>
      </c>
      <c r="Z17" s="132">
        <v>45265</v>
      </c>
      <c r="AA17" s="132">
        <v>45629</v>
      </c>
      <c r="AB17" s="132">
        <v>45629</v>
      </c>
      <c r="AC17" s="124">
        <v>0.48399999999999999</v>
      </c>
      <c r="AD17" s="124">
        <v>3.53</v>
      </c>
      <c r="AE17" s="124">
        <v>3.7890000000000001</v>
      </c>
      <c r="AF17" s="124" t="s">
        <v>1167</v>
      </c>
      <c r="AG17" s="128" t="s">
        <v>203</v>
      </c>
      <c r="AH17" s="124" t="s">
        <v>6</v>
      </c>
      <c r="AI17" s="124" t="s">
        <v>89</v>
      </c>
      <c r="AJ17" s="124" t="s">
        <v>1159</v>
      </c>
      <c r="AK17" s="124" t="s">
        <v>6</v>
      </c>
      <c r="AL17" s="124" t="s">
        <v>89</v>
      </c>
      <c r="AM17" s="128" t="s">
        <v>89</v>
      </c>
      <c r="AN17" s="124" t="s">
        <v>89</v>
      </c>
      <c r="AO17" s="124" t="s">
        <v>6</v>
      </c>
      <c r="AP17" s="124" t="s">
        <v>89</v>
      </c>
      <c r="AQ17" s="124" t="s">
        <v>557</v>
      </c>
      <c r="AR17" s="124" t="s">
        <v>6</v>
      </c>
      <c r="AS17" s="124" t="s">
        <v>89</v>
      </c>
      <c r="AT17" s="124" t="s">
        <v>89</v>
      </c>
      <c r="AU17" s="124" t="s">
        <v>1166</v>
      </c>
      <c r="AV17" s="124" t="s">
        <v>244</v>
      </c>
      <c r="AW17" s="124" t="s">
        <v>198</v>
      </c>
      <c r="AX17" s="124" t="s">
        <v>1169</v>
      </c>
      <c r="AY17" s="124" t="s">
        <v>498</v>
      </c>
      <c r="AZ17" s="132"/>
      <c r="BA17" s="124" t="s">
        <v>89</v>
      </c>
      <c r="BB17" s="128" t="s">
        <v>89</v>
      </c>
      <c r="BC17" s="124" t="s">
        <v>89</v>
      </c>
      <c r="BD17" s="124" t="s">
        <v>89</v>
      </c>
      <c r="BE17" s="124" t="s">
        <v>6</v>
      </c>
      <c r="BF17" s="124" t="s">
        <v>89</v>
      </c>
      <c r="BG17" s="124" t="s">
        <v>6</v>
      </c>
      <c r="BH17" s="124" t="s">
        <v>6</v>
      </c>
      <c r="BI17" s="124" t="s">
        <v>6</v>
      </c>
      <c r="BJ17" s="124" t="s">
        <v>89</v>
      </c>
      <c r="BK17" s="124" t="s">
        <v>89</v>
      </c>
      <c r="BL17" s="124"/>
      <c r="BM17" s="124"/>
      <c r="BN17" s="124" t="s">
        <v>89</v>
      </c>
      <c r="BO17" s="124" t="s">
        <v>89</v>
      </c>
      <c r="BP17" s="133"/>
      <c r="BQ17" s="124" t="s">
        <v>89</v>
      </c>
      <c r="BR17" s="124" t="s">
        <v>89</v>
      </c>
      <c r="BS17" s="124" t="s">
        <v>89</v>
      </c>
      <c r="BT17" s="124"/>
      <c r="BU17" s="124" t="s">
        <v>89</v>
      </c>
      <c r="BV17" s="124"/>
      <c r="BW17" s="124" t="s">
        <v>89</v>
      </c>
      <c r="BX17" s="124" t="s">
        <v>89</v>
      </c>
      <c r="BY17" s="124" t="s">
        <v>6</v>
      </c>
      <c r="BZ17" s="124" t="s">
        <v>6</v>
      </c>
      <c r="CA17" s="124" t="s">
        <v>89</v>
      </c>
      <c r="CB17" s="124" t="s">
        <v>89</v>
      </c>
      <c r="CC17" s="124" t="s">
        <v>89</v>
      </c>
      <c r="CD17" s="124" t="s">
        <v>6</v>
      </c>
      <c r="CE17" s="124" t="s">
        <v>6</v>
      </c>
      <c r="CF17" s="134"/>
      <c r="CG17" s="134"/>
      <c r="CH17" s="124"/>
      <c r="CI17" s="124" t="s">
        <v>89</v>
      </c>
      <c r="CJ17" s="128" t="s">
        <v>89</v>
      </c>
      <c r="CK17" s="128" t="s">
        <v>89</v>
      </c>
      <c r="CL17" s="124" t="s">
        <v>191</v>
      </c>
      <c r="CM17" s="134">
        <v>45264.556935335648</v>
      </c>
    </row>
    <row r="18" spans="2:91" x14ac:dyDescent="0.25">
      <c r="B18" s="124">
        <v>20</v>
      </c>
      <c r="C18" s="124" t="s">
        <v>89</v>
      </c>
      <c r="D18" s="124" t="s">
        <v>1170</v>
      </c>
      <c r="E18" s="124" t="s">
        <v>1171</v>
      </c>
      <c r="F18" s="132">
        <v>45259</v>
      </c>
      <c r="G18" s="124" t="s">
        <v>80</v>
      </c>
      <c r="H18" s="124" t="s">
        <v>80</v>
      </c>
      <c r="I18" s="124" t="s">
        <v>570</v>
      </c>
      <c r="J18" s="124" t="s">
        <v>103</v>
      </c>
      <c r="K18" s="124">
        <v>3</v>
      </c>
      <c r="L18" s="124" t="s">
        <v>131</v>
      </c>
      <c r="M18" s="124" t="s">
        <v>1173</v>
      </c>
      <c r="N18" s="124" t="s">
        <v>6</v>
      </c>
      <c r="O18" s="124" t="s">
        <v>1173</v>
      </c>
      <c r="P18" s="124" t="s">
        <v>6</v>
      </c>
      <c r="Q18" s="124" t="s">
        <v>6</v>
      </c>
      <c r="R18" s="124" t="s">
        <v>89</v>
      </c>
      <c r="S18" s="124">
        <v>100</v>
      </c>
      <c r="T18" s="124" t="s">
        <v>233</v>
      </c>
      <c r="U18" s="124" t="s">
        <v>204</v>
      </c>
      <c r="V18" s="124" t="s">
        <v>6</v>
      </c>
      <c r="W18" s="124" t="s">
        <v>6</v>
      </c>
      <c r="X18" s="124" t="s">
        <v>89</v>
      </c>
      <c r="Y18" s="124" t="s">
        <v>115</v>
      </c>
      <c r="Z18" s="132">
        <v>45266</v>
      </c>
      <c r="AA18" s="132">
        <v>45449</v>
      </c>
      <c r="AB18" s="132">
        <v>46362</v>
      </c>
      <c r="AC18" s="124">
        <v>0.41099999999999998</v>
      </c>
      <c r="AD18" s="124">
        <v>3</v>
      </c>
      <c r="AE18" s="124">
        <v>3.22</v>
      </c>
      <c r="AF18" s="124" t="s">
        <v>1180</v>
      </c>
      <c r="AG18" s="128" t="s">
        <v>558</v>
      </c>
      <c r="AH18" s="124" t="s">
        <v>6</v>
      </c>
      <c r="AI18" s="124" t="s">
        <v>89</v>
      </c>
      <c r="AJ18" s="124" t="s">
        <v>1181</v>
      </c>
      <c r="AK18" s="124" t="s">
        <v>1182</v>
      </c>
      <c r="AL18" s="124" t="s">
        <v>1170</v>
      </c>
      <c r="AM18" s="128" t="s">
        <v>653</v>
      </c>
      <c r="AN18" s="124" t="s">
        <v>89</v>
      </c>
      <c r="AO18" s="124" t="s">
        <v>6</v>
      </c>
      <c r="AP18" s="124" t="s">
        <v>89</v>
      </c>
      <c r="AQ18" s="124" t="s">
        <v>89</v>
      </c>
      <c r="AR18" s="124" t="s">
        <v>6</v>
      </c>
      <c r="AS18" s="124" t="s">
        <v>89</v>
      </c>
      <c r="AT18" s="124" t="s">
        <v>89</v>
      </c>
      <c r="AU18" s="124" t="s">
        <v>1179</v>
      </c>
      <c r="AV18" s="124" t="s">
        <v>244</v>
      </c>
      <c r="AW18" s="124" t="s">
        <v>198</v>
      </c>
      <c r="AX18" s="124" t="s">
        <v>1183</v>
      </c>
      <c r="AY18" s="124" t="s">
        <v>498</v>
      </c>
      <c r="AZ18" s="132"/>
      <c r="BA18" s="124" t="s">
        <v>89</v>
      </c>
      <c r="BB18" s="128" t="s">
        <v>89</v>
      </c>
      <c r="BC18" s="124" t="s">
        <v>89</v>
      </c>
      <c r="BD18" s="124" t="s">
        <v>89</v>
      </c>
      <c r="BE18" s="124" t="s">
        <v>6</v>
      </c>
      <c r="BF18" s="124" t="s">
        <v>89</v>
      </c>
      <c r="BG18" s="124" t="s">
        <v>6</v>
      </c>
      <c r="BH18" s="124" t="s">
        <v>6</v>
      </c>
      <c r="BI18" s="124" t="s">
        <v>6</v>
      </c>
      <c r="BJ18" s="124" t="s">
        <v>89</v>
      </c>
      <c r="BK18" s="124" t="s">
        <v>89</v>
      </c>
      <c r="BL18" s="124"/>
      <c r="BM18" s="124"/>
      <c r="BN18" s="124" t="s">
        <v>89</v>
      </c>
      <c r="BO18" s="124" t="s">
        <v>89</v>
      </c>
      <c r="BP18" s="133"/>
      <c r="BQ18" s="124" t="s">
        <v>89</v>
      </c>
      <c r="BR18" s="124" t="s">
        <v>89</v>
      </c>
      <c r="BS18" s="124" t="s">
        <v>89</v>
      </c>
      <c r="BT18" s="124"/>
      <c r="BU18" s="124" t="s">
        <v>89</v>
      </c>
      <c r="BV18" s="124"/>
      <c r="BW18" s="124" t="s">
        <v>89</v>
      </c>
      <c r="BX18" s="124" t="s">
        <v>89</v>
      </c>
      <c r="BY18" s="124" t="s">
        <v>6</v>
      </c>
      <c r="BZ18" s="124" t="s">
        <v>6</v>
      </c>
      <c r="CA18" s="124" t="s">
        <v>89</v>
      </c>
      <c r="CB18" s="124" t="s">
        <v>89</v>
      </c>
      <c r="CC18" s="124" t="s">
        <v>89</v>
      </c>
      <c r="CD18" s="124" t="s">
        <v>6</v>
      </c>
      <c r="CE18" s="124" t="s">
        <v>6</v>
      </c>
      <c r="CF18" s="134"/>
      <c r="CG18" s="134"/>
      <c r="CH18" s="124"/>
      <c r="CI18" s="124" t="s">
        <v>89</v>
      </c>
      <c r="CJ18" s="128" t="s">
        <v>89</v>
      </c>
      <c r="CK18" s="128" t="s">
        <v>89</v>
      </c>
      <c r="CL18" s="124" t="s">
        <v>191</v>
      </c>
      <c r="CM18" s="134">
        <v>45264.556935335648</v>
      </c>
    </row>
    <row r="19" spans="2:91" x14ac:dyDescent="0.25">
      <c r="B19" s="121">
        <v>19</v>
      </c>
      <c r="C19" s="121" t="s">
        <v>504</v>
      </c>
      <c r="D19" s="121" t="s">
        <v>325</v>
      </c>
      <c r="E19" s="121" t="s">
        <v>1454</v>
      </c>
      <c r="F19" s="131">
        <v>45259</v>
      </c>
      <c r="G19" s="121" t="s">
        <v>80</v>
      </c>
      <c r="H19" s="121" t="s">
        <v>89</v>
      </c>
      <c r="I19" s="121" t="s">
        <v>6</v>
      </c>
      <c r="J19" s="121" t="s">
        <v>82</v>
      </c>
      <c r="K19" s="121">
        <v>0.95</v>
      </c>
      <c r="L19" s="121" t="s">
        <v>1326</v>
      </c>
      <c r="M19" s="121" t="s">
        <v>89</v>
      </c>
      <c r="N19" s="121" t="s">
        <v>6</v>
      </c>
      <c r="O19" s="121" t="s">
        <v>6</v>
      </c>
      <c r="P19" s="121" t="s">
        <v>6</v>
      </c>
      <c r="Q19" s="121" t="s">
        <v>6</v>
      </c>
      <c r="R19" s="121" t="s">
        <v>89</v>
      </c>
      <c r="S19" s="121"/>
      <c r="T19" s="121" t="s">
        <v>89</v>
      </c>
      <c r="U19" s="121" t="s">
        <v>6</v>
      </c>
      <c r="V19" s="121" t="s">
        <v>6</v>
      </c>
      <c r="W19" s="121" t="s">
        <v>6</v>
      </c>
      <c r="X19" s="121" t="s">
        <v>89</v>
      </c>
      <c r="Y19" s="121" t="s">
        <v>89</v>
      </c>
      <c r="Z19" s="131"/>
      <c r="AA19" s="131"/>
      <c r="AB19" s="131"/>
      <c r="AC19" s="121">
        <v>0.95</v>
      </c>
      <c r="AD19" s="121"/>
      <c r="AE19" s="121"/>
      <c r="AF19" s="121" t="s">
        <v>89</v>
      </c>
      <c r="AG19" s="122" t="s">
        <v>89</v>
      </c>
      <c r="AH19" s="121" t="s">
        <v>6</v>
      </c>
      <c r="AI19" s="121" t="s">
        <v>89</v>
      </c>
      <c r="AJ19" s="121" t="s">
        <v>89</v>
      </c>
      <c r="AK19" s="121" t="s">
        <v>6</v>
      </c>
      <c r="AL19" s="121" t="s">
        <v>89</v>
      </c>
      <c r="AM19" s="122" t="s">
        <v>89</v>
      </c>
      <c r="AN19" s="121" t="s">
        <v>89</v>
      </c>
      <c r="AO19" s="121" t="s">
        <v>89</v>
      </c>
      <c r="AP19" s="121" t="s">
        <v>89</v>
      </c>
      <c r="AQ19" s="121" t="s">
        <v>89</v>
      </c>
      <c r="AR19" s="121" t="s">
        <v>6</v>
      </c>
      <c r="AS19" s="121" t="s">
        <v>89</v>
      </c>
      <c r="AT19" s="121" t="s">
        <v>89</v>
      </c>
      <c r="AU19" s="121" t="s">
        <v>89</v>
      </c>
      <c r="AV19" s="121" t="s">
        <v>89</v>
      </c>
      <c r="AW19" s="121" t="s">
        <v>89</v>
      </c>
      <c r="AX19" s="121" t="s">
        <v>1458</v>
      </c>
      <c r="AY19" s="121" t="s">
        <v>89</v>
      </c>
      <c r="AZ19" s="131"/>
      <c r="BA19" s="121" t="s">
        <v>89</v>
      </c>
      <c r="BB19" s="122" t="s">
        <v>89</v>
      </c>
      <c r="BC19" s="121" t="s">
        <v>89</v>
      </c>
      <c r="BD19" s="121" t="s">
        <v>89</v>
      </c>
      <c r="BE19" s="121" t="s">
        <v>6</v>
      </c>
      <c r="BF19" s="121" t="s">
        <v>89</v>
      </c>
      <c r="BG19" s="121" t="s">
        <v>6</v>
      </c>
      <c r="BH19" s="121" t="s">
        <v>6</v>
      </c>
      <c r="BI19" s="121" t="s">
        <v>6</v>
      </c>
      <c r="BJ19" s="121" t="s">
        <v>89</v>
      </c>
      <c r="BK19" s="121" t="s">
        <v>89</v>
      </c>
      <c r="BL19" s="121"/>
      <c r="BM19" s="121"/>
      <c r="BN19" s="121" t="s">
        <v>89</v>
      </c>
      <c r="BO19" s="121" t="s">
        <v>89</v>
      </c>
      <c r="BP19" s="138"/>
      <c r="BQ19" s="121" t="s">
        <v>89</v>
      </c>
      <c r="BR19" s="121" t="s">
        <v>89</v>
      </c>
      <c r="BS19" s="121" t="s">
        <v>89</v>
      </c>
      <c r="BT19" s="121"/>
      <c r="BU19" s="121" t="s">
        <v>89</v>
      </c>
      <c r="BV19" s="121" t="s">
        <v>498</v>
      </c>
      <c r="BW19" s="121" t="s">
        <v>89</v>
      </c>
      <c r="BX19" s="121" t="s">
        <v>89</v>
      </c>
      <c r="BY19" s="121" t="s">
        <v>6</v>
      </c>
      <c r="BZ19" s="121" t="s">
        <v>6</v>
      </c>
      <c r="CA19" s="121" t="s">
        <v>89</v>
      </c>
      <c r="CB19" s="121" t="s">
        <v>89</v>
      </c>
      <c r="CC19" s="121" t="s">
        <v>89</v>
      </c>
      <c r="CD19" s="121" t="s">
        <v>6</v>
      </c>
      <c r="CE19" s="121" t="s">
        <v>6</v>
      </c>
      <c r="CF19" s="139"/>
      <c r="CG19" s="139"/>
      <c r="CH19" s="121"/>
      <c r="CI19" s="121" t="s">
        <v>89</v>
      </c>
      <c r="CJ19" s="122" t="s">
        <v>89</v>
      </c>
      <c r="CK19" s="122" t="s">
        <v>89</v>
      </c>
      <c r="CL19" s="121" t="s">
        <v>191</v>
      </c>
      <c r="CM19" s="139">
        <v>45264.556935335648</v>
      </c>
    </row>
    <row r="20" spans="2:91" ht="45" x14ac:dyDescent="0.25">
      <c r="B20" s="121">
        <v>18</v>
      </c>
      <c r="C20" s="121" t="s">
        <v>89</v>
      </c>
      <c r="D20" s="121" t="s">
        <v>1188</v>
      </c>
      <c r="E20" s="121" t="s">
        <v>1189</v>
      </c>
      <c r="F20" s="131">
        <v>45259</v>
      </c>
      <c r="G20" s="121" t="s">
        <v>80</v>
      </c>
      <c r="H20" s="121" t="s">
        <v>1208</v>
      </c>
      <c r="I20" s="121" t="s">
        <v>315</v>
      </c>
      <c r="J20" s="121" t="s">
        <v>82</v>
      </c>
      <c r="K20" s="121">
        <v>1.87</v>
      </c>
      <c r="L20" s="121" t="s">
        <v>131</v>
      </c>
      <c r="M20" s="121" t="s">
        <v>1206</v>
      </c>
      <c r="N20" s="121" t="s">
        <v>1190</v>
      </c>
      <c r="O20" s="121" t="s">
        <v>1191</v>
      </c>
      <c r="P20" s="121" t="s">
        <v>1206</v>
      </c>
      <c r="Q20" s="121">
        <v>52.5</v>
      </c>
      <c r="R20" s="121" t="s">
        <v>89</v>
      </c>
      <c r="S20" s="121">
        <v>100</v>
      </c>
      <c r="T20" s="121" t="s">
        <v>37</v>
      </c>
      <c r="U20" s="121" t="s">
        <v>215</v>
      </c>
      <c r="V20" s="121" t="s">
        <v>6</v>
      </c>
      <c r="W20" s="121" t="s">
        <v>6</v>
      </c>
      <c r="X20" s="121" t="s">
        <v>89</v>
      </c>
      <c r="Y20" s="121" t="s">
        <v>115</v>
      </c>
      <c r="Z20" s="131">
        <v>45265</v>
      </c>
      <c r="AA20" s="131">
        <v>45448</v>
      </c>
      <c r="AB20" s="131">
        <v>46361</v>
      </c>
      <c r="AC20" s="121">
        <v>1.87</v>
      </c>
      <c r="AD20" s="121">
        <v>13.638</v>
      </c>
      <c r="AE20" s="121">
        <v>14.643000000000001</v>
      </c>
      <c r="AF20" s="121" t="s">
        <v>1204</v>
      </c>
      <c r="AG20" s="122" t="s">
        <v>1210</v>
      </c>
      <c r="AH20" s="121" t="s">
        <v>6</v>
      </c>
      <c r="AI20" s="121" t="s">
        <v>89</v>
      </c>
      <c r="AJ20" s="121" t="s">
        <v>1205</v>
      </c>
      <c r="AK20" s="121" t="s">
        <v>1188</v>
      </c>
      <c r="AL20" s="121" t="s">
        <v>89</v>
      </c>
      <c r="AM20" s="122" t="s">
        <v>89</v>
      </c>
      <c r="AN20" s="121" t="s">
        <v>89</v>
      </c>
      <c r="AO20" s="121" t="s">
        <v>253</v>
      </c>
      <c r="AP20" s="121" t="s">
        <v>89</v>
      </c>
      <c r="AQ20" s="121" t="s">
        <v>89</v>
      </c>
      <c r="AR20" s="121" t="s">
        <v>6</v>
      </c>
      <c r="AS20" s="121" t="s">
        <v>89</v>
      </c>
      <c r="AT20" s="137" t="s">
        <v>1527</v>
      </c>
      <c r="AU20" s="121" t="s">
        <v>1203</v>
      </c>
      <c r="AV20" s="121" t="s">
        <v>244</v>
      </c>
      <c r="AW20" s="121" t="s">
        <v>198</v>
      </c>
      <c r="AX20" s="121" t="s">
        <v>1209</v>
      </c>
      <c r="AY20" s="121" t="s">
        <v>498</v>
      </c>
      <c r="AZ20" s="131"/>
      <c r="BA20" s="121" t="s">
        <v>89</v>
      </c>
      <c r="BB20" s="122" t="s">
        <v>89</v>
      </c>
      <c r="BC20" s="121" t="s">
        <v>89</v>
      </c>
      <c r="BD20" s="121" t="s">
        <v>89</v>
      </c>
      <c r="BE20" s="121" t="s">
        <v>6</v>
      </c>
      <c r="BF20" s="121" t="s">
        <v>89</v>
      </c>
      <c r="BG20" s="121" t="s">
        <v>6</v>
      </c>
      <c r="BH20" s="121" t="s">
        <v>6</v>
      </c>
      <c r="BI20" s="121" t="s">
        <v>6</v>
      </c>
      <c r="BJ20" s="121" t="s">
        <v>89</v>
      </c>
      <c r="BK20" s="121" t="s">
        <v>89</v>
      </c>
      <c r="BL20" s="121"/>
      <c r="BM20" s="121"/>
      <c r="BN20" s="121" t="s">
        <v>89</v>
      </c>
      <c r="BO20" s="121" t="s">
        <v>89</v>
      </c>
      <c r="BP20" s="138"/>
      <c r="BQ20" s="121" t="s">
        <v>89</v>
      </c>
      <c r="BR20" s="121" t="s">
        <v>89</v>
      </c>
      <c r="BS20" s="121" t="s">
        <v>89</v>
      </c>
      <c r="BT20" s="121"/>
      <c r="BU20" s="121" t="s">
        <v>89</v>
      </c>
      <c r="BV20" s="121"/>
      <c r="BW20" s="121" t="s">
        <v>89</v>
      </c>
      <c r="BX20" s="121" t="s">
        <v>89</v>
      </c>
      <c r="BY20" s="121" t="s">
        <v>6</v>
      </c>
      <c r="BZ20" s="121" t="s">
        <v>6</v>
      </c>
      <c r="CA20" s="121" t="s">
        <v>89</v>
      </c>
      <c r="CB20" s="121" t="s">
        <v>89</v>
      </c>
      <c r="CC20" s="121" t="s">
        <v>89</v>
      </c>
      <c r="CD20" s="121" t="s">
        <v>6</v>
      </c>
      <c r="CE20" s="121" t="s">
        <v>6</v>
      </c>
      <c r="CF20" s="139"/>
      <c r="CG20" s="139"/>
      <c r="CH20" s="121"/>
      <c r="CI20" s="121" t="s">
        <v>89</v>
      </c>
      <c r="CJ20" s="122" t="s">
        <v>89</v>
      </c>
      <c r="CK20" s="122" t="s">
        <v>89</v>
      </c>
      <c r="CL20" s="121" t="s">
        <v>191</v>
      </c>
      <c r="CM20" s="139">
        <v>45264.556935335648</v>
      </c>
    </row>
    <row r="21" spans="2:91" x14ac:dyDescent="0.25">
      <c r="B21" s="121">
        <v>17</v>
      </c>
      <c r="C21" s="121" t="s">
        <v>504</v>
      </c>
      <c r="D21" s="121" t="s">
        <v>337</v>
      </c>
      <c r="E21" s="121" t="s">
        <v>1460</v>
      </c>
      <c r="F21" s="131">
        <v>45259</v>
      </c>
      <c r="G21" s="121" t="s">
        <v>80</v>
      </c>
      <c r="H21" s="121" t="s">
        <v>89</v>
      </c>
      <c r="I21" s="121" t="s">
        <v>6</v>
      </c>
      <c r="J21" s="121" t="s">
        <v>82</v>
      </c>
      <c r="K21" s="121">
        <v>2.5999999999999999E-2</v>
      </c>
      <c r="L21" s="121" t="s">
        <v>1509</v>
      </c>
      <c r="M21" s="121" t="s">
        <v>89</v>
      </c>
      <c r="N21" s="121" t="s">
        <v>6</v>
      </c>
      <c r="O21" s="121" t="s">
        <v>6</v>
      </c>
      <c r="P21" s="121" t="s">
        <v>6</v>
      </c>
      <c r="Q21" s="121" t="s">
        <v>6</v>
      </c>
      <c r="R21" s="121" t="s">
        <v>89</v>
      </c>
      <c r="S21" s="121"/>
      <c r="T21" s="121" t="s">
        <v>89</v>
      </c>
      <c r="U21" s="121" t="s">
        <v>6</v>
      </c>
      <c r="V21" s="121" t="s">
        <v>6</v>
      </c>
      <c r="W21" s="121" t="s">
        <v>6</v>
      </c>
      <c r="X21" s="121" t="s">
        <v>89</v>
      </c>
      <c r="Y21" s="121" t="s">
        <v>89</v>
      </c>
      <c r="Z21" s="131"/>
      <c r="AA21" s="131"/>
      <c r="AB21" s="131"/>
      <c r="AC21" s="121">
        <v>2.5999999999999999E-2</v>
      </c>
      <c r="AD21" s="121"/>
      <c r="AE21" s="121"/>
      <c r="AF21" s="121" t="s">
        <v>89</v>
      </c>
      <c r="AG21" s="122" t="s">
        <v>89</v>
      </c>
      <c r="AH21" s="121" t="s">
        <v>6</v>
      </c>
      <c r="AI21" s="121" t="s">
        <v>89</v>
      </c>
      <c r="AJ21" s="121" t="s">
        <v>89</v>
      </c>
      <c r="AK21" s="121" t="s">
        <v>6</v>
      </c>
      <c r="AL21" s="121" t="s">
        <v>89</v>
      </c>
      <c r="AM21" s="122" t="s">
        <v>89</v>
      </c>
      <c r="AN21" s="121" t="s">
        <v>89</v>
      </c>
      <c r="AO21" s="121" t="s">
        <v>89</v>
      </c>
      <c r="AP21" s="121" t="s">
        <v>89</v>
      </c>
      <c r="AQ21" s="121" t="s">
        <v>89</v>
      </c>
      <c r="AR21" s="121" t="s">
        <v>6</v>
      </c>
      <c r="AS21" s="121" t="s">
        <v>89</v>
      </c>
      <c r="AT21" s="121" t="s">
        <v>89</v>
      </c>
      <c r="AU21" s="121" t="s">
        <v>89</v>
      </c>
      <c r="AV21" s="121" t="s">
        <v>89</v>
      </c>
      <c r="AW21" s="121" t="s">
        <v>89</v>
      </c>
      <c r="AX21" s="121" t="s">
        <v>1470</v>
      </c>
      <c r="AY21" s="121" t="s">
        <v>89</v>
      </c>
      <c r="AZ21" s="131"/>
      <c r="BA21" s="121" t="s">
        <v>89</v>
      </c>
      <c r="BB21" s="122" t="s">
        <v>89</v>
      </c>
      <c r="BC21" s="121" t="s">
        <v>89</v>
      </c>
      <c r="BD21" s="121" t="s">
        <v>89</v>
      </c>
      <c r="BE21" s="121" t="s">
        <v>6</v>
      </c>
      <c r="BF21" s="121" t="s">
        <v>89</v>
      </c>
      <c r="BG21" s="121" t="s">
        <v>6</v>
      </c>
      <c r="BH21" s="121" t="s">
        <v>6</v>
      </c>
      <c r="BI21" s="121" t="s">
        <v>6</v>
      </c>
      <c r="BJ21" s="121" t="s">
        <v>89</v>
      </c>
      <c r="BK21" s="121" t="s">
        <v>89</v>
      </c>
      <c r="BL21" s="121"/>
      <c r="BM21" s="121"/>
      <c r="BN21" s="121" t="s">
        <v>89</v>
      </c>
      <c r="BO21" s="121" t="s">
        <v>89</v>
      </c>
      <c r="BP21" s="138"/>
      <c r="BQ21" s="121" t="s">
        <v>89</v>
      </c>
      <c r="BR21" s="121" t="s">
        <v>89</v>
      </c>
      <c r="BS21" s="121" t="s">
        <v>89</v>
      </c>
      <c r="BT21" s="121"/>
      <c r="BU21" s="121" t="s">
        <v>89</v>
      </c>
      <c r="BV21" s="121" t="s">
        <v>498</v>
      </c>
      <c r="BW21" s="121" t="s">
        <v>89</v>
      </c>
      <c r="BX21" s="121" t="s">
        <v>89</v>
      </c>
      <c r="BY21" s="121" t="s">
        <v>6</v>
      </c>
      <c r="BZ21" s="121" t="s">
        <v>6</v>
      </c>
      <c r="CA21" s="121" t="s">
        <v>89</v>
      </c>
      <c r="CB21" s="121" t="s">
        <v>89</v>
      </c>
      <c r="CC21" s="121" t="s">
        <v>89</v>
      </c>
      <c r="CD21" s="121" t="s">
        <v>6</v>
      </c>
      <c r="CE21" s="121" t="s">
        <v>6</v>
      </c>
      <c r="CF21" s="139"/>
      <c r="CG21" s="139"/>
      <c r="CH21" s="121"/>
      <c r="CI21" s="121" t="s">
        <v>89</v>
      </c>
      <c r="CJ21" s="122" t="s">
        <v>89</v>
      </c>
      <c r="CK21" s="122" t="s">
        <v>89</v>
      </c>
      <c r="CL21" s="121" t="s">
        <v>191</v>
      </c>
      <c r="CM21" s="139">
        <v>45264.556935335648</v>
      </c>
    </row>
    <row r="22" spans="2:91" x14ac:dyDescent="0.25">
      <c r="B22" s="121">
        <v>16</v>
      </c>
      <c r="C22" s="121" t="s">
        <v>89</v>
      </c>
      <c r="D22" s="121" t="s">
        <v>1145</v>
      </c>
      <c r="E22" s="121" t="s">
        <v>1211</v>
      </c>
      <c r="F22" s="131">
        <v>45258</v>
      </c>
      <c r="G22" s="121" t="s">
        <v>80</v>
      </c>
      <c r="H22" s="121" t="s">
        <v>80</v>
      </c>
      <c r="I22" s="121" t="s">
        <v>570</v>
      </c>
      <c r="J22" s="121" t="s">
        <v>103</v>
      </c>
      <c r="K22" s="121">
        <v>3</v>
      </c>
      <c r="L22" s="121" t="s">
        <v>1122</v>
      </c>
      <c r="M22" s="121" t="s">
        <v>1320</v>
      </c>
      <c r="N22" s="121" t="s">
        <v>6</v>
      </c>
      <c r="O22" s="121" t="s">
        <v>6</v>
      </c>
      <c r="P22" s="121" t="s">
        <v>6</v>
      </c>
      <c r="Q22" s="121" t="s">
        <v>6</v>
      </c>
      <c r="R22" s="121" t="s">
        <v>89</v>
      </c>
      <c r="S22" s="121">
        <v>100</v>
      </c>
      <c r="T22" s="121" t="s">
        <v>37</v>
      </c>
      <c r="U22" s="121" t="s">
        <v>106</v>
      </c>
      <c r="V22" s="121" t="s">
        <v>6</v>
      </c>
      <c r="W22" s="121" t="s">
        <v>6</v>
      </c>
      <c r="X22" s="121" t="s">
        <v>89</v>
      </c>
      <c r="Y22" s="121" t="s">
        <v>115</v>
      </c>
      <c r="Z22" s="131">
        <v>45261</v>
      </c>
      <c r="AA22" s="131">
        <v>45444</v>
      </c>
      <c r="AB22" s="131">
        <v>45992</v>
      </c>
      <c r="AC22" s="121">
        <v>0.41099999999999998</v>
      </c>
      <c r="AD22" s="121">
        <v>3</v>
      </c>
      <c r="AE22" s="121">
        <v>3.22</v>
      </c>
      <c r="AF22" s="121" t="s">
        <v>1155</v>
      </c>
      <c r="AG22" s="122" t="s">
        <v>203</v>
      </c>
      <c r="AH22" s="121" t="s">
        <v>6</v>
      </c>
      <c r="AI22" s="121" t="s">
        <v>89</v>
      </c>
      <c r="AJ22" s="121" t="s">
        <v>1156</v>
      </c>
      <c r="AK22" s="121" t="s">
        <v>1145</v>
      </c>
      <c r="AL22" s="121" t="s">
        <v>89</v>
      </c>
      <c r="AM22" s="122" t="s">
        <v>89</v>
      </c>
      <c r="AN22" s="121" t="s">
        <v>89</v>
      </c>
      <c r="AO22" s="121" t="s">
        <v>6</v>
      </c>
      <c r="AP22" s="121" t="s">
        <v>89</v>
      </c>
      <c r="AQ22" s="121" t="s">
        <v>89</v>
      </c>
      <c r="AR22" s="121" t="s">
        <v>6</v>
      </c>
      <c r="AS22" s="121" t="s">
        <v>89</v>
      </c>
      <c r="AT22" s="121" t="s">
        <v>89</v>
      </c>
      <c r="AU22" s="121" t="s">
        <v>89</v>
      </c>
      <c r="AV22" s="121" t="s">
        <v>244</v>
      </c>
      <c r="AW22" s="121" t="s">
        <v>198</v>
      </c>
      <c r="AX22" s="121" t="s">
        <v>1215</v>
      </c>
      <c r="AY22" s="121" t="s">
        <v>498</v>
      </c>
      <c r="AZ22" s="131"/>
      <c r="BA22" s="121" t="s">
        <v>89</v>
      </c>
      <c r="BB22" s="122" t="s">
        <v>89</v>
      </c>
      <c r="BC22" s="121" t="s">
        <v>89</v>
      </c>
      <c r="BD22" s="121" t="s">
        <v>89</v>
      </c>
      <c r="BE22" s="121" t="s">
        <v>6</v>
      </c>
      <c r="BF22" s="121" t="s">
        <v>89</v>
      </c>
      <c r="BG22" s="121" t="s">
        <v>6</v>
      </c>
      <c r="BH22" s="121" t="s">
        <v>6</v>
      </c>
      <c r="BI22" s="121" t="s">
        <v>6</v>
      </c>
      <c r="BJ22" s="121" t="s">
        <v>89</v>
      </c>
      <c r="BK22" s="121" t="s">
        <v>89</v>
      </c>
      <c r="BL22" s="121"/>
      <c r="BM22" s="121"/>
      <c r="BN22" s="121" t="s">
        <v>89</v>
      </c>
      <c r="BO22" s="121" t="s">
        <v>89</v>
      </c>
      <c r="BP22" s="138"/>
      <c r="BQ22" s="121" t="s">
        <v>89</v>
      </c>
      <c r="BR22" s="121" t="s">
        <v>89</v>
      </c>
      <c r="BS22" s="121" t="s">
        <v>89</v>
      </c>
      <c r="BT22" s="121"/>
      <c r="BU22" s="121" t="s">
        <v>89</v>
      </c>
      <c r="BV22" s="121"/>
      <c r="BW22" s="121" t="s">
        <v>89</v>
      </c>
      <c r="BX22" s="121" t="s">
        <v>89</v>
      </c>
      <c r="BY22" s="121" t="s">
        <v>6</v>
      </c>
      <c r="BZ22" s="121" t="s">
        <v>6</v>
      </c>
      <c r="CA22" s="121" t="s">
        <v>89</v>
      </c>
      <c r="CB22" s="121" t="s">
        <v>89</v>
      </c>
      <c r="CC22" s="121" t="s">
        <v>89</v>
      </c>
      <c r="CD22" s="121" t="s">
        <v>6</v>
      </c>
      <c r="CE22" s="121" t="s">
        <v>6</v>
      </c>
      <c r="CF22" s="139"/>
      <c r="CG22" s="139"/>
      <c r="CH22" s="121"/>
      <c r="CI22" s="121" t="s">
        <v>89</v>
      </c>
      <c r="CJ22" s="122" t="s">
        <v>89</v>
      </c>
      <c r="CK22" s="122" t="s">
        <v>89</v>
      </c>
      <c r="CL22" s="121" t="s">
        <v>191</v>
      </c>
      <c r="CM22" s="139">
        <v>45264.556935335648</v>
      </c>
    </row>
    <row r="23" spans="2:91" x14ac:dyDescent="0.25">
      <c r="B23" s="121">
        <v>15</v>
      </c>
      <c r="C23" s="121" t="s">
        <v>504</v>
      </c>
      <c r="D23" s="121" t="s">
        <v>632</v>
      </c>
      <c r="E23" s="121" t="s">
        <v>1480</v>
      </c>
      <c r="F23" s="131">
        <v>45258</v>
      </c>
      <c r="G23" s="121" t="s">
        <v>80</v>
      </c>
      <c r="H23" s="121" t="s">
        <v>89</v>
      </c>
      <c r="I23" s="121" t="s">
        <v>6</v>
      </c>
      <c r="J23" s="121" t="s">
        <v>82</v>
      </c>
      <c r="K23" s="121">
        <v>2.9000000000000001E-2</v>
      </c>
      <c r="L23" s="121" t="s">
        <v>1115</v>
      </c>
      <c r="M23" s="121" t="s">
        <v>89</v>
      </c>
      <c r="N23" s="121" t="s">
        <v>6</v>
      </c>
      <c r="O23" s="121" t="s">
        <v>6</v>
      </c>
      <c r="P23" s="121" t="s">
        <v>6</v>
      </c>
      <c r="Q23" s="121" t="s">
        <v>6</v>
      </c>
      <c r="R23" s="121" t="s">
        <v>89</v>
      </c>
      <c r="S23" s="121"/>
      <c r="T23" s="121" t="s">
        <v>89</v>
      </c>
      <c r="U23" s="121" t="s">
        <v>6</v>
      </c>
      <c r="V23" s="121" t="s">
        <v>6</v>
      </c>
      <c r="W23" s="121" t="s">
        <v>6</v>
      </c>
      <c r="X23" s="121" t="s">
        <v>89</v>
      </c>
      <c r="Y23" s="121" t="s">
        <v>89</v>
      </c>
      <c r="Z23" s="131"/>
      <c r="AA23" s="131"/>
      <c r="AB23" s="131"/>
      <c r="AC23" s="121">
        <v>2.9000000000000001E-2</v>
      </c>
      <c r="AD23" s="121"/>
      <c r="AE23" s="121"/>
      <c r="AF23" s="121" t="s">
        <v>89</v>
      </c>
      <c r="AG23" s="122" t="s">
        <v>89</v>
      </c>
      <c r="AH23" s="121" t="s">
        <v>6</v>
      </c>
      <c r="AI23" s="121" t="s">
        <v>89</v>
      </c>
      <c r="AJ23" s="121" t="s">
        <v>89</v>
      </c>
      <c r="AK23" s="121" t="s">
        <v>6</v>
      </c>
      <c r="AL23" s="121" t="s">
        <v>89</v>
      </c>
      <c r="AM23" s="122" t="s">
        <v>89</v>
      </c>
      <c r="AN23" s="121" t="s">
        <v>89</v>
      </c>
      <c r="AO23" s="121" t="s">
        <v>89</v>
      </c>
      <c r="AP23" s="121" t="s">
        <v>89</v>
      </c>
      <c r="AQ23" s="121" t="s">
        <v>89</v>
      </c>
      <c r="AR23" s="121" t="s">
        <v>6</v>
      </c>
      <c r="AS23" s="121" t="s">
        <v>89</v>
      </c>
      <c r="AT23" s="121" t="s">
        <v>89</v>
      </c>
      <c r="AU23" s="121" t="s">
        <v>89</v>
      </c>
      <c r="AV23" s="121" t="s">
        <v>89</v>
      </c>
      <c r="AW23" s="121" t="s">
        <v>89</v>
      </c>
      <c r="AX23" s="121" t="s">
        <v>1483</v>
      </c>
      <c r="AY23" s="121" t="s">
        <v>89</v>
      </c>
      <c r="AZ23" s="131"/>
      <c r="BA23" s="121" t="s">
        <v>89</v>
      </c>
      <c r="BB23" s="122" t="s">
        <v>89</v>
      </c>
      <c r="BC23" s="121" t="s">
        <v>89</v>
      </c>
      <c r="BD23" s="121" t="s">
        <v>89</v>
      </c>
      <c r="BE23" s="121" t="s">
        <v>6</v>
      </c>
      <c r="BF23" s="121" t="s">
        <v>89</v>
      </c>
      <c r="BG23" s="121" t="s">
        <v>6</v>
      </c>
      <c r="BH23" s="121" t="s">
        <v>6</v>
      </c>
      <c r="BI23" s="121" t="s">
        <v>6</v>
      </c>
      <c r="BJ23" s="121" t="s">
        <v>89</v>
      </c>
      <c r="BK23" s="121" t="s">
        <v>89</v>
      </c>
      <c r="BL23" s="121"/>
      <c r="BM23" s="121"/>
      <c r="BN23" s="121" t="s">
        <v>89</v>
      </c>
      <c r="BO23" s="121" t="s">
        <v>89</v>
      </c>
      <c r="BP23" s="138"/>
      <c r="BQ23" s="121" t="s">
        <v>89</v>
      </c>
      <c r="BR23" s="121" t="s">
        <v>89</v>
      </c>
      <c r="BS23" s="121" t="s">
        <v>89</v>
      </c>
      <c r="BT23" s="121"/>
      <c r="BU23" s="121" t="s">
        <v>89</v>
      </c>
      <c r="BV23" s="121" t="s">
        <v>498</v>
      </c>
      <c r="BW23" s="121" t="s">
        <v>89</v>
      </c>
      <c r="BX23" s="121" t="s">
        <v>89</v>
      </c>
      <c r="BY23" s="121" t="s">
        <v>6</v>
      </c>
      <c r="BZ23" s="121" t="s">
        <v>6</v>
      </c>
      <c r="CA23" s="121" t="s">
        <v>89</v>
      </c>
      <c r="CB23" s="121" t="s">
        <v>89</v>
      </c>
      <c r="CC23" s="121" t="s">
        <v>89</v>
      </c>
      <c r="CD23" s="121" t="s">
        <v>6</v>
      </c>
      <c r="CE23" s="121" t="s">
        <v>6</v>
      </c>
      <c r="CF23" s="139"/>
      <c r="CG23" s="139"/>
      <c r="CH23" s="121"/>
      <c r="CI23" s="121" t="s">
        <v>89</v>
      </c>
      <c r="CJ23" s="122" t="s">
        <v>89</v>
      </c>
      <c r="CK23" s="122" t="s">
        <v>89</v>
      </c>
      <c r="CL23" s="121" t="s">
        <v>191</v>
      </c>
      <c r="CM23" s="139">
        <v>45264.556935335648</v>
      </c>
    </row>
    <row r="24" spans="2:91" x14ac:dyDescent="0.25">
      <c r="B24" s="121">
        <v>14</v>
      </c>
      <c r="C24" s="121" t="s">
        <v>504</v>
      </c>
      <c r="D24" s="121" t="s">
        <v>632</v>
      </c>
      <c r="E24" s="121" t="s">
        <v>1484</v>
      </c>
      <c r="F24" s="131">
        <v>45258</v>
      </c>
      <c r="G24" s="121" t="s">
        <v>80</v>
      </c>
      <c r="H24" s="121" t="s">
        <v>89</v>
      </c>
      <c r="I24" s="121" t="s">
        <v>6</v>
      </c>
      <c r="J24" s="121" t="s">
        <v>82</v>
      </c>
      <c r="K24" s="121">
        <v>2.9000000000000001E-2</v>
      </c>
      <c r="L24" s="121" t="s">
        <v>1115</v>
      </c>
      <c r="M24" s="121" t="s">
        <v>89</v>
      </c>
      <c r="N24" s="121" t="s">
        <v>6</v>
      </c>
      <c r="O24" s="121" t="s">
        <v>6</v>
      </c>
      <c r="P24" s="121" t="s">
        <v>6</v>
      </c>
      <c r="Q24" s="121" t="s">
        <v>6</v>
      </c>
      <c r="R24" s="121" t="s">
        <v>89</v>
      </c>
      <c r="S24" s="121"/>
      <c r="T24" s="121" t="s">
        <v>89</v>
      </c>
      <c r="U24" s="121" t="s">
        <v>6</v>
      </c>
      <c r="V24" s="121" t="s">
        <v>6</v>
      </c>
      <c r="W24" s="121" t="s">
        <v>6</v>
      </c>
      <c r="X24" s="121" t="s">
        <v>89</v>
      </c>
      <c r="Y24" s="121" t="s">
        <v>89</v>
      </c>
      <c r="Z24" s="131"/>
      <c r="AA24" s="131"/>
      <c r="AB24" s="131"/>
      <c r="AC24" s="121">
        <v>2.9000000000000001E-2</v>
      </c>
      <c r="AD24" s="121"/>
      <c r="AE24" s="121"/>
      <c r="AF24" s="121" t="s">
        <v>89</v>
      </c>
      <c r="AG24" s="122" t="s">
        <v>89</v>
      </c>
      <c r="AH24" s="121" t="s">
        <v>6</v>
      </c>
      <c r="AI24" s="121" t="s">
        <v>89</v>
      </c>
      <c r="AJ24" s="121" t="s">
        <v>89</v>
      </c>
      <c r="AK24" s="121" t="s">
        <v>6</v>
      </c>
      <c r="AL24" s="121" t="s">
        <v>89</v>
      </c>
      <c r="AM24" s="122" t="s">
        <v>89</v>
      </c>
      <c r="AN24" s="121" t="s">
        <v>89</v>
      </c>
      <c r="AO24" s="121" t="s">
        <v>89</v>
      </c>
      <c r="AP24" s="121" t="s">
        <v>89</v>
      </c>
      <c r="AQ24" s="121" t="s">
        <v>89</v>
      </c>
      <c r="AR24" s="121" t="s">
        <v>6</v>
      </c>
      <c r="AS24" s="121" t="s">
        <v>89</v>
      </c>
      <c r="AT24" s="121" t="s">
        <v>89</v>
      </c>
      <c r="AU24" s="121" t="s">
        <v>89</v>
      </c>
      <c r="AV24" s="121" t="s">
        <v>89</v>
      </c>
      <c r="AW24" s="121" t="s">
        <v>89</v>
      </c>
      <c r="AX24" s="121" t="s">
        <v>1485</v>
      </c>
      <c r="AY24" s="121" t="s">
        <v>89</v>
      </c>
      <c r="AZ24" s="131"/>
      <c r="BA24" s="121" t="s">
        <v>89</v>
      </c>
      <c r="BB24" s="122" t="s">
        <v>89</v>
      </c>
      <c r="BC24" s="121" t="s">
        <v>89</v>
      </c>
      <c r="BD24" s="121" t="s">
        <v>89</v>
      </c>
      <c r="BE24" s="121" t="s">
        <v>6</v>
      </c>
      <c r="BF24" s="121" t="s">
        <v>89</v>
      </c>
      <c r="BG24" s="121" t="s">
        <v>6</v>
      </c>
      <c r="BH24" s="121" t="s">
        <v>6</v>
      </c>
      <c r="BI24" s="121" t="s">
        <v>6</v>
      </c>
      <c r="BJ24" s="121" t="s">
        <v>89</v>
      </c>
      <c r="BK24" s="121" t="s">
        <v>89</v>
      </c>
      <c r="BL24" s="121"/>
      <c r="BM24" s="121"/>
      <c r="BN24" s="121" t="s">
        <v>89</v>
      </c>
      <c r="BO24" s="121" t="s">
        <v>89</v>
      </c>
      <c r="BP24" s="138"/>
      <c r="BQ24" s="121" t="s">
        <v>89</v>
      </c>
      <c r="BR24" s="121" t="s">
        <v>89</v>
      </c>
      <c r="BS24" s="121" t="s">
        <v>89</v>
      </c>
      <c r="BT24" s="121"/>
      <c r="BU24" s="121" t="s">
        <v>89</v>
      </c>
      <c r="BV24" s="121" t="s">
        <v>498</v>
      </c>
      <c r="BW24" s="121" t="s">
        <v>89</v>
      </c>
      <c r="BX24" s="121" t="s">
        <v>89</v>
      </c>
      <c r="BY24" s="121" t="s">
        <v>6</v>
      </c>
      <c r="BZ24" s="121" t="s">
        <v>6</v>
      </c>
      <c r="CA24" s="121" t="s">
        <v>89</v>
      </c>
      <c r="CB24" s="121" t="s">
        <v>89</v>
      </c>
      <c r="CC24" s="121" t="s">
        <v>89</v>
      </c>
      <c r="CD24" s="121" t="s">
        <v>6</v>
      </c>
      <c r="CE24" s="121" t="s">
        <v>6</v>
      </c>
      <c r="CF24" s="139"/>
      <c r="CG24" s="139"/>
      <c r="CH24" s="121"/>
      <c r="CI24" s="121" t="s">
        <v>89</v>
      </c>
      <c r="CJ24" s="122" t="s">
        <v>89</v>
      </c>
      <c r="CK24" s="122" t="s">
        <v>89</v>
      </c>
      <c r="CL24" s="121" t="s">
        <v>191</v>
      </c>
      <c r="CM24" s="139">
        <v>45264.556935335648</v>
      </c>
    </row>
    <row r="25" spans="2:91" x14ac:dyDescent="0.25">
      <c r="B25" s="121">
        <v>13</v>
      </c>
      <c r="C25" s="121" t="s">
        <v>504</v>
      </c>
      <c r="D25" s="121" t="s">
        <v>632</v>
      </c>
      <c r="E25" s="121" t="s">
        <v>1486</v>
      </c>
      <c r="F25" s="131">
        <v>45258</v>
      </c>
      <c r="G25" s="121" t="s">
        <v>80</v>
      </c>
      <c r="H25" s="121" t="s">
        <v>89</v>
      </c>
      <c r="I25" s="121" t="s">
        <v>6</v>
      </c>
      <c r="J25" s="121" t="s">
        <v>82</v>
      </c>
      <c r="K25" s="121">
        <v>2.9000000000000001E-2</v>
      </c>
      <c r="L25" s="121" t="s">
        <v>1115</v>
      </c>
      <c r="M25" s="121" t="s">
        <v>89</v>
      </c>
      <c r="N25" s="121" t="s">
        <v>6</v>
      </c>
      <c r="O25" s="121" t="s">
        <v>6</v>
      </c>
      <c r="P25" s="121" t="s">
        <v>6</v>
      </c>
      <c r="Q25" s="121" t="s">
        <v>6</v>
      </c>
      <c r="R25" s="121" t="s">
        <v>89</v>
      </c>
      <c r="S25" s="121"/>
      <c r="T25" s="121" t="s">
        <v>89</v>
      </c>
      <c r="U25" s="121" t="s">
        <v>6</v>
      </c>
      <c r="V25" s="121" t="s">
        <v>6</v>
      </c>
      <c r="W25" s="121" t="s">
        <v>6</v>
      </c>
      <c r="X25" s="121" t="s">
        <v>89</v>
      </c>
      <c r="Y25" s="121" t="s">
        <v>89</v>
      </c>
      <c r="Z25" s="131"/>
      <c r="AA25" s="131"/>
      <c r="AB25" s="131"/>
      <c r="AC25" s="121">
        <v>2.9000000000000001E-2</v>
      </c>
      <c r="AD25" s="121"/>
      <c r="AE25" s="121"/>
      <c r="AF25" s="121" t="s">
        <v>89</v>
      </c>
      <c r="AG25" s="122" t="s">
        <v>89</v>
      </c>
      <c r="AH25" s="121" t="s">
        <v>6</v>
      </c>
      <c r="AI25" s="121" t="s">
        <v>89</v>
      </c>
      <c r="AJ25" s="121" t="s">
        <v>89</v>
      </c>
      <c r="AK25" s="121" t="s">
        <v>6</v>
      </c>
      <c r="AL25" s="121" t="s">
        <v>89</v>
      </c>
      <c r="AM25" s="122" t="s">
        <v>89</v>
      </c>
      <c r="AN25" s="121" t="s">
        <v>89</v>
      </c>
      <c r="AO25" s="121" t="s">
        <v>89</v>
      </c>
      <c r="AP25" s="121" t="s">
        <v>89</v>
      </c>
      <c r="AQ25" s="121" t="s">
        <v>89</v>
      </c>
      <c r="AR25" s="121" t="s">
        <v>6</v>
      </c>
      <c r="AS25" s="121" t="s">
        <v>89</v>
      </c>
      <c r="AT25" s="121" t="s">
        <v>89</v>
      </c>
      <c r="AU25" s="121" t="s">
        <v>89</v>
      </c>
      <c r="AV25" s="121" t="s">
        <v>89</v>
      </c>
      <c r="AW25" s="121" t="s">
        <v>89</v>
      </c>
      <c r="AX25" s="121" t="s">
        <v>1487</v>
      </c>
      <c r="AY25" s="121" t="s">
        <v>89</v>
      </c>
      <c r="AZ25" s="131"/>
      <c r="BA25" s="121" t="s">
        <v>89</v>
      </c>
      <c r="BB25" s="122" t="s">
        <v>89</v>
      </c>
      <c r="BC25" s="121" t="s">
        <v>89</v>
      </c>
      <c r="BD25" s="121" t="s">
        <v>89</v>
      </c>
      <c r="BE25" s="121" t="s">
        <v>6</v>
      </c>
      <c r="BF25" s="121" t="s">
        <v>89</v>
      </c>
      <c r="BG25" s="121" t="s">
        <v>6</v>
      </c>
      <c r="BH25" s="121" t="s">
        <v>6</v>
      </c>
      <c r="BI25" s="121" t="s">
        <v>6</v>
      </c>
      <c r="BJ25" s="121" t="s">
        <v>89</v>
      </c>
      <c r="BK25" s="121" t="s">
        <v>89</v>
      </c>
      <c r="BL25" s="121"/>
      <c r="BM25" s="121"/>
      <c r="BN25" s="121" t="s">
        <v>89</v>
      </c>
      <c r="BO25" s="121" t="s">
        <v>89</v>
      </c>
      <c r="BP25" s="138"/>
      <c r="BQ25" s="121" t="s">
        <v>89</v>
      </c>
      <c r="BR25" s="121" t="s">
        <v>89</v>
      </c>
      <c r="BS25" s="121" t="s">
        <v>89</v>
      </c>
      <c r="BT25" s="121"/>
      <c r="BU25" s="121" t="s">
        <v>89</v>
      </c>
      <c r="BV25" s="121" t="s">
        <v>498</v>
      </c>
      <c r="BW25" s="121" t="s">
        <v>89</v>
      </c>
      <c r="BX25" s="121" t="s">
        <v>89</v>
      </c>
      <c r="BY25" s="121" t="s">
        <v>6</v>
      </c>
      <c r="BZ25" s="121" t="s">
        <v>6</v>
      </c>
      <c r="CA25" s="121" t="s">
        <v>89</v>
      </c>
      <c r="CB25" s="121" t="s">
        <v>89</v>
      </c>
      <c r="CC25" s="121" t="s">
        <v>89</v>
      </c>
      <c r="CD25" s="121" t="s">
        <v>6</v>
      </c>
      <c r="CE25" s="121" t="s">
        <v>6</v>
      </c>
      <c r="CF25" s="139"/>
      <c r="CG25" s="139"/>
      <c r="CH25" s="121"/>
      <c r="CI25" s="121" t="s">
        <v>89</v>
      </c>
      <c r="CJ25" s="122" t="s">
        <v>89</v>
      </c>
      <c r="CK25" s="122" t="s">
        <v>89</v>
      </c>
      <c r="CL25" s="121" t="s">
        <v>191</v>
      </c>
      <c r="CM25" s="139">
        <v>45264.556935335648</v>
      </c>
    </row>
    <row r="26" spans="2:91" x14ac:dyDescent="0.25">
      <c r="B26" s="121">
        <v>12</v>
      </c>
      <c r="C26" s="121" t="s">
        <v>504</v>
      </c>
      <c r="D26" s="121" t="s">
        <v>632</v>
      </c>
      <c r="E26" s="121" t="s">
        <v>1472</v>
      </c>
      <c r="F26" s="131">
        <v>45258</v>
      </c>
      <c r="G26" s="121" t="s">
        <v>80</v>
      </c>
      <c r="H26" s="121" t="s">
        <v>89</v>
      </c>
      <c r="I26" s="121" t="s">
        <v>6</v>
      </c>
      <c r="J26" s="121" t="s">
        <v>82</v>
      </c>
      <c r="K26" s="121">
        <v>2.9000000000000001E-2</v>
      </c>
      <c r="L26" s="121" t="s">
        <v>1115</v>
      </c>
      <c r="M26" s="121" t="s">
        <v>89</v>
      </c>
      <c r="N26" s="121" t="s">
        <v>6</v>
      </c>
      <c r="O26" s="121" t="s">
        <v>6</v>
      </c>
      <c r="P26" s="121" t="s">
        <v>6</v>
      </c>
      <c r="Q26" s="121" t="s">
        <v>6</v>
      </c>
      <c r="R26" s="121" t="s">
        <v>89</v>
      </c>
      <c r="S26" s="121"/>
      <c r="T26" s="121" t="s">
        <v>89</v>
      </c>
      <c r="U26" s="121" t="s">
        <v>6</v>
      </c>
      <c r="V26" s="121" t="s">
        <v>6</v>
      </c>
      <c r="W26" s="121" t="s">
        <v>6</v>
      </c>
      <c r="X26" s="121" t="s">
        <v>89</v>
      </c>
      <c r="Y26" s="121" t="s">
        <v>89</v>
      </c>
      <c r="Z26" s="131"/>
      <c r="AA26" s="131"/>
      <c r="AB26" s="131"/>
      <c r="AC26" s="121">
        <v>2.9000000000000001E-2</v>
      </c>
      <c r="AD26" s="121"/>
      <c r="AE26" s="121"/>
      <c r="AF26" s="121" t="s">
        <v>89</v>
      </c>
      <c r="AG26" s="122" t="s">
        <v>89</v>
      </c>
      <c r="AH26" s="121" t="s">
        <v>6</v>
      </c>
      <c r="AI26" s="121" t="s">
        <v>89</v>
      </c>
      <c r="AJ26" s="121" t="s">
        <v>89</v>
      </c>
      <c r="AK26" s="121" t="s">
        <v>6</v>
      </c>
      <c r="AL26" s="121" t="s">
        <v>89</v>
      </c>
      <c r="AM26" s="122" t="s">
        <v>89</v>
      </c>
      <c r="AN26" s="121" t="s">
        <v>89</v>
      </c>
      <c r="AO26" s="121" t="s">
        <v>89</v>
      </c>
      <c r="AP26" s="121" t="s">
        <v>89</v>
      </c>
      <c r="AQ26" s="121" t="s">
        <v>89</v>
      </c>
      <c r="AR26" s="121" t="s">
        <v>6</v>
      </c>
      <c r="AS26" s="121" t="s">
        <v>89</v>
      </c>
      <c r="AT26" s="121" t="s">
        <v>89</v>
      </c>
      <c r="AU26" s="121" t="s">
        <v>89</v>
      </c>
      <c r="AV26" s="121" t="s">
        <v>89</v>
      </c>
      <c r="AW26" s="121" t="s">
        <v>89</v>
      </c>
      <c r="AX26" s="121" t="s">
        <v>1479</v>
      </c>
      <c r="AY26" s="121" t="s">
        <v>89</v>
      </c>
      <c r="AZ26" s="131"/>
      <c r="BA26" s="121" t="s">
        <v>89</v>
      </c>
      <c r="BB26" s="122" t="s">
        <v>89</v>
      </c>
      <c r="BC26" s="121" t="s">
        <v>89</v>
      </c>
      <c r="BD26" s="121" t="s">
        <v>89</v>
      </c>
      <c r="BE26" s="121" t="s">
        <v>6</v>
      </c>
      <c r="BF26" s="121" t="s">
        <v>89</v>
      </c>
      <c r="BG26" s="121" t="s">
        <v>6</v>
      </c>
      <c r="BH26" s="121" t="s">
        <v>6</v>
      </c>
      <c r="BI26" s="121" t="s">
        <v>6</v>
      </c>
      <c r="BJ26" s="121" t="s">
        <v>89</v>
      </c>
      <c r="BK26" s="121" t="s">
        <v>89</v>
      </c>
      <c r="BL26" s="121"/>
      <c r="BM26" s="121"/>
      <c r="BN26" s="121" t="s">
        <v>89</v>
      </c>
      <c r="BO26" s="121" t="s">
        <v>89</v>
      </c>
      <c r="BP26" s="138"/>
      <c r="BQ26" s="121" t="s">
        <v>89</v>
      </c>
      <c r="BR26" s="121" t="s">
        <v>89</v>
      </c>
      <c r="BS26" s="121" t="s">
        <v>89</v>
      </c>
      <c r="BT26" s="121"/>
      <c r="BU26" s="121" t="s">
        <v>89</v>
      </c>
      <c r="BV26" s="121" t="s">
        <v>498</v>
      </c>
      <c r="BW26" s="121" t="s">
        <v>89</v>
      </c>
      <c r="BX26" s="121" t="s">
        <v>89</v>
      </c>
      <c r="BY26" s="121" t="s">
        <v>6</v>
      </c>
      <c r="BZ26" s="121" t="s">
        <v>6</v>
      </c>
      <c r="CA26" s="121" t="s">
        <v>89</v>
      </c>
      <c r="CB26" s="121" t="s">
        <v>89</v>
      </c>
      <c r="CC26" s="121" t="s">
        <v>89</v>
      </c>
      <c r="CD26" s="121" t="s">
        <v>6</v>
      </c>
      <c r="CE26" s="121" t="s">
        <v>6</v>
      </c>
      <c r="CF26" s="139"/>
      <c r="CG26" s="139"/>
      <c r="CH26" s="121"/>
      <c r="CI26" s="121" t="s">
        <v>89</v>
      </c>
      <c r="CJ26" s="122" t="s">
        <v>89</v>
      </c>
      <c r="CK26" s="122" t="s">
        <v>89</v>
      </c>
      <c r="CL26" s="121" t="s">
        <v>191</v>
      </c>
      <c r="CM26" s="139">
        <v>45264.556935335648</v>
      </c>
    </row>
    <row r="27" spans="2:91" x14ac:dyDescent="0.25">
      <c r="B27" s="121">
        <v>11</v>
      </c>
      <c r="C27" s="121" t="s">
        <v>504</v>
      </c>
      <c r="D27" s="121" t="s">
        <v>632</v>
      </c>
      <c r="E27" s="121" t="s">
        <v>1488</v>
      </c>
      <c r="F27" s="131">
        <v>45258</v>
      </c>
      <c r="G27" s="121" t="s">
        <v>80</v>
      </c>
      <c r="H27" s="121" t="s">
        <v>89</v>
      </c>
      <c r="I27" s="121" t="s">
        <v>6</v>
      </c>
      <c r="J27" s="121" t="s">
        <v>82</v>
      </c>
      <c r="K27" s="121">
        <v>2.9000000000000001E-2</v>
      </c>
      <c r="L27" s="121" t="s">
        <v>1115</v>
      </c>
      <c r="M27" s="121" t="s">
        <v>89</v>
      </c>
      <c r="N27" s="121" t="s">
        <v>6</v>
      </c>
      <c r="O27" s="121" t="s">
        <v>6</v>
      </c>
      <c r="P27" s="121" t="s">
        <v>6</v>
      </c>
      <c r="Q27" s="121" t="s">
        <v>6</v>
      </c>
      <c r="R27" s="121" t="s">
        <v>89</v>
      </c>
      <c r="S27" s="121"/>
      <c r="T27" s="121" t="s">
        <v>89</v>
      </c>
      <c r="U27" s="121" t="s">
        <v>6</v>
      </c>
      <c r="V27" s="121" t="s">
        <v>6</v>
      </c>
      <c r="W27" s="121" t="s">
        <v>6</v>
      </c>
      <c r="X27" s="121" t="s">
        <v>89</v>
      </c>
      <c r="Y27" s="121" t="s">
        <v>89</v>
      </c>
      <c r="Z27" s="131"/>
      <c r="AA27" s="131"/>
      <c r="AB27" s="131"/>
      <c r="AC27" s="121">
        <v>2.9000000000000001E-2</v>
      </c>
      <c r="AD27" s="121"/>
      <c r="AE27" s="121"/>
      <c r="AF27" s="121" t="s">
        <v>89</v>
      </c>
      <c r="AG27" s="122" t="s">
        <v>89</v>
      </c>
      <c r="AH27" s="121" t="s">
        <v>6</v>
      </c>
      <c r="AI27" s="121" t="s">
        <v>89</v>
      </c>
      <c r="AJ27" s="121" t="s">
        <v>89</v>
      </c>
      <c r="AK27" s="121" t="s">
        <v>6</v>
      </c>
      <c r="AL27" s="121" t="s">
        <v>89</v>
      </c>
      <c r="AM27" s="122" t="s">
        <v>89</v>
      </c>
      <c r="AN27" s="121" t="s">
        <v>89</v>
      </c>
      <c r="AO27" s="121" t="s">
        <v>89</v>
      </c>
      <c r="AP27" s="121" t="s">
        <v>89</v>
      </c>
      <c r="AQ27" s="121" t="s">
        <v>89</v>
      </c>
      <c r="AR27" s="121" t="s">
        <v>6</v>
      </c>
      <c r="AS27" s="121" t="s">
        <v>89</v>
      </c>
      <c r="AT27" s="121" t="s">
        <v>89</v>
      </c>
      <c r="AU27" s="121" t="s">
        <v>89</v>
      </c>
      <c r="AV27" s="121" t="s">
        <v>89</v>
      </c>
      <c r="AW27" s="121" t="s">
        <v>89</v>
      </c>
      <c r="AX27" s="121" t="s">
        <v>1489</v>
      </c>
      <c r="AY27" s="121" t="s">
        <v>89</v>
      </c>
      <c r="AZ27" s="131"/>
      <c r="BA27" s="121" t="s">
        <v>89</v>
      </c>
      <c r="BB27" s="122" t="s">
        <v>89</v>
      </c>
      <c r="BC27" s="121" t="s">
        <v>89</v>
      </c>
      <c r="BD27" s="121" t="s">
        <v>89</v>
      </c>
      <c r="BE27" s="121" t="s">
        <v>6</v>
      </c>
      <c r="BF27" s="121" t="s">
        <v>89</v>
      </c>
      <c r="BG27" s="121" t="s">
        <v>6</v>
      </c>
      <c r="BH27" s="121" t="s">
        <v>6</v>
      </c>
      <c r="BI27" s="121" t="s">
        <v>6</v>
      </c>
      <c r="BJ27" s="121" t="s">
        <v>89</v>
      </c>
      <c r="BK27" s="121" t="s">
        <v>89</v>
      </c>
      <c r="BL27" s="121"/>
      <c r="BM27" s="121"/>
      <c r="BN27" s="121" t="s">
        <v>89</v>
      </c>
      <c r="BO27" s="121" t="s">
        <v>89</v>
      </c>
      <c r="BP27" s="138"/>
      <c r="BQ27" s="121" t="s">
        <v>89</v>
      </c>
      <c r="BR27" s="121" t="s">
        <v>89</v>
      </c>
      <c r="BS27" s="121" t="s">
        <v>89</v>
      </c>
      <c r="BT27" s="121"/>
      <c r="BU27" s="121" t="s">
        <v>89</v>
      </c>
      <c r="BV27" s="121" t="s">
        <v>498</v>
      </c>
      <c r="BW27" s="121" t="s">
        <v>89</v>
      </c>
      <c r="BX27" s="121" t="s">
        <v>89</v>
      </c>
      <c r="BY27" s="121" t="s">
        <v>6</v>
      </c>
      <c r="BZ27" s="121" t="s">
        <v>6</v>
      </c>
      <c r="CA27" s="121" t="s">
        <v>89</v>
      </c>
      <c r="CB27" s="121" t="s">
        <v>89</v>
      </c>
      <c r="CC27" s="121" t="s">
        <v>89</v>
      </c>
      <c r="CD27" s="121" t="s">
        <v>6</v>
      </c>
      <c r="CE27" s="121" t="s">
        <v>6</v>
      </c>
      <c r="CF27" s="139"/>
      <c r="CG27" s="139"/>
      <c r="CH27" s="121"/>
      <c r="CI27" s="121" t="s">
        <v>89</v>
      </c>
      <c r="CJ27" s="122" t="s">
        <v>89</v>
      </c>
      <c r="CK27" s="122" t="s">
        <v>89</v>
      </c>
      <c r="CL27" s="121" t="s">
        <v>191</v>
      </c>
      <c r="CM27" s="139">
        <v>45264.556935335648</v>
      </c>
    </row>
    <row r="28" spans="2:91" x14ac:dyDescent="0.25">
      <c r="B28" s="121">
        <v>10</v>
      </c>
      <c r="C28" s="121" t="s">
        <v>89</v>
      </c>
      <c r="D28" s="121" t="s">
        <v>380</v>
      </c>
      <c r="E28" s="121" t="s">
        <v>1216</v>
      </c>
      <c r="F28" s="131">
        <v>45258</v>
      </c>
      <c r="G28" s="121" t="s">
        <v>1233</v>
      </c>
      <c r="H28" s="121" t="s">
        <v>1234</v>
      </c>
      <c r="I28" s="121" t="s">
        <v>315</v>
      </c>
      <c r="J28" s="121" t="s">
        <v>82</v>
      </c>
      <c r="K28" s="121">
        <v>5</v>
      </c>
      <c r="L28" s="121" t="s">
        <v>1096</v>
      </c>
      <c r="M28" s="121" t="s">
        <v>1321</v>
      </c>
      <c r="N28" s="121" t="s">
        <v>1217</v>
      </c>
      <c r="O28" s="121" t="s">
        <v>1218</v>
      </c>
      <c r="P28" s="121" t="s">
        <v>1218</v>
      </c>
      <c r="Q28" s="121">
        <v>35</v>
      </c>
      <c r="R28" s="121" t="s">
        <v>89</v>
      </c>
      <c r="S28" s="121">
        <v>99.63</v>
      </c>
      <c r="T28" s="121" t="s">
        <v>35</v>
      </c>
      <c r="U28" s="121" t="s">
        <v>215</v>
      </c>
      <c r="V28" s="121" t="s">
        <v>129</v>
      </c>
      <c r="W28" s="121" t="s">
        <v>6</v>
      </c>
      <c r="X28" s="121" t="s">
        <v>89</v>
      </c>
      <c r="Y28" s="121" t="s">
        <v>115</v>
      </c>
      <c r="Z28" s="131">
        <v>45265</v>
      </c>
      <c r="AA28" s="131">
        <v>45448</v>
      </c>
      <c r="AB28" s="131">
        <v>48918</v>
      </c>
      <c r="AC28" s="121">
        <v>5</v>
      </c>
      <c r="AD28" s="121">
        <v>36.463999999999999</v>
      </c>
      <c r="AE28" s="121">
        <v>39.152999999999999</v>
      </c>
      <c r="AF28" s="121" t="s">
        <v>1229</v>
      </c>
      <c r="AG28" s="122" t="s">
        <v>298</v>
      </c>
      <c r="AH28" s="121" t="s">
        <v>6</v>
      </c>
      <c r="AI28" s="121" t="s">
        <v>89</v>
      </c>
      <c r="AJ28" s="121" t="s">
        <v>380</v>
      </c>
      <c r="AK28" s="121" t="s">
        <v>6</v>
      </c>
      <c r="AL28" s="121" t="s">
        <v>89</v>
      </c>
      <c r="AM28" s="122" t="s">
        <v>89</v>
      </c>
      <c r="AN28" s="121" t="s">
        <v>89</v>
      </c>
      <c r="AO28" s="121" t="s">
        <v>253</v>
      </c>
      <c r="AP28" s="121" t="s">
        <v>89</v>
      </c>
      <c r="AQ28" s="121" t="s">
        <v>89</v>
      </c>
      <c r="AR28" s="121" t="s">
        <v>6</v>
      </c>
      <c r="AS28" s="121" t="s">
        <v>89</v>
      </c>
      <c r="AT28" s="121" t="s">
        <v>89</v>
      </c>
      <c r="AU28" s="121" t="s">
        <v>1228</v>
      </c>
      <c r="AV28" s="121" t="s">
        <v>244</v>
      </c>
      <c r="AW28" s="121" t="s">
        <v>198</v>
      </c>
      <c r="AX28" s="121" t="s">
        <v>1235</v>
      </c>
      <c r="AY28" s="121" t="s">
        <v>498</v>
      </c>
      <c r="AZ28" s="131"/>
      <c r="BA28" s="121" t="s">
        <v>5</v>
      </c>
      <c r="BB28" s="122" t="s">
        <v>89</v>
      </c>
      <c r="BC28" s="121" t="s">
        <v>1333</v>
      </c>
      <c r="BD28" s="121" t="s">
        <v>1334</v>
      </c>
      <c r="BE28" s="121" t="s">
        <v>129</v>
      </c>
      <c r="BF28" s="121" t="s">
        <v>146</v>
      </c>
      <c r="BG28" s="121" t="s">
        <v>6</v>
      </c>
      <c r="BH28" s="121" t="s">
        <v>6</v>
      </c>
      <c r="BI28" s="121" t="s">
        <v>6</v>
      </c>
      <c r="BJ28" s="121" t="s">
        <v>147</v>
      </c>
      <c r="BK28" s="121" t="s">
        <v>89</v>
      </c>
      <c r="BL28" s="121"/>
      <c r="BM28" s="121"/>
      <c r="BN28" s="121" t="s">
        <v>89</v>
      </c>
      <c r="BO28" s="121" t="s">
        <v>89</v>
      </c>
      <c r="BP28" s="138"/>
      <c r="BQ28" s="121" t="s">
        <v>805</v>
      </c>
      <c r="BR28" s="121" t="s">
        <v>89</v>
      </c>
      <c r="BS28" s="121" t="s">
        <v>89</v>
      </c>
      <c r="BT28" s="121"/>
      <c r="BU28" s="121" t="s">
        <v>498</v>
      </c>
      <c r="BV28" s="121"/>
      <c r="BW28" s="121" t="s">
        <v>89</v>
      </c>
      <c r="BX28" s="121" t="s">
        <v>89</v>
      </c>
      <c r="BY28" s="121" t="s">
        <v>6</v>
      </c>
      <c r="BZ28" s="121" t="s">
        <v>6</v>
      </c>
      <c r="CA28" s="121" t="s">
        <v>89</v>
      </c>
      <c r="CB28" s="121" t="s">
        <v>89</v>
      </c>
      <c r="CC28" s="121" t="s">
        <v>89</v>
      </c>
      <c r="CD28" s="121" t="s">
        <v>6</v>
      </c>
      <c r="CE28" s="121" t="s">
        <v>6</v>
      </c>
      <c r="CF28" s="139"/>
      <c r="CG28" s="139"/>
      <c r="CH28" s="121"/>
      <c r="CI28" s="121" t="s">
        <v>89</v>
      </c>
      <c r="CJ28" s="122" t="s">
        <v>1335</v>
      </c>
      <c r="CK28" s="122" t="s">
        <v>1336</v>
      </c>
      <c r="CL28" s="121" t="s">
        <v>191</v>
      </c>
      <c r="CM28" s="139">
        <v>45264.556935335648</v>
      </c>
    </row>
    <row r="29" spans="2:91" x14ac:dyDescent="0.25">
      <c r="B29" s="121">
        <v>9</v>
      </c>
      <c r="C29" s="121" t="s">
        <v>89</v>
      </c>
      <c r="D29" s="121" t="s">
        <v>1236</v>
      </c>
      <c r="E29" s="121" t="s">
        <v>1237</v>
      </c>
      <c r="F29" s="131">
        <v>45257</v>
      </c>
      <c r="G29" s="121" t="s">
        <v>1251</v>
      </c>
      <c r="H29" s="121" t="s">
        <v>1251</v>
      </c>
      <c r="I29" s="121" t="s">
        <v>315</v>
      </c>
      <c r="J29" s="121" t="s">
        <v>82</v>
      </c>
      <c r="K29" s="121">
        <v>3.3</v>
      </c>
      <c r="L29" s="121" t="s">
        <v>131</v>
      </c>
      <c r="M29" s="121" t="s">
        <v>1239</v>
      </c>
      <c r="N29" s="121" t="s">
        <v>1238</v>
      </c>
      <c r="O29" s="121" t="s">
        <v>1239</v>
      </c>
      <c r="P29" s="121" t="s">
        <v>1239</v>
      </c>
      <c r="Q29" s="121">
        <v>40</v>
      </c>
      <c r="R29" s="121" t="s">
        <v>89</v>
      </c>
      <c r="S29" s="121">
        <v>100</v>
      </c>
      <c r="T29" s="121" t="s">
        <v>37</v>
      </c>
      <c r="U29" s="121" t="s">
        <v>204</v>
      </c>
      <c r="V29" s="121" t="s">
        <v>6</v>
      </c>
      <c r="W29" s="121" t="s">
        <v>6</v>
      </c>
      <c r="X29" s="121" t="s">
        <v>89</v>
      </c>
      <c r="Y29" s="121" t="s">
        <v>115</v>
      </c>
      <c r="Z29" s="131">
        <v>45264</v>
      </c>
      <c r="AA29" s="131">
        <v>45447</v>
      </c>
      <c r="AB29" s="131">
        <v>46360</v>
      </c>
      <c r="AC29" s="121">
        <v>3.3</v>
      </c>
      <c r="AD29" s="121">
        <v>24.065999999999999</v>
      </c>
      <c r="AE29" s="121">
        <v>25.841000000000001</v>
      </c>
      <c r="AF29" s="121" t="s">
        <v>1248</v>
      </c>
      <c r="AG29" s="122" t="s">
        <v>558</v>
      </c>
      <c r="AH29" s="121" t="s">
        <v>6</v>
      </c>
      <c r="AI29" s="121" t="s">
        <v>89</v>
      </c>
      <c r="AJ29" s="121" t="s">
        <v>1249</v>
      </c>
      <c r="AK29" s="121" t="s">
        <v>1236</v>
      </c>
      <c r="AL29" s="121" t="s">
        <v>89</v>
      </c>
      <c r="AM29" s="122" t="s">
        <v>89</v>
      </c>
      <c r="AN29" s="121" t="s">
        <v>510</v>
      </c>
      <c r="AO29" s="121" t="s">
        <v>6</v>
      </c>
      <c r="AP29" s="121" t="s">
        <v>89</v>
      </c>
      <c r="AQ29" s="121" t="s">
        <v>89</v>
      </c>
      <c r="AR29" s="121" t="s">
        <v>6</v>
      </c>
      <c r="AS29" s="121" t="s">
        <v>89</v>
      </c>
      <c r="AT29" s="121" t="s">
        <v>89</v>
      </c>
      <c r="AU29" s="121" t="s">
        <v>1247</v>
      </c>
      <c r="AV29" s="121" t="s">
        <v>244</v>
      </c>
      <c r="AW29" s="121" t="s">
        <v>198</v>
      </c>
      <c r="AX29" s="121" t="s">
        <v>1253</v>
      </c>
      <c r="AY29" s="121" t="s">
        <v>498</v>
      </c>
      <c r="AZ29" s="131"/>
      <c r="BA29" s="121" t="s">
        <v>89</v>
      </c>
      <c r="BB29" s="122" t="s">
        <v>89</v>
      </c>
      <c r="BC29" s="121" t="s">
        <v>89</v>
      </c>
      <c r="BD29" s="121" t="s">
        <v>89</v>
      </c>
      <c r="BE29" s="121" t="s">
        <v>6</v>
      </c>
      <c r="BF29" s="121" t="s">
        <v>89</v>
      </c>
      <c r="BG29" s="121" t="s">
        <v>6</v>
      </c>
      <c r="BH29" s="121" t="s">
        <v>6</v>
      </c>
      <c r="BI29" s="121" t="s">
        <v>6</v>
      </c>
      <c r="BJ29" s="121" t="s">
        <v>89</v>
      </c>
      <c r="BK29" s="121" t="s">
        <v>89</v>
      </c>
      <c r="BL29" s="121"/>
      <c r="BM29" s="121"/>
      <c r="BN29" s="121" t="s">
        <v>89</v>
      </c>
      <c r="BO29" s="121" t="s">
        <v>89</v>
      </c>
      <c r="BP29" s="138"/>
      <c r="BQ29" s="121" t="s">
        <v>89</v>
      </c>
      <c r="BR29" s="121" t="s">
        <v>89</v>
      </c>
      <c r="BS29" s="121" t="s">
        <v>89</v>
      </c>
      <c r="BT29" s="121"/>
      <c r="BU29" s="121" t="s">
        <v>89</v>
      </c>
      <c r="BV29" s="121"/>
      <c r="BW29" s="121" t="s">
        <v>89</v>
      </c>
      <c r="BX29" s="121" t="s">
        <v>89</v>
      </c>
      <c r="BY29" s="121" t="s">
        <v>6</v>
      </c>
      <c r="BZ29" s="121" t="s">
        <v>6</v>
      </c>
      <c r="CA29" s="121" t="s">
        <v>89</v>
      </c>
      <c r="CB29" s="121" t="s">
        <v>89</v>
      </c>
      <c r="CC29" s="121" t="s">
        <v>89</v>
      </c>
      <c r="CD29" s="121" t="s">
        <v>6</v>
      </c>
      <c r="CE29" s="121" t="s">
        <v>6</v>
      </c>
      <c r="CF29" s="139"/>
      <c r="CG29" s="139"/>
      <c r="CH29" s="121"/>
      <c r="CI29" s="121" t="s">
        <v>89</v>
      </c>
      <c r="CJ29" s="122" t="s">
        <v>89</v>
      </c>
      <c r="CK29" s="122" t="s">
        <v>89</v>
      </c>
      <c r="CL29" s="121" t="s">
        <v>191</v>
      </c>
      <c r="CM29" s="139">
        <v>45264.556935335648</v>
      </c>
    </row>
    <row r="30" spans="2:91" x14ac:dyDescent="0.25">
      <c r="B30" s="121">
        <v>8</v>
      </c>
      <c r="C30" s="121" t="s">
        <v>89</v>
      </c>
      <c r="D30" s="121" t="s">
        <v>1254</v>
      </c>
      <c r="E30" s="121" t="s">
        <v>1255</v>
      </c>
      <c r="F30" s="131">
        <v>45257</v>
      </c>
      <c r="G30" s="121" t="s">
        <v>80</v>
      </c>
      <c r="H30" s="121" t="s">
        <v>80</v>
      </c>
      <c r="I30" s="121" t="s">
        <v>570</v>
      </c>
      <c r="J30" s="121" t="s">
        <v>103</v>
      </c>
      <c r="K30" s="121">
        <v>7.1</v>
      </c>
      <c r="L30" s="121" t="s">
        <v>131</v>
      </c>
      <c r="M30" s="121" t="s">
        <v>1257</v>
      </c>
      <c r="N30" s="121" t="s">
        <v>1256</v>
      </c>
      <c r="O30" s="121" t="s">
        <v>1257</v>
      </c>
      <c r="P30" s="121" t="s">
        <v>1257</v>
      </c>
      <c r="Q30" s="121">
        <v>40</v>
      </c>
      <c r="R30" s="121" t="s">
        <v>89</v>
      </c>
      <c r="S30" s="121">
        <v>100</v>
      </c>
      <c r="T30" s="121" t="s">
        <v>38</v>
      </c>
      <c r="U30" s="121" t="s">
        <v>204</v>
      </c>
      <c r="V30" s="121" t="s">
        <v>6</v>
      </c>
      <c r="W30" s="121" t="s">
        <v>6</v>
      </c>
      <c r="X30" s="121" t="s">
        <v>89</v>
      </c>
      <c r="Y30" s="121" t="s">
        <v>115</v>
      </c>
      <c r="Z30" s="131">
        <v>45265</v>
      </c>
      <c r="AA30" s="131">
        <v>45448</v>
      </c>
      <c r="AB30" s="131">
        <v>46361</v>
      </c>
      <c r="AC30" s="121">
        <v>0.97299999999999998</v>
      </c>
      <c r="AD30" s="121">
        <v>7.1</v>
      </c>
      <c r="AE30" s="121">
        <v>7.62</v>
      </c>
      <c r="AF30" s="121" t="s">
        <v>1265</v>
      </c>
      <c r="AG30" s="122" t="s">
        <v>298</v>
      </c>
      <c r="AH30" s="121" t="s">
        <v>6</v>
      </c>
      <c r="AI30" s="121" t="s">
        <v>89</v>
      </c>
      <c r="AJ30" s="121" t="s">
        <v>1266</v>
      </c>
      <c r="AK30" s="121" t="s">
        <v>6</v>
      </c>
      <c r="AL30" s="121" t="s">
        <v>1254</v>
      </c>
      <c r="AM30" s="122" t="s">
        <v>89</v>
      </c>
      <c r="AN30" s="121" t="s">
        <v>89</v>
      </c>
      <c r="AO30" s="121" t="s">
        <v>6</v>
      </c>
      <c r="AP30" s="121" t="s">
        <v>89</v>
      </c>
      <c r="AQ30" s="121" t="s">
        <v>89</v>
      </c>
      <c r="AR30" s="121" t="s">
        <v>6</v>
      </c>
      <c r="AS30" s="121" t="s">
        <v>89</v>
      </c>
      <c r="AT30" s="121" t="s">
        <v>89</v>
      </c>
      <c r="AU30" s="121" t="s">
        <v>1264</v>
      </c>
      <c r="AV30" s="121" t="s">
        <v>244</v>
      </c>
      <c r="AW30" s="121" t="s">
        <v>198</v>
      </c>
      <c r="AX30" s="121" t="s">
        <v>1268</v>
      </c>
      <c r="AY30" s="121" t="s">
        <v>498</v>
      </c>
      <c r="AZ30" s="131"/>
      <c r="BA30" s="121" t="s">
        <v>89</v>
      </c>
      <c r="BB30" s="122" t="s">
        <v>89</v>
      </c>
      <c r="BC30" s="121" t="s">
        <v>89</v>
      </c>
      <c r="BD30" s="121" t="s">
        <v>89</v>
      </c>
      <c r="BE30" s="121" t="s">
        <v>6</v>
      </c>
      <c r="BF30" s="121" t="s">
        <v>89</v>
      </c>
      <c r="BG30" s="121" t="s">
        <v>6</v>
      </c>
      <c r="BH30" s="121" t="s">
        <v>6</v>
      </c>
      <c r="BI30" s="121" t="s">
        <v>6</v>
      </c>
      <c r="BJ30" s="121" t="s">
        <v>89</v>
      </c>
      <c r="BK30" s="121" t="s">
        <v>89</v>
      </c>
      <c r="BL30" s="121"/>
      <c r="BM30" s="121"/>
      <c r="BN30" s="121" t="s">
        <v>89</v>
      </c>
      <c r="BO30" s="121" t="s">
        <v>89</v>
      </c>
      <c r="BP30" s="138"/>
      <c r="BQ30" s="121" t="s">
        <v>89</v>
      </c>
      <c r="BR30" s="121" t="s">
        <v>89</v>
      </c>
      <c r="BS30" s="121" t="s">
        <v>89</v>
      </c>
      <c r="BT30" s="121"/>
      <c r="BU30" s="121" t="s">
        <v>89</v>
      </c>
      <c r="BV30" s="121"/>
      <c r="BW30" s="121" t="s">
        <v>1511</v>
      </c>
      <c r="BX30" s="121" t="s">
        <v>210</v>
      </c>
      <c r="BY30" s="121" t="s">
        <v>6</v>
      </c>
      <c r="BZ30" s="121" t="s">
        <v>6</v>
      </c>
      <c r="CA30" s="121" t="s">
        <v>160</v>
      </c>
      <c r="CB30" s="121" t="s">
        <v>608</v>
      </c>
      <c r="CC30" s="121" t="s">
        <v>7</v>
      </c>
      <c r="CD30" s="121" t="s">
        <v>799</v>
      </c>
      <c r="CE30" s="121" t="s">
        <v>839</v>
      </c>
      <c r="CF30" s="139"/>
      <c r="CG30" s="139">
        <v>45257</v>
      </c>
      <c r="CH30" s="121" t="s">
        <v>1</v>
      </c>
      <c r="CI30" s="121" t="s">
        <v>498</v>
      </c>
      <c r="CJ30" s="122" t="s">
        <v>89</v>
      </c>
      <c r="CK30" s="122" t="s">
        <v>89</v>
      </c>
      <c r="CL30" s="121" t="s">
        <v>191</v>
      </c>
      <c r="CM30" s="139">
        <v>45264.556935335648</v>
      </c>
    </row>
    <row r="31" spans="2:91" x14ac:dyDescent="0.25">
      <c r="B31" s="121">
        <v>7</v>
      </c>
      <c r="C31" s="121" t="s">
        <v>89</v>
      </c>
      <c r="D31" s="121" t="s">
        <v>1182</v>
      </c>
      <c r="E31" s="121" t="s">
        <v>1269</v>
      </c>
      <c r="F31" s="131">
        <v>45257</v>
      </c>
      <c r="G31" s="121" t="s">
        <v>80</v>
      </c>
      <c r="H31" s="121" t="s">
        <v>80</v>
      </c>
      <c r="I31" s="121" t="s">
        <v>804</v>
      </c>
      <c r="J31" s="121" t="s">
        <v>103</v>
      </c>
      <c r="K31" s="121">
        <v>1.92</v>
      </c>
      <c r="L31" s="121" t="s">
        <v>131</v>
      </c>
      <c r="M31" s="121" t="s">
        <v>846</v>
      </c>
      <c r="N31" s="121" t="s">
        <v>6</v>
      </c>
      <c r="O31" s="121" t="s">
        <v>846</v>
      </c>
      <c r="P31" s="121" t="s">
        <v>6</v>
      </c>
      <c r="Q31" s="121" t="s">
        <v>6</v>
      </c>
      <c r="R31" s="121" t="s">
        <v>89</v>
      </c>
      <c r="S31" s="121">
        <v>100</v>
      </c>
      <c r="T31" s="121" t="s">
        <v>109</v>
      </c>
      <c r="U31" s="121" t="s">
        <v>204</v>
      </c>
      <c r="V31" s="121" t="s">
        <v>6</v>
      </c>
      <c r="W31" s="121" t="s">
        <v>6</v>
      </c>
      <c r="X31" s="121" t="s">
        <v>89</v>
      </c>
      <c r="Y31" s="121" t="s">
        <v>115</v>
      </c>
      <c r="Z31" s="131">
        <v>45266</v>
      </c>
      <c r="AA31" s="131">
        <v>45449</v>
      </c>
      <c r="AB31" s="131">
        <v>46362</v>
      </c>
      <c r="AC31" s="121">
        <v>0.26300000000000001</v>
      </c>
      <c r="AD31" s="121">
        <v>1.92</v>
      </c>
      <c r="AE31" s="121">
        <v>2.0609999999999999</v>
      </c>
      <c r="AF31" s="121" t="s">
        <v>1275</v>
      </c>
      <c r="AG31" s="122" t="s">
        <v>558</v>
      </c>
      <c r="AH31" s="121" t="s">
        <v>6</v>
      </c>
      <c r="AI31" s="121" t="s">
        <v>89</v>
      </c>
      <c r="AJ31" s="121" t="s">
        <v>1181</v>
      </c>
      <c r="AK31" s="121" t="s">
        <v>1182</v>
      </c>
      <c r="AL31" s="121" t="s">
        <v>89</v>
      </c>
      <c r="AM31" s="122" t="s">
        <v>634</v>
      </c>
      <c r="AN31" s="121" t="s">
        <v>89</v>
      </c>
      <c r="AO31" s="121" t="s">
        <v>6</v>
      </c>
      <c r="AP31" s="121" t="s">
        <v>89</v>
      </c>
      <c r="AQ31" s="121" t="s">
        <v>89</v>
      </c>
      <c r="AR31" s="121" t="s">
        <v>6</v>
      </c>
      <c r="AS31" s="121" t="s">
        <v>89</v>
      </c>
      <c r="AT31" s="121" t="s">
        <v>89</v>
      </c>
      <c r="AU31" s="121" t="s">
        <v>1274</v>
      </c>
      <c r="AV31" s="121" t="s">
        <v>244</v>
      </c>
      <c r="AW31" s="121" t="s">
        <v>198</v>
      </c>
      <c r="AX31" s="121" t="s">
        <v>1277</v>
      </c>
      <c r="AY31" s="121" t="s">
        <v>498</v>
      </c>
      <c r="AZ31" s="131"/>
      <c r="BA31" s="121" t="s">
        <v>89</v>
      </c>
      <c r="BB31" s="122" t="s">
        <v>89</v>
      </c>
      <c r="BC31" s="121" t="s">
        <v>89</v>
      </c>
      <c r="BD31" s="121" t="s">
        <v>89</v>
      </c>
      <c r="BE31" s="121" t="s">
        <v>6</v>
      </c>
      <c r="BF31" s="121" t="s">
        <v>89</v>
      </c>
      <c r="BG31" s="121" t="s">
        <v>6</v>
      </c>
      <c r="BH31" s="121" t="s">
        <v>6</v>
      </c>
      <c r="BI31" s="121" t="s">
        <v>6</v>
      </c>
      <c r="BJ31" s="121" t="s">
        <v>89</v>
      </c>
      <c r="BK31" s="121" t="s">
        <v>89</v>
      </c>
      <c r="BL31" s="121"/>
      <c r="BM31" s="121"/>
      <c r="BN31" s="121" t="s">
        <v>89</v>
      </c>
      <c r="BO31" s="121" t="s">
        <v>89</v>
      </c>
      <c r="BP31" s="138"/>
      <c r="BQ31" s="121" t="s">
        <v>89</v>
      </c>
      <c r="BR31" s="121" t="s">
        <v>89</v>
      </c>
      <c r="BS31" s="121" t="s">
        <v>89</v>
      </c>
      <c r="BT31" s="121"/>
      <c r="BU31" s="121" t="s">
        <v>89</v>
      </c>
      <c r="BV31" s="121"/>
      <c r="BW31" s="121" t="s">
        <v>1332</v>
      </c>
      <c r="BX31" s="121" t="s">
        <v>210</v>
      </c>
      <c r="BY31" s="121" t="s">
        <v>6</v>
      </c>
      <c r="BZ31" s="121" t="s">
        <v>6</v>
      </c>
      <c r="CA31" s="121" t="s">
        <v>160</v>
      </c>
      <c r="CB31" s="121" t="s">
        <v>606</v>
      </c>
      <c r="CC31" s="121" t="s">
        <v>9</v>
      </c>
      <c r="CD31" s="121" t="s">
        <v>1178</v>
      </c>
      <c r="CE31" s="121" t="s">
        <v>6</v>
      </c>
      <c r="CF31" s="139"/>
      <c r="CG31" s="139">
        <v>45257</v>
      </c>
      <c r="CH31" s="121" t="s">
        <v>1</v>
      </c>
      <c r="CI31" s="121" t="s">
        <v>498</v>
      </c>
      <c r="CJ31" s="122" t="s">
        <v>89</v>
      </c>
      <c r="CK31" s="122" t="s">
        <v>89</v>
      </c>
      <c r="CL31" s="121" t="s">
        <v>191</v>
      </c>
      <c r="CM31" s="139">
        <v>45264.556935335648</v>
      </c>
    </row>
    <row r="32" spans="2:91" x14ac:dyDescent="0.25">
      <c r="B32" s="121">
        <v>6</v>
      </c>
      <c r="C32" s="121" t="s">
        <v>504</v>
      </c>
      <c r="D32" s="121" t="s">
        <v>983</v>
      </c>
      <c r="E32" s="121" t="s">
        <v>1278</v>
      </c>
      <c r="F32" s="131">
        <v>45257</v>
      </c>
      <c r="G32" s="121" t="s">
        <v>1287</v>
      </c>
      <c r="H32" s="121" t="s">
        <v>89</v>
      </c>
      <c r="I32" s="121" t="s">
        <v>6</v>
      </c>
      <c r="J32" s="121" t="s">
        <v>82</v>
      </c>
      <c r="K32" s="121">
        <v>0.5</v>
      </c>
      <c r="L32" s="121" t="s">
        <v>131</v>
      </c>
      <c r="M32" s="121" t="s">
        <v>89</v>
      </c>
      <c r="N32" s="121" t="s">
        <v>6</v>
      </c>
      <c r="O32" s="121" t="s">
        <v>6</v>
      </c>
      <c r="P32" s="121" t="s">
        <v>6</v>
      </c>
      <c r="Q32" s="121" t="s">
        <v>6</v>
      </c>
      <c r="R32" s="121" t="s">
        <v>89</v>
      </c>
      <c r="S32" s="121"/>
      <c r="T32" s="121" t="s">
        <v>89</v>
      </c>
      <c r="U32" s="121" t="s">
        <v>6</v>
      </c>
      <c r="V32" s="121" t="s">
        <v>6</v>
      </c>
      <c r="W32" s="121" t="s">
        <v>6</v>
      </c>
      <c r="X32" s="121" t="s">
        <v>89</v>
      </c>
      <c r="Y32" s="121" t="s">
        <v>89</v>
      </c>
      <c r="Z32" s="131"/>
      <c r="AA32" s="131"/>
      <c r="AB32" s="131"/>
      <c r="AC32" s="121">
        <v>0.5</v>
      </c>
      <c r="AD32" s="121"/>
      <c r="AE32" s="121"/>
      <c r="AF32" s="121" t="s">
        <v>89</v>
      </c>
      <c r="AG32" s="122" t="s">
        <v>89</v>
      </c>
      <c r="AH32" s="121" t="s">
        <v>6</v>
      </c>
      <c r="AI32" s="121" t="s">
        <v>89</v>
      </c>
      <c r="AJ32" s="121" t="s">
        <v>89</v>
      </c>
      <c r="AK32" s="121" t="s">
        <v>6</v>
      </c>
      <c r="AL32" s="121" t="s">
        <v>89</v>
      </c>
      <c r="AM32" s="122" t="s">
        <v>89</v>
      </c>
      <c r="AN32" s="121" t="s">
        <v>89</v>
      </c>
      <c r="AO32" s="121" t="s">
        <v>89</v>
      </c>
      <c r="AP32" s="121" t="s">
        <v>89</v>
      </c>
      <c r="AQ32" s="121" t="s">
        <v>89</v>
      </c>
      <c r="AR32" s="121" t="s">
        <v>6</v>
      </c>
      <c r="AS32" s="121" t="s">
        <v>89</v>
      </c>
      <c r="AT32" s="121" t="s">
        <v>89</v>
      </c>
      <c r="AU32" s="121" t="s">
        <v>89</v>
      </c>
      <c r="AV32" s="121" t="s">
        <v>89</v>
      </c>
      <c r="AW32" s="121" t="s">
        <v>89</v>
      </c>
      <c r="AX32" s="121" t="s">
        <v>1289</v>
      </c>
      <c r="AY32" s="121" t="s">
        <v>89</v>
      </c>
      <c r="AZ32" s="131"/>
      <c r="BA32" s="121" t="s">
        <v>89</v>
      </c>
      <c r="BB32" s="122" t="s">
        <v>89</v>
      </c>
      <c r="BC32" s="121" t="s">
        <v>89</v>
      </c>
      <c r="BD32" s="121" t="s">
        <v>89</v>
      </c>
      <c r="BE32" s="121" t="s">
        <v>6</v>
      </c>
      <c r="BF32" s="121" t="s">
        <v>89</v>
      </c>
      <c r="BG32" s="121" t="s">
        <v>6</v>
      </c>
      <c r="BH32" s="121" t="s">
        <v>6</v>
      </c>
      <c r="BI32" s="121" t="s">
        <v>6</v>
      </c>
      <c r="BJ32" s="121" t="s">
        <v>89</v>
      </c>
      <c r="BK32" s="121" t="s">
        <v>89</v>
      </c>
      <c r="BL32" s="121"/>
      <c r="BM32" s="121"/>
      <c r="BN32" s="121" t="s">
        <v>89</v>
      </c>
      <c r="BO32" s="121" t="s">
        <v>89</v>
      </c>
      <c r="BP32" s="138"/>
      <c r="BQ32" s="121" t="s">
        <v>89</v>
      </c>
      <c r="BR32" s="121" t="s">
        <v>89</v>
      </c>
      <c r="BS32" s="121" t="s">
        <v>89</v>
      </c>
      <c r="BT32" s="121"/>
      <c r="BU32" s="121" t="s">
        <v>89</v>
      </c>
      <c r="BV32" s="121" t="s">
        <v>498</v>
      </c>
      <c r="BW32" s="121" t="s">
        <v>89</v>
      </c>
      <c r="BX32" s="121" t="s">
        <v>89</v>
      </c>
      <c r="BY32" s="121" t="s">
        <v>6</v>
      </c>
      <c r="BZ32" s="121" t="s">
        <v>6</v>
      </c>
      <c r="CA32" s="121" t="s">
        <v>89</v>
      </c>
      <c r="CB32" s="121" t="s">
        <v>89</v>
      </c>
      <c r="CC32" s="121" t="s">
        <v>89</v>
      </c>
      <c r="CD32" s="121" t="s">
        <v>6</v>
      </c>
      <c r="CE32" s="121" t="s">
        <v>6</v>
      </c>
      <c r="CF32" s="139"/>
      <c r="CG32" s="139"/>
      <c r="CH32" s="121"/>
      <c r="CI32" s="121" t="s">
        <v>89</v>
      </c>
      <c r="CJ32" s="122" t="s">
        <v>89</v>
      </c>
      <c r="CK32" s="122" t="s">
        <v>89</v>
      </c>
      <c r="CL32" s="121" t="s">
        <v>191</v>
      </c>
      <c r="CM32" s="139">
        <v>45264.556935335648</v>
      </c>
    </row>
    <row r="33" spans="2:91" x14ac:dyDescent="0.25">
      <c r="B33" s="121">
        <v>5</v>
      </c>
      <c r="C33" s="121" t="s">
        <v>504</v>
      </c>
      <c r="D33" s="121" t="s">
        <v>631</v>
      </c>
      <c r="E33" s="121" t="s">
        <v>1290</v>
      </c>
      <c r="F33" s="131">
        <v>45257</v>
      </c>
      <c r="G33" s="121" t="s">
        <v>1298</v>
      </c>
      <c r="H33" s="121" t="s">
        <v>89</v>
      </c>
      <c r="I33" s="121" t="s">
        <v>6</v>
      </c>
      <c r="J33" s="121" t="s">
        <v>228</v>
      </c>
      <c r="K33" s="121">
        <v>0.5</v>
      </c>
      <c r="L33" s="121" t="s">
        <v>131</v>
      </c>
      <c r="M33" s="121" t="s">
        <v>89</v>
      </c>
      <c r="N33" s="121" t="s">
        <v>6</v>
      </c>
      <c r="O33" s="121" t="s">
        <v>6</v>
      </c>
      <c r="P33" s="121" t="s">
        <v>6</v>
      </c>
      <c r="Q33" s="121" t="s">
        <v>6</v>
      </c>
      <c r="R33" s="121" t="s">
        <v>89</v>
      </c>
      <c r="S33" s="121"/>
      <c r="T33" s="121" t="s">
        <v>89</v>
      </c>
      <c r="U33" s="121" t="s">
        <v>6</v>
      </c>
      <c r="V33" s="121" t="s">
        <v>6</v>
      </c>
      <c r="W33" s="121" t="s">
        <v>6</v>
      </c>
      <c r="X33" s="121" t="s">
        <v>89</v>
      </c>
      <c r="Y33" s="121" t="s">
        <v>89</v>
      </c>
      <c r="Z33" s="131"/>
      <c r="AA33" s="131"/>
      <c r="AB33" s="131"/>
      <c r="AC33" s="121">
        <v>0.3</v>
      </c>
      <c r="AD33" s="121"/>
      <c r="AE33" s="121"/>
      <c r="AF33" s="121" t="s">
        <v>89</v>
      </c>
      <c r="AG33" s="122" t="s">
        <v>89</v>
      </c>
      <c r="AH33" s="121" t="s">
        <v>6</v>
      </c>
      <c r="AI33" s="121" t="s">
        <v>89</v>
      </c>
      <c r="AJ33" s="121" t="s">
        <v>89</v>
      </c>
      <c r="AK33" s="121" t="s">
        <v>6</v>
      </c>
      <c r="AL33" s="121" t="s">
        <v>89</v>
      </c>
      <c r="AM33" s="122" t="s">
        <v>89</v>
      </c>
      <c r="AN33" s="121" t="s">
        <v>89</v>
      </c>
      <c r="AO33" s="121" t="s">
        <v>89</v>
      </c>
      <c r="AP33" s="121" t="s">
        <v>89</v>
      </c>
      <c r="AQ33" s="121" t="s">
        <v>89</v>
      </c>
      <c r="AR33" s="121" t="s">
        <v>6</v>
      </c>
      <c r="AS33" s="121" t="s">
        <v>89</v>
      </c>
      <c r="AT33" s="121" t="s">
        <v>89</v>
      </c>
      <c r="AU33" s="121" t="s">
        <v>89</v>
      </c>
      <c r="AV33" s="121" t="s">
        <v>89</v>
      </c>
      <c r="AW33" s="121" t="s">
        <v>89</v>
      </c>
      <c r="AX33" s="121" t="s">
        <v>1299</v>
      </c>
      <c r="AY33" s="121" t="s">
        <v>89</v>
      </c>
      <c r="AZ33" s="131"/>
      <c r="BA33" s="121" t="s">
        <v>89</v>
      </c>
      <c r="BB33" s="122" t="s">
        <v>89</v>
      </c>
      <c r="BC33" s="121" t="s">
        <v>89</v>
      </c>
      <c r="BD33" s="121" t="s">
        <v>89</v>
      </c>
      <c r="BE33" s="121" t="s">
        <v>6</v>
      </c>
      <c r="BF33" s="121" t="s">
        <v>89</v>
      </c>
      <c r="BG33" s="121" t="s">
        <v>6</v>
      </c>
      <c r="BH33" s="121" t="s">
        <v>6</v>
      </c>
      <c r="BI33" s="121" t="s">
        <v>6</v>
      </c>
      <c r="BJ33" s="121" t="s">
        <v>89</v>
      </c>
      <c r="BK33" s="121" t="s">
        <v>89</v>
      </c>
      <c r="BL33" s="121"/>
      <c r="BM33" s="121"/>
      <c r="BN33" s="121" t="s">
        <v>89</v>
      </c>
      <c r="BO33" s="121" t="s">
        <v>89</v>
      </c>
      <c r="BP33" s="138"/>
      <c r="BQ33" s="121" t="s">
        <v>89</v>
      </c>
      <c r="BR33" s="121" t="s">
        <v>89</v>
      </c>
      <c r="BS33" s="121" t="s">
        <v>89</v>
      </c>
      <c r="BT33" s="121"/>
      <c r="BU33" s="121" t="s">
        <v>89</v>
      </c>
      <c r="BV33" s="121" t="s">
        <v>498</v>
      </c>
      <c r="BW33" s="121" t="s">
        <v>89</v>
      </c>
      <c r="BX33" s="121" t="s">
        <v>89</v>
      </c>
      <c r="BY33" s="121" t="s">
        <v>6</v>
      </c>
      <c r="BZ33" s="121" t="s">
        <v>6</v>
      </c>
      <c r="CA33" s="121" t="s">
        <v>89</v>
      </c>
      <c r="CB33" s="121" t="s">
        <v>89</v>
      </c>
      <c r="CC33" s="121" t="s">
        <v>89</v>
      </c>
      <c r="CD33" s="121" t="s">
        <v>6</v>
      </c>
      <c r="CE33" s="121" t="s">
        <v>6</v>
      </c>
      <c r="CF33" s="139"/>
      <c r="CG33" s="139"/>
      <c r="CH33" s="121"/>
      <c r="CI33" s="121" t="s">
        <v>89</v>
      </c>
      <c r="CJ33" s="122" t="s">
        <v>89</v>
      </c>
      <c r="CK33" s="122" t="s">
        <v>89</v>
      </c>
      <c r="CL33" s="121" t="s">
        <v>191</v>
      </c>
      <c r="CM33" s="139">
        <v>45264.556935335648</v>
      </c>
    </row>
    <row r="34" spans="2:91" x14ac:dyDescent="0.25">
      <c r="B34" s="121">
        <v>4</v>
      </c>
      <c r="C34" s="121" t="s">
        <v>504</v>
      </c>
      <c r="D34" s="121" t="s">
        <v>500</v>
      </c>
      <c r="E34" s="121" t="s">
        <v>1301</v>
      </c>
      <c r="F34" s="131">
        <v>45257</v>
      </c>
      <c r="G34" s="121" t="s">
        <v>80</v>
      </c>
      <c r="H34" s="121" t="s">
        <v>89</v>
      </c>
      <c r="I34" s="121" t="s">
        <v>6</v>
      </c>
      <c r="J34" s="121" t="s">
        <v>82</v>
      </c>
      <c r="K34" s="121">
        <v>5.0000000000000001E-3</v>
      </c>
      <c r="L34" s="121" t="s">
        <v>1330</v>
      </c>
      <c r="M34" s="121" t="s">
        <v>89</v>
      </c>
      <c r="N34" s="121" t="s">
        <v>6</v>
      </c>
      <c r="O34" s="121" t="s">
        <v>6</v>
      </c>
      <c r="P34" s="121" t="s">
        <v>6</v>
      </c>
      <c r="Q34" s="121" t="s">
        <v>6</v>
      </c>
      <c r="R34" s="121" t="s">
        <v>89</v>
      </c>
      <c r="S34" s="121"/>
      <c r="T34" s="121" t="s">
        <v>89</v>
      </c>
      <c r="U34" s="121" t="s">
        <v>6</v>
      </c>
      <c r="V34" s="121" t="s">
        <v>6</v>
      </c>
      <c r="W34" s="121" t="s">
        <v>6</v>
      </c>
      <c r="X34" s="121" t="s">
        <v>89</v>
      </c>
      <c r="Y34" s="121" t="s">
        <v>89</v>
      </c>
      <c r="Z34" s="131"/>
      <c r="AA34" s="131"/>
      <c r="AB34" s="131"/>
      <c r="AC34" s="121">
        <v>5.0000000000000001E-3</v>
      </c>
      <c r="AD34" s="121"/>
      <c r="AE34" s="121"/>
      <c r="AF34" s="121" t="s">
        <v>89</v>
      </c>
      <c r="AG34" s="122" t="s">
        <v>89</v>
      </c>
      <c r="AH34" s="121" t="s">
        <v>6</v>
      </c>
      <c r="AI34" s="121" t="s">
        <v>89</v>
      </c>
      <c r="AJ34" s="121" t="s">
        <v>89</v>
      </c>
      <c r="AK34" s="121" t="s">
        <v>6</v>
      </c>
      <c r="AL34" s="121" t="s">
        <v>89</v>
      </c>
      <c r="AM34" s="122" t="s">
        <v>89</v>
      </c>
      <c r="AN34" s="121" t="s">
        <v>89</v>
      </c>
      <c r="AO34" s="121" t="s">
        <v>89</v>
      </c>
      <c r="AP34" s="121" t="s">
        <v>89</v>
      </c>
      <c r="AQ34" s="121" t="s">
        <v>89</v>
      </c>
      <c r="AR34" s="121" t="s">
        <v>6</v>
      </c>
      <c r="AS34" s="121" t="s">
        <v>89</v>
      </c>
      <c r="AT34" s="121" t="s">
        <v>89</v>
      </c>
      <c r="AU34" s="121" t="s">
        <v>89</v>
      </c>
      <c r="AV34" s="121" t="s">
        <v>89</v>
      </c>
      <c r="AW34" s="121" t="s">
        <v>89</v>
      </c>
      <c r="AX34" s="121" t="s">
        <v>1305</v>
      </c>
      <c r="AY34" s="121" t="s">
        <v>89</v>
      </c>
      <c r="AZ34" s="131"/>
      <c r="BA34" s="121" t="s">
        <v>89</v>
      </c>
      <c r="BB34" s="122" t="s">
        <v>89</v>
      </c>
      <c r="BC34" s="121" t="s">
        <v>89</v>
      </c>
      <c r="BD34" s="121" t="s">
        <v>89</v>
      </c>
      <c r="BE34" s="121" t="s">
        <v>6</v>
      </c>
      <c r="BF34" s="121" t="s">
        <v>89</v>
      </c>
      <c r="BG34" s="121" t="s">
        <v>6</v>
      </c>
      <c r="BH34" s="121" t="s">
        <v>6</v>
      </c>
      <c r="BI34" s="121" t="s">
        <v>6</v>
      </c>
      <c r="BJ34" s="121" t="s">
        <v>89</v>
      </c>
      <c r="BK34" s="121" t="s">
        <v>89</v>
      </c>
      <c r="BL34" s="121"/>
      <c r="BM34" s="121"/>
      <c r="BN34" s="121" t="s">
        <v>89</v>
      </c>
      <c r="BO34" s="121" t="s">
        <v>89</v>
      </c>
      <c r="BP34" s="138"/>
      <c r="BQ34" s="121" t="s">
        <v>89</v>
      </c>
      <c r="BR34" s="121" t="s">
        <v>89</v>
      </c>
      <c r="BS34" s="121" t="s">
        <v>89</v>
      </c>
      <c r="BT34" s="121"/>
      <c r="BU34" s="121" t="s">
        <v>89</v>
      </c>
      <c r="BV34" s="121" t="s">
        <v>498</v>
      </c>
      <c r="BW34" s="121" t="s">
        <v>89</v>
      </c>
      <c r="BX34" s="121" t="s">
        <v>89</v>
      </c>
      <c r="BY34" s="121" t="s">
        <v>6</v>
      </c>
      <c r="BZ34" s="121" t="s">
        <v>6</v>
      </c>
      <c r="CA34" s="121" t="s">
        <v>89</v>
      </c>
      <c r="CB34" s="121" t="s">
        <v>89</v>
      </c>
      <c r="CC34" s="121" t="s">
        <v>89</v>
      </c>
      <c r="CD34" s="121" t="s">
        <v>6</v>
      </c>
      <c r="CE34" s="121" t="s">
        <v>6</v>
      </c>
      <c r="CF34" s="139"/>
      <c r="CG34" s="139"/>
      <c r="CH34" s="121"/>
      <c r="CI34" s="121" t="s">
        <v>89</v>
      </c>
      <c r="CJ34" s="122" t="s">
        <v>89</v>
      </c>
      <c r="CK34" s="122" t="s">
        <v>89</v>
      </c>
      <c r="CL34" s="121" t="s">
        <v>191</v>
      </c>
      <c r="CM34" s="139">
        <v>45264.556935335648</v>
      </c>
    </row>
    <row r="35" spans="2:91" x14ac:dyDescent="0.25">
      <c r="B35" s="121">
        <v>3</v>
      </c>
      <c r="C35" s="121" t="s">
        <v>89</v>
      </c>
      <c r="D35" s="121" t="s">
        <v>349</v>
      </c>
      <c r="E35" s="121" t="s">
        <v>819</v>
      </c>
      <c r="F35" s="131">
        <v>45254</v>
      </c>
      <c r="G35" s="121" t="s">
        <v>80</v>
      </c>
      <c r="H35" s="121" t="s">
        <v>80</v>
      </c>
      <c r="I35" s="121" t="s">
        <v>315</v>
      </c>
      <c r="J35" s="121" t="s">
        <v>82</v>
      </c>
      <c r="K35" s="121">
        <v>2.8</v>
      </c>
      <c r="L35" s="121" t="s">
        <v>845</v>
      </c>
      <c r="M35" s="121" t="s">
        <v>821</v>
      </c>
      <c r="N35" s="121" t="s">
        <v>820</v>
      </c>
      <c r="O35" s="121" t="s">
        <v>821</v>
      </c>
      <c r="P35" s="121" t="s">
        <v>821</v>
      </c>
      <c r="Q35" s="121">
        <v>30</v>
      </c>
      <c r="R35" s="121" t="s">
        <v>89</v>
      </c>
      <c r="S35" s="121">
        <v>100</v>
      </c>
      <c r="T35" s="121" t="s">
        <v>35</v>
      </c>
      <c r="U35" s="121" t="s">
        <v>843</v>
      </c>
      <c r="V35" s="121" t="s">
        <v>6</v>
      </c>
      <c r="W35" s="121" t="s">
        <v>6</v>
      </c>
      <c r="X35" s="121" t="s">
        <v>89</v>
      </c>
      <c r="Y35" s="121" t="s">
        <v>115</v>
      </c>
      <c r="Z35" s="131">
        <v>45259</v>
      </c>
      <c r="AA35" s="131">
        <v>45441</v>
      </c>
      <c r="AB35" s="131">
        <v>49093</v>
      </c>
      <c r="AC35" s="121">
        <v>2.8</v>
      </c>
      <c r="AD35" s="121">
        <v>20.420000000000002</v>
      </c>
      <c r="AE35" s="121">
        <v>21.925999999999998</v>
      </c>
      <c r="AF35" s="121" t="s">
        <v>834</v>
      </c>
      <c r="AG35" s="122" t="s">
        <v>838</v>
      </c>
      <c r="AH35" s="121" t="s">
        <v>6</v>
      </c>
      <c r="AI35" s="121" t="s">
        <v>849</v>
      </c>
      <c r="AJ35" s="121" t="s">
        <v>349</v>
      </c>
      <c r="AK35" s="121" t="s">
        <v>6</v>
      </c>
      <c r="AL35" s="121" t="s">
        <v>89</v>
      </c>
      <c r="AM35" s="122" t="s">
        <v>89</v>
      </c>
      <c r="AN35" s="121" t="s">
        <v>89</v>
      </c>
      <c r="AO35" s="121" t="s">
        <v>253</v>
      </c>
      <c r="AP35" s="121" t="s">
        <v>89</v>
      </c>
      <c r="AQ35" s="121" t="s">
        <v>89</v>
      </c>
      <c r="AR35" s="121" t="s">
        <v>6</v>
      </c>
      <c r="AS35" s="121" t="s">
        <v>89</v>
      </c>
      <c r="AT35" s="121" t="s">
        <v>89</v>
      </c>
      <c r="AU35" s="121" t="s">
        <v>833</v>
      </c>
      <c r="AV35" s="121" t="s">
        <v>244</v>
      </c>
      <c r="AW35" s="121" t="s">
        <v>198</v>
      </c>
      <c r="AX35" s="121" t="s">
        <v>837</v>
      </c>
      <c r="AY35" s="121" t="s">
        <v>498</v>
      </c>
      <c r="AZ35" s="131"/>
      <c r="BA35" s="121" t="s">
        <v>5</v>
      </c>
      <c r="BB35" s="122" t="s">
        <v>89</v>
      </c>
      <c r="BC35" s="121" t="s">
        <v>847</v>
      </c>
      <c r="BD35" s="121" t="s">
        <v>848</v>
      </c>
      <c r="BE35" s="121" t="s">
        <v>129</v>
      </c>
      <c r="BF35" s="121" t="s">
        <v>146</v>
      </c>
      <c r="BG35" s="121" t="s">
        <v>6</v>
      </c>
      <c r="BH35" s="121" t="s">
        <v>6</v>
      </c>
      <c r="BI35" s="121" t="s">
        <v>6</v>
      </c>
      <c r="BJ35" s="121" t="s">
        <v>147</v>
      </c>
      <c r="BK35" s="121" t="s">
        <v>89</v>
      </c>
      <c r="BL35" s="121"/>
      <c r="BM35" s="121"/>
      <c r="BN35" s="121" t="s">
        <v>89</v>
      </c>
      <c r="BO35" s="121" t="s">
        <v>89</v>
      </c>
      <c r="BP35" s="138"/>
      <c r="BQ35" s="121" t="s">
        <v>1356</v>
      </c>
      <c r="BR35" s="121" t="s">
        <v>89</v>
      </c>
      <c r="BS35" s="121" t="s">
        <v>89</v>
      </c>
      <c r="BT35" s="121"/>
      <c r="BU35" s="121" t="s">
        <v>498</v>
      </c>
      <c r="BV35" s="121"/>
      <c r="BW35" s="121" t="s">
        <v>89</v>
      </c>
      <c r="BX35" s="121" t="s">
        <v>89</v>
      </c>
      <c r="BY35" s="121" t="s">
        <v>6</v>
      </c>
      <c r="BZ35" s="121" t="s">
        <v>6</v>
      </c>
      <c r="CA35" s="121" t="s">
        <v>89</v>
      </c>
      <c r="CB35" s="121" t="s">
        <v>89</v>
      </c>
      <c r="CC35" s="121" t="s">
        <v>89</v>
      </c>
      <c r="CD35" s="121" t="s">
        <v>6</v>
      </c>
      <c r="CE35" s="121" t="s">
        <v>6</v>
      </c>
      <c r="CF35" s="139"/>
      <c r="CG35" s="139"/>
      <c r="CH35" s="121"/>
      <c r="CI35" s="121" t="s">
        <v>89</v>
      </c>
      <c r="CJ35" s="122" t="s">
        <v>850</v>
      </c>
      <c r="CK35" s="122" t="s">
        <v>851</v>
      </c>
      <c r="CL35" s="121" t="s">
        <v>191</v>
      </c>
      <c r="CM35" s="139">
        <v>45264.556935335648</v>
      </c>
    </row>
    <row r="36" spans="2:91" x14ac:dyDescent="0.25">
      <c r="B36" s="121">
        <v>2</v>
      </c>
      <c r="C36" s="121" t="s">
        <v>89</v>
      </c>
      <c r="D36" s="121" t="s">
        <v>1145</v>
      </c>
      <c r="E36" s="121" t="s">
        <v>1306</v>
      </c>
      <c r="F36" s="131">
        <v>45254</v>
      </c>
      <c r="G36" s="121" t="s">
        <v>80</v>
      </c>
      <c r="H36" s="121" t="s">
        <v>80</v>
      </c>
      <c r="I36" s="121" t="s">
        <v>570</v>
      </c>
      <c r="J36" s="121" t="s">
        <v>103</v>
      </c>
      <c r="K36" s="121">
        <v>2</v>
      </c>
      <c r="L36" s="121" t="s">
        <v>1322</v>
      </c>
      <c r="M36" s="121" t="s">
        <v>1323</v>
      </c>
      <c r="N36" s="121" t="s">
        <v>6</v>
      </c>
      <c r="O36" s="121" t="s">
        <v>6</v>
      </c>
      <c r="P36" s="121" t="s">
        <v>6</v>
      </c>
      <c r="Q36" s="121" t="s">
        <v>6</v>
      </c>
      <c r="R36" s="121" t="s">
        <v>89</v>
      </c>
      <c r="S36" s="121">
        <v>100</v>
      </c>
      <c r="T36" s="121" t="s">
        <v>37</v>
      </c>
      <c r="U36" s="121" t="s">
        <v>106</v>
      </c>
      <c r="V36" s="121" t="s">
        <v>6</v>
      </c>
      <c r="W36" s="121" t="s">
        <v>6</v>
      </c>
      <c r="X36" s="121" t="s">
        <v>89</v>
      </c>
      <c r="Y36" s="121" t="s">
        <v>115</v>
      </c>
      <c r="Z36" s="131">
        <v>45266</v>
      </c>
      <c r="AA36" s="131">
        <v>45449</v>
      </c>
      <c r="AB36" s="131">
        <v>45814</v>
      </c>
      <c r="AC36" s="121">
        <v>0.27400000000000002</v>
      </c>
      <c r="AD36" s="121">
        <v>2</v>
      </c>
      <c r="AE36" s="121">
        <v>2.1469999999999998</v>
      </c>
      <c r="AF36" s="121" t="s">
        <v>1155</v>
      </c>
      <c r="AG36" s="122" t="s">
        <v>203</v>
      </c>
      <c r="AH36" s="121" t="s">
        <v>6</v>
      </c>
      <c r="AI36" s="121" t="s">
        <v>89</v>
      </c>
      <c r="AJ36" s="121" t="s">
        <v>1156</v>
      </c>
      <c r="AK36" s="121" t="s">
        <v>1145</v>
      </c>
      <c r="AL36" s="121" t="s">
        <v>89</v>
      </c>
      <c r="AM36" s="122" t="s">
        <v>89</v>
      </c>
      <c r="AN36" s="121" t="s">
        <v>89</v>
      </c>
      <c r="AO36" s="121" t="s">
        <v>6</v>
      </c>
      <c r="AP36" s="121" t="s">
        <v>89</v>
      </c>
      <c r="AQ36" s="121" t="s">
        <v>89</v>
      </c>
      <c r="AR36" s="121" t="s">
        <v>6</v>
      </c>
      <c r="AS36" s="121" t="s">
        <v>89</v>
      </c>
      <c r="AT36" s="121" t="s">
        <v>89</v>
      </c>
      <c r="AU36" s="121" t="s">
        <v>89</v>
      </c>
      <c r="AV36" s="121" t="s">
        <v>244</v>
      </c>
      <c r="AW36" s="121" t="s">
        <v>198</v>
      </c>
      <c r="AX36" s="121" t="s">
        <v>1310</v>
      </c>
      <c r="AY36" s="121" t="s">
        <v>498</v>
      </c>
      <c r="AZ36" s="131"/>
      <c r="BA36" s="121" t="s">
        <v>89</v>
      </c>
      <c r="BB36" s="122" t="s">
        <v>89</v>
      </c>
      <c r="BC36" s="121" t="s">
        <v>89</v>
      </c>
      <c r="BD36" s="121" t="s">
        <v>89</v>
      </c>
      <c r="BE36" s="121" t="s">
        <v>6</v>
      </c>
      <c r="BF36" s="121" t="s">
        <v>89</v>
      </c>
      <c r="BG36" s="121" t="s">
        <v>6</v>
      </c>
      <c r="BH36" s="121" t="s">
        <v>6</v>
      </c>
      <c r="BI36" s="121" t="s">
        <v>6</v>
      </c>
      <c r="BJ36" s="121" t="s">
        <v>89</v>
      </c>
      <c r="BK36" s="121" t="s">
        <v>89</v>
      </c>
      <c r="BL36" s="121"/>
      <c r="BM36" s="121"/>
      <c r="BN36" s="121" t="s">
        <v>89</v>
      </c>
      <c r="BO36" s="121" t="s">
        <v>89</v>
      </c>
      <c r="BP36" s="138"/>
      <c r="BQ36" s="121" t="s">
        <v>89</v>
      </c>
      <c r="BR36" s="121" t="s">
        <v>89</v>
      </c>
      <c r="BS36" s="121" t="s">
        <v>89</v>
      </c>
      <c r="BT36" s="121"/>
      <c r="BU36" s="121" t="s">
        <v>89</v>
      </c>
      <c r="BV36" s="121"/>
      <c r="BW36" s="121" t="s">
        <v>89</v>
      </c>
      <c r="BX36" s="121" t="s">
        <v>89</v>
      </c>
      <c r="BY36" s="121" t="s">
        <v>6</v>
      </c>
      <c r="BZ36" s="121" t="s">
        <v>6</v>
      </c>
      <c r="CA36" s="121" t="s">
        <v>89</v>
      </c>
      <c r="CB36" s="121" t="s">
        <v>89</v>
      </c>
      <c r="CC36" s="121" t="s">
        <v>89</v>
      </c>
      <c r="CD36" s="121" t="s">
        <v>6</v>
      </c>
      <c r="CE36" s="121" t="s">
        <v>6</v>
      </c>
      <c r="CF36" s="139"/>
      <c r="CG36" s="139"/>
      <c r="CH36" s="121"/>
      <c r="CI36" s="121" t="s">
        <v>89</v>
      </c>
      <c r="CJ36" s="122" t="s">
        <v>89</v>
      </c>
      <c r="CK36" s="122" t="s">
        <v>89</v>
      </c>
      <c r="CL36" s="121" t="s">
        <v>191</v>
      </c>
      <c r="CM36" s="139">
        <v>45264.556935335648</v>
      </c>
    </row>
    <row r="37" spans="2:91" x14ac:dyDescent="0.25">
      <c r="B37" s="121">
        <v>1</v>
      </c>
      <c r="C37" s="121" t="s">
        <v>504</v>
      </c>
      <c r="D37" s="121" t="s">
        <v>1311</v>
      </c>
      <c r="E37" s="121" t="s">
        <v>1312</v>
      </c>
      <c r="F37" s="131">
        <v>45254</v>
      </c>
      <c r="G37" s="121" t="s">
        <v>1287</v>
      </c>
      <c r="H37" s="121" t="s">
        <v>89</v>
      </c>
      <c r="I37" s="121" t="s">
        <v>6</v>
      </c>
      <c r="J37" s="121" t="s">
        <v>103</v>
      </c>
      <c r="K37" s="121">
        <v>3</v>
      </c>
      <c r="L37" s="121" t="s">
        <v>131</v>
      </c>
      <c r="M37" s="121" t="s">
        <v>89</v>
      </c>
      <c r="N37" s="121" t="s">
        <v>6</v>
      </c>
      <c r="O37" s="121" t="s">
        <v>6</v>
      </c>
      <c r="P37" s="121" t="s">
        <v>6</v>
      </c>
      <c r="Q37" s="121" t="s">
        <v>6</v>
      </c>
      <c r="R37" s="121" t="s">
        <v>89</v>
      </c>
      <c r="S37" s="121"/>
      <c r="T37" s="121" t="s">
        <v>89</v>
      </c>
      <c r="U37" s="121" t="s">
        <v>6</v>
      </c>
      <c r="V37" s="121" t="s">
        <v>6</v>
      </c>
      <c r="W37" s="121" t="s">
        <v>6</v>
      </c>
      <c r="X37" s="121" t="s">
        <v>89</v>
      </c>
      <c r="Y37" s="121" t="s">
        <v>89</v>
      </c>
      <c r="Z37" s="131"/>
      <c r="AA37" s="131"/>
      <c r="AB37" s="131"/>
      <c r="AC37" s="121">
        <v>0.41099999999999998</v>
      </c>
      <c r="AD37" s="121"/>
      <c r="AE37" s="121"/>
      <c r="AF37" s="121" t="s">
        <v>89</v>
      </c>
      <c r="AG37" s="122" t="s">
        <v>89</v>
      </c>
      <c r="AH37" s="121" t="s">
        <v>6</v>
      </c>
      <c r="AI37" s="121" t="s">
        <v>89</v>
      </c>
      <c r="AJ37" s="121" t="s">
        <v>89</v>
      </c>
      <c r="AK37" s="121" t="s">
        <v>6</v>
      </c>
      <c r="AL37" s="121" t="s">
        <v>89</v>
      </c>
      <c r="AM37" s="122" t="s">
        <v>89</v>
      </c>
      <c r="AN37" s="121" t="s">
        <v>89</v>
      </c>
      <c r="AO37" s="121" t="s">
        <v>89</v>
      </c>
      <c r="AP37" s="121" t="s">
        <v>89</v>
      </c>
      <c r="AQ37" s="121" t="s">
        <v>89</v>
      </c>
      <c r="AR37" s="121" t="s">
        <v>6</v>
      </c>
      <c r="AS37" s="121" t="s">
        <v>89</v>
      </c>
      <c r="AT37" s="121" t="s">
        <v>89</v>
      </c>
      <c r="AU37" s="121" t="s">
        <v>89</v>
      </c>
      <c r="AV37" s="121" t="s">
        <v>89</v>
      </c>
      <c r="AW37" s="121" t="s">
        <v>89</v>
      </c>
      <c r="AX37" s="121" t="s">
        <v>1319</v>
      </c>
      <c r="AY37" s="121" t="s">
        <v>89</v>
      </c>
      <c r="AZ37" s="131"/>
      <c r="BA37" s="121" t="s">
        <v>89</v>
      </c>
      <c r="BB37" s="122" t="s">
        <v>89</v>
      </c>
      <c r="BC37" s="121" t="s">
        <v>89</v>
      </c>
      <c r="BD37" s="121" t="s">
        <v>89</v>
      </c>
      <c r="BE37" s="121" t="s">
        <v>6</v>
      </c>
      <c r="BF37" s="121" t="s">
        <v>89</v>
      </c>
      <c r="BG37" s="121" t="s">
        <v>6</v>
      </c>
      <c r="BH37" s="121" t="s">
        <v>6</v>
      </c>
      <c r="BI37" s="121" t="s">
        <v>6</v>
      </c>
      <c r="BJ37" s="121" t="s">
        <v>89</v>
      </c>
      <c r="BK37" s="121" t="s">
        <v>89</v>
      </c>
      <c r="BL37" s="121"/>
      <c r="BM37" s="121"/>
      <c r="BN37" s="121" t="s">
        <v>89</v>
      </c>
      <c r="BO37" s="121" t="s">
        <v>89</v>
      </c>
      <c r="BP37" s="138"/>
      <c r="BQ37" s="121" t="s">
        <v>89</v>
      </c>
      <c r="BR37" s="121" t="s">
        <v>89</v>
      </c>
      <c r="BS37" s="121" t="s">
        <v>89</v>
      </c>
      <c r="BT37" s="121"/>
      <c r="BU37" s="121" t="s">
        <v>89</v>
      </c>
      <c r="BV37" s="121" t="s">
        <v>498</v>
      </c>
      <c r="BW37" s="121" t="s">
        <v>89</v>
      </c>
      <c r="BX37" s="121" t="s">
        <v>89</v>
      </c>
      <c r="BY37" s="121" t="s">
        <v>6</v>
      </c>
      <c r="BZ37" s="121" t="s">
        <v>6</v>
      </c>
      <c r="CA37" s="121" t="s">
        <v>89</v>
      </c>
      <c r="CB37" s="121" t="s">
        <v>89</v>
      </c>
      <c r="CC37" s="121" t="s">
        <v>89</v>
      </c>
      <c r="CD37" s="121" t="s">
        <v>6</v>
      </c>
      <c r="CE37" s="121" t="s">
        <v>6</v>
      </c>
      <c r="CF37" s="139"/>
      <c r="CG37" s="139"/>
      <c r="CH37" s="121"/>
      <c r="CI37" s="121" t="s">
        <v>89</v>
      </c>
      <c r="CJ37" s="122" t="s">
        <v>89</v>
      </c>
      <c r="CK37" s="122" t="s">
        <v>89</v>
      </c>
      <c r="CL37" s="121" t="s">
        <v>191</v>
      </c>
      <c r="CM37" s="139">
        <v>45264.556935335648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All">
                <anchor moveWithCells="1">
                  <from>
                    <xdr:col>1</xdr:col>
                    <xdr:colOff>171450</xdr:colOff>
                    <xdr:row>0</xdr:row>
                    <xdr:rowOff>57150</xdr:rowOff>
                  </from>
                  <to>
                    <xdr:col>3</xdr:col>
                    <xdr:colOff>1600200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P23"/>
  <sheetViews>
    <sheetView workbookViewId="0">
      <selection activeCell="C12" sqref="C12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29.88671875" style="1" bestFit="1" customWidth="1"/>
    <col min="4" max="4" width="13.33203125" style="1" bestFit="1" customWidth="1"/>
    <col min="5" max="5" width="10.33203125" style="1" bestFit="1" customWidth="1"/>
    <col min="6" max="6" width="9.21875" style="1" bestFit="1" customWidth="1"/>
    <col min="7" max="7" width="11.664062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1" width="5.88671875" style="1" bestFit="1" customWidth="1"/>
    <col min="12" max="12" width="6.77734375" style="1" bestFit="1" customWidth="1"/>
    <col min="13" max="13" width="8" style="1" bestFit="1" customWidth="1"/>
    <col min="14" max="14" width="11.77734375" style="1" bestFit="1" customWidth="1"/>
    <col min="15" max="15" width="7.109375" style="1" bestFit="1" customWidth="1"/>
    <col min="16" max="17" width="9.21875" style="1" bestFit="1" customWidth="1"/>
    <col min="18" max="18" width="7.5546875" style="1" bestFit="1" customWidth="1"/>
    <col min="19" max="19" width="13.5546875" style="1" bestFit="1" customWidth="1"/>
    <col min="20" max="20" width="22.33203125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9.33203125" style="1" bestFit="1" customWidth="1"/>
    <col min="28" max="28" width="7.5546875" style="1" bestFit="1" customWidth="1"/>
    <col min="29" max="29" width="7" style="1" bestFit="1" customWidth="1"/>
    <col min="30" max="30" width="7.5546875" style="1" bestFit="1" customWidth="1"/>
    <col min="31" max="31" width="8.33203125" style="1" bestFit="1" customWidth="1"/>
    <col min="32" max="32" width="12.5546875" style="1" bestFit="1" customWidth="1"/>
    <col min="33" max="33" width="14.21875" style="1" bestFit="1" customWidth="1"/>
    <col min="34" max="34" width="9.21875" style="1" bestFit="1" customWidth="1"/>
    <col min="35" max="35" width="29.88671875" style="1" bestFit="1" customWidth="1"/>
    <col min="36" max="36" width="26.44140625" style="1" bestFit="1" customWidth="1"/>
    <col min="37" max="37" width="28.109375" style="1" bestFit="1" customWidth="1"/>
    <col min="38" max="38" width="24.6640625" style="1" bestFit="1" customWidth="1"/>
    <col min="39" max="39" width="6" style="1" bestFit="1" customWidth="1"/>
    <col min="40" max="40" width="9.218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6" width="80.8867187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9.44140625" style="1" bestFit="1" customWidth="1"/>
    <col min="52" max="52" width="10.5546875" style="1" bestFit="1" customWidth="1"/>
    <col min="53" max="54" width="10.77734375" style="1" bestFit="1" customWidth="1"/>
    <col min="55" max="55" width="17.44140625" style="1" bestFit="1" customWidth="1"/>
    <col min="56" max="56" width="20.109375" style="1" customWidth="1"/>
    <col min="57" max="57" width="11.5546875" style="1" bestFit="1" customWidth="1"/>
    <col min="58" max="59" width="17.33203125" style="1" bestFit="1" customWidth="1"/>
    <col min="60" max="60" width="9.21875" style="1" bestFit="1" customWidth="1"/>
    <col min="61" max="61" width="15.21875" style="1" bestFit="1" customWidth="1"/>
    <col min="62" max="62" width="13.44140625" style="1" bestFit="1" customWidth="1"/>
    <col min="63" max="63" width="11.109375" style="1" bestFit="1" customWidth="1"/>
    <col min="64" max="65" width="10.88671875" style="1" bestFit="1" customWidth="1"/>
    <col min="66" max="66" width="9.21875" style="1" bestFit="1" customWidth="1"/>
    <col min="67" max="67" width="8.77734375" style="1" bestFit="1" customWidth="1"/>
    <col min="68" max="68" width="9.21875" style="1" bestFit="1" customWidth="1"/>
    <col min="69" max="69" width="14.6640625" style="1" bestFit="1" customWidth="1"/>
    <col min="70" max="70" width="9.21875" style="1" bestFit="1" customWidth="1"/>
    <col min="71" max="71" width="8.5546875" style="1" bestFit="1" customWidth="1"/>
    <col min="72" max="72" width="9.33203125" style="1" bestFit="1" customWidth="1"/>
    <col min="73" max="73" width="9.21875" style="1" bestFit="1" customWidth="1"/>
    <col min="74" max="74" width="10.109375" style="1" bestFit="1" customWidth="1"/>
    <col min="75" max="75" width="10.33203125" style="1" bestFit="1" customWidth="1"/>
    <col min="76" max="76" width="15.109375" style="1" bestFit="1" customWidth="1"/>
    <col min="77" max="77" width="10.33203125" style="1" bestFit="1" customWidth="1"/>
    <col min="78" max="78" width="5.88671875" style="1" bestFit="1" customWidth="1"/>
    <col min="79" max="79" width="9.21875" style="1" bestFit="1" customWidth="1"/>
    <col min="80" max="80" width="10.33203125" style="1" bestFit="1" customWidth="1"/>
    <col min="81" max="81" width="14.44140625" style="1" bestFit="1" customWidth="1"/>
    <col min="82" max="82" width="16.109375" style="1" bestFit="1" customWidth="1"/>
    <col min="83" max="83" width="20.6640625" style="1" bestFit="1" customWidth="1"/>
    <col min="84" max="84" width="18.88671875" style="1" bestFit="1" customWidth="1"/>
    <col min="85" max="85" width="27.109375" style="1" bestFit="1" customWidth="1"/>
    <col min="86" max="16384" width="8.88671875" style="1"/>
  </cols>
  <sheetData>
    <row r="1" spans="1:68" ht="39.75" customHeight="1" x14ac:dyDescent="0.25"/>
    <row r="2" spans="1:68" ht="39.75" customHeight="1" x14ac:dyDescent="0.25"/>
    <row r="3" spans="1:68" ht="39.75" customHeight="1" x14ac:dyDescent="0.25"/>
    <row r="4" spans="1:68" x14ac:dyDescent="0.25">
      <c r="A4" t="s">
        <v>83</v>
      </c>
      <c r="B4" t="s">
        <v>280</v>
      </c>
      <c r="C4" t="s">
        <v>91</v>
      </c>
      <c r="D4" t="s">
        <v>46</v>
      </c>
      <c r="E4" t="s">
        <v>47</v>
      </c>
      <c r="F4" t="s">
        <v>119</v>
      </c>
      <c r="G4" t="s">
        <v>144</v>
      </c>
      <c r="H4" t="s">
        <v>49</v>
      </c>
      <c r="I4" t="s">
        <v>62</v>
      </c>
      <c r="J4" t="s">
        <v>55</v>
      </c>
      <c r="K4" t="s">
        <v>84</v>
      </c>
      <c r="L4" t="s">
        <v>114</v>
      </c>
      <c r="M4" t="s">
        <v>85</v>
      </c>
      <c r="N4" t="s">
        <v>51</v>
      </c>
      <c r="O4" t="s">
        <v>132</v>
      </c>
      <c r="P4" t="s">
        <v>134</v>
      </c>
      <c r="Q4" t="s">
        <v>135</v>
      </c>
      <c r="R4" t="s">
        <v>57</v>
      </c>
      <c r="S4" t="s">
        <v>87</v>
      </c>
      <c r="T4" t="s">
        <v>88</v>
      </c>
      <c r="U4" t="s">
        <v>151</v>
      </c>
      <c r="V4" t="s">
        <v>152</v>
      </c>
      <c r="W4" t="s">
        <v>122</v>
      </c>
      <c r="X4" t="s">
        <v>78</v>
      </c>
      <c r="Y4" t="s">
        <v>64</v>
      </c>
      <c r="Z4" t="s">
        <v>67</v>
      </c>
      <c r="AA4" t="s">
        <v>50</v>
      </c>
      <c r="AB4" t="s">
        <v>140</v>
      </c>
      <c r="AC4" t="s">
        <v>141</v>
      </c>
      <c r="AD4" t="s">
        <v>174</v>
      </c>
      <c r="AE4" t="s">
        <v>509</v>
      </c>
      <c r="AF4" t="s">
        <v>787</v>
      </c>
      <c r="AG4" t="s">
        <v>213</v>
      </c>
      <c r="AH4" t="s">
        <v>172</v>
      </c>
      <c r="AI4" t="s">
        <v>68</v>
      </c>
      <c r="AJ4" t="s">
        <v>69</v>
      </c>
      <c r="AK4" t="s">
        <v>79</v>
      </c>
      <c r="AL4" t="s">
        <v>629</v>
      </c>
      <c r="AM4" t="s">
        <v>120</v>
      </c>
      <c r="AN4" t="s">
        <v>326</v>
      </c>
      <c r="AO4" t="s">
        <v>177</v>
      </c>
      <c r="AP4" t="s">
        <v>173</v>
      </c>
      <c r="AQ4" t="s">
        <v>178</v>
      </c>
      <c r="AR4" t="s">
        <v>179</v>
      </c>
      <c r="AS4" t="s">
        <v>234</v>
      </c>
      <c r="AT4" t="s">
        <v>185</v>
      </c>
      <c r="AU4" t="s">
        <v>163</v>
      </c>
      <c r="AV4" t="s">
        <v>268</v>
      </c>
      <c r="AW4" t="s">
        <v>136</v>
      </c>
      <c r="AX4" t="s">
        <v>180</v>
      </c>
      <c r="AY4" t="s">
        <v>121</v>
      </c>
      <c r="AZ4" t="s">
        <v>507</v>
      </c>
    </row>
    <row r="5" spans="1:68" x14ac:dyDescent="0.25">
      <c r="A5" s="120"/>
      <c r="B5" s="120" t="s">
        <v>89</v>
      </c>
      <c r="C5" s="120" t="s">
        <v>1357</v>
      </c>
      <c r="D5" s="120" t="s">
        <v>1358</v>
      </c>
      <c r="E5" s="31">
        <v>45261</v>
      </c>
      <c r="F5" s="120" t="s">
        <v>80</v>
      </c>
      <c r="G5" s="120" t="s">
        <v>80</v>
      </c>
      <c r="H5" s="120" t="s">
        <v>89</v>
      </c>
      <c r="I5" s="120" t="s">
        <v>103</v>
      </c>
      <c r="J5" s="120">
        <v>2.1800000000000002</v>
      </c>
      <c r="K5" s="120" t="s">
        <v>131</v>
      </c>
      <c r="L5" s="120" t="s">
        <v>821</v>
      </c>
      <c r="M5" s="120" t="s">
        <v>89</v>
      </c>
      <c r="N5" s="120" t="s">
        <v>821</v>
      </c>
      <c r="O5" s="120" t="s">
        <v>89</v>
      </c>
      <c r="P5" s="120"/>
      <c r="Q5" s="120"/>
      <c r="R5" s="120">
        <v>100</v>
      </c>
      <c r="S5" s="120" t="s">
        <v>35</v>
      </c>
      <c r="T5" s="120" t="s">
        <v>215</v>
      </c>
      <c r="U5" s="120" t="s">
        <v>6</v>
      </c>
      <c r="V5" s="120" t="s">
        <v>6</v>
      </c>
      <c r="W5" s="120" t="s">
        <v>89</v>
      </c>
      <c r="X5" s="120" t="s">
        <v>791</v>
      </c>
      <c r="Y5" s="31">
        <v>45266</v>
      </c>
      <c r="Z5" s="31">
        <v>45632</v>
      </c>
      <c r="AA5" s="31">
        <v>46362</v>
      </c>
      <c r="AB5" s="120">
        <v>0.29899999999999999</v>
      </c>
      <c r="AC5" s="120">
        <v>2.1800000000000002</v>
      </c>
      <c r="AD5" s="120">
        <v>2.34</v>
      </c>
      <c r="AE5" s="120" t="s">
        <v>1370</v>
      </c>
      <c r="AF5" s="120" t="s">
        <v>203</v>
      </c>
      <c r="AG5" s="120" t="s">
        <v>89</v>
      </c>
      <c r="AH5" s="120" t="s">
        <v>89</v>
      </c>
      <c r="AI5" s="120" t="s">
        <v>1357</v>
      </c>
      <c r="AJ5" s="120" t="s">
        <v>89</v>
      </c>
      <c r="AK5" s="120" t="s">
        <v>89</v>
      </c>
      <c r="AL5" s="120" t="s">
        <v>89</v>
      </c>
      <c r="AM5" s="120" t="s">
        <v>89</v>
      </c>
      <c r="AN5" s="120" t="s">
        <v>6</v>
      </c>
      <c r="AO5"/>
      <c r="AP5" s="120" t="s">
        <v>89</v>
      </c>
      <c r="AQ5"/>
      <c r="AR5" s="120" t="s">
        <v>89</v>
      </c>
      <c r="AS5" s="120" t="s">
        <v>89</v>
      </c>
      <c r="AT5" s="120" t="s">
        <v>1369</v>
      </c>
      <c r="AU5" s="120" t="s">
        <v>244</v>
      </c>
      <c r="AV5" s="120" t="s">
        <v>198</v>
      </c>
      <c r="AW5"/>
      <c r="AX5"/>
      <c r="AY5" s="120" t="s">
        <v>1372</v>
      </c>
      <c r="AZ5" t="s">
        <v>498</v>
      </c>
      <c r="BM5" s="17"/>
    </row>
    <row r="6" spans="1:68" x14ac:dyDescent="0.25">
      <c r="A6" s="120"/>
      <c r="B6" s="120" t="s">
        <v>89</v>
      </c>
      <c r="C6" s="120" t="s">
        <v>1373</v>
      </c>
      <c r="D6" s="120" t="s">
        <v>1374</v>
      </c>
      <c r="E6" s="31">
        <v>45261</v>
      </c>
      <c r="F6" s="120" t="s">
        <v>80</v>
      </c>
      <c r="G6" s="120" t="s">
        <v>1386</v>
      </c>
      <c r="H6" s="120" t="s">
        <v>315</v>
      </c>
      <c r="I6" s="120" t="s">
        <v>103</v>
      </c>
      <c r="J6" s="120">
        <v>20</v>
      </c>
      <c r="K6" s="120" t="s">
        <v>131</v>
      </c>
      <c r="L6" s="120" t="s">
        <v>1496</v>
      </c>
      <c r="M6" s="120" t="s">
        <v>89</v>
      </c>
      <c r="N6" s="120" t="s">
        <v>89</v>
      </c>
      <c r="O6" s="120" t="s">
        <v>89</v>
      </c>
      <c r="P6" s="120"/>
      <c r="Q6" s="120"/>
      <c r="R6" s="120">
        <v>100</v>
      </c>
      <c r="S6" s="120" t="s">
        <v>37</v>
      </c>
      <c r="T6" s="120" t="s">
        <v>204</v>
      </c>
      <c r="U6" s="120" t="s">
        <v>6</v>
      </c>
      <c r="V6" s="120" t="s">
        <v>129</v>
      </c>
      <c r="W6" s="120" t="s">
        <v>89</v>
      </c>
      <c r="X6" s="120" t="s">
        <v>115</v>
      </c>
      <c r="Y6" s="31">
        <v>45268</v>
      </c>
      <c r="Z6" s="31">
        <v>45451</v>
      </c>
      <c r="AA6" s="31">
        <v>46364</v>
      </c>
      <c r="AB6" s="120">
        <v>2.742</v>
      </c>
      <c r="AC6" s="120">
        <v>20</v>
      </c>
      <c r="AD6" s="120">
        <v>21.466000000000001</v>
      </c>
      <c r="AE6" s="120" t="s">
        <v>1382</v>
      </c>
      <c r="AF6" s="120" t="s">
        <v>298</v>
      </c>
      <c r="AG6" s="120" t="s">
        <v>89</v>
      </c>
      <c r="AH6" s="120" t="s">
        <v>89</v>
      </c>
      <c r="AI6" s="120" t="s">
        <v>1383</v>
      </c>
      <c r="AJ6" s="120" t="s">
        <v>1373</v>
      </c>
      <c r="AK6" s="120" t="s">
        <v>89</v>
      </c>
      <c r="AL6" s="120" t="s">
        <v>89</v>
      </c>
      <c r="AM6" s="120" t="s">
        <v>89</v>
      </c>
      <c r="AN6" s="120" t="s">
        <v>6</v>
      </c>
      <c r="AO6"/>
      <c r="AP6" s="120" t="s">
        <v>89</v>
      </c>
      <c r="AQ6"/>
      <c r="AR6" s="120" t="s">
        <v>89</v>
      </c>
      <c r="AS6" s="120" t="s">
        <v>89</v>
      </c>
      <c r="AT6" s="120" t="s">
        <v>1381</v>
      </c>
      <c r="AU6" s="120" t="s">
        <v>244</v>
      </c>
      <c r="AV6" s="120" t="s">
        <v>198</v>
      </c>
      <c r="AW6"/>
      <c r="AX6"/>
      <c r="AY6" s="120" t="s">
        <v>1387</v>
      </c>
      <c r="AZ6" t="s">
        <v>498</v>
      </c>
      <c r="BM6" s="17"/>
    </row>
    <row r="7" spans="1:68" x14ac:dyDescent="0.25">
      <c r="A7" s="120"/>
      <c r="B7" s="120" t="s">
        <v>89</v>
      </c>
      <c r="C7" s="120" t="s">
        <v>1388</v>
      </c>
      <c r="D7" s="120" t="s">
        <v>1389</v>
      </c>
      <c r="E7" s="31">
        <v>45261</v>
      </c>
      <c r="F7" s="120" t="s">
        <v>80</v>
      </c>
      <c r="G7" s="120" t="s">
        <v>80</v>
      </c>
      <c r="H7" s="120" t="s">
        <v>570</v>
      </c>
      <c r="I7" s="120" t="s">
        <v>82</v>
      </c>
      <c r="J7" s="120">
        <v>1.65</v>
      </c>
      <c r="K7" s="120" t="s">
        <v>544</v>
      </c>
      <c r="L7" s="120" t="s">
        <v>1497</v>
      </c>
      <c r="M7" s="120" t="s">
        <v>89</v>
      </c>
      <c r="N7" s="120" t="s">
        <v>89</v>
      </c>
      <c r="O7" s="120" t="s">
        <v>89</v>
      </c>
      <c r="P7" s="120"/>
      <c r="Q7" s="120"/>
      <c r="R7" s="120">
        <v>100</v>
      </c>
      <c r="S7" s="120" t="s">
        <v>38</v>
      </c>
      <c r="T7" s="120" t="s">
        <v>204</v>
      </c>
      <c r="U7" s="120" t="s">
        <v>6</v>
      </c>
      <c r="V7" s="120" t="s">
        <v>6</v>
      </c>
      <c r="W7" s="120" t="s">
        <v>89</v>
      </c>
      <c r="X7" s="120" t="s">
        <v>89</v>
      </c>
      <c r="Y7" s="31">
        <v>45266</v>
      </c>
      <c r="Z7" s="31">
        <v>45630</v>
      </c>
      <c r="AA7" s="31">
        <v>45630</v>
      </c>
      <c r="AB7" s="120">
        <v>1.65</v>
      </c>
      <c r="AC7" s="120">
        <v>12.032999999999999</v>
      </c>
      <c r="AD7" s="120">
        <v>12.92</v>
      </c>
      <c r="AE7" s="120" t="s">
        <v>1392</v>
      </c>
      <c r="AF7" s="120" t="s">
        <v>558</v>
      </c>
      <c r="AG7" s="120" t="s">
        <v>89</v>
      </c>
      <c r="AH7" s="120" t="s">
        <v>89</v>
      </c>
      <c r="AI7" s="120" t="s">
        <v>1393</v>
      </c>
      <c r="AJ7" s="120" t="s">
        <v>89</v>
      </c>
      <c r="AK7" s="120" t="s">
        <v>1388</v>
      </c>
      <c r="AL7" s="120" t="s">
        <v>89</v>
      </c>
      <c r="AM7" s="120" t="s">
        <v>89</v>
      </c>
      <c r="AN7" s="120" t="s">
        <v>6</v>
      </c>
      <c r="AO7"/>
      <c r="AP7" s="120" t="s">
        <v>557</v>
      </c>
      <c r="AQ7"/>
      <c r="AR7" s="120" t="s">
        <v>89</v>
      </c>
      <c r="AS7" s="120" t="s">
        <v>89</v>
      </c>
      <c r="AT7" s="120" t="s">
        <v>89</v>
      </c>
      <c r="AU7" s="120" t="s">
        <v>244</v>
      </c>
      <c r="AV7" s="120" t="s">
        <v>198</v>
      </c>
      <c r="AW7"/>
      <c r="AX7"/>
      <c r="AY7" s="120" t="s">
        <v>1394</v>
      </c>
      <c r="AZ7" t="s">
        <v>498</v>
      </c>
      <c r="BM7" s="17"/>
    </row>
    <row r="8" spans="1:68" x14ac:dyDescent="0.25">
      <c r="A8" s="120"/>
      <c r="B8" s="120" t="s">
        <v>89</v>
      </c>
      <c r="C8" s="120" t="s">
        <v>1395</v>
      </c>
      <c r="D8" s="120" t="s">
        <v>1396</v>
      </c>
      <c r="E8" s="31">
        <v>45261</v>
      </c>
      <c r="F8" s="120" t="s">
        <v>80</v>
      </c>
      <c r="G8" s="120" t="s">
        <v>80</v>
      </c>
      <c r="H8" s="120" t="s">
        <v>804</v>
      </c>
      <c r="I8" s="120" t="s">
        <v>103</v>
      </c>
      <c r="J8" s="120">
        <v>3.363</v>
      </c>
      <c r="K8" s="120" t="s">
        <v>1499</v>
      </c>
      <c r="L8" s="120" t="s">
        <v>846</v>
      </c>
      <c r="M8" s="120" t="s">
        <v>1397</v>
      </c>
      <c r="N8" s="120" t="s">
        <v>846</v>
      </c>
      <c r="O8" s="120" t="s">
        <v>846</v>
      </c>
      <c r="P8" s="120">
        <v>30</v>
      </c>
      <c r="Q8" s="120"/>
      <c r="R8" s="120">
        <v>100</v>
      </c>
      <c r="S8" s="120" t="s">
        <v>108</v>
      </c>
      <c r="T8" s="120" t="s">
        <v>215</v>
      </c>
      <c r="U8" s="120" t="s">
        <v>6</v>
      </c>
      <c r="V8" s="120" t="s">
        <v>6</v>
      </c>
      <c r="W8" s="120" t="s">
        <v>89</v>
      </c>
      <c r="X8" s="120" t="s">
        <v>115</v>
      </c>
      <c r="Y8" s="31">
        <v>45268</v>
      </c>
      <c r="Z8" s="31">
        <v>45451</v>
      </c>
      <c r="AA8" s="31">
        <v>46334</v>
      </c>
      <c r="AB8" s="120">
        <v>0.46100000000000002</v>
      </c>
      <c r="AC8" s="120">
        <v>3.363</v>
      </c>
      <c r="AD8" s="120">
        <v>3.61</v>
      </c>
      <c r="AE8" s="120" t="s">
        <v>1410</v>
      </c>
      <c r="AF8" s="120" t="s">
        <v>203</v>
      </c>
      <c r="AG8" s="120" t="s">
        <v>89</v>
      </c>
      <c r="AH8" s="120" t="s">
        <v>89</v>
      </c>
      <c r="AI8" s="120" t="s">
        <v>1395</v>
      </c>
      <c r="AJ8" s="120" t="s">
        <v>89</v>
      </c>
      <c r="AK8" s="120" t="s">
        <v>89</v>
      </c>
      <c r="AL8" s="120" t="s">
        <v>634</v>
      </c>
      <c r="AM8" s="120" t="s">
        <v>510</v>
      </c>
      <c r="AN8" s="120" t="s">
        <v>6</v>
      </c>
      <c r="AO8"/>
      <c r="AP8" s="120" t="s">
        <v>89</v>
      </c>
      <c r="AQ8"/>
      <c r="AR8" s="120" t="s">
        <v>89</v>
      </c>
      <c r="AS8" s="120" t="s">
        <v>89</v>
      </c>
      <c r="AT8" s="120" t="s">
        <v>1409</v>
      </c>
      <c r="AU8" s="120" t="s">
        <v>244</v>
      </c>
      <c r="AV8" s="120" t="s">
        <v>198</v>
      </c>
      <c r="AW8"/>
      <c r="AX8"/>
      <c r="AY8" s="120" t="s">
        <v>1412</v>
      </c>
      <c r="AZ8" t="s">
        <v>498</v>
      </c>
      <c r="BM8" s="17"/>
    </row>
    <row r="9" spans="1:68" x14ac:dyDescent="0.25">
      <c r="A9" s="120"/>
      <c r="B9" s="120" t="s">
        <v>89</v>
      </c>
      <c r="C9" s="120" t="s">
        <v>1054</v>
      </c>
      <c r="D9" s="120" t="s">
        <v>1413</v>
      </c>
      <c r="E9" s="31">
        <v>45261</v>
      </c>
      <c r="F9" s="120" t="s">
        <v>1251</v>
      </c>
      <c r="G9" s="120" t="s">
        <v>1514</v>
      </c>
      <c r="H9" s="120" t="s">
        <v>315</v>
      </c>
      <c r="I9" s="120" t="s">
        <v>82</v>
      </c>
      <c r="J9" s="120">
        <v>5</v>
      </c>
      <c r="K9" s="120" t="s">
        <v>1122</v>
      </c>
      <c r="L9" s="120" t="s">
        <v>1415</v>
      </c>
      <c r="M9" s="120" t="s">
        <v>1414</v>
      </c>
      <c r="N9" s="120" t="s">
        <v>1415</v>
      </c>
      <c r="O9" s="120" t="s">
        <v>1415</v>
      </c>
      <c r="P9" s="120">
        <v>45</v>
      </c>
      <c r="Q9" s="120"/>
      <c r="R9" s="120">
        <v>100</v>
      </c>
      <c r="S9" s="120" t="s">
        <v>35</v>
      </c>
      <c r="T9" s="120" t="s">
        <v>1500</v>
      </c>
      <c r="U9" s="120" t="s">
        <v>129</v>
      </c>
      <c r="V9" s="120" t="s">
        <v>6</v>
      </c>
      <c r="W9" s="120" t="s">
        <v>89</v>
      </c>
      <c r="X9" s="120" t="s">
        <v>115</v>
      </c>
      <c r="Y9" s="31">
        <v>45266</v>
      </c>
      <c r="Z9" s="31">
        <v>45449</v>
      </c>
      <c r="AA9" s="31">
        <v>45997</v>
      </c>
      <c r="AB9" s="120">
        <v>5</v>
      </c>
      <c r="AC9" s="120">
        <v>36.463999999999999</v>
      </c>
      <c r="AD9" s="120">
        <v>39.152999999999999</v>
      </c>
      <c r="AE9" s="120" t="s">
        <v>1428</v>
      </c>
      <c r="AF9" s="120" t="s">
        <v>203</v>
      </c>
      <c r="AG9" s="120" t="s">
        <v>89</v>
      </c>
      <c r="AH9" s="120" t="s">
        <v>89</v>
      </c>
      <c r="AI9" s="120" t="s">
        <v>1054</v>
      </c>
      <c r="AJ9" s="120" t="s">
        <v>89</v>
      </c>
      <c r="AK9" s="120" t="s">
        <v>89</v>
      </c>
      <c r="AL9" s="120" t="s">
        <v>89</v>
      </c>
      <c r="AM9" s="120" t="s">
        <v>499</v>
      </c>
      <c r="AN9" s="120" t="s">
        <v>6</v>
      </c>
      <c r="AO9"/>
      <c r="AP9" s="120" t="s">
        <v>89</v>
      </c>
      <c r="AQ9"/>
      <c r="AR9" s="120" t="s">
        <v>89</v>
      </c>
      <c r="AS9" s="120" t="s">
        <v>89</v>
      </c>
      <c r="AT9" s="120" t="s">
        <v>1427</v>
      </c>
      <c r="AU9" s="120" t="s">
        <v>244</v>
      </c>
      <c r="AV9" s="120" t="s">
        <v>198</v>
      </c>
      <c r="AW9"/>
      <c r="AX9"/>
      <c r="AY9" s="120" t="s">
        <v>1430</v>
      </c>
      <c r="AZ9" t="s">
        <v>498</v>
      </c>
      <c r="BM9" s="17"/>
    </row>
    <row r="10" spans="1:68" x14ac:dyDescent="0.25">
      <c r="A10" s="120"/>
      <c r="B10" s="120" t="s">
        <v>89</v>
      </c>
      <c r="C10" s="120" t="s">
        <v>1159</v>
      </c>
      <c r="D10" s="120" t="s">
        <v>1160</v>
      </c>
      <c r="E10" s="31">
        <v>45261</v>
      </c>
      <c r="F10" s="120" t="s">
        <v>80</v>
      </c>
      <c r="G10" s="120" t="s">
        <v>80</v>
      </c>
      <c r="H10" s="120" t="s">
        <v>570</v>
      </c>
      <c r="I10" s="120" t="s">
        <v>103</v>
      </c>
      <c r="J10" s="120">
        <v>1.04</v>
      </c>
      <c r="K10" s="120" t="s">
        <v>544</v>
      </c>
      <c r="L10" s="120" t="s">
        <v>821</v>
      </c>
      <c r="M10" s="120" t="s">
        <v>89</v>
      </c>
      <c r="N10" s="120" t="s">
        <v>821</v>
      </c>
      <c r="O10" s="120" t="s">
        <v>821</v>
      </c>
      <c r="P10" s="120"/>
      <c r="Q10" s="120"/>
      <c r="R10" s="120"/>
      <c r="S10" s="120" t="s">
        <v>35</v>
      </c>
      <c r="T10" s="120" t="s">
        <v>204</v>
      </c>
      <c r="U10" s="120" t="s">
        <v>89</v>
      </c>
      <c r="V10" s="120" t="s">
        <v>89</v>
      </c>
      <c r="W10" s="120" t="s">
        <v>205</v>
      </c>
      <c r="X10" s="120" t="s">
        <v>89</v>
      </c>
      <c r="Y10" s="31">
        <v>45265</v>
      </c>
      <c r="Z10" s="31">
        <v>45629</v>
      </c>
      <c r="AA10" s="31">
        <v>45629</v>
      </c>
      <c r="AB10" s="120">
        <v>0.14299999999999999</v>
      </c>
      <c r="AC10" s="120">
        <v>1.04</v>
      </c>
      <c r="AD10" s="120">
        <v>1.1160000000000001</v>
      </c>
      <c r="AE10" s="120" t="s">
        <v>1167</v>
      </c>
      <c r="AF10" s="120" t="s">
        <v>203</v>
      </c>
      <c r="AG10" s="120" t="s">
        <v>89</v>
      </c>
      <c r="AH10" s="120" t="s">
        <v>89</v>
      </c>
      <c r="AI10" s="120" t="s">
        <v>1159</v>
      </c>
      <c r="AJ10" s="120" t="s">
        <v>89</v>
      </c>
      <c r="AK10" s="120" t="s">
        <v>89</v>
      </c>
      <c r="AL10" s="120" t="s">
        <v>89</v>
      </c>
      <c r="AM10" s="120" t="s">
        <v>89</v>
      </c>
      <c r="AN10" s="120" t="s">
        <v>89</v>
      </c>
      <c r="AO10"/>
      <c r="AP10" s="120" t="s">
        <v>557</v>
      </c>
      <c r="AQ10"/>
      <c r="AR10" s="120" t="s">
        <v>89</v>
      </c>
      <c r="AS10" s="120" t="s">
        <v>89</v>
      </c>
      <c r="AT10" s="120" t="s">
        <v>1166</v>
      </c>
      <c r="AU10" s="120" t="s">
        <v>89</v>
      </c>
      <c r="AV10" s="120" t="s">
        <v>1523</v>
      </c>
      <c r="AW10"/>
      <c r="AX10"/>
      <c r="AY10" s="120" t="s">
        <v>1526</v>
      </c>
      <c r="AZ10" t="s">
        <v>498</v>
      </c>
      <c r="BM10" s="17"/>
    </row>
    <row r="11" spans="1:68" x14ac:dyDescent="0.25">
      <c r="A11" s="120"/>
      <c r="B11" s="120" t="s">
        <v>89</v>
      </c>
      <c r="C11" s="120" t="s">
        <v>1431</v>
      </c>
      <c r="D11" s="120" t="s">
        <v>1432</v>
      </c>
      <c r="E11" s="31">
        <v>45261</v>
      </c>
      <c r="F11" s="120" t="s">
        <v>80</v>
      </c>
      <c r="G11" s="120" t="s">
        <v>80</v>
      </c>
      <c r="H11" s="120" t="s">
        <v>804</v>
      </c>
      <c r="I11" s="120" t="s">
        <v>103</v>
      </c>
      <c r="J11" s="120">
        <v>4</v>
      </c>
      <c r="K11" s="120" t="s">
        <v>131</v>
      </c>
      <c r="L11" s="120" t="s">
        <v>1434</v>
      </c>
      <c r="M11" s="120" t="s">
        <v>1433</v>
      </c>
      <c r="N11" s="120" t="s">
        <v>1434</v>
      </c>
      <c r="O11" s="120" t="s">
        <v>1434</v>
      </c>
      <c r="P11" s="120">
        <v>20</v>
      </c>
      <c r="Q11" s="120"/>
      <c r="R11" s="120">
        <v>100</v>
      </c>
      <c r="S11" s="120" t="s">
        <v>108</v>
      </c>
      <c r="T11" s="120" t="s">
        <v>204</v>
      </c>
      <c r="U11" s="120" t="s">
        <v>129</v>
      </c>
      <c r="V11" s="120" t="s">
        <v>6</v>
      </c>
      <c r="W11" s="120" t="s">
        <v>89</v>
      </c>
      <c r="X11" s="120" t="s">
        <v>115</v>
      </c>
      <c r="Y11" s="31">
        <v>45268</v>
      </c>
      <c r="Z11" s="31">
        <v>45451</v>
      </c>
      <c r="AA11" s="31">
        <v>46364</v>
      </c>
      <c r="AB11" s="120">
        <v>0.54800000000000004</v>
      </c>
      <c r="AC11" s="120">
        <v>4</v>
      </c>
      <c r="AD11" s="120">
        <v>4.2930000000000001</v>
      </c>
      <c r="AE11" s="120" t="s">
        <v>1444</v>
      </c>
      <c r="AF11" s="120" t="s">
        <v>203</v>
      </c>
      <c r="AG11" s="120" t="s">
        <v>89</v>
      </c>
      <c r="AH11" s="120" t="s">
        <v>89</v>
      </c>
      <c r="AI11" s="120" t="s">
        <v>1431</v>
      </c>
      <c r="AJ11" s="120" t="s">
        <v>89</v>
      </c>
      <c r="AK11" s="120" t="s">
        <v>89</v>
      </c>
      <c r="AL11" s="120" t="s">
        <v>631</v>
      </c>
      <c r="AM11" s="120" t="s">
        <v>89</v>
      </c>
      <c r="AN11" s="120" t="s">
        <v>6</v>
      </c>
      <c r="AO11"/>
      <c r="AP11" s="120" t="s">
        <v>89</v>
      </c>
      <c r="AQ11"/>
      <c r="AR11" s="120" t="s">
        <v>89</v>
      </c>
      <c r="AS11" s="120" t="s">
        <v>89</v>
      </c>
      <c r="AT11" s="120" t="s">
        <v>1443</v>
      </c>
      <c r="AU11" s="120" t="s">
        <v>244</v>
      </c>
      <c r="AV11" s="120" t="s">
        <v>198</v>
      </c>
      <c r="AW11"/>
      <c r="AX11"/>
      <c r="AY11" s="120" t="s">
        <v>1446</v>
      </c>
      <c r="AZ11" t="s">
        <v>498</v>
      </c>
      <c r="BO11" s="17"/>
    </row>
    <row r="12" spans="1:68" x14ac:dyDescent="0.25">
      <c r="A12" s="120"/>
      <c r="B12" s="120" t="s">
        <v>89</v>
      </c>
      <c r="C12" s="120" t="s">
        <v>1132</v>
      </c>
      <c r="D12" s="120" t="s">
        <v>1133</v>
      </c>
      <c r="E12" s="31">
        <v>45260</v>
      </c>
      <c r="F12" s="120" t="s">
        <v>80</v>
      </c>
      <c r="G12" s="120" t="s">
        <v>80</v>
      </c>
      <c r="H12" s="120" t="s">
        <v>570</v>
      </c>
      <c r="I12" s="120" t="s">
        <v>103</v>
      </c>
      <c r="J12" s="120">
        <v>3.6970000000000001</v>
      </c>
      <c r="K12" s="120" t="s">
        <v>131</v>
      </c>
      <c r="L12" s="120" t="s">
        <v>846</v>
      </c>
      <c r="M12" s="120" t="s">
        <v>89</v>
      </c>
      <c r="N12" s="120" t="s">
        <v>846</v>
      </c>
      <c r="O12" s="120" t="s">
        <v>89</v>
      </c>
      <c r="P12" s="120"/>
      <c r="Q12" s="120"/>
      <c r="R12" s="120">
        <v>100</v>
      </c>
      <c r="S12" s="120" t="s">
        <v>108</v>
      </c>
      <c r="T12" s="120" t="s">
        <v>204</v>
      </c>
      <c r="U12" s="120" t="s">
        <v>6</v>
      </c>
      <c r="V12" s="120" t="s">
        <v>6</v>
      </c>
      <c r="W12" s="120" t="s">
        <v>89</v>
      </c>
      <c r="X12" s="120" t="s">
        <v>115</v>
      </c>
      <c r="Y12" s="31">
        <v>45267</v>
      </c>
      <c r="Z12" s="31">
        <v>45450</v>
      </c>
      <c r="AA12" s="31">
        <v>46363</v>
      </c>
      <c r="AB12" s="120">
        <v>0.50700000000000001</v>
      </c>
      <c r="AC12" s="120">
        <v>3.6970000000000001</v>
      </c>
      <c r="AD12" s="120">
        <v>3.968</v>
      </c>
      <c r="AE12" s="120" t="s">
        <v>1142</v>
      </c>
      <c r="AF12" s="120" t="s">
        <v>203</v>
      </c>
      <c r="AG12" s="120" t="s">
        <v>89</v>
      </c>
      <c r="AH12" s="120" t="s">
        <v>89</v>
      </c>
      <c r="AI12" s="120" t="s">
        <v>1132</v>
      </c>
      <c r="AJ12" s="120" t="s">
        <v>89</v>
      </c>
      <c r="AK12" s="120" t="s">
        <v>89</v>
      </c>
      <c r="AL12" s="120" t="s">
        <v>634</v>
      </c>
      <c r="AM12" s="120" t="s">
        <v>89</v>
      </c>
      <c r="AN12" s="120" t="s">
        <v>6</v>
      </c>
      <c r="AO12"/>
      <c r="AP12" s="120" t="s">
        <v>89</v>
      </c>
      <c r="AQ12"/>
      <c r="AR12" s="120" t="s">
        <v>89</v>
      </c>
      <c r="AS12" s="120" t="s">
        <v>89</v>
      </c>
      <c r="AT12" s="120" t="s">
        <v>1141</v>
      </c>
      <c r="AU12" s="120" t="s">
        <v>244</v>
      </c>
      <c r="AV12" s="120" t="s">
        <v>198</v>
      </c>
      <c r="AW12"/>
      <c r="AX12"/>
      <c r="AY12" s="120" t="s">
        <v>1144</v>
      </c>
      <c r="AZ12" t="s">
        <v>498</v>
      </c>
      <c r="BO12" s="17"/>
    </row>
    <row r="13" spans="1:68" x14ac:dyDescent="0.25">
      <c r="A13" s="120"/>
      <c r="B13" s="120" t="s">
        <v>89</v>
      </c>
      <c r="C13" s="120" t="s">
        <v>1145</v>
      </c>
      <c r="D13" s="120" t="s">
        <v>1146</v>
      </c>
      <c r="E13" s="31">
        <v>45260</v>
      </c>
      <c r="F13" s="120" t="s">
        <v>80</v>
      </c>
      <c r="G13" s="120" t="s">
        <v>80</v>
      </c>
      <c r="H13" s="120" t="s">
        <v>570</v>
      </c>
      <c r="I13" s="120" t="s">
        <v>103</v>
      </c>
      <c r="J13" s="120">
        <v>2</v>
      </c>
      <c r="K13" s="120" t="s">
        <v>1122</v>
      </c>
      <c r="L13" s="120" t="s">
        <v>1147</v>
      </c>
      <c r="M13" s="120" t="s">
        <v>89</v>
      </c>
      <c r="N13" s="120" t="s">
        <v>1147</v>
      </c>
      <c r="O13" s="120" t="s">
        <v>89</v>
      </c>
      <c r="P13" s="120"/>
      <c r="Q13" s="120"/>
      <c r="R13" s="120">
        <v>100</v>
      </c>
      <c r="S13" s="120" t="s">
        <v>37</v>
      </c>
      <c r="T13" s="120" t="s">
        <v>106</v>
      </c>
      <c r="U13" s="120" t="s">
        <v>6</v>
      </c>
      <c r="V13" s="120" t="s">
        <v>6</v>
      </c>
      <c r="W13" s="120" t="s">
        <v>89</v>
      </c>
      <c r="X13" s="120" t="s">
        <v>115</v>
      </c>
      <c r="Y13" s="31">
        <v>45268</v>
      </c>
      <c r="Z13" s="31">
        <v>45451</v>
      </c>
      <c r="AA13" s="31">
        <v>45999</v>
      </c>
      <c r="AB13" s="120">
        <v>0.27400000000000002</v>
      </c>
      <c r="AC13" s="120">
        <v>2</v>
      </c>
      <c r="AD13" s="120">
        <v>2.1469999999999998</v>
      </c>
      <c r="AE13" s="120" t="s">
        <v>1155</v>
      </c>
      <c r="AF13" s="120" t="s">
        <v>203</v>
      </c>
      <c r="AG13" s="120" t="s">
        <v>89</v>
      </c>
      <c r="AH13" s="120" t="s">
        <v>89</v>
      </c>
      <c r="AI13" s="120" t="s">
        <v>1156</v>
      </c>
      <c r="AJ13" s="120" t="s">
        <v>1145</v>
      </c>
      <c r="AK13" s="120" t="s">
        <v>89</v>
      </c>
      <c r="AL13" s="120" t="s">
        <v>89</v>
      </c>
      <c r="AM13" s="120" t="s">
        <v>89</v>
      </c>
      <c r="AN13" s="120" t="s">
        <v>6</v>
      </c>
      <c r="AO13"/>
      <c r="AP13" s="120" t="s">
        <v>89</v>
      </c>
      <c r="AQ13"/>
      <c r="AR13" s="120" t="s">
        <v>89</v>
      </c>
      <c r="AS13" s="120" t="s">
        <v>89</v>
      </c>
      <c r="AT13" s="120" t="s">
        <v>1154</v>
      </c>
      <c r="AU13" s="120" t="s">
        <v>244</v>
      </c>
      <c r="AV13" s="120" t="s">
        <v>198</v>
      </c>
      <c r="AW13"/>
      <c r="AX13"/>
      <c r="AY13" s="120" t="s">
        <v>1158</v>
      </c>
      <c r="AZ13" t="s">
        <v>498</v>
      </c>
      <c r="BO13" s="17"/>
    </row>
    <row r="14" spans="1:68" x14ac:dyDescent="0.25">
      <c r="A14" s="120"/>
      <c r="B14" s="120" t="s">
        <v>89</v>
      </c>
      <c r="C14" s="120" t="s">
        <v>1159</v>
      </c>
      <c r="D14" s="120" t="s">
        <v>1160</v>
      </c>
      <c r="E14" s="31">
        <v>45260</v>
      </c>
      <c r="F14" s="120" t="s">
        <v>80</v>
      </c>
      <c r="G14" s="120" t="s">
        <v>80</v>
      </c>
      <c r="H14" s="120" t="s">
        <v>570</v>
      </c>
      <c r="I14" s="120" t="s">
        <v>103</v>
      </c>
      <c r="J14" s="120">
        <v>3.53</v>
      </c>
      <c r="K14" s="120" t="s">
        <v>544</v>
      </c>
      <c r="L14" s="120" t="s">
        <v>821</v>
      </c>
      <c r="M14" s="120" t="s">
        <v>89</v>
      </c>
      <c r="N14" s="120" t="s">
        <v>821</v>
      </c>
      <c r="O14" s="120" t="s">
        <v>89</v>
      </c>
      <c r="P14" s="120"/>
      <c r="Q14" s="120"/>
      <c r="R14" s="120">
        <v>100</v>
      </c>
      <c r="S14" s="120" t="s">
        <v>35</v>
      </c>
      <c r="T14" s="120" t="s">
        <v>204</v>
      </c>
      <c r="U14" s="120" t="s">
        <v>6</v>
      </c>
      <c r="V14" s="120" t="s">
        <v>6</v>
      </c>
      <c r="W14" s="120" t="s">
        <v>89</v>
      </c>
      <c r="X14" s="120" t="s">
        <v>89</v>
      </c>
      <c r="Y14" s="31">
        <v>45265</v>
      </c>
      <c r="Z14" s="31">
        <v>45629</v>
      </c>
      <c r="AA14" s="31">
        <v>45629</v>
      </c>
      <c r="AB14" s="120">
        <v>0.48399999999999999</v>
      </c>
      <c r="AC14" s="120">
        <v>3.53</v>
      </c>
      <c r="AD14" s="120">
        <v>3.7890000000000001</v>
      </c>
      <c r="AE14" s="120" t="s">
        <v>1167</v>
      </c>
      <c r="AF14" s="120" t="s">
        <v>203</v>
      </c>
      <c r="AG14" s="120" t="s">
        <v>89</v>
      </c>
      <c r="AH14" s="120" t="s">
        <v>89</v>
      </c>
      <c r="AI14" s="120" t="s">
        <v>1159</v>
      </c>
      <c r="AJ14" s="120" t="s">
        <v>89</v>
      </c>
      <c r="AK14" s="120" t="s">
        <v>89</v>
      </c>
      <c r="AL14" s="120" t="s">
        <v>89</v>
      </c>
      <c r="AM14" s="120" t="s">
        <v>89</v>
      </c>
      <c r="AN14" s="120" t="s">
        <v>6</v>
      </c>
      <c r="AO14"/>
      <c r="AP14" s="120" t="s">
        <v>557</v>
      </c>
      <c r="AQ14"/>
      <c r="AR14" s="120" t="s">
        <v>89</v>
      </c>
      <c r="AS14" s="120" t="s">
        <v>89</v>
      </c>
      <c r="AT14" s="120" t="s">
        <v>1166</v>
      </c>
      <c r="AU14" s="120" t="s">
        <v>244</v>
      </c>
      <c r="AV14" s="120" t="s">
        <v>198</v>
      </c>
      <c r="AW14"/>
      <c r="AX14"/>
      <c r="AY14" s="120" t="s">
        <v>1169</v>
      </c>
      <c r="AZ14" t="s">
        <v>498</v>
      </c>
      <c r="BP14" s="17"/>
    </row>
    <row r="15" spans="1:68" x14ac:dyDescent="0.25">
      <c r="A15" s="120"/>
      <c r="B15" s="120" t="s">
        <v>89</v>
      </c>
      <c r="C15" s="120" t="s">
        <v>1170</v>
      </c>
      <c r="D15" s="120" t="s">
        <v>1171</v>
      </c>
      <c r="E15" s="31">
        <v>45259</v>
      </c>
      <c r="F15" s="120" t="s">
        <v>80</v>
      </c>
      <c r="G15" s="120" t="s">
        <v>80</v>
      </c>
      <c r="H15" s="120" t="s">
        <v>570</v>
      </c>
      <c r="I15" s="120" t="s">
        <v>103</v>
      </c>
      <c r="J15" s="120">
        <v>3</v>
      </c>
      <c r="K15" s="120" t="s">
        <v>131</v>
      </c>
      <c r="L15" s="120" t="s">
        <v>1173</v>
      </c>
      <c r="M15" s="120" t="s">
        <v>89</v>
      </c>
      <c r="N15" s="120" t="s">
        <v>1173</v>
      </c>
      <c r="O15" s="120" t="s">
        <v>89</v>
      </c>
      <c r="P15" s="120"/>
      <c r="Q15" s="120"/>
      <c r="R15" s="120">
        <v>100</v>
      </c>
      <c r="S15" s="120" t="s">
        <v>233</v>
      </c>
      <c r="T15" s="120" t="s">
        <v>204</v>
      </c>
      <c r="U15" s="120" t="s">
        <v>6</v>
      </c>
      <c r="V15" s="120" t="s">
        <v>6</v>
      </c>
      <c r="W15" s="120" t="s">
        <v>89</v>
      </c>
      <c r="X15" s="120" t="s">
        <v>115</v>
      </c>
      <c r="Y15" s="31">
        <v>45266</v>
      </c>
      <c r="Z15" s="31">
        <v>45449</v>
      </c>
      <c r="AA15" s="31">
        <v>46362</v>
      </c>
      <c r="AB15" s="120">
        <v>0.41099999999999998</v>
      </c>
      <c r="AC15" s="120">
        <v>3</v>
      </c>
      <c r="AD15" s="120">
        <v>3.22</v>
      </c>
      <c r="AE15" s="120" t="s">
        <v>1180</v>
      </c>
      <c r="AF15" s="120" t="s">
        <v>558</v>
      </c>
      <c r="AG15" s="120" t="s">
        <v>89</v>
      </c>
      <c r="AH15" s="120" t="s">
        <v>89</v>
      </c>
      <c r="AI15" s="120" t="s">
        <v>1181</v>
      </c>
      <c r="AJ15" s="120" t="s">
        <v>1182</v>
      </c>
      <c r="AK15" s="120" t="s">
        <v>1170</v>
      </c>
      <c r="AL15" s="120" t="s">
        <v>653</v>
      </c>
      <c r="AM15" s="120" t="s">
        <v>89</v>
      </c>
      <c r="AN15" s="120" t="s">
        <v>6</v>
      </c>
      <c r="AO15"/>
      <c r="AP15" s="120" t="s">
        <v>89</v>
      </c>
      <c r="AQ15"/>
      <c r="AR15" s="120" t="s">
        <v>89</v>
      </c>
      <c r="AS15" s="120" t="s">
        <v>89</v>
      </c>
      <c r="AT15" s="120" t="s">
        <v>1179</v>
      </c>
      <c r="AU15" s="120" t="s">
        <v>244</v>
      </c>
      <c r="AV15" s="120" t="s">
        <v>198</v>
      </c>
      <c r="AW15"/>
      <c r="AX15"/>
      <c r="AY15" s="120" t="s">
        <v>1183</v>
      </c>
      <c r="AZ15" t="s">
        <v>498</v>
      </c>
    </row>
    <row r="16" spans="1:68" x14ac:dyDescent="0.25">
      <c r="A16" s="120"/>
      <c r="B16" s="120" t="s">
        <v>89</v>
      </c>
      <c r="C16" s="120" t="s">
        <v>1188</v>
      </c>
      <c r="D16" s="120" t="s">
        <v>1189</v>
      </c>
      <c r="E16" s="31">
        <v>45259</v>
      </c>
      <c r="F16" s="120" t="s">
        <v>80</v>
      </c>
      <c r="G16" s="120" t="s">
        <v>1208</v>
      </c>
      <c r="H16" s="120" t="s">
        <v>315</v>
      </c>
      <c r="I16" s="120" t="s">
        <v>82</v>
      </c>
      <c r="J16" s="120">
        <v>1.87</v>
      </c>
      <c r="K16" s="120" t="s">
        <v>131</v>
      </c>
      <c r="L16" s="120" t="s">
        <v>1206</v>
      </c>
      <c r="M16" s="120" t="s">
        <v>1190</v>
      </c>
      <c r="N16" s="120" t="s">
        <v>1191</v>
      </c>
      <c r="O16" s="120" t="s">
        <v>1206</v>
      </c>
      <c r="P16" s="120">
        <v>52.5</v>
      </c>
      <c r="Q16" s="120"/>
      <c r="R16" s="120">
        <v>100</v>
      </c>
      <c r="S16" s="120" t="s">
        <v>37</v>
      </c>
      <c r="T16" s="120" t="s">
        <v>215</v>
      </c>
      <c r="U16" s="120" t="s">
        <v>6</v>
      </c>
      <c r="V16" s="120" t="s">
        <v>6</v>
      </c>
      <c r="W16" s="120" t="s">
        <v>89</v>
      </c>
      <c r="X16" s="120" t="s">
        <v>115</v>
      </c>
      <c r="Y16" s="31">
        <v>45265</v>
      </c>
      <c r="Z16" s="31">
        <v>45448</v>
      </c>
      <c r="AA16" s="31">
        <v>46361</v>
      </c>
      <c r="AB16" s="120">
        <v>1.87</v>
      </c>
      <c r="AC16" s="120">
        <v>13.638</v>
      </c>
      <c r="AD16" s="120">
        <v>14.643000000000001</v>
      </c>
      <c r="AE16" s="120" t="s">
        <v>1204</v>
      </c>
      <c r="AF16" s="120" t="s">
        <v>1210</v>
      </c>
      <c r="AG16" s="120" t="s">
        <v>89</v>
      </c>
      <c r="AH16" s="120" t="s">
        <v>89</v>
      </c>
      <c r="AI16" s="120" t="s">
        <v>1205</v>
      </c>
      <c r="AJ16" s="120" t="s">
        <v>1188</v>
      </c>
      <c r="AK16" s="120" t="s">
        <v>89</v>
      </c>
      <c r="AL16" s="120" t="s">
        <v>89</v>
      </c>
      <c r="AM16" s="120" t="s">
        <v>89</v>
      </c>
      <c r="AN16" s="120" t="s">
        <v>253</v>
      </c>
      <c r="AO16"/>
      <c r="AP16" s="120" t="s">
        <v>89</v>
      </c>
      <c r="AQ16"/>
      <c r="AR16" s="120" t="s">
        <v>89</v>
      </c>
      <c r="AS16" s="120" t="s">
        <v>1527</v>
      </c>
      <c r="AT16" s="120" t="s">
        <v>1203</v>
      </c>
      <c r="AU16" s="120" t="s">
        <v>244</v>
      </c>
      <c r="AV16" s="120" t="s">
        <v>198</v>
      </c>
      <c r="AW16"/>
      <c r="AX16"/>
      <c r="AY16" s="120" t="s">
        <v>1209</v>
      </c>
      <c r="AZ16" t="s">
        <v>498</v>
      </c>
    </row>
    <row r="17" spans="1:52" x14ac:dyDescent="0.25">
      <c r="A17" s="120"/>
      <c r="B17" s="120" t="s">
        <v>89</v>
      </c>
      <c r="C17" s="120" t="s">
        <v>1145</v>
      </c>
      <c r="D17" s="120" t="s">
        <v>1211</v>
      </c>
      <c r="E17" s="31">
        <v>45258</v>
      </c>
      <c r="F17" s="120" t="s">
        <v>80</v>
      </c>
      <c r="G17" s="120" t="s">
        <v>80</v>
      </c>
      <c r="H17" s="120" t="s">
        <v>570</v>
      </c>
      <c r="I17" s="120" t="s">
        <v>103</v>
      </c>
      <c r="J17" s="120">
        <v>3</v>
      </c>
      <c r="K17" s="120" t="s">
        <v>1122</v>
      </c>
      <c r="L17" s="120" t="s">
        <v>1320</v>
      </c>
      <c r="M17" s="120" t="s">
        <v>89</v>
      </c>
      <c r="N17" s="120" t="s">
        <v>89</v>
      </c>
      <c r="O17" s="120" t="s">
        <v>89</v>
      </c>
      <c r="P17" s="120"/>
      <c r="Q17" s="120"/>
      <c r="R17" s="120">
        <v>100</v>
      </c>
      <c r="S17" s="120" t="s">
        <v>37</v>
      </c>
      <c r="T17" s="120" t="s">
        <v>106</v>
      </c>
      <c r="U17" s="120" t="s">
        <v>6</v>
      </c>
      <c r="V17" s="120" t="s">
        <v>6</v>
      </c>
      <c r="W17" s="120" t="s">
        <v>89</v>
      </c>
      <c r="X17" s="120" t="s">
        <v>115</v>
      </c>
      <c r="Y17" s="31">
        <v>45261</v>
      </c>
      <c r="Z17" s="31">
        <v>45444</v>
      </c>
      <c r="AA17" s="31">
        <v>45992</v>
      </c>
      <c r="AB17" s="120">
        <v>0.41099999999999998</v>
      </c>
      <c r="AC17" s="120">
        <v>3</v>
      </c>
      <c r="AD17" s="120">
        <v>3.22</v>
      </c>
      <c r="AE17" s="120" t="s">
        <v>1155</v>
      </c>
      <c r="AF17" s="120" t="s">
        <v>203</v>
      </c>
      <c r="AG17" s="120" t="s">
        <v>89</v>
      </c>
      <c r="AH17" s="120" t="s">
        <v>89</v>
      </c>
      <c r="AI17" s="120" t="s">
        <v>1156</v>
      </c>
      <c r="AJ17" s="120" t="s">
        <v>1145</v>
      </c>
      <c r="AK17" s="120" t="s">
        <v>89</v>
      </c>
      <c r="AL17" s="120" t="s">
        <v>89</v>
      </c>
      <c r="AM17" s="120" t="s">
        <v>89</v>
      </c>
      <c r="AN17" s="120" t="s">
        <v>6</v>
      </c>
      <c r="AO17"/>
      <c r="AP17" s="120" t="s">
        <v>89</v>
      </c>
      <c r="AQ17"/>
      <c r="AR17" s="120" t="s">
        <v>89</v>
      </c>
      <c r="AS17" s="120" t="s">
        <v>89</v>
      </c>
      <c r="AT17" s="120" t="s">
        <v>89</v>
      </c>
      <c r="AU17" s="120" t="s">
        <v>244</v>
      </c>
      <c r="AV17" s="120" t="s">
        <v>198</v>
      </c>
      <c r="AW17"/>
      <c r="AX17"/>
      <c r="AY17" s="120" t="s">
        <v>1215</v>
      </c>
      <c r="AZ17" t="s">
        <v>498</v>
      </c>
    </row>
    <row r="18" spans="1:52" x14ac:dyDescent="0.25">
      <c r="A18" s="120"/>
      <c r="B18" s="120" t="s">
        <v>89</v>
      </c>
      <c r="C18" s="120" t="s">
        <v>380</v>
      </c>
      <c r="D18" s="120" t="s">
        <v>1216</v>
      </c>
      <c r="E18" s="31">
        <v>45258</v>
      </c>
      <c r="F18" s="120" t="s">
        <v>1233</v>
      </c>
      <c r="G18" s="120" t="s">
        <v>1234</v>
      </c>
      <c r="H18" s="120" t="s">
        <v>315</v>
      </c>
      <c r="I18" s="120" t="s">
        <v>82</v>
      </c>
      <c r="J18" s="120">
        <v>5</v>
      </c>
      <c r="K18" s="120" t="s">
        <v>1096</v>
      </c>
      <c r="L18" s="120" t="s">
        <v>1321</v>
      </c>
      <c r="M18" s="120" t="s">
        <v>1217</v>
      </c>
      <c r="N18" s="120" t="s">
        <v>1218</v>
      </c>
      <c r="O18" s="120" t="s">
        <v>1218</v>
      </c>
      <c r="P18" s="120">
        <v>35</v>
      </c>
      <c r="Q18" s="120"/>
      <c r="R18" s="120">
        <v>99.63</v>
      </c>
      <c r="S18" s="120" t="s">
        <v>35</v>
      </c>
      <c r="T18" s="120" t="s">
        <v>215</v>
      </c>
      <c r="U18" s="120" t="s">
        <v>129</v>
      </c>
      <c r="V18" s="120" t="s">
        <v>6</v>
      </c>
      <c r="W18" s="120" t="s">
        <v>89</v>
      </c>
      <c r="X18" s="120" t="s">
        <v>115</v>
      </c>
      <c r="Y18" s="31">
        <v>45265</v>
      </c>
      <c r="Z18" s="31">
        <v>45448</v>
      </c>
      <c r="AA18" s="31">
        <v>48918</v>
      </c>
      <c r="AB18" s="120">
        <v>5</v>
      </c>
      <c r="AC18" s="120">
        <v>36.463999999999999</v>
      </c>
      <c r="AD18" s="120">
        <v>39.152999999999999</v>
      </c>
      <c r="AE18" s="120" t="s">
        <v>1229</v>
      </c>
      <c r="AF18" s="120" t="s">
        <v>298</v>
      </c>
      <c r="AG18" s="120" t="s">
        <v>89</v>
      </c>
      <c r="AH18" s="120" t="s">
        <v>89</v>
      </c>
      <c r="AI18" s="120" t="s">
        <v>380</v>
      </c>
      <c r="AJ18" s="120" t="s">
        <v>89</v>
      </c>
      <c r="AK18" s="120" t="s">
        <v>89</v>
      </c>
      <c r="AL18" s="120" t="s">
        <v>89</v>
      </c>
      <c r="AM18" s="120" t="s">
        <v>89</v>
      </c>
      <c r="AN18" s="120" t="s">
        <v>253</v>
      </c>
      <c r="AO18"/>
      <c r="AP18" s="120" t="s">
        <v>89</v>
      </c>
      <c r="AQ18"/>
      <c r="AR18" s="120" t="s">
        <v>89</v>
      </c>
      <c r="AS18" s="120" t="s">
        <v>89</v>
      </c>
      <c r="AT18" s="120" t="s">
        <v>1228</v>
      </c>
      <c r="AU18" s="120" t="s">
        <v>244</v>
      </c>
      <c r="AV18" s="120" t="s">
        <v>198</v>
      </c>
      <c r="AW18"/>
      <c r="AX18"/>
      <c r="AY18" s="120" t="s">
        <v>1235</v>
      </c>
      <c r="AZ18" t="s">
        <v>498</v>
      </c>
    </row>
    <row r="19" spans="1:52" x14ac:dyDescent="0.25">
      <c r="A19" s="120"/>
      <c r="B19" s="120" t="s">
        <v>89</v>
      </c>
      <c r="C19" s="120" t="s">
        <v>1236</v>
      </c>
      <c r="D19" s="120" t="s">
        <v>1237</v>
      </c>
      <c r="E19" s="31">
        <v>45257</v>
      </c>
      <c r="F19" s="120" t="s">
        <v>1251</v>
      </c>
      <c r="G19" s="120" t="s">
        <v>1251</v>
      </c>
      <c r="H19" s="120" t="s">
        <v>315</v>
      </c>
      <c r="I19" s="120" t="s">
        <v>82</v>
      </c>
      <c r="J19" s="120">
        <v>3.3</v>
      </c>
      <c r="K19" s="120" t="s">
        <v>131</v>
      </c>
      <c r="L19" s="120" t="s">
        <v>1239</v>
      </c>
      <c r="M19" s="120" t="s">
        <v>1238</v>
      </c>
      <c r="N19" s="120" t="s">
        <v>1239</v>
      </c>
      <c r="O19" s="120" t="s">
        <v>1239</v>
      </c>
      <c r="P19" s="120">
        <v>40</v>
      </c>
      <c r="Q19" s="120"/>
      <c r="R19" s="120">
        <v>100</v>
      </c>
      <c r="S19" s="120" t="s">
        <v>37</v>
      </c>
      <c r="T19" s="120" t="s">
        <v>204</v>
      </c>
      <c r="U19" s="120" t="s">
        <v>6</v>
      </c>
      <c r="V19" s="120" t="s">
        <v>6</v>
      </c>
      <c r="W19" s="120" t="s">
        <v>89</v>
      </c>
      <c r="X19" s="120" t="s">
        <v>115</v>
      </c>
      <c r="Y19" s="31">
        <v>45264</v>
      </c>
      <c r="Z19" s="31">
        <v>45447</v>
      </c>
      <c r="AA19" s="31">
        <v>46360</v>
      </c>
      <c r="AB19" s="120">
        <v>3.3</v>
      </c>
      <c r="AC19" s="120">
        <v>24.065999999999999</v>
      </c>
      <c r="AD19" s="120">
        <v>25.841000000000001</v>
      </c>
      <c r="AE19" s="120" t="s">
        <v>1248</v>
      </c>
      <c r="AF19" s="120" t="s">
        <v>558</v>
      </c>
      <c r="AG19" s="120" t="s">
        <v>89</v>
      </c>
      <c r="AH19" s="120" t="s">
        <v>89</v>
      </c>
      <c r="AI19" s="120" t="s">
        <v>1249</v>
      </c>
      <c r="AJ19" s="120" t="s">
        <v>1236</v>
      </c>
      <c r="AK19" s="120" t="s">
        <v>89</v>
      </c>
      <c r="AL19" s="120" t="s">
        <v>89</v>
      </c>
      <c r="AM19" s="120" t="s">
        <v>510</v>
      </c>
      <c r="AN19" s="120" t="s">
        <v>6</v>
      </c>
      <c r="AO19"/>
      <c r="AP19" s="120" t="s">
        <v>89</v>
      </c>
      <c r="AQ19"/>
      <c r="AR19" s="120" t="s">
        <v>89</v>
      </c>
      <c r="AS19" s="120" t="s">
        <v>89</v>
      </c>
      <c r="AT19" s="120" t="s">
        <v>1247</v>
      </c>
      <c r="AU19" s="120" t="s">
        <v>244</v>
      </c>
      <c r="AV19" s="120" t="s">
        <v>198</v>
      </c>
      <c r="AW19"/>
      <c r="AX19"/>
      <c r="AY19" s="120" t="s">
        <v>1253</v>
      </c>
      <c r="AZ19" t="s">
        <v>498</v>
      </c>
    </row>
    <row r="20" spans="1:52" x14ac:dyDescent="0.25">
      <c r="A20" s="120"/>
      <c r="B20" s="120" t="s">
        <v>89</v>
      </c>
      <c r="C20" s="120" t="s">
        <v>1254</v>
      </c>
      <c r="D20" s="120" t="s">
        <v>1255</v>
      </c>
      <c r="E20" s="31">
        <v>45257</v>
      </c>
      <c r="F20" s="120" t="s">
        <v>80</v>
      </c>
      <c r="G20" s="120" t="s">
        <v>80</v>
      </c>
      <c r="H20" s="120" t="s">
        <v>570</v>
      </c>
      <c r="I20" s="120" t="s">
        <v>103</v>
      </c>
      <c r="J20" s="120">
        <v>7.1</v>
      </c>
      <c r="K20" s="120" t="s">
        <v>131</v>
      </c>
      <c r="L20" s="120" t="s">
        <v>1257</v>
      </c>
      <c r="M20" s="120" t="s">
        <v>1256</v>
      </c>
      <c r="N20" s="120" t="s">
        <v>1257</v>
      </c>
      <c r="O20" s="120" t="s">
        <v>1257</v>
      </c>
      <c r="P20" s="120">
        <v>40</v>
      </c>
      <c r="Q20" s="120"/>
      <c r="R20" s="120">
        <v>100</v>
      </c>
      <c r="S20" s="120" t="s">
        <v>38</v>
      </c>
      <c r="T20" s="120" t="s">
        <v>204</v>
      </c>
      <c r="U20" s="120" t="s">
        <v>6</v>
      </c>
      <c r="V20" s="120" t="s">
        <v>6</v>
      </c>
      <c r="W20" s="120" t="s">
        <v>89</v>
      </c>
      <c r="X20" s="120" t="s">
        <v>115</v>
      </c>
      <c r="Y20" s="31">
        <v>45265</v>
      </c>
      <c r="Z20" s="31">
        <v>45448</v>
      </c>
      <c r="AA20" s="31">
        <v>46361</v>
      </c>
      <c r="AB20" s="120">
        <v>0.97299999999999998</v>
      </c>
      <c r="AC20" s="120">
        <v>7.1</v>
      </c>
      <c r="AD20" s="120">
        <v>7.62</v>
      </c>
      <c r="AE20" s="120" t="s">
        <v>1265</v>
      </c>
      <c r="AF20" s="120" t="s">
        <v>298</v>
      </c>
      <c r="AG20" s="120" t="s">
        <v>89</v>
      </c>
      <c r="AH20" s="120" t="s">
        <v>89</v>
      </c>
      <c r="AI20" s="120" t="s">
        <v>1266</v>
      </c>
      <c r="AJ20" s="120" t="s">
        <v>89</v>
      </c>
      <c r="AK20" s="120" t="s">
        <v>1254</v>
      </c>
      <c r="AL20" s="120" t="s">
        <v>89</v>
      </c>
      <c r="AM20" s="120" t="s">
        <v>89</v>
      </c>
      <c r="AN20" s="120" t="s">
        <v>6</v>
      </c>
      <c r="AO20"/>
      <c r="AP20" s="120" t="s">
        <v>89</v>
      </c>
      <c r="AQ20"/>
      <c r="AR20" s="120" t="s">
        <v>89</v>
      </c>
      <c r="AS20" s="120" t="s">
        <v>89</v>
      </c>
      <c r="AT20" s="120" t="s">
        <v>1264</v>
      </c>
      <c r="AU20" s="120" t="s">
        <v>244</v>
      </c>
      <c r="AV20" s="120" t="s">
        <v>198</v>
      </c>
      <c r="AW20"/>
      <c r="AX20"/>
      <c r="AY20" s="120" t="s">
        <v>1268</v>
      </c>
      <c r="AZ20" t="s">
        <v>498</v>
      </c>
    </row>
    <row r="21" spans="1:52" x14ac:dyDescent="0.25">
      <c r="A21" s="120"/>
      <c r="B21" s="120" t="s">
        <v>89</v>
      </c>
      <c r="C21" s="120" t="s">
        <v>1182</v>
      </c>
      <c r="D21" s="120" t="s">
        <v>1269</v>
      </c>
      <c r="E21" s="31">
        <v>45257</v>
      </c>
      <c r="F21" s="120" t="s">
        <v>80</v>
      </c>
      <c r="G21" s="120" t="s">
        <v>80</v>
      </c>
      <c r="H21" s="120" t="s">
        <v>804</v>
      </c>
      <c r="I21" s="120" t="s">
        <v>103</v>
      </c>
      <c r="J21" s="120">
        <v>1.92</v>
      </c>
      <c r="K21" s="120" t="s">
        <v>131</v>
      </c>
      <c r="L21" s="120" t="s">
        <v>846</v>
      </c>
      <c r="M21" s="120" t="s">
        <v>89</v>
      </c>
      <c r="N21" s="120" t="s">
        <v>846</v>
      </c>
      <c r="O21" s="120" t="s">
        <v>89</v>
      </c>
      <c r="P21" s="120"/>
      <c r="Q21" s="120"/>
      <c r="R21" s="120">
        <v>100</v>
      </c>
      <c r="S21" s="120" t="s">
        <v>109</v>
      </c>
      <c r="T21" s="120" t="s">
        <v>204</v>
      </c>
      <c r="U21" s="120" t="s">
        <v>6</v>
      </c>
      <c r="V21" s="120" t="s">
        <v>6</v>
      </c>
      <c r="W21" s="120" t="s">
        <v>89</v>
      </c>
      <c r="X21" s="120" t="s">
        <v>115</v>
      </c>
      <c r="Y21" s="31">
        <v>45266</v>
      </c>
      <c r="Z21" s="31">
        <v>45449</v>
      </c>
      <c r="AA21" s="31">
        <v>46362</v>
      </c>
      <c r="AB21" s="120">
        <v>0.26300000000000001</v>
      </c>
      <c r="AC21" s="120">
        <v>1.92</v>
      </c>
      <c r="AD21" s="120">
        <v>2.0609999999999999</v>
      </c>
      <c r="AE21" s="120" t="s">
        <v>1275</v>
      </c>
      <c r="AF21" s="120" t="s">
        <v>558</v>
      </c>
      <c r="AG21" s="120" t="s">
        <v>89</v>
      </c>
      <c r="AH21" s="120" t="s">
        <v>89</v>
      </c>
      <c r="AI21" s="120" t="s">
        <v>1181</v>
      </c>
      <c r="AJ21" s="120" t="s">
        <v>1182</v>
      </c>
      <c r="AK21" s="120" t="s">
        <v>89</v>
      </c>
      <c r="AL21" s="120" t="s">
        <v>634</v>
      </c>
      <c r="AM21" s="120" t="s">
        <v>89</v>
      </c>
      <c r="AN21" s="120" t="s">
        <v>6</v>
      </c>
      <c r="AO21"/>
      <c r="AP21" s="120" t="s">
        <v>89</v>
      </c>
      <c r="AQ21"/>
      <c r="AR21" s="120" t="s">
        <v>89</v>
      </c>
      <c r="AS21" s="120" t="s">
        <v>89</v>
      </c>
      <c r="AT21" s="120" t="s">
        <v>1274</v>
      </c>
      <c r="AU21" s="120" t="s">
        <v>244</v>
      </c>
      <c r="AV21" s="120" t="s">
        <v>198</v>
      </c>
      <c r="AW21"/>
      <c r="AX21"/>
      <c r="AY21" s="120" t="s">
        <v>1277</v>
      </c>
      <c r="AZ21" t="s">
        <v>498</v>
      </c>
    </row>
    <row r="22" spans="1:52" x14ac:dyDescent="0.25">
      <c r="A22" s="120"/>
      <c r="B22" s="120" t="s">
        <v>89</v>
      </c>
      <c r="C22" s="120" t="s">
        <v>349</v>
      </c>
      <c r="D22" s="120" t="s">
        <v>819</v>
      </c>
      <c r="E22" s="31">
        <v>45254</v>
      </c>
      <c r="F22" s="120" t="s">
        <v>80</v>
      </c>
      <c r="G22" s="120" t="s">
        <v>80</v>
      </c>
      <c r="H22" s="120" t="s">
        <v>315</v>
      </c>
      <c r="I22" s="120" t="s">
        <v>82</v>
      </c>
      <c r="J22" s="120">
        <v>2.8</v>
      </c>
      <c r="K22" s="120" t="s">
        <v>845</v>
      </c>
      <c r="L22" s="120" t="s">
        <v>821</v>
      </c>
      <c r="M22" s="120" t="s">
        <v>820</v>
      </c>
      <c r="N22" s="120" t="s">
        <v>821</v>
      </c>
      <c r="O22" s="120" t="s">
        <v>821</v>
      </c>
      <c r="P22" s="120">
        <v>30</v>
      </c>
      <c r="Q22" s="120"/>
      <c r="R22" s="120">
        <v>100</v>
      </c>
      <c r="S22" s="120" t="s">
        <v>35</v>
      </c>
      <c r="T22" s="120" t="s">
        <v>843</v>
      </c>
      <c r="U22" s="120" t="s">
        <v>6</v>
      </c>
      <c r="V22" s="120" t="s">
        <v>6</v>
      </c>
      <c r="W22" s="120" t="s">
        <v>89</v>
      </c>
      <c r="X22" s="120" t="s">
        <v>115</v>
      </c>
      <c r="Y22" s="31">
        <v>45259</v>
      </c>
      <c r="Z22" s="31">
        <v>45441</v>
      </c>
      <c r="AA22" s="31">
        <v>49093</v>
      </c>
      <c r="AB22" s="120">
        <v>2.8</v>
      </c>
      <c r="AC22" s="120">
        <v>20.420000000000002</v>
      </c>
      <c r="AD22" s="120">
        <v>21.925999999999998</v>
      </c>
      <c r="AE22" s="120" t="s">
        <v>834</v>
      </c>
      <c r="AF22" s="120" t="s">
        <v>838</v>
      </c>
      <c r="AG22" s="120" t="s">
        <v>89</v>
      </c>
      <c r="AH22" s="120" t="s">
        <v>844</v>
      </c>
      <c r="AI22" s="120" t="s">
        <v>349</v>
      </c>
      <c r="AJ22" s="120" t="s">
        <v>89</v>
      </c>
      <c r="AK22" s="120" t="s">
        <v>89</v>
      </c>
      <c r="AL22" s="120" t="s">
        <v>89</v>
      </c>
      <c r="AM22" s="120" t="s">
        <v>89</v>
      </c>
      <c r="AN22" s="120" t="s">
        <v>253</v>
      </c>
      <c r="AO22"/>
      <c r="AP22" s="120" t="s">
        <v>89</v>
      </c>
      <c r="AQ22"/>
      <c r="AR22" s="120" t="s">
        <v>89</v>
      </c>
      <c r="AS22" s="120" t="s">
        <v>89</v>
      </c>
      <c r="AT22" s="120" t="s">
        <v>833</v>
      </c>
      <c r="AU22" s="120" t="s">
        <v>244</v>
      </c>
      <c r="AV22" s="120" t="s">
        <v>198</v>
      </c>
      <c r="AW22"/>
      <c r="AX22"/>
      <c r="AY22" s="120" t="s">
        <v>837</v>
      </c>
      <c r="AZ22" t="s">
        <v>498</v>
      </c>
    </row>
    <row r="23" spans="1:52" x14ac:dyDescent="0.25">
      <c r="A23" s="120"/>
      <c r="B23" s="120" t="s">
        <v>89</v>
      </c>
      <c r="C23" s="120" t="s">
        <v>1145</v>
      </c>
      <c r="D23" s="120" t="s">
        <v>1306</v>
      </c>
      <c r="E23" s="31">
        <v>45254</v>
      </c>
      <c r="F23" s="120" t="s">
        <v>80</v>
      </c>
      <c r="G23" s="120" t="s">
        <v>80</v>
      </c>
      <c r="H23" s="120" t="s">
        <v>570</v>
      </c>
      <c r="I23" s="120" t="s">
        <v>103</v>
      </c>
      <c r="J23" s="120">
        <v>2</v>
      </c>
      <c r="K23" s="120" t="s">
        <v>1322</v>
      </c>
      <c r="L23" s="120" t="s">
        <v>1323</v>
      </c>
      <c r="M23" s="120" t="s">
        <v>89</v>
      </c>
      <c r="N23" s="120" t="s">
        <v>89</v>
      </c>
      <c r="O23" s="120" t="s">
        <v>89</v>
      </c>
      <c r="P23" s="120"/>
      <c r="Q23" s="120"/>
      <c r="R23" s="120">
        <v>100</v>
      </c>
      <c r="S23" s="120" t="s">
        <v>37</v>
      </c>
      <c r="T23" s="120" t="s">
        <v>106</v>
      </c>
      <c r="U23" s="120" t="s">
        <v>6</v>
      </c>
      <c r="V23" s="120" t="s">
        <v>6</v>
      </c>
      <c r="W23" s="120" t="s">
        <v>89</v>
      </c>
      <c r="X23" s="120" t="s">
        <v>115</v>
      </c>
      <c r="Y23" s="31">
        <v>45266</v>
      </c>
      <c r="Z23" s="31">
        <v>45449</v>
      </c>
      <c r="AA23" s="31">
        <v>45814</v>
      </c>
      <c r="AB23" s="120">
        <v>0.27400000000000002</v>
      </c>
      <c r="AC23" s="120">
        <v>2</v>
      </c>
      <c r="AD23" s="120">
        <v>2.1469999999999998</v>
      </c>
      <c r="AE23" s="120" t="s">
        <v>1155</v>
      </c>
      <c r="AF23" s="120" t="s">
        <v>203</v>
      </c>
      <c r="AG23" s="120" t="s">
        <v>89</v>
      </c>
      <c r="AH23" s="120" t="s">
        <v>89</v>
      </c>
      <c r="AI23" s="120" t="s">
        <v>1156</v>
      </c>
      <c r="AJ23" s="120" t="s">
        <v>1145</v>
      </c>
      <c r="AK23" s="120" t="s">
        <v>89</v>
      </c>
      <c r="AL23" s="120" t="s">
        <v>89</v>
      </c>
      <c r="AM23" s="120" t="s">
        <v>89</v>
      </c>
      <c r="AN23" s="120" t="s">
        <v>6</v>
      </c>
      <c r="AO23"/>
      <c r="AP23" s="120" t="s">
        <v>89</v>
      </c>
      <c r="AQ23"/>
      <c r="AR23" s="120" t="s">
        <v>89</v>
      </c>
      <c r="AS23" s="120" t="s">
        <v>89</v>
      </c>
      <c r="AT23" s="120" t="s">
        <v>89</v>
      </c>
      <c r="AU23" s="120" t="s">
        <v>244</v>
      </c>
      <c r="AV23" s="120" t="s">
        <v>198</v>
      </c>
      <c r="AW23"/>
      <c r="AX23"/>
      <c r="AY23" s="120" t="s">
        <v>1310</v>
      </c>
      <c r="AZ23" t="s">
        <v>498</v>
      </c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sheetPr codeName="Sheet20"/>
  <dimension ref="A2:L14"/>
  <sheetViews>
    <sheetView workbookViewId="0">
      <selection activeCell="C12" sqref="C12"/>
    </sheetView>
  </sheetViews>
  <sheetFormatPr defaultRowHeight="15" x14ac:dyDescent="0.25"/>
  <cols>
    <col min="1" max="1" width="7.109375" bestFit="1" customWidth="1"/>
    <col min="2" max="2" width="10.88671875" bestFit="1" customWidth="1"/>
    <col min="3" max="3" width="10.33203125" bestFit="1" customWidth="1"/>
    <col min="4" max="4" width="13.21875" bestFit="1" customWidth="1"/>
    <col min="5" max="5" width="25.88671875" bestFit="1" customWidth="1"/>
    <col min="6" max="6" width="9.21875" bestFit="1" customWidth="1"/>
    <col min="7" max="7" width="5.88671875" bestFit="1" customWidth="1"/>
    <col min="8" max="8" width="12" bestFit="1" customWidth="1"/>
    <col min="9" max="9" width="7.5546875" bestFit="1" customWidth="1"/>
    <col min="10" max="10" width="5.88671875" bestFit="1" customWidth="1"/>
    <col min="11" max="11" width="19.33203125" bestFit="1" customWidth="1"/>
    <col min="12" max="12" width="8.44140625" bestFit="1" customWidth="1"/>
  </cols>
  <sheetData>
    <row r="2" spans="1:12" x14ac:dyDescent="0.25">
      <c r="A2" t="s">
        <v>83</v>
      </c>
      <c r="B2" t="s">
        <v>280</v>
      </c>
      <c r="C2" t="s">
        <v>47</v>
      </c>
      <c r="D2" t="s">
        <v>46</v>
      </c>
      <c r="E2" t="s">
        <v>91</v>
      </c>
      <c r="F2" t="s">
        <v>119</v>
      </c>
      <c r="G2" t="s">
        <v>62</v>
      </c>
      <c r="H2" t="s">
        <v>55</v>
      </c>
      <c r="I2" t="s">
        <v>140</v>
      </c>
      <c r="J2" t="s">
        <v>84</v>
      </c>
      <c r="K2" t="s">
        <v>121</v>
      </c>
      <c r="L2" t="s">
        <v>508</v>
      </c>
    </row>
    <row r="3" spans="1:12" x14ac:dyDescent="0.25">
      <c r="A3">
        <v>24</v>
      </c>
      <c r="B3" t="s">
        <v>504</v>
      </c>
      <c r="C3" s="31">
        <v>45261</v>
      </c>
      <c r="D3" s="120" t="s">
        <v>1447</v>
      </c>
      <c r="E3" s="120" t="s">
        <v>325</v>
      </c>
      <c r="F3" s="120" t="s">
        <v>80</v>
      </c>
      <c r="G3" s="120" t="s">
        <v>82</v>
      </c>
      <c r="H3" s="120">
        <v>0.25</v>
      </c>
      <c r="I3" s="120">
        <v>0.25</v>
      </c>
      <c r="J3" s="120" t="s">
        <v>1506</v>
      </c>
      <c r="K3" s="120" t="s">
        <v>1452</v>
      </c>
      <c r="L3" t="s">
        <v>498</v>
      </c>
    </row>
    <row r="4" spans="1:12" x14ac:dyDescent="0.25">
      <c r="A4">
        <v>19</v>
      </c>
      <c r="B4" t="s">
        <v>504</v>
      </c>
      <c r="C4" s="31">
        <v>45259</v>
      </c>
      <c r="D4" s="120" t="s">
        <v>1454</v>
      </c>
      <c r="E4" s="120" t="s">
        <v>325</v>
      </c>
      <c r="F4" s="120" t="s">
        <v>80</v>
      </c>
      <c r="G4" s="120" t="s">
        <v>82</v>
      </c>
      <c r="H4" s="120">
        <v>0.95</v>
      </c>
      <c r="I4" s="120">
        <v>0.95</v>
      </c>
      <c r="J4" s="120" t="s">
        <v>1326</v>
      </c>
      <c r="K4" s="120" t="s">
        <v>1458</v>
      </c>
      <c r="L4" t="s">
        <v>498</v>
      </c>
    </row>
    <row r="5" spans="1:12" x14ac:dyDescent="0.25">
      <c r="A5">
        <v>17</v>
      </c>
      <c r="B5" t="s">
        <v>504</v>
      </c>
      <c r="C5" s="31">
        <v>45259</v>
      </c>
      <c r="D5" s="120" t="s">
        <v>1460</v>
      </c>
      <c r="E5" s="120" t="s">
        <v>337</v>
      </c>
      <c r="F5" s="120" t="s">
        <v>80</v>
      </c>
      <c r="G5" s="120" t="s">
        <v>82</v>
      </c>
      <c r="H5" s="120">
        <v>2.5999999999999999E-2</v>
      </c>
      <c r="I5" s="120">
        <v>2.5999999999999999E-2</v>
      </c>
      <c r="J5" s="120" t="s">
        <v>1509</v>
      </c>
      <c r="K5" s="120" t="s">
        <v>1470</v>
      </c>
      <c r="L5" t="s">
        <v>498</v>
      </c>
    </row>
    <row r="6" spans="1:12" x14ac:dyDescent="0.25">
      <c r="A6">
        <v>15</v>
      </c>
      <c r="B6" t="s">
        <v>504</v>
      </c>
      <c r="C6" s="31">
        <v>45258</v>
      </c>
      <c r="D6" s="120" t="s">
        <v>1472</v>
      </c>
      <c r="E6" s="120" t="s">
        <v>632</v>
      </c>
      <c r="F6" s="120" t="s">
        <v>80</v>
      </c>
      <c r="G6" s="120" t="s">
        <v>82</v>
      </c>
      <c r="H6" s="120">
        <v>2.9000000000000001E-2</v>
      </c>
      <c r="I6" s="120">
        <v>2.9000000000000001E-2</v>
      </c>
      <c r="J6" s="120" t="s">
        <v>1115</v>
      </c>
      <c r="K6" s="120" t="s">
        <v>1479</v>
      </c>
      <c r="L6" t="s">
        <v>498</v>
      </c>
    </row>
    <row r="7" spans="1:12" x14ac:dyDescent="0.25">
      <c r="A7">
        <v>14</v>
      </c>
      <c r="B7" t="s">
        <v>504</v>
      </c>
      <c r="C7" s="31">
        <v>45258</v>
      </c>
      <c r="D7" s="120" t="s">
        <v>1484</v>
      </c>
      <c r="E7" s="120" t="s">
        <v>632</v>
      </c>
      <c r="F7" s="120" t="s">
        <v>80</v>
      </c>
      <c r="G7" s="120" t="s">
        <v>82</v>
      </c>
      <c r="H7" s="120">
        <v>2.9000000000000001E-2</v>
      </c>
      <c r="I7" s="120">
        <v>2.9000000000000001E-2</v>
      </c>
      <c r="J7" s="120" t="s">
        <v>1115</v>
      </c>
      <c r="K7" s="120" t="s">
        <v>1485</v>
      </c>
      <c r="L7" t="s">
        <v>498</v>
      </c>
    </row>
    <row r="8" spans="1:12" x14ac:dyDescent="0.25">
      <c r="A8">
        <v>13</v>
      </c>
      <c r="B8" t="s">
        <v>504</v>
      </c>
      <c r="C8" s="31">
        <v>45258</v>
      </c>
      <c r="D8" s="120" t="s">
        <v>1486</v>
      </c>
      <c r="E8" s="120" t="s">
        <v>632</v>
      </c>
      <c r="F8" s="120" t="s">
        <v>80</v>
      </c>
      <c r="G8" s="120" t="s">
        <v>82</v>
      </c>
      <c r="H8" s="120">
        <v>2.9000000000000001E-2</v>
      </c>
      <c r="I8" s="120">
        <v>2.9000000000000001E-2</v>
      </c>
      <c r="J8" s="120" t="s">
        <v>1115</v>
      </c>
      <c r="K8" s="120" t="s">
        <v>1487</v>
      </c>
      <c r="L8" t="s">
        <v>498</v>
      </c>
    </row>
    <row r="9" spans="1:12" x14ac:dyDescent="0.25">
      <c r="A9">
        <v>12</v>
      </c>
      <c r="B9" t="s">
        <v>504</v>
      </c>
      <c r="C9" s="31">
        <v>45258</v>
      </c>
      <c r="D9" s="120" t="s">
        <v>1480</v>
      </c>
      <c r="E9" s="120" t="s">
        <v>632</v>
      </c>
      <c r="F9" s="120" t="s">
        <v>80</v>
      </c>
      <c r="G9" s="120" t="s">
        <v>82</v>
      </c>
      <c r="H9" s="120">
        <v>2.9000000000000001E-2</v>
      </c>
      <c r="I9" s="120">
        <v>2.9000000000000001E-2</v>
      </c>
      <c r="J9" s="120" t="s">
        <v>1115</v>
      </c>
      <c r="K9" s="120" t="s">
        <v>1483</v>
      </c>
      <c r="L9" t="s">
        <v>498</v>
      </c>
    </row>
    <row r="10" spans="1:12" x14ac:dyDescent="0.25">
      <c r="A10">
        <v>11</v>
      </c>
      <c r="B10" t="s">
        <v>504</v>
      </c>
      <c r="C10" s="31">
        <v>45258</v>
      </c>
      <c r="D10" s="120" t="s">
        <v>1488</v>
      </c>
      <c r="E10" s="120" t="s">
        <v>632</v>
      </c>
      <c r="F10" s="120" t="s">
        <v>80</v>
      </c>
      <c r="G10" s="120" t="s">
        <v>82</v>
      </c>
      <c r="H10" s="120">
        <v>2.9000000000000001E-2</v>
      </c>
      <c r="I10" s="120">
        <v>2.9000000000000001E-2</v>
      </c>
      <c r="J10" s="120" t="s">
        <v>1115</v>
      </c>
      <c r="K10" s="120" t="s">
        <v>1489</v>
      </c>
      <c r="L10" t="s">
        <v>498</v>
      </c>
    </row>
    <row r="11" spans="1:12" x14ac:dyDescent="0.25">
      <c r="A11">
        <v>6</v>
      </c>
      <c r="B11" t="s">
        <v>504</v>
      </c>
      <c r="C11" s="31">
        <v>45257</v>
      </c>
      <c r="D11" s="120" t="s">
        <v>1278</v>
      </c>
      <c r="E11" s="120" t="s">
        <v>983</v>
      </c>
      <c r="F11" s="120" t="s">
        <v>1287</v>
      </c>
      <c r="G11" s="120" t="s">
        <v>82</v>
      </c>
      <c r="H11" s="120">
        <v>0.5</v>
      </c>
      <c r="I11" s="120">
        <v>0.5</v>
      </c>
      <c r="J11" s="120" t="s">
        <v>131</v>
      </c>
      <c r="K11" s="120" t="s">
        <v>1289</v>
      </c>
      <c r="L11" t="s">
        <v>498</v>
      </c>
    </row>
    <row r="12" spans="1:12" x14ac:dyDescent="0.25">
      <c r="A12">
        <v>5</v>
      </c>
      <c r="B12" t="s">
        <v>504</v>
      </c>
      <c r="C12" s="31">
        <v>45257</v>
      </c>
      <c r="D12" s="120" t="s">
        <v>1290</v>
      </c>
      <c r="E12" s="120" t="s">
        <v>631</v>
      </c>
      <c r="F12" s="120" t="s">
        <v>1298</v>
      </c>
      <c r="G12" s="120" t="s">
        <v>228</v>
      </c>
      <c r="H12" s="120">
        <v>0.5</v>
      </c>
      <c r="I12" s="120">
        <v>0.3</v>
      </c>
      <c r="J12" s="120" t="s">
        <v>131</v>
      </c>
      <c r="K12" s="120" t="s">
        <v>1299</v>
      </c>
      <c r="L12" t="s">
        <v>498</v>
      </c>
    </row>
    <row r="13" spans="1:12" x14ac:dyDescent="0.25">
      <c r="A13">
        <v>4</v>
      </c>
      <c r="B13" t="s">
        <v>504</v>
      </c>
      <c r="C13" s="31">
        <v>45257</v>
      </c>
      <c r="D13" s="120" t="s">
        <v>1301</v>
      </c>
      <c r="E13" s="120" t="s">
        <v>500</v>
      </c>
      <c r="F13" s="120" t="s">
        <v>80</v>
      </c>
      <c r="G13" s="120" t="s">
        <v>82</v>
      </c>
      <c r="H13" s="120">
        <v>5.0000000000000001E-3</v>
      </c>
      <c r="I13" s="120">
        <v>5.0000000000000001E-3</v>
      </c>
      <c r="J13" s="120" t="s">
        <v>1330</v>
      </c>
      <c r="K13" s="120" t="s">
        <v>1305</v>
      </c>
      <c r="L13" t="s">
        <v>498</v>
      </c>
    </row>
    <row r="14" spans="1:12" x14ac:dyDescent="0.25">
      <c r="A14">
        <v>1</v>
      </c>
      <c r="B14" t="s">
        <v>504</v>
      </c>
      <c r="C14" s="31">
        <v>45254</v>
      </c>
      <c r="D14" s="120" t="s">
        <v>1312</v>
      </c>
      <c r="E14" s="120" t="s">
        <v>1311</v>
      </c>
      <c r="F14" s="120" t="s">
        <v>1287</v>
      </c>
      <c r="G14" s="120" t="s">
        <v>103</v>
      </c>
      <c r="H14" s="120">
        <v>3</v>
      </c>
      <c r="I14" s="120">
        <v>0.41099999999999998</v>
      </c>
      <c r="J14" s="120" t="s">
        <v>131</v>
      </c>
      <c r="K14" s="120" t="s">
        <v>1319</v>
      </c>
      <c r="L14" t="s">
        <v>498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N8"/>
  <sheetViews>
    <sheetView workbookViewId="0">
      <selection activeCell="J4" sqref="J4"/>
    </sheetView>
  </sheetViews>
  <sheetFormatPr defaultRowHeight="15" x14ac:dyDescent="0.25"/>
  <cols>
    <col min="1" max="1" width="28.109375" style="1" bestFit="1" customWidth="1"/>
    <col min="2" max="2" width="12.6640625" style="1" bestFit="1" customWidth="1"/>
    <col min="3" max="3" width="7.6640625" style="1" bestFit="1" customWidth="1"/>
    <col min="4" max="6" width="9.21875" style="1" bestFit="1" customWidth="1"/>
    <col min="7" max="7" width="6" style="1" bestFit="1" customWidth="1"/>
    <col min="8" max="8" width="5.88671875" style="1" bestFit="1" customWidth="1"/>
    <col min="9" max="9" width="7.6640625" style="1" bestFit="1" customWidth="1"/>
    <col min="10" max="10" width="6" style="1" bestFit="1" customWidth="1"/>
    <col min="11" max="11" width="10.88671875" style="1" bestFit="1" customWidth="1"/>
    <col min="12" max="12" width="14.21875" style="1" bestFit="1" customWidth="1"/>
    <col min="13" max="13" width="9.44140625" style="1" bestFit="1" customWidth="1"/>
    <col min="14" max="14" width="9.109375" style="1" bestFit="1" customWidth="1"/>
    <col min="15" max="15" width="10.88671875" style="1" bestFit="1" customWidth="1"/>
    <col min="16" max="16" width="14.21875" style="1" bestFit="1" customWidth="1"/>
    <col min="17" max="17" width="9.44140625" style="1" bestFit="1" customWidth="1"/>
    <col min="18" max="18" width="9.109375" style="1" customWidth="1"/>
    <col min="19" max="19" width="5.88671875" style="1" bestFit="1" customWidth="1"/>
    <col min="20" max="20" width="6" style="1" bestFit="1" customWidth="1"/>
    <col min="21" max="21" width="5.88671875" style="1" bestFit="1" customWidth="1"/>
    <col min="22" max="22" width="10.88671875" style="1" bestFit="1" customWidth="1"/>
    <col min="23" max="23" width="13.33203125" style="1" bestFit="1" customWidth="1"/>
    <col min="24" max="24" width="9.44140625" style="1" bestFit="1" customWidth="1"/>
    <col min="25" max="25" width="9.109375" style="1" bestFit="1" customWidth="1"/>
    <col min="26" max="26" width="9.33203125" style="1" customWidth="1"/>
    <col min="27" max="27" width="9.33203125" style="1" bestFit="1" customWidth="1"/>
    <col min="28" max="30" width="6.109375" style="1" bestFit="1" customWidth="1"/>
    <col min="31" max="31" width="11.109375" style="1" bestFit="1" customWidth="1"/>
    <col min="32" max="32" width="13.5546875" style="1" bestFit="1" customWidth="1"/>
    <col min="33" max="33" width="6.109375" style="1" bestFit="1" customWidth="1"/>
    <col min="34" max="34" width="9.33203125" style="1" bestFit="1" customWidth="1"/>
    <col min="35" max="36" width="6.109375" style="1" bestFit="1" customWidth="1"/>
    <col min="37" max="37" width="4.44140625" style="1" bestFit="1" customWidth="1"/>
    <col min="38" max="38" width="11.109375" style="1" bestFit="1" customWidth="1"/>
    <col min="39" max="39" width="13.5546875" style="1" bestFit="1" customWidth="1"/>
    <col min="40" max="40" width="7.77734375" style="1" bestFit="1" customWidth="1"/>
    <col min="41" max="41" width="9.44140625" style="1" bestFit="1" customWidth="1"/>
    <col min="42" max="42" width="6.109375" style="1" bestFit="1" customWidth="1"/>
    <col min="43" max="43" width="8.109375" style="1" bestFit="1" customWidth="1"/>
    <col min="44" max="44" width="9.44140625" style="1" bestFit="1" customWidth="1"/>
    <col min="45" max="45" width="10.88671875" style="1" bestFit="1" customWidth="1"/>
    <col min="46" max="46" width="9.21875" style="1" bestFit="1" customWidth="1"/>
    <col min="47" max="47" width="10.88671875" style="1" bestFit="1" customWidth="1"/>
    <col min="48" max="48" width="12.5546875" style="1" bestFit="1" customWidth="1"/>
    <col min="49" max="49" width="9.5546875" style="1" bestFit="1" customWidth="1"/>
    <col min="50" max="51" width="11.77734375" style="1" bestFit="1" customWidth="1"/>
    <col min="52" max="52" width="11" style="1" bestFit="1" customWidth="1"/>
    <col min="53" max="53" width="9.33203125" style="1" bestFit="1" customWidth="1"/>
    <col min="54" max="54" width="11.5546875" style="1" bestFit="1" customWidth="1"/>
    <col min="55" max="55" width="5.88671875" style="1" bestFit="1" customWidth="1"/>
    <col min="56" max="56" width="9.21875" style="1" customWidth="1"/>
    <col min="57" max="57" width="5.88671875" style="1" bestFit="1" customWidth="1"/>
    <col min="58" max="59" width="9.21875" style="1" customWidth="1"/>
    <col min="60" max="62" width="5.88671875" style="1" bestFit="1" customWidth="1"/>
    <col min="63" max="63" width="9.21875" style="1" customWidth="1"/>
    <col min="64" max="64" width="4.21875" style="1" bestFit="1" customWidth="1"/>
    <col min="65" max="65" width="10.88671875" style="1" bestFit="1" customWidth="1"/>
    <col min="66" max="66" width="13.33203125" style="1" bestFit="1" customWidth="1"/>
    <col min="67" max="67" width="7.5546875" style="1" bestFit="1" customWidth="1"/>
    <col min="68" max="68" width="9.21875" style="1" customWidth="1"/>
    <col min="69" max="69" width="5.88671875" style="1" bestFit="1" customWidth="1"/>
    <col min="70" max="71" width="9.21875" style="1" customWidth="1"/>
    <col min="72" max="72" width="9.33203125" style="1" bestFit="1" customWidth="1"/>
    <col min="73" max="73" width="11.5546875" style="1" bestFit="1" customWidth="1"/>
    <col min="74" max="74" width="5.88671875" style="1" bestFit="1" customWidth="1"/>
    <col min="75" max="75" width="9.21875" style="1" bestFit="1" customWidth="1"/>
    <col min="76" max="76" width="7.6640625" style="1" bestFit="1" customWidth="1"/>
    <col min="77" max="78" width="9.21875" style="1" bestFit="1" customWidth="1"/>
    <col min="79" max="81" width="5.88671875" style="1" bestFit="1" customWidth="1"/>
    <col min="82" max="82" width="9.21875" style="1" bestFit="1" customWidth="1"/>
    <col min="83" max="83" width="4.21875" style="1" bestFit="1" customWidth="1"/>
    <col min="84" max="84" width="10.88671875" style="1" bestFit="1" customWidth="1"/>
    <col min="85" max="85" width="13.33203125" style="1" bestFit="1" customWidth="1"/>
    <col min="86" max="86" width="7.5546875" style="1" bestFit="1" customWidth="1"/>
    <col min="87" max="87" width="9.21875" style="1" bestFit="1" customWidth="1"/>
    <col min="88" max="88" width="5.88671875" style="1" bestFit="1" customWidth="1"/>
    <col min="89" max="90" width="9.21875" style="1" bestFit="1" customWidth="1"/>
    <col min="91" max="91" width="9.33203125" style="1" bestFit="1" customWidth="1"/>
    <col min="92" max="92" width="11.5546875" style="1" bestFit="1" customWidth="1"/>
    <col min="93" max="93" width="11.77734375" style="1" bestFit="1" customWidth="1"/>
    <col min="94" max="94" width="5.88671875" style="1" bestFit="1" customWidth="1"/>
    <col min="95" max="96" width="8.33203125" style="1" bestFit="1" customWidth="1"/>
    <col min="97" max="16384" width="8.88671875" style="1"/>
  </cols>
  <sheetData>
    <row r="1" spans="1:14" ht="43.5" customHeight="1" x14ac:dyDescent="0.25"/>
    <row r="2" spans="1:14" ht="43.5" customHeight="1" x14ac:dyDescent="0.25"/>
    <row r="3" spans="1:14" ht="43.5" customHeight="1" x14ac:dyDescent="0.25"/>
    <row r="4" spans="1:14" x14ac:dyDescent="0.25">
      <c r="A4" t="s">
        <v>91</v>
      </c>
      <c r="B4" t="s">
        <v>626</v>
      </c>
      <c r="C4" t="s">
        <v>188</v>
      </c>
      <c r="D4" t="s">
        <v>584</v>
      </c>
      <c r="E4" t="s">
        <v>585</v>
      </c>
      <c r="F4" t="s">
        <v>169</v>
      </c>
      <c r="G4" t="s">
        <v>586</v>
      </c>
      <c r="H4" t="s">
        <v>86</v>
      </c>
      <c r="I4" t="s">
        <v>43</v>
      </c>
      <c r="J4" t="s">
        <v>44</v>
      </c>
      <c r="K4" t="s">
        <v>190</v>
      </c>
      <c r="L4" t="s">
        <v>627</v>
      </c>
      <c r="M4" t="s">
        <v>559</v>
      </c>
      <c r="N4" t="s">
        <v>506</v>
      </c>
    </row>
    <row r="5" spans="1:14" x14ac:dyDescent="0.25">
      <c r="A5" t="s">
        <v>1395</v>
      </c>
      <c r="B5" t="s">
        <v>1512</v>
      </c>
      <c r="C5" t="s">
        <v>210</v>
      </c>
      <c r="D5" s="120" t="s">
        <v>6</v>
      </c>
      <c r="E5" s="120" t="s">
        <v>6</v>
      </c>
      <c r="F5" t="s">
        <v>160</v>
      </c>
      <c r="G5" s="120" t="s">
        <v>606</v>
      </c>
      <c r="H5" t="s">
        <v>19</v>
      </c>
      <c r="I5" t="s">
        <v>1407</v>
      </c>
      <c r="J5" t="s">
        <v>6</v>
      </c>
      <c r="K5" s="119"/>
      <c r="L5" s="119">
        <v>45261</v>
      </c>
      <c r="M5" t="s">
        <v>1</v>
      </c>
      <c r="N5" t="s">
        <v>498</v>
      </c>
    </row>
    <row r="6" spans="1:14" x14ac:dyDescent="0.25">
      <c r="A6" t="s">
        <v>1431</v>
      </c>
      <c r="B6" t="s">
        <v>1513</v>
      </c>
      <c r="C6" t="s">
        <v>210</v>
      </c>
      <c r="D6" s="120" t="s">
        <v>6</v>
      </c>
      <c r="E6" s="120" t="s">
        <v>6</v>
      </c>
      <c r="F6" t="s">
        <v>160</v>
      </c>
      <c r="G6" s="120" t="s">
        <v>606</v>
      </c>
      <c r="H6" t="s">
        <v>15</v>
      </c>
      <c r="I6" t="s">
        <v>1442</v>
      </c>
      <c r="J6" t="s">
        <v>6</v>
      </c>
      <c r="K6" s="119"/>
      <c r="L6" s="119">
        <v>45261</v>
      </c>
      <c r="M6" t="s">
        <v>1</v>
      </c>
      <c r="N6" t="s">
        <v>498</v>
      </c>
    </row>
    <row r="7" spans="1:14" x14ac:dyDescent="0.25">
      <c r="A7" t="s">
        <v>1254</v>
      </c>
      <c r="B7" t="s">
        <v>1511</v>
      </c>
      <c r="C7" t="s">
        <v>210</v>
      </c>
      <c r="D7" s="120" t="s">
        <v>6</v>
      </c>
      <c r="E7" s="120" t="s">
        <v>6</v>
      </c>
      <c r="F7" t="s">
        <v>160</v>
      </c>
      <c r="G7" s="120" t="s">
        <v>608</v>
      </c>
      <c r="H7" t="s">
        <v>7</v>
      </c>
      <c r="I7" t="s">
        <v>799</v>
      </c>
      <c r="J7" t="s">
        <v>839</v>
      </c>
      <c r="K7" s="119"/>
      <c r="L7" s="119">
        <v>45257</v>
      </c>
      <c r="M7" t="s">
        <v>1</v>
      </c>
      <c r="N7" t="s">
        <v>498</v>
      </c>
    </row>
    <row r="8" spans="1:14" x14ac:dyDescent="0.25">
      <c r="A8" t="s">
        <v>1182</v>
      </c>
      <c r="B8" t="s">
        <v>1332</v>
      </c>
      <c r="C8" t="s">
        <v>210</v>
      </c>
      <c r="D8" s="120" t="s">
        <v>6</v>
      </c>
      <c r="E8" s="120" t="s">
        <v>6</v>
      </c>
      <c r="F8" t="s">
        <v>160</v>
      </c>
      <c r="G8" s="120" t="s">
        <v>606</v>
      </c>
      <c r="H8" t="s">
        <v>9</v>
      </c>
      <c r="I8" t="s">
        <v>1178</v>
      </c>
      <c r="J8" t="s">
        <v>6</v>
      </c>
      <c r="K8" s="119"/>
      <c r="L8" s="119">
        <v>45257</v>
      </c>
      <c r="M8" t="s">
        <v>1</v>
      </c>
      <c r="N8" t="s">
        <v>498</v>
      </c>
    </row>
  </sheetData>
  <phoneticPr fontId="2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4FDE7-DE2B-4096-8BED-2AA14EC060AE}">
  <sheetPr codeName="Sheet11">
    <tabColor rgb="FF2A7968"/>
  </sheetPr>
  <dimension ref="A1:C10"/>
  <sheetViews>
    <sheetView workbookViewId="0">
      <selection activeCell="B6" sqref="B6"/>
    </sheetView>
  </sheetViews>
  <sheetFormatPr defaultRowHeight="15" x14ac:dyDescent="0.25"/>
  <cols>
    <col min="1" max="1" width="9.6640625" style="1" customWidth="1"/>
    <col min="2" max="2" width="50.6640625" style="1" customWidth="1"/>
    <col min="3" max="3" width="45.5546875" style="1" customWidth="1"/>
    <col min="4" max="16384" width="8.88671875" style="1"/>
  </cols>
  <sheetData>
    <row r="1" spans="1:3" ht="40.5" customHeight="1" x14ac:dyDescent="0.45">
      <c r="A1" s="103" t="s">
        <v>518</v>
      </c>
    </row>
    <row r="2" spans="1:3" ht="40.5" customHeight="1" x14ac:dyDescent="0.25"/>
    <row r="3" spans="1:3" ht="40.5" customHeight="1" x14ac:dyDescent="0.25"/>
    <row r="4" spans="1:3" x14ac:dyDescent="0.25">
      <c r="A4" t="s">
        <v>83</v>
      </c>
      <c r="B4" t="s">
        <v>519</v>
      </c>
      <c r="C4" t="s">
        <v>520</v>
      </c>
    </row>
    <row r="5" spans="1:3" ht="82.5" x14ac:dyDescent="0.3">
      <c r="A5" s="109">
        <v>1</v>
      </c>
      <c r="B5" s="141" t="s">
        <v>1341</v>
      </c>
      <c r="C5" s="111" t="s">
        <v>1342</v>
      </c>
    </row>
    <row r="6" spans="1:3" ht="30" x14ac:dyDescent="0.25">
      <c r="A6" s="109">
        <v>2</v>
      </c>
      <c r="B6" s="108" t="s">
        <v>1337</v>
      </c>
      <c r="C6" s="111" t="s">
        <v>1343</v>
      </c>
    </row>
    <row r="7" spans="1:3" ht="30" x14ac:dyDescent="0.3">
      <c r="A7" s="109">
        <v>3</v>
      </c>
      <c r="B7" s="140" t="s">
        <v>1339</v>
      </c>
      <c r="C7" s="111" t="s">
        <v>1344</v>
      </c>
    </row>
    <row r="8" spans="1:3" ht="30" x14ac:dyDescent="0.25">
      <c r="A8" s="109">
        <v>4</v>
      </c>
      <c r="B8" s="108" t="s">
        <v>1338</v>
      </c>
      <c r="C8" s="111" t="s">
        <v>1340</v>
      </c>
    </row>
    <row r="9" spans="1:3" ht="84.75" customHeight="1" x14ac:dyDescent="0.25">
      <c r="A9" s="109">
        <v>5</v>
      </c>
      <c r="B9" s="108" t="s">
        <v>1345</v>
      </c>
      <c r="C9" s="111" t="s">
        <v>1346</v>
      </c>
    </row>
    <row r="10" spans="1:3" ht="30" x14ac:dyDescent="0.25">
      <c r="A10" s="104" t="s">
        <v>530</v>
      </c>
      <c r="B10" s="106"/>
      <c r="C10" s="105"/>
    </row>
  </sheetData>
  <hyperlinks>
    <hyperlink ref="C5" r:id="rId1" xr:uid="{9556C3CA-BA2E-44C7-8A0F-D779349026AB}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C000"/>
  </sheetPr>
  <dimension ref="B1:DU51"/>
  <sheetViews>
    <sheetView zoomScale="85" zoomScaleNormal="85" workbookViewId="0">
      <selection activeCell="E13" sqref="E13"/>
    </sheetView>
  </sheetViews>
  <sheetFormatPr defaultRowHeight="15" outlineLevelRow="1" x14ac:dyDescent="0.25"/>
  <cols>
    <col min="1" max="1" width="8.109375" style="1" customWidth="1"/>
    <col min="2" max="2" width="27.21875" style="1" bestFit="1" customWidth="1"/>
    <col min="3" max="3" width="26.5546875" style="1" bestFit="1" customWidth="1"/>
    <col min="4" max="4" width="21.77734375" style="53" bestFit="1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12.3320312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2:125" outlineLevel="1" x14ac:dyDescent="0.25">
      <c r="F1" s="41" t="s">
        <v>239</v>
      </c>
      <c r="G1" s="50">
        <v>45167</v>
      </c>
      <c r="H1" s="41" t="s">
        <v>47</v>
      </c>
      <c r="I1" s="41" t="s">
        <v>241</v>
      </c>
      <c r="J1" s="41" t="s">
        <v>51</v>
      </c>
      <c r="K1" s="41" t="s">
        <v>63</v>
      </c>
      <c r="L1" s="41" t="s">
        <v>72</v>
      </c>
    </row>
    <row r="2" spans="2:125" ht="51.75" customHeight="1" x14ac:dyDescent="0.55000000000000004">
      <c r="B2" s="59" t="s">
        <v>571</v>
      </c>
      <c r="D2" s="54"/>
      <c r="E2" s="49"/>
      <c r="F2" s="49"/>
      <c r="M2" s="49"/>
      <c r="N2" s="47"/>
      <c r="O2" s="47"/>
      <c r="P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</row>
    <row r="3" spans="2:125" ht="51.75" customHeight="1" x14ac:dyDescent="0.45">
      <c r="B3" s="58" t="s">
        <v>574</v>
      </c>
      <c r="C3" s="51"/>
      <c r="D3" s="55"/>
      <c r="E3" s="51"/>
      <c r="F3" s="51"/>
      <c r="G3" s="51"/>
      <c r="H3" s="51"/>
      <c r="I3" s="51"/>
      <c r="J3" s="51"/>
      <c r="K3" s="51"/>
      <c r="L3" s="51"/>
      <c r="M3" s="51"/>
      <c r="N3" s="51"/>
      <c r="O3" s="47"/>
      <c r="P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</row>
    <row r="4" spans="2:125" x14ac:dyDescent="0.25">
      <c r="B4" s="114" t="s">
        <v>569</v>
      </c>
      <c r="C4" t="s">
        <v>133</v>
      </c>
      <c r="D4" s="52" t="s">
        <v>47</v>
      </c>
      <c r="E4" t="s">
        <v>119</v>
      </c>
      <c r="F4" t="s">
        <v>62</v>
      </c>
      <c r="G4" t="s">
        <v>55</v>
      </c>
      <c r="H4" t="s">
        <v>84</v>
      </c>
      <c r="I4" t="s">
        <v>114</v>
      </c>
      <c r="J4" t="s">
        <v>120</v>
      </c>
      <c r="K4" t="s">
        <v>326</v>
      </c>
    </row>
    <row r="5" spans="2:125" x14ac:dyDescent="0.25">
      <c r="B5" s="21" t="s">
        <v>1160</v>
      </c>
      <c r="C5" t="s">
        <v>1522</v>
      </c>
      <c r="D5" s="52">
        <v>45260</v>
      </c>
      <c r="E5" t="s">
        <v>80</v>
      </c>
      <c r="F5" t="s">
        <v>103</v>
      </c>
      <c r="G5">
        <v>2.4900000000000002</v>
      </c>
      <c r="H5" t="s">
        <v>544</v>
      </c>
      <c r="I5" t="s">
        <v>821</v>
      </c>
      <c r="J5" t="s">
        <v>89</v>
      </c>
      <c r="K5" t="s">
        <v>6</v>
      </c>
    </row>
    <row r="6" spans="2:125" x14ac:dyDescent="0.25">
      <c r="B6" s="113"/>
      <c r="C6"/>
      <c r="D6" s="52"/>
      <c r="E6"/>
      <c r="F6"/>
      <c r="G6"/>
      <c r="H6"/>
      <c r="I6"/>
      <c r="J6"/>
      <c r="K6"/>
    </row>
    <row r="8" spans="2:125" ht="51.75" customHeight="1" x14ac:dyDescent="0.45">
      <c r="B8" s="57" t="s">
        <v>573</v>
      </c>
      <c r="C8" s="48"/>
      <c r="D8" s="56"/>
      <c r="E8" s="48"/>
      <c r="F8" s="48"/>
      <c r="G8" s="48"/>
      <c r="H8" s="48"/>
      <c r="I8" s="48"/>
      <c r="J8" s="48"/>
      <c r="K8" s="48"/>
    </row>
    <row r="9" spans="2:125" s="43" customFormat="1" ht="35.25" customHeight="1" x14ac:dyDescent="0.25">
      <c r="B9" t="s">
        <v>239</v>
      </c>
      <c r="C9" t="s">
        <v>238</v>
      </c>
      <c r="D9" s="52" t="s">
        <v>122</v>
      </c>
      <c r="E9" t="s">
        <v>240</v>
      </c>
      <c r="F9" t="s">
        <v>47</v>
      </c>
      <c r="G9" t="s">
        <v>55</v>
      </c>
      <c r="H9" t="s">
        <v>241</v>
      </c>
      <c r="I9" t="s">
        <v>51</v>
      </c>
      <c r="J9" t="s">
        <v>263</v>
      </c>
      <c r="K9" t="s">
        <v>264</v>
      </c>
    </row>
    <row r="10" spans="2:125" ht="27.75" x14ac:dyDescent="0.45">
      <c r="B10" s="69" t="s">
        <v>1160</v>
      </c>
      <c r="C10" s="69" t="s">
        <v>1523</v>
      </c>
      <c r="D10" s="70" t="s">
        <v>205</v>
      </c>
      <c r="E10" s="69"/>
      <c r="F10" s="71">
        <v>45261</v>
      </c>
      <c r="G10" s="69">
        <v>1.04</v>
      </c>
      <c r="H10" s="112"/>
      <c r="I10" s="72">
        <v>7.4999999999999997E-2</v>
      </c>
      <c r="J10" s="73"/>
      <c r="K10" s="73"/>
      <c r="L10" s="48"/>
      <c r="M10" s="48"/>
    </row>
    <row r="11" spans="2:125" ht="18.75" x14ac:dyDescent="0.25">
      <c r="B11" s="69"/>
      <c r="C11" s="69"/>
      <c r="D11" s="70"/>
      <c r="E11" s="69"/>
      <c r="F11" s="71"/>
      <c r="G11" s="69"/>
      <c r="H11" s="112"/>
      <c r="I11" s="72"/>
      <c r="J11" s="73"/>
      <c r="K11" s="73"/>
    </row>
    <row r="13" spans="2:125" ht="51.75" customHeight="1" x14ac:dyDescent="0.55000000000000004">
      <c r="B13" s="59" t="s">
        <v>572</v>
      </c>
      <c r="C13" s="49"/>
      <c r="D13" s="54"/>
      <c r="E13" s="49"/>
      <c r="F13" s="58"/>
      <c r="G13" s="49"/>
      <c r="H13" s="49"/>
      <c r="I13" s="49"/>
      <c r="J13" s="49"/>
      <c r="K13" s="49"/>
    </row>
    <row r="14" spans="2:125" ht="51.75" customHeight="1" x14ac:dyDescent="0.45">
      <c r="B14" s="58" t="s">
        <v>575</v>
      </c>
      <c r="C14" s="49"/>
      <c r="D14" s="54"/>
      <c r="E14" s="49"/>
      <c r="F14" s="58"/>
      <c r="G14" s="49"/>
      <c r="H14" s="49"/>
      <c r="I14" s="49"/>
      <c r="J14" s="49"/>
      <c r="K14" s="49"/>
    </row>
    <row r="15" spans="2:125" ht="27.75" x14ac:dyDescent="0.45">
      <c r="B15" t="s">
        <v>235</v>
      </c>
      <c r="C15" t="s">
        <v>237</v>
      </c>
      <c r="D15" s="1"/>
      <c r="K15" s="49"/>
      <c r="L15" s="49"/>
    </row>
    <row r="16" spans="2:125" x14ac:dyDescent="0.25">
      <c r="B16" t="s">
        <v>239</v>
      </c>
      <c r="C16" s="30" t="s">
        <v>1160</v>
      </c>
      <c r="D16" s="1"/>
    </row>
    <row r="17" spans="2:4" x14ac:dyDescent="0.25">
      <c r="B17" t="s">
        <v>268</v>
      </c>
      <c r="C17" s="30" t="s">
        <v>1523</v>
      </c>
      <c r="D17" s="1"/>
    </row>
    <row r="18" spans="2:4" x14ac:dyDescent="0.25">
      <c r="B18" t="s">
        <v>122</v>
      </c>
      <c r="C18" s="30" t="s">
        <v>205</v>
      </c>
      <c r="D18" s="1"/>
    </row>
    <row r="19" spans="2:4" x14ac:dyDescent="0.25">
      <c r="B19" t="s">
        <v>47</v>
      </c>
      <c r="C19" s="30">
        <v>45261</v>
      </c>
      <c r="D19" s="1"/>
    </row>
    <row r="20" spans="2:4" x14ac:dyDescent="0.25">
      <c r="B20" t="s">
        <v>55</v>
      </c>
      <c r="C20" s="30">
        <v>1.04</v>
      </c>
      <c r="D20" s="1"/>
    </row>
    <row r="21" spans="2:4" x14ac:dyDescent="0.25">
      <c r="B21" t="s">
        <v>51</v>
      </c>
      <c r="C21" s="30" t="s">
        <v>1524</v>
      </c>
      <c r="D21" s="1"/>
    </row>
    <row r="22" spans="2:4" x14ac:dyDescent="0.25">
      <c r="B22" t="s">
        <v>91</v>
      </c>
      <c r="C22" s="30" t="s">
        <v>1159</v>
      </c>
      <c r="D22" s="1"/>
    </row>
    <row r="23" spans="2:4" x14ac:dyDescent="0.25">
      <c r="B23" t="s">
        <v>46</v>
      </c>
      <c r="C23" s="30" t="s">
        <v>1160</v>
      </c>
      <c r="D23" s="1"/>
    </row>
    <row r="24" spans="2:4" x14ac:dyDescent="0.25">
      <c r="B24" t="s">
        <v>119</v>
      </c>
      <c r="C24" s="30" t="s">
        <v>80</v>
      </c>
      <c r="D24" s="1"/>
    </row>
    <row r="25" spans="2:4" x14ac:dyDescent="0.25">
      <c r="B25" t="s">
        <v>144</v>
      </c>
      <c r="C25" s="30" t="s">
        <v>80</v>
      </c>
      <c r="D25" s="1"/>
    </row>
    <row r="26" spans="2:4" x14ac:dyDescent="0.25">
      <c r="B26" t="s">
        <v>49</v>
      </c>
      <c r="C26" s="30" t="s">
        <v>570</v>
      </c>
      <c r="D26" s="1"/>
    </row>
    <row r="27" spans="2:4" x14ac:dyDescent="0.25">
      <c r="B27" t="s">
        <v>62</v>
      </c>
      <c r="C27" s="30" t="s">
        <v>103</v>
      </c>
      <c r="D27" s="1"/>
    </row>
    <row r="28" spans="2:4" x14ac:dyDescent="0.25">
      <c r="B28" t="s">
        <v>84</v>
      </c>
      <c r="C28" s="30" t="s">
        <v>544</v>
      </c>
      <c r="D28" s="1"/>
    </row>
    <row r="29" spans="2:4" x14ac:dyDescent="0.25">
      <c r="B29" t="s">
        <v>114</v>
      </c>
      <c r="C29" s="30" t="s">
        <v>821</v>
      </c>
      <c r="D29" s="1"/>
    </row>
    <row r="30" spans="2:4" x14ac:dyDescent="0.25">
      <c r="B30" t="s">
        <v>87</v>
      </c>
      <c r="C30" s="30" t="s">
        <v>35</v>
      </c>
      <c r="D30" s="1"/>
    </row>
    <row r="31" spans="2:4" x14ac:dyDescent="0.25">
      <c r="B31" t="s">
        <v>88</v>
      </c>
      <c r="C31" s="30" t="s">
        <v>204</v>
      </c>
      <c r="D31" s="1"/>
    </row>
    <row r="32" spans="2:4" x14ac:dyDescent="0.25">
      <c r="B32" t="s">
        <v>64</v>
      </c>
      <c r="C32" s="30">
        <v>45265</v>
      </c>
      <c r="D32" s="1"/>
    </row>
    <row r="33" spans="2:4" x14ac:dyDescent="0.25">
      <c r="B33" t="s">
        <v>67</v>
      </c>
      <c r="C33" s="30">
        <v>45629</v>
      </c>
      <c r="D33" s="1"/>
    </row>
    <row r="34" spans="2:4" x14ac:dyDescent="0.25">
      <c r="B34" t="s">
        <v>50</v>
      </c>
      <c r="C34" s="30">
        <v>45629</v>
      </c>
      <c r="D34" s="1"/>
    </row>
    <row r="35" spans="2:4" x14ac:dyDescent="0.25">
      <c r="B35" t="s">
        <v>509</v>
      </c>
      <c r="C35" s="30" t="s">
        <v>1167</v>
      </c>
      <c r="D35" s="1"/>
    </row>
    <row r="36" spans="2:4" x14ac:dyDescent="0.25">
      <c r="B36" t="s">
        <v>787</v>
      </c>
      <c r="C36" s="30" t="s">
        <v>203</v>
      </c>
      <c r="D36" s="1"/>
    </row>
    <row r="37" spans="2:4" x14ac:dyDescent="0.25">
      <c r="B37" t="s">
        <v>68</v>
      </c>
      <c r="C37" s="30" t="s">
        <v>1159</v>
      </c>
      <c r="D37" s="1"/>
    </row>
    <row r="38" spans="2:4" x14ac:dyDescent="0.25">
      <c r="B38" t="s">
        <v>173</v>
      </c>
      <c r="C38" s="30" t="s">
        <v>557</v>
      </c>
      <c r="D38" s="1"/>
    </row>
    <row r="39" spans="2:4" ht="60" x14ac:dyDescent="0.25">
      <c r="B39" t="s">
        <v>185</v>
      </c>
      <c r="C39" s="30" t="s">
        <v>1166</v>
      </c>
      <c r="D39" s="1"/>
    </row>
    <row r="40" spans="2:4" x14ac:dyDescent="0.25">
      <c r="B40" t="s">
        <v>133</v>
      </c>
      <c r="C40" s="30" t="s">
        <v>1522</v>
      </c>
      <c r="D40" s="1"/>
    </row>
    <row r="41" spans="2:4" x14ac:dyDescent="0.25">
      <c r="B41" t="s">
        <v>531</v>
      </c>
      <c r="C41" s="30" t="s">
        <v>532</v>
      </c>
      <c r="D41" s="1"/>
    </row>
    <row r="42" spans="2:4" x14ac:dyDescent="0.25">
      <c r="B42" t="s">
        <v>82</v>
      </c>
      <c r="C42" s="30">
        <v>0.1371</v>
      </c>
      <c r="D42" s="1"/>
    </row>
    <row r="43" spans="2:4" x14ac:dyDescent="0.25">
      <c r="B43" t="s">
        <v>103</v>
      </c>
      <c r="C43" s="30">
        <v>1</v>
      </c>
      <c r="D43" s="1"/>
    </row>
    <row r="44" spans="2:4" x14ac:dyDescent="0.25">
      <c r="B44" t="s">
        <v>105</v>
      </c>
      <c r="C44" s="30">
        <v>1.0732999999999999</v>
      </c>
      <c r="D44" s="1"/>
    </row>
    <row r="45" spans="2:4" x14ac:dyDescent="0.25">
      <c r="B45" t="s">
        <v>140</v>
      </c>
      <c r="C45" s="30">
        <v>0.14258400000000002</v>
      </c>
      <c r="D45" s="1"/>
    </row>
    <row r="46" spans="2:4" x14ac:dyDescent="0.25">
      <c r="B46" t="s">
        <v>141</v>
      </c>
      <c r="C46" s="30">
        <v>1.04</v>
      </c>
      <c r="D46" s="1"/>
    </row>
    <row r="47" spans="2:4" x14ac:dyDescent="0.25">
      <c r="B47" t="s">
        <v>174</v>
      </c>
      <c r="C47" s="30">
        <v>1.1162319999999999</v>
      </c>
      <c r="D47" s="1"/>
    </row>
    <row r="48" spans="2:4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</sheetData>
  <phoneticPr fontId="14" type="noConversion"/>
  <conditionalFormatting sqref="B6:K6 C5:K5">
    <cfRule type="expression" dxfId="46" priority="3">
      <formula>ISNUMBER(FIND(#REF!,"【"))</formula>
    </cfRule>
  </conditionalFormatting>
  <conditionalFormatting sqref="B5">
    <cfRule type="containsText" dxfId="45" priority="1" operator="containsText" text="【">
      <formula>NOT(ISERROR(SEARCH("【",B5)))</formula>
    </cfRule>
  </conditionalFormatting>
  <dataValidations count="7">
    <dataValidation type="list" allowBlank="1" showInputMessage="1" showErrorMessage="1" sqref="C10:C11" xr:uid="{11485101-3356-430B-AD53-0DB45BFA4D76}">
      <formula1>"【】,新增记录,拆分记录"</formula1>
    </dataValidation>
    <dataValidation type="list" allowBlank="1" showInputMessage="1" showErrorMessage="1" sqref="D10:D11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J1 I10:I1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I1 H10:H11" xr:uid="{B8C59A8D-B217-413F-9F9F-510A2F586F44}"/>
    <dataValidation type="list" allowBlank="1" showInputMessage="1" sqref="K1:L1 J10:K11" xr:uid="{E4237DF5-FA6C-4DC2-9BC1-98EF416DAAF4}">
      <formula1>dd_BOCOMJLM</formula1>
    </dataValidation>
    <dataValidation type="list" allowBlank="1" showInputMessage="1" sqref="B10:B11 F1" xr:uid="{630C696C-1BA5-4EF7-B919-569446863386}">
      <formula1>$B$5:$B$6</formula1>
    </dataValidation>
    <dataValidation type="date" errorStyle="warning" operator="lessThanOrEqual" allowBlank="1" showInputMessage="1" showErrorMessage="1" promptTitle="Pricing Date" prompt="The date shall be earlier than current date" sqref="F10:F11 H1" xr:uid="{55F4BC5A-F297-4612-866F-B9C29DB634C7}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freshISINSearch">
                <anchor moveWithCells="1" sizeWithCells="1">
                  <from>
                    <xdr:col>2</xdr:col>
                    <xdr:colOff>247650</xdr:colOff>
                    <xdr:row>0</xdr:row>
                    <xdr:rowOff>228600</xdr:rowOff>
                  </from>
                  <to>
                    <xdr:col>2</xdr:col>
                    <xdr:colOff>2181225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RefreshwAddTap">
                <anchor moveWithCells="1" sizeWithCells="1">
                  <from>
                    <xdr:col>2</xdr:col>
                    <xdr:colOff>238125</xdr:colOff>
                    <xdr:row>12</xdr:row>
                    <xdr:rowOff>0</xdr:rowOff>
                  </from>
                  <to>
                    <xdr:col>2</xdr:col>
                    <xdr:colOff>2171700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40"/>
  <sheetViews>
    <sheetView topLeftCell="C2" zoomScale="115" zoomScaleNormal="115" workbookViewId="0">
      <selection activeCell="J24" sqref="J24"/>
    </sheetView>
  </sheetViews>
  <sheetFormatPr defaultColWidth="8.21875" defaultRowHeight="18" customHeight="1" outlineLevelRow="1" outlineLevelCol="1" x14ac:dyDescent="0.25"/>
  <cols>
    <col min="1" max="1" width="4.5546875" style="16" customWidth="1" outlineLevel="1"/>
    <col min="2" max="2" width="8.109375" style="15" bestFit="1" customWidth="1"/>
    <col min="3" max="3" width="8.109375" style="15" customWidth="1"/>
    <col min="4" max="4" width="28.109375" style="16" bestFit="1" customWidth="1"/>
    <col min="5" max="5" width="10.44140625" style="9" bestFit="1" customWidth="1"/>
    <col min="6" max="6" width="15" style="9" bestFit="1" customWidth="1"/>
    <col min="7" max="7" width="23.33203125" style="9" bestFit="1" customWidth="1"/>
    <col min="8" max="8" width="8.33203125" style="9" bestFit="1" customWidth="1"/>
    <col min="9" max="9" width="18.109375" style="9" bestFit="1" customWidth="1"/>
    <col min="10" max="11" width="10.44140625" style="9" bestFit="1" customWidth="1"/>
    <col min="12" max="12" width="7.44140625" style="9" bestFit="1" customWidth="1"/>
    <col min="13" max="13" width="12.6640625" style="9" bestFit="1" customWidth="1"/>
    <col min="14" max="14" width="11" style="9" bestFit="1" customWidth="1"/>
    <col min="15" max="15" width="13.109375" style="9" bestFit="1" customWidth="1"/>
    <col min="16" max="16" width="18.109375" style="9" bestFit="1" customWidth="1"/>
    <col min="17" max="17" width="12.77734375" style="9" bestFit="1" customWidth="1"/>
    <col min="18" max="18" width="12.77734375" style="9" customWidth="1"/>
    <col min="19" max="19" width="13.44140625" style="9" bestFit="1" customWidth="1"/>
    <col min="20" max="20" width="13.44140625" style="9" customWidth="1"/>
    <col min="21" max="21" width="31.5546875" style="9" bestFit="1" customWidth="1"/>
    <col min="22" max="22" width="29.21875" style="9" bestFit="1" customWidth="1"/>
    <col min="23" max="23" width="7.88671875" style="9" bestFit="1" customWidth="1"/>
    <col min="24" max="24" width="7.5546875" style="9" bestFit="1" customWidth="1"/>
    <col min="25" max="25" width="20.44140625" style="9" bestFit="1" customWidth="1"/>
    <col min="26" max="26" width="11.88671875" style="9" bestFit="1" customWidth="1"/>
    <col min="27" max="27" width="28.109375" style="9" bestFit="1" customWidth="1"/>
    <col min="28" max="28" width="10.6640625" style="9" bestFit="1" customWidth="1"/>
    <col min="29" max="29" width="8.88671875" style="9" bestFit="1" customWidth="1"/>
    <col min="30" max="30" width="7.109375" style="9" bestFit="1" customWidth="1"/>
    <col min="31" max="31" width="7.88671875" style="9" bestFit="1" customWidth="1"/>
    <col min="32" max="32" width="23.109375" style="9" bestFit="1" customWidth="1"/>
    <col min="33" max="33" width="7.21875" style="9" bestFit="1" customWidth="1"/>
    <col min="34" max="34" width="15.5546875" style="9" bestFit="1" customWidth="1"/>
    <col min="35" max="35" width="15.5546875" style="9" customWidth="1"/>
    <col min="36" max="36" width="8.109375" style="9" bestFit="1" customWidth="1"/>
    <col min="37" max="37" width="9" style="9" bestFit="1" customWidth="1"/>
    <col min="38" max="38" width="7.109375" style="9" bestFit="1" customWidth="1"/>
    <col min="39" max="39" width="10.6640625" style="9" bestFit="1" customWidth="1"/>
    <col min="40" max="40" width="7.109375" style="9" bestFit="1" customWidth="1"/>
    <col min="41" max="41" width="15.21875" style="9" bestFit="1" customWidth="1"/>
    <col min="42" max="42" width="7.109375" style="9" bestFit="1" customWidth="1"/>
    <col min="43" max="43" width="5.77734375" style="9" bestFit="1" customWidth="1"/>
    <col min="44" max="44" width="7.109375" style="9" bestFit="1" customWidth="1"/>
    <col min="45" max="16384" width="8.21875" style="9"/>
  </cols>
  <sheetData>
    <row r="1" spans="1:22" ht="18" hidden="1" customHeight="1" outlineLevel="1" x14ac:dyDescent="0.25">
      <c r="A1" s="91" t="str">
        <f ca="1" xml:space="preserve"> IF(ISNUMBER(FIND("ktkt",CELL("filename"))),"Remote",IF(ISNUMBER(FIND("http",CELL("filename"))),"Remote","Global"))</f>
        <v>Global</v>
      </c>
      <c r="B1" s="91" t="str">
        <f ca="1">CELL("filename")</f>
        <v>Z:\Team Folder\Execution Team\Weekly\20231204\Data\[2.Dynamic List Generator.xlsm]DOWNLOAD</v>
      </c>
      <c r="C1" s="91"/>
      <c r="D1" s="9"/>
    </row>
    <row r="2" spans="1:22" ht="18" customHeight="1" collapsed="1" x14ac:dyDescent="0.25">
      <c r="B2" s="9"/>
      <c r="C2" s="9"/>
      <c r="D2" s="9"/>
    </row>
    <row r="3" spans="1:22" ht="18" customHeight="1" x14ac:dyDescent="0.25">
      <c r="B3" s="9"/>
      <c r="C3" s="9"/>
      <c r="D3" s="9"/>
    </row>
    <row r="4" spans="1:22" ht="18" customHeight="1" x14ac:dyDescent="0.25">
      <c r="B4" s="9"/>
      <c r="C4" s="9"/>
      <c r="D4" s="61" t="s">
        <v>261</v>
      </c>
      <c r="F4" s="61" t="s">
        <v>262</v>
      </c>
      <c r="G4" s="61"/>
      <c r="I4" s="61" t="s">
        <v>250</v>
      </c>
      <c r="M4" s="61" t="s">
        <v>272</v>
      </c>
      <c r="P4" s="61" t="s">
        <v>273</v>
      </c>
      <c r="Q4" s="61"/>
      <c r="R4" s="61" t="s">
        <v>270</v>
      </c>
      <c r="U4" s="61" t="s">
        <v>270</v>
      </c>
    </row>
    <row r="5" spans="1:22" ht="18" customHeight="1" x14ac:dyDescent="0.25">
      <c r="A5" s="7"/>
      <c r="D5" s="15"/>
      <c r="E5" s="16"/>
      <c r="I5" s="16"/>
    </row>
    <row r="6" spans="1:22" ht="15" x14ac:dyDescent="0.25">
      <c r="D6" s="60" t="s">
        <v>86</v>
      </c>
      <c r="E6" s="15"/>
      <c r="F6" s="63" t="s">
        <v>259</v>
      </c>
      <c r="G6" s="22" t="s">
        <v>260</v>
      </c>
      <c r="I6" s="22" t="s">
        <v>136</v>
      </c>
      <c r="J6" t="s">
        <v>217</v>
      </c>
      <c r="M6" t="s">
        <v>274</v>
      </c>
      <c r="N6" t="s">
        <v>275</v>
      </c>
      <c r="O6" s="1"/>
      <c r="P6" s="22" t="s">
        <v>271</v>
      </c>
      <c r="Q6" s="76"/>
      <c r="R6" s="22" t="s">
        <v>269</v>
      </c>
      <c r="S6" s="22" t="s">
        <v>235</v>
      </c>
      <c r="U6" t="s">
        <v>497</v>
      </c>
      <c r="V6" t="s">
        <v>496</v>
      </c>
    </row>
    <row r="7" spans="1:22" ht="15" x14ac:dyDescent="0.25">
      <c r="A7" s="8"/>
      <c r="D7" s="60" t="s">
        <v>11</v>
      </c>
      <c r="E7" s="15"/>
      <c r="F7" s="63" t="s">
        <v>193</v>
      </c>
      <c r="G7" s="22" t="s">
        <v>254</v>
      </c>
      <c r="I7" s="22" t="s">
        <v>0</v>
      </c>
      <c r="J7" t="s">
        <v>223</v>
      </c>
      <c r="M7" t="s">
        <v>91</v>
      </c>
      <c r="N7" t="s">
        <v>276</v>
      </c>
      <c r="O7" s="1"/>
      <c r="P7" t="s">
        <v>83</v>
      </c>
      <c r="Q7" s="1"/>
      <c r="R7" t="s">
        <v>114</v>
      </c>
      <c r="S7" t="str">
        <f>DMIRenamed[[#This Row],[DMIRenamed]]&amp;"_DMI"</f>
        <v>票息_DMI</v>
      </c>
      <c r="U7" t="s">
        <v>324</v>
      </c>
      <c r="V7" t="s">
        <v>325</v>
      </c>
    </row>
    <row r="8" spans="1:22" ht="15" x14ac:dyDescent="0.25">
      <c r="D8" s="60" t="s">
        <v>27</v>
      </c>
      <c r="E8" s="15"/>
      <c r="F8" s="63" t="s">
        <v>194</v>
      </c>
      <c r="G8" s="22" t="s">
        <v>256</v>
      </c>
      <c r="I8" s="22" t="s">
        <v>4</v>
      </c>
      <c r="J8" t="s">
        <v>218</v>
      </c>
      <c r="M8" t="s">
        <v>196</v>
      </c>
      <c r="N8" t="s">
        <v>279</v>
      </c>
      <c r="O8" s="1"/>
      <c r="P8" t="s">
        <v>280</v>
      </c>
      <c r="Q8" s="1"/>
      <c r="R8" t="s">
        <v>241</v>
      </c>
      <c r="S8" t="str">
        <f>DMIRenamed[[#This Row],[DMIRenamed]]&amp;"_DMI"</f>
        <v>IPT_DMI</v>
      </c>
      <c r="U8" t="s">
        <v>330</v>
      </c>
      <c r="V8" t="s">
        <v>332</v>
      </c>
    </row>
    <row r="9" spans="1:22" ht="15" x14ac:dyDescent="0.25">
      <c r="A9" s="13"/>
      <c r="D9" s="60" t="s">
        <v>32</v>
      </c>
      <c r="E9" s="15"/>
      <c r="F9" s="63" t="s">
        <v>195</v>
      </c>
      <c r="G9" s="22" t="s">
        <v>255</v>
      </c>
      <c r="I9" s="22" t="s">
        <v>5</v>
      </c>
      <c r="J9" t="s">
        <v>219</v>
      </c>
      <c r="M9" t="s">
        <v>46</v>
      </c>
      <c r="N9" t="s">
        <v>276</v>
      </c>
      <c r="O9" s="1"/>
      <c r="P9" t="s">
        <v>91</v>
      </c>
      <c r="Q9" s="1"/>
      <c r="R9" t="s">
        <v>51</v>
      </c>
      <c r="S9" t="str">
        <f>DMIRenamed[[#This Row],[DMIRenamed]]&amp;"_DMI"</f>
        <v>FPG_DMI</v>
      </c>
      <c r="U9" t="s">
        <v>331</v>
      </c>
      <c r="V9" t="s">
        <v>333</v>
      </c>
    </row>
    <row r="10" spans="1:22" ht="15" x14ac:dyDescent="0.25">
      <c r="D10" s="60" t="s">
        <v>28</v>
      </c>
      <c r="E10" s="15"/>
      <c r="F10" s="63" t="s">
        <v>257</v>
      </c>
      <c r="G10" s="62"/>
      <c r="I10" s="22" t="s">
        <v>191</v>
      </c>
      <c r="J10" t="s">
        <v>220</v>
      </c>
      <c r="M10" t="s">
        <v>47</v>
      </c>
      <c r="N10" t="s">
        <v>276</v>
      </c>
      <c r="O10" s="1"/>
      <c r="P10" t="s">
        <v>46</v>
      </c>
      <c r="Q10" s="1"/>
      <c r="R10" t="s">
        <v>132</v>
      </c>
      <c r="S10" t="str">
        <f>DMIRenamed[[#This Row],[DMIRenamed]]&amp;"_DMI"</f>
        <v>定价_DMI</v>
      </c>
      <c r="U10" t="s">
        <v>334</v>
      </c>
      <c r="V10" t="s">
        <v>336</v>
      </c>
    </row>
    <row r="11" spans="1:22" ht="15" x14ac:dyDescent="0.25">
      <c r="A11" s="10"/>
      <c r="D11" s="60" t="s">
        <v>33</v>
      </c>
      <c r="F11" s="63" t="s">
        <v>258</v>
      </c>
      <c r="G11" s="22"/>
      <c r="M11" t="s">
        <v>45</v>
      </c>
      <c r="N11" t="s">
        <v>278</v>
      </c>
      <c r="O11" s="1"/>
      <c r="P11" t="s">
        <v>47</v>
      </c>
      <c r="Q11" s="1"/>
      <c r="U11" t="s">
        <v>335</v>
      </c>
      <c r="V11" t="s">
        <v>337</v>
      </c>
    </row>
    <row r="12" spans="1:22" ht="15" x14ac:dyDescent="0.25">
      <c r="D12" s="60" t="s">
        <v>8</v>
      </c>
      <c r="F12" s="68" t="s">
        <v>6</v>
      </c>
      <c r="G12" s="68" t="s">
        <v>6</v>
      </c>
      <c r="M12" t="s">
        <v>95</v>
      </c>
      <c r="N12" t="s">
        <v>278</v>
      </c>
      <c r="O12" s="1"/>
      <c r="P12" t="s">
        <v>119</v>
      </c>
      <c r="Q12" s="1"/>
      <c r="U12" t="s">
        <v>338</v>
      </c>
      <c r="V12" t="s">
        <v>339</v>
      </c>
    </row>
    <row r="13" spans="1:22" ht="15" x14ac:dyDescent="0.25">
      <c r="A13" s="11"/>
      <c r="D13" s="60" t="s">
        <v>29</v>
      </c>
      <c r="G13" s="64"/>
      <c r="I13" s="22" t="s">
        <v>169</v>
      </c>
      <c r="J13" t="s">
        <v>222</v>
      </c>
      <c r="M13" t="s">
        <v>96</v>
      </c>
      <c r="N13" t="s">
        <v>279</v>
      </c>
      <c r="O13" s="1"/>
      <c r="P13" t="s">
        <v>144</v>
      </c>
      <c r="Q13" s="1"/>
      <c r="U13" t="s">
        <v>341</v>
      </c>
      <c r="V13" t="s">
        <v>340</v>
      </c>
    </row>
    <row r="14" spans="1:22" ht="15" x14ac:dyDescent="0.25">
      <c r="D14" s="60" t="s">
        <v>31</v>
      </c>
      <c r="F14" s="28" t="s">
        <v>90</v>
      </c>
      <c r="G14" s="64"/>
      <c r="I14" s="22" t="s">
        <v>158</v>
      </c>
      <c r="J14">
        <v>1</v>
      </c>
      <c r="M14" t="s">
        <v>48</v>
      </c>
      <c r="N14" t="s">
        <v>278</v>
      </c>
      <c r="O14" s="1"/>
      <c r="P14" t="s">
        <v>49</v>
      </c>
      <c r="Q14" s="1"/>
      <c r="U14" t="s">
        <v>342</v>
      </c>
      <c r="V14" t="s">
        <v>349</v>
      </c>
    </row>
    <row r="15" spans="1:22" ht="15" x14ac:dyDescent="0.25">
      <c r="A15" s="14"/>
      <c r="D15" s="60" t="s">
        <v>12</v>
      </c>
      <c r="F15" s="28" t="s">
        <v>117</v>
      </c>
      <c r="G15" s="65"/>
      <c r="I15" s="22" t="s">
        <v>159</v>
      </c>
      <c r="J15">
        <v>2</v>
      </c>
      <c r="M15" t="s">
        <v>55</v>
      </c>
      <c r="N15" t="s">
        <v>276</v>
      </c>
      <c r="O15" s="1"/>
      <c r="P15" t="s">
        <v>62</v>
      </c>
      <c r="Q15" s="1"/>
      <c r="U15" t="s">
        <v>343</v>
      </c>
      <c r="V15" t="s">
        <v>352</v>
      </c>
    </row>
    <row r="16" spans="1:22" ht="15" x14ac:dyDescent="0.25">
      <c r="D16" s="60" t="s">
        <v>16</v>
      </c>
      <c r="F16" s="28" t="s">
        <v>118</v>
      </c>
      <c r="G16" s="65"/>
      <c r="I16" s="22" t="s">
        <v>160</v>
      </c>
      <c r="J16">
        <v>3</v>
      </c>
      <c r="M16" t="s">
        <v>62</v>
      </c>
      <c r="N16" t="s">
        <v>276</v>
      </c>
      <c r="O16" s="1"/>
      <c r="P16" t="s">
        <v>55</v>
      </c>
      <c r="Q16" s="1"/>
      <c r="U16" t="s">
        <v>344</v>
      </c>
      <c r="V16" t="s">
        <v>353</v>
      </c>
    </row>
    <row r="17" spans="1:22" ht="15" x14ac:dyDescent="0.25">
      <c r="A17" s="12"/>
      <c r="D17" s="60" t="s">
        <v>7</v>
      </c>
      <c r="F17" s="28" t="s">
        <v>112</v>
      </c>
      <c r="G17" s="64"/>
      <c r="I17" s="22" t="s">
        <v>161</v>
      </c>
      <c r="J17">
        <v>4</v>
      </c>
      <c r="M17" t="s">
        <v>56</v>
      </c>
      <c r="N17" t="s">
        <v>278</v>
      </c>
      <c r="O17" s="1"/>
      <c r="P17" t="s">
        <v>84</v>
      </c>
      <c r="Q17" s="1"/>
      <c r="U17" t="s">
        <v>345</v>
      </c>
      <c r="V17" t="s">
        <v>356</v>
      </c>
    </row>
    <row r="18" spans="1:22" ht="15" x14ac:dyDescent="0.25">
      <c r="D18" s="60" t="s">
        <v>21</v>
      </c>
      <c r="G18" s="64"/>
      <c r="I18" s="22" t="s">
        <v>2</v>
      </c>
      <c r="J18">
        <v>5</v>
      </c>
      <c r="M18" t="s">
        <v>114</v>
      </c>
      <c r="N18" t="s">
        <v>277</v>
      </c>
      <c r="O18" s="1"/>
      <c r="P18" t="s">
        <v>114</v>
      </c>
      <c r="Q18" s="1"/>
      <c r="U18" t="s">
        <v>346</v>
      </c>
      <c r="V18" t="s">
        <v>360</v>
      </c>
    </row>
    <row r="19" spans="1:22" ht="15" x14ac:dyDescent="0.25">
      <c r="A19" s="13"/>
      <c r="D19" s="60" t="s">
        <v>15</v>
      </c>
      <c r="F19" s="29" t="s">
        <v>41</v>
      </c>
      <c r="I19" s="22" t="s">
        <v>162</v>
      </c>
      <c r="J19">
        <v>6</v>
      </c>
      <c r="M19" t="s">
        <v>50</v>
      </c>
      <c r="N19" t="s">
        <v>276</v>
      </c>
      <c r="O19" s="1"/>
      <c r="P19" t="s">
        <v>85</v>
      </c>
      <c r="Q19" s="1"/>
      <c r="U19" t="s">
        <v>347</v>
      </c>
      <c r="V19" t="s">
        <v>361</v>
      </c>
    </row>
    <row r="20" spans="1:22" ht="15" x14ac:dyDescent="0.25">
      <c r="D20" s="60" t="s">
        <v>19</v>
      </c>
      <c r="F20" s="29" t="s">
        <v>1</v>
      </c>
      <c r="G20" s="66"/>
      <c r="I20" s="22" t="s">
        <v>6</v>
      </c>
      <c r="J20">
        <v>7</v>
      </c>
      <c r="M20" t="s">
        <v>97</v>
      </c>
      <c r="N20" t="s">
        <v>278</v>
      </c>
      <c r="O20" s="1"/>
      <c r="P20" t="s">
        <v>51</v>
      </c>
      <c r="Q20" s="1"/>
      <c r="U20" t="s">
        <v>348</v>
      </c>
      <c r="V20" t="s">
        <v>362</v>
      </c>
    </row>
    <row r="21" spans="1:22" ht="15" x14ac:dyDescent="0.25">
      <c r="A21" s="22" t="s">
        <v>235</v>
      </c>
      <c r="D21" s="60" t="s">
        <v>9</v>
      </c>
      <c r="F21" s="29" t="s">
        <v>81</v>
      </c>
      <c r="G21" s="66"/>
      <c r="M21" t="s">
        <v>241</v>
      </c>
      <c r="N21" t="s">
        <v>277</v>
      </c>
      <c r="O21" s="1"/>
      <c r="P21" t="s">
        <v>132</v>
      </c>
      <c r="Q21" s="1"/>
      <c r="U21" t="s">
        <v>350</v>
      </c>
      <c r="V21" t="s">
        <v>363</v>
      </c>
    </row>
    <row r="22" spans="1:22" ht="15" x14ac:dyDescent="0.25">
      <c r="A22" s="22"/>
      <c r="D22" s="60" t="s">
        <v>25</v>
      </c>
      <c r="F22" s="60" t="s">
        <v>248</v>
      </c>
      <c r="G22" s="66"/>
      <c r="I22" s="22" t="s">
        <v>188</v>
      </c>
      <c r="J22" t="s">
        <v>222</v>
      </c>
      <c r="M22" t="s">
        <v>51</v>
      </c>
      <c r="N22" t="s">
        <v>277</v>
      </c>
      <c r="O22" s="1"/>
      <c r="P22" t="s">
        <v>134</v>
      </c>
      <c r="Q22" s="1"/>
      <c r="U22" t="s">
        <v>351</v>
      </c>
      <c r="V22" t="s">
        <v>364</v>
      </c>
    </row>
    <row r="23" spans="1:22" ht="15" x14ac:dyDescent="0.25">
      <c r="A23" s="94"/>
      <c r="D23" s="60" t="s">
        <v>20</v>
      </c>
      <c r="F23" s="60" t="s">
        <v>249</v>
      </c>
      <c r="G23" s="66"/>
      <c r="I23" s="22" t="s">
        <v>189</v>
      </c>
      <c r="J23">
        <v>1</v>
      </c>
      <c r="M23" t="s">
        <v>52</v>
      </c>
      <c r="N23" t="s">
        <v>279</v>
      </c>
      <c r="O23" s="1"/>
      <c r="P23" t="s">
        <v>135</v>
      </c>
      <c r="Q23" s="1"/>
      <c r="U23" t="s">
        <v>354</v>
      </c>
      <c r="V23" t="s">
        <v>367</v>
      </c>
    </row>
    <row r="24" spans="1:22" ht="15" x14ac:dyDescent="0.25">
      <c r="A24" s="22" t="s">
        <v>235</v>
      </c>
      <c r="D24" s="60" t="s">
        <v>13</v>
      </c>
      <c r="E24" s="15"/>
      <c r="F24" s="29" t="s">
        <v>2</v>
      </c>
      <c r="G24" s="66"/>
      <c r="I24" s="22" t="s">
        <v>209</v>
      </c>
      <c r="J24">
        <v>2</v>
      </c>
      <c r="M24" t="s">
        <v>243</v>
      </c>
      <c r="N24" t="s">
        <v>278</v>
      </c>
      <c r="O24" s="1"/>
      <c r="P24" t="s">
        <v>57</v>
      </c>
      <c r="Q24" s="1"/>
      <c r="U24" t="s">
        <v>355</v>
      </c>
      <c r="V24" t="s">
        <v>368</v>
      </c>
    </row>
    <row r="25" spans="1:22" ht="15" x14ac:dyDescent="0.25">
      <c r="A25" s="22"/>
      <c r="D25" s="60" t="s">
        <v>17</v>
      </c>
      <c r="E25" s="15"/>
      <c r="F25" s="29" t="s">
        <v>3</v>
      </c>
      <c r="I25" s="22" t="s">
        <v>210</v>
      </c>
      <c r="J25">
        <v>3</v>
      </c>
      <c r="M25" t="s">
        <v>197</v>
      </c>
      <c r="N25" t="s">
        <v>278</v>
      </c>
      <c r="O25" s="1"/>
      <c r="P25" t="s">
        <v>87</v>
      </c>
      <c r="Q25" s="1"/>
      <c r="U25" t="s">
        <v>357</v>
      </c>
      <c r="V25" t="s">
        <v>372</v>
      </c>
    </row>
    <row r="26" spans="1:22" ht="15" x14ac:dyDescent="0.25">
      <c r="A26" s="94"/>
      <c r="D26" s="60" t="s">
        <v>23</v>
      </c>
      <c r="E26" s="15"/>
      <c r="G26" s="66"/>
      <c r="I26" s="22" t="s">
        <v>211</v>
      </c>
      <c r="J26">
        <v>4</v>
      </c>
      <c r="M26" t="s">
        <v>53</v>
      </c>
      <c r="N26" t="s">
        <v>278</v>
      </c>
      <c r="O26" s="1"/>
      <c r="P26" t="s">
        <v>88</v>
      </c>
      <c r="Q26" s="1"/>
      <c r="U26" t="s">
        <v>358</v>
      </c>
      <c r="V26" t="s">
        <v>373</v>
      </c>
    </row>
    <row r="27" spans="1:22" ht="15" x14ac:dyDescent="0.25">
      <c r="A27" s="22" t="s">
        <v>235</v>
      </c>
      <c r="D27" s="60" t="s">
        <v>26</v>
      </c>
      <c r="E27" s="15"/>
      <c r="F27" s="22" t="s">
        <v>93</v>
      </c>
      <c r="G27" s="66"/>
      <c r="I27" s="22" t="s">
        <v>212</v>
      </c>
      <c r="J27">
        <v>5</v>
      </c>
      <c r="M27" t="s">
        <v>54</v>
      </c>
      <c r="N27" t="s">
        <v>278</v>
      </c>
      <c r="O27" s="1"/>
      <c r="P27" t="s">
        <v>151</v>
      </c>
      <c r="Q27" s="1"/>
      <c r="U27" t="s">
        <v>359</v>
      </c>
      <c r="V27" t="s">
        <v>379</v>
      </c>
    </row>
    <row r="28" spans="1:22" ht="15" x14ac:dyDescent="0.25">
      <c r="A28" s="22"/>
      <c r="D28" s="60" t="s">
        <v>10</v>
      </c>
      <c r="E28" s="15"/>
      <c r="F28" s="22" t="s">
        <v>242</v>
      </c>
      <c r="G28" s="66"/>
      <c r="I28" s="22" t="s">
        <v>6</v>
      </c>
      <c r="J28">
        <v>6</v>
      </c>
      <c r="M28" t="s">
        <v>57</v>
      </c>
      <c r="N28" t="s">
        <v>276</v>
      </c>
      <c r="O28" s="1"/>
      <c r="P28" t="s">
        <v>152</v>
      </c>
      <c r="Q28" s="1"/>
      <c r="U28" t="s">
        <v>365</v>
      </c>
      <c r="V28" t="s">
        <v>380</v>
      </c>
    </row>
    <row r="29" spans="1:22" ht="15" x14ac:dyDescent="0.25">
      <c r="A29" s="94"/>
      <c r="D29" s="60" t="s">
        <v>18</v>
      </c>
      <c r="E29" s="15"/>
      <c r="F29" s="22" t="s">
        <v>251</v>
      </c>
      <c r="G29" s="66"/>
      <c r="I29" s="18"/>
      <c r="J29" s="18"/>
      <c r="M29" t="s">
        <v>58</v>
      </c>
      <c r="N29" t="s">
        <v>279</v>
      </c>
      <c r="O29" s="1"/>
      <c r="P29" t="s">
        <v>122</v>
      </c>
      <c r="Q29" s="1"/>
      <c r="U29" t="s">
        <v>366</v>
      </c>
      <c r="V29" t="s">
        <v>382</v>
      </c>
    </row>
    <row r="30" spans="1:22" ht="15" x14ac:dyDescent="0.25">
      <c r="A30" s="22" t="s">
        <v>235</v>
      </c>
      <c r="D30" s="60" t="s">
        <v>24</v>
      </c>
      <c r="E30" s="15"/>
      <c r="F30" s="22" t="s">
        <v>252</v>
      </c>
      <c r="G30" s="67"/>
      <c r="I30" s="22" t="s">
        <v>128</v>
      </c>
      <c r="J30" t="s">
        <v>222</v>
      </c>
      <c r="M30" t="s">
        <v>92</v>
      </c>
      <c r="N30" t="s">
        <v>278</v>
      </c>
      <c r="O30" s="1"/>
      <c r="P30" t="s">
        <v>78</v>
      </c>
      <c r="Q30" s="1"/>
      <c r="U30" t="s">
        <v>369</v>
      </c>
      <c r="V30" t="s">
        <v>385</v>
      </c>
    </row>
    <row r="31" spans="1:22" ht="15" x14ac:dyDescent="0.25">
      <c r="A31" s="22"/>
      <c r="D31" s="60" t="s">
        <v>22</v>
      </c>
      <c r="E31" s="15"/>
      <c r="F31" s="22" t="s">
        <v>253</v>
      </c>
      <c r="I31" s="22" t="s">
        <v>175</v>
      </c>
      <c r="J31">
        <v>1</v>
      </c>
      <c r="M31" t="s">
        <v>43</v>
      </c>
      <c r="N31" t="s">
        <v>276</v>
      </c>
      <c r="O31" s="1"/>
      <c r="P31" t="s">
        <v>64</v>
      </c>
      <c r="Q31" s="1"/>
      <c r="U31" t="s">
        <v>370</v>
      </c>
      <c r="V31" t="s">
        <v>393</v>
      </c>
    </row>
    <row r="32" spans="1:22" ht="15" x14ac:dyDescent="0.25">
      <c r="A32" s="94"/>
      <c r="D32" s="60" t="s">
        <v>124</v>
      </c>
      <c r="E32" s="15"/>
      <c r="I32" s="22" t="s">
        <v>130</v>
      </c>
      <c r="J32">
        <v>2</v>
      </c>
      <c r="M32" t="s">
        <v>44</v>
      </c>
      <c r="N32" t="s">
        <v>276</v>
      </c>
      <c r="O32" s="1"/>
      <c r="P32" t="s">
        <v>67</v>
      </c>
      <c r="Q32" s="1"/>
      <c r="U32" t="s">
        <v>371</v>
      </c>
      <c r="V32" t="s">
        <v>398</v>
      </c>
    </row>
    <row r="33" spans="1:22" ht="15" x14ac:dyDescent="0.25">
      <c r="A33" s="22" t="s">
        <v>235</v>
      </c>
      <c r="D33" s="60" t="s">
        <v>14</v>
      </c>
      <c r="E33" s="15"/>
      <c r="F33" s="22" t="s">
        <v>139</v>
      </c>
      <c r="I33" s="22" t="s">
        <v>129</v>
      </c>
      <c r="J33">
        <v>3</v>
      </c>
      <c r="M33" t="s">
        <v>116</v>
      </c>
      <c r="N33" t="s">
        <v>278</v>
      </c>
      <c r="O33" s="1"/>
      <c r="P33" t="s">
        <v>50</v>
      </c>
      <c r="Q33" s="1"/>
      <c r="U33" t="s">
        <v>374</v>
      </c>
      <c r="V33" t="s">
        <v>402</v>
      </c>
    </row>
    <row r="34" spans="1:22" ht="15" x14ac:dyDescent="0.25">
      <c r="A34" s="22"/>
      <c r="D34" s="60" t="s">
        <v>34</v>
      </c>
      <c r="E34" s="15"/>
      <c r="F34" s="22" t="s">
        <v>147</v>
      </c>
      <c r="I34" s="22" t="s">
        <v>176</v>
      </c>
      <c r="J34">
        <v>4</v>
      </c>
      <c r="M34" t="s">
        <v>59</v>
      </c>
      <c r="N34" t="s">
        <v>278</v>
      </c>
      <c r="O34" s="1"/>
      <c r="P34" t="s">
        <v>140</v>
      </c>
      <c r="Q34" s="1"/>
      <c r="U34" t="s">
        <v>375</v>
      </c>
      <c r="V34" t="s">
        <v>405</v>
      </c>
    </row>
    <row r="35" spans="1:22" ht="15" x14ac:dyDescent="0.25">
      <c r="A35" s="94"/>
      <c r="D35" s="60" t="s">
        <v>123</v>
      </c>
      <c r="E35" s="15"/>
      <c r="F35" s="22" t="s">
        <v>150</v>
      </c>
      <c r="I35" s="22" t="s">
        <v>155</v>
      </c>
      <c r="J35">
        <v>5</v>
      </c>
      <c r="M35" t="s">
        <v>60</v>
      </c>
      <c r="N35" t="s">
        <v>278</v>
      </c>
      <c r="O35" s="1"/>
      <c r="P35" t="s">
        <v>141</v>
      </c>
      <c r="Q35" s="1"/>
      <c r="U35" t="s">
        <v>376</v>
      </c>
      <c r="V35" t="s">
        <v>406</v>
      </c>
    </row>
    <row r="36" spans="1:22" ht="15" x14ac:dyDescent="0.25">
      <c r="A36" s="22" t="s">
        <v>235</v>
      </c>
      <c r="D36" s="60" t="s">
        <v>30</v>
      </c>
      <c r="E36" s="15"/>
      <c r="F36" s="22" t="s">
        <v>157</v>
      </c>
      <c r="I36" s="22" t="s">
        <v>154</v>
      </c>
      <c r="J36">
        <v>6</v>
      </c>
      <c r="M36" t="s">
        <v>61</v>
      </c>
      <c r="N36" t="s">
        <v>278</v>
      </c>
      <c r="O36" s="1"/>
      <c r="P36" t="s">
        <v>174</v>
      </c>
      <c r="Q36" s="1"/>
      <c r="U36" t="s">
        <v>377</v>
      </c>
      <c r="V36" t="s">
        <v>407</v>
      </c>
    </row>
    <row r="37" spans="1:22" ht="15" x14ac:dyDescent="0.25">
      <c r="A37" s="22"/>
      <c r="D37" s="60" t="s">
        <v>125</v>
      </c>
      <c r="E37" s="15"/>
      <c r="F37" s="62" t="s">
        <v>6</v>
      </c>
      <c r="M37" t="s">
        <v>63</v>
      </c>
      <c r="N37" t="s">
        <v>278</v>
      </c>
      <c r="O37" s="1"/>
      <c r="P37" t="s">
        <v>509</v>
      </c>
      <c r="Q37" s="1"/>
      <c r="U37" t="s">
        <v>378</v>
      </c>
      <c r="V37" t="s">
        <v>409</v>
      </c>
    </row>
    <row r="38" spans="1:22" ht="15" x14ac:dyDescent="0.25">
      <c r="A38" s="94"/>
      <c r="D38" s="60" t="s">
        <v>246</v>
      </c>
      <c r="E38" s="15"/>
      <c r="I38" s="22" t="s">
        <v>62</v>
      </c>
      <c r="J38" s="22" t="s">
        <v>222</v>
      </c>
      <c r="M38" t="s">
        <v>163</v>
      </c>
      <c r="N38" t="s">
        <v>276</v>
      </c>
      <c r="O38" s="1"/>
      <c r="P38" t="s">
        <v>192</v>
      </c>
      <c r="Q38" s="1"/>
      <c r="U38" t="s">
        <v>381</v>
      </c>
      <c r="V38" t="s">
        <v>413</v>
      </c>
    </row>
    <row r="39" spans="1:22" ht="15" x14ac:dyDescent="0.25">
      <c r="A39" s="22" t="s">
        <v>235</v>
      </c>
      <c r="D39" s="60" t="s">
        <v>247</v>
      </c>
      <c r="E39" s="15"/>
      <c r="I39" s="22" t="s">
        <v>82</v>
      </c>
      <c r="J39">
        <v>1</v>
      </c>
      <c r="M39" t="s">
        <v>42</v>
      </c>
      <c r="N39" t="s">
        <v>276</v>
      </c>
      <c r="O39" s="1"/>
      <c r="P39" t="s">
        <v>213</v>
      </c>
      <c r="Q39" s="1"/>
      <c r="U39" t="s">
        <v>383</v>
      </c>
      <c r="V39" t="s">
        <v>415</v>
      </c>
    </row>
    <row r="40" spans="1:22" ht="15" x14ac:dyDescent="0.25">
      <c r="A40" s="22"/>
      <c r="E40" s="15"/>
      <c r="I40" s="22" t="s">
        <v>103</v>
      </c>
      <c r="J40">
        <v>2</v>
      </c>
      <c r="M40" t="s">
        <v>143</v>
      </c>
      <c r="N40" t="s">
        <v>279</v>
      </c>
      <c r="O40" s="1"/>
      <c r="P40" t="s">
        <v>172</v>
      </c>
      <c r="Q40" s="1"/>
      <c r="U40" t="s">
        <v>384</v>
      </c>
      <c r="V40" t="s">
        <v>419</v>
      </c>
    </row>
    <row r="41" spans="1:22" ht="15" x14ac:dyDescent="0.25">
      <c r="A41" s="94"/>
      <c r="D41" t="s">
        <v>629</v>
      </c>
      <c r="E41" s="15"/>
      <c r="I41" s="22" t="s">
        <v>105</v>
      </c>
      <c r="J41">
        <v>3</v>
      </c>
      <c r="M41" t="s">
        <v>49</v>
      </c>
      <c r="N41" t="s">
        <v>276</v>
      </c>
      <c r="O41" s="1"/>
      <c r="P41" t="s">
        <v>68</v>
      </c>
      <c r="Q41" s="1"/>
      <c r="U41" t="s">
        <v>386</v>
      </c>
      <c r="V41" t="s">
        <v>420</v>
      </c>
    </row>
    <row r="42" spans="1:22" ht="15" x14ac:dyDescent="0.25">
      <c r="A42" s="22" t="s">
        <v>235</v>
      </c>
      <c r="D42" t="s">
        <v>630</v>
      </c>
      <c r="E42" s="15"/>
      <c r="I42" s="22" t="s">
        <v>107</v>
      </c>
      <c r="J42">
        <v>4</v>
      </c>
      <c r="M42" t="s">
        <v>93</v>
      </c>
      <c r="N42" t="s">
        <v>278</v>
      </c>
      <c r="O42" s="1"/>
      <c r="P42" t="s">
        <v>69</v>
      </c>
      <c r="Q42" s="1"/>
      <c r="U42" t="s">
        <v>387</v>
      </c>
      <c r="V42" t="s">
        <v>423</v>
      </c>
    </row>
    <row r="43" spans="1:22" ht="15" x14ac:dyDescent="0.25">
      <c r="A43" s="22"/>
      <c r="D43" t="s">
        <v>631</v>
      </c>
      <c r="E43" s="15"/>
      <c r="I43" s="22" t="s">
        <v>214</v>
      </c>
      <c r="J43">
        <v>5</v>
      </c>
      <c r="M43" t="s">
        <v>102</v>
      </c>
      <c r="N43" t="s">
        <v>279</v>
      </c>
      <c r="O43" s="1"/>
      <c r="P43" t="s">
        <v>79</v>
      </c>
      <c r="Q43" s="1"/>
      <c r="U43" t="s">
        <v>388</v>
      </c>
      <c r="V43" t="s">
        <v>428</v>
      </c>
    </row>
    <row r="44" spans="1:22" ht="15" x14ac:dyDescent="0.25">
      <c r="A44" s="94"/>
      <c r="D44" t="s">
        <v>621</v>
      </c>
      <c r="E44" s="15"/>
      <c r="I44" s="22" t="s">
        <v>224</v>
      </c>
      <c r="J44">
        <v>6</v>
      </c>
      <c r="M44" t="s">
        <v>181</v>
      </c>
      <c r="N44" t="s">
        <v>279</v>
      </c>
      <c r="O44" s="1"/>
      <c r="P44" t="s">
        <v>39</v>
      </c>
      <c r="Q44" s="1"/>
      <c r="U44" t="s">
        <v>389</v>
      </c>
      <c r="V44" t="s">
        <v>430</v>
      </c>
    </row>
    <row r="45" spans="1:22" ht="15" x14ac:dyDescent="0.25">
      <c r="A45" s="22" t="s">
        <v>235</v>
      </c>
      <c r="D45" t="s">
        <v>632</v>
      </c>
      <c r="E45" s="15"/>
      <c r="I45" s="22" t="s">
        <v>225</v>
      </c>
      <c r="J45">
        <v>7</v>
      </c>
      <c r="M45" t="s">
        <v>40</v>
      </c>
      <c r="N45" t="s">
        <v>276</v>
      </c>
      <c r="O45" s="1"/>
      <c r="P45" t="s">
        <v>120</v>
      </c>
      <c r="Q45" s="1"/>
      <c r="U45" t="s">
        <v>390</v>
      </c>
      <c r="V45" t="s">
        <v>431</v>
      </c>
    </row>
    <row r="46" spans="1:22" ht="15" x14ac:dyDescent="0.25">
      <c r="A46" s="22"/>
      <c r="D46" t="s">
        <v>633</v>
      </c>
      <c r="E46" s="15"/>
      <c r="I46" s="22" t="s">
        <v>226</v>
      </c>
      <c r="J46">
        <v>8</v>
      </c>
      <c r="M46" t="s">
        <v>94</v>
      </c>
      <c r="N46" t="s">
        <v>279</v>
      </c>
      <c r="O46" s="1"/>
      <c r="P46" t="s">
        <v>326</v>
      </c>
      <c r="Q46" s="1"/>
      <c r="U46" t="s">
        <v>391</v>
      </c>
      <c r="V46" t="s">
        <v>440</v>
      </c>
    </row>
    <row r="47" spans="1:22" ht="15" x14ac:dyDescent="0.25">
      <c r="D47" t="s">
        <v>634</v>
      </c>
      <c r="E47" s="15"/>
      <c r="I47" s="22" t="s">
        <v>227</v>
      </c>
      <c r="J47">
        <v>9</v>
      </c>
      <c r="M47" t="s">
        <v>182</v>
      </c>
      <c r="N47" t="s">
        <v>278</v>
      </c>
      <c r="O47" s="1"/>
      <c r="P47" t="s">
        <v>177</v>
      </c>
      <c r="Q47" s="1"/>
      <c r="U47" t="s">
        <v>392</v>
      </c>
      <c r="V47" t="s">
        <v>445</v>
      </c>
    </row>
    <row r="48" spans="1:22" ht="15" x14ac:dyDescent="0.25">
      <c r="D48" t="s">
        <v>635</v>
      </c>
      <c r="E48" s="15"/>
      <c r="I48" s="22" t="s">
        <v>228</v>
      </c>
      <c r="J48">
        <v>10</v>
      </c>
      <c r="M48" t="s">
        <v>183</v>
      </c>
      <c r="N48" t="s">
        <v>278</v>
      </c>
      <c r="O48" s="1"/>
      <c r="P48" t="s">
        <v>173</v>
      </c>
      <c r="Q48" s="1"/>
      <c r="U48" t="s">
        <v>394</v>
      </c>
      <c r="V48" t="s">
        <v>447</v>
      </c>
    </row>
    <row r="49" spans="4:22" ht="15" x14ac:dyDescent="0.25">
      <c r="D49" t="s">
        <v>636</v>
      </c>
      <c r="E49" s="15"/>
      <c r="I49" s="22" t="s">
        <v>229</v>
      </c>
      <c r="J49">
        <v>11</v>
      </c>
      <c r="M49" t="s">
        <v>184</v>
      </c>
      <c r="N49" t="s">
        <v>278</v>
      </c>
      <c r="O49" s="1"/>
      <c r="P49" t="s">
        <v>178</v>
      </c>
      <c r="Q49" s="1"/>
      <c r="U49" t="s">
        <v>395</v>
      </c>
      <c r="V49" t="s">
        <v>449</v>
      </c>
    </row>
    <row r="50" spans="4:22" ht="15" x14ac:dyDescent="0.25">
      <c r="D50" t="s">
        <v>637</v>
      </c>
      <c r="E50" s="15"/>
      <c r="M50" t="s">
        <v>185</v>
      </c>
      <c r="N50" t="s">
        <v>276</v>
      </c>
      <c r="O50" s="1"/>
      <c r="P50" t="s">
        <v>179</v>
      </c>
      <c r="Q50" s="1"/>
      <c r="U50" t="s">
        <v>396</v>
      </c>
      <c r="V50" t="s">
        <v>455</v>
      </c>
    </row>
    <row r="51" spans="4:22" ht="15" x14ac:dyDescent="0.25">
      <c r="D51" t="s">
        <v>638</v>
      </c>
      <c r="E51" s="15"/>
      <c r="I51" s="22" t="s">
        <v>230</v>
      </c>
      <c r="J51" s="22" t="s">
        <v>222</v>
      </c>
      <c r="M51" t="s">
        <v>77</v>
      </c>
      <c r="N51" t="s">
        <v>278</v>
      </c>
      <c r="O51" s="1"/>
      <c r="P51" t="s">
        <v>234</v>
      </c>
      <c r="Q51" s="1"/>
      <c r="U51" t="s">
        <v>397</v>
      </c>
      <c r="V51" t="s">
        <v>465</v>
      </c>
    </row>
    <row r="52" spans="4:22" ht="15" x14ac:dyDescent="0.25">
      <c r="D52" t="s">
        <v>639</v>
      </c>
      <c r="E52" s="15"/>
      <c r="I52" s="22" t="s">
        <v>215</v>
      </c>
      <c r="J52">
        <v>1</v>
      </c>
      <c r="M52" t="s">
        <v>98</v>
      </c>
      <c r="N52" t="s">
        <v>279</v>
      </c>
      <c r="O52" s="1"/>
      <c r="P52" t="s">
        <v>185</v>
      </c>
      <c r="Q52" s="1"/>
      <c r="U52" t="s">
        <v>399</v>
      </c>
      <c r="V52" t="s">
        <v>472</v>
      </c>
    </row>
    <row r="53" spans="4:22" ht="15" x14ac:dyDescent="0.25">
      <c r="D53" t="s">
        <v>640</v>
      </c>
      <c r="E53" s="15"/>
      <c r="I53" s="22" t="s">
        <v>231</v>
      </c>
      <c r="J53">
        <v>2</v>
      </c>
      <c r="M53" t="s">
        <v>99</v>
      </c>
      <c r="N53" t="s">
        <v>279</v>
      </c>
      <c r="O53" s="1"/>
      <c r="P53" t="s">
        <v>163</v>
      </c>
      <c r="Q53" s="1"/>
      <c r="U53" t="s">
        <v>400</v>
      </c>
      <c r="V53" t="s">
        <v>480</v>
      </c>
    </row>
    <row r="54" spans="4:22" ht="15" x14ac:dyDescent="0.25">
      <c r="D54" t="s">
        <v>641</v>
      </c>
      <c r="E54" s="15"/>
      <c r="I54" s="22" t="s">
        <v>204</v>
      </c>
      <c r="J54">
        <v>3</v>
      </c>
      <c r="M54" t="s">
        <v>64</v>
      </c>
      <c r="N54" t="s">
        <v>276</v>
      </c>
      <c r="O54" s="1"/>
      <c r="P54" t="s">
        <v>268</v>
      </c>
      <c r="Q54" s="1"/>
      <c r="U54" t="s">
        <v>401</v>
      </c>
      <c r="V54" t="s">
        <v>485</v>
      </c>
    </row>
    <row r="55" spans="4:22" ht="15" x14ac:dyDescent="0.25">
      <c r="D55" t="s">
        <v>642</v>
      </c>
      <c r="E55" s="15"/>
      <c r="I55" s="22" t="s">
        <v>2</v>
      </c>
      <c r="J55">
        <v>4</v>
      </c>
      <c r="M55" t="s">
        <v>65</v>
      </c>
      <c r="N55" t="s">
        <v>278</v>
      </c>
      <c r="O55" s="1"/>
      <c r="P55" t="s">
        <v>136</v>
      </c>
      <c r="Q55" s="1"/>
      <c r="U55" t="s">
        <v>403</v>
      </c>
      <c r="V55" t="s">
        <v>441</v>
      </c>
    </row>
    <row r="56" spans="4:22" ht="15" x14ac:dyDescent="0.25">
      <c r="D56" t="s">
        <v>643</v>
      </c>
      <c r="E56" s="15"/>
      <c r="I56" s="22" t="s">
        <v>232</v>
      </c>
      <c r="J56">
        <v>5</v>
      </c>
      <c r="M56" t="s">
        <v>100</v>
      </c>
      <c r="N56" t="s">
        <v>279</v>
      </c>
      <c r="O56" s="1"/>
      <c r="P56" t="s">
        <v>180</v>
      </c>
      <c r="U56" t="s">
        <v>404</v>
      </c>
      <c r="V56"/>
    </row>
    <row r="57" spans="4:22" ht="15" x14ac:dyDescent="0.25">
      <c r="D57" t="s">
        <v>644</v>
      </c>
      <c r="E57" s="15"/>
      <c r="I57" s="22" t="s">
        <v>106</v>
      </c>
      <c r="J57">
        <v>6</v>
      </c>
      <c r="M57" t="s">
        <v>66</v>
      </c>
      <c r="N57" t="s">
        <v>278</v>
      </c>
      <c r="O57" s="1"/>
      <c r="P57" t="s">
        <v>121</v>
      </c>
      <c r="U57" t="s">
        <v>408</v>
      </c>
      <c r="V57"/>
    </row>
    <row r="58" spans="4:22" ht="15" x14ac:dyDescent="0.25">
      <c r="D58" t="s">
        <v>645</v>
      </c>
      <c r="E58" s="15"/>
      <c r="I58" s="22" t="s">
        <v>6</v>
      </c>
      <c r="J58">
        <v>7</v>
      </c>
      <c r="M58" t="s">
        <v>67</v>
      </c>
      <c r="N58" t="s">
        <v>276</v>
      </c>
      <c r="O58" s="1"/>
      <c r="U58" t="s">
        <v>410</v>
      </c>
      <c r="V58"/>
    </row>
    <row r="59" spans="4:22" ht="15" x14ac:dyDescent="0.25">
      <c r="D59" t="s">
        <v>646</v>
      </c>
      <c r="E59" s="15"/>
      <c r="M59" t="s">
        <v>68</v>
      </c>
      <c r="N59" t="s">
        <v>276</v>
      </c>
      <c r="O59" s="1"/>
      <c r="U59" t="s">
        <v>411</v>
      </c>
      <c r="V59"/>
    </row>
    <row r="60" spans="4:22" ht="15" x14ac:dyDescent="0.25">
      <c r="D60" t="s">
        <v>647</v>
      </c>
      <c r="E60" s="15"/>
      <c r="I60" s="22" t="s">
        <v>138</v>
      </c>
      <c r="J60" t="s">
        <v>222</v>
      </c>
      <c r="M60" t="s">
        <v>69</v>
      </c>
      <c r="N60" t="s">
        <v>276</v>
      </c>
      <c r="O60" s="1"/>
      <c r="U60" t="s">
        <v>412</v>
      </c>
      <c r="V60"/>
    </row>
    <row r="61" spans="4:22" ht="15" x14ac:dyDescent="0.25">
      <c r="D61" t="s">
        <v>648</v>
      </c>
      <c r="E61" s="15"/>
      <c r="I61" s="22" t="s">
        <v>149</v>
      </c>
      <c r="J61">
        <v>1</v>
      </c>
      <c r="M61" t="s">
        <v>70</v>
      </c>
      <c r="N61" t="s">
        <v>279</v>
      </c>
      <c r="O61" s="1"/>
      <c r="U61" t="s">
        <v>414</v>
      </c>
      <c r="V61"/>
    </row>
    <row r="62" spans="4:22" ht="15" x14ac:dyDescent="0.25">
      <c r="D62" t="s">
        <v>649</v>
      </c>
      <c r="E62" s="15"/>
      <c r="I62" s="22" t="s">
        <v>146</v>
      </c>
      <c r="J62">
        <v>2</v>
      </c>
      <c r="M62" t="s">
        <v>76</v>
      </c>
      <c r="N62" t="s">
        <v>279</v>
      </c>
      <c r="O62" s="1"/>
      <c r="U62" t="s">
        <v>416</v>
      </c>
      <c r="V62"/>
    </row>
    <row r="63" spans="4:22" ht="15" x14ac:dyDescent="0.25">
      <c r="D63" t="s">
        <v>650</v>
      </c>
      <c r="E63" s="15"/>
      <c r="I63" s="22" t="s">
        <v>207</v>
      </c>
      <c r="J63">
        <v>3</v>
      </c>
      <c r="M63" t="s">
        <v>132</v>
      </c>
      <c r="N63" t="s">
        <v>277</v>
      </c>
      <c r="O63" s="1"/>
      <c r="U63" t="s">
        <v>417</v>
      </c>
      <c r="V63"/>
    </row>
    <row r="64" spans="4:22" ht="15" x14ac:dyDescent="0.25">
      <c r="D64" t="s">
        <v>651</v>
      </c>
      <c r="E64" s="15"/>
      <c r="I64" s="22" t="s">
        <v>206</v>
      </c>
      <c r="J64">
        <v>4</v>
      </c>
      <c r="M64" t="s">
        <v>71</v>
      </c>
      <c r="N64" t="s">
        <v>279</v>
      </c>
      <c r="O64" s="1"/>
      <c r="U64" t="s">
        <v>418</v>
      </c>
      <c r="V64"/>
    </row>
    <row r="65" spans="4:22" ht="15" x14ac:dyDescent="0.25">
      <c r="D65" t="s">
        <v>652</v>
      </c>
      <c r="E65" s="15"/>
      <c r="I65" s="22" t="s">
        <v>156</v>
      </c>
      <c r="J65">
        <v>5</v>
      </c>
      <c r="M65" t="s">
        <v>101</v>
      </c>
      <c r="N65" t="s">
        <v>278</v>
      </c>
      <c r="O65" s="1"/>
      <c r="U65" t="s">
        <v>421</v>
      </c>
      <c r="V65"/>
    </row>
    <row r="66" spans="4:22" ht="15" x14ac:dyDescent="0.25">
      <c r="D66" t="s">
        <v>653</v>
      </c>
      <c r="E66" s="15"/>
      <c r="I66" s="22" t="s">
        <v>162</v>
      </c>
      <c r="J66">
        <v>6</v>
      </c>
      <c r="M66" t="s">
        <v>72</v>
      </c>
      <c r="N66" t="s">
        <v>278</v>
      </c>
      <c r="O66" s="1"/>
      <c r="U66" t="s">
        <v>422</v>
      </c>
      <c r="V66"/>
    </row>
    <row r="67" spans="4:22" ht="15" x14ac:dyDescent="0.25">
      <c r="D67" t="s">
        <v>654</v>
      </c>
      <c r="E67" s="15"/>
      <c r="M67" t="s">
        <v>186</v>
      </c>
      <c r="N67" t="s">
        <v>278</v>
      </c>
      <c r="O67" s="1"/>
      <c r="U67" t="s">
        <v>424</v>
      </c>
      <c r="V67"/>
    </row>
    <row r="68" spans="4:22" ht="15" x14ac:dyDescent="0.25">
      <c r="D68" t="s">
        <v>655</v>
      </c>
      <c r="E68" s="15"/>
      <c r="I68" t="s">
        <v>120</v>
      </c>
      <c r="J68" t="s">
        <v>222</v>
      </c>
      <c r="M68" t="s">
        <v>73</v>
      </c>
      <c r="N68" t="s">
        <v>278</v>
      </c>
      <c r="O68" s="1"/>
      <c r="U68" t="s">
        <v>425</v>
      </c>
      <c r="V68"/>
    </row>
    <row r="69" spans="4:22" ht="15" x14ac:dyDescent="0.25">
      <c r="D69" t="s">
        <v>656</v>
      </c>
      <c r="E69" s="15"/>
      <c r="I69" t="s">
        <v>499</v>
      </c>
      <c r="J69">
        <v>1</v>
      </c>
      <c r="M69" t="s">
        <v>74</v>
      </c>
      <c r="N69" t="s">
        <v>279</v>
      </c>
      <c r="O69" s="1"/>
      <c r="U69" t="s">
        <v>426</v>
      </c>
      <c r="V69"/>
    </row>
    <row r="70" spans="4:22" ht="15" x14ac:dyDescent="0.25">
      <c r="D70" t="s">
        <v>657</v>
      </c>
      <c r="E70" s="15"/>
      <c r="I70" t="s">
        <v>510</v>
      </c>
      <c r="J70">
        <v>2</v>
      </c>
      <c r="M70" t="s">
        <v>75</v>
      </c>
      <c r="N70" t="s">
        <v>278</v>
      </c>
      <c r="O70" s="1"/>
      <c r="U70" t="s">
        <v>427</v>
      </c>
      <c r="V70"/>
    </row>
    <row r="71" spans="4:22" ht="15" x14ac:dyDescent="0.25">
      <c r="D71" t="s">
        <v>658</v>
      </c>
      <c r="E71" s="15"/>
      <c r="I71" t="s">
        <v>511</v>
      </c>
      <c r="J71">
        <v>3</v>
      </c>
      <c r="M71" t="s">
        <v>78</v>
      </c>
      <c r="N71" t="s">
        <v>276</v>
      </c>
      <c r="O71" s="1"/>
      <c r="U71" t="s">
        <v>429</v>
      </c>
      <c r="V71"/>
    </row>
    <row r="72" spans="4:22" ht="15" x14ac:dyDescent="0.25">
      <c r="D72" t="s">
        <v>659</v>
      </c>
      <c r="E72" s="15"/>
      <c r="I72" t="s">
        <v>512</v>
      </c>
      <c r="J72">
        <v>4</v>
      </c>
      <c r="M72" t="s">
        <v>79</v>
      </c>
      <c r="N72" t="s">
        <v>276</v>
      </c>
      <c r="O72" s="1"/>
      <c r="U72" t="s">
        <v>432</v>
      </c>
      <c r="V72"/>
    </row>
    <row r="73" spans="4:22" ht="15" x14ac:dyDescent="0.25">
      <c r="D73" t="s">
        <v>660</v>
      </c>
      <c r="E73" s="15"/>
      <c r="I73" t="s">
        <v>513</v>
      </c>
      <c r="J73">
        <v>5</v>
      </c>
      <c r="O73" s="1"/>
      <c r="U73" t="s">
        <v>433</v>
      </c>
      <c r="V73"/>
    </row>
    <row r="74" spans="4:22" ht="15" x14ac:dyDescent="0.25">
      <c r="D74" t="s">
        <v>661</v>
      </c>
      <c r="E74" s="15"/>
      <c r="I74" s="16"/>
      <c r="O74" s="1"/>
      <c r="U74" t="s">
        <v>434</v>
      </c>
      <c r="V74"/>
    </row>
    <row r="75" spans="4:22" ht="15" x14ac:dyDescent="0.25">
      <c r="D75" t="s">
        <v>662</v>
      </c>
      <c r="E75" s="15"/>
      <c r="I75" t="s">
        <v>151</v>
      </c>
      <c r="J75" t="s">
        <v>222</v>
      </c>
      <c r="O75" s="1"/>
      <c r="U75" t="s">
        <v>435</v>
      </c>
      <c r="V75"/>
    </row>
    <row r="76" spans="4:22" ht="15" x14ac:dyDescent="0.25">
      <c r="D76" t="s">
        <v>663</v>
      </c>
      <c r="E76" s="15"/>
      <c r="I76" t="s">
        <v>130</v>
      </c>
      <c r="J76">
        <v>1</v>
      </c>
      <c r="Q76" s="1"/>
      <c r="U76" t="s">
        <v>436</v>
      </c>
      <c r="V76"/>
    </row>
    <row r="77" spans="4:22" ht="15" x14ac:dyDescent="0.25">
      <c r="D77" t="s">
        <v>664</v>
      </c>
      <c r="E77" s="15"/>
      <c r="I77" t="s">
        <v>129</v>
      </c>
      <c r="J77">
        <v>2</v>
      </c>
      <c r="Q77" s="1"/>
      <c r="U77" t="s">
        <v>437</v>
      </c>
      <c r="V77"/>
    </row>
    <row r="78" spans="4:22" ht="15" x14ac:dyDescent="0.25">
      <c r="D78" t="s">
        <v>619</v>
      </c>
      <c r="E78" s="15"/>
      <c r="I78" t="s">
        <v>533</v>
      </c>
      <c r="J78">
        <v>3</v>
      </c>
      <c r="Q78" s="1"/>
      <c r="U78" t="s">
        <v>438</v>
      </c>
      <c r="V78"/>
    </row>
    <row r="79" spans="4:22" ht="15" x14ac:dyDescent="0.25">
      <c r="D79" t="s">
        <v>665</v>
      </c>
      <c r="E79" s="15"/>
      <c r="I79" t="s">
        <v>534</v>
      </c>
      <c r="J79">
        <v>4</v>
      </c>
      <c r="Q79" s="1"/>
      <c r="U79" t="s">
        <v>439</v>
      </c>
      <c r="V79"/>
    </row>
    <row r="80" spans="4:22" ht="15" x14ac:dyDescent="0.25">
      <c r="D80" t="s">
        <v>666</v>
      </c>
      <c r="E80" s="15"/>
      <c r="I80" t="s">
        <v>535</v>
      </c>
      <c r="J80">
        <v>5</v>
      </c>
      <c r="Q80" s="1"/>
      <c r="U80" t="s">
        <v>442</v>
      </c>
      <c r="V80"/>
    </row>
    <row r="81" spans="4:22" ht="15" x14ac:dyDescent="0.25">
      <c r="D81" t="s">
        <v>667</v>
      </c>
      <c r="E81" s="15"/>
      <c r="I81" t="s">
        <v>6</v>
      </c>
      <c r="J81">
        <v>6</v>
      </c>
      <c r="Q81" s="1"/>
      <c r="U81" t="s">
        <v>443</v>
      </c>
      <c r="V81"/>
    </row>
    <row r="82" spans="4:22" ht="15" x14ac:dyDescent="0.25">
      <c r="D82" t="s">
        <v>668</v>
      </c>
      <c r="E82" s="15"/>
      <c r="I82" s="16"/>
      <c r="Q82" s="1"/>
      <c r="U82" t="s">
        <v>444</v>
      </c>
      <c r="V82"/>
    </row>
    <row r="83" spans="4:22" ht="15" x14ac:dyDescent="0.25">
      <c r="D83" t="s">
        <v>669</v>
      </c>
      <c r="E83" s="15"/>
      <c r="I83" s="60" t="s">
        <v>135</v>
      </c>
      <c r="J83" s="22" t="s">
        <v>222</v>
      </c>
      <c r="Q83" s="1"/>
      <c r="U83" t="s">
        <v>446</v>
      </c>
      <c r="V83"/>
    </row>
    <row r="84" spans="4:22" ht="15" x14ac:dyDescent="0.25">
      <c r="D84" t="s">
        <v>670</v>
      </c>
      <c r="E84" s="15"/>
      <c r="I84" s="60" t="s">
        <v>577</v>
      </c>
      <c r="J84"/>
      <c r="Q84" s="1"/>
      <c r="U84" t="s">
        <v>448</v>
      </c>
      <c r="V84"/>
    </row>
    <row r="85" spans="4:22" ht="15" x14ac:dyDescent="0.25">
      <c r="D85" t="s">
        <v>671</v>
      </c>
      <c r="E85" s="15"/>
      <c r="I85" s="60" t="s">
        <v>542</v>
      </c>
      <c r="J85"/>
      <c r="Q85" s="1"/>
      <c r="U85" t="s">
        <v>450</v>
      </c>
      <c r="V85"/>
    </row>
    <row r="86" spans="4:22" ht="15" x14ac:dyDescent="0.25">
      <c r="D86" t="s">
        <v>672</v>
      </c>
      <c r="E86" s="15"/>
      <c r="I86" s="60" t="s">
        <v>579</v>
      </c>
      <c r="J86"/>
      <c r="Q86" s="1"/>
      <c r="U86" t="s">
        <v>451</v>
      </c>
      <c r="V86"/>
    </row>
    <row r="87" spans="4:22" ht="15" x14ac:dyDescent="0.25">
      <c r="D87" t="s">
        <v>673</v>
      </c>
      <c r="E87" s="15"/>
      <c r="I87" s="60" t="s">
        <v>561</v>
      </c>
      <c r="J87"/>
      <c r="Q87" s="1"/>
      <c r="U87" t="s">
        <v>452</v>
      </c>
      <c r="V87"/>
    </row>
    <row r="88" spans="4:22" ht="15" x14ac:dyDescent="0.25">
      <c r="D88" t="s">
        <v>674</v>
      </c>
      <c r="E88" s="15"/>
      <c r="I88" s="60" t="s">
        <v>580</v>
      </c>
      <c r="J88"/>
      <c r="Q88" s="1"/>
      <c r="U88" t="s">
        <v>453</v>
      </c>
      <c r="V88"/>
    </row>
    <row r="89" spans="4:22" ht="15" x14ac:dyDescent="0.25">
      <c r="D89" t="s">
        <v>675</v>
      </c>
      <c r="E89" s="15"/>
      <c r="I89" s="60" t="s">
        <v>578</v>
      </c>
      <c r="J89"/>
      <c r="Q89" s="1"/>
      <c r="U89" t="s">
        <v>454</v>
      </c>
      <c r="V89"/>
    </row>
    <row r="90" spans="4:22" ht="15" x14ac:dyDescent="0.25">
      <c r="D90" t="s">
        <v>676</v>
      </c>
      <c r="E90" s="15"/>
      <c r="I90" s="60" t="s">
        <v>111</v>
      </c>
      <c r="J90">
        <v>1</v>
      </c>
      <c r="Q90" s="1"/>
      <c r="U90" t="s">
        <v>456</v>
      </c>
      <c r="V90"/>
    </row>
    <row r="91" spans="4:22" ht="15" x14ac:dyDescent="0.25">
      <c r="D91" t="s">
        <v>677</v>
      </c>
      <c r="E91" s="15"/>
      <c r="I91" s="60" t="s">
        <v>536</v>
      </c>
      <c r="J91">
        <v>2</v>
      </c>
      <c r="Q91" s="1"/>
      <c r="U91" t="s">
        <v>457</v>
      </c>
      <c r="V91"/>
    </row>
    <row r="92" spans="4:22" ht="15" x14ac:dyDescent="0.25">
      <c r="D92" t="s">
        <v>678</v>
      </c>
      <c r="E92" s="15"/>
      <c r="I92" s="60" t="s">
        <v>537</v>
      </c>
      <c r="J92">
        <v>3</v>
      </c>
      <c r="Q92" s="1"/>
      <c r="U92" t="s">
        <v>458</v>
      </c>
      <c r="V92"/>
    </row>
    <row r="93" spans="4:22" ht="15" x14ac:dyDescent="0.25">
      <c r="E93" s="15"/>
      <c r="I93" s="60" t="s">
        <v>538</v>
      </c>
      <c r="J93">
        <v>4</v>
      </c>
      <c r="Q93" s="1"/>
      <c r="U93" t="s">
        <v>459</v>
      </c>
      <c r="V93"/>
    </row>
    <row r="94" spans="4:22" ht="15" x14ac:dyDescent="0.25">
      <c r="E94" s="15"/>
      <c r="I94" s="60" t="s">
        <v>539</v>
      </c>
      <c r="J94">
        <v>5</v>
      </c>
      <c r="Q94" s="1"/>
      <c r="U94" t="s">
        <v>460</v>
      </c>
      <c r="V94"/>
    </row>
    <row r="95" spans="4:22" ht="15" x14ac:dyDescent="0.25">
      <c r="D95" t="s">
        <v>327</v>
      </c>
      <c r="E95" s="15"/>
      <c r="I95" s="60" t="s">
        <v>540</v>
      </c>
      <c r="J95">
        <v>6</v>
      </c>
      <c r="Q95" s="1"/>
      <c r="U95" t="s">
        <v>461</v>
      </c>
      <c r="V95"/>
    </row>
    <row r="96" spans="4:22" ht="15" x14ac:dyDescent="0.25">
      <c r="D96" t="s">
        <v>108</v>
      </c>
      <c r="H96" s="16"/>
      <c r="I96" s="60" t="s">
        <v>541</v>
      </c>
      <c r="J96">
        <v>7</v>
      </c>
      <c r="P96" s="1"/>
      <c r="U96" t="s">
        <v>462</v>
      </c>
      <c r="V96"/>
    </row>
    <row r="97" spans="4:22" ht="15" x14ac:dyDescent="0.25">
      <c r="D97" t="s">
        <v>109</v>
      </c>
      <c r="H97" s="16"/>
      <c r="I97" s="16"/>
      <c r="P97" s="1"/>
      <c r="U97" t="s">
        <v>463</v>
      </c>
      <c r="V97"/>
    </row>
    <row r="98" spans="4:22" ht="15" x14ac:dyDescent="0.25">
      <c r="D98" t="s">
        <v>233</v>
      </c>
      <c r="H98" s="16"/>
      <c r="I98" s="60" t="s">
        <v>209</v>
      </c>
      <c r="J98" s="22" t="s">
        <v>222</v>
      </c>
      <c r="P98" s="1"/>
      <c r="U98" t="s">
        <v>464</v>
      </c>
      <c r="V98"/>
    </row>
    <row r="99" spans="4:22" ht="15" x14ac:dyDescent="0.25">
      <c r="D99" t="s">
        <v>110</v>
      </c>
      <c r="H99" s="16"/>
      <c r="I99" s="22" t="s">
        <v>290</v>
      </c>
      <c r="J99">
        <v>1</v>
      </c>
      <c r="P99" s="1"/>
      <c r="U99" t="s">
        <v>466</v>
      </c>
      <c r="V99"/>
    </row>
    <row r="100" spans="4:22" ht="15" x14ac:dyDescent="0.25">
      <c r="D100" t="s">
        <v>37</v>
      </c>
      <c r="H100" s="16"/>
      <c r="I100" s="22" t="s">
        <v>587</v>
      </c>
      <c r="J100">
        <v>2</v>
      </c>
      <c r="P100" s="1"/>
      <c r="U100" t="s">
        <v>467</v>
      </c>
      <c r="V100"/>
    </row>
    <row r="101" spans="4:22" ht="15" x14ac:dyDescent="0.25">
      <c r="D101" t="s">
        <v>35</v>
      </c>
      <c r="H101" s="16"/>
      <c r="I101" s="22" t="s">
        <v>588</v>
      </c>
      <c r="J101">
        <v>3</v>
      </c>
      <c r="P101" s="1"/>
      <c r="U101" t="s">
        <v>468</v>
      </c>
      <c r="V101"/>
    </row>
    <row r="102" spans="4:22" ht="15" x14ac:dyDescent="0.25">
      <c r="D102" t="s">
        <v>208</v>
      </c>
      <c r="H102" s="16"/>
      <c r="P102" s="1"/>
      <c r="U102" t="s">
        <v>469</v>
      </c>
      <c r="V102"/>
    </row>
    <row r="103" spans="4:22" ht="15" x14ac:dyDescent="0.25">
      <c r="D103" t="s">
        <v>38</v>
      </c>
      <c r="H103" s="16"/>
      <c r="I103" s="22" t="s">
        <v>290</v>
      </c>
      <c r="J103" s="22" t="s">
        <v>222</v>
      </c>
      <c r="P103" s="1"/>
      <c r="U103" t="s">
        <v>470</v>
      </c>
      <c r="V103"/>
    </row>
    <row r="104" spans="4:22" ht="15" x14ac:dyDescent="0.25">
      <c r="D104" t="s">
        <v>36</v>
      </c>
      <c r="H104" s="16"/>
      <c r="I104" s="22" t="s">
        <v>589</v>
      </c>
      <c r="J104">
        <v>1</v>
      </c>
      <c r="P104" s="1"/>
      <c r="U104" t="s">
        <v>471</v>
      </c>
      <c r="V104"/>
    </row>
    <row r="105" spans="4:22" ht="15" x14ac:dyDescent="0.25">
      <c r="H105" s="16"/>
      <c r="I105" s="22" t="s">
        <v>590</v>
      </c>
      <c r="J105">
        <v>2</v>
      </c>
      <c r="P105" s="1"/>
      <c r="U105" t="s">
        <v>473</v>
      </c>
      <c r="V105"/>
    </row>
    <row r="106" spans="4:22" ht="15" x14ac:dyDescent="0.25">
      <c r="D106" s="60" t="s">
        <v>294</v>
      </c>
      <c r="E106" s="15"/>
      <c r="I106" s="22" t="s">
        <v>591</v>
      </c>
      <c r="J106">
        <v>3</v>
      </c>
      <c r="Q106" s="1"/>
      <c r="U106" t="s">
        <v>474</v>
      </c>
      <c r="V106"/>
    </row>
    <row r="107" spans="4:22" ht="15" x14ac:dyDescent="0.25">
      <c r="D107" s="121" t="s">
        <v>516</v>
      </c>
      <c r="E107" s="15"/>
      <c r="I107" s="22" t="s">
        <v>592</v>
      </c>
      <c r="J107">
        <v>4</v>
      </c>
      <c r="Q107" s="1"/>
      <c r="U107" t="s">
        <v>475</v>
      </c>
      <c r="V107"/>
    </row>
    <row r="108" spans="4:22" ht="15" x14ac:dyDescent="0.25">
      <c r="D108" s="121" t="s">
        <v>543</v>
      </c>
      <c r="E108" s="15"/>
      <c r="I108" s="22" t="s">
        <v>593</v>
      </c>
      <c r="J108">
        <v>5</v>
      </c>
      <c r="Q108" s="1"/>
      <c r="U108" t="s">
        <v>476</v>
      </c>
      <c r="V108"/>
    </row>
    <row r="109" spans="4:22" ht="15" x14ac:dyDescent="0.25">
      <c r="D109" s="121" t="s">
        <v>560</v>
      </c>
      <c r="E109" s="15"/>
      <c r="I109" s="60" t="s">
        <v>594</v>
      </c>
      <c r="J109">
        <v>6</v>
      </c>
      <c r="Q109" s="1"/>
      <c r="U109" t="s">
        <v>477</v>
      </c>
      <c r="V109"/>
    </row>
    <row r="110" spans="4:22" ht="15" x14ac:dyDescent="0.25">
      <c r="D110" s="121" t="s">
        <v>576</v>
      </c>
      <c r="E110" s="15"/>
      <c r="I110" s="60" t="s">
        <v>595</v>
      </c>
      <c r="J110">
        <v>7</v>
      </c>
      <c r="Q110" s="1"/>
      <c r="U110" t="s">
        <v>478</v>
      </c>
      <c r="V110"/>
    </row>
    <row r="111" spans="4:22" ht="15" x14ac:dyDescent="0.25">
      <c r="D111" s="121" t="s">
        <v>781</v>
      </c>
      <c r="E111" s="15"/>
      <c r="I111" s="16"/>
      <c r="Q111" s="1"/>
      <c r="U111" t="s">
        <v>479</v>
      </c>
      <c r="V111"/>
    </row>
    <row r="112" spans="4:22" ht="15" x14ac:dyDescent="0.25">
      <c r="D112" s="121" t="s">
        <v>782</v>
      </c>
      <c r="E112" s="15"/>
      <c r="I112" s="60" t="s">
        <v>587</v>
      </c>
      <c r="J112" s="22" t="s">
        <v>222</v>
      </c>
      <c r="Q112" s="1"/>
      <c r="U112" t="s">
        <v>481</v>
      </c>
      <c r="V112"/>
    </row>
    <row r="113" spans="4:22" ht="15" x14ac:dyDescent="0.25">
      <c r="D113" s="121" t="s">
        <v>809</v>
      </c>
      <c r="E113" s="15"/>
      <c r="I113" s="60" t="s">
        <v>596</v>
      </c>
      <c r="J113">
        <v>1</v>
      </c>
      <c r="Q113" s="1"/>
      <c r="U113" t="s">
        <v>482</v>
      </c>
      <c r="V113"/>
    </row>
    <row r="114" spans="4:22" ht="15" x14ac:dyDescent="0.25">
      <c r="D114" s="121" t="s">
        <v>1347</v>
      </c>
      <c r="E114" s="15"/>
      <c r="I114" s="60" t="s">
        <v>597</v>
      </c>
      <c r="J114">
        <v>2</v>
      </c>
      <c r="Q114" s="1"/>
      <c r="U114" t="s">
        <v>483</v>
      </c>
      <c r="V114"/>
    </row>
    <row r="115" spans="4:22" ht="15" x14ac:dyDescent="0.25">
      <c r="E115" s="15"/>
      <c r="I115" s="60" t="s">
        <v>598</v>
      </c>
      <c r="J115">
        <v>3</v>
      </c>
      <c r="Q115" s="1"/>
      <c r="U115" t="s">
        <v>484</v>
      </c>
      <c r="V115"/>
    </row>
    <row r="116" spans="4:22" ht="15" x14ac:dyDescent="0.25">
      <c r="D116" t="s">
        <v>528</v>
      </c>
      <c r="E116" s="15"/>
      <c r="I116" s="60" t="s">
        <v>599</v>
      </c>
      <c r="J116">
        <v>4</v>
      </c>
      <c r="Q116" s="1"/>
      <c r="U116" t="s">
        <v>486</v>
      </c>
      <c r="V116"/>
    </row>
    <row r="117" spans="4:22" ht="15" x14ac:dyDescent="0.25">
      <c r="D117" t="s">
        <v>521</v>
      </c>
      <c r="E117" s="15"/>
      <c r="I117" s="60" t="s">
        <v>600</v>
      </c>
      <c r="J117">
        <v>5</v>
      </c>
      <c r="Q117" s="1"/>
      <c r="U117" t="s">
        <v>487</v>
      </c>
      <c r="V117"/>
    </row>
    <row r="118" spans="4:22" ht="15" x14ac:dyDescent="0.25">
      <c r="D118" t="s">
        <v>522</v>
      </c>
      <c r="E118" s="15"/>
      <c r="I118" s="60" t="s">
        <v>601</v>
      </c>
      <c r="J118">
        <v>6</v>
      </c>
      <c r="Q118" s="1"/>
      <c r="U118" t="s">
        <v>488</v>
      </c>
      <c r="V118"/>
    </row>
    <row r="119" spans="4:22" ht="15" x14ac:dyDescent="0.25">
      <c r="D119" t="s">
        <v>523</v>
      </c>
      <c r="E119" s="15"/>
      <c r="I119" s="60" t="s">
        <v>602</v>
      </c>
      <c r="J119">
        <v>7</v>
      </c>
      <c r="Q119" s="1"/>
      <c r="U119" t="s">
        <v>489</v>
      </c>
      <c r="V119"/>
    </row>
    <row r="120" spans="4:22" ht="15" x14ac:dyDescent="0.25">
      <c r="D120" t="s">
        <v>527</v>
      </c>
      <c r="I120" s="16"/>
      <c r="Q120" s="1"/>
      <c r="U120" t="s">
        <v>490</v>
      </c>
      <c r="V120"/>
    </row>
    <row r="121" spans="4:22" ht="15" x14ac:dyDescent="0.25">
      <c r="D121" t="s">
        <v>526</v>
      </c>
      <c r="I121" s="60" t="s">
        <v>160</v>
      </c>
      <c r="J121" s="22" t="s">
        <v>222</v>
      </c>
      <c r="Q121" s="1"/>
      <c r="U121" t="s">
        <v>491</v>
      </c>
      <c r="V121"/>
    </row>
    <row r="122" spans="4:22" ht="15" x14ac:dyDescent="0.25">
      <c r="D122" t="s">
        <v>525</v>
      </c>
      <c r="I122" s="60" t="s">
        <v>603</v>
      </c>
      <c r="J122">
        <v>1</v>
      </c>
      <c r="Q122" s="1"/>
      <c r="U122" t="s">
        <v>492</v>
      </c>
      <c r="V122"/>
    </row>
    <row r="123" spans="4:22" ht="15" x14ac:dyDescent="0.25">
      <c r="D123" t="s">
        <v>2</v>
      </c>
      <c r="I123" s="60" t="s">
        <v>604</v>
      </c>
      <c r="J123">
        <v>2</v>
      </c>
      <c r="Q123" s="1"/>
      <c r="U123" t="s">
        <v>493</v>
      </c>
      <c r="V123"/>
    </row>
    <row r="124" spans="4:22" ht="15" x14ac:dyDescent="0.25">
      <c r="I124" s="60" t="s">
        <v>605</v>
      </c>
      <c r="J124">
        <v>3</v>
      </c>
      <c r="Q124" s="1"/>
      <c r="U124" t="s">
        <v>494</v>
      </c>
      <c r="V124"/>
    </row>
    <row r="125" spans="4:22" ht="15" x14ac:dyDescent="0.25">
      <c r="D125" t="s">
        <v>529</v>
      </c>
      <c r="I125" s="60" t="s">
        <v>606</v>
      </c>
      <c r="J125">
        <v>4</v>
      </c>
      <c r="U125" t="s">
        <v>495</v>
      </c>
      <c r="V125"/>
    </row>
    <row r="126" spans="4:22" ht="15" x14ac:dyDescent="0.25">
      <c r="D126" t="s">
        <v>265</v>
      </c>
      <c r="I126" s="60" t="s">
        <v>607</v>
      </c>
      <c r="J126">
        <v>5</v>
      </c>
    </row>
    <row r="127" spans="4:22" ht="15" x14ac:dyDescent="0.25">
      <c r="D127" t="s">
        <v>524</v>
      </c>
      <c r="E127" s="15"/>
      <c r="I127" s="60" t="s">
        <v>608</v>
      </c>
      <c r="J127">
        <v>6</v>
      </c>
    </row>
    <row r="128" spans="4:22" ht="15" x14ac:dyDescent="0.25">
      <c r="D128" t="s">
        <v>2</v>
      </c>
      <c r="E128" s="15"/>
      <c r="I128" s="60" t="s">
        <v>609</v>
      </c>
      <c r="J128">
        <v>7</v>
      </c>
    </row>
    <row r="129" spans="9:10" ht="15" x14ac:dyDescent="0.25">
      <c r="I129" s="60" t="s">
        <v>583</v>
      </c>
      <c r="J129">
        <v>8</v>
      </c>
    </row>
    <row r="130" spans="9:10" ht="15" x14ac:dyDescent="0.25">
      <c r="I130" s="60" t="s">
        <v>6</v>
      </c>
      <c r="J130">
        <v>9</v>
      </c>
    </row>
    <row r="131" spans="9:10" ht="11.25" x14ac:dyDescent="0.25">
      <c r="I131" s="16"/>
    </row>
    <row r="132" spans="9:10" ht="15" x14ac:dyDescent="0.25">
      <c r="I132" s="60" t="s">
        <v>210</v>
      </c>
      <c r="J132" s="22" t="s">
        <v>222</v>
      </c>
    </row>
    <row r="133" spans="9:10" ht="15" x14ac:dyDescent="0.25">
      <c r="I133" s="60" t="s">
        <v>610</v>
      </c>
      <c r="J133">
        <v>1</v>
      </c>
    </row>
    <row r="134" spans="9:10" ht="15" x14ac:dyDescent="0.25">
      <c r="I134" s="60" t="s">
        <v>611</v>
      </c>
      <c r="J134">
        <v>2</v>
      </c>
    </row>
    <row r="135" spans="9:10" ht="15" x14ac:dyDescent="0.25">
      <c r="I135" s="60" t="s">
        <v>612</v>
      </c>
      <c r="J135">
        <v>3</v>
      </c>
    </row>
    <row r="136" spans="9:10" ht="15" x14ac:dyDescent="0.25">
      <c r="I136" s="22" t="s">
        <v>613</v>
      </c>
      <c r="J136">
        <v>4</v>
      </c>
    </row>
    <row r="137" spans="9:10" ht="15" x14ac:dyDescent="0.25">
      <c r="I137" s="22" t="s">
        <v>614</v>
      </c>
      <c r="J137">
        <v>5</v>
      </c>
    </row>
    <row r="138" spans="9:10" ht="15" x14ac:dyDescent="0.25">
      <c r="I138" s="22" t="s">
        <v>615</v>
      </c>
      <c r="J138">
        <v>6</v>
      </c>
    </row>
    <row r="139" spans="9:10" ht="15" x14ac:dyDescent="0.25">
      <c r="I139" s="22" t="s">
        <v>6</v>
      </c>
      <c r="J139">
        <v>7</v>
      </c>
    </row>
    <row r="140" spans="9:10" ht="11.25" x14ac:dyDescent="0.25"/>
  </sheetData>
  <phoneticPr fontId="14" type="noConversion"/>
  <conditionalFormatting sqref="N7:N72">
    <cfRule type="containsText" dxfId="30" priority="1" operator="containsText" text="Reference">
      <formula>NOT(ISERROR(SEARCH("Reference",N7)))</formula>
    </cfRule>
    <cfRule type="containsText" dxfId="29" priority="2" operator="containsText" text="原始录入">
      <formula>NOT(ISERROR(SEARCH("原始录入",N7)))</formula>
    </cfRule>
    <cfRule type="containsText" dxfId="28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3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S15"/>
  <sheetViews>
    <sheetView workbookViewId="0">
      <selection activeCell="A2" sqref="A2"/>
    </sheetView>
  </sheetViews>
  <sheetFormatPr defaultRowHeight="15" x14ac:dyDescent="0.25"/>
  <cols>
    <col min="1" max="1" width="34.44140625" style="1" bestFit="1" customWidth="1"/>
    <col min="2" max="2" width="26.33203125" style="1" bestFit="1" customWidth="1"/>
    <col min="3" max="3" width="13.33203125" style="1" bestFit="1" customWidth="1"/>
    <col min="4" max="4" width="10.33203125" style="1" bestFit="1" customWidth="1"/>
    <col min="5" max="5" width="48.332031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31.5546875" style="1" bestFit="1" customWidth="1"/>
    <col min="15" max="15" width="36.44140625" style="1" bestFit="1" customWidth="1"/>
    <col min="16" max="16" width="31.5546875" style="1" bestFit="1" customWidth="1"/>
    <col min="17" max="17" width="12.5546875" style="1" bestFit="1" customWidth="1"/>
    <col min="18" max="18" width="9.21875" style="1" bestFit="1" customWidth="1"/>
    <col min="19" max="19" width="12.88671875" style="1" bestFit="1" customWidth="1"/>
    <col min="20" max="20" width="24.6640625" style="1" bestFit="1" customWidth="1"/>
    <col min="21" max="21" width="14.88671875" style="1" bestFit="1" customWidth="1"/>
    <col min="22" max="22" width="8" style="1" bestFit="1" customWidth="1"/>
    <col min="23" max="23" width="9.21875" style="1" bestFit="1" customWidth="1"/>
    <col min="24" max="24" width="12.6640625" style="1" bestFit="1" customWidth="1"/>
    <col min="25" max="25" width="7.6640625" style="1" bestFit="1" customWidth="1"/>
    <col min="26" max="26" width="5.88671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2" width="9.21875" style="1" bestFit="1" customWidth="1"/>
    <col min="33" max="33" width="9.33203125" style="1" bestFit="1" customWidth="1"/>
    <col min="34" max="35" width="12.5546875" style="1" bestFit="1" customWidth="1"/>
    <col min="36" max="36" width="9.21875" style="1" bestFit="1" customWidth="1"/>
    <col min="37" max="37" width="9.44140625" style="1" bestFit="1" customWidth="1"/>
    <col min="38" max="38" width="9.21875" style="1" bestFit="1" customWidth="1"/>
    <col min="39" max="39" width="11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80.88671875" style="1" bestFit="1" customWidth="1"/>
    <col min="45" max="45" width="8.33203125" style="1" bestFit="1" customWidth="1"/>
    <col min="46" max="46" width="12.5546875" style="1" bestFit="1" customWidth="1"/>
    <col min="47" max="47" width="9.21875" style="1" bestFit="1" customWidth="1"/>
    <col min="48" max="48" width="10.33203125" style="1" bestFit="1" customWidth="1"/>
    <col min="49" max="49" width="10.88671875" style="1" bestFit="1" customWidth="1"/>
    <col min="50" max="50" width="12.5546875" style="1" bestFit="1" customWidth="1"/>
    <col min="51" max="51" width="31.5546875" style="1" bestFit="1" customWidth="1"/>
    <col min="52" max="52" width="10.88671875" style="1" bestFit="1" customWidth="1"/>
    <col min="53" max="53" width="54.33203125" style="1" bestFit="1" customWidth="1"/>
    <col min="54" max="54" width="52.33203125" style="1" bestFit="1" customWidth="1"/>
    <col min="55" max="55" width="10.88671875" style="1" bestFit="1" customWidth="1"/>
    <col min="56" max="56" width="10.218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34.44140625" style="1" bestFit="1" customWidth="1"/>
    <col min="69" max="69" width="12.44140625" style="1" bestFit="1" customWidth="1"/>
    <col min="70" max="70" width="12" style="1" bestFit="1" customWidth="1"/>
    <col min="71" max="71" width="10.88671875" style="1" bestFit="1" customWidth="1"/>
    <col min="72" max="72" width="9.33203125" style="1" bestFit="1" customWidth="1"/>
    <col min="73" max="73" width="5.88671875" style="1" bestFit="1" customWidth="1"/>
    <col min="74" max="74" width="19.44140625" style="1" bestFit="1" customWidth="1"/>
    <col min="75" max="76" width="20" style="1" bestFit="1" customWidth="1"/>
    <col min="77" max="77" width="19.44140625" style="1" bestFit="1" customWidth="1"/>
    <col min="78" max="78" width="7.6640625" style="1" bestFit="1" customWidth="1"/>
    <col min="79" max="79" width="19.44140625" style="1" bestFit="1" customWidth="1"/>
    <col min="80" max="81" width="20.21875" style="1" bestFit="1" customWidth="1"/>
    <col min="82" max="86" width="19.33203125" style="1" bestFit="1" customWidth="1"/>
    <col min="87" max="87" width="6.109375" style="1" bestFit="1" customWidth="1"/>
    <col min="88" max="88" width="19.44140625" style="1" bestFit="1" customWidth="1"/>
    <col min="89" max="16384" width="8.88671875" style="1"/>
  </cols>
  <sheetData>
    <row r="1" spans="1:71" ht="67.5" customHeight="1" x14ac:dyDescent="0.25">
      <c r="A1" s="5" t="s">
        <v>198</v>
      </c>
    </row>
    <row r="2" spans="1:71" x14ac:dyDescent="0.25">
      <c r="A2" s="114" t="s">
        <v>582</v>
      </c>
    </row>
    <row r="4" spans="1:71" ht="93" customHeight="1" x14ac:dyDescent="0.25"/>
    <row r="6" spans="1:71" x14ac:dyDescent="0.25">
      <c r="D6" s="17"/>
      <c r="M6" s="17"/>
      <c r="AV6" s="17"/>
      <c r="AW6" s="17"/>
      <c r="AZ6" s="17"/>
      <c r="BC6" s="17"/>
      <c r="BE6" s="17"/>
      <c r="BS6" s="17"/>
    </row>
    <row r="7" spans="1:71" x14ac:dyDescent="0.25">
      <c r="D7" s="17"/>
      <c r="M7" s="17"/>
      <c r="AV7" s="17"/>
      <c r="AW7" s="17"/>
      <c r="AZ7" s="17"/>
      <c r="BC7" s="17"/>
      <c r="BE7" s="17"/>
      <c r="BS7" s="17"/>
    </row>
    <row r="8" spans="1:71" x14ac:dyDescent="0.25">
      <c r="D8" s="17"/>
      <c r="M8" s="17"/>
      <c r="AV8" s="17"/>
      <c r="AW8" s="17"/>
      <c r="AZ8" s="17"/>
      <c r="BC8" s="17"/>
      <c r="BE8" s="17"/>
      <c r="BS8" s="17"/>
    </row>
    <row r="9" spans="1:71" x14ac:dyDescent="0.25">
      <c r="D9" s="17"/>
      <c r="M9" s="17"/>
      <c r="AV9" s="17"/>
      <c r="AW9" s="17"/>
      <c r="AZ9" s="17"/>
      <c r="BC9" s="17"/>
      <c r="BE9" s="17"/>
      <c r="BS9" s="17"/>
    </row>
    <row r="10" spans="1:71" x14ac:dyDescent="0.25">
      <c r="D10" s="17"/>
      <c r="M10" s="17"/>
      <c r="AV10" s="17"/>
      <c r="AW10" s="17"/>
      <c r="AZ10" s="17"/>
      <c r="BC10" s="17"/>
      <c r="BE10" s="17"/>
      <c r="BS10" s="17"/>
    </row>
    <row r="11" spans="1:71" x14ac:dyDescent="0.25">
      <c r="D11" s="17"/>
      <c r="M11" s="17"/>
      <c r="AV11" s="17"/>
      <c r="AW11" s="17"/>
      <c r="AZ11" s="17"/>
      <c r="BC11" s="17"/>
      <c r="BE11" s="17"/>
      <c r="BS11" s="17"/>
    </row>
    <row r="12" spans="1:71" x14ac:dyDescent="0.25">
      <c r="D12" s="17"/>
      <c r="M12" s="17"/>
      <c r="AV12" s="17"/>
      <c r="AW12" s="17"/>
      <c r="AZ12" s="17"/>
      <c r="BC12" s="17"/>
      <c r="BE12" s="17"/>
      <c r="BS12" s="17"/>
    </row>
    <row r="13" spans="1:71" x14ac:dyDescent="0.25">
      <c r="D13" s="17"/>
      <c r="M13" s="17"/>
      <c r="AV13" s="17"/>
      <c r="AW13" s="17"/>
      <c r="AZ13" s="17"/>
      <c r="BC13" s="17"/>
      <c r="BE13" s="17"/>
      <c r="BS13" s="17"/>
    </row>
    <row r="14" spans="1:71" x14ac:dyDescent="0.25">
      <c r="D14" s="17"/>
      <c r="M14" s="17"/>
      <c r="AV14" s="17"/>
      <c r="AW14" s="17"/>
      <c r="AZ14" s="17"/>
      <c r="BC14" s="17"/>
      <c r="BE14" s="17"/>
      <c r="BS14" s="17"/>
    </row>
    <row r="15" spans="1:71" x14ac:dyDescent="0.25">
      <c r="D15" s="17"/>
      <c r="M15" s="17"/>
      <c r="AV15" s="17"/>
      <c r="AW15" s="17"/>
      <c r="AZ15" s="17"/>
      <c r="BC15" s="17"/>
      <c r="BE15" s="17"/>
      <c r="BS15" s="17"/>
    </row>
  </sheetData>
  <phoneticPr fontId="28" type="noConversion"/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P18"/>
  <sheetViews>
    <sheetView workbookViewId="0">
      <selection activeCell="D32" sqref="D32"/>
    </sheetView>
  </sheetViews>
  <sheetFormatPr defaultRowHeight="15" x14ac:dyDescent="0.25"/>
  <cols>
    <col min="1" max="1" width="33.109375" style="1" bestFit="1" customWidth="1"/>
    <col min="2" max="2" width="13.33203125" style="1" bestFit="1" customWidth="1"/>
    <col min="3" max="3" width="34.44140625" style="1" bestFit="1" customWidth="1"/>
    <col min="4" max="4" width="18.21875" style="1" bestFit="1" customWidth="1"/>
    <col min="5" max="5" width="9.21875" style="1" bestFit="1" customWidth="1"/>
    <col min="6" max="6" width="10.88671875" style="1" bestFit="1" customWidth="1"/>
    <col min="7" max="7" width="14.21875" style="1" bestFit="1" customWidth="1"/>
    <col min="8" max="8" width="11.109375" style="1" bestFit="1" customWidth="1"/>
    <col min="9" max="10" width="9.21875" style="1" bestFit="1" customWidth="1"/>
    <col min="11" max="11" width="31.88671875" style="1" bestFit="1" customWidth="1"/>
    <col min="12" max="12" width="52.33203125" style="1" bestFit="1" customWidth="1"/>
    <col min="13" max="13" width="14.21875" style="1" bestFit="1" customWidth="1"/>
    <col min="14" max="15" width="10.33203125" style="1" bestFit="1" customWidth="1"/>
    <col min="16" max="16" width="10.88671875" style="1" bestFit="1" customWidth="1"/>
    <col min="17" max="17" width="18.5546875" style="1" bestFit="1" customWidth="1"/>
    <col min="18" max="18" width="5.88671875" style="1" bestFit="1" customWidth="1"/>
    <col min="19" max="19" width="8" style="1" bestFit="1" customWidth="1"/>
    <col min="20" max="20" width="12" style="1" bestFit="1" customWidth="1"/>
    <col min="21" max="21" width="20" style="1" bestFit="1" customWidth="1"/>
    <col min="22" max="22" width="19.88671875" style="1" bestFit="1" customWidth="1"/>
    <col min="23" max="23" width="13.77734375" style="1" bestFit="1" customWidth="1"/>
    <col min="24" max="24" width="26.5546875" style="1" bestFit="1" customWidth="1"/>
    <col min="25" max="25" width="19.44140625" style="1" bestFit="1" customWidth="1"/>
    <col min="26" max="27" width="20.33203125" style="1" bestFit="1" customWidth="1"/>
    <col min="28" max="28" width="10.44140625" style="1" bestFit="1" customWidth="1"/>
    <col min="29" max="29" width="19.44140625" style="1" bestFit="1" customWidth="1"/>
    <col min="30" max="30" width="20.44140625" style="1" bestFit="1" customWidth="1"/>
    <col min="31" max="31" width="10.44140625" style="1" bestFit="1" customWidth="1"/>
    <col min="32" max="32" width="20.109375" style="1" bestFit="1" customWidth="1"/>
    <col min="33" max="33" width="17.44140625" style="1" bestFit="1" customWidth="1"/>
    <col min="34" max="34" width="10.44140625" style="1" bestFit="1" customWidth="1"/>
    <col min="35" max="35" width="17.44140625" style="1" bestFit="1" customWidth="1"/>
    <col min="36" max="36" width="13.33203125" style="1" bestFit="1" customWidth="1"/>
    <col min="37" max="37" width="10.21875" style="1" bestFit="1" customWidth="1"/>
    <col min="38" max="38" width="7.44140625" style="1" bestFit="1" customWidth="1"/>
    <col min="39" max="39" width="13.5546875" style="1" bestFit="1" customWidth="1"/>
    <col min="40" max="40" width="10.44140625" style="1" bestFit="1" customWidth="1"/>
    <col min="41" max="41" width="7.6640625" style="1" bestFit="1" customWidth="1"/>
    <col min="42" max="42" width="20.44140625" style="1" bestFit="1" customWidth="1"/>
    <col min="43" max="43" width="7.6640625" style="1" bestFit="1" customWidth="1"/>
    <col min="44" max="44" width="19.44140625" style="1" bestFit="1" customWidth="1"/>
    <col min="45" max="45" width="12.6640625" style="1" bestFit="1" customWidth="1"/>
    <col min="46" max="46" width="13.33203125" style="1" bestFit="1" customWidth="1"/>
    <col min="47" max="47" width="20.109375" style="1" bestFit="1" customWidth="1"/>
    <col min="48" max="48" width="20.21875" style="1" bestFit="1" customWidth="1"/>
    <col min="49" max="49" width="12.77734375" style="1" bestFit="1" customWidth="1"/>
    <col min="50" max="50" width="11.44140625" style="1" bestFit="1" customWidth="1"/>
    <col min="51" max="51" width="14.33203125" style="1" bestFit="1" customWidth="1"/>
    <col min="52" max="52" width="12.6640625" style="1" bestFit="1" customWidth="1"/>
    <col min="53" max="53" width="20.109375" style="1" bestFit="1" customWidth="1"/>
    <col min="54" max="54" width="21" style="1" bestFit="1" customWidth="1"/>
    <col min="55" max="55" width="12.21875" style="1" bestFit="1" customWidth="1"/>
    <col min="56" max="56" width="9.5546875" style="1" bestFit="1" customWidth="1"/>
    <col min="57" max="57" width="11.6640625" style="1" bestFit="1" customWidth="1"/>
    <col min="58" max="58" width="21" style="1" customWidth="1"/>
    <col min="59" max="59" width="11.6640625" style="1" customWidth="1"/>
    <col min="60" max="16384" width="8.88671875" style="1"/>
  </cols>
  <sheetData>
    <row r="1" spans="1:16" ht="67.5" customHeight="1" x14ac:dyDescent="0.25">
      <c r="A1" s="32" t="s">
        <v>318</v>
      </c>
    </row>
    <row r="2" spans="1:16" x14ac:dyDescent="0.25">
      <c r="A2" s="114" t="s">
        <v>582</v>
      </c>
    </row>
    <row r="6" spans="1:16" x14ac:dyDescent="0.25">
      <c r="A6" s="17"/>
      <c r="D6" s="115"/>
      <c r="N6" s="17"/>
      <c r="O6" s="17"/>
      <c r="P6" s="17"/>
    </row>
    <row r="7" spans="1:16" x14ac:dyDescent="0.25">
      <c r="A7" s="17"/>
      <c r="D7" s="115"/>
      <c r="N7" s="17"/>
      <c r="O7" s="17"/>
      <c r="P7" s="17"/>
    </row>
    <row r="8" spans="1:16" x14ac:dyDescent="0.25">
      <c r="A8" s="17"/>
      <c r="D8" s="115"/>
      <c r="N8" s="17"/>
      <c r="O8" s="17"/>
      <c r="P8" s="17"/>
    </row>
    <row r="9" spans="1:16" x14ac:dyDescent="0.25">
      <c r="A9" s="17"/>
      <c r="D9" s="115"/>
      <c r="N9" s="17"/>
      <c r="O9" s="17"/>
      <c r="P9" s="17"/>
    </row>
    <row r="10" spans="1:16" x14ac:dyDescent="0.25">
      <c r="A10" s="17"/>
      <c r="D10" s="115"/>
      <c r="N10" s="17"/>
      <c r="O10" s="17"/>
      <c r="P10" s="17"/>
    </row>
    <row r="11" spans="1:16" x14ac:dyDescent="0.25">
      <c r="A11" s="17"/>
      <c r="D11" s="115"/>
      <c r="N11" s="17"/>
      <c r="O11" s="17"/>
      <c r="P11" s="17"/>
    </row>
    <row r="12" spans="1:16" x14ac:dyDescent="0.25">
      <c r="A12" s="17"/>
      <c r="D12" s="115"/>
      <c r="N12" s="17"/>
      <c r="O12" s="17"/>
      <c r="P12" s="17"/>
    </row>
    <row r="13" spans="1:16" x14ac:dyDescent="0.25">
      <c r="A13" s="17"/>
      <c r="D13" s="115"/>
      <c r="N13" s="17"/>
      <c r="O13" s="17"/>
      <c r="P13" s="17"/>
    </row>
    <row r="14" spans="1:16" x14ac:dyDescent="0.25">
      <c r="A14" s="17"/>
      <c r="D14" s="115"/>
      <c r="N14" s="17"/>
      <c r="O14" s="17"/>
      <c r="P14" s="17"/>
    </row>
    <row r="15" spans="1:16" x14ac:dyDescent="0.25">
      <c r="A15" s="17"/>
      <c r="D15" s="115"/>
      <c r="N15" s="17"/>
      <c r="O15" s="17"/>
      <c r="P15" s="17"/>
    </row>
    <row r="16" spans="1:16" x14ac:dyDescent="0.25">
      <c r="A16" s="17"/>
      <c r="D16" s="115"/>
      <c r="N16" s="17"/>
      <c r="O16" s="17"/>
      <c r="P16" s="17"/>
    </row>
    <row r="17" spans="1:16" x14ac:dyDescent="0.25">
      <c r="A17" s="17"/>
      <c r="D17" s="115"/>
      <c r="N17" s="17"/>
      <c r="O17" s="17"/>
      <c r="P17" s="17"/>
    </row>
    <row r="18" spans="1:16" x14ac:dyDescent="0.25">
      <c r="A18" s="17"/>
      <c r="D18" s="115"/>
      <c r="N18" s="17"/>
      <c r="O18" s="17"/>
      <c r="P18" s="17"/>
    </row>
  </sheetData>
  <phoneticPr fontId="28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39</vt:i4>
      </vt:variant>
    </vt:vector>
  </HeadingPairs>
  <TitlesOfParts>
    <vt:vector size="52" baseType="lpstr">
      <vt:lpstr>DOWNLOAD</vt:lpstr>
      <vt:lpstr>load</vt:lpstr>
      <vt:lpstr>DLD_Add</vt:lpstr>
      <vt:lpstr>REVIEW_LIST</vt:lpstr>
      <vt:lpstr>【FINAL】</vt:lpstr>
      <vt:lpstr>wCurated</vt:lpstr>
      <vt:lpstr>wChart</vt:lpstr>
      <vt:lpstr>wCredit</vt:lpstr>
      <vt:lpstr>NEWs</vt:lpstr>
      <vt:lpstr>WeeklyAddTap</vt:lpstr>
      <vt:lpstr>MDM</vt:lpstr>
      <vt:lpstr>wDMI</vt:lpstr>
      <vt:lpstr>wBBG</vt:lpstr>
      <vt:lpstr>MDM!Criteria</vt:lpstr>
      <vt:lpstr>dd_BISL_ROLE</vt:lpstr>
      <vt:lpstr>dd_BOCOMJLM</vt:lpstr>
      <vt:lpstr>dd_byrtg</vt:lpstr>
      <vt:lpstr>dd_coverage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GPS</vt:lpstr>
      <vt:lpstr>GPS_FileName</vt:lpstr>
      <vt:lpstr>IS_EXCH_FILTER</vt:lpstr>
      <vt:lpstr>ISIN_Search_ToClear</vt:lpstr>
      <vt:lpstr>Monday</vt:lpstr>
      <vt:lpstr>MultiSource</vt:lpstr>
      <vt:lpstr>Name</vt:lpstr>
      <vt:lpstr>UpdatorWeekly</vt:lpstr>
      <vt:lpstr>WeeklyAddTap</vt:lpstr>
      <vt:lpstr>WeeklyFilter</vt:lpstr>
      <vt:lpstr>wNews_Input_ToClear</vt:lpstr>
      <vt:lpstr>地方国企</vt:lpstr>
      <vt:lpstr>定价基准</vt:lpstr>
      <vt:lpstr>新闻分类</vt:lpstr>
      <vt:lpstr>新闻地区</vt:lpstr>
      <vt:lpstr>港分_Role</vt:lpstr>
      <vt:lpstr>金融机构</vt:lpstr>
      <vt:lpstr>银行</vt:lpstr>
      <vt:lpstr>非银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2023-12-08T11:10:45Z</dcterms:modified>
</cp:coreProperties>
</file>